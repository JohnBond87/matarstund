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xr:revisionPtr revIDLastSave="75" documentId="11_A8FD707592F440DD53F9B12235AFF6A400CB03DC" xr6:coauthVersionLast="47" xr6:coauthVersionMax="47" xr10:uidLastSave="{DEB79A6A-800F-4133-AADA-4763C879E1DD}"/>
  <bookViews>
    <workbookView xWindow="0" yWindow="0" windowWidth="16384" windowHeight="8192" tabRatio="500" firstSheet="2" activeTab="2" xr2:uid="{00000000-000D-0000-FFFF-FFFF00000000}"/>
  </bookViews>
  <sheets>
    <sheet name="Vöruskrá" sheetId="1" r:id="rId1"/>
    <sheet name="Réttabanki" sheetId="2" r:id="rId2"/>
    <sheet name="Grunnmatseðill" sheetId="3" r:id="rId3"/>
    <sheet name="Skólabreytingar" sheetId="4" r:id="rId4"/>
    <sheet name="Skólalisti" sheetId="5" r:id="rId5"/>
    <sheet name="Framlegð" sheetId="6" r:id="rId6"/>
    <sheet name="Forsendur" sheetId="7" r:id="rId7"/>
    <sheet name="Leiðbeiningar" sheetId="8" r:id="rId8"/>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2" i="3" l="1"/>
  <c r="C62" i="3"/>
  <c r="B63" i="3"/>
  <c r="C63" i="3"/>
  <c r="B64" i="3"/>
  <c r="C64" i="3"/>
  <c r="B65" i="3"/>
  <c r="C65" i="3"/>
  <c r="B66" i="3"/>
  <c r="C66" i="3"/>
  <c r="B67" i="3"/>
  <c r="C67" i="3"/>
  <c r="B68" i="3"/>
  <c r="C68" i="3"/>
  <c r="B69" i="3"/>
  <c r="C69" i="3"/>
  <c r="B70" i="3"/>
  <c r="C70" i="3"/>
  <c r="B71" i="3"/>
  <c r="C71" i="3"/>
  <c r="B25" i="3"/>
  <c r="C25" i="3"/>
  <c r="B26" i="3"/>
  <c r="C26" i="3"/>
  <c r="B27" i="3"/>
  <c r="C27" i="3"/>
  <c r="B28" i="3"/>
  <c r="C28" i="3"/>
  <c r="B29" i="3"/>
  <c r="C29" i="3"/>
  <c r="B30" i="3"/>
  <c r="C30" i="3"/>
  <c r="B31" i="3"/>
  <c r="C31" i="3"/>
  <c r="B32" i="3"/>
  <c r="C32" i="3"/>
  <c r="B33" i="3"/>
  <c r="C33" i="3"/>
  <c r="B34" i="3"/>
  <c r="C34" i="3"/>
  <c r="B35" i="3"/>
  <c r="C35" i="3"/>
  <c r="B36" i="3"/>
  <c r="C36"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1213" i="3"/>
  <c r="Q1214" i="3"/>
  <c r="Q1215" i="3"/>
  <c r="Q1216" i="3"/>
  <c r="Q1217" i="3"/>
  <c r="Q1218" i="3"/>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286" i="3"/>
  <c r="Q1287" i="3"/>
  <c r="Q1288" i="3"/>
  <c r="Q1289" i="3"/>
  <c r="Q1290" i="3"/>
  <c r="Q1291" i="3"/>
  <c r="Q1292" i="3"/>
  <c r="Q1293" i="3"/>
  <c r="Q1294" i="3"/>
  <c r="Q1295" i="3"/>
  <c r="Q1296" i="3"/>
  <c r="Q1297" i="3"/>
  <c r="Q1298" i="3"/>
  <c r="Q1299" i="3"/>
  <c r="Q1300" i="3"/>
  <c r="Q1301" i="3"/>
  <c r="Q1302" i="3"/>
  <c r="Q1303" i="3"/>
  <c r="Q1304" i="3"/>
  <c r="Q1305" i="3"/>
  <c r="Q1306" i="3"/>
  <c r="Q1307" i="3"/>
  <c r="Q1308" i="3"/>
  <c r="Q1309" i="3"/>
  <c r="Q1310" i="3"/>
  <c r="Q1311" i="3"/>
  <c r="Q1312" i="3"/>
  <c r="Q1313" i="3"/>
  <c r="Q1314" i="3"/>
  <c r="Q1315" i="3"/>
  <c r="Q1316" i="3"/>
  <c r="Q1317" i="3"/>
  <c r="Q1318" i="3"/>
  <c r="Q1319" i="3"/>
  <c r="Q1320" i="3"/>
  <c r="Q1321" i="3"/>
  <c r="Q1322" i="3"/>
  <c r="Q1323" i="3"/>
  <c r="Q1324" i="3"/>
  <c r="Q1325" i="3"/>
  <c r="Q1326" i="3"/>
  <c r="Q1327" i="3"/>
  <c r="Q1328" i="3"/>
  <c r="Q1329" i="3"/>
  <c r="Q1330" i="3"/>
  <c r="Q1331" i="3"/>
  <c r="Q1332" i="3"/>
  <c r="Q1333" i="3"/>
  <c r="Q1334" i="3"/>
  <c r="Q1335" i="3"/>
  <c r="Q1336" i="3"/>
  <c r="Q1337" i="3"/>
  <c r="Q1338" i="3"/>
  <c r="Q1339" i="3"/>
  <c r="Q1340" i="3"/>
  <c r="Q1341" i="3"/>
  <c r="Q1342" i="3"/>
  <c r="Q1343" i="3"/>
  <c r="Q1344" i="3"/>
  <c r="Q1345" i="3"/>
  <c r="Q1346" i="3"/>
  <c r="Q1347" i="3"/>
  <c r="Q1348" i="3"/>
  <c r="Q1349" i="3"/>
  <c r="Q1350" i="3"/>
  <c r="Q1351" i="3"/>
  <c r="Q1352" i="3"/>
  <c r="Q1353" i="3"/>
  <c r="Q1354" i="3"/>
  <c r="Q1355" i="3"/>
  <c r="Q1356" i="3"/>
  <c r="Q1357" i="3"/>
  <c r="Q1358" i="3"/>
  <c r="Q1359" i="3"/>
  <c r="Q1360" i="3"/>
  <c r="Q1361" i="3"/>
  <c r="Q1362" i="3"/>
  <c r="Q1363" i="3"/>
  <c r="Q1364" i="3"/>
  <c r="Q1365" i="3"/>
  <c r="Q1366" i="3"/>
  <c r="Q1367" i="3"/>
  <c r="Q1368" i="3"/>
  <c r="Q1369" i="3"/>
  <c r="Q1370" i="3"/>
  <c r="Q1371" i="3"/>
  <c r="Q1372" i="3"/>
  <c r="Q1373" i="3"/>
  <c r="Q1374" i="3"/>
  <c r="Q1375" i="3"/>
  <c r="Q1376" i="3"/>
  <c r="Q1377" i="3"/>
  <c r="Q1378" i="3"/>
  <c r="Q1379" i="3"/>
  <c r="Q1380" i="3"/>
  <c r="Q1381" i="3"/>
  <c r="Q1382" i="3"/>
  <c r="Q1383" i="3"/>
  <c r="Q1384" i="3"/>
  <c r="Q1385" i="3"/>
  <c r="Q1386" i="3"/>
  <c r="Q1387" i="3"/>
  <c r="Q1388" i="3"/>
  <c r="Q1389" i="3"/>
  <c r="Q1390" i="3"/>
  <c r="Q1391" i="3"/>
  <c r="Q1392" i="3"/>
  <c r="Q1393" i="3"/>
  <c r="Q1394" i="3"/>
  <c r="Q1395" i="3"/>
  <c r="Q1396" i="3"/>
  <c r="Q1397" i="3"/>
  <c r="Q1398" i="3"/>
  <c r="Q1399" i="3"/>
  <c r="Q1400" i="3"/>
  <c r="Q1401" i="3"/>
  <c r="Q1402" i="3"/>
  <c r="Q1403" i="3"/>
  <c r="Q1404" i="3"/>
  <c r="Q1405" i="3"/>
  <c r="Q1406" i="3"/>
  <c r="Q1407" i="3"/>
  <c r="Q1408" i="3"/>
  <c r="Q1409" i="3"/>
  <c r="Q1410" i="3"/>
  <c r="Q1411" i="3"/>
  <c r="Q1412" i="3"/>
  <c r="Q1413" i="3"/>
  <c r="Q1414" i="3"/>
  <c r="Q1415" i="3"/>
  <c r="Q1416" i="3"/>
  <c r="Q1417" i="3"/>
  <c r="Q1418" i="3"/>
  <c r="Q1419" i="3"/>
  <c r="Q1420" i="3"/>
  <c r="Q1421" i="3"/>
  <c r="Q1422" i="3"/>
  <c r="Q1423" i="3"/>
  <c r="Q1424" i="3"/>
  <c r="Q1425" i="3"/>
  <c r="Q1426" i="3"/>
  <c r="Q1427" i="3"/>
  <c r="Q1428" i="3"/>
  <c r="Q1429" i="3"/>
  <c r="Q1430" i="3"/>
  <c r="Q1431" i="3"/>
  <c r="Q1432" i="3"/>
  <c r="Q1433" i="3"/>
  <c r="Q1434" i="3"/>
  <c r="Q1435" i="3"/>
  <c r="Q1436" i="3"/>
  <c r="Q1437" i="3"/>
  <c r="Q1438" i="3"/>
  <c r="Q1439" i="3"/>
  <c r="Q1440" i="3"/>
  <c r="Q1441" i="3"/>
  <c r="Q1442" i="3"/>
  <c r="Q1443" i="3"/>
  <c r="Q1444" i="3"/>
  <c r="Q1445" i="3"/>
  <c r="Q1446" i="3"/>
  <c r="Q1447" i="3"/>
  <c r="Q1448" i="3"/>
  <c r="Q1449" i="3"/>
  <c r="Q1450" i="3"/>
  <c r="Q1451" i="3"/>
  <c r="Q1452" i="3"/>
  <c r="Q1453" i="3"/>
  <c r="Q1454" i="3"/>
  <c r="Q1455" i="3"/>
  <c r="Q1456" i="3"/>
  <c r="Q1457" i="3"/>
  <c r="Q1458" i="3"/>
  <c r="Q1459" i="3"/>
  <c r="Q1460" i="3"/>
  <c r="Q1461" i="3"/>
  <c r="Q1462" i="3"/>
  <c r="Q1463" i="3"/>
  <c r="Q1464" i="3"/>
  <c r="Q1465" i="3"/>
  <c r="Q1466" i="3"/>
  <c r="Q1467" i="3"/>
  <c r="Q1468" i="3"/>
  <c r="Q1469" i="3"/>
  <c r="Q1470" i="3"/>
  <c r="Q1471" i="3"/>
  <c r="Q1472" i="3"/>
  <c r="Q1473" i="3"/>
  <c r="Q1474" i="3"/>
  <c r="Q1475" i="3"/>
  <c r="Q1476" i="3"/>
  <c r="Q1477" i="3"/>
  <c r="Q1478" i="3"/>
  <c r="Q1479" i="3"/>
  <c r="Q1480" i="3"/>
  <c r="Q1481" i="3"/>
  <c r="Q1482" i="3"/>
  <c r="Q1483" i="3"/>
  <c r="Q1484" i="3"/>
  <c r="Q1485" i="3"/>
  <c r="Q1486" i="3"/>
  <c r="Q1487" i="3"/>
  <c r="Q1488" i="3"/>
  <c r="Q1489" i="3"/>
  <c r="Q1490" i="3"/>
  <c r="Q1491" i="3"/>
  <c r="Q1492" i="3"/>
  <c r="Q1493" i="3"/>
  <c r="Q1494" i="3"/>
  <c r="Q1495" i="3"/>
  <c r="Q1496" i="3"/>
  <c r="Q1497" i="3"/>
  <c r="Q1498" i="3"/>
  <c r="Q1499" i="3"/>
  <c r="Q1500" i="3"/>
  <c r="Q1501" i="3"/>
  <c r="Q1502" i="3"/>
  <c r="Q1503" i="3"/>
  <c r="Q1504" i="3"/>
  <c r="Q1505" i="3"/>
  <c r="Q1506" i="3"/>
  <c r="Q1507" i="3"/>
  <c r="Q1508" i="3"/>
  <c r="Q1509" i="3"/>
  <c r="Q1510" i="3"/>
  <c r="Q1511" i="3"/>
  <c r="Q1512" i="3"/>
  <c r="Q1513" i="3"/>
  <c r="Q1514" i="3"/>
  <c r="Q1515" i="3"/>
  <c r="Q1516" i="3"/>
  <c r="Q1517" i="3"/>
  <c r="Q1518" i="3"/>
  <c r="Q1519" i="3"/>
  <c r="Q1520" i="3"/>
  <c r="Q1521" i="3"/>
  <c r="Q1522" i="3"/>
  <c r="Q1523" i="3"/>
  <c r="Q1524" i="3"/>
  <c r="Q1525" i="3"/>
  <c r="Q1526" i="3"/>
  <c r="Q1527" i="3"/>
  <c r="Q1528" i="3"/>
  <c r="Q1529" i="3"/>
  <c r="Q1530" i="3"/>
  <c r="Q1531" i="3"/>
  <c r="Q1532" i="3"/>
  <c r="Q1533" i="3"/>
  <c r="Q1534" i="3"/>
  <c r="Q1535" i="3"/>
  <c r="Q1536" i="3"/>
  <c r="Q1537" i="3"/>
  <c r="Q1538" i="3"/>
  <c r="Q1539" i="3"/>
  <c r="Q1540" i="3"/>
  <c r="Q1541" i="3"/>
  <c r="Q1542" i="3"/>
  <c r="Q1543" i="3"/>
  <c r="Q1544" i="3"/>
  <c r="Q1545" i="3"/>
  <c r="Q1546" i="3"/>
  <c r="Q1547" i="3"/>
  <c r="Q1548" i="3"/>
  <c r="Q1549" i="3"/>
  <c r="Q1550" i="3"/>
  <c r="Q1551" i="3"/>
  <c r="Q1552" i="3"/>
  <c r="Q1553" i="3"/>
  <c r="Q1554" i="3"/>
  <c r="Q1555" i="3"/>
  <c r="Q1556" i="3"/>
  <c r="Q1557" i="3"/>
  <c r="Q1558" i="3"/>
  <c r="Q1559" i="3"/>
  <c r="Q1560" i="3"/>
  <c r="Q1561" i="3"/>
  <c r="Q1562" i="3"/>
  <c r="Q1563" i="3"/>
  <c r="Q1564" i="3"/>
  <c r="Q1565" i="3"/>
  <c r="Q1566" i="3"/>
  <c r="Q1567" i="3"/>
  <c r="Q1568" i="3"/>
  <c r="Q1569" i="3"/>
  <c r="Q1570" i="3"/>
  <c r="Q1571" i="3"/>
  <c r="Q1572" i="3"/>
  <c r="Q1573" i="3"/>
  <c r="Q1574" i="3"/>
  <c r="Q1575" i="3"/>
  <c r="Q1576" i="3"/>
  <c r="Q1577" i="3"/>
  <c r="Q1578" i="3"/>
  <c r="Q1579" i="3"/>
  <c r="Q1580" i="3"/>
  <c r="Q1581" i="3"/>
  <c r="Q1582" i="3"/>
  <c r="Q1583" i="3"/>
  <c r="Q1584" i="3"/>
  <c r="Q1585" i="3"/>
  <c r="Q1586" i="3"/>
  <c r="Q1587" i="3"/>
  <c r="Q1588" i="3"/>
  <c r="Q1589" i="3"/>
  <c r="Q1590" i="3"/>
  <c r="Q1591" i="3"/>
  <c r="Q1592" i="3"/>
  <c r="Q1593" i="3"/>
  <c r="Q1594" i="3"/>
  <c r="Q1595" i="3"/>
  <c r="Q1596" i="3"/>
  <c r="Q1597" i="3"/>
  <c r="Q1598" i="3"/>
  <c r="Q1599" i="3"/>
  <c r="Q1600" i="3"/>
  <c r="Q1601" i="3"/>
  <c r="Q1602" i="3"/>
  <c r="Q1603" i="3"/>
  <c r="Q1604" i="3"/>
  <c r="Q1605" i="3"/>
  <c r="Q1606" i="3"/>
  <c r="Q1607" i="3"/>
  <c r="Q1608" i="3"/>
  <c r="Q1609" i="3"/>
  <c r="Q1610" i="3"/>
  <c r="Q1611" i="3"/>
  <c r="Q1612" i="3"/>
  <c r="Q1613" i="3"/>
  <c r="Q1614" i="3"/>
  <c r="Q1615" i="3"/>
  <c r="Q1616" i="3"/>
  <c r="Q1617" i="3"/>
  <c r="Q1618" i="3"/>
  <c r="Q1619" i="3"/>
  <c r="Q1620" i="3"/>
  <c r="Q1621" i="3"/>
  <c r="Q1622" i="3"/>
  <c r="Q1623" i="3"/>
  <c r="Q1624" i="3"/>
  <c r="Q1625" i="3"/>
  <c r="Q1626" i="3"/>
  <c r="Q1627" i="3"/>
  <c r="Q1628" i="3"/>
  <c r="Q1629" i="3"/>
  <c r="Q1630" i="3"/>
  <c r="Q1631" i="3"/>
  <c r="Q1632" i="3"/>
  <c r="Q1633" i="3"/>
  <c r="Q1634" i="3"/>
  <c r="Q1635" i="3"/>
  <c r="Q1636" i="3"/>
  <c r="Q1637" i="3"/>
  <c r="Q1638" i="3"/>
  <c r="Q1639" i="3"/>
  <c r="Q1640" i="3"/>
  <c r="Q1641" i="3"/>
  <c r="Q1642" i="3"/>
  <c r="Q1643" i="3"/>
  <c r="Q1644" i="3"/>
  <c r="Q1645" i="3"/>
  <c r="Q1646" i="3"/>
  <c r="Q1647" i="3"/>
  <c r="Q1648" i="3"/>
  <c r="Q1649" i="3"/>
  <c r="Q1650" i="3"/>
  <c r="Q1651" i="3"/>
  <c r="Q1652" i="3"/>
  <c r="Q1653" i="3"/>
  <c r="Q1654" i="3"/>
  <c r="Q1655" i="3"/>
  <c r="Q1656" i="3"/>
  <c r="Q1657" i="3"/>
  <c r="Q1658" i="3"/>
  <c r="Q1659" i="3"/>
  <c r="Q1660" i="3"/>
  <c r="Q1661" i="3"/>
  <c r="Q1662" i="3"/>
  <c r="Q1663" i="3"/>
  <c r="Q1664" i="3"/>
  <c r="Q1665" i="3"/>
  <c r="Q1666" i="3"/>
  <c r="Q1667" i="3"/>
  <c r="Q1668" i="3"/>
  <c r="Q1669" i="3"/>
  <c r="Q1670" i="3"/>
  <c r="Q1671" i="3"/>
  <c r="Q1672" i="3"/>
  <c r="Q1673" i="3"/>
  <c r="Q1674" i="3"/>
  <c r="Q1675" i="3"/>
  <c r="Q1676" i="3"/>
  <c r="Q1677" i="3"/>
  <c r="Q1678" i="3"/>
  <c r="Q1679" i="3"/>
  <c r="Q1680" i="3"/>
  <c r="Q1681" i="3"/>
  <c r="Q1682" i="3"/>
  <c r="Q1683" i="3"/>
  <c r="Q1684" i="3"/>
  <c r="Q1685" i="3"/>
  <c r="Q1686" i="3"/>
  <c r="Q1687" i="3"/>
  <c r="Q1688" i="3"/>
  <c r="Q1689" i="3"/>
  <c r="Q1690" i="3"/>
  <c r="Q1691" i="3"/>
  <c r="Q1692" i="3"/>
  <c r="Q1693" i="3"/>
  <c r="Q1694" i="3"/>
  <c r="Q1695" i="3"/>
  <c r="Q1696" i="3"/>
  <c r="Q1697" i="3"/>
  <c r="Q1698" i="3"/>
  <c r="Q1699" i="3"/>
  <c r="Q1700" i="3"/>
  <c r="Q1701" i="3"/>
  <c r="Q1702" i="3"/>
  <c r="Q1703" i="3"/>
  <c r="Q1704" i="3"/>
  <c r="Q1705" i="3"/>
  <c r="Q1706" i="3"/>
  <c r="Q1707" i="3"/>
  <c r="Q1708" i="3"/>
  <c r="Q1709" i="3"/>
  <c r="Q1710" i="3"/>
  <c r="Q1711" i="3"/>
  <c r="Q1712" i="3"/>
  <c r="Q1713" i="3"/>
  <c r="Q1714" i="3"/>
  <c r="Q1715" i="3"/>
  <c r="Q1716" i="3"/>
  <c r="Q1717" i="3"/>
  <c r="Q1718" i="3"/>
  <c r="Q1719" i="3"/>
  <c r="Q1720" i="3"/>
  <c r="Q1721" i="3"/>
  <c r="Q1722" i="3"/>
  <c r="Q1723" i="3"/>
  <c r="Q1724" i="3"/>
  <c r="Q1725" i="3"/>
  <c r="Q1726" i="3"/>
  <c r="Q1727" i="3"/>
  <c r="Q1728" i="3"/>
  <c r="Q1729" i="3"/>
  <c r="Q1730" i="3"/>
  <c r="Q1731" i="3"/>
  <c r="Q1732" i="3"/>
  <c r="Q1733" i="3"/>
  <c r="Q1734" i="3"/>
  <c r="Q1735" i="3"/>
  <c r="Q1736" i="3"/>
  <c r="Q1737" i="3"/>
  <c r="Q1738" i="3"/>
  <c r="Q1739" i="3"/>
  <c r="Q1740" i="3"/>
  <c r="Q1741" i="3"/>
  <c r="Q1742" i="3"/>
  <c r="Q1743" i="3"/>
  <c r="Q1744" i="3"/>
  <c r="Q1745" i="3"/>
  <c r="Q1746" i="3"/>
  <c r="Q1747" i="3"/>
  <c r="Q1748" i="3"/>
  <c r="Q1749" i="3"/>
  <c r="Q1750" i="3"/>
  <c r="Q1751" i="3"/>
  <c r="Q1752" i="3"/>
  <c r="Q1753" i="3"/>
  <c r="Q1754" i="3"/>
  <c r="Q1755" i="3"/>
  <c r="Q1756" i="3"/>
  <c r="Q1757" i="3"/>
  <c r="Q1758" i="3"/>
  <c r="Q1759" i="3"/>
  <c r="Q1760" i="3"/>
  <c r="Q1761" i="3"/>
  <c r="Q1762" i="3"/>
  <c r="Q1763" i="3"/>
  <c r="Q1764" i="3"/>
  <c r="Q1765" i="3"/>
  <c r="Q1766" i="3"/>
  <c r="Q1767" i="3"/>
  <c r="Q1768" i="3"/>
  <c r="Q1769" i="3"/>
  <c r="Q1770" i="3"/>
  <c r="Q1771" i="3"/>
  <c r="Q1772" i="3"/>
  <c r="Q1773" i="3"/>
  <c r="Q1774" i="3"/>
  <c r="Q1775" i="3"/>
  <c r="Q1776" i="3"/>
  <c r="Q1777" i="3"/>
  <c r="Q1778" i="3"/>
  <c r="Q1779" i="3"/>
  <c r="Q1780" i="3"/>
  <c r="Q1781" i="3"/>
  <c r="Q1782" i="3"/>
  <c r="Q1783" i="3"/>
  <c r="Q1784" i="3"/>
  <c r="Q1785" i="3"/>
  <c r="Q1786" i="3"/>
  <c r="Q1787" i="3"/>
  <c r="Q1788" i="3"/>
  <c r="Q1789" i="3"/>
  <c r="Q1790" i="3"/>
  <c r="Q1791" i="3"/>
  <c r="Q1792" i="3"/>
  <c r="Q1793" i="3"/>
  <c r="Q1794" i="3"/>
  <c r="Q1795" i="3"/>
  <c r="Q1796" i="3"/>
  <c r="Q1797" i="3"/>
  <c r="Q1798" i="3"/>
  <c r="Q1799" i="3"/>
  <c r="Q1800" i="3"/>
  <c r="Q1801" i="3"/>
  <c r="Q1802" i="3"/>
  <c r="Q1803" i="3"/>
  <c r="Q1804" i="3"/>
  <c r="Q1805" i="3"/>
  <c r="Q1806" i="3"/>
  <c r="Q1807" i="3"/>
  <c r="Q1808" i="3"/>
  <c r="Q1809" i="3"/>
  <c r="Q1810" i="3"/>
  <c r="Q1811" i="3"/>
  <c r="Q1812" i="3"/>
  <c r="Q1813" i="3"/>
  <c r="Q1814" i="3"/>
  <c r="Q1815" i="3"/>
  <c r="Q1816" i="3"/>
  <c r="Q1817" i="3"/>
  <c r="Q1818" i="3"/>
  <c r="Q1819" i="3"/>
  <c r="Q1820" i="3"/>
  <c r="Q1821" i="3"/>
  <c r="Q1822" i="3"/>
  <c r="Q1823" i="3"/>
  <c r="Q1824" i="3"/>
  <c r="Q1825" i="3"/>
  <c r="Q1826" i="3"/>
  <c r="Q1827" i="3"/>
  <c r="Q1828" i="3"/>
  <c r="Q1829" i="3"/>
  <c r="Q1830" i="3"/>
  <c r="Q1831" i="3"/>
  <c r="Q1832" i="3"/>
  <c r="Q1833" i="3"/>
  <c r="Q1834" i="3"/>
  <c r="Q1835" i="3"/>
  <c r="Q1836" i="3"/>
  <c r="Q1837" i="3"/>
  <c r="Q1838" i="3"/>
  <c r="Q1839" i="3"/>
  <c r="Q1840" i="3"/>
  <c r="Q1841" i="3"/>
  <c r="Q1842" i="3"/>
  <c r="Q1843" i="3"/>
  <c r="Q1844" i="3"/>
  <c r="Q1845" i="3"/>
  <c r="Q1846" i="3"/>
  <c r="Q1847" i="3"/>
  <c r="Q1848" i="3"/>
  <c r="Q1849" i="3"/>
  <c r="Q1850" i="3"/>
  <c r="Q1851" i="3"/>
  <c r="Q1852" i="3"/>
  <c r="Q1853" i="3"/>
  <c r="Q1854" i="3"/>
  <c r="Q1855" i="3"/>
  <c r="Q1856" i="3"/>
  <c r="Q1857" i="3"/>
  <c r="Q1858" i="3"/>
  <c r="Q1859" i="3"/>
  <c r="Q1860" i="3"/>
  <c r="Q1861" i="3"/>
  <c r="Q1862" i="3"/>
  <c r="Q1863" i="3"/>
  <c r="Q1864" i="3"/>
  <c r="Q1865" i="3"/>
  <c r="Q1866" i="3"/>
  <c r="Q1867" i="3"/>
  <c r="Q1868" i="3"/>
  <c r="Q1869" i="3"/>
  <c r="Q1870" i="3"/>
  <c r="Q1871" i="3"/>
  <c r="Q1872" i="3"/>
  <c r="Q1873" i="3"/>
  <c r="Q1874" i="3"/>
  <c r="Q1875" i="3"/>
  <c r="Q1876" i="3"/>
  <c r="Q1877" i="3"/>
  <c r="Q1878" i="3"/>
  <c r="Q1879" i="3"/>
  <c r="Q1880" i="3"/>
  <c r="Q1881" i="3"/>
  <c r="Q1882" i="3"/>
  <c r="Q1883" i="3"/>
  <c r="Q1884" i="3"/>
  <c r="Q1885" i="3"/>
  <c r="Q1886" i="3"/>
  <c r="Q1887" i="3"/>
  <c r="Q1888" i="3"/>
  <c r="Q1889" i="3"/>
  <c r="Q1890" i="3"/>
  <c r="Q1891" i="3"/>
  <c r="Q1892" i="3"/>
  <c r="Q1893" i="3"/>
  <c r="Q1894" i="3"/>
  <c r="Q1895" i="3"/>
  <c r="Q1896" i="3"/>
  <c r="Q1897" i="3"/>
  <c r="Q1898" i="3"/>
  <c r="Q1899" i="3"/>
  <c r="Q1900" i="3"/>
  <c r="Q1901" i="3"/>
  <c r="Q1902" i="3"/>
  <c r="Q1903" i="3"/>
  <c r="Q1904" i="3"/>
  <c r="Q1905" i="3"/>
  <c r="Q1906" i="3"/>
  <c r="Q1907" i="3"/>
  <c r="Q1908" i="3"/>
  <c r="Q1909" i="3"/>
  <c r="Q1910" i="3"/>
  <c r="Q1911" i="3"/>
  <c r="Q1912" i="3"/>
  <c r="Q1913" i="3"/>
  <c r="Q1914" i="3"/>
  <c r="Q1915" i="3"/>
  <c r="Q1916" i="3"/>
  <c r="Q1917" i="3"/>
  <c r="Q1918" i="3"/>
  <c r="Q1919" i="3"/>
  <c r="Q1920" i="3"/>
  <c r="Q1921" i="3"/>
  <c r="Q1922" i="3"/>
  <c r="Q1923" i="3"/>
  <c r="Q1924" i="3"/>
  <c r="Q1925" i="3"/>
  <c r="Q1926" i="3"/>
  <c r="Q1927" i="3"/>
  <c r="Q1928" i="3"/>
  <c r="Q1929" i="3"/>
  <c r="Q1930" i="3"/>
  <c r="Q1931" i="3"/>
  <c r="Q1932" i="3"/>
  <c r="Q1933" i="3"/>
  <c r="Q1934" i="3"/>
  <c r="Q1935" i="3"/>
  <c r="Q1936" i="3"/>
  <c r="Q1937" i="3"/>
  <c r="Q1938" i="3"/>
  <c r="Q1939" i="3"/>
  <c r="Q1940" i="3"/>
  <c r="Q1941" i="3"/>
  <c r="Q1942" i="3"/>
  <c r="Q1943" i="3"/>
  <c r="Q1944" i="3"/>
  <c r="Q1945" i="3"/>
  <c r="Q1946" i="3"/>
  <c r="Q1947" i="3"/>
  <c r="Q1948" i="3"/>
  <c r="Q1949" i="3"/>
  <c r="Q1950" i="3"/>
  <c r="Q1951" i="3"/>
  <c r="Q1952" i="3"/>
  <c r="Q1953" i="3"/>
  <c r="Q1954" i="3"/>
  <c r="Q1955" i="3"/>
  <c r="Q1956" i="3"/>
  <c r="Q1957" i="3"/>
  <c r="Q1958" i="3"/>
  <c r="Q1959" i="3"/>
  <c r="Q1960" i="3"/>
  <c r="Q1961" i="3"/>
  <c r="Q1962" i="3"/>
  <c r="Q1963" i="3"/>
  <c r="Q1964" i="3"/>
  <c r="Q1965" i="3"/>
  <c r="Q1966" i="3"/>
  <c r="Q1967" i="3"/>
  <c r="Q1968" i="3"/>
  <c r="Q1969" i="3"/>
  <c r="Q1970" i="3"/>
  <c r="Q1971" i="3"/>
  <c r="Q1972" i="3"/>
  <c r="Q1973" i="3"/>
  <c r="Q1974" i="3"/>
  <c r="Q1975" i="3"/>
  <c r="Q1976" i="3"/>
  <c r="Q1977" i="3"/>
  <c r="Q1978" i="3"/>
  <c r="Q1979" i="3"/>
  <c r="Q1980" i="3"/>
  <c r="Q1981" i="3"/>
  <c r="Q198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G54" i="6"/>
  <c r="F54" i="6"/>
  <c r="E54" i="6"/>
  <c r="D54" i="6"/>
  <c r="G53" i="6"/>
  <c r="F53" i="6"/>
  <c r="E53" i="6"/>
  <c r="D53" i="6"/>
  <c r="G52" i="6"/>
  <c r="F52" i="6"/>
  <c r="E52" i="6"/>
  <c r="D52" i="6"/>
  <c r="G51" i="6"/>
  <c r="F51" i="6"/>
  <c r="E51" i="6"/>
  <c r="D51" i="6"/>
  <c r="G50" i="6"/>
  <c r="F50" i="6"/>
  <c r="E50" i="6"/>
  <c r="D50" i="6"/>
  <c r="G49" i="6"/>
  <c r="F49" i="6"/>
  <c r="E49" i="6"/>
  <c r="D49" i="6"/>
  <c r="G48" i="6"/>
  <c r="F48" i="6"/>
  <c r="E48" i="6"/>
  <c r="D48" i="6"/>
  <c r="G47" i="6"/>
  <c r="F47" i="6"/>
  <c r="E47" i="6"/>
  <c r="D47" i="6"/>
  <c r="G46" i="6"/>
  <c r="F46" i="6"/>
  <c r="E46" i="6"/>
  <c r="D46" i="6"/>
  <c r="G45" i="6"/>
  <c r="F45" i="6"/>
  <c r="E45" i="6"/>
  <c r="D45" i="6"/>
  <c r="G44" i="6"/>
  <c r="F44" i="6"/>
  <c r="E44" i="6"/>
  <c r="D44" i="6"/>
  <c r="G43" i="6"/>
  <c r="F43" i="6"/>
  <c r="E43" i="6"/>
  <c r="D43" i="6"/>
  <c r="G42" i="6"/>
  <c r="F42" i="6"/>
  <c r="E42" i="6"/>
  <c r="D42" i="6"/>
  <c r="G41" i="6"/>
  <c r="F41" i="6"/>
  <c r="E41" i="6"/>
  <c r="D41" i="6"/>
  <c r="G40" i="6"/>
  <c r="F40" i="6"/>
  <c r="E40" i="6"/>
  <c r="D40" i="6"/>
  <c r="G39" i="6"/>
  <c r="F39" i="6"/>
  <c r="E39" i="6"/>
  <c r="D39" i="6"/>
  <c r="G38" i="6"/>
  <c r="F38" i="6"/>
  <c r="E38" i="6"/>
  <c r="D38" i="6"/>
  <c r="G37" i="6"/>
  <c r="F37" i="6"/>
  <c r="E37" i="6"/>
  <c r="D37" i="6"/>
  <c r="G36" i="6"/>
  <c r="F36" i="6"/>
  <c r="E36" i="6"/>
  <c r="D36" i="6"/>
  <c r="G35" i="6"/>
  <c r="F35" i="6"/>
  <c r="E35" i="6"/>
  <c r="D35" i="6"/>
  <c r="G34" i="6"/>
  <c r="F34" i="6"/>
  <c r="E34" i="6"/>
  <c r="D34" i="6"/>
  <c r="G33" i="6"/>
  <c r="F33" i="6"/>
  <c r="E33" i="6"/>
  <c r="D33" i="6"/>
  <c r="G32" i="6"/>
  <c r="F32" i="6"/>
  <c r="E32" i="6"/>
  <c r="D32" i="6"/>
  <c r="G31" i="6"/>
  <c r="F31" i="6"/>
  <c r="E31" i="6"/>
  <c r="D31" i="6"/>
  <c r="G30" i="6"/>
  <c r="F30" i="6"/>
  <c r="E30" i="6"/>
  <c r="D30" i="6"/>
  <c r="G29" i="6"/>
  <c r="F29" i="6"/>
  <c r="E29" i="6"/>
  <c r="D29" i="6"/>
  <c r="G28" i="6"/>
  <c r="F28" i="6"/>
  <c r="E28" i="6"/>
  <c r="D28" i="6"/>
  <c r="G27" i="6"/>
  <c r="F27" i="6"/>
  <c r="E27" i="6"/>
  <c r="D27" i="6"/>
  <c r="G26" i="6"/>
  <c r="F26" i="6"/>
  <c r="E26" i="6"/>
  <c r="D26" i="6"/>
  <c r="G25" i="6"/>
  <c r="F25" i="6"/>
  <c r="E25" i="6"/>
  <c r="D25" i="6"/>
  <c r="G24" i="6"/>
  <c r="F24" i="6"/>
  <c r="E24" i="6"/>
  <c r="D24" i="6"/>
  <c r="G23" i="6"/>
  <c r="F23" i="6"/>
  <c r="E23" i="6"/>
  <c r="D23" i="6"/>
  <c r="G22" i="6"/>
  <c r="F22" i="6"/>
  <c r="E22" i="6"/>
  <c r="D22" i="6"/>
  <c r="G21" i="6"/>
  <c r="F21" i="6"/>
  <c r="E21" i="6"/>
  <c r="D21" i="6"/>
  <c r="G20" i="6"/>
  <c r="F20" i="6"/>
  <c r="E20" i="6"/>
  <c r="D20" i="6"/>
  <c r="G19" i="6"/>
  <c r="F19" i="6"/>
  <c r="E19" i="6"/>
  <c r="D19" i="6"/>
  <c r="G18" i="6"/>
  <c r="F18" i="6"/>
  <c r="E18" i="6"/>
  <c r="D18" i="6"/>
  <c r="G17" i="6"/>
  <c r="F17" i="6"/>
  <c r="E17" i="6"/>
  <c r="D17" i="6"/>
  <c r="G16" i="6"/>
  <c r="F16" i="6"/>
  <c r="E16" i="6"/>
  <c r="D16" i="6"/>
  <c r="G15" i="6"/>
  <c r="F15" i="6"/>
  <c r="E15" i="6"/>
  <c r="D15" i="6"/>
  <c r="G14" i="6"/>
  <c r="F14" i="6"/>
  <c r="E14" i="6"/>
  <c r="D14" i="6"/>
  <c r="G13" i="6"/>
  <c r="F13" i="6"/>
  <c r="E13" i="6"/>
  <c r="D13" i="6"/>
  <c r="G12" i="6"/>
  <c r="F12" i="6"/>
  <c r="E12" i="6"/>
  <c r="D12" i="6"/>
  <c r="G11" i="6"/>
  <c r="F11" i="6"/>
  <c r="E11" i="6"/>
  <c r="D11" i="6"/>
  <c r="G10" i="6"/>
  <c r="F10" i="6"/>
  <c r="E10" i="6"/>
  <c r="D10" i="6"/>
  <c r="G9" i="6"/>
  <c r="F9" i="6"/>
  <c r="E9" i="6"/>
  <c r="D9" i="6"/>
  <c r="G8" i="6"/>
  <c r="F8" i="6"/>
  <c r="E8" i="6"/>
  <c r="D8" i="6"/>
  <c r="G7" i="6"/>
  <c r="F7" i="6"/>
  <c r="E7" i="6"/>
  <c r="D7" i="6"/>
  <c r="G6" i="6"/>
  <c r="F6" i="6"/>
  <c r="E6" i="6"/>
  <c r="D6" i="6"/>
  <c r="G5" i="6"/>
  <c r="F5" i="6"/>
  <c r="E5" i="6"/>
  <c r="D5" i="6"/>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170" i="3"/>
  <c r="C171" i="3" s="1"/>
  <c r="C172" i="3" s="1"/>
  <c r="C173" i="3" s="1"/>
  <c r="C174" i="3" s="1"/>
  <c r="C175" i="3" s="1"/>
  <c r="C176" i="3" s="1"/>
  <c r="C177" i="3" s="1"/>
  <c r="C178" i="3" s="1"/>
  <c r="C179" i="3" s="1"/>
  <c r="C180" i="3" s="1"/>
  <c r="C181" i="3" s="1"/>
  <c r="C182" i="3" s="1"/>
  <c r="C183" i="3" s="1"/>
  <c r="C184" i="3" s="1"/>
  <c r="C185" i="3" s="1"/>
  <c r="C186" i="3" s="1"/>
  <c r="C187" i="3" s="1"/>
  <c r="C188" i="3" s="1"/>
  <c r="C189" i="3" s="1"/>
  <c r="C190" i="3" s="1"/>
  <c r="C191" i="3" s="1"/>
  <c r="C192" i="3" s="1"/>
  <c r="C193" i="3" s="1"/>
  <c r="C194" i="3" s="1"/>
  <c r="C195" i="3" s="1"/>
  <c r="C196" i="3" s="1"/>
  <c r="C197" i="3" s="1"/>
  <c r="C198" i="3" s="1"/>
  <c r="C199" i="3" s="1"/>
  <c r="C200" i="3" s="1"/>
  <c r="C201" i="3" s="1"/>
  <c r="C202" i="3" s="1"/>
  <c r="C203" i="3" s="1"/>
  <c r="C204" i="3" s="1"/>
  <c r="C205" i="3" s="1"/>
  <c r="C206" i="3" s="1"/>
  <c r="C207" i="3" s="1"/>
  <c r="C208" i="3" s="1"/>
  <c r="C209" i="3" s="1"/>
  <c r="C210" i="3" s="1"/>
  <c r="C211" i="3" s="1"/>
  <c r="C212" i="3" s="1"/>
  <c r="C213" i="3" s="1"/>
  <c r="C214" i="3" s="1"/>
  <c r="C215" i="3" s="1"/>
  <c r="C216" i="3" s="1"/>
  <c r="C217" i="3" s="1"/>
  <c r="C218" i="3" s="1"/>
  <c r="C219" i="3" s="1"/>
  <c r="C220" i="3" s="1"/>
  <c r="C221" i="3" s="1"/>
  <c r="C222" i="3" s="1"/>
  <c r="C223" i="3" s="1"/>
  <c r="C224" i="3" s="1"/>
  <c r="C225" i="3" s="1"/>
  <c r="C226" i="3" s="1"/>
  <c r="C227" i="3" s="1"/>
  <c r="C228" i="3" s="1"/>
  <c r="C229" i="3" s="1"/>
  <c r="C230" i="3" s="1"/>
  <c r="C231" i="3" s="1"/>
  <c r="C232" i="3" s="1"/>
  <c r="C233" i="3" s="1"/>
  <c r="C234" i="3" s="1"/>
  <c r="C235" i="3" s="1"/>
  <c r="C236" i="3" s="1"/>
  <c r="C237" i="3" s="1"/>
  <c r="C238" i="3" s="1"/>
  <c r="C239" i="3" s="1"/>
  <c r="C240" i="3" s="1"/>
  <c r="C241" i="3" s="1"/>
  <c r="C242" i="3" s="1"/>
  <c r="C243" i="3" s="1"/>
  <c r="C244" i="3" s="1"/>
  <c r="C245" i="3" s="1"/>
  <c r="C246" i="3" s="1"/>
  <c r="C247" i="3" s="1"/>
  <c r="C248" i="3" s="1"/>
  <c r="C249" i="3" s="1"/>
  <c r="C250" i="3" s="1"/>
  <c r="C251" i="3" s="1"/>
  <c r="C252" i="3" s="1"/>
  <c r="C253" i="3" s="1"/>
  <c r="C254" i="3" s="1"/>
  <c r="C255" i="3" s="1"/>
  <c r="C256" i="3" s="1"/>
  <c r="C257" i="3" s="1"/>
  <c r="C258" i="3" s="1"/>
  <c r="C259" i="3" s="1"/>
  <c r="C260" i="3" s="1"/>
  <c r="C261" i="3" s="1"/>
  <c r="C262" i="3" s="1"/>
  <c r="C263" i="3" s="1"/>
  <c r="C264" i="3" s="1"/>
  <c r="C265" i="3" s="1"/>
  <c r="C266" i="3" s="1"/>
  <c r="C267" i="3" s="1"/>
  <c r="C268" i="3" s="1"/>
  <c r="C269" i="3" s="1"/>
  <c r="C270" i="3" s="1"/>
  <c r="C271" i="3" s="1"/>
  <c r="C272" i="3" s="1"/>
  <c r="C273" i="3" s="1"/>
  <c r="C274" i="3" s="1"/>
  <c r="C275" i="3" s="1"/>
  <c r="C276" i="3" s="1"/>
  <c r="C277" i="3" s="1"/>
  <c r="C278" i="3" s="1"/>
  <c r="C279" i="3" s="1"/>
  <c r="C280" i="3" s="1"/>
  <c r="C281" i="3" s="1"/>
  <c r="C282" i="3" s="1"/>
  <c r="C283" i="3" s="1"/>
  <c r="C284" i="3" s="1"/>
  <c r="C285" i="3" s="1"/>
  <c r="C286" i="3" s="1"/>
  <c r="C287" i="3" s="1"/>
  <c r="C288" i="3" s="1"/>
  <c r="C289" i="3" s="1"/>
  <c r="C290" i="3" s="1"/>
  <c r="C291" i="3" s="1"/>
  <c r="C292" i="3" s="1"/>
  <c r="C293" i="3" s="1"/>
  <c r="C294" i="3" s="1"/>
  <c r="C295" i="3" s="1"/>
  <c r="C296" i="3" s="1"/>
  <c r="C297" i="3" s="1"/>
  <c r="C298" i="3" s="1"/>
  <c r="C299" i="3" s="1"/>
  <c r="C300" i="3" s="1"/>
  <c r="C301" i="3" s="1"/>
  <c r="C302" i="3" s="1"/>
  <c r="C303" i="3" s="1"/>
  <c r="C304" i="3" s="1"/>
  <c r="C305" i="3" s="1"/>
  <c r="C306" i="3" s="1"/>
  <c r="C307" i="3" s="1"/>
  <c r="C308" i="3" s="1"/>
  <c r="C309" i="3" s="1"/>
  <c r="C310" i="3" s="1"/>
  <c r="C311" i="3" s="1"/>
  <c r="C312" i="3" s="1"/>
  <c r="C313" i="3" s="1"/>
  <c r="C314" i="3" s="1"/>
  <c r="C315" i="3" s="1"/>
  <c r="C316" i="3" s="1"/>
  <c r="C317" i="3" s="1"/>
  <c r="C318" i="3" s="1"/>
  <c r="C319" i="3" s="1"/>
  <c r="C320" i="3" s="1"/>
  <c r="C321" i="3" s="1"/>
  <c r="C322" i="3" s="1"/>
  <c r="C323" i="3" s="1"/>
  <c r="C324" i="3" s="1"/>
  <c r="C325" i="3" s="1"/>
  <c r="C326" i="3" s="1"/>
  <c r="C327" i="3" s="1"/>
  <c r="C328" i="3" s="1"/>
  <c r="C329" i="3" s="1"/>
  <c r="C330" i="3" s="1"/>
  <c r="C331" i="3" s="1"/>
  <c r="C332" i="3" s="1"/>
  <c r="C333" i="3" s="1"/>
  <c r="C334" i="3" s="1"/>
  <c r="C335" i="3" s="1"/>
  <c r="C336" i="3" s="1"/>
  <c r="C337" i="3" s="1"/>
  <c r="C338" i="3" s="1"/>
  <c r="C339" i="3" s="1"/>
  <c r="C340" i="3" s="1"/>
  <c r="C341" i="3" s="1"/>
  <c r="C342" i="3" s="1"/>
  <c r="C343" i="3" s="1"/>
  <c r="C344" i="3" s="1"/>
  <c r="C345" i="3" s="1"/>
  <c r="C346" i="3" s="1"/>
  <c r="C347" i="3" s="1"/>
  <c r="C348" i="3" s="1"/>
  <c r="C349" i="3" s="1"/>
  <c r="C350" i="3" s="1"/>
  <c r="C351" i="3" s="1"/>
  <c r="C352" i="3" s="1"/>
  <c r="C353" i="3" s="1"/>
  <c r="C354" i="3" s="1"/>
  <c r="C355" i="3" s="1"/>
  <c r="C356" i="3" s="1"/>
  <c r="C357" i="3" s="1"/>
  <c r="C358" i="3" s="1"/>
  <c r="C359" i="3" s="1"/>
  <c r="C360" i="3" s="1"/>
  <c r="C361" i="3" s="1"/>
  <c r="C362" i="3" s="1"/>
  <c r="C363" i="3" s="1"/>
  <c r="C364" i="3" s="1"/>
  <c r="C365" i="3" s="1"/>
  <c r="C366" i="3" s="1"/>
  <c r="C367" i="3" s="1"/>
  <c r="C368" i="3" s="1"/>
  <c r="C369" i="3" s="1"/>
  <c r="C370" i="3" s="1"/>
  <c r="C371" i="3" s="1"/>
  <c r="C372" i="3" s="1"/>
  <c r="C373" i="3" s="1"/>
  <c r="C374" i="3" s="1"/>
  <c r="C375" i="3" s="1"/>
  <c r="C376" i="3" s="1"/>
  <c r="C377" i="3" s="1"/>
  <c r="C378" i="3" s="1"/>
  <c r="C379" i="3" s="1"/>
  <c r="C380" i="3" s="1"/>
  <c r="C381" i="3" s="1"/>
  <c r="C382" i="3" s="1"/>
  <c r="C383" i="3" s="1"/>
  <c r="C384" i="3" s="1"/>
  <c r="C385" i="3" s="1"/>
  <c r="C386" i="3" s="1"/>
  <c r="C387" i="3" s="1"/>
  <c r="C388" i="3" s="1"/>
  <c r="C389" i="3" s="1"/>
  <c r="C390" i="3" s="1"/>
  <c r="C391" i="3" s="1"/>
  <c r="C392" i="3" s="1"/>
  <c r="C393" i="3" s="1"/>
  <c r="C394" i="3" s="1"/>
  <c r="C395" i="3" s="1"/>
  <c r="C396" i="3" s="1"/>
  <c r="C397" i="3" s="1"/>
  <c r="C398" i="3" s="1"/>
  <c r="C399" i="3" s="1"/>
  <c r="C400" i="3" s="1"/>
  <c r="C401" i="3" s="1"/>
  <c r="C402" i="3" s="1"/>
  <c r="C403" i="3" s="1"/>
  <c r="C404" i="3" s="1"/>
  <c r="C405" i="3" s="1"/>
  <c r="C406" i="3" s="1"/>
  <c r="C407" i="3" s="1"/>
  <c r="C408" i="3" s="1"/>
  <c r="C409" i="3" s="1"/>
  <c r="C410" i="3" s="1"/>
  <c r="C411" i="3" s="1"/>
  <c r="C412" i="3" s="1"/>
  <c r="C413" i="3" s="1"/>
  <c r="C414" i="3" s="1"/>
  <c r="C415" i="3" s="1"/>
  <c r="C416" i="3" s="1"/>
  <c r="C417" i="3" s="1"/>
  <c r="C418" i="3" s="1"/>
  <c r="C419" i="3" s="1"/>
  <c r="C420" i="3" s="1"/>
  <c r="C421" i="3" s="1"/>
  <c r="C422" i="3" s="1"/>
  <c r="C423" i="3" s="1"/>
  <c r="C424" i="3" s="1"/>
  <c r="C425" i="3" s="1"/>
  <c r="C426" i="3" s="1"/>
  <c r="C427" i="3" s="1"/>
  <c r="C428" i="3" s="1"/>
  <c r="C429" i="3" s="1"/>
  <c r="C430" i="3" s="1"/>
  <c r="C431" i="3" s="1"/>
  <c r="C432" i="3" s="1"/>
  <c r="C433" i="3" s="1"/>
  <c r="C434" i="3" s="1"/>
  <c r="C435" i="3" s="1"/>
  <c r="C436" i="3" s="1"/>
  <c r="C437" i="3" s="1"/>
  <c r="C438" i="3" s="1"/>
  <c r="C439" i="3" s="1"/>
  <c r="C440" i="3" s="1"/>
  <c r="C441" i="3" s="1"/>
  <c r="C442" i="3" s="1"/>
  <c r="C443" i="3" s="1"/>
  <c r="C444" i="3" s="1"/>
  <c r="C445" i="3" s="1"/>
  <c r="C446" i="3" s="1"/>
  <c r="C447" i="3" s="1"/>
  <c r="C448" i="3" s="1"/>
  <c r="C449" i="3" s="1"/>
  <c r="C450" i="3" s="1"/>
  <c r="C451" i="3" s="1"/>
  <c r="C452" i="3" s="1"/>
  <c r="C453" i="3" s="1"/>
  <c r="C454" i="3" s="1"/>
  <c r="C455" i="3" s="1"/>
  <c r="C456" i="3" s="1"/>
  <c r="C457" i="3" s="1"/>
  <c r="C458" i="3" s="1"/>
  <c r="C459" i="3" s="1"/>
  <c r="C460" i="3" s="1"/>
  <c r="C461" i="3" s="1"/>
  <c r="C462" i="3" s="1"/>
  <c r="C463" i="3" s="1"/>
  <c r="C464" i="3" s="1"/>
  <c r="C465" i="3" s="1"/>
  <c r="C466" i="3" s="1"/>
  <c r="C467" i="3" s="1"/>
  <c r="C468" i="3" s="1"/>
  <c r="C469" i="3" s="1"/>
  <c r="C470" i="3" s="1"/>
  <c r="C471" i="3" s="1"/>
  <c r="C472" i="3" s="1"/>
  <c r="C473" i="3" s="1"/>
  <c r="C474" i="3" s="1"/>
  <c r="C475" i="3" s="1"/>
  <c r="C476" i="3" s="1"/>
  <c r="C477" i="3" s="1"/>
  <c r="C478" i="3" s="1"/>
  <c r="C479" i="3" s="1"/>
  <c r="C480" i="3" s="1"/>
  <c r="C481" i="3" s="1"/>
  <c r="C482" i="3" s="1"/>
  <c r="C483" i="3" s="1"/>
  <c r="C484" i="3" s="1"/>
  <c r="C485" i="3" s="1"/>
  <c r="C486" i="3" s="1"/>
  <c r="C487" i="3" s="1"/>
  <c r="C488" i="3" s="1"/>
  <c r="C489" i="3" s="1"/>
  <c r="C490" i="3" s="1"/>
  <c r="C491" i="3" s="1"/>
  <c r="C492" i="3" s="1"/>
  <c r="C493" i="3" s="1"/>
  <c r="C494" i="3" s="1"/>
  <c r="C495" i="3" s="1"/>
  <c r="C496" i="3" s="1"/>
  <c r="C497" i="3" s="1"/>
  <c r="C498" i="3" s="1"/>
  <c r="C499" i="3" s="1"/>
  <c r="C500" i="3" s="1"/>
  <c r="C501" i="3" s="1"/>
  <c r="C502" i="3" s="1"/>
  <c r="C503" i="3" s="1"/>
  <c r="C504" i="3" s="1"/>
  <c r="C505" i="3" s="1"/>
  <c r="C506" i="3" s="1"/>
  <c r="C507" i="3" s="1"/>
  <c r="C508" i="3" s="1"/>
  <c r="C509" i="3" s="1"/>
  <c r="C510" i="3" s="1"/>
  <c r="C511" i="3" s="1"/>
  <c r="C512" i="3" s="1"/>
  <c r="C513" i="3" s="1"/>
  <c r="C514" i="3" s="1"/>
  <c r="C515" i="3" s="1"/>
  <c r="C516" i="3" s="1"/>
  <c r="C517" i="3" s="1"/>
  <c r="C518" i="3" s="1"/>
  <c r="C519" i="3" s="1"/>
  <c r="C520" i="3" s="1"/>
  <c r="C521" i="3" s="1"/>
  <c r="C522" i="3" s="1"/>
  <c r="C523" i="3" s="1"/>
  <c r="C524" i="3" s="1"/>
  <c r="C525" i="3" s="1"/>
  <c r="C526" i="3" s="1"/>
  <c r="C527" i="3" s="1"/>
  <c r="C528" i="3" s="1"/>
  <c r="C529" i="3" s="1"/>
  <c r="C530" i="3" s="1"/>
  <c r="C531" i="3" s="1"/>
  <c r="C532" i="3" s="1"/>
  <c r="C533" i="3" s="1"/>
  <c r="C534" i="3" s="1"/>
  <c r="C535" i="3" s="1"/>
  <c r="C536" i="3" s="1"/>
  <c r="C537" i="3" s="1"/>
  <c r="C538" i="3" s="1"/>
  <c r="C539" i="3" s="1"/>
  <c r="C540" i="3" s="1"/>
  <c r="C541" i="3" s="1"/>
  <c r="C542" i="3" s="1"/>
  <c r="C543" i="3" s="1"/>
  <c r="C544" i="3" s="1"/>
  <c r="C545" i="3" s="1"/>
  <c r="C546" i="3" s="1"/>
  <c r="C547" i="3" s="1"/>
  <c r="C548" i="3" s="1"/>
  <c r="C549" i="3" s="1"/>
  <c r="C550" i="3" s="1"/>
  <c r="C551" i="3" s="1"/>
  <c r="C552" i="3" s="1"/>
  <c r="C553" i="3" s="1"/>
  <c r="C554" i="3" s="1"/>
  <c r="C555" i="3" s="1"/>
  <c r="C556" i="3" s="1"/>
  <c r="C557" i="3" s="1"/>
  <c r="C558" i="3" s="1"/>
  <c r="C559" i="3" s="1"/>
  <c r="C560" i="3" s="1"/>
  <c r="C561" i="3" s="1"/>
  <c r="C562" i="3" s="1"/>
  <c r="C563" i="3" s="1"/>
  <c r="C564" i="3" s="1"/>
  <c r="C565" i="3" s="1"/>
  <c r="C566" i="3" s="1"/>
  <c r="C567" i="3" s="1"/>
  <c r="C568" i="3" s="1"/>
  <c r="C569" i="3" s="1"/>
  <c r="C570" i="3" s="1"/>
  <c r="C571" i="3" s="1"/>
  <c r="C572" i="3" s="1"/>
  <c r="C573" i="3" s="1"/>
  <c r="C574" i="3" s="1"/>
  <c r="C575" i="3" s="1"/>
  <c r="C576" i="3" s="1"/>
  <c r="C577" i="3" s="1"/>
  <c r="C578" i="3" s="1"/>
  <c r="C579" i="3" s="1"/>
  <c r="C580" i="3" s="1"/>
  <c r="C581" i="3" s="1"/>
  <c r="C582" i="3" s="1"/>
  <c r="C583" i="3" s="1"/>
  <c r="C584" i="3" s="1"/>
  <c r="C585" i="3" s="1"/>
  <c r="C586" i="3" s="1"/>
  <c r="C587" i="3" s="1"/>
  <c r="C588" i="3" s="1"/>
  <c r="C589" i="3" s="1"/>
  <c r="C590" i="3" s="1"/>
  <c r="C591" i="3" s="1"/>
  <c r="C592" i="3" s="1"/>
  <c r="C593" i="3" s="1"/>
  <c r="C594" i="3" s="1"/>
  <c r="C595" i="3" s="1"/>
  <c r="C596" i="3" s="1"/>
  <c r="C597" i="3" s="1"/>
  <c r="C598" i="3" s="1"/>
  <c r="C599" i="3" s="1"/>
  <c r="C600" i="3" s="1"/>
  <c r="C601" i="3" s="1"/>
  <c r="C602" i="3" s="1"/>
  <c r="C603" i="3" s="1"/>
  <c r="C604" i="3" s="1"/>
  <c r="C605" i="3" s="1"/>
  <c r="C606" i="3" s="1"/>
  <c r="C607" i="3" s="1"/>
  <c r="C608" i="3" s="1"/>
  <c r="C609" i="3" s="1"/>
  <c r="C610" i="3" s="1"/>
  <c r="C611" i="3" s="1"/>
  <c r="C612" i="3" s="1"/>
  <c r="C613" i="3" s="1"/>
  <c r="C614" i="3" s="1"/>
  <c r="C615" i="3" s="1"/>
  <c r="C616" i="3" s="1"/>
  <c r="C617" i="3" s="1"/>
  <c r="C618" i="3" s="1"/>
  <c r="C619" i="3" s="1"/>
  <c r="C620" i="3" s="1"/>
  <c r="C621" i="3" s="1"/>
  <c r="C622" i="3" s="1"/>
  <c r="C623" i="3" s="1"/>
  <c r="C624" i="3" s="1"/>
  <c r="C625" i="3" s="1"/>
  <c r="C626" i="3" s="1"/>
  <c r="C627" i="3" s="1"/>
  <c r="C628" i="3" s="1"/>
  <c r="C629" i="3" s="1"/>
  <c r="C630" i="3" s="1"/>
  <c r="C631" i="3" s="1"/>
  <c r="C632" i="3" s="1"/>
  <c r="C633" i="3" s="1"/>
  <c r="C634" i="3" s="1"/>
  <c r="C635" i="3" s="1"/>
  <c r="C636" i="3" s="1"/>
  <c r="C637" i="3" s="1"/>
  <c r="C638" i="3" s="1"/>
  <c r="C639" i="3" s="1"/>
  <c r="C640" i="3" s="1"/>
  <c r="C641" i="3" s="1"/>
  <c r="C642" i="3" s="1"/>
  <c r="C643" i="3" s="1"/>
  <c r="C644" i="3" s="1"/>
  <c r="C645" i="3" s="1"/>
  <c r="C646" i="3" s="1"/>
  <c r="C647" i="3" s="1"/>
  <c r="C648" i="3" s="1"/>
  <c r="C649" i="3" s="1"/>
  <c r="C650" i="3" s="1"/>
  <c r="C651" i="3" s="1"/>
  <c r="C652" i="3" s="1"/>
  <c r="C653" i="3" s="1"/>
  <c r="C654" i="3" s="1"/>
  <c r="C655" i="3" s="1"/>
  <c r="C656" i="3" s="1"/>
  <c r="C657" i="3" s="1"/>
  <c r="C658" i="3" s="1"/>
  <c r="C659" i="3" s="1"/>
  <c r="C660" i="3" s="1"/>
  <c r="C661" i="3" s="1"/>
  <c r="C662" i="3" s="1"/>
  <c r="C663" i="3" s="1"/>
  <c r="C664" i="3" s="1"/>
  <c r="C665" i="3" s="1"/>
  <c r="C666" i="3" s="1"/>
  <c r="C667" i="3" s="1"/>
  <c r="C668" i="3" s="1"/>
  <c r="C669" i="3" s="1"/>
  <c r="C670" i="3" s="1"/>
  <c r="C671" i="3" s="1"/>
  <c r="C672" i="3" s="1"/>
  <c r="C673" i="3" s="1"/>
  <c r="C674" i="3" s="1"/>
  <c r="C675" i="3" s="1"/>
  <c r="C676" i="3" s="1"/>
  <c r="C677" i="3" s="1"/>
  <c r="C678" i="3" s="1"/>
  <c r="C679" i="3" s="1"/>
  <c r="C680" i="3" s="1"/>
  <c r="C681" i="3" s="1"/>
  <c r="C682" i="3" s="1"/>
  <c r="C683" i="3" s="1"/>
  <c r="C684" i="3" s="1"/>
  <c r="C685" i="3" s="1"/>
  <c r="C686" i="3" s="1"/>
  <c r="C687" i="3" s="1"/>
  <c r="C688" i="3" s="1"/>
  <c r="C689" i="3" s="1"/>
  <c r="C690" i="3" s="1"/>
  <c r="C691" i="3" s="1"/>
  <c r="C692" i="3" s="1"/>
  <c r="C693" i="3" s="1"/>
  <c r="C694" i="3" s="1"/>
  <c r="C695" i="3" s="1"/>
  <c r="C696" i="3" s="1"/>
  <c r="C697" i="3" s="1"/>
  <c r="C698" i="3" s="1"/>
  <c r="C699" i="3" s="1"/>
  <c r="C700" i="3" s="1"/>
  <c r="C701" i="3" s="1"/>
  <c r="C702" i="3" s="1"/>
  <c r="C703" i="3" s="1"/>
  <c r="C704" i="3" s="1"/>
  <c r="C705" i="3" s="1"/>
  <c r="C706" i="3" s="1"/>
  <c r="C707" i="3" s="1"/>
  <c r="C708" i="3" s="1"/>
  <c r="C709" i="3" s="1"/>
  <c r="C710" i="3" s="1"/>
  <c r="C711" i="3" s="1"/>
  <c r="C712" i="3" s="1"/>
  <c r="C713" i="3" s="1"/>
  <c r="C714" i="3" s="1"/>
  <c r="C715" i="3" s="1"/>
  <c r="C716" i="3" s="1"/>
  <c r="C717" i="3" s="1"/>
  <c r="C718" i="3" s="1"/>
  <c r="C719" i="3" s="1"/>
  <c r="C720" i="3" s="1"/>
  <c r="C721" i="3" s="1"/>
  <c r="C722" i="3" s="1"/>
  <c r="C723" i="3" s="1"/>
  <c r="C724" i="3" s="1"/>
  <c r="C725" i="3" s="1"/>
  <c r="C726" i="3" s="1"/>
  <c r="C727" i="3" s="1"/>
  <c r="C728" i="3" s="1"/>
  <c r="C729" i="3" s="1"/>
  <c r="C730" i="3" s="1"/>
  <c r="C731" i="3" s="1"/>
  <c r="C732" i="3" s="1"/>
  <c r="C733" i="3" s="1"/>
  <c r="C734" i="3" s="1"/>
  <c r="C735" i="3" s="1"/>
  <c r="C736" i="3" s="1"/>
  <c r="C737" i="3" s="1"/>
  <c r="C738" i="3" s="1"/>
  <c r="C739" i="3" s="1"/>
  <c r="C740" i="3" s="1"/>
  <c r="C741" i="3" s="1"/>
  <c r="C742" i="3" s="1"/>
  <c r="C743" i="3" s="1"/>
  <c r="C744" i="3" s="1"/>
  <c r="C745" i="3" s="1"/>
  <c r="C746" i="3" s="1"/>
  <c r="C747" i="3" s="1"/>
  <c r="C748" i="3" s="1"/>
  <c r="C749" i="3" s="1"/>
  <c r="C750" i="3" s="1"/>
  <c r="C751" i="3" s="1"/>
  <c r="C752" i="3" s="1"/>
  <c r="C753" i="3" s="1"/>
  <c r="C754" i="3" s="1"/>
  <c r="C755" i="3" s="1"/>
  <c r="C756" i="3" s="1"/>
  <c r="C757" i="3" s="1"/>
  <c r="C758" i="3" s="1"/>
  <c r="C759" i="3" s="1"/>
  <c r="C760" i="3" s="1"/>
  <c r="C761" i="3" s="1"/>
  <c r="C762" i="3" s="1"/>
  <c r="C763" i="3" s="1"/>
  <c r="C764" i="3" s="1"/>
  <c r="C765" i="3" s="1"/>
  <c r="C766" i="3" s="1"/>
  <c r="C767" i="3" s="1"/>
  <c r="C768" i="3" s="1"/>
  <c r="C769" i="3" s="1"/>
  <c r="C770" i="3" s="1"/>
  <c r="C771" i="3" s="1"/>
  <c r="C772" i="3" s="1"/>
  <c r="C773" i="3" s="1"/>
  <c r="C774" i="3" s="1"/>
  <c r="C775" i="3" s="1"/>
  <c r="C776" i="3" s="1"/>
  <c r="C777" i="3" s="1"/>
  <c r="C778" i="3" s="1"/>
  <c r="C779" i="3" s="1"/>
  <c r="C780" i="3" s="1"/>
  <c r="C781" i="3" s="1"/>
  <c r="C782" i="3" s="1"/>
  <c r="C783" i="3" s="1"/>
  <c r="C784" i="3" s="1"/>
  <c r="C785" i="3" s="1"/>
  <c r="C786" i="3" s="1"/>
  <c r="C787" i="3" s="1"/>
  <c r="C788" i="3" s="1"/>
  <c r="C789" i="3" s="1"/>
  <c r="C790" i="3" s="1"/>
  <c r="C791" i="3" s="1"/>
  <c r="C792" i="3" s="1"/>
  <c r="C793" i="3" s="1"/>
  <c r="C794" i="3" s="1"/>
  <c r="C795" i="3" s="1"/>
  <c r="C796" i="3" s="1"/>
  <c r="C797" i="3" s="1"/>
  <c r="C798" i="3" s="1"/>
  <c r="C799" i="3" s="1"/>
  <c r="C800" i="3" s="1"/>
  <c r="C801" i="3" s="1"/>
  <c r="C802" i="3" s="1"/>
  <c r="C803" i="3" s="1"/>
  <c r="C804" i="3" s="1"/>
  <c r="C805" i="3" s="1"/>
  <c r="C806" i="3" s="1"/>
  <c r="C807" i="3" s="1"/>
  <c r="C808" i="3" s="1"/>
  <c r="C809" i="3" s="1"/>
  <c r="C810" i="3" s="1"/>
  <c r="C811" i="3" s="1"/>
  <c r="C812" i="3" s="1"/>
  <c r="C813" i="3" s="1"/>
  <c r="C814" i="3" s="1"/>
  <c r="C815" i="3" s="1"/>
  <c r="C816" i="3" s="1"/>
  <c r="C817" i="3" s="1"/>
  <c r="C818" i="3" s="1"/>
  <c r="C819" i="3" s="1"/>
  <c r="C820" i="3" s="1"/>
  <c r="C821" i="3" s="1"/>
  <c r="C822" i="3" s="1"/>
  <c r="C823" i="3" s="1"/>
  <c r="C824" i="3" s="1"/>
  <c r="C825" i="3" s="1"/>
  <c r="C826" i="3" s="1"/>
  <c r="C827" i="3" s="1"/>
  <c r="C828" i="3" s="1"/>
  <c r="C829" i="3" s="1"/>
  <c r="C830" i="3" s="1"/>
  <c r="C831" i="3" s="1"/>
  <c r="C832" i="3" s="1"/>
  <c r="C833" i="3" s="1"/>
  <c r="C834" i="3" s="1"/>
  <c r="C835" i="3" s="1"/>
  <c r="C836" i="3" s="1"/>
  <c r="C837" i="3" s="1"/>
  <c r="C838" i="3" s="1"/>
  <c r="C839" i="3" s="1"/>
  <c r="C840" i="3" s="1"/>
  <c r="C841" i="3" s="1"/>
  <c r="C842" i="3" s="1"/>
  <c r="C843" i="3" s="1"/>
  <c r="C844" i="3" s="1"/>
  <c r="C845" i="3" s="1"/>
  <c r="C846" i="3" s="1"/>
  <c r="C847" i="3" s="1"/>
  <c r="C848" i="3" s="1"/>
  <c r="C849" i="3" s="1"/>
  <c r="C850" i="3" s="1"/>
  <c r="C851" i="3" s="1"/>
  <c r="C852" i="3" s="1"/>
  <c r="C853" i="3" s="1"/>
  <c r="C854" i="3" s="1"/>
  <c r="C855" i="3" s="1"/>
  <c r="C856" i="3" s="1"/>
  <c r="C857" i="3" s="1"/>
  <c r="C858" i="3" s="1"/>
  <c r="C859" i="3" s="1"/>
  <c r="C860" i="3" s="1"/>
  <c r="C861" i="3" s="1"/>
  <c r="C862" i="3" s="1"/>
  <c r="C863" i="3" s="1"/>
  <c r="C864" i="3" s="1"/>
  <c r="C865" i="3" s="1"/>
  <c r="C866" i="3" s="1"/>
  <c r="C867" i="3" s="1"/>
  <c r="C868" i="3" s="1"/>
  <c r="C869" i="3" s="1"/>
  <c r="C870" i="3" s="1"/>
  <c r="C871" i="3" s="1"/>
  <c r="C872" i="3" s="1"/>
  <c r="C873" i="3" s="1"/>
  <c r="C874" i="3" s="1"/>
  <c r="C875" i="3" s="1"/>
  <c r="C876" i="3" s="1"/>
  <c r="C877" i="3" s="1"/>
  <c r="C878" i="3" s="1"/>
  <c r="C879" i="3" s="1"/>
  <c r="C880" i="3" s="1"/>
  <c r="C881" i="3" s="1"/>
  <c r="C882" i="3" s="1"/>
  <c r="C883" i="3" s="1"/>
  <c r="C884" i="3" s="1"/>
  <c r="C885" i="3" s="1"/>
  <c r="C886" i="3" s="1"/>
  <c r="C887" i="3" s="1"/>
  <c r="C888" i="3" s="1"/>
  <c r="C889" i="3" s="1"/>
  <c r="C890" i="3" s="1"/>
  <c r="C891" i="3" s="1"/>
  <c r="C892" i="3" s="1"/>
  <c r="C893" i="3" s="1"/>
  <c r="C894" i="3" s="1"/>
  <c r="C895" i="3" s="1"/>
  <c r="C896" i="3" s="1"/>
  <c r="C897" i="3" s="1"/>
  <c r="C898" i="3" s="1"/>
  <c r="C899" i="3" s="1"/>
  <c r="C900" i="3" s="1"/>
  <c r="C901" i="3" s="1"/>
  <c r="C902" i="3" s="1"/>
  <c r="C903" i="3" s="1"/>
  <c r="C904" i="3" s="1"/>
  <c r="C905" i="3" s="1"/>
  <c r="C906" i="3" s="1"/>
  <c r="C907" i="3" s="1"/>
  <c r="C908" i="3" s="1"/>
  <c r="C909" i="3" s="1"/>
  <c r="C910" i="3" s="1"/>
  <c r="C911" i="3" s="1"/>
  <c r="C912" i="3" s="1"/>
  <c r="C913" i="3" s="1"/>
  <c r="C914" i="3" s="1"/>
  <c r="C915" i="3" s="1"/>
  <c r="C916" i="3" s="1"/>
  <c r="C917" i="3" s="1"/>
  <c r="C918" i="3" s="1"/>
  <c r="C919" i="3" s="1"/>
  <c r="C920" i="3" s="1"/>
  <c r="C921" i="3" s="1"/>
  <c r="C922" i="3" s="1"/>
  <c r="C923" i="3" s="1"/>
  <c r="C924" i="3" s="1"/>
  <c r="C925" i="3" s="1"/>
  <c r="C926" i="3" s="1"/>
  <c r="C927" i="3" s="1"/>
  <c r="C928" i="3" s="1"/>
  <c r="C929" i="3" s="1"/>
  <c r="C930" i="3" s="1"/>
  <c r="C931" i="3" s="1"/>
  <c r="C932" i="3" s="1"/>
  <c r="C933" i="3" s="1"/>
  <c r="C934" i="3" s="1"/>
  <c r="C935" i="3" s="1"/>
  <c r="C936" i="3" s="1"/>
  <c r="C937" i="3" s="1"/>
  <c r="C938" i="3" s="1"/>
  <c r="C939" i="3" s="1"/>
  <c r="C940" i="3" s="1"/>
  <c r="C941" i="3" s="1"/>
  <c r="C942" i="3" s="1"/>
  <c r="C943" i="3" s="1"/>
  <c r="C944" i="3" s="1"/>
  <c r="C945" i="3" s="1"/>
  <c r="C946" i="3" s="1"/>
  <c r="C947" i="3" s="1"/>
  <c r="C948" i="3" s="1"/>
  <c r="C949" i="3" s="1"/>
  <c r="C950" i="3" s="1"/>
  <c r="C951" i="3" s="1"/>
  <c r="C952" i="3" s="1"/>
  <c r="C953" i="3" s="1"/>
  <c r="C954" i="3" s="1"/>
  <c r="C955" i="3" s="1"/>
  <c r="C956" i="3" s="1"/>
  <c r="C957" i="3" s="1"/>
  <c r="C958" i="3" s="1"/>
  <c r="C959" i="3" s="1"/>
  <c r="C960" i="3" s="1"/>
  <c r="C961" i="3" s="1"/>
  <c r="C962" i="3" s="1"/>
  <c r="C963" i="3" s="1"/>
  <c r="C964" i="3" s="1"/>
  <c r="C965" i="3" s="1"/>
  <c r="C966" i="3" s="1"/>
  <c r="C967" i="3" s="1"/>
  <c r="C968" i="3" s="1"/>
  <c r="C969" i="3" s="1"/>
  <c r="C970" i="3" s="1"/>
  <c r="C971" i="3" s="1"/>
  <c r="C972" i="3" s="1"/>
  <c r="C973" i="3" s="1"/>
  <c r="C974" i="3" s="1"/>
  <c r="C975" i="3" s="1"/>
  <c r="C976" i="3" s="1"/>
  <c r="C977" i="3" s="1"/>
  <c r="C978" i="3" s="1"/>
  <c r="C979" i="3" s="1"/>
  <c r="C980" i="3" s="1"/>
  <c r="C981" i="3" s="1"/>
  <c r="C982" i="3" s="1"/>
  <c r="C983" i="3" s="1"/>
  <c r="C984" i="3" s="1"/>
  <c r="C985" i="3" s="1"/>
  <c r="C986" i="3" s="1"/>
  <c r="C987" i="3" s="1"/>
  <c r="C988" i="3" s="1"/>
  <c r="C989" i="3" s="1"/>
  <c r="C990" i="3" s="1"/>
  <c r="C991" i="3" s="1"/>
  <c r="C992" i="3" s="1"/>
  <c r="C993" i="3" s="1"/>
  <c r="C994" i="3" s="1"/>
  <c r="C995" i="3" s="1"/>
  <c r="C996" i="3" s="1"/>
  <c r="C997" i="3" s="1"/>
  <c r="C998" i="3" s="1"/>
  <c r="C999" i="3" s="1"/>
  <c r="C1000" i="3" s="1"/>
  <c r="C1001" i="3" s="1"/>
  <c r="C1002" i="3" s="1"/>
  <c r="C1003" i="3" s="1"/>
  <c r="C1004" i="3" s="1"/>
  <c r="C1005" i="3" s="1"/>
  <c r="C1006" i="3" s="1"/>
  <c r="C1007" i="3" s="1"/>
  <c r="C1008" i="3" s="1"/>
  <c r="C1009" i="3" s="1"/>
  <c r="C1010" i="3" s="1"/>
  <c r="C1011" i="3" s="1"/>
  <c r="C1012" i="3" s="1"/>
  <c r="C1013" i="3" s="1"/>
  <c r="C1014" i="3" s="1"/>
  <c r="C1015" i="3" s="1"/>
  <c r="C1016" i="3" s="1"/>
  <c r="C1017" i="3" s="1"/>
  <c r="C1018" i="3" s="1"/>
  <c r="C1019" i="3" s="1"/>
  <c r="C1020" i="3" s="1"/>
  <c r="C1021" i="3" s="1"/>
  <c r="C1022" i="3" s="1"/>
  <c r="C1023" i="3" s="1"/>
  <c r="C1024" i="3" s="1"/>
  <c r="C1025" i="3" s="1"/>
  <c r="C1026" i="3" s="1"/>
  <c r="C1027" i="3" s="1"/>
  <c r="C1028" i="3" s="1"/>
  <c r="C1029" i="3" s="1"/>
  <c r="C1030" i="3" s="1"/>
  <c r="C1031" i="3" s="1"/>
  <c r="C1032" i="3" s="1"/>
  <c r="C1033" i="3" s="1"/>
  <c r="C1034" i="3" s="1"/>
  <c r="C1035" i="3" s="1"/>
  <c r="C1036" i="3" s="1"/>
  <c r="C1037" i="3" s="1"/>
  <c r="C1038" i="3" s="1"/>
  <c r="C1039" i="3" s="1"/>
  <c r="C1040" i="3" s="1"/>
  <c r="C1041" i="3" s="1"/>
  <c r="C1042" i="3" s="1"/>
  <c r="C1043" i="3" s="1"/>
  <c r="C1044" i="3" s="1"/>
  <c r="C1045" i="3" s="1"/>
  <c r="C1046" i="3" s="1"/>
  <c r="C1047" i="3" s="1"/>
  <c r="C1048" i="3" s="1"/>
  <c r="C1049" i="3" s="1"/>
  <c r="C1050" i="3" s="1"/>
  <c r="C1051" i="3" s="1"/>
  <c r="C1052" i="3" s="1"/>
  <c r="C1053" i="3" s="1"/>
  <c r="C1054" i="3" s="1"/>
  <c r="C1055" i="3" s="1"/>
  <c r="C1056" i="3" s="1"/>
  <c r="C1057" i="3" s="1"/>
  <c r="C1058" i="3" s="1"/>
  <c r="C1059" i="3" s="1"/>
  <c r="C1060" i="3" s="1"/>
  <c r="C1061" i="3" s="1"/>
  <c r="C1062" i="3" s="1"/>
  <c r="C1063" i="3" s="1"/>
  <c r="C1064" i="3" s="1"/>
  <c r="C1065" i="3" s="1"/>
  <c r="C1066" i="3" s="1"/>
  <c r="C1067" i="3" s="1"/>
  <c r="C1068" i="3" s="1"/>
  <c r="C1069" i="3" s="1"/>
  <c r="C1070" i="3" s="1"/>
  <c r="C1071" i="3" s="1"/>
  <c r="C1072" i="3" s="1"/>
  <c r="C1073" i="3" s="1"/>
  <c r="C1074" i="3" s="1"/>
  <c r="C1075" i="3" s="1"/>
  <c r="C1076" i="3" s="1"/>
  <c r="C1077" i="3" s="1"/>
  <c r="C1078" i="3" s="1"/>
  <c r="C1079" i="3" s="1"/>
  <c r="C1080" i="3" s="1"/>
  <c r="C1081" i="3" s="1"/>
  <c r="C1082" i="3" s="1"/>
  <c r="C1083" i="3" s="1"/>
  <c r="C1084" i="3" s="1"/>
  <c r="C1085" i="3" s="1"/>
  <c r="C1086" i="3" s="1"/>
  <c r="C1087" i="3" s="1"/>
  <c r="C1088" i="3" s="1"/>
  <c r="C1089" i="3" s="1"/>
  <c r="C1090" i="3" s="1"/>
  <c r="C1091" i="3" s="1"/>
  <c r="C1092" i="3" s="1"/>
  <c r="C1093" i="3" s="1"/>
  <c r="C1094" i="3" s="1"/>
  <c r="C1095" i="3" s="1"/>
  <c r="C1096" i="3" s="1"/>
  <c r="C1097" i="3" s="1"/>
  <c r="C1098" i="3" s="1"/>
  <c r="C1099" i="3" s="1"/>
  <c r="C1100" i="3" s="1"/>
  <c r="C1101" i="3" s="1"/>
  <c r="C1102" i="3" s="1"/>
  <c r="C1103" i="3" s="1"/>
  <c r="C1104" i="3" s="1"/>
  <c r="C1105" i="3" s="1"/>
  <c r="C1106" i="3" s="1"/>
  <c r="C1107" i="3" s="1"/>
  <c r="C1108" i="3" s="1"/>
  <c r="C1109" i="3" s="1"/>
  <c r="C1110" i="3" s="1"/>
  <c r="C1111" i="3" s="1"/>
  <c r="C1112" i="3" s="1"/>
  <c r="C1113" i="3" s="1"/>
  <c r="C1114" i="3" s="1"/>
  <c r="C1115" i="3" s="1"/>
  <c r="C1116" i="3" s="1"/>
  <c r="C1117" i="3" s="1"/>
  <c r="C1118" i="3" s="1"/>
  <c r="C1119" i="3" s="1"/>
  <c r="C1120" i="3" s="1"/>
  <c r="C1121" i="3" s="1"/>
  <c r="C1122" i="3" s="1"/>
  <c r="C1123" i="3" s="1"/>
  <c r="C1124" i="3" s="1"/>
  <c r="C1125" i="3" s="1"/>
  <c r="C1126" i="3" s="1"/>
  <c r="C1127" i="3" s="1"/>
  <c r="C1128" i="3" s="1"/>
  <c r="C1129" i="3" s="1"/>
  <c r="C1130" i="3" s="1"/>
  <c r="C1131" i="3" s="1"/>
  <c r="C1132" i="3" s="1"/>
  <c r="C1133" i="3" s="1"/>
  <c r="C1134" i="3" s="1"/>
  <c r="C1135" i="3" s="1"/>
  <c r="C1136" i="3" s="1"/>
  <c r="C1137" i="3" s="1"/>
  <c r="C1138" i="3" s="1"/>
  <c r="C1139" i="3" s="1"/>
  <c r="C1140" i="3" s="1"/>
  <c r="C1141" i="3" s="1"/>
  <c r="C1142" i="3" s="1"/>
  <c r="C1143" i="3" s="1"/>
  <c r="C1144" i="3" s="1"/>
  <c r="C1145" i="3" s="1"/>
  <c r="C1146" i="3" s="1"/>
  <c r="C1147" i="3" s="1"/>
  <c r="C1148" i="3" s="1"/>
  <c r="C1149" i="3" s="1"/>
  <c r="C1150" i="3" s="1"/>
  <c r="C1151" i="3" s="1"/>
  <c r="C1152" i="3" s="1"/>
  <c r="C1153" i="3" s="1"/>
  <c r="C1154" i="3" s="1"/>
  <c r="C1155" i="3" s="1"/>
  <c r="C1156" i="3" s="1"/>
  <c r="C1157" i="3" s="1"/>
  <c r="C1158" i="3" s="1"/>
  <c r="C1159" i="3" s="1"/>
  <c r="C1160" i="3" s="1"/>
  <c r="C1161" i="3" s="1"/>
  <c r="C1162" i="3" s="1"/>
  <c r="C1163" i="3" s="1"/>
  <c r="C1164" i="3" s="1"/>
  <c r="C1165" i="3" s="1"/>
  <c r="C1166" i="3" s="1"/>
  <c r="C1167" i="3" s="1"/>
  <c r="C1168" i="3" s="1"/>
  <c r="C1169" i="3" s="1"/>
  <c r="C1170" i="3" s="1"/>
  <c r="C1171" i="3" s="1"/>
  <c r="C1172" i="3" s="1"/>
  <c r="C1173" i="3" s="1"/>
  <c r="C1174" i="3" s="1"/>
  <c r="C1175" i="3" s="1"/>
  <c r="C1176" i="3" s="1"/>
  <c r="C1177" i="3" s="1"/>
  <c r="C1178" i="3" s="1"/>
  <c r="C1179" i="3" s="1"/>
  <c r="C1180" i="3" s="1"/>
  <c r="C1181" i="3" s="1"/>
  <c r="C1182" i="3" s="1"/>
  <c r="C1183" i="3" s="1"/>
  <c r="C1184" i="3" s="1"/>
  <c r="C1185" i="3" s="1"/>
  <c r="C1186" i="3" s="1"/>
  <c r="C1187" i="3" s="1"/>
  <c r="C1188" i="3" s="1"/>
  <c r="C1189" i="3" s="1"/>
  <c r="C1190" i="3" s="1"/>
  <c r="C1191" i="3" s="1"/>
  <c r="C1192" i="3" s="1"/>
  <c r="C1193" i="3" s="1"/>
  <c r="C1194" i="3" s="1"/>
  <c r="C1195" i="3" s="1"/>
  <c r="C1196" i="3" s="1"/>
  <c r="C1197" i="3" s="1"/>
  <c r="C1198" i="3" s="1"/>
  <c r="C1199" i="3" s="1"/>
  <c r="C1200" i="3" s="1"/>
  <c r="C1201" i="3" s="1"/>
  <c r="C1202" i="3" s="1"/>
  <c r="C1203" i="3" s="1"/>
  <c r="C1204" i="3" s="1"/>
  <c r="C1205" i="3" s="1"/>
  <c r="C1206" i="3" s="1"/>
  <c r="C1207" i="3" s="1"/>
  <c r="C1208" i="3" s="1"/>
  <c r="C1209" i="3" s="1"/>
  <c r="C1210" i="3" s="1"/>
  <c r="C1211" i="3" s="1"/>
  <c r="C1212" i="3" s="1"/>
  <c r="C1213" i="3" s="1"/>
  <c r="C1214" i="3" s="1"/>
  <c r="C1215" i="3" s="1"/>
  <c r="C1216" i="3" s="1"/>
  <c r="C1217" i="3" s="1"/>
  <c r="C1218" i="3" s="1"/>
  <c r="C1219" i="3" s="1"/>
  <c r="C1220" i="3" s="1"/>
  <c r="C1221" i="3" s="1"/>
  <c r="C1222" i="3" s="1"/>
  <c r="C1223" i="3" s="1"/>
  <c r="C1224" i="3" s="1"/>
  <c r="C1225" i="3" s="1"/>
  <c r="C1226" i="3" s="1"/>
  <c r="C1227" i="3" s="1"/>
  <c r="C1228" i="3" s="1"/>
  <c r="C1229" i="3" s="1"/>
  <c r="C1230" i="3" s="1"/>
  <c r="C1231" i="3" s="1"/>
  <c r="C1232" i="3" s="1"/>
  <c r="C1233" i="3" s="1"/>
  <c r="C1234" i="3" s="1"/>
  <c r="C1235" i="3" s="1"/>
  <c r="C1236" i="3" s="1"/>
  <c r="C1237" i="3" s="1"/>
  <c r="C1238" i="3" s="1"/>
  <c r="C1239" i="3" s="1"/>
  <c r="C1240" i="3" s="1"/>
  <c r="C1241" i="3" s="1"/>
  <c r="C1242" i="3" s="1"/>
  <c r="C1243" i="3" s="1"/>
  <c r="C1244" i="3" s="1"/>
  <c r="C1245" i="3" s="1"/>
  <c r="C1246" i="3" s="1"/>
  <c r="C1247" i="3" s="1"/>
  <c r="C1248" i="3" s="1"/>
  <c r="C1249" i="3" s="1"/>
  <c r="C1250" i="3" s="1"/>
  <c r="C1251" i="3" s="1"/>
  <c r="C1252" i="3" s="1"/>
  <c r="C1253" i="3" s="1"/>
  <c r="C1254" i="3" s="1"/>
  <c r="C1255" i="3" s="1"/>
  <c r="C1256" i="3" s="1"/>
  <c r="C1257" i="3" s="1"/>
  <c r="C1258" i="3" s="1"/>
  <c r="C1259" i="3" s="1"/>
  <c r="C1260" i="3" s="1"/>
  <c r="C1261" i="3" s="1"/>
  <c r="C1262" i="3" s="1"/>
  <c r="C1263" i="3" s="1"/>
  <c r="C1264" i="3" s="1"/>
  <c r="C1265" i="3" s="1"/>
  <c r="C1266" i="3" s="1"/>
  <c r="C1267" i="3" s="1"/>
  <c r="C1268" i="3" s="1"/>
  <c r="C1269" i="3" s="1"/>
  <c r="C1270" i="3" s="1"/>
  <c r="C1271" i="3" s="1"/>
  <c r="C1272" i="3" s="1"/>
  <c r="C1273" i="3" s="1"/>
  <c r="C1274" i="3" s="1"/>
  <c r="C1275" i="3" s="1"/>
  <c r="C1276" i="3" s="1"/>
  <c r="C1277" i="3" s="1"/>
  <c r="C1278" i="3" s="1"/>
  <c r="C1279" i="3" s="1"/>
  <c r="C1280" i="3" s="1"/>
  <c r="C1281" i="3" s="1"/>
  <c r="C1282" i="3" s="1"/>
  <c r="C1283" i="3" s="1"/>
  <c r="C1284" i="3" s="1"/>
  <c r="C1285" i="3" s="1"/>
  <c r="C1286" i="3" s="1"/>
  <c r="C1287" i="3" s="1"/>
  <c r="C1288" i="3" s="1"/>
  <c r="C1289" i="3" s="1"/>
  <c r="C1290" i="3" s="1"/>
  <c r="C1291" i="3" s="1"/>
  <c r="C1292" i="3" s="1"/>
  <c r="C1293" i="3" s="1"/>
  <c r="C1294" i="3" s="1"/>
  <c r="C1295" i="3" s="1"/>
  <c r="C1296" i="3" s="1"/>
  <c r="C1297" i="3" s="1"/>
  <c r="C1298" i="3" s="1"/>
  <c r="C1299" i="3" s="1"/>
  <c r="C1300" i="3" s="1"/>
  <c r="C1301" i="3" s="1"/>
  <c r="C1302" i="3" s="1"/>
  <c r="C1303" i="3" s="1"/>
  <c r="C1304" i="3" s="1"/>
  <c r="C1305" i="3" s="1"/>
  <c r="C1306" i="3" s="1"/>
  <c r="C1307" i="3" s="1"/>
  <c r="C1308" i="3" s="1"/>
  <c r="C1309" i="3" s="1"/>
  <c r="C1310" i="3" s="1"/>
  <c r="C1311" i="3" s="1"/>
  <c r="C1312" i="3" s="1"/>
  <c r="C1313" i="3" s="1"/>
  <c r="C1314" i="3" s="1"/>
  <c r="C1315" i="3" s="1"/>
  <c r="C1316" i="3" s="1"/>
  <c r="C1317" i="3" s="1"/>
  <c r="C1318" i="3" s="1"/>
  <c r="C1319" i="3" s="1"/>
  <c r="C1320" i="3" s="1"/>
  <c r="C1321" i="3" s="1"/>
  <c r="C1322" i="3" s="1"/>
  <c r="C1323" i="3" s="1"/>
  <c r="C1324" i="3" s="1"/>
  <c r="C1325" i="3" s="1"/>
  <c r="C1326" i="3" s="1"/>
  <c r="C1327" i="3" s="1"/>
  <c r="C1328" i="3" s="1"/>
  <c r="C1329" i="3" s="1"/>
  <c r="C1330" i="3" s="1"/>
  <c r="C1331" i="3" s="1"/>
  <c r="C1332" i="3" s="1"/>
  <c r="C1333" i="3" s="1"/>
  <c r="C1334" i="3" s="1"/>
  <c r="C1335" i="3" s="1"/>
  <c r="C1336" i="3" s="1"/>
  <c r="C1337" i="3" s="1"/>
  <c r="C1338" i="3" s="1"/>
  <c r="C1339" i="3" s="1"/>
  <c r="C1340" i="3" s="1"/>
  <c r="C1341" i="3" s="1"/>
  <c r="C1342" i="3" s="1"/>
  <c r="C1343" i="3" s="1"/>
  <c r="C1344" i="3" s="1"/>
  <c r="C1345" i="3" s="1"/>
  <c r="C1346" i="3" s="1"/>
  <c r="C1347" i="3" s="1"/>
  <c r="C1348" i="3" s="1"/>
  <c r="C1349" i="3" s="1"/>
  <c r="C1350" i="3" s="1"/>
  <c r="C1351" i="3" s="1"/>
  <c r="C1352" i="3" s="1"/>
  <c r="C1353" i="3" s="1"/>
  <c r="C1354" i="3" s="1"/>
  <c r="C1355" i="3" s="1"/>
  <c r="C1356" i="3" s="1"/>
  <c r="C1357" i="3" s="1"/>
  <c r="C1358" i="3" s="1"/>
  <c r="C1359" i="3" s="1"/>
  <c r="C1360" i="3" s="1"/>
  <c r="C1361" i="3" s="1"/>
  <c r="C1362" i="3" s="1"/>
  <c r="C1363" i="3" s="1"/>
  <c r="C1364" i="3" s="1"/>
  <c r="C1365" i="3" s="1"/>
  <c r="C1366" i="3" s="1"/>
  <c r="C1367" i="3" s="1"/>
  <c r="C1368" i="3" s="1"/>
  <c r="C1369" i="3" s="1"/>
  <c r="C1370" i="3" s="1"/>
  <c r="C1371" i="3" s="1"/>
  <c r="C1372" i="3" s="1"/>
  <c r="C1373" i="3" s="1"/>
  <c r="C1374" i="3" s="1"/>
  <c r="C1375" i="3" s="1"/>
  <c r="C1376" i="3" s="1"/>
  <c r="C1377" i="3" s="1"/>
  <c r="C1378" i="3" s="1"/>
  <c r="C1379" i="3" s="1"/>
  <c r="C1380" i="3" s="1"/>
  <c r="C1381" i="3" s="1"/>
  <c r="C1382" i="3" s="1"/>
  <c r="C1383" i="3" s="1"/>
  <c r="C1384" i="3" s="1"/>
  <c r="C1385" i="3" s="1"/>
  <c r="C1386" i="3" s="1"/>
  <c r="C1387" i="3" s="1"/>
  <c r="C1388" i="3" s="1"/>
  <c r="C1389" i="3" s="1"/>
  <c r="C1390" i="3" s="1"/>
  <c r="C1391" i="3" s="1"/>
  <c r="C1392" i="3" s="1"/>
  <c r="C1393" i="3" s="1"/>
  <c r="C1394" i="3" s="1"/>
  <c r="C1395" i="3" s="1"/>
  <c r="C1396" i="3" s="1"/>
  <c r="C1397" i="3" s="1"/>
  <c r="C1398" i="3" s="1"/>
  <c r="C1399" i="3" s="1"/>
  <c r="C1400" i="3" s="1"/>
  <c r="C1401" i="3" s="1"/>
  <c r="C1402" i="3" s="1"/>
  <c r="C1403" i="3" s="1"/>
  <c r="C1404" i="3" s="1"/>
  <c r="C1405" i="3" s="1"/>
  <c r="C1406" i="3" s="1"/>
  <c r="C1407" i="3" s="1"/>
  <c r="C1408" i="3" s="1"/>
  <c r="C1409" i="3" s="1"/>
  <c r="C1410" i="3" s="1"/>
  <c r="C1411" i="3" s="1"/>
  <c r="C1412" i="3" s="1"/>
  <c r="C1413" i="3" s="1"/>
  <c r="C1414" i="3" s="1"/>
  <c r="C1415" i="3" s="1"/>
  <c r="C1416" i="3" s="1"/>
  <c r="C1417" i="3" s="1"/>
  <c r="C1418" i="3" s="1"/>
  <c r="C1419" i="3" s="1"/>
  <c r="C1420" i="3" s="1"/>
  <c r="C1421" i="3" s="1"/>
  <c r="C1422" i="3" s="1"/>
  <c r="C1423" i="3" s="1"/>
  <c r="C1424" i="3" s="1"/>
  <c r="C1425" i="3" s="1"/>
  <c r="C1426" i="3" s="1"/>
  <c r="C1427" i="3" s="1"/>
  <c r="C1428" i="3" s="1"/>
  <c r="C1429" i="3" s="1"/>
  <c r="C1430" i="3" s="1"/>
  <c r="C1431" i="3" s="1"/>
  <c r="C1432" i="3" s="1"/>
  <c r="C1433" i="3" s="1"/>
  <c r="C1434" i="3" s="1"/>
  <c r="C1435" i="3" s="1"/>
  <c r="C1436" i="3" s="1"/>
  <c r="C1437" i="3" s="1"/>
  <c r="C1438" i="3" s="1"/>
  <c r="C1439" i="3" s="1"/>
  <c r="C1440" i="3" s="1"/>
  <c r="C1441" i="3" s="1"/>
  <c r="C1442" i="3" s="1"/>
  <c r="C1443" i="3" s="1"/>
  <c r="C1444" i="3" s="1"/>
  <c r="C1445" i="3" s="1"/>
  <c r="C1446" i="3" s="1"/>
  <c r="C1447" i="3" s="1"/>
  <c r="C1448" i="3" s="1"/>
  <c r="C1449" i="3" s="1"/>
  <c r="C1450" i="3" s="1"/>
  <c r="C1451" i="3" s="1"/>
  <c r="C1452" i="3" s="1"/>
  <c r="C1453" i="3" s="1"/>
  <c r="C1454" i="3" s="1"/>
  <c r="C1455" i="3" s="1"/>
  <c r="C1456" i="3" s="1"/>
  <c r="C1457" i="3" s="1"/>
  <c r="C1458" i="3" s="1"/>
  <c r="C1459" i="3" s="1"/>
  <c r="C1460" i="3" s="1"/>
  <c r="C1461" i="3" s="1"/>
  <c r="C1462" i="3" s="1"/>
  <c r="C1463" i="3" s="1"/>
  <c r="C1464" i="3" s="1"/>
  <c r="C1465" i="3" s="1"/>
  <c r="C1466" i="3" s="1"/>
  <c r="C1467" i="3" s="1"/>
  <c r="C1468" i="3" s="1"/>
  <c r="C1469" i="3" s="1"/>
  <c r="C1470" i="3" s="1"/>
  <c r="C1471" i="3" s="1"/>
  <c r="C1472" i="3" s="1"/>
  <c r="C1473" i="3" s="1"/>
  <c r="C1474" i="3" s="1"/>
  <c r="C1475" i="3" s="1"/>
  <c r="C1476" i="3" s="1"/>
  <c r="C1477" i="3" s="1"/>
  <c r="C1478" i="3" s="1"/>
  <c r="C1479" i="3" s="1"/>
  <c r="C1480" i="3" s="1"/>
  <c r="C1481" i="3" s="1"/>
  <c r="C1482" i="3" s="1"/>
  <c r="C1483" i="3" s="1"/>
  <c r="C1484" i="3" s="1"/>
  <c r="C1485" i="3" s="1"/>
  <c r="C1486" i="3" s="1"/>
  <c r="C1487" i="3" s="1"/>
  <c r="C1488" i="3" s="1"/>
  <c r="C1489" i="3" s="1"/>
  <c r="C1490" i="3" s="1"/>
  <c r="C1491" i="3" s="1"/>
  <c r="C1492" i="3" s="1"/>
  <c r="C1493" i="3" s="1"/>
  <c r="C1494" i="3" s="1"/>
  <c r="C1495" i="3" s="1"/>
  <c r="C1496" i="3" s="1"/>
  <c r="C1497" i="3" s="1"/>
  <c r="C1498" i="3" s="1"/>
  <c r="C1499" i="3" s="1"/>
  <c r="C1500" i="3" s="1"/>
  <c r="C1501" i="3" s="1"/>
  <c r="C1502" i="3" s="1"/>
  <c r="C1503" i="3" s="1"/>
  <c r="C1504" i="3" s="1"/>
  <c r="C1505" i="3" s="1"/>
  <c r="C1506" i="3" s="1"/>
  <c r="C1507" i="3" s="1"/>
  <c r="C1508" i="3" s="1"/>
  <c r="C1509" i="3" s="1"/>
  <c r="C1510" i="3" s="1"/>
  <c r="C1511" i="3" s="1"/>
  <c r="C1512" i="3" s="1"/>
  <c r="C1513" i="3" s="1"/>
  <c r="C1514" i="3" s="1"/>
  <c r="C1515" i="3" s="1"/>
  <c r="C1516" i="3" s="1"/>
  <c r="C1517" i="3" s="1"/>
  <c r="C1518" i="3" s="1"/>
  <c r="C1519" i="3" s="1"/>
  <c r="C1520" i="3" s="1"/>
  <c r="C1521" i="3" s="1"/>
  <c r="C1522" i="3" s="1"/>
  <c r="C1523" i="3" s="1"/>
  <c r="C1524" i="3" s="1"/>
  <c r="C1525" i="3" s="1"/>
  <c r="C1526" i="3" s="1"/>
  <c r="C1527" i="3" s="1"/>
  <c r="C1528" i="3" s="1"/>
  <c r="C1529" i="3" s="1"/>
  <c r="C1530" i="3" s="1"/>
  <c r="C1531" i="3" s="1"/>
  <c r="C1532" i="3" s="1"/>
  <c r="C1533" i="3" s="1"/>
  <c r="C1534" i="3" s="1"/>
  <c r="C1535" i="3" s="1"/>
  <c r="C1536" i="3" s="1"/>
  <c r="C1537" i="3" s="1"/>
  <c r="C1538" i="3" s="1"/>
  <c r="C1539" i="3" s="1"/>
  <c r="C1540" i="3" s="1"/>
  <c r="C1541" i="3" s="1"/>
  <c r="C1542" i="3" s="1"/>
  <c r="C1543" i="3" s="1"/>
  <c r="C1544" i="3" s="1"/>
  <c r="C1545" i="3" s="1"/>
  <c r="C1546" i="3" s="1"/>
  <c r="C1547" i="3" s="1"/>
  <c r="C1548" i="3" s="1"/>
  <c r="C1549" i="3" s="1"/>
  <c r="C1550" i="3" s="1"/>
  <c r="C1551" i="3" s="1"/>
  <c r="C1552" i="3" s="1"/>
  <c r="C1553" i="3" s="1"/>
  <c r="C1554" i="3" s="1"/>
  <c r="C1555" i="3" s="1"/>
  <c r="C1556" i="3" s="1"/>
  <c r="C1557" i="3" s="1"/>
  <c r="C1558" i="3" s="1"/>
  <c r="C1559" i="3" s="1"/>
  <c r="C1560" i="3" s="1"/>
  <c r="C1561" i="3" s="1"/>
  <c r="C1562" i="3" s="1"/>
  <c r="C1563" i="3" s="1"/>
  <c r="C1564" i="3" s="1"/>
  <c r="C1565" i="3" s="1"/>
  <c r="C1566" i="3" s="1"/>
  <c r="C1567" i="3" s="1"/>
  <c r="C1568" i="3" s="1"/>
  <c r="C1569" i="3" s="1"/>
  <c r="C1570" i="3" s="1"/>
  <c r="C1571" i="3" s="1"/>
  <c r="C1572" i="3" s="1"/>
  <c r="C1573" i="3" s="1"/>
  <c r="C1574" i="3" s="1"/>
  <c r="C1575" i="3" s="1"/>
  <c r="C1576" i="3" s="1"/>
  <c r="C1577" i="3" s="1"/>
  <c r="C1578" i="3" s="1"/>
  <c r="C1579" i="3" s="1"/>
  <c r="C1580" i="3" s="1"/>
  <c r="C1581" i="3" s="1"/>
  <c r="C1582" i="3" s="1"/>
  <c r="C1583" i="3" s="1"/>
  <c r="C1584" i="3" s="1"/>
  <c r="C1585" i="3" s="1"/>
  <c r="C1586" i="3" s="1"/>
  <c r="C1587" i="3" s="1"/>
  <c r="C1588" i="3" s="1"/>
  <c r="C1589" i="3" s="1"/>
  <c r="C1590" i="3" s="1"/>
  <c r="C1591" i="3" s="1"/>
  <c r="C1592" i="3" s="1"/>
  <c r="C1593" i="3" s="1"/>
  <c r="C1594" i="3" s="1"/>
  <c r="C1595" i="3" s="1"/>
  <c r="C1596" i="3" s="1"/>
  <c r="C1597" i="3" s="1"/>
  <c r="C1598" i="3" s="1"/>
  <c r="C1599" i="3" s="1"/>
  <c r="C1600" i="3" s="1"/>
  <c r="C1601" i="3" s="1"/>
  <c r="C1602" i="3" s="1"/>
  <c r="C1603" i="3" s="1"/>
  <c r="C1604" i="3" s="1"/>
  <c r="C1605" i="3" s="1"/>
  <c r="C1606" i="3" s="1"/>
  <c r="C1607" i="3" s="1"/>
  <c r="C1608" i="3" s="1"/>
  <c r="C1609" i="3" s="1"/>
  <c r="C1610" i="3" s="1"/>
  <c r="C1611" i="3" s="1"/>
  <c r="C1612" i="3" s="1"/>
  <c r="C1613" i="3" s="1"/>
  <c r="C1614" i="3" s="1"/>
  <c r="C1615" i="3" s="1"/>
  <c r="C1616" i="3" s="1"/>
  <c r="C1617" i="3" s="1"/>
  <c r="C1618" i="3" s="1"/>
  <c r="C1619" i="3" s="1"/>
  <c r="C1620" i="3" s="1"/>
  <c r="C1621" i="3" s="1"/>
  <c r="C1622" i="3" s="1"/>
  <c r="C1623" i="3" s="1"/>
  <c r="C1624" i="3" s="1"/>
  <c r="C1625" i="3" s="1"/>
  <c r="C1626" i="3" s="1"/>
  <c r="C1627" i="3" s="1"/>
  <c r="C1628" i="3" s="1"/>
  <c r="C1629" i="3" s="1"/>
  <c r="C1630" i="3" s="1"/>
  <c r="C1631" i="3" s="1"/>
  <c r="C1632" i="3" s="1"/>
  <c r="C1633" i="3" s="1"/>
  <c r="C1634" i="3" s="1"/>
  <c r="C1635" i="3" s="1"/>
  <c r="C1636" i="3" s="1"/>
  <c r="C1637" i="3" s="1"/>
  <c r="C1638" i="3" s="1"/>
  <c r="C1639" i="3" s="1"/>
  <c r="C1640" i="3" s="1"/>
  <c r="C1641" i="3" s="1"/>
  <c r="C1642" i="3" s="1"/>
  <c r="C1643" i="3" s="1"/>
  <c r="C1644" i="3" s="1"/>
  <c r="C1645" i="3" s="1"/>
  <c r="C1646" i="3" s="1"/>
  <c r="C1647" i="3" s="1"/>
  <c r="C1648" i="3" s="1"/>
  <c r="C1649" i="3" s="1"/>
  <c r="C1650" i="3" s="1"/>
  <c r="C1651" i="3" s="1"/>
  <c r="C1652" i="3" s="1"/>
  <c r="C1653" i="3" s="1"/>
  <c r="C1654" i="3" s="1"/>
  <c r="C1655" i="3" s="1"/>
  <c r="C1656" i="3" s="1"/>
  <c r="C1657" i="3" s="1"/>
  <c r="C1658" i="3" s="1"/>
  <c r="C1659" i="3" s="1"/>
  <c r="C1660" i="3" s="1"/>
  <c r="C1661" i="3" s="1"/>
  <c r="C1662" i="3" s="1"/>
  <c r="C1663" i="3" s="1"/>
  <c r="C1664" i="3" s="1"/>
  <c r="C1665" i="3" s="1"/>
  <c r="C1666" i="3" s="1"/>
  <c r="C1667" i="3" s="1"/>
  <c r="C1668" i="3" s="1"/>
  <c r="C1669" i="3" s="1"/>
  <c r="C1670" i="3" s="1"/>
  <c r="C1671" i="3" s="1"/>
  <c r="C1672" i="3" s="1"/>
  <c r="C1673" i="3" s="1"/>
  <c r="C1674" i="3" s="1"/>
  <c r="C1675" i="3" s="1"/>
  <c r="C1676" i="3" s="1"/>
  <c r="C1677" i="3" s="1"/>
  <c r="C1678" i="3" s="1"/>
  <c r="C1679" i="3" s="1"/>
  <c r="C1680" i="3" s="1"/>
  <c r="C1681" i="3" s="1"/>
  <c r="C1682" i="3" s="1"/>
  <c r="C1683" i="3" s="1"/>
  <c r="C1684" i="3" s="1"/>
  <c r="C1685" i="3" s="1"/>
  <c r="C1686" i="3" s="1"/>
  <c r="C1687" i="3" s="1"/>
  <c r="C1688" i="3" s="1"/>
  <c r="C1689" i="3" s="1"/>
  <c r="C1690" i="3" s="1"/>
  <c r="C1691" i="3" s="1"/>
  <c r="C1692" i="3" s="1"/>
  <c r="C1693" i="3" s="1"/>
  <c r="C1694" i="3" s="1"/>
  <c r="C1695" i="3" s="1"/>
  <c r="C1696" i="3" s="1"/>
  <c r="C1697" i="3" s="1"/>
  <c r="C1698" i="3" s="1"/>
  <c r="C1699" i="3" s="1"/>
  <c r="C1700" i="3" s="1"/>
  <c r="C1701" i="3" s="1"/>
  <c r="C1702" i="3" s="1"/>
  <c r="C1703" i="3" s="1"/>
  <c r="C1704" i="3" s="1"/>
  <c r="C1705" i="3" s="1"/>
  <c r="C1706" i="3" s="1"/>
  <c r="C1707" i="3" s="1"/>
  <c r="C1708" i="3" s="1"/>
  <c r="C1709" i="3" s="1"/>
  <c r="C1710" i="3" s="1"/>
  <c r="C1711" i="3" s="1"/>
  <c r="C1712" i="3" s="1"/>
  <c r="C1713" i="3" s="1"/>
  <c r="C1714" i="3" s="1"/>
  <c r="C1715" i="3" s="1"/>
  <c r="C1716" i="3" s="1"/>
  <c r="C1717" i="3" s="1"/>
  <c r="C1718" i="3" s="1"/>
  <c r="C1719" i="3" s="1"/>
  <c r="C1720" i="3" s="1"/>
  <c r="C1721" i="3" s="1"/>
  <c r="C1722" i="3" s="1"/>
  <c r="C1723" i="3" s="1"/>
  <c r="C1724" i="3" s="1"/>
  <c r="C1725" i="3" s="1"/>
  <c r="C1726" i="3" s="1"/>
  <c r="C1727" i="3" s="1"/>
  <c r="C1728" i="3" s="1"/>
  <c r="C1729" i="3" s="1"/>
  <c r="C1730" i="3" s="1"/>
  <c r="C1731" i="3" s="1"/>
  <c r="C1732" i="3" s="1"/>
  <c r="C1733" i="3" s="1"/>
  <c r="C1734" i="3" s="1"/>
  <c r="C1735" i="3" s="1"/>
  <c r="C1736" i="3" s="1"/>
  <c r="C1737" i="3" s="1"/>
  <c r="C1738" i="3" s="1"/>
  <c r="C1739" i="3" s="1"/>
  <c r="C1740" i="3" s="1"/>
  <c r="C1741" i="3" s="1"/>
  <c r="C1742" i="3" s="1"/>
  <c r="C1743" i="3" s="1"/>
  <c r="C1744" i="3" s="1"/>
  <c r="C1745" i="3" s="1"/>
  <c r="C1746" i="3" s="1"/>
  <c r="C1747" i="3" s="1"/>
  <c r="C1748" i="3" s="1"/>
  <c r="C1749" i="3" s="1"/>
  <c r="C1750" i="3" s="1"/>
  <c r="C1751" i="3" s="1"/>
  <c r="C1752" i="3" s="1"/>
  <c r="C1753" i="3" s="1"/>
  <c r="C1754" i="3" s="1"/>
  <c r="C1755" i="3" s="1"/>
  <c r="C1756" i="3" s="1"/>
  <c r="C1757" i="3" s="1"/>
  <c r="C1758" i="3" s="1"/>
  <c r="C1759" i="3" s="1"/>
  <c r="C1760" i="3" s="1"/>
  <c r="C1761" i="3" s="1"/>
  <c r="C1762" i="3" s="1"/>
  <c r="C1763" i="3" s="1"/>
  <c r="C1764" i="3" s="1"/>
  <c r="C1765" i="3" s="1"/>
  <c r="C1766" i="3" s="1"/>
  <c r="C1767" i="3" s="1"/>
  <c r="C1768" i="3" s="1"/>
  <c r="C1769" i="3" s="1"/>
  <c r="C1770" i="3" s="1"/>
  <c r="C1771" i="3" s="1"/>
  <c r="C1772" i="3" s="1"/>
  <c r="C1773" i="3" s="1"/>
  <c r="C1774" i="3" s="1"/>
  <c r="C1775" i="3" s="1"/>
  <c r="C1776" i="3" s="1"/>
  <c r="C1777" i="3" s="1"/>
  <c r="C1778" i="3" s="1"/>
  <c r="C1779" i="3" s="1"/>
  <c r="C1780" i="3" s="1"/>
  <c r="C1781" i="3" s="1"/>
  <c r="C1782" i="3" s="1"/>
  <c r="C1783" i="3" s="1"/>
  <c r="C1784" i="3" s="1"/>
  <c r="C1785" i="3" s="1"/>
  <c r="C1786" i="3" s="1"/>
  <c r="C1787" i="3" s="1"/>
  <c r="C1788" i="3" s="1"/>
  <c r="C1789" i="3" s="1"/>
  <c r="C1790" i="3" s="1"/>
  <c r="C1791" i="3" s="1"/>
  <c r="C1792" i="3" s="1"/>
  <c r="C1793" i="3" s="1"/>
  <c r="C1794" i="3" s="1"/>
  <c r="C1795" i="3" s="1"/>
  <c r="C1796" i="3" s="1"/>
  <c r="C1797" i="3" s="1"/>
  <c r="C1798" i="3" s="1"/>
  <c r="C1799" i="3" s="1"/>
  <c r="C1800" i="3" s="1"/>
  <c r="C1801" i="3" s="1"/>
  <c r="C1802" i="3" s="1"/>
  <c r="C1803" i="3" s="1"/>
  <c r="C1804" i="3" s="1"/>
  <c r="C1805" i="3" s="1"/>
  <c r="C1806" i="3" s="1"/>
  <c r="C1807" i="3" s="1"/>
  <c r="C1808" i="3" s="1"/>
  <c r="C1809" i="3" s="1"/>
  <c r="C1810" i="3" s="1"/>
  <c r="C1811" i="3" s="1"/>
  <c r="C1812" i="3" s="1"/>
  <c r="C1813" i="3" s="1"/>
  <c r="C1814" i="3" s="1"/>
  <c r="C1815" i="3" s="1"/>
  <c r="C1816" i="3" s="1"/>
  <c r="C1817" i="3" s="1"/>
  <c r="C1818" i="3" s="1"/>
  <c r="C1819" i="3" s="1"/>
  <c r="C1820" i="3" s="1"/>
  <c r="C1821" i="3" s="1"/>
  <c r="C1822" i="3" s="1"/>
  <c r="C1823" i="3" s="1"/>
  <c r="C1824" i="3" s="1"/>
  <c r="C1825" i="3" s="1"/>
  <c r="C1826" i="3" s="1"/>
  <c r="C1827" i="3" s="1"/>
  <c r="C1828" i="3" s="1"/>
  <c r="C1829" i="3" s="1"/>
  <c r="C1830" i="3" s="1"/>
  <c r="C1831" i="3" s="1"/>
  <c r="C1832" i="3" s="1"/>
  <c r="C1833" i="3" s="1"/>
  <c r="C1834" i="3" s="1"/>
  <c r="C1835" i="3" s="1"/>
  <c r="C1836" i="3" s="1"/>
  <c r="C1837" i="3" s="1"/>
  <c r="C1838" i="3" s="1"/>
  <c r="C1839" i="3" s="1"/>
  <c r="C1840" i="3" s="1"/>
  <c r="C1841" i="3" s="1"/>
  <c r="C1842" i="3" s="1"/>
  <c r="C1843" i="3" s="1"/>
  <c r="C1844" i="3" s="1"/>
  <c r="C1845" i="3" s="1"/>
  <c r="C1846" i="3" s="1"/>
  <c r="C1847" i="3" s="1"/>
  <c r="C1848" i="3" s="1"/>
  <c r="C1849" i="3" s="1"/>
  <c r="C1850" i="3" s="1"/>
  <c r="C1851" i="3" s="1"/>
  <c r="C1852" i="3" s="1"/>
  <c r="C1853" i="3" s="1"/>
  <c r="C1854" i="3" s="1"/>
  <c r="C1855" i="3" s="1"/>
  <c r="C1856" i="3" s="1"/>
  <c r="C1857" i="3" s="1"/>
  <c r="C1858" i="3" s="1"/>
  <c r="C1859" i="3" s="1"/>
  <c r="C1860" i="3" s="1"/>
  <c r="C1861" i="3" s="1"/>
  <c r="C1862" i="3" s="1"/>
  <c r="C1863" i="3" s="1"/>
  <c r="C1864" i="3" s="1"/>
  <c r="C1865" i="3" s="1"/>
  <c r="C1866" i="3" s="1"/>
  <c r="C1867" i="3" s="1"/>
  <c r="C1868" i="3" s="1"/>
  <c r="C1869" i="3" s="1"/>
  <c r="C1870" i="3" s="1"/>
  <c r="C1871" i="3" s="1"/>
  <c r="C1872" i="3" s="1"/>
  <c r="C1873" i="3" s="1"/>
  <c r="C1874" i="3" s="1"/>
  <c r="C1875" i="3" s="1"/>
  <c r="C1876" i="3" s="1"/>
  <c r="C1877" i="3" s="1"/>
  <c r="C1878" i="3" s="1"/>
  <c r="C1879" i="3" s="1"/>
  <c r="C1880" i="3" s="1"/>
  <c r="C1881" i="3" s="1"/>
  <c r="C1882" i="3" s="1"/>
  <c r="C1883" i="3" s="1"/>
  <c r="C1884" i="3" s="1"/>
  <c r="C1885" i="3" s="1"/>
  <c r="C1886" i="3" s="1"/>
  <c r="C1887" i="3" s="1"/>
  <c r="C1888" i="3" s="1"/>
  <c r="C1889" i="3" s="1"/>
  <c r="C1890" i="3" s="1"/>
  <c r="C1891" i="3" s="1"/>
  <c r="C1892" i="3" s="1"/>
  <c r="C1893" i="3" s="1"/>
  <c r="C1894" i="3" s="1"/>
  <c r="C1895" i="3" s="1"/>
  <c r="C1896" i="3" s="1"/>
  <c r="C1897" i="3" s="1"/>
  <c r="C1898" i="3" s="1"/>
  <c r="C1899" i="3" s="1"/>
  <c r="C1900" i="3" s="1"/>
  <c r="C1901" i="3" s="1"/>
  <c r="C1902" i="3" s="1"/>
  <c r="C1903" i="3" s="1"/>
  <c r="C1904" i="3" s="1"/>
  <c r="C1905" i="3" s="1"/>
  <c r="C1906" i="3" s="1"/>
  <c r="C1907" i="3" s="1"/>
  <c r="C1908" i="3" s="1"/>
  <c r="C1909" i="3" s="1"/>
  <c r="C1910" i="3" s="1"/>
  <c r="C1911" i="3" s="1"/>
  <c r="C1912" i="3" s="1"/>
  <c r="C1913" i="3" s="1"/>
  <c r="C1914" i="3" s="1"/>
  <c r="C1915" i="3" s="1"/>
  <c r="C1916" i="3" s="1"/>
  <c r="C1917" i="3" s="1"/>
  <c r="C1918" i="3" s="1"/>
  <c r="C1919" i="3" s="1"/>
  <c r="C1920" i="3" s="1"/>
  <c r="C1921" i="3" s="1"/>
  <c r="C1922" i="3" s="1"/>
  <c r="C1923" i="3" s="1"/>
  <c r="C1924" i="3" s="1"/>
  <c r="C1925" i="3" s="1"/>
  <c r="C1926" i="3" s="1"/>
  <c r="C1927" i="3" s="1"/>
  <c r="C1928" i="3" s="1"/>
  <c r="C1929" i="3" s="1"/>
  <c r="C1930" i="3" s="1"/>
  <c r="C1931" i="3" s="1"/>
  <c r="C1932" i="3" s="1"/>
  <c r="C1933" i="3" s="1"/>
  <c r="C1934" i="3" s="1"/>
  <c r="C1935" i="3" s="1"/>
  <c r="C1936" i="3" s="1"/>
  <c r="C1937" i="3" s="1"/>
  <c r="C1938" i="3" s="1"/>
  <c r="C1939" i="3" s="1"/>
  <c r="C1940" i="3" s="1"/>
  <c r="C1941" i="3" s="1"/>
  <c r="C1942" i="3" s="1"/>
  <c r="C1943" i="3" s="1"/>
  <c r="C1944" i="3" s="1"/>
  <c r="C1945" i="3" s="1"/>
  <c r="C1946" i="3" s="1"/>
  <c r="C1947" i="3" s="1"/>
  <c r="C1948" i="3" s="1"/>
  <c r="C1949" i="3" s="1"/>
  <c r="C1950" i="3" s="1"/>
  <c r="C1951" i="3" s="1"/>
  <c r="C1952" i="3" s="1"/>
  <c r="C1953" i="3" s="1"/>
  <c r="C1954" i="3" s="1"/>
  <c r="C1955" i="3" s="1"/>
  <c r="C1956" i="3" s="1"/>
  <c r="C1957" i="3" s="1"/>
  <c r="C1958" i="3" s="1"/>
  <c r="C1959" i="3" s="1"/>
  <c r="C1960" i="3" s="1"/>
  <c r="C1961" i="3" s="1"/>
  <c r="C1962" i="3" s="1"/>
  <c r="C1963" i="3" s="1"/>
  <c r="C1964" i="3" s="1"/>
  <c r="C1965" i="3" s="1"/>
  <c r="C1966" i="3" s="1"/>
  <c r="C1967" i="3" s="1"/>
  <c r="C1968" i="3" s="1"/>
  <c r="C1969" i="3" s="1"/>
  <c r="C1970" i="3" s="1"/>
  <c r="C1971" i="3" s="1"/>
  <c r="C1972" i="3" s="1"/>
  <c r="C1973" i="3" s="1"/>
  <c r="C1974" i="3" s="1"/>
  <c r="C1975" i="3" s="1"/>
  <c r="C1976" i="3" s="1"/>
  <c r="C1977" i="3" s="1"/>
  <c r="C1978" i="3" s="1"/>
  <c r="C1979" i="3" s="1"/>
  <c r="C1980" i="3" s="1"/>
  <c r="C1981" i="3" s="1"/>
  <c r="C1982" i="3" s="1"/>
  <c r="C156" i="3"/>
  <c r="C157" i="3" s="1"/>
  <c r="C158" i="3" s="1"/>
  <c r="C159" i="3" s="1"/>
  <c r="C160" i="3" s="1"/>
  <c r="C161" i="3" s="1"/>
  <c r="C162" i="3" s="1"/>
  <c r="C163" i="3" s="1"/>
  <c r="C164" i="3" s="1"/>
  <c r="C165" i="3" s="1"/>
  <c r="C166" i="3" s="1"/>
  <c r="C167" i="3" s="1"/>
  <c r="C168" i="3" s="1"/>
  <c r="C169" i="3" s="1"/>
  <c r="B156" i="3"/>
  <c r="B157" i="3" s="1"/>
  <c r="B158" i="3" s="1"/>
  <c r="B159" i="3" s="1"/>
  <c r="B160" i="3" s="1"/>
  <c r="B161" i="3" s="1"/>
  <c r="B162" i="3" s="1"/>
  <c r="B163" i="3" s="1"/>
  <c r="B164" i="3" s="1"/>
  <c r="B165" i="3" s="1"/>
  <c r="B166" i="3" s="1"/>
  <c r="B167" i="3" s="1"/>
  <c r="B168" i="3" s="1"/>
  <c r="B169" i="3" s="1"/>
  <c r="C146" i="3"/>
  <c r="C147" i="3" s="1"/>
  <c r="C148" i="3" s="1"/>
  <c r="C149" i="3" s="1"/>
  <c r="C150" i="3" s="1"/>
  <c r="C151" i="3" s="1"/>
  <c r="C152" i="3" s="1"/>
  <c r="C153" i="3" s="1"/>
  <c r="C154" i="3" s="1"/>
  <c r="C155" i="3" s="1"/>
  <c r="B146" i="3"/>
  <c r="B147" i="3" s="1"/>
  <c r="B148" i="3" s="1"/>
  <c r="B149" i="3" s="1"/>
  <c r="B150" i="3" s="1"/>
  <c r="B151" i="3" s="1"/>
  <c r="B152" i="3" s="1"/>
  <c r="B153" i="3" s="1"/>
  <c r="B154" i="3" s="1"/>
  <c r="B155" i="3" s="1"/>
  <c r="C133" i="3"/>
  <c r="C134" i="3" s="1"/>
  <c r="C135" i="3" s="1"/>
  <c r="C136" i="3" s="1"/>
  <c r="C137" i="3" s="1"/>
  <c r="C138" i="3" s="1"/>
  <c r="C139" i="3" s="1"/>
  <c r="C140" i="3" s="1"/>
  <c r="C141" i="3" s="1"/>
  <c r="C142" i="3" s="1"/>
  <c r="C143" i="3" s="1"/>
  <c r="C144" i="3" s="1"/>
  <c r="C145" i="3" s="1"/>
  <c r="B133" i="3"/>
  <c r="B134" i="3" s="1"/>
  <c r="B135" i="3" s="1"/>
  <c r="B136" i="3" s="1"/>
  <c r="B137" i="3" s="1"/>
  <c r="B138" i="3" s="1"/>
  <c r="B139" i="3" s="1"/>
  <c r="B140" i="3" s="1"/>
  <c r="B141" i="3" s="1"/>
  <c r="B142" i="3" s="1"/>
  <c r="B143" i="3" s="1"/>
  <c r="B144" i="3" s="1"/>
  <c r="B145" i="3" s="1"/>
  <c r="C120" i="3"/>
  <c r="C121" i="3" s="1"/>
  <c r="C122" i="3" s="1"/>
  <c r="C123" i="3" s="1"/>
  <c r="C124" i="3" s="1"/>
  <c r="C125" i="3" s="1"/>
  <c r="C126" i="3" s="1"/>
  <c r="C127" i="3" s="1"/>
  <c r="C128" i="3" s="1"/>
  <c r="C129" i="3" s="1"/>
  <c r="C130" i="3" s="1"/>
  <c r="C131" i="3" s="1"/>
  <c r="C132" i="3" s="1"/>
  <c r="B120" i="3"/>
  <c r="B121" i="3" s="1"/>
  <c r="B122" i="3" s="1"/>
  <c r="B123" i="3" s="1"/>
  <c r="B124" i="3" s="1"/>
  <c r="B125" i="3" s="1"/>
  <c r="B126" i="3" s="1"/>
  <c r="B127" i="3" s="1"/>
  <c r="B128" i="3" s="1"/>
  <c r="B129" i="3" s="1"/>
  <c r="B130" i="3" s="1"/>
  <c r="B131" i="3" s="1"/>
  <c r="B132" i="3" s="1"/>
  <c r="C107" i="3"/>
  <c r="C108" i="3" s="1"/>
  <c r="C109" i="3" s="1"/>
  <c r="C110" i="3" s="1"/>
  <c r="C111" i="3" s="1"/>
  <c r="C112" i="3" s="1"/>
  <c r="C113" i="3" s="1"/>
  <c r="C114" i="3" s="1"/>
  <c r="C115" i="3" s="1"/>
  <c r="C116" i="3" s="1"/>
  <c r="C117" i="3" s="1"/>
  <c r="C118" i="3" s="1"/>
  <c r="C119" i="3" s="1"/>
  <c r="B107" i="3"/>
  <c r="B108" i="3" s="1"/>
  <c r="B109" i="3" s="1"/>
  <c r="B110" i="3" s="1"/>
  <c r="B111" i="3" s="1"/>
  <c r="B112" i="3" s="1"/>
  <c r="B113" i="3" s="1"/>
  <c r="B114" i="3" s="1"/>
  <c r="B115" i="3" s="1"/>
  <c r="B116" i="3" s="1"/>
  <c r="B117" i="3" s="1"/>
  <c r="B118" i="3" s="1"/>
  <c r="B119" i="3" s="1"/>
  <c r="C96" i="3"/>
  <c r="C97" i="3" s="1"/>
  <c r="C98" i="3" s="1"/>
  <c r="C99" i="3" s="1"/>
  <c r="C100" i="3" s="1"/>
  <c r="C101" i="3" s="1"/>
  <c r="C102" i="3" s="1"/>
  <c r="C103" i="3" s="1"/>
  <c r="C104" i="3" s="1"/>
  <c r="C105" i="3" s="1"/>
  <c r="C106" i="3" s="1"/>
  <c r="B96" i="3"/>
  <c r="B97" i="3" s="1"/>
  <c r="B98" i="3" s="1"/>
  <c r="B99" i="3" s="1"/>
  <c r="B100" i="3" s="1"/>
  <c r="B101" i="3" s="1"/>
  <c r="B102" i="3" s="1"/>
  <c r="B103" i="3" s="1"/>
  <c r="B104" i="3" s="1"/>
  <c r="B105" i="3" s="1"/>
  <c r="B106" i="3" s="1"/>
  <c r="C83" i="3"/>
  <c r="C84" i="3" s="1"/>
  <c r="C85" i="3" s="1"/>
  <c r="C86" i="3" s="1"/>
  <c r="C87" i="3" s="1"/>
  <c r="C88" i="3" s="1"/>
  <c r="C89" i="3" s="1"/>
  <c r="C90" i="3" s="1"/>
  <c r="C91" i="3" s="1"/>
  <c r="C92" i="3" s="1"/>
  <c r="C93" i="3" s="1"/>
  <c r="C94" i="3" s="1"/>
  <c r="C95" i="3" s="1"/>
  <c r="B83" i="3"/>
  <c r="B84" i="3" s="1"/>
  <c r="B85" i="3" s="1"/>
  <c r="B86" i="3" s="1"/>
  <c r="B87" i="3" s="1"/>
  <c r="B88" i="3" s="1"/>
  <c r="B89" i="3" s="1"/>
  <c r="B90" i="3" s="1"/>
  <c r="B91" i="3" s="1"/>
  <c r="B92" i="3" s="1"/>
  <c r="B93" i="3" s="1"/>
  <c r="B94" i="3" s="1"/>
  <c r="B95" i="3" s="1"/>
  <c r="C72" i="3"/>
  <c r="C73" i="3" s="1"/>
  <c r="C74" i="3" s="1"/>
  <c r="C75" i="3" s="1"/>
  <c r="C76" i="3" s="1"/>
  <c r="C77" i="3" s="1"/>
  <c r="C78" i="3" s="1"/>
  <c r="C79" i="3" s="1"/>
  <c r="C80" i="3" s="1"/>
  <c r="C81" i="3" s="1"/>
  <c r="C82" i="3" s="1"/>
  <c r="B72" i="3"/>
  <c r="B73" i="3" s="1"/>
  <c r="B74" i="3" s="1"/>
  <c r="B75" i="3" s="1"/>
  <c r="B76" i="3" s="1"/>
  <c r="B77" i="3" s="1"/>
  <c r="B78" i="3" s="1"/>
  <c r="B79" i="3" s="1"/>
  <c r="B80" i="3" s="1"/>
  <c r="B81" i="3" s="1"/>
  <c r="B82" i="3" s="1"/>
  <c r="C50" i="3"/>
  <c r="C51" i="3" s="1"/>
  <c r="C52" i="3" s="1"/>
  <c r="C53" i="3" s="1"/>
  <c r="C54" i="3" s="1"/>
  <c r="C55" i="3" s="1"/>
  <c r="C56" i="3" s="1"/>
  <c r="C57" i="3" s="1"/>
  <c r="C58" i="3" s="1"/>
  <c r="C59" i="3" s="1"/>
  <c r="C60" i="3" s="1"/>
  <c r="C61" i="3" s="1"/>
  <c r="B50" i="3"/>
  <c r="B51" i="3" s="1"/>
  <c r="B52" i="3" s="1"/>
  <c r="B53" i="3" s="1"/>
  <c r="B54" i="3" s="1"/>
  <c r="B55" i="3" s="1"/>
  <c r="B56" i="3" s="1"/>
  <c r="B57" i="3" s="1"/>
  <c r="B58" i="3" s="1"/>
  <c r="B59" i="3" s="1"/>
  <c r="B60" i="3" s="1"/>
  <c r="B61" i="3" s="1"/>
  <c r="C37" i="3"/>
  <c r="C38" i="3" s="1"/>
  <c r="C39" i="3" s="1"/>
  <c r="C40" i="3" s="1"/>
  <c r="C41" i="3" s="1"/>
  <c r="C42" i="3" s="1"/>
  <c r="C43" i="3" s="1"/>
  <c r="C44" i="3" s="1"/>
  <c r="C45" i="3" s="1"/>
  <c r="C46" i="3" s="1"/>
  <c r="C47" i="3" s="1"/>
  <c r="C48" i="3" s="1"/>
  <c r="C49" i="3" s="1"/>
  <c r="B37" i="3"/>
  <c r="B38" i="3" s="1"/>
  <c r="B39" i="3" s="1"/>
  <c r="B40" i="3" s="1"/>
  <c r="B41" i="3" s="1"/>
  <c r="B42" i="3" s="1"/>
  <c r="B43" i="3" s="1"/>
  <c r="B44" i="3" s="1"/>
  <c r="B45" i="3" s="1"/>
  <c r="B46" i="3" s="1"/>
  <c r="B47" i="3" s="1"/>
  <c r="B48" i="3" s="1"/>
  <c r="B49" i="3" s="1"/>
  <c r="C3" i="3"/>
  <c r="C4" i="3" s="1"/>
  <c r="C5" i="3" s="1"/>
  <c r="C6" i="3" s="1"/>
  <c r="C7" i="3" s="1"/>
  <c r="C8" i="3" s="1"/>
  <c r="C9" i="3" s="1"/>
  <c r="C10" i="3" s="1"/>
  <c r="C11" i="3" s="1"/>
  <c r="C12" i="3" s="1"/>
  <c r="C13" i="3" s="1"/>
  <c r="C14" i="3" s="1"/>
  <c r="C15" i="3" s="1"/>
  <c r="C16" i="3" s="1"/>
  <c r="C17" i="3" s="1"/>
  <c r="C18" i="3" s="1"/>
  <c r="C19" i="3" s="1"/>
  <c r="C20" i="3" s="1"/>
  <c r="C21" i="3" s="1"/>
  <c r="C22" i="3" s="1"/>
  <c r="C23" i="3" s="1"/>
  <c r="C24" i="3" s="1"/>
  <c r="B3" i="3"/>
  <c r="B4" i="3" s="1"/>
  <c r="B5" i="3" s="1"/>
  <c r="B6" i="3" s="1"/>
  <c r="B7" i="3" s="1"/>
  <c r="B8" i="3" s="1"/>
  <c r="B9" i="3" s="1"/>
  <c r="B10" i="3" s="1"/>
  <c r="B11" i="3" s="1"/>
  <c r="B12" i="3" s="1"/>
  <c r="B13" i="3" s="1"/>
  <c r="B14" i="3" s="1"/>
  <c r="B15" i="3" s="1"/>
  <c r="B16" i="3" s="1"/>
  <c r="B17" i="3" s="1"/>
  <c r="B18" i="3" s="1"/>
  <c r="B19" i="3" s="1"/>
  <c r="B20" i="3" s="1"/>
  <c r="B21" i="3" s="1"/>
  <c r="B22" i="3" s="1"/>
  <c r="B23" i="3" s="1"/>
  <c r="B24" i="3" s="1"/>
  <c r="B170" i="3" l="1"/>
  <c r="B171" i="3" s="1"/>
  <c r="B172" i="3" s="1"/>
  <c r="B173" i="3" s="1"/>
  <c r="B174" i="3" s="1"/>
  <c r="B175" i="3" s="1"/>
  <c r="B176" i="3" s="1"/>
  <c r="B177" i="3" s="1"/>
  <c r="B178" i="3" s="1"/>
  <c r="B179" i="3" s="1"/>
  <c r="B180" i="3" s="1"/>
  <c r="B181" i="3" s="1"/>
  <c r="B182" i="3" s="1"/>
  <c r="B183" i="3" s="1"/>
  <c r="B184" i="3" s="1"/>
  <c r="B185" i="3" s="1"/>
  <c r="B186" i="3" s="1"/>
  <c r="B187" i="3" s="1"/>
  <c r="B188" i="3" s="1"/>
  <c r="B189" i="3" s="1"/>
  <c r="B190" i="3" s="1"/>
  <c r="B191" i="3" s="1"/>
  <c r="B192" i="3" s="1"/>
  <c r="B193" i="3" s="1"/>
  <c r="B194" i="3" s="1"/>
  <c r="B195" i="3" s="1"/>
  <c r="B196" i="3" s="1"/>
  <c r="B197" i="3" s="1"/>
  <c r="B198" i="3" s="1"/>
  <c r="B199" i="3" s="1"/>
  <c r="B200" i="3" s="1"/>
  <c r="B201" i="3" s="1"/>
  <c r="B202" i="3" s="1"/>
  <c r="B203" i="3" s="1"/>
  <c r="B204" i="3" s="1"/>
  <c r="B205" i="3" s="1"/>
  <c r="B206" i="3" s="1"/>
  <c r="B207" i="3" s="1"/>
  <c r="B208" i="3" s="1"/>
  <c r="B209" i="3" s="1"/>
  <c r="B210" i="3" s="1"/>
  <c r="B211" i="3" s="1"/>
  <c r="B212" i="3" s="1"/>
  <c r="B213" i="3" s="1"/>
  <c r="B214" i="3" s="1"/>
  <c r="B215" i="3" s="1"/>
  <c r="B216" i="3" s="1"/>
  <c r="B217" i="3" s="1"/>
  <c r="B218" i="3" s="1"/>
  <c r="B219" i="3" s="1"/>
  <c r="B220" i="3" s="1"/>
  <c r="B221" i="3" s="1"/>
  <c r="B222" i="3" s="1"/>
  <c r="B223" i="3" s="1"/>
  <c r="B224" i="3" s="1"/>
  <c r="B225" i="3" s="1"/>
  <c r="B226" i="3" s="1"/>
  <c r="B227" i="3" s="1"/>
  <c r="B228" i="3" s="1"/>
  <c r="B229" i="3" s="1"/>
  <c r="B230" i="3" s="1"/>
  <c r="B231" i="3" s="1"/>
  <c r="B232" i="3" s="1"/>
  <c r="B233" i="3" s="1"/>
  <c r="B234" i="3" s="1"/>
  <c r="B235" i="3" s="1"/>
  <c r="B236" i="3" s="1"/>
  <c r="B237" i="3" s="1"/>
  <c r="B238" i="3" s="1"/>
  <c r="B239" i="3" s="1"/>
  <c r="B240" i="3" s="1"/>
  <c r="B241" i="3" s="1"/>
  <c r="B242" i="3" s="1"/>
  <c r="B243" i="3" s="1"/>
  <c r="B244" i="3" s="1"/>
  <c r="B245" i="3" s="1"/>
  <c r="B246" i="3" s="1"/>
  <c r="B247" i="3" s="1"/>
  <c r="B248" i="3" s="1"/>
  <c r="B249" i="3" s="1"/>
  <c r="B250" i="3" s="1"/>
  <c r="B251" i="3" s="1"/>
  <c r="B252" i="3" s="1"/>
  <c r="B253" i="3" s="1"/>
  <c r="B254" i="3" s="1"/>
  <c r="B255" i="3" s="1"/>
  <c r="B256" i="3" s="1"/>
  <c r="B257" i="3" s="1"/>
  <c r="B258" i="3" s="1"/>
  <c r="B259" i="3" s="1"/>
  <c r="B260" i="3" s="1"/>
  <c r="B261" i="3" s="1"/>
  <c r="B262" i="3" s="1"/>
  <c r="B263" i="3" s="1"/>
  <c r="B264" i="3" s="1"/>
  <c r="B265" i="3" s="1"/>
  <c r="B266" i="3" s="1"/>
  <c r="B267" i="3" s="1"/>
  <c r="B268" i="3" s="1"/>
  <c r="B269" i="3" s="1"/>
  <c r="B270" i="3" s="1"/>
  <c r="B271" i="3" s="1"/>
  <c r="B272" i="3" s="1"/>
  <c r="B273" i="3" s="1"/>
  <c r="B274" i="3" s="1"/>
  <c r="B275" i="3" s="1"/>
  <c r="B276" i="3" s="1"/>
  <c r="B277" i="3" s="1"/>
  <c r="B278" i="3" s="1"/>
  <c r="B279" i="3" s="1"/>
  <c r="B280" i="3" s="1"/>
  <c r="B281" i="3" s="1"/>
  <c r="B282" i="3" s="1"/>
  <c r="B283" i="3" s="1"/>
  <c r="B284" i="3" s="1"/>
  <c r="B285" i="3" s="1"/>
  <c r="B286" i="3" s="1"/>
  <c r="B287" i="3" s="1"/>
  <c r="B288" i="3" s="1"/>
  <c r="B289" i="3" s="1"/>
  <c r="B290" i="3" s="1"/>
  <c r="B291" i="3" s="1"/>
  <c r="B292" i="3" s="1"/>
  <c r="B293" i="3" s="1"/>
  <c r="B294" i="3" s="1"/>
  <c r="B295" i="3" s="1"/>
  <c r="B296" i="3" s="1"/>
  <c r="B297" i="3" s="1"/>
  <c r="B298" i="3" s="1"/>
  <c r="B299" i="3" s="1"/>
  <c r="B300" i="3" s="1"/>
  <c r="B301" i="3" s="1"/>
  <c r="B302" i="3" s="1"/>
  <c r="B303" i="3" s="1"/>
  <c r="B304" i="3" s="1"/>
  <c r="B305" i="3" s="1"/>
  <c r="B306" i="3" s="1"/>
  <c r="B307" i="3" s="1"/>
  <c r="B308" i="3" s="1"/>
  <c r="B309" i="3" s="1"/>
  <c r="B310" i="3" s="1"/>
  <c r="B311" i="3" s="1"/>
  <c r="B312" i="3" s="1"/>
  <c r="B313" i="3" s="1"/>
  <c r="B314" i="3" s="1"/>
  <c r="B315" i="3" s="1"/>
  <c r="B316" i="3" s="1"/>
  <c r="B317" i="3" s="1"/>
  <c r="B318" i="3" s="1"/>
  <c r="B319" i="3" s="1"/>
  <c r="B320" i="3" s="1"/>
  <c r="B321" i="3" s="1"/>
  <c r="B322" i="3" s="1"/>
  <c r="B323" i="3" s="1"/>
  <c r="B324" i="3" s="1"/>
  <c r="B325" i="3" s="1"/>
  <c r="B326" i="3" s="1"/>
  <c r="B327" i="3" s="1"/>
  <c r="B328" i="3" s="1"/>
  <c r="B329" i="3" s="1"/>
  <c r="B330" i="3" s="1"/>
  <c r="B331" i="3" s="1"/>
  <c r="B332" i="3" s="1"/>
  <c r="B333" i="3" s="1"/>
  <c r="B334" i="3" s="1"/>
  <c r="B335" i="3" s="1"/>
  <c r="B336" i="3" s="1"/>
  <c r="B337" i="3" s="1"/>
  <c r="B338" i="3" s="1"/>
  <c r="B339" i="3" s="1"/>
  <c r="B340" i="3" s="1"/>
  <c r="B341" i="3" s="1"/>
  <c r="B342" i="3" s="1"/>
  <c r="B343" i="3" s="1"/>
  <c r="B344" i="3" s="1"/>
  <c r="B345" i="3" s="1"/>
  <c r="B346" i="3" s="1"/>
  <c r="B347" i="3" s="1"/>
  <c r="B348" i="3" s="1"/>
  <c r="B349" i="3" s="1"/>
  <c r="B350" i="3" s="1"/>
  <c r="B351" i="3" s="1"/>
  <c r="B352" i="3" s="1"/>
  <c r="B353" i="3" s="1"/>
  <c r="B354" i="3" s="1"/>
  <c r="B355" i="3" s="1"/>
  <c r="B356" i="3" s="1"/>
  <c r="B357" i="3" s="1"/>
  <c r="B358" i="3" s="1"/>
  <c r="B359" i="3" s="1"/>
  <c r="B360" i="3" s="1"/>
  <c r="B361" i="3" s="1"/>
  <c r="B362" i="3" s="1"/>
  <c r="B363" i="3" s="1"/>
  <c r="B364" i="3" s="1"/>
  <c r="B365" i="3" s="1"/>
  <c r="B366" i="3" s="1"/>
  <c r="B367" i="3" s="1"/>
  <c r="B368" i="3" s="1"/>
  <c r="B369" i="3" s="1"/>
  <c r="B370" i="3" s="1"/>
  <c r="B371" i="3" s="1"/>
  <c r="B372" i="3" s="1"/>
  <c r="B373" i="3" s="1"/>
  <c r="B374" i="3" s="1"/>
  <c r="B375" i="3" s="1"/>
  <c r="B376" i="3" s="1"/>
  <c r="B377" i="3" s="1"/>
  <c r="B378" i="3" s="1"/>
  <c r="B379" i="3" s="1"/>
  <c r="B380" i="3" s="1"/>
  <c r="B381" i="3" s="1"/>
  <c r="B382" i="3" s="1"/>
  <c r="B383" i="3" s="1"/>
  <c r="B384" i="3" s="1"/>
  <c r="B385" i="3" s="1"/>
  <c r="B386" i="3" s="1"/>
  <c r="B387" i="3" s="1"/>
  <c r="B388" i="3" s="1"/>
  <c r="B389" i="3" s="1"/>
  <c r="B390" i="3" s="1"/>
  <c r="B391" i="3" s="1"/>
  <c r="B392" i="3" s="1"/>
  <c r="B393" i="3" s="1"/>
  <c r="B394" i="3" s="1"/>
  <c r="B395" i="3" s="1"/>
  <c r="B396" i="3" s="1"/>
  <c r="B397" i="3" s="1"/>
  <c r="B398" i="3" s="1"/>
  <c r="B399" i="3" s="1"/>
  <c r="B400" i="3" s="1"/>
  <c r="B401" i="3" s="1"/>
  <c r="B402" i="3" s="1"/>
  <c r="B403" i="3" s="1"/>
  <c r="B404" i="3" s="1"/>
  <c r="B405" i="3" s="1"/>
  <c r="B406" i="3" s="1"/>
  <c r="B407" i="3" s="1"/>
  <c r="B408" i="3" s="1"/>
  <c r="B409" i="3" s="1"/>
  <c r="B410" i="3" s="1"/>
  <c r="B411" i="3" s="1"/>
  <c r="B412" i="3" s="1"/>
  <c r="B413" i="3" s="1"/>
  <c r="B414" i="3" s="1"/>
  <c r="B415" i="3" s="1"/>
  <c r="B416" i="3" s="1"/>
  <c r="B417" i="3" s="1"/>
  <c r="B418" i="3" s="1"/>
  <c r="B419" i="3" s="1"/>
  <c r="B420" i="3" s="1"/>
  <c r="B421" i="3" s="1"/>
  <c r="B422" i="3" s="1"/>
  <c r="B423" i="3" s="1"/>
  <c r="B424" i="3" s="1"/>
  <c r="B425" i="3" s="1"/>
  <c r="B426" i="3" s="1"/>
  <c r="B427" i="3" s="1"/>
  <c r="B428" i="3" s="1"/>
  <c r="B429" i="3" s="1"/>
  <c r="B430" i="3" s="1"/>
  <c r="B431" i="3" s="1"/>
  <c r="B432" i="3" s="1"/>
  <c r="B433" i="3" s="1"/>
  <c r="B434" i="3" s="1"/>
  <c r="B435" i="3" s="1"/>
  <c r="B436" i="3" s="1"/>
  <c r="B437" i="3" s="1"/>
  <c r="B438" i="3" s="1"/>
  <c r="B439" i="3" s="1"/>
  <c r="B440" i="3" s="1"/>
  <c r="B441" i="3" s="1"/>
  <c r="B442" i="3" s="1"/>
  <c r="B443" i="3" s="1"/>
  <c r="B444" i="3" s="1"/>
  <c r="B445" i="3" s="1"/>
  <c r="B446" i="3" s="1"/>
  <c r="B447" i="3" s="1"/>
  <c r="B448" i="3" s="1"/>
  <c r="B449" i="3" s="1"/>
  <c r="B450" i="3" s="1"/>
  <c r="B451" i="3" s="1"/>
  <c r="B452" i="3" s="1"/>
  <c r="B453" i="3" s="1"/>
  <c r="B454" i="3" s="1"/>
  <c r="B455" i="3" s="1"/>
  <c r="B456" i="3" s="1"/>
  <c r="B457" i="3" s="1"/>
  <c r="B458" i="3" s="1"/>
  <c r="B459" i="3" s="1"/>
  <c r="B460" i="3" s="1"/>
  <c r="B461" i="3" s="1"/>
  <c r="B462" i="3" s="1"/>
  <c r="B463" i="3" s="1"/>
  <c r="B464" i="3" s="1"/>
  <c r="B465" i="3" s="1"/>
  <c r="B466" i="3" s="1"/>
  <c r="B467" i="3" s="1"/>
  <c r="B468" i="3" s="1"/>
  <c r="B469" i="3" s="1"/>
  <c r="B470" i="3" s="1"/>
  <c r="B471" i="3" s="1"/>
  <c r="B472" i="3" s="1"/>
  <c r="B473" i="3" s="1"/>
  <c r="B474" i="3" s="1"/>
  <c r="B475" i="3" s="1"/>
  <c r="B476" i="3" s="1"/>
  <c r="B477" i="3" s="1"/>
  <c r="B478" i="3" s="1"/>
  <c r="B479" i="3" s="1"/>
  <c r="B480" i="3" s="1"/>
  <c r="B481" i="3" s="1"/>
  <c r="B482" i="3" s="1"/>
  <c r="B483" i="3" s="1"/>
  <c r="B484" i="3" s="1"/>
  <c r="B485" i="3" s="1"/>
  <c r="B486" i="3" s="1"/>
  <c r="B487" i="3" s="1"/>
  <c r="B488" i="3" s="1"/>
  <c r="B489" i="3" s="1"/>
  <c r="B490" i="3" s="1"/>
  <c r="B491" i="3" s="1"/>
  <c r="B492" i="3" s="1"/>
  <c r="B493" i="3" s="1"/>
  <c r="B494" i="3" s="1"/>
  <c r="B495" i="3" s="1"/>
  <c r="B496" i="3" s="1"/>
  <c r="B497" i="3" s="1"/>
  <c r="B498" i="3" s="1"/>
  <c r="B499" i="3" s="1"/>
  <c r="B500" i="3" s="1"/>
  <c r="B501" i="3" s="1"/>
  <c r="B502" i="3" s="1"/>
  <c r="B503" i="3" s="1"/>
  <c r="B504" i="3" s="1"/>
  <c r="B505" i="3" s="1"/>
  <c r="B506" i="3" s="1"/>
  <c r="B507" i="3" s="1"/>
  <c r="B508" i="3" s="1"/>
  <c r="B509" i="3" s="1"/>
  <c r="B510" i="3" s="1"/>
  <c r="B511" i="3" s="1"/>
  <c r="B512" i="3" s="1"/>
  <c r="B513" i="3" s="1"/>
  <c r="B514" i="3" s="1"/>
  <c r="B515" i="3" s="1"/>
  <c r="B516" i="3" s="1"/>
  <c r="B517" i="3" s="1"/>
  <c r="B518" i="3" s="1"/>
  <c r="B519" i="3" s="1"/>
  <c r="B520" i="3" s="1"/>
  <c r="B521" i="3" s="1"/>
  <c r="B522" i="3" s="1"/>
  <c r="B523" i="3" s="1"/>
  <c r="B524" i="3" s="1"/>
  <c r="B525" i="3" s="1"/>
  <c r="B526" i="3" s="1"/>
  <c r="B527" i="3" s="1"/>
  <c r="B528" i="3" s="1"/>
  <c r="B529" i="3" s="1"/>
  <c r="B530" i="3" s="1"/>
  <c r="B531" i="3" s="1"/>
  <c r="B532" i="3" s="1"/>
  <c r="B533" i="3" s="1"/>
  <c r="B534" i="3" s="1"/>
  <c r="B535" i="3" s="1"/>
  <c r="B536" i="3" s="1"/>
  <c r="B537" i="3" s="1"/>
  <c r="B538" i="3" s="1"/>
  <c r="B539" i="3" s="1"/>
  <c r="B540" i="3" s="1"/>
  <c r="B541" i="3" s="1"/>
  <c r="B542" i="3" s="1"/>
  <c r="B543" i="3" s="1"/>
  <c r="B544" i="3" s="1"/>
  <c r="B545" i="3" s="1"/>
  <c r="B546" i="3" s="1"/>
  <c r="B547" i="3" s="1"/>
  <c r="B548" i="3" s="1"/>
  <c r="B549" i="3" s="1"/>
  <c r="B550" i="3" s="1"/>
  <c r="B551" i="3" s="1"/>
  <c r="B552" i="3" s="1"/>
  <c r="B553" i="3" s="1"/>
  <c r="B554" i="3" s="1"/>
  <c r="B555" i="3" s="1"/>
  <c r="B556" i="3" s="1"/>
  <c r="B557" i="3" s="1"/>
  <c r="B558" i="3" s="1"/>
  <c r="B559" i="3" s="1"/>
  <c r="B560" i="3" s="1"/>
  <c r="B561" i="3" s="1"/>
  <c r="B562" i="3" s="1"/>
  <c r="B563" i="3" s="1"/>
  <c r="B564" i="3" s="1"/>
  <c r="B565" i="3" s="1"/>
  <c r="B566" i="3" s="1"/>
  <c r="B567" i="3" s="1"/>
  <c r="B568" i="3" s="1"/>
  <c r="B569" i="3" s="1"/>
  <c r="B570" i="3" s="1"/>
  <c r="B571" i="3" s="1"/>
  <c r="B572" i="3" s="1"/>
  <c r="B573" i="3" s="1"/>
  <c r="B574" i="3" s="1"/>
  <c r="B575" i="3" s="1"/>
  <c r="B576" i="3" s="1"/>
  <c r="B577" i="3" s="1"/>
  <c r="B578" i="3" s="1"/>
  <c r="B579" i="3" s="1"/>
  <c r="B580" i="3" s="1"/>
  <c r="B581" i="3" s="1"/>
  <c r="B582" i="3" s="1"/>
  <c r="B583" i="3" s="1"/>
  <c r="B584" i="3" s="1"/>
  <c r="B585" i="3" s="1"/>
  <c r="B586" i="3" s="1"/>
  <c r="B587" i="3" s="1"/>
  <c r="B588" i="3" s="1"/>
  <c r="B589" i="3" s="1"/>
  <c r="B590" i="3" s="1"/>
  <c r="B591" i="3" s="1"/>
  <c r="B592" i="3" s="1"/>
  <c r="B593" i="3" s="1"/>
  <c r="B594" i="3" s="1"/>
  <c r="B595" i="3" s="1"/>
  <c r="B596" i="3" s="1"/>
  <c r="B597" i="3" s="1"/>
  <c r="B598" i="3" s="1"/>
  <c r="B599" i="3" s="1"/>
  <c r="B600" i="3" s="1"/>
  <c r="B601" i="3" s="1"/>
  <c r="B602" i="3" s="1"/>
  <c r="B603" i="3" s="1"/>
  <c r="B604" i="3" s="1"/>
  <c r="B605" i="3" s="1"/>
  <c r="B606" i="3" s="1"/>
  <c r="B607" i="3" s="1"/>
  <c r="B608" i="3" s="1"/>
  <c r="B609" i="3" s="1"/>
  <c r="B610" i="3" s="1"/>
  <c r="B611" i="3" s="1"/>
  <c r="B612" i="3" s="1"/>
  <c r="B613" i="3" s="1"/>
  <c r="B614" i="3" s="1"/>
  <c r="B615" i="3" s="1"/>
  <c r="B616" i="3" s="1"/>
  <c r="B617" i="3" s="1"/>
  <c r="B618" i="3" s="1"/>
  <c r="B619" i="3" s="1"/>
  <c r="B620" i="3" s="1"/>
  <c r="B621" i="3" s="1"/>
  <c r="B622" i="3" s="1"/>
  <c r="B623" i="3" s="1"/>
  <c r="B624" i="3" s="1"/>
  <c r="B625" i="3" s="1"/>
  <c r="B626" i="3" s="1"/>
  <c r="B627" i="3" s="1"/>
  <c r="B628" i="3" s="1"/>
  <c r="B629" i="3" s="1"/>
  <c r="B630" i="3" s="1"/>
  <c r="B631" i="3" s="1"/>
  <c r="B632" i="3" s="1"/>
  <c r="B633" i="3" s="1"/>
  <c r="B634" i="3" s="1"/>
  <c r="B635" i="3" s="1"/>
  <c r="B636" i="3" s="1"/>
  <c r="B637" i="3" s="1"/>
  <c r="B638" i="3" s="1"/>
  <c r="B639" i="3" s="1"/>
  <c r="B640" i="3" s="1"/>
  <c r="B641" i="3" s="1"/>
  <c r="B642" i="3" s="1"/>
  <c r="B643" i="3" s="1"/>
  <c r="B644" i="3" s="1"/>
  <c r="B645" i="3" s="1"/>
  <c r="B646" i="3" s="1"/>
  <c r="B647" i="3" s="1"/>
  <c r="B648" i="3" s="1"/>
  <c r="B649" i="3" s="1"/>
  <c r="B650" i="3" s="1"/>
  <c r="B651" i="3" s="1"/>
  <c r="B652" i="3" s="1"/>
  <c r="B653" i="3" s="1"/>
  <c r="B654" i="3" s="1"/>
  <c r="B655" i="3" s="1"/>
  <c r="B656" i="3" s="1"/>
  <c r="B657" i="3" s="1"/>
  <c r="B658" i="3" s="1"/>
  <c r="B659" i="3" s="1"/>
  <c r="B660" i="3" s="1"/>
  <c r="B661" i="3" s="1"/>
  <c r="B662" i="3" s="1"/>
  <c r="B663" i="3" s="1"/>
  <c r="B664" i="3" s="1"/>
  <c r="B665" i="3" s="1"/>
  <c r="B666" i="3" s="1"/>
  <c r="B667" i="3" s="1"/>
  <c r="B668" i="3" s="1"/>
  <c r="B669" i="3" s="1"/>
  <c r="B670" i="3" s="1"/>
  <c r="B671" i="3" s="1"/>
  <c r="B672" i="3" s="1"/>
  <c r="B673" i="3" s="1"/>
  <c r="B674" i="3" s="1"/>
  <c r="B675" i="3" s="1"/>
  <c r="B676" i="3" s="1"/>
  <c r="B677" i="3" s="1"/>
  <c r="B678" i="3" s="1"/>
  <c r="B679" i="3" s="1"/>
  <c r="B680" i="3" s="1"/>
  <c r="B681" i="3" s="1"/>
  <c r="B682" i="3" s="1"/>
  <c r="B683" i="3" s="1"/>
  <c r="B684" i="3" s="1"/>
  <c r="B685" i="3" s="1"/>
  <c r="B686" i="3" s="1"/>
  <c r="B687" i="3" s="1"/>
  <c r="B688" i="3" s="1"/>
  <c r="B689" i="3" s="1"/>
  <c r="B690" i="3" s="1"/>
  <c r="B691" i="3" s="1"/>
  <c r="B692" i="3" s="1"/>
  <c r="B693" i="3" s="1"/>
  <c r="B694" i="3" s="1"/>
  <c r="B695" i="3" s="1"/>
  <c r="B696" i="3" s="1"/>
  <c r="B697" i="3" s="1"/>
  <c r="B698" i="3" s="1"/>
  <c r="B699" i="3" s="1"/>
  <c r="B700" i="3" s="1"/>
  <c r="B701" i="3" s="1"/>
  <c r="B702" i="3" s="1"/>
  <c r="B703" i="3" s="1"/>
  <c r="B704" i="3" s="1"/>
  <c r="B705" i="3" s="1"/>
  <c r="B706" i="3" s="1"/>
  <c r="B707" i="3" s="1"/>
  <c r="B708" i="3" s="1"/>
  <c r="B709" i="3" s="1"/>
  <c r="B710" i="3" s="1"/>
  <c r="B711" i="3" s="1"/>
  <c r="B712" i="3" s="1"/>
  <c r="B713" i="3" s="1"/>
  <c r="B714" i="3" s="1"/>
  <c r="B715" i="3" s="1"/>
  <c r="B716" i="3" s="1"/>
  <c r="B717" i="3" s="1"/>
  <c r="B718" i="3" s="1"/>
  <c r="B719" i="3" s="1"/>
  <c r="B720" i="3" s="1"/>
  <c r="B721" i="3" s="1"/>
  <c r="B722" i="3" s="1"/>
  <c r="B723" i="3" s="1"/>
  <c r="B724" i="3" s="1"/>
  <c r="B725" i="3" s="1"/>
  <c r="B726" i="3" s="1"/>
  <c r="B727" i="3" s="1"/>
  <c r="B728" i="3" s="1"/>
  <c r="B729" i="3" s="1"/>
  <c r="B730" i="3" s="1"/>
  <c r="B731" i="3" s="1"/>
  <c r="B732" i="3" s="1"/>
  <c r="B733" i="3" s="1"/>
  <c r="B734" i="3" s="1"/>
  <c r="B735" i="3" s="1"/>
  <c r="B736" i="3" s="1"/>
  <c r="B737" i="3" s="1"/>
  <c r="B738" i="3" s="1"/>
  <c r="B739" i="3" s="1"/>
  <c r="B740" i="3" s="1"/>
  <c r="B741" i="3" s="1"/>
  <c r="B742" i="3" s="1"/>
  <c r="B743" i="3" s="1"/>
  <c r="B744" i="3" s="1"/>
  <c r="B745" i="3" s="1"/>
  <c r="B746" i="3" s="1"/>
  <c r="B747" i="3" s="1"/>
  <c r="B748" i="3" s="1"/>
  <c r="B749" i="3" s="1"/>
  <c r="B750" i="3" s="1"/>
  <c r="B751" i="3" s="1"/>
  <c r="B752" i="3" s="1"/>
  <c r="B753" i="3" s="1"/>
  <c r="B754" i="3" s="1"/>
  <c r="B755" i="3" s="1"/>
  <c r="B756" i="3" s="1"/>
  <c r="B757" i="3" s="1"/>
  <c r="B758" i="3" s="1"/>
  <c r="B759" i="3" s="1"/>
  <c r="B760" i="3" s="1"/>
  <c r="B761" i="3" s="1"/>
  <c r="B762" i="3" s="1"/>
  <c r="B763" i="3" s="1"/>
  <c r="B764" i="3" s="1"/>
  <c r="B765" i="3" s="1"/>
  <c r="B766" i="3" s="1"/>
  <c r="B767" i="3" s="1"/>
  <c r="B768" i="3" s="1"/>
  <c r="B769" i="3" s="1"/>
  <c r="B770" i="3" s="1"/>
  <c r="B771" i="3" s="1"/>
  <c r="B772" i="3" s="1"/>
  <c r="B773" i="3" s="1"/>
  <c r="B774" i="3" s="1"/>
  <c r="B775" i="3" s="1"/>
  <c r="B776" i="3" s="1"/>
  <c r="B777" i="3" s="1"/>
  <c r="B778" i="3" s="1"/>
  <c r="B779" i="3" s="1"/>
  <c r="B780" i="3" s="1"/>
  <c r="B781" i="3" s="1"/>
  <c r="B782" i="3" s="1"/>
  <c r="B783" i="3" s="1"/>
  <c r="B784" i="3" s="1"/>
  <c r="B785" i="3" s="1"/>
  <c r="B786" i="3" s="1"/>
  <c r="B787" i="3" s="1"/>
  <c r="B788" i="3" s="1"/>
  <c r="B789" i="3" s="1"/>
  <c r="B790" i="3" s="1"/>
  <c r="B791" i="3" s="1"/>
  <c r="B792" i="3" s="1"/>
  <c r="B793" i="3" s="1"/>
  <c r="B794" i="3" s="1"/>
  <c r="B795" i="3" s="1"/>
  <c r="B796" i="3" s="1"/>
  <c r="B797" i="3" s="1"/>
  <c r="B798" i="3" s="1"/>
  <c r="B799" i="3" s="1"/>
  <c r="B800" i="3" s="1"/>
  <c r="B801" i="3" s="1"/>
  <c r="B802" i="3" s="1"/>
  <c r="B803" i="3" s="1"/>
  <c r="B804" i="3" s="1"/>
  <c r="B805" i="3" s="1"/>
  <c r="B806" i="3" s="1"/>
  <c r="B807" i="3" s="1"/>
  <c r="B808" i="3" s="1"/>
  <c r="B809" i="3" s="1"/>
  <c r="B810" i="3" s="1"/>
  <c r="B811" i="3" s="1"/>
  <c r="B812" i="3" s="1"/>
  <c r="B813" i="3" s="1"/>
  <c r="B814" i="3" s="1"/>
  <c r="B815" i="3" s="1"/>
  <c r="B816" i="3" s="1"/>
  <c r="B817" i="3" s="1"/>
  <c r="B818" i="3" s="1"/>
  <c r="B819" i="3" s="1"/>
  <c r="B820" i="3" s="1"/>
  <c r="B821" i="3" s="1"/>
  <c r="B822" i="3" s="1"/>
  <c r="B823" i="3" s="1"/>
  <c r="B824" i="3" s="1"/>
  <c r="B825" i="3" s="1"/>
  <c r="B826" i="3" s="1"/>
  <c r="B827" i="3" s="1"/>
  <c r="B828" i="3" s="1"/>
  <c r="B829" i="3" s="1"/>
  <c r="B830" i="3" s="1"/>
  <c r="B831" i="3" s="1"/>
  <c r="B832" i="3" s="1"/>
  <c r="B833" i="3" s="1"/>
  <c r="B834" i="3" s="1"/>
  <c r="B835" i="3" s="1"/>
  <c r="B836" i="3" s="1"/>
  <c r="B837" i="3" s="1"/>
  <c r="B838" i="3" s="1"/>
  <c r="B839" i="3" s="1"/>
  <c r="B840" i="3" s="1"/>
  <c r="B841" i="3" s="1"/>
  <c r="B842" i="3" s="1"/>
  <c r="B843" i="3" s="1"/>
  <c r="B844" i="3" s="1"/>
  <c r="B845" i="3" s="1"/>
  <c r="B846" i="3" s="1"/>
  <c r="B847" i="3" s="1"/>
  <c r="B848" i="3" s="1"/>
  <c r="B849" i="3" s="1"/>
  <c r="B850" i="3" s="1"/>
  <c r="B851" i="3" s="1"/>
  <c r="B852" i="3" s="1"/>
  <c r="B853" i="3" s="1"/>
  <c r="B854" i="3" s="1"/>
  <c r="B855" i="3" s="1"/>
  <c r="B856" i="3" s="1"/>
  <c r="B857" i="3" s="1"/>
  <c r="B858" i="3" s="1"/>
  <c r="B859" i="3" s="1"/>
  <c r="B860" i="3" s="1"/>
  <c r="B861" i="3" s="1"/>
  <c r="B862" i="3" s="1"/>
  <c r="B863" i="3" s="1"/>
  <c r="B864" i="3" s="1"/>
  <c r="B865" i="3" s="1"/>
  <c r="B866" i="3" s="1"/>
  <c r="B867" i="3" s="1"/>
  <c r="B868" i="3" s="1"/>
  <c r="B869" i="3" s="1"/>
  <c r="B870" i="3" s="1"/>
  <c r="B871" i="3" s="1"/>
  <c r="B872" i="3" s="1"/>
  <c r="B873" i="3" s="1"/>
  <c r="B874" i="3" s="1"/>
  <c r="B875" i="3" s="1"/>
  <c r="B876" i="3" s="1"/>
  <c r="B877" i="3" s="1"/>
  <c r="B878" i="3" s="1"/>
  <c r="B879" i="3" s="1"/>
  <c r="B880" i="3" s="1"/>
  <c r="B881" i="3" s="1"/>
  <c r="B882" i="3" s="1"/>
  <c r="B883" i="3" s="1"/>
  <c r="B884" i="3" s="1"/>
  <c r="B885" i="3" s="1"/>
  <c r="B886" i="3" s="1"/>
  <c r="B887" i="3" s="1"/>
  <c r="B888" i="3" s="1"/>
  <c r="B889" i="3" s="1"/>
  <c r="B890" i="3" s="1"/>
  <c r="B891" i="3" s="1"/>
  <c r="B892" i="3" s="1"/>
  <c r="B893" i="3" s="1"/>
  <c r="B894" i="3" s="1"/>
  <c r="B895" i="3" s="1"/>
  <c r="B896" i="3" s="1"/>
  <c r="B897" i="3" s="1"/>
  <c r="B898" i="3" s="1"/>
  <c r="B899" i="3" s="1"/>
  <c r="B900" i="3" s="1"/>
  <c r="B901" i="3" s="1"/>
  <c r="B902" i="3" s="1"/>
  <c r="B903" i="3" s="1"/>
  <c r="B904" i="3" s="1"/>
  <c r="B905" i="3" s="1"/>
  <c r="B906" i="3" s="1"/>
  <c r="B907" i="3" s="1"/>
  <c r="B908" i="3" s="1"/>
  <c r="B909" i="3" s="1"/>
  <c r="B910" i="3" s="1"/>
  <c r="B911" i="3" s="1"/>
  <c r="B912" i="3" s="1"/>
  <c r="B913" i="3" s="1"/>
  <c r="B914" i="3" s="1"/>
  <c r="B915" i="3" s="1"/>
  <c r="B916" i="3" s="1"/>
  <c r="B917" i="3" s="1"/>
  <c r="B918" i="3" s="1"/>
  <c r="B919" i="3" s="1"/>
  <c r="B920" i="3" s="1"/>
  <c r="B921" i="3" s="1"/>
  <c r="B922" i="3" s="1"/>
  <c r="B923" i="3" s="1"/>
  <c r="B924" i="3" s="1"/>
  <c r="B925" i="3" s="1"/>
  <c r="B926" i="3" s="1"/>
  <c r="B927" i="3" s="1"/>
  <c r="B928" i="3" s="1"/>
  <c r="B929" i="3" s="1"/>
  <c r="B930" i="3" s="1"/>
  <c r="B931" i="3" s="1"/>
  <c r="B932" i="3" s="1"/>
  <c r="B933" i="3" s="1"/>
  <c r="B934" i="3" s="1"/>
  <c r="B935" i="3" s="1"/>
  <c r="B936" i="3" s="1"/>
  <c r="B937" i="3" s="1"/>
  <c r="B938" i="3" s="1"/>
  <c r="B939" i="3" s="1"/>
  <c r="B940" i="3" s="1"/>
  <c r="B941" i="3" s="1"/>
  <c r="B942" i="3" s="1"/>
  <c r="B943" i="3" s="1"/>
  <c r="B944" i="3" s="1"/>
  <c r="B945" i="3" s="1"/>
  <c r="B946" i="3" s="1"/>
  <c r="B947" i="3" s="1"/>
  <c r="B948" i="3" s="1"/>
  <c r="B949" i="3" s="1"/>
  <c r="B950" i="3" s="1"/>
  <c r="B951" i="3" s="1"/>
  <c r="B952" i="3" s="1"/>
  <c r="B953" i="3" s="1"/>
  <c r="B954" i="3" s="1"/>
  <c r="B955" i="3" s="1"/>
  <c r="B956" i="3" s="1"/>
  <c r="B957" i="3" s="1"/>
  <c r="B958" i="3" s="1"/>
  <c r="B959" i="3" s="1"/>
  <c r="B960" i="3" s="1"/>
  <c r="B961" i="3" s="1"/>
  <c r="B962" i="3" s="1"/>
  <c r="B963" i="3" s="1"/>
  <c r="B964" i="3" s="1"/>
  <c r="B965" i="3" s="1"/>
  <c r="B966" i="3" s="1"/>
  <c r="B967" i="3" s="1"/>
  <c r="B968" i="3" s="1"/>
  <c r="B969" i="3" s="1"/>
  <c r="B970" i="3" s="1"/>
  <c r="B971" i="3" s="1"/>
  <c r="B972" i="3" s="1"/>
  <c r="B973" i="3" s="1"/>
  <c r="B974" i="3" s="1"/>
  <c r="B975" i="3" s="1"/>
  <c r="B976" i="3" s="1"/>
  <c r="B977" i="3" s="1"/>
  <c r="B978" i="3" s="1"/>
  <c r="B979" i="3" s="1"/>
  <c r="B980" i="3" s="1"/>
  <c r="B981" i="3" s="1"/>
  <c r="B982" i="3" s="1"/>
  <c r="B983" i="3" s="1"/>
  <c r="B984" i="3" s="1"/>
  <c r="B985" i="3" s="1"/>
  <c r="B986" i="3" s="1"/>
  <c r="B987" i="3" s="1"/>
  <c r="B988" i="3" s="1"/>
  <c r="B989" i="3" s="1"/>
  <c r="B990" i="3" s="1"/>
  <c r="B991" i="3" s="1"/>
  <c r="B992" i="3" s="1"/>
  <c r="B993" i="3" s="1"/>
  <c r="B994" i="3" s="1"/>
  <c r="B995" i="3" s="1"/>
  <c r="B996" i="3" s="1"/>
  <c r="B997" i="3" s="1"/>
  <c r="B998" i="3" s="1"/>
  <c r="B999" i="3" s="1"/>
  <c r="B1000" i="3" s="1"/>
  <c r="B1001" i="3" s="1"/>
  <c r="B1002" i="3" s="1"/>
  <c r="B1003" i="3" s="1"/>
  <c r="B1004" i="3" s="1"/>
  <c r="B1005" i="3" s="1"/>
  <c r="B1006" i="3" s="1"/>
  <c r="B1007" i="3" s="1"/>
  <c r="B1008" i="3" s="1"/>
  <c r="B1009" i="3" s="1"/>
  <c r="B1010" i="3" s="1"/>
  <c r="B1011" i="3" s="1"/>
  <c r="B1012" i="3" s="1"/>
  <c r="B1013" i="3" s="1"/>
  <c r="B1014" i="3" s="1"/>
  <c r="B1015" i="3" s="1"/>
  <c r="B1016" i="3" s="1"/>
  <c r="B1017" i="3" s="1"/>
  <c r="B1018" i="3" s="1"/>
  <c r="B1019" i="3" s="1"/>
  <c r="B1020" i="3" s="1"/>
  <c r="B1021" i="3" s="1"/>
  <c r="B1022" i="3" s="1"/>
  <c r="B1023" i="3" s="1"/>
  <c r="B1024" i="3" s="1"/>
  <c r="B1025" i="3" s="1"/>
  <c r="B1026" i="3" s="1"/>
  <c r="B1027" i="3" s="1"/>
  <c r="B1028" i="3" s="1"/>
  <c r="B1029" i="3" s="1"/>
  <c r="B1030" i="3" s="1"/>
  <c r="B1031" i="3" s="1"/>
  <c r="B1032" i="3" s="1"/>
  <c r="B1033" i="3" s="1"/>
  <c r="B1034" i="3" s="1"/>
  <c r="B1035" i="3" s="1"/>
  <c r="B1036" i="3" s="1"/>
  <c r="B1037" i="3" s="1"/>
  <c r="B1038" i="3" s="1"/>
  <c r="B1039" i="3" s="1"/>
  <c r="B1040" i="3" s="1"/>
  <c r="B1041" i="3" s="1"/>
  <c r="B1042" i="3" s="1"/>
  <c r="B1043" i="3" s="1"/>
  <c r="B1044" i="3" s="1"/>
  <c r="B1045" i="3" s="1"/>
  <c r="B1046" i="3" s="1"/>
  <c r="B1047" i="3" s="1"/>
  <c r="B1048" i="3" s="1"/>
  <c r="B1049" i="3" s="1"/>
  <c r="B1050" i="3" s="1"/>
  <c r="B1051" i="3" s="1"/>
  <c r="B1052" i="3" s="1"/>
  <c r="B1053" i="3" s="1"/>
  <c r="B1054" i="3" s="1"/>
  <c r="B1055" i="3" s="1"/>
  <c r="B1056" i="3" s="1"/>
  <c r="B1057" i="3" s="1"/>
  <c r="B1058" i="3" s="1"/>
  <c r="B1059" i="3" s="1"/>
  <c r="B1060" i="3" s="1"/>
  <c r="B1061" i="3" s="1"/>
  <c r="B1062" i="3" s="1"/>
  <c r="B1063" i="3" s="1"/>
  <c r="B1064" i="3" s="1"/>
  <c r="B1065" i="3" s="1"/>
  <c r="B1066" i="3" s="1"/>
  <c r="B1067" i="3" s="1"/>
  <c r="B1068" i="3" s="1"/>
  <c r="B1069" i="3" s="1"/>
  <c r="B1070" i="3" s="1"/>
  <c r="B1071" i="3" s="1"/>
  <c r="B1072" i="3" s="1"/>
  <c r="B1073" i="3" s="1"/>
  <c r="B1074" i="3" s="1"/>
  <c r="B1075" i="3" s="1"/>
  <c r="B1076" i="3" s="1"/>
  <c r="B1077" i="3" s="1"/>
  <c r="B1078" i="3" s="1"/>
  <c r="B1079" i="3" s="1"/>
  <c r="B1080" i="3" s="1"/>
  <c r="B1081" i="3" s="1"/>
  <c r="B1082" i="3" s="1"/>
  <c r="B1083" i="3" s="1"/>
  <c r="B1084" i="3" s="1"/>
  <c r="B1085" i="3" s="1"/>
  <c r="B1086" i="3" s="1"/>
  <c r="B1087" i="3" s="1"/>
  <c r="B1088" i="3" s="1"/>
  <c r="B1089" i="3" s="1"/>
  <c r="B1090" i="3" s="1"/>
  <c r="B1091" i="3" s="1"/>
  <c r="B1092" i="3" s="1"/>
  <c r="B1093" i="3" s="1"/>
  <c r="B1094" i="3" s="1"/>
  <c r="B1095" i="3" s="1"/>
  <c r="B1096" i="3" s="1"/>
  <c r="B1097" i="3" s="1"/>
  <c r="B1098" i="3" s="1"/>
  <c r="B1099" i="3" s="1"/>
  <c r="B1100" i="3" s="1"/>
  <c r="B1101" i="3" s="1"/>
  <c r="B1102" i="3" s="1"/>
  <c r="B1103" i="3" s="1"/>
  <c r="B1104" i="3" s="1"/>
  <c r="B1105" i="3" s="1"/>
  <c r="B1106" i="3" s="1"/>
  <c r="B1107" i="3" s="1"/>
  <c r="B1108" i="3" s="1"/>
  <c r="B1109" i="3" s="1"/>
  <c r="B1110" i="3" s="1"/>
  <c r="B1111" i="3" s="1"/>
  <c r="B1112" i="3" s="1"/>
  <c r="B1113" i="3" s="1"/>
  <c r="B1114" i="3" s="1"/>
  <c r="B1115" i="3" s="1"/>
  <c r="B1116" i="3" s="1"/>
  <c r="B1117" i="3" s="1"/>
  <c r="B1118" i="3" s="1"/>
  <c r="B1119" i="3" s="1"/>
  <c r="B1120" i="3" s="1"/>
  <c r="B1121" i="3" s="1"/>
  <c r="B1122" i="3" s="1"/>
  <c r="B1123" i="3" s="1"/>
  <c r="B1124" i="3" s="1"/>
  <c r="B1125" i="3" s="1"/>
  <c r="B1126" i="3" s="1"/>
  <c r="B1127" i="3" s="1"/>
  <c r="B1128" i="3" s="1"/>
  <c r="B1129" i="3" s="1"/>
  <c r="B1130" i="3" s="1"/>
  <c r="B1131" i="3" s="1"/>
  <c r="B1132" i="3" s="1"/>
  <c r="B1133" i="3" s="1"/>
  <c r="B1134" i="3" s="1"/>
  <c r="B1135" i="3" s="1"/>
  <c r="B1136" i="3" s="1"/>
  <c r="B1137" i="3" s="1"/>
  <c r="B1138" i="3" s="1"/>
  <c r="B1139" i="3" s="1"/>
  <c r="B1140" i="3" s="1"/>
  <c r="B1141" i="3" s="1"/>
  <c r="B1142" i="3" s="1"/>
  <c r="B1143" i="3" s="1"/>
  <c r="B1144" i="3" s="1"/>
  <c r="B1145" i="3" s="1"/>
  <c r="B1146" i="3" s="1"/>
  <c r="B1147" i="3" s="1"/>
  <c r="B1148" i="3" s="1"/>
  <c r="B1149" i="3" s="1"/>
  <c r="B1150" i="3" s="1"/>
  <c r="B1151" i="3" s="1"/>
  <c r="B1152" i="3" s="1"/>
  <c r="B1153" i="3" s="1"/>
  <c r="B1154" i="3" s="1"/>
  <c r="B1155" i="3" s="1"/>
  <c r="B1156" i="3" s="1"/>
  <c r="B1157" i="3" s="1"/>
  <c r="B1158" i="3" s="1"/>
  <c r="B1159" i="3" s="1"/>
  <c r="B1160" i="3" s="1"/>
  <c r="B1161" i="3" s="1"/>
  <c r="B1162" i="3" s="1"/>
  <c r="B1163" i="3" s="1"/>
  <c r="B1164" i="3" s="1"/>
  <c r="B1165" i="3" s="1"/>
  <c r="B1166" i="3" s="1"/>
  <c r="B1167" i="3" s="1"/>
  <c r="B1168" i="3" s="1"/>
  <c r="B1169" i="3" s="1"/>
  <c r="B1170" i="3" s="1"/>
  <c r="B1171" i="3" s="1"/>
  <c r="B1172" i="3" s="1"/>
  <c r="B1173" i="3" s="1"/>
  <c r="B1174" i="3" s="1"/>
  <c r="B1175" i="3" s="1"/>
  <c r="B1176" i="3" s="1"/>
  <c r="B1177" i="3" s="1"/>
  <c r="B1178" i="3" s="1"/>
  <c r="B1179" i="3" s="1"/>
  <c r="B1180" i="3" s="1"/>
  <c r="B1181" i="3" s="1"/>
  <c r="B1182" i="3" s="1"/>
  <c r="B1183" i="3" s="1"/>
  <c r="B1184" i="3" s="1"/>
  <c r="B1185" i="3" s="1"/>
  <c r="B1186" i="3" s="1"/>
  <c r="B1187" i="3" s="1"/>
  <c r="B1188" i="3" s="1"/>
  <c r="B1189" i="3" s="1"/>
  <c r="B1190" i="3" s="1"/>
  <c r="B1191" i="3" s="1"/>
  <c r="B1192" i="3" s="1"/>
  <c r="B1193" i="3" s="1"/>
  <c r="B1194" i="3" s="1"/>
  <c r="B1195" i="3" s="1"/>
  <c r="B1196" i="3" s="1"/>
  <c r="B1197" i="3" s="1"/>
  <c r="B1198" i="3" s="1"/>
  <c r="B1199" i="3" s="1"/>
  <c r="B1200" i="3" s="1"/>
  <c r="B1201" i="3" s="1"/>
  <c r="B1202" i="3" s="1"/>
  <c r="B1203" i="3" s="1"/>
  <c r="B1204" i="3" s="1"/>
  <c r="B1205" i="3" s="1"/>
  <c r="B1206" i="3" s="1"/>
  <c r="B1207" i="3" s="1"/>
  <c r="B1208" i="3" s="1"/>
  <c r="B1209" i="3" s="1"/>
  <c r="B1210" i="3" s="1"/>
  <c r="B1211" i="3" s="1"/>
  <c r="B1212" i="3" s="1"/>
  <c r="B1213" i="3" s="1"/>
  <c r="B1214" i="3" s="1"/>
  <c r="B1215" i="3" s="1"/>
  <c r="B1216" i="3" s="1"/>
  <c r="B1217" i="3" s="1"/>
  <c r="B1218" i="3" s="1"/>
  <c r="B1219" i="3" s="1"/>
  <c r="B1220" i="3" s="1"/>
  <c r="B1221" i="3" s="1"/>
  <c r="B1222" i="3" s="1"/>
  <c r="B1223" i="3" s="1"/>
  <c r="B1224" i="3" s="1"/>
  <c r="B1225" i="3" s="1"/>
  <c r="B1226" i="3" s="1"/>
  <c r="B1227" i="3" s="1"/>
  <c r="B1228" i="3" s="1"/>
  <c r="B1229" i="3" s="1"/>
  <c r="B1230" i="3" s="1"/>
  <c r="B1231" i="3" s="1"/>
  <c r="B1232" i="3" s="1"/>
  <c r="B1233" i="3" s="1"/>
  <c r="B1234" i="3" s="1"/>
  <c r="B1235" i="3" s="1"/>
  <c r="B1236" i="3" s="1"/>
  <c r="B1237" i="3" s="1"/>
  <c r="B1238" i="3" s="1"/>
  <c r="B1239" i="3" s="1"/>
  <c r="B1240" i="3" s="1"/>
  <c r="B1241" i="3" s="1"/>
  <c r="B1242" i="3" s="1"/>
  <c r="B1243" i="3" s="1"/>
  <c r="B1244" i="3" s="1"/>
  <c r="B1245" i="3" s="1"/>
  <c r="B1246" i="3" s="1"/>
  <c r="B1247" i="3" s="1"/>
  <c r="B1248" i="3" s="1"/>
  <c r="B1249" i="3" s="1"/>
  <c r="B1250" i="3" s="1"/>
  <c r="B1251" i="3" s="1"/>
  <c r="B1252" i="3" s="1"/>
  <c r="B1253" i="3" s="1"/>
  <c r="B1254" i="3" s="1"/>
  <c r="B1255" i="3" s="1"/>
  <c r="B1256" i="3" s="1"/>
  <c r="B1257" i="3" s="1"/>
  <c r="B1258" i="3" s="1"/>
  <c r="B1259" i="3" s="1"/>
  <c r="B1260" i="3" s="1"/>
  <c r="B1261" i="3" s="1"/>
  <c r="B1262" i="3" s="1"/>
  <c r="B1263" i="3" s="1"/>
  <c r="B1264" i="3" s="1"/>
  <c r="B1265" i="3" s="1"/>
  <c r="B1266" i="3" s="1"/>
  <c r="B1267" i="3" s="1"/>
  <c r="B1268" i="3" s="1"/>
  <c r="B1269" i="3" s="1"/>
  <c r="B1270" i="3" s="1"/>
  <c r="B1271" i="3" s="1"/>
  <c r="B1272" i="3" s="1"/>
  <c r="B1273" i="3" s="1"/>
  <c r="B1274" i="3" s="1"/>
  <c r="B1275" i="3" s="1"/>
  <c r="B1276" i="3" s="1"/>
  <c r="B1277" i="3" s="1"/>
  <c r="B1278" i="3" s="1"/>
  <c r="B1279" i="3" s="1"/>
  <c r="B1280" i="3" s="1"/>
  <c r="B1281" i="3" s="1"/>
  <c r="B1282" i="3" s="1"/>
  <c r="B1283" i="3" s="1"/>
  <c r="B1284" i="3" s="1"/>
  <c r="B1285" i="3" s="1"/>
  <c r="B1286" i="3" s="1"/>
  <c r="B1287" i="3" s="1"/>
  <c r="B1288" i="3" s="1"/>
  <c r="B1289" i="3" s="1"/>
  <c r="B1290" i="3" s="1"/>
  <c r="B1291" i="3" s="1"/>
  <c r="B1292" i="3" s="1"/>
  <c r="B1293" i="3" s="1"/>
  <c r="B1294" i="3" s="1"/>
  <c r="B1295" i="3" s="1"/>
  <c r="B1296" i="3" s="1"/>
  <c r="B1297" i="3" s="1"/>
  <c r="B1298" i="3" s="1"/>
  <c r="B1299" i="3" s="1"/>
  <c r="B1300" i="3" s="1"/>
  <c r="B1301" i="3" s="1"/>
  <c r="B1302" i="3" s="1"/>
  <c r="B1303" i="3" s="1"/>
  <c r="B1304" i="3" s="1"/>
  <c r="B1305" i="3" s="1"/>
  <c r="B1306" i="3" s="1"/>
  <c r="B1307" i="3" s="1"/>
  <c r="B1308" i="3" s="1"/>
  <c r="B1309" i="3" s="1"/>
  <c r="B1310" i="3" s="1"/>
  <c r="B1311" i="3" s="1"/>
  <c r="B1312" i="3" s="1"/>
  <c r="B1313" i="3" s="1"/>
  <c r="B1314" i="3" s="1"/>
  <c r="B1315" i="3" s="1"/>
  <c r="B1316" i="3" s="1"/>
  <c r="B1317" i="3" s="1"/>
  <c r="B1318" i="3" s="1"/>
  <c r="B1319" i="3" s="1"/>
  <c r="B1320" i="3" s="1"/>
  <c r="B1321" i="3" s="1"/>
  <c r="B1322" i="3" s="1"/>
  <c r="B1323" i="3" s="1"/>
  <c r="B1324" i="3" s="1"/>
  <c r="B1325" i="3" s="1"/>
  <c r="B1326" i="3" s="1"/>
  <c r="B1327" i="3" s="1"/>
  <c r="B1328" i="3" s="1"/>
  <c r="B1329" i="3" s="1"/>
  <c r="B1330" i="3" s="1"/>
  <c r="B1331" i="3" s="1"/>
  <c r="B1332" i="3" s="1"/>
  <c r="B1333" i="3" s="1"/>
  <c r="B1334" i="3" s="1"/>
  <c r="B1335" i="3" s="1"/>
  <c r="B1336" i="3" s="1"/>
  <c r="B1337" i="3" s="1"/>
  <c r="B1338" i="3" s="1"/>
  <c r="B1339" i="3" s="1"/>
  <c r="B1340" i="3" s="1"/>
  <c r="B1341" i="3" s="1"/>
  <c r="B1342" i="3" s="1"/>
  <c r="B1343" i="3" s="1"/>
  <c r="B1344" i="3" s="1"/>
  <c r="B1345" i="3" s="1"/>
  <c r="B1346" i="3" s="1"/>
  <c r="B1347" i="3" s="1"/>
  <c r="B1348" i="3" s="1"/>
  <c r="B1349" i="3" s="1"/>
  <c r="B1350" i="3" s="1"/>
  <c r="B1351" i="3" s="1"/>
  <c r="B1352" i="3" s="1"/>
  <c r="B1353" i="3" s="1"/>
  <c r="B1354" i="3" s="1"/>
  <c r="B1355" i="3" s="1"/>
  <c r="B1356" i="3" s="1"/>
  <c r="B1357" i="3" s="1"/>
  <c r="B1358" i="3" s="1"/>
  <c r="B1359" i="3" s="1"/>
  <c r="B1360" i="3" s="1"/>
  <c r="B1361" i="3" s="1"/>
  <c r="B1362" i="3" s="1"/>
  <c r="B1363" i="3" s="1"/>
  <c r="B1364" i="3" s="1"/>
  <c r="B1365" i="3" s="1"/>
  <c r="B1366" i="3" s="1"/>
  <c r="B1367" i="3" s="1"/>
  <c r="B1368" i="3" s="1"/>
  <c r="B1369" i="3" s="1"/>
  <c r="B1370" i="3" s="1"/>
  <c r="B1371" i="3" s="1"/>
  <c r="B1372" i="3" s="1"/>
  <c r="B1373" i="3" s="1"/>
  <c r="B1374" i="3" s="1"/>
  <c r="B1375" i="3" s="1"/>
  <c r="B1376" i="3" s="1"/>
  <c r="B1377" i="3" s="1"/>
  <c r="B1378" i="3" s="1"/>
  <c r="B1379" i="3" s="1"/>
  <c r="B1380" i="3" s="1"/>
  <c r="B1381" i="3" s="1"/>
  <c r="B1382" i="3" s="1"/>
  <c r="B1383" i="3" s="1"/>
  <c r="B1384" i="3" s="1"/>
  <c r="B1385" i="3" s="1"/>
  <c r="B1386" i="3" s="1"/>
  <c r="B1387" i="3" s="1"/>
  <c r="B1388" i="3" s="1"/>
  <c r="B1389" i="3" s="1"/>
  <c r="B1390" i="3" s="1"/>
  <c r="B1391" i="3" s="1"/>
  <c r="B1392" i="3" s="1"/>
  <c r="B1393" i="3" s="1"/>
  <c r="B1394" i="3" s="1"/>
  <c r="B1395" i="3" s="1"/>
  <c r="B1396" i="3" s="1"/>
  <c r="B1397" i="3" s="1"/>
  <c r="B1398" i="3" s="1"/>
  <c r="B1399" i="3" s="1"/>
  <c r="B1400" i="3" s="1"/>
  <c r="B1401" i="3" s="1"/>
  <c r="B1402" i="3" s="1"/>
  <c r="B1403" i="3" s="1"/>
  <c r="B1404" i="3" s="1"/>
  <c r="B1405" i="3" s="1"/>
  <c r="B1406" i="3" s="1"/>
  <c r="B1407" i="3" s="1"/>
  <c r="B1408" i="3" s="1"/>
  <c r="B1409" i="3" s="1"/>
  <c r="B1410" i="3" s="1"/>
  <c r="B1411" i="3" s="1"/>
  <c r="B1412" i="3" s="1"/>
  <c r="B1413" i="3" s="1"/>
  <c r="B1414" i="3" s="1"/>
  <c r="B1415" i="3" s="1"/>
  <c r="B1416" i="3" s="1"/>
  <c r="B1417" i="3" s="1"/>
  <c r="B1418" i="3" s="1"/>
  <c r="B1419" i="3" s="1"/>
  <c r="B1420" i="3" s="1"/>
  <c r="B1421" i="3" s="1"/>
  <c r="B1422" i="3" s="1"/>
  <c r="B1423" i="3" s="1"/>
  <c r="B1424" i="3" s="1"/>
  <c r="B1425" i="3" s="1"/>
  <c r="B1426" i="3" s="1"/>
  <c r="B1427" i="3" s="1"/>
  <c r="B1428" i="3" s="1"/>
  <c r="B1429" i="3" s="1"/>
  <c r="B1430" i="3" s="1"/>
  <c r="B1431" i="3" s="1"/>
  <c r="B1432" i="3" s="1"/>
  <c r="B1433" i="3" s="1"/>
  <c r="B1434" i="3" s="1"/>
  <c r="B1435" i="3" s="1"/>
  <c r="B1436" i="3" s="1"/>
  <c r="B1437" i="3" s="1"/>
  <c r="B1438" i="3" s="1"/>
  <c r="B1439" i="3" s="1"/>
  <c r="B1440" i="3" s="1"/>
  <c r="B1441" i="3" s="1"/>
  <c r="B1442" i="3" s="1"/>
  <c r="B1443" i="3" s="1"/>
  <c r="B1444" i="3" s="1"/>
  <c r="B1445" i="3" s="1"/>
  <c r="B1446" i="3" s="1"/>
  <c r="B1447" i="3" s="1"/>
  <c r="B1448" i="3" s="1"/>
  <c r="B1449" i="3" s="1"/>
  <c r="B1450" i="3" s="1"/>
  <c r="B1451" i="3" s="1"/>
  <c r="B1452" i="3" s="1"/>
  <c r="B1453" i="3" s="1"/>
  <c r="B1454" i="3" s="1"/>
  <c r="B1455" i="3" s="1"/>
  <c r="B1456" i="3" s="1"/>
  <c r="B1457" i="3" s="1"/>
  <c r="B1458" i="3" s="1"/>
  <c r="B1459" i="3" s="1"/>
  <c r="B1460" i="3" s="1"/>
  <c r="B1461" i="3" s="1"/>
  <c r="B1462" i="3" s="1"/>
  <c r="B1463" i="3" s="1"/>
  <c r="B1464" i="3" s="1"/>
  <c r="B1465" i="3" s="1"/>
  <c r="B1466" i="3" s="1"/>
  <c r="B1467" i="3" s="1"/>
  <c r="B1468" i="3" s="1"/>
  <c r="B1469" i="3" s="1"/>
  <c r="B1470" i="3" s="1"/>
  <c r="B1471" i="3" s="1"/>
  <c r="B1472" i="3" s="1"/>
  <c r="B1473" i="3" s="1"/>
  <c r="B1474" i="3" s="1"/>
  <c r="B1475" i="3" s="1"/>
  <c r="B1476" i="3" s="1"/>
  <c r="B1477" i="3" s="1"/>
  <c r="B1478" i="3" s="1"/>
  <c r="B1479" i="3" s="1"/>
  <c r="B1480" i="3" s="1"/>
  <c r="B1481" i="3" s="1"/>
  <c r="B1482" i="3" s="1"/>
  <c r="B1483" i="3" s="1"/>
  <c r="B1484" i="3" s="1"/>
  <c r="B1485" i="3" s="1"/>
  <c r="B1486" i="3" s="1"/>
  <c r="B1487" i="3" s="1"/>
  <c r="B1488" i="3" s="1"/>
  <c r="B1489" i="3" s="1"/>
  <c r="B1490" i="3" s="1"/>
  <c r="B1491" i="3" s="1"/>
  <c r="B1492" i="3" s="1"/>
  <c r="B1493" i="3" s="1"/>
  <c r="B1494" i="3" s="1"/>
  <c r="B1495" i="3" s="1"/>
  <c r="B1496" i="3" s="1"/>
  <c r="B1497" i="3" s="1"/>
  <c r="B1498" i="3" s="1"/>
  <c r="B1499" i="3" s="1"/>
  <c r="B1500" i="3" s="1"/>
  <c r="B1501" i="3" s="1"/>
  <c r="B1502" i="3" s="1"/>
  <c r="B1503" i="3" s="1"/>
  <c r="B1504" i="3" s="1"/>
  <c r="B1505" i="3" s="1"/>
  <c r="B1506" i="3" s="1"/>
  <c r="B1507" i="3" s="1"/>
  <c r="B1508" i="3" s="1"/>
  <c r="B1509" i="3" s="1"/>
  <c r="B1510" i="3" s="1"/>
  <c r="B1511" i="3" s="1"/>
  <c r="B1512" i="3" s="1"/>
  <c r="B1513" i="3" s="1"/>
  <c r="B1514" i="3" s="1"/>
  <c r="B1515" i="3" s="1"/>
  <c r="B1516" i="3" s="1"/>
  <c r="B1517" i="3" s="1"/>
  <c r="B1518" i="3" s="1"/>
  <c r="B1519" i="3" s="1"/>
  <c r="B1520" i="3" s="1"/>
  <c r="B1521" i="3" s="1"/>
  <c r="B1522" i="3" s="1"/>
  <c r="B1523" i="3" s="1"/>
  <c r="B1524" i="3" s="1"/>
  <c r="B1525" i="3" s="1"/>
  <c r="B1526" i="3" s="1"/>
  <c r="B1527" i="3" s="1"/>
  <c r="B1528" i="3" s="1"/>
  <c r="B1529" i="3" s="1"/>
  <c r="B1530" i="3" s="1"/>
  <c r="B1531" i="3" s="1"/>
  <c r="B1532" i="3" s="1"/>
  <c r="B1533" i="3" s="1"/>
  <c r="B1534" i="3" s="1"/>
  <c r="B1535" i="3" s="1"/>
  <c r="B1536" i="3" s="1"/>
  <c r="B1537" i="3" s="1"/>
  <c r="B1538" i="3" s="1"/>
  <c r="B1539" i="3" s="1"/>
  <c r="B1540" i="3" s="1"/>
  <c r="B1541" i="3" s="1"/>
  <c r="B1542" i="3" s="1"/>
  <c r="B1543" i="3" s="1"/>
  <c r="B1544" i="3" s="1"/>
  <c r="B1545" i="3" s="1"/>
  <c r="B1546" i="3" s="1"/>
  <c r="B1547" i="3" s="1"/>
  <c r="B1548" i="3" s="1"/>
  <c r="B1549" i="3" s="1"/>
  <c r="B1550" i="3" s="1"/>
  <c r="B1551" i="3" s="1"/>
  <c r="B1552" i="3" s="1"/>
  <c r="B1553" i="3" s="1"/>
  <c r="B1554" i="3" s="1"/>
  <c r="B1555" i="3" s="1"/>
  <c r="B1556" i="3" s="1"/>
  <c r="B1557" i="3" s="1"/>
  <c r="B1558" i="3" s="1"/>
  <c r="B1559" i="3" s="1"/>
  <c r="B1560" i="3" s="1"/>
  <c r="B1561" i="3" s="1"/>
  <c r="B1562" i="3" s="1"/>
  <c r="B1563" i="3" s="1"/>
  <c r="B1564" i="3" s="1"/>
  <c r="B1565" i="3" s="1"/>
  <c r="B1566" i="3" s="1"/>
  <c r="B1567" i="3" s="1"/>
  <c r="B1568" i="3" s="1"/>
  <c r="B1569" i="3" s="1"/>
  <c r="B1570" i="3" s="1"/>
  <c r="B1571" i="3" s="1"/>
  <c r="B1572" i="3" s="1"/>
  <c r="B1573" i="3" s="1"/>
  <c r="B1574" i="3" s="1"/>
  <c r="B1575" i="3" s="1"/>
  <c r="B1576" i="3" s="1"/>
  <c r="B1577" i="3" s="1"/>
  <c r="B1578" i="3" s="1"/>
  <c r="B1579" i="3" s="1"/>
  <c r="B1580" i="3" s="1"/>
  <c r="B1581" i="3" s="1"/>
  <c r="B1582" i="3" s="1"/>
  <c r="B1583" i="3" s="1"/>
  <c r="B1584" i="3" s="1"/>
  <c r="B1585" i="3" s="1"/>
  <c r="B1586" i="3" s="1"/>
  <c r="B1587" i="3" s="1"/>
  <c r="B1588" i="3" s="1"/>
  <c r="B1589" i="3" s="1"/>
  <c r="B1590" i="3" s="1"/>
  <c r="B1591" i="3" s="1"/>
  <c r="B1592" i="3" s="1"/>
  <c r="B1593" i="3" s="1"/>
  <c r="B1594" i="3" s="1"/>
  <c r="B1595" i="3" s="1"/>
  <c r="B1596" i="3" s="1"/>
  <c r="B1597" i="3" s="1"/>
  <c r="B1598" i="3" s="1"/>
  <c r="B1599" i="3" s="1"/>
  <c r="B1600" i="3" s="1"/>
  <c r="B1601" i="3" s="1"/>
  <c r="B1602" i="3" s="1"/>
  <c r="B1603" i="3" s="1"/>
  <c r="B1604" i="3" s="1"/>
  <c r="B1605" i="3" s="1"/>
  <c r="B1606" i="3" s="1"/>
  <c r="B1607" i="3" s="1"/>
  <c r="B1608" i="3" s="1"/>
  <c r="B1609" i="3" s="1"/>
  <c r="B1610" i="3" s="1"/>
  <c r="B1611" i="3" s="1"/>
  <c r="B1612" i="3" s="1"/>
  <c r="B1613" i="3" s="1"/>
  <c r="B1614" i="3" s="1"/>
  <c r="B1615" i="3" s="1"/>
  <c r="B1616" i="3" s="1"/>
  <c r="B1617" i="3" s="1"/>
  <c r="B1618" i="3" s="1"/>
  <c r="B1619" i="3" s="1"/>
  <c r="B1620" i="3" s="1"/>
  <c r="B1621" i="3" s="1"/>
  <c r="B1622" i="3" s="1"/>
  <c r="B1623" i="3" s="1"/>
  <c r="B1624" i="3" s="1"/>
  <c r="B1625" i="3" s="1"/>
  <c r="B1626" i="3" s="1"/>
  <c r="B1627" i="3" s="1"/>
  <c r="B1628" i="3" s="1"/>
  <c r="B1629" i="3" s="1"/>
  <c r="B1630" i="3" s="1"/>
  <c r="B1631" i="3" s="1"/>
  <c r="B1632" i="3" s="1"/>
  <c r="B1633" i="3" s="1"/>
  <c r="B1634" i="3" s="1"/>
  <c r="B1635" i="3" s="1"/>
  <c r="B1636" i="3" s="1"/>
  <c r="B1637" i="3" s="1"/>
  <c r="B1638" i="3" s="1"/>
  <c r="B1639" i="3" s="1"/>
  <c r="B1640" i="3" s="1"/>
  <c r="B1641" i="3" s="1"/>
  <c r="B1642" i="3" s="1"/>
  <c r="B1643" i="3" s="1"/>
  <c r="B1644" i="3" s="1"/>
  <c r="B1645" i="3" s="1"/>
  <c r="B1646" i="3" s="1"/>
  <c r="B1647" i="3" s="1"/>
  <c r="B1648" i="3" s="1"/>
  <c r="B1649" i="3" s="1"/>
  <c r="B1650" i="3" s="1"/>
  <c r="B1651" i="3" s="1"/>
  <c r="B1652" i="3" s="1"/>
  <c r="B1653" i="3" s="1"/>
  <c r="B1654" i="3" s="1"/>
  <c r="B1655" i="3" s="1"/>
  <c r="B1656" i="3" s="1"/>
  <c r="B1657" i="3" s="1"/>
  <c r="B1658" i="3" s="1"/>
  <c r="B1659" i="3" s="1"/>
  <c r="B1660" i="3" s="1"/>
  <c r="B1661" i="3" s="1"/>
  <c r="B1662" i="3" s="1"/>
  <c r="B1663" i="3" s="1"/>
  <c r="B1664" i="3" s="1"/>
  <c r="B1665" i="3" s="1"/>
  <c r="B1666" i="3" s="1"/>
  <c r="B1667" i="3" s="1"/>
  <c r="B1668" i="3" s="1"/>
  <c r="B1669" i="3" s="1"/>
  <c r="B1670" i="3" s="1"/>
  <c r="B1671" i="3" s="1"/>
  <c r="B1672" i="3" s="1"/>
  <c r="B1673" i="3" s="1"/>
  <c r="B1674" i="3" s="1"/>
  <c r="B1675" i="3" s="1"/>
  <c r="B1676" i="3" s="1"/>
  <c r="B1677" i="3" s="1"/>
  <c r="B1678" i="3" s="1"/>
  <c r="B1679" i="3" s="1"/>
  <c r="B1680" i="3" s="1"/>
  <c r="B1681" i="3" s="1"/>
  <c r="B1682" i="3" s="1"/>
  <c r="B1683" i="3" s="1"/>
  <c r="B1684" i="3" s="1"/>
  <c r="B1685" i="3" s="1"/>
  <c r="B1686" i="3" s="1"/>
  <c r="B1687" i="3" s="1"/>
  <c r="B1688" i="3" s="1"/>
  <c r="B1689" i="3" s="1"/>
  <c r="B1690" i="3" s="1"/>
  <c r="B1691" i="3" s="1"/>
  <c r="B1692" i="3" s="1"/>
  <c r="B1693" i="3" s="1"/>
  <c r="B1694" i="3" s="1"/>
  <c r="B1695" i="3" s="1"/>
  <c r="B1696" i="3" s="1"/>
  <c r="B1697" i="3" s="1"/>
  <c r="B1698" i="3" s="1"/>
  <c r="B1699" i="3" s="1"/>
  <c r="B1700" i="3" s="1"/>
  <c r="B1701" i="3" s="1"/>
  <c r="B1702" i="3" s="1"/>
  <c r="B1703" i="3" s="1"/>
  <c r="B1704" i="3" s="1"/>
  <c r="B1705" i="3" s="1"/>
  <c r="B1706" i="3" s="1"/>
  <c r="B1707" i="3" s="1"/>
  <c r="B1708" i="3" s="1"/>
  <c r="B1709" i="3" s="1"/>
  <c r="B1710" i="3" s="1"/>
  <c r="B1711" i="3" s="1"/>
  <c r="B1712" i="3" s="1"/>
  <c r="B1713" i="3" s="1"/>
  <c r="B1714" i="3" s="1"/>
  <c r="B1715" i="3" s="1"/>
  <c r="B1716" i="3" s="1"/>
  <c r="B1717" i="3" s="1"/>
  <c r="B1718" i="3" s="1"/>
  <c r="B1719" i="3" s="1"/>
  <c r="B1720" i="3" s="1"/>
  <c r="B1721" i="3" s="1"/>
  <c r="B1722" i="3" s="1"/>
  <c r="B1723" i="3" s="1"/>
  <c r="B1724" i="3" s="1"/>
  <c r="B1725" i="3" s="1"/>
  <c r="B1726" i="3" s="1"/>
  <c r="B1727" i="3" s="1"/>
  <c r="B1728" i="3" s="1"/>
  <c r="B1729" i="3" s="1"/>
  <c r="B1730" i="3" s="1"/>
  <c r="B1731" i="3" s="1"/>
  <c r="B1732" i="3" s="1"/>
  <c r="B1733" i="3" s="1"/>
  <c r="B1734" i="3" s="1"/>
  <c r="B1735" i="3" s="1"/>
  <c r="B1736" i="3" s="1"/>
  <c r="B1737" i="3" s="1"/>
  <c r="B1738" i="3" s="1"/>
  <c r="B1739" i="3" s="1"/>
  <c r="B1740" i="3" s="1"/>
  <c r="B1741" i="3" s="1"/>
  <c r="B1742" i="3" s="1"/>
  <c r="B1743" i="3" s="1"/>
  <c r="B1744" i="3" s="1"/>
  <c r="B1745" i="3" s="1"/>
  <c r="B1746" i="3" s="1"/>
  <c r="B1747" i="3" s="1"/>
  <c r="B1748" i="3" s="1"/>
  <c r="B1749" i="3" s="1"/>
  <c r="B1750" i="3" s="1"/>
  <c r="B1751" i="3" s="1"/>
  <c r="B1752" i="3" s="1"/>
  <c r="B1753" i="3" s="1"/>
  <c r="B1754" i="3" s="1"/>
  <c r="B1755" i="3" s="1"/>
  <c r="B1756" i="3" s="1"/>
  <c r="B1757" i="3" s="1"/>
  <c r="B1758" i="3" s="1"/>
  <c r="B1759" i="3" s="1"/>
  <c r="B1760" i="3" s="1"/>
  <c r="B1761" i="3" s="1"/>
  <c r="B1762" i="3" s="1"/>
  <c r="B1763" i="3" s="1"/>
  <c r="B1764" i="3" s="1"/>
  <c r="B1765" i="3" s="1"/>
  <c r="B1766" i="3" s="1"/>
  <c r="B1767" i="3" s="1"/>
  <c r="B1768" i="3" s="1"/>
  <c r="B1769" i="3" s="1"/>
  <c r="B1770" i="3" s="1"/>
  <c r="B1771" i="3" s="1"/>
  <c r="B1772" i="3" s="1"/>
  <c r="B1773" i="3" s="1"/>
  <c r="B1774" i="3" s="1"/>
  <c r="B1775" i="3" s="1"/>
  <c r="B1776" i="3" s="1"/>
  <c r="B1777" i="3" s="1"/>
  <c r="B1778" i="3" s="1"/>
  <c r="B1779" i="3" s="1"/>
  <c r="B1780" i="3" s="1"/>
  <c r="B1781" i="3" s="1"/>
  <c r="B1782" i="3" s="1"/>
  <c r="B1783" i="3" s="1"/>
  <c r="B1784" i="3" s="1"/>
  <c r="B1785" i="3" s="1"/>
  <c r="B1786" i="3" s="1"/>
  <c r="B1787" i="3" s="1"/>
  <c r="B1788" i="3" s="1"/>
  <c r="B1789" i="3" s="1"/>
  <c r="B1790" i="3" s="1"/>
  <c r="B1791" i="3" s="1"/>
  <c r="B1792" i="3" s="1"/>
  <c r="B1793" i="3" s="1"/>
  <c r="B1794" i="3" s="1"/>
  <c r="B1795" i="3" s="1"/>
  <c r="B1796" i="3" s="1"/>
  <c r="B1797" i="3" s="1"/>
  <c r="B1798" i="3" s="1"/>
  <c r="B1799" i="3" s="1"/>
  <c r="B1800" i="3" s="1"/>
  <c r="B1801" i="3" s="1"/>
  <c r="B1802" i="3" s="1"/>
  <c r="B1803" i="3" s="1"/>
  <c r="B1804" i="3" s="1"/>
  <c r="B1805" i="3" s="1"/>
  <c r="B1806" i="3" s="1"/>
  <c r="B1807" i="3" s="1"/>
  <c r="B1808" i="3" s="1"/>
  <c r="B1809" i="3" s="1"/>
  <c r="B1810" i="3" s="1"/>
  <c r="B1811" i="3" s="1"/>
  <c r="B1812" i="3" s="1"/>
  <c r="B1813" i="3" s="1"/>
  <c r="B1814" i="3" s="1"/>
  <c r="B1815" i="3" s="1"/>
  <c r="B1816" i="3" s="1"/>
  <c r="B1817" i="3" s="1"/>
  <c r="B1818" i="3" s="1"/>
  <c r="B1819" i="3" s="1"/>
  <c r="B1820" i="3" s="1"/>
  <c r="B1821" i="3" s="1"/>
  <c r="B1822" i="3" s="1"/>
  <c r="B1823" i="3" s="1"/>
  <c r="B1824" i="3" s="1"/>
  <c r="B1825" i="3" s="1"/>
  <c r="B1826" i="3" s="1"/>
  <c r="B1827" i="3" s="1"/>
  <c r="B1828" i="3" s="1"/>
  <c r="B1829" i="3" s="1"/>
  <c r="B1830" i="3" s="1"/>
  <c r="B1831" i="3" s="1"/>
  <c r="B1832" i="3" s="1"/>
  <c r="B1833" i="3" s="1"/>
  <c r="B1834" i="3" s="1"/>
  <c r="B1835" i="3" s="1"/>
  <c r="B1836" i="3" s="1"/>
  <c r="B1837" i="3" s="1"/>
  <c r="B1838" i="3" s="1"/>
  <c r="B1839" i="3" s="1"/>
  <c r="B1840" i="3" s="1"/>
  <c r="B1841" i="3" s="1"/>
  <c r="B1842" i="3" s="1"/>
  <c r="B1843" i="3" s="1"/>
  <c r="B1844" i="3" s="1"/>
  <c r="B1845" i="3" s="1"/>
  <c r="B1846" i="3" s="1"/>
  <c r="B1847" i="3" s="1"/>
  <c r="B1848" i="3" s="1"/>
  <c r="B1849" i="3" s="1"/>
  <c r="B1850" i="3" s="1"/>
  <c r="B1851" i="3" s="1"/>
  <c r="B1852" i="3" s="1"/>
  <c r="B1853" i="3" s="1"/>
  <c r="B1854" i="3" s="1"/>
  <c r="B1855" i="3" s="1"/>
  <c r="B1856" i="3" s="1"/>
  <c r="B1857" i="3" s="1"/>
  <c r="B1858" i="3" s="1"/>
  <c r="B1859" i="3" s="1"/>
  <c r="B1860" i="3" s="1"/>
  <c r="B1861" i="3" s="1"/>
  <c r="B1862" i="3" s="1"/>
  <c r="B1863" i="3" s="1"/>
  <c r="B1864" i="3" s="1"/>
  <c r="B1865" i="3" s="1"/>
  <c r="B1866" i="3" s="1"/>
  <c r="B1867" i="3" s="1"/>
  <c r="B1868" i="3" s="1"/>
  <c r="B1869" i="3" s="1"/>
  <c r="B1870" i="3" s="1"/>
  <c r="B1871" i="3" s="1"/>
  <c r="B1872" i="3" s="1"/>
  <c r="B1873" i="3" s="1"/>
  <c r="B1874" i="3" s="1"/>
  <c r="B1875" i="3" s="1"/>
  <c r="B1876" i="3" s="1"/>
  <c r="B1877" i="3" s="1"/>
  <c r="B1878" i="3" s="1"/>
  <c r="B1879" i="3" s="1"/>
  <c r="B1880" i="3" s="1"/>
  <c r="B1881" i="3" s="1"/>
  <c r="B1882" i="3" s="1"/>
  <c r="B1883" i="3" s="1"/>
  <c r="B1884" i="3" s="1"/>
  <c r="B1885" i="3" s="1"/>
  <c r="B1886" i="3" s="1"/>
  <c r="B1887" i="3" s="1"/>
  <c r="B1888" i="3" s="1"/>
  <c r="B1889" i="3" s="1"/>
  <c r="B1890" i="3" s="1"/>
  <c r="B1891" i="3" s="1"/>
  <c r="B1892" i="3" s="1"/>
  <c r="B1893" i="3" s="1"/>
  <c r="B1894" i="3" s="1"/>
  <c r="B1895" i="3" s="1"/>
  <c r="B1896" i="3" s="1"/>
  <c r="B1897" i="3" s="1"/>
  <c r="B1898" i="3" s="1"/>
  <c r="B1899" i="3" s="1"/>
  <c r="B1900" i="3" s="1"/>
  <c r="B1901" i="3" s="1"/>
  <c r="B1902" i="3" s="1"/>
  <c r="B1903" i="3" s="1"/>
  <c r="B1904" i="3" s="1"/>
  <c r="B1905" i="3" s="1"/>
  <c r="B1906" i="3" s="1"/>
  <c r="B1907" i="3" s="1"/>
  <c r="B1908" i="3" s="1"/>
  <c r="B1909" i="3" s="1"/>
  <c r="B1910" i="3" s="1"/>
  <c r="B1911" i="3" s="1"/>
  <c r="B1912" i="3" s="1"/>
  <c r="B1913" i="3" s="1"/>
  <c r="B1914" i="3" s="1"/>
  <c r="B1915" i="3" s="1"/>
  <c r="B1916" i="3" s="1"/>
  <c r="B1917" i="3" s="1"/>
  <c r="B1918" i="3" s="1"/>
  <c r="B1919" i="3" s="1"/>
  <c r="B1920" i="3" s="1"/>
  <c r="B1921" i="3" s="1"/>
  <c r="B1922" i="3" s="1"/>
  <c r="B1923" i="3" s="1"/>
  <c r="B1924" i="3" s="1"/>
  <c r="B1925" i="3" s="1"/>
  <c r="B1926" i="3" s="1"/>
  <c r="B1927" i="3" s="1"/>
  <c r="B1928" i="3" s="1"/>
  <c r="B1929" i="3" s="1"/>
  <c r="B1930" i="3" s="1"/>
  <c r="B1931" i="3" s="1"/>
  <c r="B1932" i="3" s="1"/>
  <c r="B1933" i="3" s="1"/>
  <c r="B1934" i="3" s="1"/>
  <c r="B1935" i="3" s="1"/>
  <c r="B1936" i="3" s="1"/>
  <c r="B1937" i="3" s="1"/>
  <c r="B1938" i="3" s="1"/>
  <c r="B1939" i="3" s="1"/>
  <c r="B1940" i="3" s="1"/>
  <c r="B1941" i="3" s="1"/>
  <c r="B1942" i="3" s="1"/>
  <c r="B1943" i="3" s="1"/>
  <c r="B1944" i="3" s="1"/>
  <c r="B1945" i="3" s="1"/>
  <c r="B1946" i="3" s="1"/>
  <c r="B1947" i="3" s="1"/>
  <c r="B1948" i="3" s="1"/>
  <c r="B1949" i="3" s="1"/>
  <c r="B1950" i="3" s="1"/>
  <c r="B1951" i="3" s="1"/>
  <c r="B1952" i="3" s="1"/>
  <c r="B1953" i="3" s="1"/>
  <c r="B1954" i="3" s="1"/>
  <c r="B1955" i="3" s="1"/>
  <c r="B1956" i="3" s="1"/>
  <c r="B1957" i="3" s="1"/>
  <c r="B1958" i="3" s="1"/>
  <c r="B1959" i="3" s="1"/>
  <c r="B1960" i="3" s="1"/>
  <c r="B1961" i="3" s="1"/>
  <c r="B1962" i="3" s="1"/>
  <c r="B1963" i="3" s="1"/>
  <c r="B1964" i="3" s="1"/>
  <c r="B1965" i="3" s="1"/>
  <c r="B1966" i="3" s="1"/>
  <c r="B1967" i="3" s="1"/>
  <c r="B1968" i="3" s="1"/>
  <c r="B1969" i="3" s="1"/>
  <c r="B1970" i="3" s="1"/>
  <c r="B1971" i="3" s="1"/>
  <c r="B1972" i="3" s="1"/>
  <c r="B1973" i="3" s="1"/>
  <c r="B1974" i="3" s="1"/>
  <c r="B1975" i="3" s="1"/>
  <c r="B1976" i="3" s="1"/>
  <c r="B1977" i="3" s="1"/>
  <c r="B1978" i="3" s="1"/>
  <c r="B1979" i="3" s="1"/>
  <c r="B1980" i="3" s="1"/>
  <c r="B1981" i="3" s="1"/>
  <c r="B1982" i="3" s="1"/>
</calcChain>
</file>

<file path=xl/sharedStrings.xml><?xml version="1.0" encoding="utf-8"?>
<sst xmlns="http://schemas.openxmlformats.org/spreadsheetml/2006/main" count="2132" uniqueCount="1158">
  <si>
    <t>VÖRUSKRÁ – HRÁEFNI OG INNIHALDSEFNI</t>
  </si>
  <si>
    <t>Heiti vöru</t>
  </si>
  <si>
    <t>Framleiðandi / Byrgi</t>
  </si>
  <si>
    <t>Vörúnúmer</t>
  </si>
  <si>
    <t>Vörúflokkur</t>
  </si>
  <si>
    <t>Innihaldslýsing</t>
  </si>
  <si>
    <t>Ofnæmisvaldar</t>
  </si>
  <si>
    <t>Fyrirvari</t>
  </si>
  <si>
    <t>Hlekkur á gagnablað</t>
  </si>
  <si>
    <t>Orka
(kcal/100g)</t>
  </si>
  <si>
    <t>Fita
(g/100g)</t>
  </si>
  <si>
    <t>Mettuð fita
(g/100g)</t>
  </si>
  <si>
    <t>Kolvetni
(g/100g)</t>
  </si>
  <si>
    <t>Sykur
(g/100g)</t>
  </si>
  <si>
    <t>Prótein
(g/100g)</t>
  </si>
  <si>
    <t>Salt
(g/100g)</t>
  </si>
  <si>
    <t>Trefjar
(g/100g)</t>
  </si>
  <si>
    <t>Kostnaður
(kr/kg)</t>
  </si>
  <si>
    <t>Athugasemdir</t>
  </si>
  <si>
    <t>Ömmu skonsur heilar</t>
  </si>
  <si>
    <t>Gæðabakstur / Ömmubakstur ehf.</t>
  </si>
  <si>
    <t>121</t>
  </si>
  <si>
    <t>Bakkelsi</t>
  </si>
  <si>
    <t>Vatn, **hveiti**, **HAFRAMJÖL**, repjuolía, sykur, **HEILHVEITI**, **egg**, **MYSUDUFT**, pálmaolía, lyftiefni (E450, E500), salt, maltað **hveiti**, mjölmeðhöndlunarefni (E300), rotvarnarefni (E282), sykur, bindiefni (E322 úr sólblómum, E471), dextrósi, bragðefni, rotvarnarefni (E211), sýrustillir (E330), vanillubragðefni, kókosolía, litarefni (E150c, E150a), kekkjarvarnarefni (E535)</t>
  </si>
  <si>
    <t>Glúten (hveiti, haframjöl), egg, mjólk</t>
  </si>
  <si>
    <t>Gæti innihaldið snefil af sesam.</t>
  </si>
  <si>
    <t>https://gaedabakstur.is/vara/ommuskonsur-heilar-10stk-i-pakka/</t>
  </si>
  <si>
    <t>Bananaskonsur</t>
  </si>
  <si>
    <t>122</t>
  </si>
  <si>
    <t>Hrísmjólk (vatn, hrísgrjón, sólblómaolía, kalsíum, maltextrakt, salt, bindiefni E418, vítamín B12, D2, sýrustillir E340), **hveiti**, vatn, sykur, banani, repjuolía, maltað **hveiti**, mjölmeðhöndlunarefni (E300), lyftiefni (E450, E500), salt, vanillubragðefni, litarefni (E150c), kekkjarvarnarefni (E535)</t>
  </si>
  <si>
    <t>Glúten (hveiti)</t>
  </si>
  <si>
    <t>Gæti innihaldið snefil af sesam, mjólk og eggjum.</t>
  </si>
  <si>
    <t>https://gaedabakstur.is/vara/bananaskonsur/</t>
  </si>
  <si>
    <t>Sólkjarnabrauð plötubrauð</t>
  </si>
  <si>
    <t>730</t>
  </si>
  <si>
    <t>Brauð</t>
  </si>
  <si>
    <t>**Hveiti**, vatn, 12,3% - sólkjarnafræ, **rúgmjöl**, hörfræ, maltað **hveiti**, salt, maltað **bygg**, mjölmeðhöndlunarefni (E300), ger, malt extrakt (úr **byggi**), súrdeigsduft úr **hveiti** (**hveiti**, gerlar), dextrósi, **hveitiglúten**, bindiefni (E472e, E491), ensím, kekkjarvarnarefni (E535)</t>
  </si>
  <si>
    <t>Glúten</t>
  </si>
  <si>
    <t>Gæti innihaldið snefil af sesamfræjum</t>
  </si>
  <si>
    <t>https://gaedabakstur.is/vara/solkjarnabraud/</t>
  </si>
  <si>
    <t>Beyglur fínar KS(48)</t>
  </si>
  <si>
    <t>Myllan</t>
  </si>
  <si>
    <t>3413</t>
  </si>
  <si>
    <t>Brauð / Frystar vörur</t>
  </si>
  <si>
    <t>**hveiti**, vatn, sykur, maltað mjöl (**bygg**, **hveiti**), salt, ger, óvirkt þurrger, ýruefni (E472e), repjuolía, mjölmeðhöndlunarefni (E300), ensím.</t>
  </si>
  <si>
    <t>Glúten (hveiti, bygg)</t>
  </si>
  <si>
    <t>Framleitt á svæði þar sem unnið er með sesamfræ, mjólk, egg, lúpínu, soja</t>
  </si>
  <si>
    <t>https://www.myllan.is/is/vorulinur/frosin-pokkud-vara/beyglur-finar</t>
  </si>
  <si>
    <t>Heilkornasamlokubrauð stórt</t>
  </si>
  <si>
    <t>1036</t>
  </si>
  <si>
    <t>Vatn, heilkorna **HEILHVEITI** 17%, heilkorna **RÚGMJÖL** 17%, **hveiti**, **HVEITIGLÚTEN**, **HVEITIFLÖGUR**, **RÚGMJÖL**, þurrkað súrdeig (**RÚGUR**, súrdeigsgerlar), **HVEITIKURL**, ger, maltextrakt (**bygg**), repjuolía, salt, þykkingarefni (E415), sýrustillir (E262), ýruefni (E471, E472e), þurrkað súrdeig (**hveiti**, súrdeigsgerlar), mjölmeðhöndlunarefni (E300)</t>
  </si>
  <si>
    <t>Glúten (hveiti, rúgur, bygg)</t>
  </si>
  <si>
    <t>Framleitt á svæði þar sem unnið er með sesamfræ, egg, mjólk og lúpínu</t>
  </si>
  <si>
    <t>https://www.myllan.is/is/vorulinur/samlokubraud/heilkornasamlokubraud-stort</t>
  </si>
  <si>
    <t>Heimilisbrauð 1/1</t>
  </si>
  <si>
    <t>1023</t>
  </si>
  <si>
    <t>**Hveiti**, vatn, **HVEITIKURL**, repjuolía, ger, salt, **HVEITITREFJAR**, mjölmeðhöndlunarefni (E300), ýruefni (E481)</t>
  </si>
  <si>
    <t>Framleitt á svæði þar sem unnið er með sesamfræ, mjólk, egg og lúpínu</t>
  </si>
  <si>
    <t>https://www.myllan.is/is/vorulinur/samlokubraud/heimilisbraud-heilt</t>
  </si>
  <si>
    <t>Lífskornabrauð m/ tröllahöfrum og chia</t>
  </si>
  <si>
    <t>1063</t>
  </si>
  <si>
    <t>Vatn, **TRÖLLAHAFRAR** 21%, heilkorna **HEILHVEITI** 16%, **hveiti**, **HVEITIGLÚTEN**, **RÚGMJÖL**, þurrkað súrdeig (**RÚGUR**, súrdeigsgerlar), **HVEITIKURL**, ger, chia fræ 1% (Salvia hispanica), maltextrakt (**bygg**), repjuolía, joðbætt salt, þykkingarefni (E415), sýrustillir (E262), ýruefni (E471, E472e), mjölmeðhöndlunarefni (E300)</t>
  </si>
  <si>
    <t>Glúten (tröllahafrar, heilhveiti, hveiti, rúgur, bygg)</t>
  </si>
  <si>
    <t>https://www.myllan.is/is/vorulinur/vegan-vorur/lifskorn-trollahafrar-chiafrae</t>
  </si>
  <si>
    <t>Hvítlauksbrauð / baguette</t>
  </si>
  <si>
    <t>4280</t>
  </si>
  <si>
    <t>Mjöl (**hveiti**, maltað **hveiti**), vatn, smjör (**mjólk**), jurtafita (pálma), jurtaolía (repju), joðbætt salt, ger, hvítlaukur 0,6%, laukduft, ýruefni (E472e, E471, sólblómalesitín), sýrustillir (E341, E450, E330), óvirkt ger, steinselja, salt, þykkingarefni (E412), bragðefni, þráavarnarefni (E300), ensím (alfaamýlasi, xýlanasi)</t>
  </si>
  <si>
    <t>Glúten (hveiti), mjólk</t>
  </si>
  <si>
    <t>Getur innihaldið snefil af eggjum, soja, sinnepi og sesamfræjum.</t>
  </si>
  <si>
    <t>https://drive.google.com/file/d/1ISY9dqVNVBuKMul2k8e0kwwb7vSrJhlW/view</t>
  </si>
  <si>
    <t>Dökkt súrdeigsbrauð (Skanörgrova)</t>
  </si>
  <si>
    <t>Pågen</t>
  </si>
  <si>
    <t>1003</t>
  </si>
  <si>
    <t>Vatn, **hveiti**mjöl, súrdeig úr **hveiti**korni (13%), heilkorna**hveiti**mjöl, dinkel**hveiti**mjöl, muldir heilkornakjarnar úr dinkel**hveiti**, **hafra**grjón, skolað heilkorna**hafra**mjöl, **hveiti**glúten, heilkorna**rúg**mjöl, heilkorna durum**hveiti**mjöl, **hafra**trefjar, kaldpressuð repjuolía (1%), **hveiti**kímar, gul hörfræ, sykur, ger, malt úr **byggi** og **hveiti**, salt.</t>
  </si>
  <si>
    <t>Glúten (hveiti, rúg, hafrar, bygg)</t>
  </si>
  <si>
    <t>https://drive.google.com/file/d/1_xC3btJzq-zmdaQHqlJ0_0EY7KwFaCqs/view</t>
  </si>
  <si>
    <t>Ljóst súrdeigsbrauð (LantGoda Surdegsbröd)</t>
  </si>
  <si>
    <t>1004</t>
  </si>
  <si>
    <t>Vatn, **hveiti**mjöl, súrdeig úr **hveiti** (13%), heilkorna**hveiti**mjöl, dinkel**hveiti**mjöl, muldir heilkornakjarnar úr dinkel**hveiti**, **hafra**grjón, skolað heilkorna**hafra**mjöl, **hveiti**glúten, heilkorna**rúg**mjöl, heilkorna durum**hveiti**mjöl, **hafra**trefjar, kaldpressuð repjuolía (1%), **hveiti**kímar, gul hörfræ, sykur, ger, malt úr **byggi** og **hveiti**, salt.</t>
  </si>
  <si>
    <t>https://drive.google.com/file/d/1aObopm1C2qlx3QieZ3phPb3MzLNGDVZz/view</t>
  </si>
  <si>
    <t>Hrökkbrauð – Spelt (Burger crispbread)</t>
  </si>
  <si>
    <t>Burger Knäcke GmbH + Co. KG</t>
  </si>
  <si>
    <t>Hrökkbrauð</t>
  </si>
  <si>
    <t>Heilkorna**rúg**mjöl, **spelt**flögur (**hveiti**), heilkorna**spelt**mjöl (**hveiti**), salt.</t>
  </si>
  <si>
    <t>Glúten (rúg, spelt (hveiti))</t>
  </si>
  <si>
    <t>Getur innihaldið snefil af sesam, mjólk og öðrum glútentegundum</t>
  </si>
  <si>
    <t>https://drive.google.com/file/d/1z4yQiAT8epMbEaAPA9lsAZjC7K1VKYth/view</t>
  </si>
  <si>
    <t>Heilhveitikex (HAUST Graham biscuit)</t>
  </si>
  <si>
    <t>Continental Bakeries North Europe AB</t>
  </si>
  <si>
    <t>307242</t>
  </si>
  <si>
    <t>Kex / Bakkelsi</t>
  </si>
  <si>
    <t>**Hveiti**mjöl, heilkorna **hveiti**mjöl 30%, sykur, jurtafita (pálma), lyftiefni (ammoníumkarbónöt, natríumkarbónöt), salt, bragðefni.</t>
  </si>
  <si>
    <t>Getur innihaldið snefil af hnetum og sesam</t>
  </si>
  <si>
    <t>https://docs.google.com/document/d/1hSm-4pt3r15YYOeuqlWMbkkVgdKc8cwt0qPlCRs1ssM/edit</t>
  </si>
  <si>
    <t>Horn / Mini croissant 25g</t>
  </si>
  <si>
    <t>Boulangerie Neuhauser SA</t>
  </si>
  <si>
    <t>401262</t>
  </si>
  <si>
    <t>Bakkelsi / Frystar vörur</t>
  </si>
  <si>
    <t>**Hveiti**mjöl, vatn, **smjör** 18%, ger, sykur, **egg**, salt, **hveiti**glúten, maltað **hveiti**mjöl, óvirkt ger, mjölmeðhöndlunarefni (askorbínsýra E300), ensím.</t>
  </si>
  <si>
    <t>Glúten (hveiti), mjólk (smjör), egg</t>
  </si>
  <si>
    <t>https://drive.google.com/file/d/1DNHhTRSDQjq03Ewnj0fn_EU30mAnbK52/view</t>
  </si>
  <si>
    <t>Arna skyr vanillu</t>
  </si>
  <si>
    <t>Arna / MS</t>
  </si>
  <si>
    <t>Mjólkurvörur</t>
  </si>
  <si>
    <t>**Mjólk**, sykur (5.0%), maíssterkja, vanilluþykkni (0,1%), vanillukorn, sítrónusafi, skyrgerlar, laktasi.</t>
  </si>
  <si>
    <t>Mjólk</t>
  </si>
  <si>
    <t>https://drive.google.com/file/d/1yzNdxeJqQSbLVXSF15Oeij4m2PUBv2GA/view</t>
  </si>
  <si>
    <t>Heimilis grjónagrautur</t>
  </si>
  <si>
    <t>Matarstræti</t>
  </si>
  <si>
    <t>400208</t>
  </si>
  <si>
    <t>Grautar / Kælivörur</t>
  </si>
  <si>
    <t>**Mjólk**, hrísgrjón(12%), sykur, salt.</t>
  </si>
  <si>
    <t>https://drive.google.com/file/d/1Q4ZfVecv6vttdWG8fU0WA-1aeEo59cEB/view</t>
  </si>
  <si>
    <t>Oatly iMat Fraiche (sýrður hafrarjómi)</t>
  </si>
  <si>
    <t>Oatly</t>
  </si>
  <si>
    <t>61529</t>
  </si>
  <si>
    <t>Rjómi / Kælivörur</t>
  </si>
  <si>
    <t>Gerjaður hafragrunnur (vatn, hafrar 10%), repjuolía, fullhertar jurtaolíur (kókos, repju), kartöflusterkja, ýruefni (E472e), bindiefni (E407), sýrur (eplasýra, mjólkursýra), kalsíumkarbónat, kalsíumfosföt.</t>
  </si>
  <si>
    <t>https://docs.google.com/document/d/1vtp7UoMhU2kAQ80lddgVvUUhOoVTIYypmLZ4XRd5l3E/edit</t>
  </si>
  <si>
    <t>Debic Vegan Top (jurtarjómi)</t>
  </si>
  <si>
    <t>FrieslandCampina / Debic</t>
  </si>
  <si>
    <t>1180281</t>
  </si>
  <si>
    <t>Vatn (64%), jurtaolía (29%) (pálmakjarni, pálmi), þurrkað glúkósasíróp (5%), umbreytt sterkja, salt, bindiefni (E339, gellangúmmí), ýruefni (lesitín, E435, E472b), litarefni (karótín), náttúruleg bragðefni.</t>
  </si>
  <si>
    <t>Engir skráðir</t>
  </si>
  <si>
    <t>https://drive.google.com/file/d/1VkCiTqPDw5l0voO-OiMPXkFvU-St0eZv/view</t>
  </si>
  <si>
    <t>Ali brauðskinka 62%</t>
  </si>
  <si>
    <t>Síldar og Fiskur ehf.</t>
  </si>
  <si>
    <t>Kjöt / Kælivörur</t>
  </si>
  <si>
    <t>Grísakjöt (62%), vatn, kartöflumjöl, **sojaprótein**, salt, þrúgusykur, bindiefni (E451), þráavarnarefni (E301, E330), gerextrakt, þykkingarefni (E410, E407), bragðefni, rotvarnarefni (E270, E250)</t>
  </si>
  <si>
    <t>Soja</t>
  </si>
  <si>
    <t>https://docs.google.com/document/d/1tYCZIN-9wdHVdNDDkGYzBt6KHJktVy-txKVoBoCKeKQ/edit</t>
  </si>
  <si>
    <t>Ali kjúklingapylsur</t>
  </si>
  <si>
    <t>Kjúklingakjöt 58%, kjúklingaskinn 24%, vatn, salt, krydd (**sinnep**, hvítlaukur), gerextrakt, bragðefni, rotvarnarefni (E250)</t>
  </si>
  <si>
    <t>Sinnep</t>
  </si>
  <si>
    <t>https://drive.google.com/file/d/1YjhRYrqRfXtv7LqVwi1Ut5s0ZlUPbbqk/view</t>
  </si>
  <si>
    <t>Kjúklingabollur 5 kg</t>
  </si>
  <si>
    <t>Matfugl ehf.</t>
  </si>
  <si>
    <t>174170</t>
  </si>
  <si>
    <t>Kjöt / Frystar vörur</t>
  </si>
  <si>
    <t>Kjúklingaleggjakjöt, kartöflusterkja, vatn, **soja**prótein, salt, þurrkað grænmeti (laukur, hvítlaukur, paprika), bragðefni (**soja**), krydd (**sinnep**), þrúgusykur, **hveiti**prótein, gerextrakt, litarefni (E160c), krydd, ger, repjuolía, fosfat (E450)</t>
  </si>
  <si>
    <t>Hveiti, soja, sinnep</t>
  </si>
  <si>
    <t>https://drive.google.com/file/d/1YThV-MnjJNGCpLCeYQojXy09zGYF6MrY/view</t>
  </si>
  <si>
    <t>Kjúklingaborgarar í cornflakes</t>
  </si>
  <si>
    <t>174311</t>
  </si>
  <si>
    <t>Kjötfylling (79%) (Kjúklingakjöt (83% af fyllingu), vatn, **soja**prótein, salt, krydd, gerþykkni, laukur), Brauðhjúpur (**hveiti**, maís, vatn, sykur, salt, maltað **bygg** extrakt), repjuolía.</t>
  </si>
  <si>
    <t>Hveiti, soja, bygg</t>
  </si>
  <si>
    <t>https://drive.google.com/file/d/1eikdCgUrXnNjx_B4w2fUH_3E5nIrr0Kz/view</t>
  </si>
  <si>
    <t>kjúklinga Lærakjöt Rodizio</t>
  </si>
  <si>
    <t>171481</t>
  </si>
  <si>
    <t>Úrbeinuð skinnlaus kjúklingalæri (83%), vatn, salt, jurtaolía (repju og palma olía), sykur, mango chutney, ávaxtaþykkni, sýrustillir (E500), krydd reykbragðefni, rotvarnarefni (E262), þráavarnarefni (E320)</t>
  </si>
  <si>
    <t>https://drive.google.com/file/d/111MXMHumSNCo1SX0OgN5_iw4ol6nI6Y0/view</t>
  </si>
  <si>
    <t>Kjúklingalæri úrbeinuð</t>
  </si>
  <si>
    <t>Danpo</t>
  </si>
  <si>
    <t>844014</t>
  </si>
  <si>
    <t>Úrbeinað og skinnlaust kjúklingalæri 80%, vatn 19%, salt, sykur, þráavarnarefni (E331, E301), sýrustillir (E262).</t>
  </si>
  <si>
    <t>https://drive.google.com/file/d/1GO4O3alIJnHNWfA6fdAD_SVmAdbBm5wZ/view</t>
  </si>
  <si>
    <t>NOL Kindakæfa 200g</t>
  </si>
  <si>
    <t>Kjarnafæði Norðlenska hf.</t>
  </si>
  <si>
    <t>70519</t>
  </si>
  <si>
    <t>Lambakjöt 80%, kjötsoð, laukduft, salt, pipar.</t>
  </si>
  <si>
    <t>https://docs.google.com/document/d/1LXzsuB69-IC_oRxF1lHfWTuKdnHk4OhCG33dUGHUGSs/edit</t>
  </si>
  <si>
    <t>Lifrarpylsa án mjólkur, soðin</t>
  </si>
  <si>
    <t>59804</t>
  </si>
  <si>
    <t>Lambalifur 32%, lambamör, **RÚGMJÖL**, **HAFRAMJÖL**, vatn, salt.</t>
  </si>
  <si>
    <t>Glúten (RÚGMJÖL, HAFRAMJÖL)</t>
  </si>
  <si>
    <t>https://docs.google.com/document/d/1dqgFZjSbMdctBpuTsZ86-uVkLNdvEtPTC6Kh8455--Y/edit</t>
  </si>
  <si>
    <t>Ýsa í raspi</t>
  </si>
  <si>
    <t>Hafið fiskverslun</t>
  </si>
  <si>
    <t>1164</t>
  </si>
  <si>
    <t>Fiskur / Kælivörur</t>
  </si>
  <si>
    <t>Ýsa, raspur (**hveiti**, vatn, ger, salt, litarefni (E100, E160b)), hjúpur (**hveiti**, **glúten**, salt, umbreytt **hveiti**sterkja).</t>
  </si>
  <si>
    <t>Fiskur, hveiti, glúten</t>
  </si>
  <si>
    <t>https://docs.google.com/document/d/1mrPTXRk_Pt2msU-ckh0eoh4oUCEKrI5g/edit</t>
  </si>
  <si>
    <t>Fiskibollur án glúten</t>
  </si>
  <si>
    <t>Norðanfiskur</t>
  </si>
  <si>
    <t>9060</t>
  </si>
  <si>
    <t>Fiskur / Frystar vörur</t>
  </si>
  <si>
    <t>**Þorskur**, laukur, kartöflumjöl, umbreytt sterkja, jurtatrefjar, **soja**prótein, laukduft, salt, bindiefni (E451), hvítur pipar repjuolía.</t>
  </si>
  <si>
    <t>Fiskur, soja</t>
  </si>
  <si>
    <t>https://drive.google.com/file/d/1su1X4NqQ06JKbPrLHqbYVzuDSI9b-_ZY/view</t>
  </si>
  <si>
    <t>Anamma Vegan Nuggets Pea</t>
  </si>
  <si>
    <t>Anamma / Orkla Foods Sweden</t>
  </si>
  <si>
    <t>454071477</t>
  </si>
  <si>
    <t>Plantabasað / Frystar vörur</t>
  </si>
  <si>
    <t>Vatn, baunaprótein(17%), repjuolía, glútenlaus raspur (hrísgrjónamjöl, kjúklingabaunamjöl, maíssterkja, salt, dextrósi), hrísgrjónamjöl, maíssterkja, laukur, salt, náttúruleg bragðefni (paprika, kóríander, múskat), bindiefni (metýlsellulósi)</t>
  </si>
  <si>
    <t>Getur innihaldið snefil af soja</t>
  </si>
  <si>
    <t>https://docs.google.com/document/d/1hD7vfcvl0f75johYoY3PnnS548AlpCDkNKyTSEnJezk/edit</t>
  </si>
  <si>
    <t>BBQ Oumph! (Pulled)</t>
  </si>
  <si>
    <t>LiveKindly Collective AB</t>
  </si>
  <si>
    <t>1407</t>
  </si>
  <si>
    <t>Sojaprótein 54,3% (vatn, sojapróteinþykkni), grillsósa 45,7% (vatn, krydd, sykur, salt, karamellaður sykur, tómatur, laukur, hvítlaukur, sinnep, cayennepipar, engifer, steinselja, svartur pipar, sítrónusýra, repjuolía, náttúruleg bragðefni, maltódextrín, umbreytt maíssterkja, bragðefni), tómatpúrra, eplaþykkni, edik, reykbragðefni.</t>
  </si>
  <si>
    <t>Soja (sojabaunir)</t>
  </si>
  <si>
    <t>https://drive.google.com/file/d/1ny7Hc5Bb9td7Jjuz8iDeeFNvGw0ASEur/view</t>
  </si>
  <si>
    <t>Asískar grænmetisbollur</t>
  </si>
  <si>
    <t>Avita</t>
  </si>
  <si>
    <t>8808</t>
  </si>
  <si>
    <t>Grænmeti (gulrætur, hvítkál, bambus, paprika, svartir sveppir, blaðlaukur, laukur, sykurbaunir) 40,5%, hrísgrjón 35%, repjuolía, kartöfluflögur, baunasterkja, döðlur 3%, sólblómaolía, krydd, salt, sykur, steinselja, kartöflusterkja, bindiefni (hýdroxýprópýl metýlsellulósi)</t>
  </si>
  <si>
    <t>https://drive.google.com/file/d/1apWuKGpcNAqp6PlmDeLj6QCa3EUrWc9L/view</t>
  </si>
  <si>
    <t>Falafel bollur Funky Harissa &amp; Grilled Pepper</t>
  </si>
  <si>
    <t>Salomon FoodWorld</t>
  </si>
  <si>
    <t>8530200</t>
  </si>
  <si>
    <t>Kjúklingabaunir (33%), kartöflur, **hveiti**mjöl, kjúklingabaunamjöl, vatn, paprika (5%), gulrætur, þurrkaðir tómatar (3%), laukur, piparþykkni, repjuolía, krydd, svart kúmen, hvítlaukur, maísmjöl, salt, chili, kryddþykkni, sýra (sítrónusýra), tómatþykkni, **hveiti**sterkja, kryddjurtir, lyftiefni (dífosföt, natríumkarbónöt)</t>
  </si>
  <si>
    <t>https://drive.google.com/file/d/1Y-R-GvIw5gcBuCYDUT2F0S5nWJRmSJ_/view</t>
  </si>
  <si>
    <t>Garden Gourmet Vegan Nuggets</t>
  </si>
  <si>
    <t>Nestlé Professional</t>
  </si>
  <si>
    <t>12608135</t>
  </si>
  <si>
    <t>Endurvökvað **hveiti**prótein 40,9% (vatn, **hveiti**prótein 9,7%, **hveiti**mjöl 2,8%), raspur 17% (**hveiti**mjöl, salt, ger, repjuolía, kryddþykkni paprika), vatn, jurtaolíur (repja, sólblómaolía), **hveiti**mjöl, baunaprótein, sýrustillir (buffrað edik), bindiefni (metýlsellulósi), **hveiti**glúten 1,7%, náttúruleg bragðefni, sterkja, sítrustrefjar, salt, bambustrefjar, laukduft, hvítur pipar, **soja**sósa (**sojabaunir**, **hveiti**, salt)</t>
  </si>
  <si>
    <t>Glúten (hveiti), soja</t>
  </si>
  <si>
    <t>Getur innihaldið snefil af eggjum.</t>
  </si>
  <si>
    <t>https://drive.google.com/file/d/1_5EjaAcN-dT9_KQ7b3yra7RJppPeaS/view</t>
  </si>
  <si>
    <t>Marrakesh pottréttur</t>
  </si>
  <si>
    <t>Álfasaga ehf. / Móðir Náttúra</t>
  </si>
  <si>
    <t>816</t>
  </si>
  <si>
    <t>Tómatar, kjúklingabaunir, laukur, gulrætur, sætar kartöflur, eplasafi, blómkál, repjuolía, döðlur, limesafi (inniheldur **SÚLFÍÐ**), paprikamauk, hvítlaukur, salt, kóríander, chilimauk, grænmetiskraftur (salt, pálmaolía, maltodextrín, grænmetisblanda, sykur, krydd), kúmen, engifer, túrmerik, svartur pipar, kanill.</t>
  </si>
  <si>
    <t>Súlfít, sellerí.</t>
  </si>
  <si>
    <t>Framleitt á svæði þar sem unnið er með hnetur</t>
  </si>
  <si>
    <t>https://docs.google.com/document/d/1lFUBZ6JnrNhmfGUHlIWLvOeyf8UZVP0UP7Z3nm8HOlw/edit</t>
  </si>
  <si>
    <t>Vegan grjónagrautur</t>
  </si>
  <si>
    <t>Í-MAT / Matarstund</t>
  </si>
  <si>
    <t>FH-20260127-01</t>
  </si>
  <si>
    <t>Plantabasað / Grautar</t>
  </si>
  <si>
    <t>Vegan rjómi (vatn, kókoskjarnaolía, pálmaolía, þurrkað glúkósasíróp, umbreytt sterkja, salt, stöðugleikaefni fosfat E339, gellangúmmí, ýruefni lesitín, E435, E472b, litarefni karótín, náttúrulegt bragðefni), vatn, hrísgrjón, sykur, salt.</t>
  </si>
  <si>
    <t>https://drive.google.com/file/d/12DfeqymW1tAoO22_uIYQhTJKAtpxDRqo/view</t>
  </si>
  <si>
    <t>Brunoise grænmetisblanda</t>
  </si>
  <si>
    <t>Ardo</t>
  </si>
  <si>
    <t>MMB610</t>
  </si>
  <si>
    <t>Grænmeti / Frystar vörur</t>
  </si>
  <si>
    <t>Sellerírót (33%), gulrætur (32%), blaðlaukur (15%), **sellerí** (10%), laukur (10%)</t>
  </si>
  <si>
    <t>Sellerí</t>
  </si>
  <si>
    <t>https://drive.google.com/file/d/1GJCXmg1Vj2I1EBYaQMCHQKoAVtxomxaURI/view</t>
  </si>
  <si>
    <t>Grænmetisblanda - Country grill</t>
  </si>
  <si>
    <t>ESP_AC187</t>
  </si>
  <si>
    <t>Blandað Grænmeti: kartöflur, kúrbítur, eggaldin, laukur, papríka (græn, rauð og gul). Sólblómaolía.</t>
  </si>
  <si>
    <t>Framleitt á svæði þar sem unnið er með sellerí.</t>
  </si>
  <si>
    <t>https://drive.google.com/file/d/1yXrneQvgPYgKej8AvDXUQiRbl8MHsviy/view</t>
  </si>
  <si>
    <t>Franskar Mydibel Classic 9/9</t>
  </si>
  <si>
    <t>Clarebout Potatoes</t>
  </si>
  <si>
    <t>Kartöflur / Frystar vörur</t>
  </si>
  <si>
    <t>Kartöflur 97%, sólblómaolía 3%. Vinnsluhjálparefni (dextrósi, tvínatríumdífosfat).</t>
  </si>
  <si>
    <t>https://drive.google.com/file/d/1NTqzKXREB617l_w7DuQp8ELURiDGn_ti/view</t>
  </si>
  <si>
    <t>Kartöflubátar (Potato Wedges)</t>
  </si>
  <si>
    <t>Mydibel</t>
  </si>
  <si>
    <t>Kartöflur 97%, sólblómaolía.</t>
  </si>
  <si>
    <t>https://vefverslun.ojk-isam.is/api/BlobForward/inline/ojkisam/189951b7.pdf</t>
  </si>
  <si>
    <t>Hvítlauks aioli GARRI vegan 725 ml</t>
  </si>
  <si>
    <t>Kjarnavörur hf.</t>
  </si>
  <si>
    <t>12737</t>
  </si>
  <si>
    <t>Sósur / Dressings</t>
  </si>
  <si>
    <t>Repjuolía, vatn, hvítlaukur, **sinnep** (vatn, sykur, edik, **sinnep**sduft, umbreytt kartöflusterkja, salt, umbreytt maíssterkja, karrí, túrmerik duft, rotvarnarefni E202, E211), kryddblanda, sykur, umbreytt kartöflusterkja, salt, edik, kryddblanda, rotvarnarefni (E260, E211, E202), **sinnep**sduft, sýra (E330), bindiefni (E415)</t>
  </si>
  <si>
    <t>https://drive.google.com/file/d/12plSEq_gkegCbnbLks9oisLjM1HR3Ncx/view</t>
  </si>
  <si>
    <t>Í MAT Karrísósa vegan 10 ltr</t>
  </si>
  <si>
    <t>310008</t>
  </si>
  <si>
    <t>Repjuolía, vatn, kryddblanda (rotvarnarefni E260, E211, E202, **sinnep**sduft, krydd, sýra E330), karrí, hunangslíki (sykur, vatn, sýra E507, sýrustillir E500, bragðefni, hunangsbragðefni, litarefni E150a, E150c), umbreytt kartöflusterkja (E1450), sykur, grænmetiskraftur, salt, rotvarnarefni (E202), bindiefni (E412)</t>
  </si>
  <si>
    <t>https://drive.google.com/file/d/1RA_hEPDQMpqswOh6yfemnR-S_oqXCP2_/view</t>
  </si>
  <si>
    <t>Í MAT Vegan kokteilsósa 10 ltr</t>
  </si>
  <si>
    <t>310001</t>
  </si>
  <si>
    <t>Repjuolía, tómatsósa, vatn, sinnep (edik, sinnepsduft, umbreytt maíssterkja, karrí, kryddblanda), kryddblanda (sinnepsduft, sýra E330), eplaedik, umbreytt kartöflusterkja, sykur, salt, paprikuduft, rotvarnarefni (E202), broddkúmen, bindiefni (E412)</t>
  </si>
  <si>
    <t>https://docs.google.com/document/d/1jjpLQLnejNxDdmA90ekhQ3HbNVINXitkS6-S1W5yeak/edit</t>
  </si>
  <si>
    <t>Knorr brún sósa (granulat)</t>
  </si>
  <si>
    <t>Knorr / Unilever</t>
  </si>
  <si>
    <t>67453014</t>
  </si>
  <si>
    <t>Sósur / Soðkraftar</t>
  </si>
  <si>
    <t>Umbreytt sterkja, hrísgrjónamjöl, maltódextrín, sykur, bragðefni, salt, gerextrakt, ristaður laukur, sólblómaolía, litarefni (E150c), salvía.</t>
  </si>
  <si>
    <t>https://drive.google.com/file/d/1A544lje2nijReN8m6qcUAXHEHx-gg4OG/view</t>
  </si>
  <si>
    <t>Borðsalt</t>
  </si>
  <si>
    <t>Katla matvælaiðja ehf.</t>
  </si>
  <si>
    <t>10232</t>
  </si>
  <si>
    <t>Krydd / Hráefni</t>
  </si>
  <si>
    <t>Salt (salt, kekkjavarnarefni E535, lyftiefni E500).</t>
  </si>
  <si>
    <t>Framleitt á svæði þar sem unnið er með mjólk, glúten, egg, sesam, sellerí, soja og sinnep.</t>
  </si>
  <si>
    <t>https://drive.google.com/file/d/18_svh90eLQ1eSbJF3qr3eWDjhyhpL95Y/view</t>
  </si>
  <si>
    <t>Hvítlauksblanda Ört &amp; Vitlökskrydda</t>
  </si>
  <si>
    <t>Nordic Spice AB</t>
  </si>
  <si>
    <t>30104</t>
  </si>
  <si>
    <t>Krydd</t>
  </si>
  <si>
    <t>Salt, svartur pipar, hvítlaukur, paprikubitar, laukur, steinselja, dextrósi, timían, estragon.</t>
  </si>
  <si>
    <t>Framleitt á svæði þar sem unnið er með glúten, fisk, krabbadýr, lindýr, mjólk, soja, sellerí, sinnep og sesam.</t>
  </si>
  <si>
    <t>https://drive.google.com/file/d/1zCXy9QE-qppLvTnBDs7hEMNUD/view</t>
  </si>
  <si>
    <t>Hvítlauksduft (Vitlökspulver)</t>
  </si>
  <si>
    <t>35049</t>
  </si>
  <si>
    <t>Hvítlauksduft 100%</t>
  </si>
  <si>
    <t>https://drive.google.com/file/d/1MSRdefMEGeUCyN8gS7xeRyI53AOLv84-/view</t>
  </si>
  <si>
    <t>Kókosmjólk Roland Coconut Milk</t>
  </si>
  <si>
    <t>Roland Foods LLC</t>
  </si>
  <si>
    <t>86026</t>
  </si>
  <si>
    <t>Hráefni / Niðursoðnar vörur</t>
  </si>
  <si>
    <t>Kókosmjólk, vatn, gúargúmmí.</t>
  </si>
  <si>
    <t>kókos</t>
  </si>
  <si>
    <t>https://drive.google.com/file/d/1FvEYUVnd2_BK17DbZjzv5N3_8u3AZbzA/view</t>
  </si>
  <si>
    <t>Hrísgrjón Thai Hom Mali (Royal Umbrella)</t>
  </si>
  <si>
    <t>Khao C.P. Co., Ltd.</t>
  </si>
  <si>
    <t>Hráefni / Kornvörur</t>
  </si>
  <si>
    <t>Hrísgrjón 100%</t>
  </si>
  <si>
    <t>https://drive.google.com/file/d/1DoKkdQMWFLTDnrAu21AaCM2FHpZ73bgS/view</t>
  </si>
  <si>
    <t>Maizenamjöl (majssterkja)</t>
  </si>
  <si>
    <t>Maizena / Unilever</t>
  </si>
  <si>
    <t>237528</t>
  </si>
  <si>
    <t>Hráefni</t>
  </si>
  <si>
    <t>Maíssterkja.</t>
  </si>
  <si>
    <t>https://drive.google.com/file/d/1CmXprz2PFHVmxfaM0CalYclE2qYOhpF7/view</t>
  </si>
  <si>
    <t>Granóla múslí</t>
  </si>
  <si>
    <t>H-Berg ehf.</t>
  </si>
  <si>
    <t>21144</t>
  </si>
  <si>
    <t>Morgunkorn</t>
  </si>
  <si>
    <t>Heilkornaflögur (61,5%) (**hafrar**, **hveiti**), sykur, sólblómaolía, stökkt korn (6,2%) (hrísmjöl, **hveiti**, sykur, maltað **bygg**, salt), **hveiti**, glúkósasýróp, hunang, lyftiefni (E500), kanill, karamellaður sykur, bragðefni, þráavarnarefni (E306)</t>
  </si>
  <si>
    <t>Glúten (hafrar, hveiti, bygg).</t>
  </si>
  <si>
    <t>Gæti innihaldið snefil af jarðhnetum, sojabaunum, mjólk og hnetum</t>
  </si>
  <si>
    <t>https://docs.google.com/document/d/1ifrlgLmRek3D49wWNhUQ_AdEsalsUL9A3wL-voKvyxI/edit</t>
  </si>
  <si>
    <t>Nachos Tortilla Chips Salted (Santa Maria)</t>
  </si>
  <si>
    <t>Paulig / Santa Maria</t>
  </si>
  <si>
    <t>200815</t>
  </si>
  <si>
    <t>Snakk</t>
  </si>
  <si>
    <t>Maís mjöl (78%), sólblómaolía, salt.</t>
  </si>
  <si>
    <t>https://docs.google.com/document/d/1TTmK_n2QFHKIN4R5nh8vlgj5w-uy7i6hZxC_Tw6B1Oc/edit</t>
  </si>
  <si>
    <t>Ömmu rúgbrauð (mjólkurlaust)</t>
  </si>
  <si>
    <t>609</t>
  </si>
  <si>
    <t>RÚGMJÖL, vatn, sykur, HEILHVEITI, MALTAÐ BYGG, malt extrakt (úr BYGGI), súrdeigsduft úr hveiti (HVEITI, mjólkursýrugerlar), salt, rotvarnarefni (E282), ger, mjölmeðhöndlunarefni (E300), kekkjarvarnarefni (E535), bindiefni (E491)</t>
  </si>
  <si>
    <t>Glúten (rúgmjöl, hveiti, bygg)</t>
  </si>
  <si>
    <t>Gæti innihaldið snefil af sesam</t>
  </si>
  <si>
    <t>https://gaedabakstur.is/vara/ommurugbraud-30-sneida/</t>
  </si>
  <si>
    <t>Oumph! Färs (hakk)</t>
  </si>
  <si>
    <t>600234</t>
  </si>
  <si>
    <t>Vatn, **soja**próteinþykkni 19%, repjuolía, kryddblanda (laukduft, salt, bragðefni, hvítlauksduft), hleypiefni (metýlsellulósi), litarefni sykurlitur ammoníakferli).</t>
  </si>
  <si>
    <t>https://drive.google.com/file/d/17I0KWyblXTi11MUMbyMelwqAThnVoPX7/view</t>
  </si>
  <si>
    <t>Pizza Snack Margherita</t>
  </si>
  <si>
    <t>Dr. August Oetker</t>
  </si>
  <si>
    <t>1-25-002000</t>
  </si>
  <si>
    <t>**Hveiti**mjöl, 21% **ostur** (mozzarella, edam), 15% tómatpúrra, vatn, 7,9% tómatþykkni, repjuolía, ger, salt, sykur, extra virgin ólífuolía, basil, oregano, hvítlaukur, laukur, pipar, ristaður laukur.</t>
  </si>
  <si>
    <t>https://drive.google.com/file/d/1xmupIyoGoDbKzYW0SmUzAFTzdGR7wPpN/view</t>
  </si>
  <si>
    <t>Plokkfiskur</t>
  </si>
  <si>
    <t>ÝSA, ÞORSKUR (60%), kartöflur, laukur, sósa (HVEITI, repjuolí, pálmaolía, salt, bragðefni (MJÓLK), krydd, hrísgrjónahveiti, ýruefni (E322), litarefni (E160a)).</t>
  </si>
  <si>
    <t>Fiskur (ýsa, þorskur), glúten (hveiti), mjólk.</t>
  </si>
  <si>
    <t>https://docs.google.com/document/d/1_o-2AkBs_TMqPzQr3DDobk_R8nIeI65a/edit</t>
  </si>
  <si>
    <t>Hönö Skärgårdskaka (Pólarbrauð)</t>
  </si>
  <si>
    <t>Pågen AB</t>
  </si>
  <si>
    <t>1186</t>
  </si>
  <si>
    <t>**Hveiti**mjöl, vatn, sykur, sigtað **rúg**mjöl, repjuolía, heilkorna **rúg**mjöl, **hveiti**glúten, heilkorna **hveiti**mjöl, **hveiti**mjöl, ger, jurtaýruefni (mónó- og díglýseríð fitusýra), lyftiefni (hjartarsalt), malt úr **byggi**, salt.</t>
  </si>
  <si>
    <t>Glúten (hveiti, rúgur, bygg).</t>
  </si>
  <si>
    <t>https://drive.google.com/file/d/1wQ6Aj25cbHnFwYYRVBbBoa0ceJotW3tK/view</t>
  </si>
  <si>
    <t>Creamy mashed potatoes</t>
  </si>
  <si>
    <t>Agristo nv</t>
  </si>
  <si>
    <t>304384</t>
  </si>
  <si>
    <t>Kartöflur (86,2%), **mjólk** (9,7%), smjörfita, salt, hvítur pipar.</t>
  </si>
  <si>
    <t>https://drive.google.com/file/d/1Q5pHOTieK7b4Gy3bBGFnnGvU9GEQuRj9/view</t>
  </si>
  <si>
    <t>Quinoa Grænkálsbuff</t>
  </si>
  <si>
    <t>Ardo Austria Frost GmbH</t>
  </si>
  <si>
    <t>RLQ320V</t>
  </si>
  <si>
    <t>Grænkál 17%, raspur 15% (**spelt**mjöl, poppað kínóa, sólblómaolía, salt, ger), forsoðið kínóa 13% (vatn, kínóa), vatn, jurtaolía, kartöflur, gulrætur, ristaður laukur (laukur, repjuolía), **sojabaunir**, kartöfluflögur, **hveiti**mjöl, kryddblanda, sojasósa (vatn, salt, **sojabaunir**, **hveiti**), joðbætt salt, karríduft, hvítlauksduft, malað engifer, svartur pipar.</t>
  </si>
  <si>
    <t>Glúten (spelt, hveiti), soja.</t>
  </si>
  <si>
    <t>https://drive.google.com/file/d/1K9SR8AXu2Qag_F36czw5QGX4OuqCSj7q/view</t>
  </si>
  <si>
    <t>Rauðkál</t>
  </si>
  <si>
    <t>Samsø Syltefabrik A/S</t>
  </si>
  <si>
    <t>63771</t>
  </si>
  <si>
    <t>Grænmeti / Niðursoðnar vörur</t>
  </si>
  <si>
    <t>Rauðkál, sykur, edik, salt, síróp, rifsberjasafi.</t>
  </si>
  <si>
    <t>https://drive.google.com/file/d/1Rqb9kj8tVDkHq7eyRPXcNpc6UUH_taBS/view</t>
  </si>
  <si>
    <t>Sweet Potato Rust Cut (Sætar kartöflur)</t>
  </si>
  <si>
    <t>Monliz España S.L.U.</t>
  </si>
  <si>
    <t>ME0062001</t>
  </si>
  <si>
    <t>Sætar kartöflur</t>
  </si>
  <si>
    <t>https://drive.google.com/file/d/1jCcWn6ueSY2iLASOI_k-MMXCXPZq0Hst/view</t>
  </si>
  <si>
    <t>Chunky Salsa Medium (Salsa sósa)</t>
  </si>
  <si>
    <t>4551</t>
  </si>
  <si>
    <t>Tómatar (81%) (muldir tómatar, tómatpúrra), laukur (8%), grænt chili, salt, maíssterkja, krydd og kryddjurtir (chilipipar, hvítlaukur, kúmen, cayennepipar, kóríander, oregano), jalapeño (0,6%), paprika, vínedik, límónusafi.</t>
  </si>
  <si>
    <t>https://docs.google.com/document/d/1Wi0y53Um6eC6Hmz4zSoG-n6D8zQfM-3TMTHa40nWiig/edit</t>
  </si>
  <si>
    <t>Reynt kjúklingaálegg</t>
  </si>
  <si>
    <t>174440</t>
  </si>
  <si>
    <t>Kjúklingarbringur (42%), alifuglakjöt (28%), vatn (25%), salt, þrúgusykur, bindiefni (E451, E407, E410), gerextrakt, þráavarnarefni (E301, E330), bragðefni, sykur, pipar, rotvarnarefni (E270)</t>
  </si>
  <si>
    <t>https://docs.google.com/document/d/1m0YKiZ4cQZAZVlQ9NBO-W9jBUEk9w4-k1SKb9XI2P-o/edit</t>
  </si>
  <si>
    <t>Sauce tikka masala GT-CHEF</t>
  </si>
  <si>
    <t>GoldenTurtleForChefs (ZLI)</t>
  </si>
  <si>
    <t>60486</t>
  </si>
  <si>
    <t>Vatn, sykur, laukur, tómatmauk, sólblómaolía, salt, kóríanderduft, engifer, hvítlaukur, **sinnep**duft, sýrustillir (sítrónusýra E330), chili, kúmenduft, fenugreeklauf, svartur piparduft, kóríander, þráavarnarefni (E306, tókóferólríkt þykkni).</t>
  </si>
  <si>
    <t>https://drive.google.com/file/d/1psBkJzLFrs5mN4fj1wYpcBp884WsVURp/view</t>
  </si>
  <si>
    <t>Skólabollur</t>
  </si>
  <si>
    <t>3651</t>
  </si>
  <si>
    <t>Vatn, heilkorna **rúg**mjöl 20%, heilkorna **hveiti**mjöl 17%, **hveiti**mjöl, **hveiti**glúten, **rúg**mjöl, þurrkað súrdeig (**rúg**, súrdeigsgerlar), **hveiti**kurl, ger, maltextrakt (**bygg**), repjuolía, joðbætt salt, þykkingarefni (E415), sýrustillir (E262), ýruefni (E471, E472e), mjölmeðhöndlunarefni (E300), maltað **hveiti**.</t>
  </si>
  <si>
    <t>Glúten (rúgur, hveiti, bygg)</t>
  </si>
  <si>
    <t>https://drive.google.com/file/d/14DAgTI18dATCiMOlGqGBlT2S4QVgoDrD/view</t>
  </si>
  <si>
    <t>Smjör 500 g</t>
  </si>
  <si>
    <t>MS (Mjólkursamsalan Íslands)</t>
  </si>
  <si>
    <t>1005</t>
  </si>
  <si>
    <t>Rjómi, salt.</t>
  </si>
  <si>
    <t>https://docs.google.com/document/d/149N3quKMoWawGv9LE2FddvRhKdpdb7Cxfmhury4OOtc/edit</t>
  </si>
  <si>
    <t>Smjörvi 400 g</t>
  </si>
  <si>
    <t>2500</t>
  </si>
  <si>
    <t>Rjómi, repjuolía, salt, A-vítamín og D-vítamín.</t>
  </si>
  <si>
    <t>https://docs.google.com/document/d/1UjBm-Tv-Iec76nq1yK04YofrHL0yfr89sWsBhPn2Bfg/edit</t>
  </si>
  <si>
    <t>Violife Grated Mozzarella Flavour</t>
  </si>
  <si>
    <t>Arivia S.A.</t>
  </si>
  <si>
    <t>312</t>
  </si>
  <si>
    <t>Plantabasað / Kælivörur</t>
  </si>
  <si>
    <t>Vatn, kókosolía (24%), umbreytt sterkja, sterkja, sjávarsalt, reyniberjaþykkni, bragðefni, sýrustillir (sítrónusýra), ólífuþykkni, B12-vítamín, litarefni (beta-karótín).</t>
  </si>
  <si>
    <t>https://docs.google.com/document/d/18b2J2oj0tGu3WRVMjz2b5-BVn6Pc_FMyhWrmnMt7mwI/edit</t>
  </si>
  <si>
    <t>Organic Crystal Sourdough Bun</t>
  </si>
  <si>
    <t>Europastry S.A.</t>
  </si>
  <si>
    <t>69393</t>
  </si>
  <si>
    <t>**Hveiti**mjöl*, vatn, heilkorna **hveiti**súrdeig 4% (heilkorna gerjað **hveiti**mjöl*, vatn), ger*, extra virgin ólífuolía 1,3%*, salt, **bygg**maltmjöl*, **hveiti**glúten*. *Lífrænt.</t>
  </si>
  <si>
    <t>Glúten (hveiti, bygg).</t>
  </si>
  <si>
    <t>Getur innihaldið snefil af soja, egg, mjólk, sesam, sinnep</t>
  </si>
  <si>
    <t>https://drive.google.com/file/d/1_7-lapfB0IXWi_NgfdgjTejZibfQdUt4/view</t>
  </si>
  <si>
    <t>La Choy Sweet &amp; Sour Sauce (Súrsæt sósa)</t>
  </si>
  <si>
    <t>ConAgra Brands / La Choy</t>
  </si>
  <si>
    <t>4430012690</t>
  </si>
  <si>
    <t>Vatn, sykur, eimað edik, umbreytt maíssterkja, salt, þurrkuð græn og rauð paprika, þurrefni úr maíssírópi, litarefni (E160c), þurrefni úr ananassafa.</t>
  </si>
  <si>
    <t>https://innnes.is/sosur/austurlenskar-sosur/la-choy-sursaetsosa-brusi-4x378kg/</t>
  </si>
  <si>
    <t>Crystal Sugar (Sykur)</t>
  </si>
  <si>
    <t>Cosun Beet Company</t>
  </si>
  <si>
    <t>Súkrósi</t>
  </si>
  <si>
    <t>https://drive.google.com/file/d/1xlkj9UFMzhBrHGJoVUjpSgwu6ml60B4l/view</t>
  </si>
  <si>
    <t>Sýrður rjómi 10%</t>
  </si>
  <si>
    <t>**Undanrenna** og **rjómi**, sýrður með mjólkursýrugerlum, gelatín, ostahleypir.</t>
  </si>
  <si>
    <t>https://docs.google.com/document/d/1YqVGDpK3zKU6f0K5VqvY9symdnjIMOW0qRxqrtjNvgU/edit</t>
  </si>
  <si>
    <t>Taco Grillkrydda</t>
  </si>
  <si>
    <t>30071</t>
  </si>
  <si>
    <t>Salt, chilipipar, kúmen, hvítlaukur, svartur pipar, cayennepipar, laukur, engifer, sykur, sýrustillir (sítrónusýra), kekkjavarnarefni (E552), repjuolía, kryddþykkni.</t>
  </si>
  <si>
    <t>https://drive.google.com/file/d/1mykwklqQSozxJsGTVIYypmLZ4XRd5l3E/view</t>
  </si>
  <si>
    <t>Taco Tubs (Tacoskálar)</t>
  </si>
  <si>
    <t>200670</t>
  </si>
  <si>
    <t>Snakk / Hráefni</t>
  </si>
  <si>
    <t>Maís mjöl (74%), sólblómaolía, salt.</t>
  </si>
  <si>
    <t>https://drive.google.com/file/d/1ahiLImnx9aj06P6g_CI6FDywSz9Ozmhm/view</t>
  </si>
  <si>
    <t>Tómatpuré Doppio Concentrato 800 g (Menu)</t>
  </si>
  <si>
    <t>Menu SRL</t>
  </si>
  <si>
    <t>UU1</t>
  </si>
  <si>
    <t>Tómatar</t>
  </si>
  <si>
    <t>https://drive.google.com/file/d/1d9nwUjnSzxKmopD1MmL_f_PclKxewh/view</t>
  </si>
  <si>
    <t>BL Garden Veg. Burger (Vegan buff)</t>
  </si>
  <si>
    <t>Bauernland / Frisch &amp; Frost</t>
  </si>
  <si>
    <t>5809</t>
  </si>
  <si>
    <t>Grænmeti (kartöflur, brokkolí, gulrætur, baunir), **hveiti**mjöl, sólblómaolía, **hveiti**semólína, laukur, borðsalt, sterkja, dextrósi, gerextrakt, ger, sykur, krydd, repjuolía, joðbætt salt, kryddjurtir.</t>
  </si>
  <si>
    <t>Glúten (hveiti).</t>
  </si>
  <si>
    <t>https://drive.google.com/file/d/16HV_oLt59KqpUADMnnBT6NSexgTGM5UJ/view</t>
  </si>
  <si>
    <t>Garden Gourmet Sensational Fillet Pieces</t>
  </si>
  <si>
    <t>12589145</t>
  </si>
  <si>
    <t>Endurvökvað **soja**próteinþykkni 89,6% (vatn, **soja**próteinþykkni 32,3%), vínedik, sólblómaolía, gerextrakt, bragðefni.</t>
  </si>
  <si>
    <t>Getur innihaldið snefil af hveiti</t>
  </si>
  <si>
    <t>https://drive.google.com/file/d/1ETeaMDmW9SietlS1LO9OpNsUqOW79oWc/view</t>
  </si>
  <si>
    <t>Garden Gourmet Vegan Mince (Vegan hakk)</t>
  </si>
  <si>
    <t>12592004</t>
  </si>
  <si>
    <t>Endurvökvað **soja**prótein 93,9% (vatn, **soja**próteinþykkni 30%), sólblómaolía, **bygg**maltextrakt, laukduft, náttúruleg bragðefni, hvítlauksduft, salt, paprikuduft, svartur pipar, kúmen.</t>
  </si>
  <si>
    <t>Glúten (bygg), soja</t>
  </si>
  <si>
    <t>https://drive.google.com/file/d/1dLk5SlPKdYyJqdOZSX2ULLFV06BQ8Wyr/view</t>
  </si>
  <si>
    <t>Tomato Traditional Round Pizza Base (Vegan pizzabotn)</t>
  </si>
  <si>
    <t>Valpizza</t>
  </si>
  <si>
    <t>1900</t>
  </si>
  <si>
    <t>**Hveiti**mjöl, vatn, tómatpúrra 26%, sólblómaolía, salt, ger, maltað **hveiti**mjöl, sykur, oregano, svartur pipar.</t>
  </si>
  <si>
    <t>Getur innihaldið snefil af fiski, sinnepi, soja og mjólk.</t>
  </si>
  <si>
    <t>https://drive.google.com/file/d/1jVXpwZuTyebCJ-h1nS5OcnGIQDoW5t_E/view</t>
  </si>
  <si>
    <t>Chiliborgari (Veganborgari)</t>
  </si>
  <si>
    <t>Álfasaga ehf. (Móðir Náttúra)</t>
  </si>
  <si>
    <t>106</t>
  </si>
  <si>
    <t>**BYGG**, kjúklingabaunir, fennel, kartöflur, kartöflumjöl, tómatpúrra, chilimauk 1%, salt, hvítlaukur, krydd (steinselja, timían, rósmarín, basilika, majoram, estragon, oreganó), kúmen, kóríander.</t>
  </si>
  <si>
    <t>Glúten (bygg)</t>
  </si>
  <si>
    <t>Getur innihaldið snefil af hnetum og sesam.</t>
  </si>
  <si>
    <t>https://drive.google.com/file/d/1YQru_x8azI1hqGirhRjm-Qm2o17OCDE0/view</t>
  </si>
  <si>
    <t>Nautgripahakk 2 kg frosið</t>
  </si>
  <si>
    <t>50003</t>
  </si>
  <si>
    <t>Natugripakjöt 100 %.</t>
  </si>
  <si>
    <t>https://drive.google.com/file/d/1-vP8CdWqhbmoIHP2wGMBpmpDcUhmyKw4/view</t>
  </si>
  <si>
    <t>Bláber frosið (Wild Blueberries)</t>
  </si>
  <si>
    <t>N.V. d'Arta</t>
  </si>
  <si>
    <t>Ávextir / Frystar vörur</t>
  </si>
  <si>
    <t>Bláber</t>
  </si>
  <si>
    <t>https://drive.google.com/file/d/1XJ1WHz_-GsF3Kvj_GwY5Q7XKh0CJktpTVkuGTSa7/view</t>
  </si>
  <si>
    <t>Blómkál frosið (Cauliflower florets 15/35 mm)</t>
  </si>
  <si>
    <t>BLG610</t>
  </si>
  <si>
    <t>Blómkál</t>
  </si>
  <si>
    <t>https://drive.google.com/file/d/1_7ul9uB97dD2-zXWYH8o_SDakGyLr6xe/view</t>
  </si>
  <si>
    <t>Fennel frosinn (Diced Fennel)</t>
  </si>
  <si>
    <t>VEN610</t>
  </si>
  <si>
    <t>Fennika</t>
  </si>
  <si>
    <t>https://drive.google.com/file/d/13GbGHeuMDCDu9-4phkA2Gb6N7Glr04GZ/view</t>
  </si>
  <si>
    <t>Forsteiktur laukur (Pre-fried sliced onions)</t>
  </si>
  <si>
    <t>Ardo Violaines SAS</t>
  </si>
  <si>
    <t>Laukur (90%), repjuolía (10%).</t>
  </si>
  <si>
    <t>https://drive.google.com/file/d/1qe8jA8Hk6RxXOyfW7Bq4w_a_pNS4Nkx/view</t>
  </si>
  <si>
    <t>Grænmetisbollur</t>
  </si>
  <si>
    <t>220</t>
  </si>
  <si>
    <t>Vatn, **BYGG**, kjúklingabaunir, sætar kartöflur, svartar baunir, laukur, kartöflur, baunaprótein, repjuolía, hvítlaukur, bindiefni, tómatpúrra, salt, basil, papríkukrydd, hvítur pipar, rósmarín.</t>
  </si>
  <si>
    <t>Gæti innihaldið snefil af hnetum og sesam.</t>
  </si>
  <si>
    <t>https://drive.google.com/file/d/1PX_eU1Wgs2dzM0SbE9-EHWEIiCDqMv88/view</t>
  </si>
  <si>
    <t>Hvítlaukur í olíu (Crushed garlic)</t>
  </si>
  <si>
    <t>APPETIT Levnedsmidler A/S / Wiik &amp; Co.</t>
  </si>
  <si>
    <t>Grænmeti / Hráefni</t>
  </si>
  <si>
    <t>Hvítlaukur 95%, repjuolía 4%, mjólkursýra (E270) 1%.</t>
  </si>
  <si>
    <t>Súlfít</t>
  </si>
  <si>
    <t>https://drive.google.com/file/d/1LQQG6zdc-XSLzYb6RKlxdzBpQOUufTtB/view</t>
  </si>
  <si>
    <t>Jarðarber frosið</t>
  </si>
  <si>
    <t>Global Food Link S.L.U.</t>
  </si>
  <si>
    <t>228004</t>
  </si>
  <si>
    <t>Jarðarber</t>
  </si>
  <si>
    <t>https://drive.google.com/file/d/19LpgAetZiskpHR9eV63DDPNUbJkWcOya/view</t>
  </si>
  <si>
    <t>Maísblanda frosið (IQF Roasted Corn Mexicana)</t>
  </si>
  <si>
    <t>640</t>
  </si>
  <si>
    <t>Ristaður maís 37,5%, maís 37,5%, grilluð rauð paprika, rauðar nýrnabaunir, repju- og sólblómaolía, salt, maltódextrín, hvítlauksduft, paprikuduft, dextrósi, chiliduft, grænmetis- og kryddjurtaþykkni, náttúruleg bragðefni, reykbragðefni, ýruefni (E322).</t>
  </si>
  <si>
    <t>https://drive.google.com/file/d/1FvpEmwQsdGmSkvfKTkGrLJ6KcWtJdXjd/view</t>
  </si>
  <si>
    <t>Minestrone súpa</t>
  </si>
  <si>
    <t>Súpur / Pottréttir</t>
  </si>
  <si>
    <t>Pasta (**hveiti**semólína, vatn), vatn, tómatar 13%, kartöflur, laukur 7%, gulrætur 1%, grillaður kúrbítur, grilluð paprika, timian, basilika, repjuolía, hvítlauksmauk, svartur pipar, grænmetiskraftur, lárviðarlauf, salt.</t>
  </si>
  <si>
    <t>Minestrone_súpa_í_mat__8_5_26_.docx</t>
  </si>
  <si>
    <t>Pizzasnúðar 8 stk</t>
  </si>
  <si>
    <t>1686</t>
  </si>
  <si>
    <t>Bakkelsi / Kælivörur</t>
  </si>
  <si>
    <t>**HVEITI**, pizzasósa 18% (vatn, tómatduft, umbreytt kartöflusterkja, sykur, kraftur (**SOJA**PRÓTEIN, salt, náttúruleg bragðefni, sólblómaolía), krydd, bragðefni, salt, repjuolía, bindiefni (E466, **SOJA**PRÓTEIN), rotvarnarefni (E202)), vatn, pálmaolía, sykur, repjuolía, ger, mysuduft (**MJÓLK**), salt, þurrkað súrdeig, ýruefni (E471, E481), þrúgusykur, mjölmeðhöndlunarefni (E300).</t>
  </si>
  <si>
    <t>Glúten (hveiti), soja, mjólk</t>
  </si>
  <si>
    <t>Framleitt á svæði þar sem unnið er með egg, sesamfræ og hnetur.</t>
  </si>
  <si>
    <t>https://drive.google.com/file/d/1Zy0dPb9RoNF7yt1MwnvX_JL50nD9XpGL/view</t>
  </si>
  <si>
    <t>Rustic gulrætur frosnar</t>
  </si>
  <si>
    <t>WAR610</t>
  </si>
  <si>
    <t>Gulrætur (Dökkappelsínugular gulrætur 60%, gular gulrætur 40%.)</t>
  </si>
  <si>
    <t>https://drive.google.com/file/d/1Ru8eNSpjSe2Mi5eKUfH_j3s1DvtXsERI/view</t>
  </si>
  <si>
    <t>Stórt hvítt samlokubrauð</t>
  </si>
  <si>
    <t>1044</t>
  </si>
  <si>
    <t>**HVEITI**, vatn, ger, repjuolía, salt, mjölmeðhöndlunarefni (E300), ýruefni (E481)</t>
  </si>
  <si>
    <t>Framleitt á svæði þar sem unnið er með sesamfræ, lúpínu, mjólk, egg.</t>
  </si>
  <si>
    <t>https://drive.google.com/file/d/1tts6jK2uzEj1MhCb9FomgKMQlspa98Sjt/view</t>
  </si>
  <si>
    <t>Ýsa í tandoori</t>
  </si>
  <si>
    <t>0</t>
  </si>
  <si>
    <t>Ýsa, marinering (vatn, repjuolía, pipar, engifer, kóríander, kúmen, chili, salt, sítrónusafi, sykur, rauðrófuduft, náttúruleg bragðefni, þykkingarefni xantangúmmí E415, þurrkaður hvítlaukur, rotvarnarefni kalíumsorbat E202).</t>
  </si>
  <si>
    <t>Fiskur (ýsa)</t>
  </si>
  <si>
    <t>https://drive.google.com/file/d/13AmWc24B7lw4yM7QnWS-el6FVT-PU7Ty/view</t>
  </si>
  <si>
    <t>Hrásalat, ferskt</t>
  </si>
  <si>
    <t>Hollt og Gott ehf.</t>
  </si>
  <si>
    <t>Grænmeti / Kælivörur</t>
  </si>
  <si>
    <t>Hvítkál (64%), gulrætur (13%), ananas, gúrka (8%), appelsínusósa (sykur, vatn, sítrónusýra E330, bragðefni, bindiefni E440, rotvarnarefni E202, E211)</t>
  </si>
  <si>
    <t>https://docs.google.com/document/d/1wzfHpIJLlAINpkJM8u1ciPeyE03C4UiG1IHvv9ZNC34/edit</t>
  </si>
  <si>
    <t>Forsoðnar kartöflur</t>
  </si>
  <si>
    <t>Þykkvabæjar</t>
  </si>
  <si>
    <t>Kartöflur / Kælivörur</t>
  </si>
  <si>
    <t>Kartöflur</t>
  </si>
  <si>
    <t>https://docs.google.com/document/d/1Atant-r86RZWqXEplXhjh9elA5JzhIYPs0d8GsZe0cM/edit</t>
  </si>
  <si>
    <t>Góðostur 26% sneiðar</t>
  </si>
  <si>
    <t>3045</t>
  </si>
  <si>
    <t>Mjólk, undanrenna, salt, ostahleypir.</t>
  </si>
  <si>
    <t>https://docs.google.com/document/d/1xK3OgL95T8y9Uw0YX4LaF0Ve3yT2CmntRk4Wg1oHGcM/edit</t>
  </si>
  <si>
    <t>Dönsk lifrarkæfa</t>
  </si>
  <si>
    <t>Grísalifur og kjöt 80%, vatn, laukur, salt, kartöflumjöl, **soja**prótein, krydd, vatnsrofið jurtaprótein, repjuolía, maísprótein, jurtafita (pálma), þrúgusykur, rotvarnarefni (E250), þráavarnarefni (E315, E316, E330), bindiefni (E450, E451)</t>
  </si>
  <si>
    <t>https://docs.google.com/document/d/1iXvC7kN0wGPam-zMk0XlcLESdw9tCpSF14EDgGArP38/edit</t>
  </si>
  <si>
    <t>Ýsa nætursöltuð</t>
  </si>
  <si>
    <t>Ýsa, salt.</t>
  </si>
  <si>
    <t>Fiskur</t>
  </si>
  <si>
    <t>https://docs.google.com/document/d/16XSSnVUJ3h_-jINvQvjLPJxqQDm3-XJQ/edit</t>
  </si>
  <si>
    <t>Kentuckyhjúpaðir ýsubitar</t>
  </si>
  <si>
    <t>9174</t>
  </si>
  <si>
    <t>Ýsa (70%), vítamínbætt **hveiti**, vatn, **hveitisterkja**, gerþykkni, salt, hvítlauksduft, laukduft, lyftiefni (E503(II)), **hveitiglúten**, hrísgrjónamjöl, pipar, þrúgusykur, sýra (E330), **sellerí**fræ, sykur, krydd (timian, salvía, chili), repjuolía.</t>
  </si>
  <si>
    <t>Fiskur (ýsa), Glúten (hveiti), Sellerí</t>
  </si>
  <si>
    <t>https://docs.google.com/document/d/1nPfU8Vp8xiyfhIt3illeInciLtmTNm2bGwro_9ZVWlk/edit</t>
  </si>
  <si>
    <t>Þorskur í Kentucky hjúp 5 kg</t>
  </si>
  <si>
    <t>Grímur Kokkur ehf.</t>
  </si>
  <si>
    <t>6048</t>
  </si>
  <si>
    <t>**Þorskur** (75%), vatn, deig (**hveiti**, **hveitisterkja**, dextrósi, bindiefni (E450(i)), lyftiefni (E500(ii))), rasp (**hveiti**, ger, salt, pipar, paprika, hvítlauksduft), laukduft, karrý, steikt upp úr repjuolíu.</t>
  </si>
  <si>
    <t>Fiskur (þorskur), Glúten (hveiti)</t>
  </si>
  <si>
    <t>6048-6049 Þorskur í Kentucky 5kg.docx</t>
  </si>
  <si>
    <t>Kjúklingalundir Home Style</t>
  </si>
  <si>
    <t>171971</t>
  </si>
  <si>
    <t>Kjúklingalundir (75%), vatn, salt, **hveiti**, maíssterkja, svartur pipar, hvítur pipar, paprika, engifer, hvítlauksduft, glúkósasíróp, sýrustillir (E500), bindiefni (E450), rotvarnarefni (E262), þráavarnarefni (E320), bragðefni, krydd, repjuolía.</t>
  </si>
  <si>
    <t>https://drive.google.com/file/d/14LQkGGcmrVES_WhBMql_sP3EXvpG0-wk/view</t>
  </si>
  <si>
    <t>Kjúklinganöggar í cornflakes</t>
  </si>
  <si>
    <t>174080</t>
  </si>
  <si>
    <t>Kjötfylling (76%) (Kjúklingakjöt, vatn, **soja**prótein, salt, kraftur, krydd, laukur), Brauðhjúpur (**hveiti**, maís, vatn, sykur, salt, maltað **bygg** extrakt), repjuolía.</t>
  </si>
  <si>
    <t>Glúten (hveiti, bygg), Soja</t>
  </si>
  <si>
    <t>https://docs.google.com/document/d/1EsNktCPLeisXKdBfLEd-K6e2nCcDizbi7u-xKS5wyDQ/edit</t>
  </si>
  <si>
    <t>Skólabollur, Kjöt og grænmeti</t>
  </si>
  <si>
    <t>59401</t>
  </si>
  <si>
    <t>Kinda- og nautgripakjöt 50% (uppruni Ísland), grænmeti 41% (kartöflur, brokkólí, laukur, gulrætur), kartöflusterkja, salt, krydd (pipar, oregano, basil, paprika).</t>
  </si>
  <si>
    <t>https://docs.google.com/document/d/1louer_tAVnzQ9z8i9z7dLXs1HXf5pNNQa3dhZvMovpc/edit</t>
  </si>
  <si>
    <t>Quesadilla kalkúna 140 g</t>
  </si>
  <si>
    <t>Álfasaga ehf.</t>
  </si>
  <si>
    <t>Quesadilla fylling 47% (kalkúnahakk 73%, salsa sósa, maís, taco krydd, dextrósi, laukur, salt, oregano, gerþykkni, kartöflusterkja, kartöflutrefjar, kekkjavarnarefni (E551)), mozzarella ostur (**MJÓLK**, undanrenna (**MJÓLK**), salt, kekkjavarnarefni (E460(ii)), ostahleypir), tortilla 40% (**HVEITI**, vatn, repjuolía, lyftiefni), nacho ostasósa 13% (vatn, cheddarostur (**MJÓLK**), **SOJAOLÍA**, umbreytt maíssterkja, tómatmauk, salt, sýra (E270), edik, náttúruleg bragðefni).</t>
  </si>
  <si>
    <t>Glúten (hveiti), Mjólk, Soja</t>
  </si>
  <si>
    <t>Framleitt á svæði þar sem unnið er með hnetur. Litarefni (E102, E110) geta haft neikvæð áhrif á virkni og athygli barna.</t>
  </si>
  <si>
    <t>https://docs.google.com/document/d/12v7LQNs8969vsZjgjC_NOFZYDyJKeq5_McH6XMjR3kM/edit</t>
  </si>
  <si>
    <t>Quesadilla VEGAN 160 g</t>
  </si>
  <si>
    <t>Quesadilla fylling 60% (oumph 73% (vatn, **SOJAPRÓTEIN**, salt), salsa sósa, maís, taco krydd, dextrósi, laukur, salt, oreganó, gerþykkni, kartöflusterkja, kartöflutrefjar), kartarella vegan ostur 4% (vatn, kartöflumjöl, repjuolía, salt, rotvarnarefni (E202), náttúrulegt bragðefni), tortilla 40% (**HVEITI**, vatn, repjuolía, lyftiefni).</t>
  </si>
  <si>
    <t>Glúten (hveiti), Soja</t>
  </si>
  <si>
    <t>Framleitt á svæði þar sem unnið er með hnetur.</t>
  </si>
  <si>
    <t>https://docs.google.com/document/d/1GXYeIVXFls0KJ8_0TsFEnYbRmZ85_u3u/edit</t>
  </si>
  <si>
    <t>Sojajógúrt jarðarberja (Oddlygood)</t>
  </si>
  <si>
    <t>Oddlygood Sweden AB</t>
  </si>
  <si>
    <t>40138</t>
  </si>
  <si>
    <t>Vatn, sældar **SOJABAUNIR** 9%, jarðarber 7%, sykur, pólýdextrós (trefjar), þrúgusykur, umbreytt sterkja, sterkja, vítamín (D2, riboflavín (B2), B12, fólasýra), kalsín, náttúruleg bragðefni, þykkingarefni (pektín), salt, þráavarnarefni (askorbínsýra), litarefni (karótín), súrdeigsmengi.</t>
  </si>
  <si>
    <t>https://docs.google.com/document/d/1bc_2zZBgZeptLIF6IlM4q1mrIGHqDVWrW2Iw10JgsvQ/edit</t>
  </si>
  <si>
    <t>Sojajógúrt vanillu (Oddlygood)</t>
  </si>
  <si>
    <t>40135</t>
  </si>
  <si>
    <t>Vatn, sældar **SOJABAUNIR** 9%, sykur, pólýdextrós (trefjar), þrúgusykur, umbreytt sterkja, vítamín (D2, riboflavín (B2), B12, fólasýra), kalsín, bragðefni, þykkingarefni (pektín), salt, malinn vanillustöngull, sýrustillir (sítrónusýra), rotvarnarefni (kalíumsorbat), súrdeigsmengi.</t>
  </si>
  <si>
    <t>https://docs.google.com/document/d/1BUz_g8B7UqQ1EgXoVWnH0ix-yIkXgo7PBviskklXFpg/edit</t>
  </si>
  <si>
    <t>Grjónagrautur laktósalaus</t>
  </si>
  <si>
    <t>Laktósalaus nýmjólk (gerilsneydd **MJÓLK**, laktasaensím, D-vítamín), vatn, hrísgrjón 12%, sykur, salt.</t>
  </si>
  <si>
    <t>https://docs.google.com/document/d/16LWZiAZ-4STDUyEpmMqGv2OLYTJ8V4xg/edit</t>
  </si>
  <si>
    <t>Grjónagrautur (venjulegur)</t>
  </si>
  <si>
    <t>Nýmjólk (gerilsneydd **MJÓLK**, D-vítamín), vatn, hrísgrjón 12%, sykur, salt.</t>
  </si>
  <si>
    <t>https://docs.google.com/document/d/1xI4QwxazkrIjJkZXdpAD9QFThHiKPkTt/edit</t>
  </si>
  <si>
    <t>Brunoise mediterraín</t>
  </si>
  <si>
    <t>MBZ610</t>
  </si>
  <si>
    <t>Maukaðir tómatar 38%, kúrbítur 20%, eggaldin 20%, laukur 10%, rauð paprika 6%, græn paprika 6%.</t>
  </si>
  <si>
    <t>https://drive.google.com/file/d/1hoHE7x0fUgE5mqFNTDbqlU_Forp2DfIA/view</t>
  </si>
  <si>
    <t>Country Grill grænmetisblanda</t>
  </si>
  <si>
    <t>ESP_AC186</t>
  </si>
  <si>
    <t>Grilluð grænmeti: brokkólí 25%, kúrbítur 25%, eggaldin 20%, gul paprika 10%, rauð paprika 10%, laukur 10%, sólblómaolía.</t>
  </si>
  <si>
    <t>Gulrætur sneiðar</t>
  </si>
  <si>
    <t>10000087</t>
  </si>
  <si>
    <t>Gulrætur 100% (skornit með bylgjusnið, IQF frosnar).</t>
  </si>
  <si>
    <t>https://drive.google.com/file/d/13APRW8jntYMjPt7HJRphHh_x2ucJt07P/view</t>
  </si>
  <si>
    <t>Gulrótar strimlar 3×3 mm</t>
  </si>
  <si>
    <t>WR3610</t>
  </si>
  <si>
    <t>Gulrætur 100% (strimlar 3×3 mm, blanched, IQF frosnar).</t>
  </si>
  <si>
    <t>https://drive.google.com/file/d/14EKHgE4MD2kgC0HNeO2hDcUu-s9_bRl4/view</t>
  </si>
  <si>
    <t>Paprikuteningar litblandir</t>
  </si>
  <si>
    <t>PAB610</t>
  </si>
  <si>
    <t>Rauð paprika 33%, græn paprika 33%, gul paprika 34% (blanched, IQF frosnar).</t>
  </si>
  <si>
    <t>https://drive.google.com/file/d/1QGmtfKI6KgujDmJAjf3jLI_E6RxI24v2/view</t>
  </si>
  <si>
    <t>Maukaðir tómatar</t>
  </si>
  <si>
    <t>Garri</t>
  </si>
  <si>
    <t>3545</t>
  </si>
  <si>
    <t>Tómatar 100%.</t>
  </si>
  <si>
    <t>https://drive.google.com/file/d/1KpmvS2RLTpOgjAXxWnqkP5oIiiwt-ypx/view</t>
  </si>
  <si>
    <t>Kryddblanda Napoletana (IQF)</t>
  </si>
  <si>
    <t>776</t>
  </si>
  <si>
    <t>Maukaðir tómatar 42,5%, basil 35%, hálfþurrkaðir tómatateningar 15%, oregano 5%, sólblómaolía 2,5%.</t>
  </si>
  <si>
    <t>https://drive.google.com/file/d/1yZD5CbZn0SAuXVGayuISKTT26NvZoUYY/view</t>
  </si>
  <si>
    <t>Sætkartöflufranskar 12×12 (Ever Crrrisp)</t>
  </si>
  <si>
    <t>310876</t>
  </si>
  <si>
    <t>Sætar kartöflur, sólblómaolía, umbreytt kartöflusterkja, kartöflusterkja, hrísgrjónamjöl, dextrín, salt, lyftiefni (natríumkarbónat (E500), tvínatríumdífosfat (E450)), kryddextrakt, þykkingarefni (xantangúmmí (E415)).</t>
  </si>
  <si>
    <t>https://drive.google.com/file/d/1xgwYiZu_C_2V0P9OxHTApaJcB72Op5Kt/view</t>
  </si>
  <si>
    <t>Í MAT Vegan Hvítlaukssósa 10 ltr</t>
  </si>
  <si>
    <t>310004</t>
  </si>
  <si>
    <t>Repjuolía, vatn, hvítlaukur, sinnep (edik, **sinnep**sduft, umbreytt maíssterkja, karrí, rotvarnarefni E211, kryddblanda), kryddblanda (rotvarnarefni E260, **sinnep**sduft, hvítur pipar, sýra E330), umbreytt kartöflusterkja, hvítvínsedik (rotvarnarefni E220), sykur, salt, hvítlauksduft, rotvarnarefni (E202), bindiefni (E412)</t>
  </si>
  <si>
    <t>https://docs.google.com/document/d/15t1-eFXH5rXaH6pTM_JrSsvUWFxMzyA_tsC46TAvUZ0/edit</t>
  </si>
  <si>
    <t>Í MAT Vegan Pítusósa 10 ltr</t>
  </si>
  <si>
    <t>310002</t>
  </si>
  <si>
    <t>Repjuolía, vatn, kryddblanda (rotvarnarefni E260, E211, **sinnep**sduft, hvítur pipar, sýra E330), **sinnep** (edik, **sinnep**sduft, karrí, kryddblanda), kryddblanda (maltódextrín, laukur, hvítlaukur, gerþykkni, þrúgusykur, paprika, rósmarín, svartur pipar, cayenne pipar, kekkjavarnarefni E551, steinselja), umbreytt kartöflusterkja, sykur, salt, rotvarnarefni (E202), bindiefni (E412)</t>
  </si>
  <si>
    <t>https://docs.google.com/document/d/1nA3JCNfbbdizhxrxbAWJ7D7toKma28ajUnIT5auLTCY/edit</t>
  </si>
  <si>
    <t>Í MAT Vegan Remúlaði 10 ltr</t>
  </si>
  <si>
    <t>310003</t>
  </si>
  <si>
    <t>Repjuolía, remúpúrra (29%) (þurrkað hvítkál, **sinnep**sduft, umbreytt maíssterkja, sýra E270, rotvarnarefni E260, E211, kryddblanda), vatn, **sinnep** (edik, **sinnep**sduft, karrí, kryddblanda), súrsaðar gúrkur (gúrka, edik, laukur, paprika, **sinnep**sfræ, sýrustillir E509, litarefni E141, E101), kryddblanda (**sinnep**sduft, hvítur pipar, sýra E330), umbreytt kartöflusterkja, eplaedik, sykur, salt, rotvarnarefni (E202), bindiefni (E412)</t>
  </si>
  <si>
    <t>https://docs.google.com/document/d/1zjTEk0jxzMyf_It1YdJ7mbPkOEWo3aspViRU-3l-10I/edit</t>
  </si>
  <si>
    <t>Gunnars tómatsósa 10 L</t>
  </si>
  <si>
    <t>Ora / Myllan</t>
  </si>
  <si>
    <t>T1150</t>
  </si>
  <si>
    <t>Vatn, tómatpúrra (28%) (tómatar, sýra (E330)), sykur, síróp, salt, sýra (E260), rotvarnarefni (E211, E202), hvítlauksduft, bindiefni (E440), umbreytt sterkja, hvítur pipar.</t>
  </si>
  <si>
    <t>Framleitt á svæði þar sem unnið er með hveiti og sinnep.</t>
  </si>
  <si>
    <t>https://drive.google.com/file/d/1L4BZwFqqs3WnFek2GH_U6plw8x8YOyj8/view</t>
  </si>
  <si>
    <t>Vegan majó án glútens (Gunnars)</t>
  </si>
  <si>
    <t>VM0025</t>
  </si>
  <si>
    <t>Repjuolía, vatn, sætt **sinnep** (vatn, edik, sykur, **sinnep**sfræ, salt, krydd, laukur), sítrónusafi, edik, salt, sykur, **sinnep**sduft, umbreytt sterkja, bindiefni (E415, E412), rotvarnarefni (E211, E202, E224 (**súlfít**)</t>
  </si>
  <si>
    <t>Sinnep, Súlfít</t>
  </si>
  <si>
    <t>Framleitt á svæði þar sem unnið er með hveiti, egg, soja, mjólk, sellerí og sinnep.</t>
  </si>
  <si>
    <t>https://drive.google.com/file/d/1KjkQCwuGJMExJqLEbLzxkI1dGCa0QEKA/view</t>
  </si>
  <si>
    <t>Tómatsúpugrunnur (Oscar)</t>
  </si>
  <si>
    <t>Oscar A/S</t>
  </si>
  <si>
    <t>296353</t>
  </si>
  <si>
    <t>Pálmafita, tómatduft (20,5%), umbreytt sterkja, sykur, salt, bragðefni, sterkja, repjuolía, laukduft, þurrkað glúkósasíróp, þykkingarefni (xantangúmmí (E415)), sýra (eplasýra, mjólkursýra), hvítur pipar.</t>
  </si>
  <si>
    <t>https://drive.google.com/file/d/1gXQWfHh3V0e6_ld44rbjCAR_HfS4zUFM/view</t>
  </si>
  <si>
    <t>Beef Gravy Mix (Essential Cuisine)</t>
  </si>
  <si>
    <t>Essential Cuisine Ltd.</t>
  </si>
  <si>
    <t>SW00663</t>
  </si>
  <si>
    <t>Nautakraftur (vatn, nautakraftur, nautafeiti), umbreytt tapiókasterkja, bragðefni, salt, glúkósasíróp, sykur, hrísgrjónamjöl, litarefni (karamellusykur (E150)), kartöflusterkja, maísmjöl, repjuolía, maltódextrín, gerextrakt, jurt.</t>
  </si>
  <si>
    <t>https://drive.google.com/file/d/11jqRSzJh7leUS4PuKUIUhIotkXlwSjlL/view</t>
  </si>
  <si>
    <t>Kjúklingakraftur Vegan (Essential Cuisine)</t>
  </si>
  <si>
    <t>SW00323</t>
  </si>
  <si>
    <t>Grænmetiskraftur (vatn, laukur, gulrótarsafi, tómatur, jurtaextrakt), glúkósasíróp, bragðefni, salt, gerextrakt, maltódextrín, sykur, sólblómaolía.</t>
  </si>
  <si>
    <t>https://drive.google.com/file/d/1fi5GSkdjIw1gerlBnue5jhr5DM-TDQfk/view</t>
  </si>
  <si>
    <t>BBQ sósa</t>
  </si>
  <si>
    <t>Heinz</t>
  </si>
  <si>
    <t>Tómatmauk, vínedik, sykur, vatn, salt, umbreytt sterkja, melassi, reykbragðefni, krydd, kryddþykkni, jurtaþykkni (inniheldur **sellerí**), bragðefni, þykkingarefni (xantangúmmí)</t>
  </si>
  <si>
    <t>https://drive.google.com/file/d/1UFkYyV3jcXOEsHtpc0Ds0-OjnPXgDxwI/view</t>
  </si>
  <si>
    <t>Nýmjólk 1 L (MS)</t>
  </si>
  <si>
    <t>MS / Mjólkursamsalan</t>
  </si>
  <si>
    <t>101</t>
  </si>
  <si>
    <t>Mjólk / Kælivörur</t>
  </si>
  <si>
    <t>**Mjólk**. Fitusprengd og gerilsneydd.</t>
  </si>
  <si>
    <t>https://docs.google.com/document/d/11ja2pjvXhmq1lP-WGaLBTVRQtcrEYgg-XyiWXgW9OKI/edit</t>
  </si>
  <si>
    <t>Léttmjólk 1 L (MS)</t>
  </si>
  <si>
    <t>131</t>
  </si>
  <si>
    <t>**Léttmjólk**. Fitusprengd og gerilsneydd.</t>
  </si>
  <si>
    <t>https://docs.google.com/document/d/1mAztJz__jHn2Ul0W89Sm3CFJJzvHZ0-cE6GrafQHrRE/edit</t>
  </si>
  <si>
    <t>Kanill, malaður</t>
  </si>
  <si>
    <t>35061</t>
  </si>
  <si>
    <t>Kanill 100% (Cinnamomum burmanni).</t>
  </si>
  <si>
    <t>https://drive.google.com/file/d/1c6qdOHZcV0sAzOAgRkfxi1RSC2sFmIpe/view</t>
  </si>
  <si>
    <t>Svartur pipar, malaður</t>
  </si>
  <si>
    <t>32004</t>
  </si>
  <si>
    <t>Svartur pipar 100% (Piper nigrum), hitaþurrkað.</t>
  </si>
  <si>
    <t>https://drive.google.com/file/d/16pABGxDAo2BQ5ZBD9aqSATzh85vQmJ63/view</t>
  </si>
  <si>
    <t>Oregano</t>
  </si>
  <si>
    <t>35101</t>
  </si>
  <si>
    <t>Oregano 100% (Origanum vulgare L.).</t>
  </si>
  <si>
    <t>https://drive.google.com/file/d/1NxDuZHxld5CsvYcJgTiXxTjuMJG7kwri/view</t>
  </si>
  <si>
    <t>Hrein jógúrt 5 kg (MS)</t>
  </si>
  <si>
    <t>300</t>
  </si>
  <si>
    <t>**Mjólk**, jógúrtgerlar.</t>
  </si>
  <si>
    <t>https://docs.google.com/document/d/1PORP2DXRh1UFPEMs2ncJESTcCZqrwkT0epap_arVUog/edit</t>
  </si>
  <si>
    <t>Rifinn ostur – Pizzatopping mozzarella (Ulkjær)</t>
  </si>
  <si>
    <t>Natan - Arla Foods / Ulkjær</t>
  </si>
  <si>
    <t>21032</t>
  </si>
  <si>
    <t>Gerilsneydd **mjólk**, pálmaolía, kekkjavarnarefni (kartöflumjöl), salt, **mjólkursýrugerlar**, ostahleypir (örveruleg).</t>
  </si>
  <si>
    <t>https://drive.google.com/file/d/1fd7WtLy1R0r2yBTcdFmOyLLZMsMwdxq4/view</t>
  </si>
  <si>
    <t>Rúnstykki Kaiserbrauð 60 g (Diversi Foods)</t>
  </si>
  <si>
    <t>Natan -Diversi Foods NV</t>
  </si>
  <si>
    <t>65</t>
  </si>
  <si>
    <t>Hveitimjöl, vatn, ger, salt, repjuolía, glúkósi.</t>
  </si>
  <si>
    <t>Getur innihaldið snefil af mjólk, eggjum, soja, hnetum og sesam.</t>
  </si>
  <si>
    <t>https://drive.google.com/file/d/1tiAWMsBCjkJpvqLl-JZapnAJqJ3ldR3x/view</t>
  </si>
  <si>
    <t>Byggsalat</t>
  </si>
  <si>
    <t>42010002330</t>
  </si>
  <si>
    <t>Bygg, vatn, krydd (hvítur pipar, salt), sítrónusafi, olífu olía.</t>
  </si>
  <si>
    <t>https://www.garri.is/vara/42010002330/</t>
  </si>
  <si>
    <t>Hreinn smurostur</t>
  </si>
  <si>
    <t>MS</t>
  </si>
  <si>
    <t>6091</t>
  </si>
  <si>
    <t>Ostur, vatn, smjör, bræðslusölt (mónónatríumfosfat, natríumpólýfosfat), rotvarnarefni (kalíumsorbat).</t>
  </si>
  <si>
    <t>Mjólk.</t>
  </si>
  <si>
    <t>https://www.ms.is/vorur/vara/smurostur-litill-20-g</t>
  </si>
  <si>
    <t>Nautahamborgari</t>
  </si>
  <si>
    <t>Kjarnafæði</t>
  </si>
  <si>
    <t>59523</t>
  </si>
  <si>
    <t>Nautakjöt 90%, vatn, SOJAPRÓTEIN, kartöflusterkja, salt, krydd, sykur.</t>
  </si>
  <si>
    <t>https://docs.google.com/document/d/1LeIeCIhjoKSUAnCiBrI0uvabqrIPs_4i94KxcjjSGVI/edit</t>
  </si>
  <si>
    <t>Dehli koftas</t>
  </si>
  <si>
    <t>221</t>
  </si>
  <si>
    <t>BYGG, kartöflur, kjúklingabaunir, grænar baunir, chilimauk, tómatpúrra, kartöflumjöl, salt, engifer, kóríander, hvítlaukur.</t>
  </si>
  <si>
    <t>https://innnes.is/tilbunir-rettir/graenkerarettir/mn-dehli-koftas-5kg/</t>
  </si>
  <si>
    <t>Epli</t>
  </si>
  <si>
    <t>Meðaltal af netinu</t>
  </si>
  <si>
    <t>Ávextir / Kælivörur</t>
  </si>
  <si>
    <t>Banani</t>
  </si>
  <si>
    <t>Pera</t>
  </si>
  <si>
    <t>Vínber</t>
  </si>
  <si>
    <t>Vatnsmelóna</t>
  </si>
  <si>
    <t>Appelsína</t>
  </si>
  <si>
    <t>Heilkornastykki</t>
  </si>
  <si>
    <t>OJK</t>
  </si>
  <si>
    <t>PAG-13103</t>
  </si>
  <si>
    <t>Vatn, heil**hveiti**, **hveitimjöl**, brotin **rúgur**, súrdeig úr **hveiti**, **hveitiglúten**, **heilhveiti**, **durumhveiti**, ger, sólblómafræ, epli, kaldpressuð repjuolía, hörfræ, **bygg**malt, sykur, sýrustillir (sítrónusýra), salt.</t>
  </si>
  <si>
    <t>Glúten (hveiti, rúgur)</t>
  </si>
  <si>
    <t>https://verslun.ojk-isam.is/vara/PAG-13103</t>
  </si>
  <si>
    <t>Gulrætur (ferskar)</t>
  </si>
  <si>
    <t>Gulrætur</t>
  </si>
  <si>
    <t>Kartöflur (ferskar)</t>
  </si>
  <si>
    <t>Laukur (ferskur)</t>
  </si>
  <si>
    <t>Laukur</t>
  </si>
  <si>
    <t>Blaðlaukur (ferskur)</t>
  </si>
  <si>
    <t>Blaðlaukur</t>
  </si>
  <si>
    <t>Sellerí (ferskt)</t>
  </si>
  <si>
    <t>Hvítlaukur (ferskur)</t>
  </si>
  <si>
    <t>Hvítlaukur</t>
  </si>
  <si>
    <t>Sólblómaolía</t>
  </si>
  <si>
    <t>Vatn</t>
  </si>
  <si>
    <t>Spaghetti</t>
  </si>
  <si>
    <t>**DURUM HVEITI** semolina, vatn.</t>
  </si>
  <si>
    <t>Getur innihaldið egg, soja, sinnep</t>
  </si>
  <si>
    <t>https://vefverslun.ojk-isam.is/api/BlobForward/inline/ojkisam/f9c51800.pdf</t>
  </si>
  <si>
    <t>Bolognese</t>
  </si>
  <si>
    <t>Nautahakk, maukaðir tómatar, tómatmauk, nautasoð, sólblómaolía, grænmeti (tómatar, kúrbítur, eggaldin, laukur, rauð paprika, græn paprika, **SELLERÍ**, gulrætur, blaðlaukur), hvítlauksmauk, kryddblanda, salt, svartur pipar, þurrkað oregano, múskat, lárviðarlauf.</t>
  </si>
  <si>
    <t>Vegan Bolognese</t>
  </si>
  <si>
    <t>Vegan hakk (vatn, **SOJAPRÓTEIN** þykkni, repjuolía, kryddblanda, þykkingarefni (metýlsellulósi), litarefni), maukaðir tómatar, tómatmauk, sósuduft, grænmeti (tómatar, kúrbítur, eggaldin, laukur, rauð paprika, græn paprika, **SELLERÍ**rót, gulrætur, blaðlaukur, laukur), sólblómaolía, hvítlauksmauk, kryddblanda, salt, svartur pipar, þurrkað oregano, múskat, lárviðarlauf.</t>
  </si>
  <si>
    <t>Soja, Sellerí</t>
  </si>
  <si>
    <t>Pastasalat - Grænmetissósa</t>
  </si>
  <si>
    <t>Hráefni / Kælivörur</t>
  </si>
  <si>
    <t>Pastaskrúfur (**DURUM HVEITI** semolina, vatn), grænmetissósa (repjuolía, gulrætur (16%), brokkólí (16%), vatn, **SINNEP** edik, **SINNEP**sduft, umbreytt maíssterkja, karrí, rotvarnarefni (E211), kryddblanda, sambal oelek, kryddblanda, eplaedik, umbreytt kartöflusterkja, sykur, salt, rotvarnarefni (E202), bindiefni (E412)).</t>
  </si>
  <si>
    <t>Glúten (hveiti), sinnep</t>
  </si>
  <si>
    <t>Getur innihaldið egg, soja.</t>
  </si>
  <si>
    <t>Ýsa</t>
  </si>
  <si>
    <t>Kokteilsósa</t>
  </si>
  <si>
    <t>Vegan majones 60% (repjuolía, vatn, sætt **SINNEP**, sykur, **sinnep**sduft, umbreytt sterkja, bindiefni, rotvarnarefni), tómatsósa 40% (vatn, tómatpúrra 28%, sykur, síróp, rotvarnarefni, bragðefni, litarefni, salt, sýra, bindiefni, umbreytt sterkja, hvítur pipar).</t>
  </si>
  <si>
    <t>Nautagrýta</t>
  </si>
  <si>
    <t>Í-Mat / Matarstund</t>
  </si>
  <si>
    <t>KH-20260605-1</t>
  </si>
  <si>
    <t>Tilbúinn réttur</t>
  </si>
  <si>
    <t>Nautahakk, vatn, grænmetisblanda (**sellerírót**, gulrætur, laukur, **sellerí**), salsa, tómatmauk, nautakraftur, taco-krydd, hvítlaukur, repjuolía, maíssterkja, salt, svartur pipar.</t>
  </si>
  <si>
    <t>Gúllassúpa</t>
  </si>
  <si>
    <t>Matarstund</t>
  </si>
  <si>
    <t>GS-100KG-20260529</t>
  </si>
  <si>
    <t>Nautakjöt, vatn, kartöflur, gulrætur, laukur, paprika, tómatar, tómatpúrra, nautakraftur, hvítlaukur, repjuolía, paprikuduft, kúmen, lárviðarlauf, salt og pipar.</t>
  </si>
  <si>
    <t>Pasta með kjötbollum</t>
  </si>
  <si>
    <t>Matarstund Bollur SS</t>
  </si>
  <si>
    <t>Kjöt / Pastaréttur</t>
  </si>
  <si>
    <t>Kjötbollur (kindakjöt og nautakjöt), grænmeti (kartöflur, brokkólí, laukur, gulrætur), kartöflusterkja, salt, krydd (pipar, oregano, basilíka, paprika), tómatpassata (tómatar), laukur, vatn, maíssterkja, repjuolía, vegan nautakraftur, gulrætur, borðsalt, hvítlaukur, sykur, oregano, kryddblanda, svartur pipar, olía</t>
  </si>
  <si>
    <t>Lambakjötspottréttur með kartöflum</t>
  </si>
  <si>
    <t>Kjöt / Pottréttur</t>
  </si>
  <si>
    <t>Lambakjöt, kartöflur, gulrætur, laukur, vatn, tómatpúrra (tómatar), sellerí, repjuolía, vegan nautakraftur, maíssterkja, borðsalt, hvítlauksduft, timían, svartur pipar, rósmarín.</t>
  </si>
  <si>
    <t>Mildur kjúklingakarrýréttur</t>
  </si>
  <si>
    <t>Kjúklingalæri, kókosmjólk, vatn, forsteiktur laukur, gulrætur, grænmetisblanda, paprika, repjuolía, kjúklingakraftur, maíssterkja, kryddblanda (kóríander, engifer, sítrónugras, skarlottulaukur, hvítlaukur, límónulauf, rautt chili), hvítlauksduft, karrýduft, borðsalt, svartur pipar.</t>
  </si>
  <si>
    <t>Mild tikka masala með kjúklingi</t>
  </si>
  <si>
    <t>Kjúklingalæri, tikka masala sósa (vatn, sykur, laukur, tómatmauk, sólblómaolía, salt, kóríanderduft, engifer, hvítlaukur, **sinnep**sduft, sýrustillir sítrónusýra E330, chili, cumin, fenugreek-lauf, svartur pipar, kóríander, andoxunarefni tókóferólríkt þykkni E306), kókosmjólk, grænmetisblanda (**sellerí**rót, gulrætur, laukur, **sellerí**), tómatpúrra, sólblómaolía, hvítlaukur í olíu, vatn, karrýduft, borðsalt, sykur</t>
  </si>
  <si>
    <t>Sinnep, sellerí</t>
  </si>
  <si>
    <t>Pastagratín með osti og grænmeti</t>
  </si>
  <si>
    <t>Pasta / Gratín</t>
  </si>
  <si>
    <t>Pasta (**durumhveiti**, vatn), nýmjólk, rifinn mozzarellaostur (gerilsneydd mjólk, pálmaolía, kekkjavarnarefni kartöflumjöl, salt, mjólkursýrugerlar, ostahleypir), matreiðslurjómi (rjómi), brokkolí, gulrætur, paprika, laukur, maíssterkja, repjuolía, borðsalt, hvítlauksduft, piparblanda.</t>
  </si>
  <si>
    <t>Mexico súpa með kjúkling</t>
  </si>
  <si>
    <t>Vatn, kjúklingastrimlar (úrbeinuð kjúklingalæri, vatn, salt, paprika, svartur pipar, sýrustillir, þráavarnarefni), tómatar, tómat súpugrunnur, kraftur, chunky salsa, papriku strimlar, brúnaður laukur, grænmeti (brokkólí, kúrbítur, eggaldin, paprika, sólblómaolía), fennel, kryddblanda, hvítlauksmauk, salt, reykt paprika, cumin, sykur, oregano, chiliduft, svartur pipar, lárviðarlauf.</t>
  </si>
  <si>
    <t>https://docs.google.com/document/d/1udxgklo7bqY0eHiGCQSXj2ldwXif6pkukBwWVVetARc/edit</t>
  </si>
  <si>
    <t>RÉTTABANKI – UPPSKRIFTIR OG KOSTNAÐUR</t>
  </si>
  <si>
    <t>Heiti réttar</t>
  </si>
  <si>
    <t>Framleiðslunúmer</t>
  </si>
  <si>
    <t>Athugasemd</t>
  </si>
  <si>
    <t>Vara 1</t>
  </si>
  <si>
    <t>Magn 1
(g)</t>
  </si>
  <si>
    <t>Vara 2</t>
  </si>
  <si>
    <t>Magn 2
(g)</t>
  </si>
  <si>
    <t>Vara 3</t>
  </si>
  <si>
    <t>Magn 3
(g)</t>
  </si>
  <si>
    <t>Vara 4</t>
  </si>
  <si>
    <t>Magn 4
(g)</t>
  </si>
  <si>
    <t>Vara 5</t>
  </si>
  <si>
    <t>Magn 5
(g)</t>
  </si>
  <si>
    <t>Vara 6</t>
  </si>
  <si>
    <t>Magn 6
(g)</t>
  </si>
  <si>
    <t>Vara 7</t>
  </si>
  <si>
    <t>Magn 7
(g)</t>
  </si>
  <si>
    <t>Vara 8</t>
  </si>
  <si>
    <t>Magn 8
(g)</t>
  </si>
  <si>
    <t>Vara 9</t>
  </si>
  <si>
    <t>Magn 9
(g)</t>
  </si>
  <si>
    <t>Vara 10</t>
  </si>
  <si>
    <t>Magn 10
(g)</t>
  </si>
  <si>
    <t>Vara 11</t>
  </si>
  <si>
    <t>Magn 11
(g)</t>
  </si>
  <si>
    <t>Vara 12</t>
  </si>
  <si>
    <t>Magn 12
(g)</t>
  </si>
  <si>
    <t>Vara 13</t>
  </si>
  <si>
    <t>Magn 13
(g)</t>
  </si>
  <si>
    <t>Vara 14</t>
  </si>
  <si>
    <t>Magn 14
(g)</t>
  </si>
  <si>
    <t>Vara 15</t>
  </si>
  <si>
    <t>Magn 15
(g)</t>
  </si>
  <si>
    <t>Vara 16</t>
  </si>
  <si>
    <t>Magn 16
(g)</t>
  </si>
  <si>
    <t>Vara 17</t>
  </si>
  <si>
    <t>Magn 17
(g)</t>
  </si>
  <si>
    <t>Vara 18</t>
  </si>
  <si>
    <t>Magn 18
(g)</t>
  </si>
  <si>
    <t>Vara 19</t>
  </si>
  <si>
    <t>Magn 19
(g)</t>
  </si>
  <si>
    <t>Vara 20</t>
  </si>
  <si>
    <t>Magn 20
(g)</t>
  </si>
  <si>
    <t>Innihaldslýsing
(sjálfvirkt)</t>
  </si>
  <si>
    <t>Ofnæmisvaldar
(sjálfvirkt)</t>
  </si>
  <si>
    <t>Fyrirvari
(sjálfvirkt)</t>
  </si>
  <si>
    <t>Kostnaður
(kr/skammt)</t>
  </si>
  <si>
    <t>Pasta með kjötbollum í mildri tómatsósu</t>
  </si>
  <si>
    <t>Pastahlutfall 40%, sósa og kjötbollur 60%</t>
  </si>
  <si>
    <t>Forsoðið pasta – Ójk - Ísam</t>
  </si>
  <si>
    <t>Skólabollur, Kjöt og grænmeti – Kjarnafæði Norðlenska hf.</t>
  </si>
  <si>
    <t>Tómatpuré Doppio Concentrato 800 g (Menu) – Menu SRL</t>
  </si>
  <si>
    <t>Crystal Sugar (Sykur) – Cosun Beet Company</t>
  </si>
  <si>
    <t>Oregano – Nordic Spice AB</t>
  </si>
  <si>
    <t>Svartur pipar, malaður – Nordic Spice AB</t>
  </si>
  <si>
    <t>Borðsalt – Katla matvælaiðja ehf.</t>
  </si>
  <si>
    <t>LP-100KG-20260529</t>
  </si>
  <si>
    <t>100 kg uppskrift</t>
  </si>
  <si>
    <t>Lambakjöt teningar</t>
  </si>
  <si>
    <t>Repjuolía</t>
  </si>
  <si>
    <t>Kjúklingakraftur Vegan (Essential Cuisine) – Essential Cuisine Ltd.</t>
  </si>
  <si>
    <t>Hvítlauksduft (Vitlökspulver) – Nordic Spice AB</t>
  </si>
  <si>
    <t>Maizenamjöl (majssterkja) – Maizena / Unilever</t>
  </si>
  <si>
    <t>MK-100KG-20260529</t>
  </si>
  <si>
    <t>100 kg uppskrift. Glútenfrítt ef kraftur og karrýblanda eru glútenlaus.</t>
  </si>
  <si>
    <t>Kjúklingalæri úrbeinuð – Danpo</t>
  </si>
  <si>
    <t>Hrísgrjón Thai Hom Mali (Royal Umbrella) – Khao C.P. Co., Ltd.</t>
  </si>
  <si>
    <t>Forsteiktur laukur (Pre-fried sliced onions) – Ardo Violaines SAS</t>
  </si>
  <si>
    <t>Kókosmjólk Roland Coconut Milk – Roland Foods LLC</t>
  </si>
  <si>
    <t>TMK-100KG-20260529</t>
  </si>
  <si>
    <t>100 kg uppskrift. Ofnæmisvaldur: SINNEP.</t>
  </si>
  <si>
    <t>Sauce tikka masala GT-CHEF – GoldenTurtleForChefs (ZLI)</t>
  </si>
  <si>
    <t>Brunoise grænmetisblanda – Ardo</t>
  </si>
  <si>
    <t>Hvítlaukur í olíu (Crushed garlic) – APPETIT Levnedsmidler A/S / Wiik &amp; Co.</t>
  </si>
  <si>
    <t>Kjúklingasúpa með núðlum og grænmeti</t>
  </si>
  <si>
    <t>KSN-100KG-20260529</t>
  </si>
  <si>
    <t>100 kg uppskrift. Glúten inniheldur núðlur.</t>
  </si>
  <si>
    <t>Núðlur (eggjanuðlur)</t>
  </si>
  <si>
    <t>POG-100KG-20260529</t>
  </si>
  <si>
    <t>100 kg uppskrift. Inniheldur glúten og mjólk.</t>
  </si>
  <si>
    <t>Rifinn ostur – Pizzatopping mozzarella (Ulkjær) – Natan - Arla Foods / Ulkjær</t>
  </si>
  <si>
    <t>Nýmjólk 1 L (MS) – MS / Mjólkursamsalan</t>
  </si>
  <si>
    <t>Gulrætur sneiðar – Ardo</t>
  </si>
  <si>
    <t>Vegan mexicosúpa</t>
  </si>
  <si>
    <t>FH-MEX-100KG-01</t>
  </si>
  <si>
    <t>Tómatsúpugrunnur (Oscar) – Oscar A/S</t>
  </si>
  <si>
    <t>Paprikuteningar litblandir – Ardo</t>
  </si>
  <si>
    <t>Fennel frosinn (Diced Fennel) – Ardo</t>
  </si>
  <si>
    <t>Country Grill grænmetisblanda – Ardo</t>
  </si>
  <si>
    <t>Violife Grated Mozzarella Flavour – Arivia S.A.</t>
  </si>
  <si>
    <t>Oatly iMat Fraiche (sýrður hafrarjómi) – Oatly</t>
  </si>
  <si>
    <t>Mac and Cheese</t>
  </si>
  <si>
    <t>FH-MAC-100KG-01</t>
  </si>
  <si>
    <t>100 kg uppskrift. Inniheldur glúten, mjólk og sinnep.</t>
  </si>
  <si>
    <t>Gomiti / Macaroni pasta – Garri</t>
  </si>
  <si>
    <t>Smjör 500 g – MS (Mjólkursamsalan Íslands)</t>
  </si>
  <si>
    <t>Rustic gulrætur frosnar – Ardo</t>
  </si>
  <si>
    <t>Plokkfiskur (vegan)</t>
  </si>
  <si>
    <t>PLK-100KG-20260529</t>
  </si>
  <si>
    <t>Glúten-, mjólkur-, hnetu-, soja- og eggjalaus útgáfa. Ofnæmisvaldar: Fiskur og súlfít.</t>
  </si>
  <si>
    <t>Ýsa nætursöltuð – Hafið fiskverslun</t>
  </si>
  <si>
    <t>Debic Vegan Top (jurtarjómi) – FrieslandCampina / Debic</t>
  </si>
  <si>
    <t>GRUNNMATSEÐILL</t>
  </si>
  <si>
    <t>Dagsetning</t>
  </si>
  <si>
    <t>Dagur
(sjálfvirkt)</t>
  </si>
  <si>
    <t>Vika
(sjálfvirkt)</t>
  </si>
  <si>
    <t>Gildir fyrir</t>
  </si>
  <si>
    <t>Máltíðartegund</t>
  </si>
  <si>
    <t>Tegund
(Vara/Réttur)</t>
  </si>
  <si>
    <t>Vara / Réttur</t>
  </si>
  <si>
    <t>Birtingarlýsing
(vefur)</t>
  </si>
  <si>
    <t>Skammtur
Leikskóli (g)</t>
  </si>
  <si>
    <t>Skammtur
Grunnskóli (g)</t>
  </si>
  <si>
    <t>Orka
(kcal)</t>
  </si>
  <si>
    <t>Fita
(g)</t>
  </si>
  <si>
    <t>Prótein
(g)</t>
  </si>
  <si>
    <t>Bæði</t>
  </si>
  <si>
    <t>Ávaxtastund</t>
  </si>
  <si>
    <t>Ferskir ávextir alla daga.</t>
  </si>
  <si>
    <t>Vara</t>
  </si>
  <si>
    <t>Epli – Meðaltal af netinu</t>
  </si>
  <si>
    <t>Banani – Meðaltal af netinu</t>
  </si>
  <si>
    <t>Pera – Meðaltal af netinu</t>
  </si>
  <si>
    <t>Vatnsmelóna – Meðaltal af netinu</t>
  </si>
  <si>
    <t>Appelsína – Meðaltal af netinu</t>
  </si>
  <si>
    <t>Vínber – Meðaltal af netinu</t>
  </si>
  <si>
    <t>Leikskóli</t>
  </si>
  <si>
    <t>Aðalréttur</t>
  </si>
  <si>
    <t>Vanilluskyr með jarðaberjum og bláberjum</t>
  </si>
  <si>
    <t>Arna skyr vanillu – Arna / MS</t>
  </si>
  <si>
    <t>Vanilluskyr</t>
  </si>
  <si>
    <t>Jarðarber frosið – Global Food Link S.L.U.</t>
  </si>
  <si>
    <t>Bláber frosið (Wild Blueberries) – N.V. d'Arta</t>
  </si>
  <si>
    <t>Hliðarréttur</t>
  </si>
  <si>
    <t>Soja jógúrt með jarðaberja eða vanillubragði</t>
  </si>
  <si>
    <t>Sojajógúrt jarðarberja (Oddlygood) – Oddlygood Sweden AB</t>
  </si>
  <si>
    <t>Soja jógúrt</t>
  </si>
  <si>
    <t>Sojajógúrt vanillu (Oddlygood) – Oddlygood Sweden AB</t>
  </si>
  <si>
    <t>Soja jógúrt vanillu</t>
  </si>
  <si>
    <t>Meðlæti</t>
  </si>
  <si>
    <t>Rúnstykki, smjörvi, ostur og ávöxtur</t>
  </si>
  <si>
    <t>Rúnstykki Kaiserbrauð 60 g (Diversi Foods) – Natan -Diversi Foods NV</t>
  </si>
  <si>
    <t>Rúnstykki</t>
  </si>
  <si>
    <t>Smjörvi 400 g – MS (Mjólkursamsalan Íslands)</t>
  </si>
  <si>
    <t>Smjörvi</t>
  </si>
  <si>
    <t>Góðostur 26% sneiðar – MS (Mjólkursamsalan Íslands)</t>
  </si>
  <si>
    <t>Ostur</t>
  </si>
  <si>
    <t>Síðdegishressing</t>
  </si>
  <si>
    <t>Heilhveitikex með osti, gúrku og ferskum ávöxtum</t>
  </si>
  <si>
    <t>Heilhveitikex (HAUST Graham biscuit) – Continental Bakeries North Europe AB</t>
  </si>
  <si>
    <t>Heilhveitikex</t>
  </si>
  <si>
    <t>Mexico kjúklingasúpa, sýrður rjómi og rifinn ostur</t>
  </si>
  <si>
    <t>Mexico súpa með kjúkling – Í-MAT / Matarstund</t>
  </si>
  <si>
    <t>Mexico súpa</t>
  </si>
  <si>
    <t>Sýrður rjómi 10% – MS (Mjólkursamsalan Íslands)</t>
  </si>
  <si>
    <t>Sýrður rjómi</t>
  </si>
  <si>
    <t>Rifinn ostur</t>
  </si>
  <si>
    <t>Mexico súpa með sýrðum hafrarjóma og vegan osti</t>
  </si>
  <si>
    <t>Sýrður hafrarjómi</t>
  </si>
  <si>
    <t>Rifinn vegan ostur</t>
  </si>
  <si>
    <t>Nachos, gúrka, tómatur og ávöxtur</t>
  </si>
  <si>
    <t>Nachos Tortilla Chips Salted (Santa Maria) – Paulig / Santa Maria</t>
  </si>
  <si>
    <t>Nachos</t>
  </si>
  <si>
    <t>Heilkornabrauð með lifrakæfu, tómat og ávöxt</t>
  </si>
  <si>
    <t>Heilkornasamlokubrauð stórt – Myllan</t>
  </si>
  <si>
    <t>Heilkornabrauð</t>
  </si>
  <si>
    <t>Dönsk lifrarkæfa – Kjarnafæði Norðlenska hf.</t>
  </si>
  <si>
    <t>Lifrakæfa</t>
  </si>
  <si>
    <t>Soðin ýsa, kartöflur og brætt smjör</t>
  </si>
  <si>
    <t>Forsoðnar kartöflur – Þykkvabæjar</t>
  </si>
  <si>
    <t>Smjör</t>
  </si>
  <si>
    <t>Grænmetisnaggar með kartöflum og kokteilsósu</t>
  </si>
  <si>
    <t>Anamma Vegan Nuggets Pea – Anamma / Orkla Foods Sweden</t>
  </si>
  <si>
    <t>Naggar</t>
  </si>
  <si>
    <t>Rúgbrauð, pastasalat og grænmeti</t>
  </si>
  <si>
    <t>Ömmu rúgbrauð (mjólkurlaust) – Gæðabakstur / Ömmubakstur ehf.</t>
  </si>
  <si>
    <t>Rúgbrauð</t>
  </si>
  <si>
    <t>Pastasalat</t>
  </si>
  <si>
    <t>Samlokubrauð með papriku og skinku ásamt ávöxtum</t>
  </si>
  <si>
    <t>Stórt hvítt samlokubrauð – Myllan</t>
  </si>
  <si>
    <t>Samlokubrauð</t>
  </si>
  <si>
    <t>Ali brauðskinka 62% – Síldar og Fiskur ehf.</t>
  </si>
  <si>
    <t>Skinka</t>
  </si>
  <si>
    <t>Lokað – 1. maí (frídagur)</t>
  </si>
  <si>
    <t>Bolognese hakkréttur með spaghetti</t>
  </si>
  <si>
    <t>Vegan bolognese réttur með spaghetti</t>
  </si>
  <si>
    <t>Ferskt hrásalat, paprika og ávöxtur</t>
  </si>
  <si>
    <t>Hrásalat, ferskt – Hollt og Gott ehf.</t>
  </si>
  <si>
    <t>Hrásalat</t>
  </si>
  <si>
    <t>Pizzasnúður ásamt ávöxtum</t>
  </si>
  <si>
    <t>Pizzasnúðar 8 stk – Myllan</t>
  </si>
  <si>
    <t>Pizzasnúður</t>
  </si>
  <si>
    <t>Vegan pizzasnúður</t>
  </si>
  <si>
    <t>Kjötbollur, hrísgrjón og súrsæt sósa</t>
  </si>
  <si>
    <t>Kjötbollur</t>
  </si>
  <si>
    <t>Hrísgrjón</t>
  </si>
  <si>
    <t>La Choy Sweet &amp; Sour Sauce (Súrsæt sósa) – ConAgra Brands / La Choy</t>
  </si>
  <si>
    <t>Súrsæt sósa</t>
  </si>
  <si>
    <t>Grænmetisbollur, hrísgrjón og súrsæt sósa</t>
  </si>
  <si>
    <t>Asískar grænmetisbollur – Avita</t>
  </si>
  <si>
    <t>Maís, gúrka, tómatur og ávöxtur</t>
  </si>
  <si>
    <t>Heilkornastykki, kindakæfa, tómatar og ávöxtur</t>
  </si>
  <si>
    <t>Heilkornastykki – OJK</t>
  </si>
  <si>
    <t>NOL Kindakæfa 200g – Kjarnafæði Norðlenska hf.</t>
  </si>
  <si>
    <t>Kindakæfa</t>
  </si>
  <si>
    <t>Ýsa í mildri hvítlauksmarineringu, kartöflusmælki, karrýsósa</t>
  </si>
  <si>
    <t>Ýsa í mildri hvítlauksmarineringu – Hafið</t>
  </si>
  <si>
    <t>Í MAT Karrísósa vegan 10 ltr – Kjarnavörur hf.</t>
  </si>
  <si>
    <t>Karrýsósa</t>
  </si>
  <si>
    <t>Kartöflusmælki</t>
  </si>
  <si>
    <t>Grænmetisbuff, kartöflusmælki, karrýsósa</t>
  </si>
  <si>
    <t>Quinoa Grænkálsbuff – Ardo Austria Frost GmbH</t>
  </si>
  <si>
    <t>Grænmetisbuff</t>
  </si>
  <si>
    <t>Byggsalat, gulrætur, brokkolí, ávöxtur</t>
  </si>
  <si>
    <t>Byggsalat – Garri</t>
  </si>
  <si>
    <t>Hönö brauð með smjöri og agúrku ásamt ávöxtum</t>
  </si>
  <si>
    <t>Hönö Skärgårdskaka (Pólarbrauð) – Pågen AB</t>
  </si>
  <si>
    <t>Hönó brauð</t>
  </si>
  <si>
    <t>Grjónagrautur með lifrapylsu og kanil</t>
  </si>
  <si>
    <t>Heimilis grjónagrautur – Matarstræti</t>
  </si>
  <si>
    <t>Grjónagrautur</t>
  </si>
  <si>
    <t>Lifrarpylsa án mjólkur, soðin – Kjarnafæði Norðlenska hf.</t>
  </si>
  <si>
    <t>Lifrarpylsa</t>
  </si>
  <si>
    <t>Vegan grjónagrautur og kanil</t>
  </si>
  <si>
    <t>Vegan grjónagrautur – Í-MAT / Matarstund</t>
  </si>
  <si>
    <t>Lífskornabrauð, ostur, smjör, tómatur ásamt ávöxtum</t>
  </si>
  <si>
    <t>Lífskornabrauð m/ tröllahöfrum og chia – Myllan</t>
  </si>
  <si>
    <t>Lífskornabrauð</t>
  </si>
  <si>
    <t>Hrökkbrauð með skinku og smurosti, paprika ásamt ávöxtum</t>
  </si>
  <si>
    <t>Hrökkbrauð – Spelt (Burger crispbread) – Burger Knäcke GmbH + Co. KG</t>
  </si>
  <si>
    <t>Hreinn smurostur – MS</t>
  </si>
  <si>
    <t>Smurostur</t>
  </si>
  <si>
    <t>Fiskur í orly, kartöflur, remúlaði</t>
  </si>
  <si>
    <t>Ýsa í orlý – Hafið</t>
  </si>
  <si>
    <t>Fiskur í orly</t>
  </si>
  <si>
    <t>Í MAT Vegan Remúlaði 10 ltr – Kjarnavörur hf.</t>
  </si>
  <si>
    <t>Remúlaði</t>
  </si>
  <si>
    <t>Dehli koftas, kartöflur, remúlaði</t>
  </si>
  <si>
    <t>Dehli koftas – Álfasaga ehf. (Móðir Náttúra)</t>
  </si>
  <si>
    <t>Ferskt hrásalat, blómkál, paprika, ávöxtur</t>
  </si>
  <si>
    <t>Sólkjarnabrauð með lifrakæfu og tómatur ásamt ávöxtum</t>
  </si>
  <si>
    <t>Sólkjarnabrauð plötubrauð – Gæðabakstur / Ömmubakstur ehf.</t>
  </si>
  <si>
    <t>Sólkjarnabrauð</t>
  </si>
  <si>
    <t>Nautahamborgari, kartöflubátar, kokteilsósa</t>
  </si>
  <si>
    <t>Nautahamborgari – Kjarnafæði</t>
  </si>
  <si>
    <t>Hamborgari</t>
  </si>
  <si>
    <t>Organic Crystal Sourdough Bun – Europastry S.A.</t>
  </si>
  <si>
    <t>Hamborgarabrauð</t>
  </si>
  <si>
    <t>Kartöflubátar (Potato Wedges) – Mydibel</t>
  </si>
  <si>
    <t>Kartöflubátar</t>
  </si>
  <si>
    <t>Í MAT Vegan kokteilsósa 10 ltr – Kjarnavörur hf.</t>
  </si>
  <si>
    <t>Chilliborgari, kartöflubátar, kokteilsósa</t>
  </si>
  <si>
    <t>Chiliborgari (Veganborgari) – Álfasaga ehf. (Móðir Náttúra)</t>
  </si>
  <si>
    <t>Chilliborgari</t>
  </si>
  <si>
    <t>Tómatar, gúrka, kál, paprika, ávöxtur</t>
  </si>
  <si>
    <t>Heimilisbrauð með papriku og kjúklingaáleggi ásamt ávöxtum</t>
  </si>
  <si>
    <t>Heimilisbrauð 1/1 – Myllan</t>
  </si>
  <si>
    <t>Heimilisbrauð</t>
  </si>
  <si>
    <t>Reynt kjúklingaálegg – Matfugl ehf.</t>
  </si>
  <si>
    <t>Kjúklingaálegg</t>
  </si>
  <si>
    <t>Tacoskálar, nautagrýta, salsa, sýrður rjómi</t>
  </si>
  <si>
    <t>Nautagrýta – Í-Mat / Matarstund</t>
  </si>
  <si>
    <t>Taco Tubs (Tacoskálar) – Paulig / Santa Maria</t>
  </si>
  <si>
    <t>Taco skál</t>
  </si>
  <si>
    <t>Chunky Salsa Medium (Salsa sósa) – Paulig / Santa Maria</t>
  </si>
  <si>
    <t>Salsa</t>
  </si>
  <si>
    <t>Tacoskálar, chili sin carne, salsa, sýrður hafrarjómi</t>
  </si>
  <si>
    <t>Nachos, paprika, gúrka og ávöxtur</t>
  </si>
  <si>
    <t>Fjölkornabrauð með lifrarkæfu og gúrku ásamt ávöxtum</t>
  </si>
  <si>
    <t>Lifrarkæfa</t>
  </si>
  <si>
    <t>Kjúklingalæri, bökuð kartafla, BBQ-sósa</t>
  </si>
  <si>
    <t>kjúklinga Lærakjöt Rodizio – Matfugl ehf.</t>
  </si>
  <si>
    <t>Kjúklingalæri</t>
  </si>
  <si>
    <t>Bökuð kartafla</t>
  </si>
  <si>
    <t>BBQ sósa – Heinz</t>
  </si>
  <si>
    <t>BBQ-sósa</t>
  </si>
  <si>
    <t>Grænmetisbuff, bökuð kartafla, BBQ sósa</t>
  </si>
  <si>
    <t>Maíssalat, brokkolí, tómatar, ávöxtur</t>
  </si>
  <si>
    <t>Maísblanda frosið (IQF Roasted Corn Mexicana) – Ardo</t>
  </si>
  <si>
    <t>Maíssalat</t>
  </si>
  <si>
    <t>Pólarbrauð með kindakæfu og tómötum ásamt ávöxtum</t>
  </si>
  <si>
    <t>Pólarbrauð</t>
  </si>
  <si>
    <t>Gúllassúpa, skólabollur</t>
  </si>
  <si>
    <t>Gúllassúpa – Matarstund</t>
  </si>
  <si>
    <t>Skólabollur – Myllan</t>
  </si>
  <si>
    <t>Grænmetissúpa, skólabollur</t>
  </si>
  <si>
    <t>Pastasalat, smjör, paprika og ávöxtur</t>
  </si>
  <si>
    <t>Heilhveitikex með skinku og papriku ásamt ávöxtum</t>
  </si>
  <si>
    <t>Nætursaltaður þorskur með kartöflum, rúgbrauði og bræddu smjöri</t>
  </si>
  <si>
    <t>Þorskur</t>
  </si>
  <si>
    <t>Grænmetisbollur, kartöflur, hvítlaukssósa</t>
  </si>
  <si>
    <t>Grænmetisbollur – Álfasaga ehf. (Móðir Náttúra)</t>
  </si>
  <si>
    <t>Í MAT Vegan Hvítlaukssósa 10 ltr – Kjarnavörur hf.</t>
  </si>
  <si>
    <t>Hvítlaukssósa</t>
  </si>
  <si>
    <t>Blómkál, gulrætur, byggsalat og ávöxtur</t>
  </si>
  <si>
    <t>Blómkál frosið (Cauliflower florets 15/35 mm) – Ardo</t>
  </si>
  <si>
    <t>Maltað kornbrauð með kjúklingaáleggi og gúrku ásamt ávöxtum</t>
  </si>
  <si>
    <t>Pasta með kjötbollum – Matarstund Bollur SS</t>
  </si>
  <si>
    <t>Kjötbollur í mildri tómatsósu</t>
  </si>
  <si>
    <t>Pasta</t>
  </si>
  <si>
    <t>Pasta með grænmetisbollum í mildri tómatsósu</t>
  </si>
  <si>
    <t>Tómatar, gúrka, kál og ávöxtur</t>
  </si>
  <si>
    <t>Skonsur með osti og smjöri ásamt ávöxtum</t>
  </si>
  <si>
    <t>Ömmu skonsur heilar – Gæðabakstur / Ömmubakstur ehf.</t>
  </si>
  <si>
    <t>Skonsur</t>
  </si>
  <si>
    <t>Bananaskonsur – Gæðabakstur / Ömmubakstur ehf.</t>
  </si>
  <si>
    <t>SKÓLABREYTINGAR – SÉRSTAKAR BREYTINGAR PER SKÓLA</t>
  </si>
  <si>
    <t>Skóli</t>
  </si>
  <si>
    <t>Birtingarnafn</t>
  </si>
  <si>
    <t>Ástæða / Athugasemd</t>
  </si>
  <si>
    <t>SKÓLALISTI</t>
  </si>
  <si>
    <t>Heiti skóla</t>
  </si>
  <si>
    <t>Tegund</t>
  </si>
  <si>
    <t>Sveitarfélag</t>
  </si>
  <si>
    <t>Virkur</t>
  </si>
  <si>
    <t>Laugalækjarskóli</t>
  </si>
  <si>
    <t>Grunnskóli</t>
  </si>
  <si>
    <t>Reykjavík</t>
  </si>
  <si>
    <t>Já</t>
  </si>
  <si>
    <t>Ársskóli</t>
  </si>
  <si>
    <t>Leikskólinn Melur</t>
  </si>
  <si>
    <t>Leikskólinn Laugarnesskóli</t>
  </si>
  <si>
    <t>FRAMLEGÐ – KOSTNAÐARYFIRLIT</t>
  </si>
  <si>
    <t>Lifandi tafla. Breyttu söluverði í blásinu 'B_Forsendur'. Litakóðar uppfærast sjálfkrafa.</t>
  </si>
  <si>
    <t>Heiti réttar (Recipe)</t>
  </si>
  <si>
    <t>Flokkur (Category)</t>
  </si>
  <si>
    <t>Kostnaður/skammt (IS)</t>
  </si>
  <si>
    <t>Söluverð (ISK)</t>
  </si>
  <si>
    <t>Matarkostn. %</t>
  </si>
  <si>
    <t>Mlegð/skammt (IS)</t>
  </si>
  <si>
    <t>Staða (RAG)</t>
  </si>
  <si>
    <t>⬅ Þetta blað er handvirkt yfirlit. Sæktu réttarheiti og kostnað úr Grunnmatseðli og Réttabanka með Copy → Paste Values.</t>
  </si>
  <si>
    <t>FORSENDUR – SÖLUVERÐ OG VIÐMIÐ</t>
  </si>
  <si>
    <t>Söluverð per skammt (ISK)</t>
  </si>
  <si>
    <t>Viðmiðunarmörk - Gott (%)</t>
  </si>
  <si>
    <t>Viðmiðunarmörk - Viðunanlegt (%)</t>
  </si>
  <si>
    <t xml:space="preserve">  MATARSTUND – LEIÐBEININGAR v7</t>
  </si>
  <si>
    <t>Röð vinnu</t>
  </si>
  <si>
    <t>1) Vöruskrá → 2) Réttabanki → 3) Grunnmatseðill → 4) Skólabreytingar (ef þarf)</t>
  </si>
  <si>
    <t xml:space="preserve">  BLÖÐIN</t>
  </si>
  <si>
    <t>Vöruskrá</t>
  </si>
  <si>
    <t>Allt hráefni með næringargildi, ofnæmisvalda og kostnað per kg</t>
  </si>
  <si>
    <t>Réttabanki</t>
  </si>
  <si>
    <t>Uppskriftir — vörur + magn (g per 100kg). Næringargildi reiknast sjálfkrafa.</t>
  </si>
  <si>
    <t>Grunnmatseðill</t>
  </si>
  <si>
    <t>Dagsetningamiðaður matseðill fyrir alla skóla. XLOOKUP sækir innihald/næring sjálfkrafa.</t>
  </si>
  <si>
    <t>Skólabreytingar</t>
  </si>
  <si>
    <t>Undantekningar per skóli per dag — t.d. pulsur í stað ýsu á þriðjudag hjá X-skóla</t>
  </si>
  <si>
    <t>Skólalisti</t>
  </si>
  <si>
    <t>Nöfn allra ~20 skólanna — dropdown í Skólabreytingum sækir héðan</t>
  </si>
  <si>
    <t>Framlegð</t>
  </si>
  <si>
    <t>Kostnaðaryfirlit með RAG litakóðum. Söluverð stillst í Forsendur.</t>
  </si>
  <si>
    <t>Forsendur</t>
  </si>
  <si>
    <t>Söluverð og viðmiðunarmörk fyrir Framlegð</t>
  </si>
  <si>
    <t xml:space="preserve">  VEFURINN LES</t>
  </si>
  <si>
    <t>Sýnir alltaf næstu 2 vikur sjálfkrafa</t>
  </si>
  <si>
    <t>Ef foreldri velur skóla sér hann breytingar fyrir sinn skóla</t>
  </si>
  <si>
    <t>Vefurinn les skólanöfnin héðan til að fylla dropdown</t>
  </si>
  <si>
    <t xml:space="preserve">  KOSTNAÐUR</t>
  </si>
  <si>
    <t>Vöruskrá dálkur Q</t>
  </si>
  <si>
    <t>Kostnaður per kg — uppfærður þegar verð breytist</t>
  </si>
  <si>
    <t>Grunnmatseðill dálkur K</t>
  </si>
  <si>
    <t>Kostnaður per skammt — kokkurinn skráir beint</t>
  </si>
  <si>
    <t>Samanburður við söluverð, RAG litakóðar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</si>
</sst>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quot; kr&quot;"/>
    <numFmt numFmtId="166" formatCode="dd/mm/yyyy"/>
    <numFmt numFmtId="167" formatCode="0\%"/>
  </numFmts>
  <fonts count="12">
    <font>
      <sz val="11"/>
      <color theme="1"/>
      <name val="Calibri"/>
      <family val="2"/>
      <charset val="1"/>
    </font>
    <font>
      <b/>
      <sz val="14"/>
      <color rgb="FFFFFFFF"/>
      <name val="Arial"/>
      <charset val="1"/>
    </font>
    <font>
      <b/>
      <sz val="10"/>
      <color rgb="FFFFFFFF"/>
      <name val="Arial"/>
      <charset val="1"/>
    </font>
    <font>
      <sz val="10"/>
      <color rgb="FF212121"/>
      <name val="Arial"/>
      <charset val="1"/>
    </font>
    <font>
      <i/>
      <sz val="10"/>
      <color rgb="FF546E7A"/>
      <name val="Arial"/>
      <charset val="1"/>
    </font>
    <font>
      <i/>
      <sz val="10"/>
      <color rgb="FF9E9E9E"/>
      <name val="Arial"/>
      <charset val="1"/>
    </font>
    <font>
      <i/>
      <sz val="10"/>
      <color rgb="FFFFFFFF"/>
      <name val="Arial"/>
      <charset val="1"/>
    </font>
    <font>
      <b/>
      <sz val="10"/>
      <color rgb="FFE65100"/>
      <name val="Arial"/>
      <charset val="1"/>
    </font>
    <font>
      <b/>
      <sz val="13"/>
      <color rgb="FFFFFFFF"/>
      <name val="Arial"/>
      <charset val="1"/>
    </font>
    <font>
      <b/>
      <sz val="10"/>
      <color rgb="FF212121"/>
      <name val="Arial"/>
      <charset val="1"/>
    </font>
    <font>
      <b/>
      <sz val="10"/>
      <color rgb="FF1A237E"/>
      <name val="Arial"/>
      <charset val="1"/>
    </font>
    <font>
      <b/>
      <sz val="12"/>
      <color rgb="FFFFFFFF"/>
      <name val="Arial"/>
      <charset val="1"/>
    </font>
  </fonts>
  <fills count="23">
    <fill>
      <patternFill patternType="none"/>
    </fill>
    <fill>
      <patternFill patternType="gray125"/>
    </fill>
    <fill>
      <patternFill patternType="solid">
        <fgColor rgb="FFE65100"/>
        <bgColor rgb="FFBF360C"/>
      </patternFill>
    </fill>
    <fill>
      <patternFill patternType="solid">
        <fgColor rgb="FFBF360C"/>
        <bgColor rgb="FFE65100"/>
      </patternFill>
    </fill>
    <fill>
      <patternFill patternType="solid">
        <fgColor rgb="FFFFF3E0"/>
        <bgColor rgb="FFFFFDE7"/>
      </patternFill>
    </fill>
    <fill>
      <patternFill patternType="solid">
        <fgColor rgb="FFFFFDE7"/>
        <bgColor rgb="FFFFF3E0"/>
      </patternFill>
    </fill>
    <fill>
      <patternFill patternType="solid">
        <fgColor rgb="FFFFFFFF"/>
        <bgColor rgb="FFFFFDE7"/>
      </patternFill>
    </fill>
    <fill>
      <patternFill patternType="solid">
        <fgColor rgb="FF1B5E20"/>
        <bgColor rgb="FF2E7D32"/>
      </patternFill>
    </fill>
    <fill>
      <patternFill patternType="solid">
        <fgColor rgb="FF388E3C"/>
        <bgColor rgb="FF2E7D32"/>
      </patternFill>
    </fill>
    <fill>
      <patternFill patternType="solid">
        <fgColor rgb="FF2E7D32"/>
        <bgColor rgb="FF388E3C"/>
      </patternFill>
    </fill>
    <fill>
      <patternFill patternType="solid">
        <fgColor rgb="FFCFD8DC"/>
        <bgColor rgb="FFC8E6C9"/>
      </patternFill>
    </fill>
    <fill>
      <patternFill patternType="solid">
        <fgColor rgb="FFE8F5E9"/>
        <bgColor rgb="FFECEFF1"/>
      </patternFill>
    </fill>
    <fill>
      <patternFill patternType="solid">
        <fgColor rgb="FFECEFF1"/>
        <bgColor rgb="FFEEF2FF"/>
      </patternFill>
    </fill>
    <fill>
      <patternFill patternType="solid">
        <fgColor rgb="FFF9A825"/>
        <bgColor rgb="FFFFCC00"/>
      </patternFill>
    </fill>
    <fill>
      <patternFill patternType="solid">
        <fgColor rgb="FF0D47A1"/>
        <bgColor rgb="FF283593"/>
      </patternFill>
    </fill>
    <fill>
      <patternFill patternType="solid">
        <fgColor rgb="FFE3F2FD"/>
        <bgColor rgb="FFEEF2FF"/>
      </patternFill>
    </fill>
    <fill>
      <patternFill patternType="solid">
        <fgColor rgb="FF455A64"/>
        <bgColor rgb="FF37474F"/>
      </patternFill>
    </fill>
    <fill>
      <patternFill patternType="solid">
        <fgColor rgb="FF1A237E"/>
        <bgColor rgb="FF283593"/>
      </patternFill>
    </fill>
    <fill>
      <patternFill patternType="solid">
        <fgColor rgb="FF283593"/>
        <bgColor rgb="FF1A237E"/>
      </patternFill>
    </fill>
    <fill>
      <patternFill patternType="solid">
        <fgColor rgb="FFEEF2FF"/>
        <bgColor rgb="FFECEFF1"/>
      </patternFill>
    </fill>
    <fill>
      <patternFill patternType="solid">
        <fgColor rgb="FF37474F"/>
        <bgColor rgb="FF455A64"/>
      </patternFill>
    </fill>
    <fill>
      <patternFill patternType="solid">
        <fgColor rgb="FFF5F5F5"/>
        <bgColor rgb="FFEEF2FF"/>
      </patternFill>
    </fill>
    <fill>
      <patternFill patternType="solid">
        <fgColor rgb="FF92D050"/>
        <bgColor indexed="64"/>
      </patternFill>
    </fill>
  </fills>
  <borders count="2">
    <border>
      <left/>
      <right/>
      <top/>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77">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164" fontId="3" fillId="4" borderId="1" xfId="0" applyNumberFormat="1" applyFont="1" applyFill="1" applyBorder="1" applyAlignment="1">
      <alignment horizontal="left" vertical="center" wrapText="1"/>
    </xf>
    <xf numFmtId="164" fontId="3" fillId="5" borderId="1" xfId="0" applyNumberFormat="1" applyFont="1" applyFill="1" applyBorder="1" applyAlignment="1">
      <alignment horizontal="left" vertical="center" wrapText="1"/>
    </xf>
    <xf numFmtId="0" fontId="3" fillId="6" borderId="1" xfId="0" applyFont="1" applyFill="1" applyBorder="1" applyAlignment="1">
      <alignment horizontal="left" vertical="center" wrapText="1"/>
    </xf>
    <xf numFmtId="164" fontId="3" fillId="6" borderId="1" xfId="0" applyNumberFormat="1" applyFont="1" applyFill="1" applyBorder="1" applyAlignment="1">
      <alignment horizontal="left" vertical="center" wrapText="1"/>
    </xf>
    <xf numFmtId="164" fontId="3" fillId="0" borderId="1" xfId="0" applyNumberFormat="1" applyFont="1" applyBorder="1" applyAlignment="1">
      <alignment horizontal="left" vertical="center" wrapText="1"/>
    </xf>
    <xf numFmtId="0" fontId="0" fillId="0" borderId="1" xfId="0" applyBorder="1"/>
    <xf numFmtId="164" fontId="0" fillId="0" borderId="1" xfId="0" applyNumberFormat="1" applyBorder="1"/>
    <xf numFmtId="164" fontId="3" fillId="5" borderId="1" xfId="0" applyNumberFormat="1" applyFont="1" applyFill="1" applyBorder="1"/>
    <xf numFmtId="0" fontId="0" fillId="4" borderId="1" xfId="0" applyFill="1" applyBorder="1"/>
    <xf numFmtId="164" fontId="0" fillId="4" borderId="1" xfId="0" applyNumberFormat="1" applyFill="1" applyBorder="1"/>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3" fillId="11" borderId="1" xfId="0" applyFont="1" applyFill="1" applyBorder="1" applyAlignment="1">
      <alignment horizontal="left" vertical="center" wrapText="1"/>
    </xf>
    <xf numFmtId="1" fontId="3" fillId="11" borderId="1" xfId="0" applyNumberFormat="1" applyFont="1" applyFill="1" applyBorder="1" applyAlignment="1">
      <alignment horizontal="left" vertical="center" wrapText="1"/>
    </xf>
    <xf numFmtId="0" fontId="4" fillId="12" borderId="1" xfId="0" applyFont="1" applyFill="1" applyBorder="1" applyAlignment="1">
      <alignment horizontal="left" vertical="center" wrapText="1"/>
    </xf>
    <xf numFmtId="164" fontId="4" fillId="12" borderId="1" xfId="0" applyNumberFormat="1" applyFont="1" applyFill="1" applyBorder="1" applyAlignment="1">
      <alignment horizontal="left" vertical="center" wrapText="1"/>
    </xf>
    <xf numFmtId="165" fontId="4" fillId="12" borderId="1" xfId="0" applyNumberFormat="1" applyFont="1" applyFill="1" applyBorder="1" applyAlignment="1">
      <alignment horizontal="left" vertical="center" wrapText="1"/>
    </xf>
    <xf numFmtId="1" fontId="3" fillId="6" borderId="1" xfId="0" applyNumberFormat="1" applyFont="1" applyFill="1" applyBorder="1" applyAlignment="1">
      <alignment horizontal="left" vertical="center" wrapText="1"/>
    </xf>
    <xf numFmtId="1" fontId="0" fillId="0" borderId="1" xfId="0" applyNumberFormat="1" applyBorder="1"/>
    <xf numFmtId="0" fontId="4" fillId="12" borderId="1" xfId="0" applyFont="1" applyFill="1" applyBorder="1"/>
    <xf numFmtId="164" fontId="4" fillId="12" borderId="1" xfId="0" applyNumberFormat="1" applyFont="1" applyFill="1" applyBorder="1"/>
    <xf numFmtId="165" fontId="4" fillId="12" borderId="1" xfId="0" applyNumberFormat="1" applyFont="1" applyFill="1" applyBorder="1"/>
    <xf numFmtId="0" fontId="0" fillId="11" borderId="1" xfId="0" applyFill="1" applyBorder="1"/>
    <xf numFmtId="1" fontId="0" fillId="11" borderId="1" xfId="0" applyNumberFormat="1" applyFill="1" applyBorder="1"/>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166" fontId="0" fillId="0" borderId="1" xfId="0" applyNumberFormat="1" applyBorder="1" applyAlignment="1">
      <alignment horizontal="left" vertical="center" wrapText="1"/>
    </xf>
    <xf numFmtId="0" fontId="5" fillId="12" borderId="0" xfId="0" applyFont="1" applyFill="1"/>
    <xf numFmtId="0" fontId="0" fillId="0" borderId="1" xfId="0" applyBorder="1" applyAlignment="1">
      <alignment horizontal="left" vertical="center" wrapText="1"/>
    </xf>
    <xf numFmtId="1" fontId="0" fillId="0" borderId="1" xfId="0" applyNumberFormat="1" applyBorder="1" applyAlignment="1">
      <alignment horizontal="left" vertical="center" wrapText="1"/>
    </xf>
    <xf numFmtId="165" fontId="0" fillId="5" borderId="1" xfId="0" applyNumberFormat="1" applyFill="1" applyBorder="1" applyAlignment="1">
      <alignment horizontal="left" vertical="center" wrapText="1"/>
    </xf>
    <xf numFmtId="0" fontId="2" fillId="14" borderId="1" xfId="0" applyFont="1" applyFill="1" applyBorder="1" applyAlignment="1">
      <alignment horizontal="center" vertical="center" wrapText="1"/>
    </xf>
    <xf numFmtId="0" fontId="0" fillId="15" borderId="1" xfId="0" applyFill="1" applyBorder="1"/>
    <xf numFmtId="166" fontId="0" fillId="15" borderId="1" xfId="0" applyNumberFormat="1" applyFill="1" applyBorder="1"/>
    <xf numFmtId="0" fontId="5" fillId="15" borderId="1" xfId="0" applyFont="1" applyFill="1" applyBorder="1"/>
    <xf numFmtId="1" fontId="0" fillId="15" borderId="1" xfId="0" applyNumberFormat="1" applyFill="1" applyBorder="1"/>
    <xf numFmtId="165" fontId="0" fillId="5" borderId="1" xfId="0" applyNumberFormat="1" applyFill="1" applyBorder="1"/>
    <xf numFmtId="166" fontId="0" fillId="0" borderId="1" xfId="0" applyNumberFormat="1" applyBorder="1"/>
    <xf numFmtId="0" fontId="5" fillId="0" borderId="1" xfId="0" applyFont="1" applyBorder="1"/>
    <xf numFmtId="0" fontId="2" fillId="16" borderId="1" xfId="0" applyFont="1" applyFill="1" applyBorder="1" applyAlignment="1">
      <alignment horizontal="center" vertical="center" wrapText="1"/>
    </xf>
    <xf numFmtId="0" fontId="3" fillId="12" borderId="1" xfId="0" applyFont="1" applyFill="1" applyBorder="1"/>
    <xf numFmtId="0" fontId="3" fillId="0" borderId="1" xfId="0" applyFont="1" applyBorder="1"/>
    <xf numFmtId="0" fontId="2" fillId="17" borderId="1" xfId="0" applyFont="1" applyFill="1" applyBorder="1" applyAlignment="1">
      <alignment horizontal="center" vertical="center" wrapText="1"/>
    </xf>
    <xf numFmtId="165" fontId="3" fillId="0" borderId="1" xfId="0" applyNumberFormat="1" applyFont="1" applyBorder="1"/>
    <xf numFmtId="10" fontId="3" fillId="0" borderId="1" xfId="0" applyNumberFormat="1" applyFont="1" applyBorder="1"/>
    <xf numFmtId="0" fontId="3" fillId="19" borderId="1" xfId="0" applyFont="1" applyFill="1" applyBorder="1"/>
    <xf numFmtId="165" fontId="3" fillId="19" borderId="1" xfId="0" applyNumberFormat="1" applyFont="1" applyFill="1" applyBorder="1"/>
    <xf numFmtId="10" fontId="3" fillId="19" borderId="1" xfId="0" applyNumberFormat="1" applyFont="1" applyFill="1" applyBorder="1"/>
    <xf numFmtId="0" fontId="9" fillId="0" borderId="1" xfId="0" applyFont="1" applyBorder="1"/>
    <xf numFmtId="165" fontId="10" fillId="5" borderId="1" xfId="0" applyNumberFormat="1" applyFont="1" applyFill="1" applyBorder="1"/>
    <xf numFmtId="167" fontId="10" fillId="5" borderId="1" xfId="0" applyNumberFormat="1" applyFont="1" applyFill="1" applyBorder="1"/>
    <xf numFmtId="0" fontId="9" fillId="21" borderId="1" xfId="0" applyFont="1" applyFill="1" applyBorder="1"/>
    <xf numFmtId="0" fontId="3" fillId="21" borderId="1" xfId="0" applyFont="1" applyFill="1" applyBorder="1" applyAlignment="1">
      <alignment horizontal="left" vertical="center" wrapText="1"/>
    </xf>
    <xf numFmtId="0" fontId="9" fillId="11" borderId="1" xfId="0" applyFont="1" applyFill="1" applyBorder="1"/>
    <xf numFmtId="0" fontId="9" fillId="15" borderId="1" xfId="0" applyFont="1" applyFill="1" applyBorder="1"/>
    <xf numFmtId="0" fontId="3" fillId="15" borderId="1" xfId="0" applyFont="1" applyFill="1" applyBorder="1" applyAlignment="1">
      <alignment horizontal="left" vertical="center" wrapText="1"/>
    </xf>
    <xf numFmtId="0" fontId="9" fillId="5" borderId="1" xfId="0" applyFont="1" applyFill="1" applyBorder="1"/>
    <xf numFmtId="0" fontId="3" fillId="5" borderId="1" xfId="0" applyFont="1" applyFill="1" applyBorder="1" applyAlignment="1">
      <alignment horizontal="left" vertical="center" wrapText="1"/>
    </xf>
    <xf numFmtId="0" fontId="1" fillId="7" borderId="0" xfId="0" applyFont="1" applyFill="1" applyAlignment="1">
      <alignment horizontal="center" vertical="center" wrapText="1"/>
    </xf>
    <xf numFmtId="0" fontId="1" fillId="2" borderId="0" xfId="0" applyFont="1" applyFill="1" applyAlignment="1">
      <alignment horizontal="center" vertical="center" wrapText="1"/>
    </xf>
    <xf numFmtId="0" fontId="1" fillId="14" borderId="0" xfId="0" applyFont="1" applyFill="1" applyAlignment="1">
      <alignment horizontal="center" vertical="center" wrapText="1"/>
    </xf>
    <xf numFmtId="0" fontId="1" fillId="16" borderId="0" xfId="0" applyFont="1" applyFill="1" applyAlignment="1">
      <alignment horizontal="center" vertical="center" wrapText="1"/>
    </xf>
    <xf numFmtId="0" fontId="1" fillId="17" borderId="0" xfId="0" applyFont="1" applyFill="1" applyAlignment="1">
      <alignment horizontal="center" vertical="center" wrapText="1"/>
    </xf>
    <xf numFmtId="0" fontId="6" fillId="18" borderId="0" xfId="0" applyFont="1" applyFill="1" applyAlignment="1">
      <alignment horizontal="left" vertical="center"/>
    </xf>
    <xf numFmtId="0" fontId="7" fillId="5" borderId="0" xfId="0" applyFont="1" applyFill="1" applyAlignment="1">
      <alignment horizontal="left" vertical="center" wrapText="1"/>
    </xf>
    <xf numFmtId="0" fontId="8" fillId="20" borderId="0" xfId="0" applyFont="1" applyFill="1" applyAlignment="1">
      <alignment horizontal="center" vertical="center" wrapText="1"/>
    </xf>
    <xf numFmtId="0" fontId="11" fillId="20" borderId="0" xfId="0" applyFont="1" applyFill="1" applyAlignment="1">
      <alignment horizontal="left" vertical="center"/>
    </xf>
    <xf numFmtId="0" fontId="11" fillId="7" borderId="0" xfId="0" applyFont="1" applyFill="1" applyAlignment="1">
      <alignment horizontal="left" vertical="center"/>
    </xf>
    <xf numFmtId="0" fontId="11" fillId="14" borderId="0" xfId="0" applyFont="1" applyFill="1" applyAlignment="1">
      <alignment horizontal="left" vertical="center"/>
    </xf>
    <xf numFmtId="0" fontId="11" fillId="17" borderId="0" xfId="0" applyFont="1" applyFill="1" applyAlignment="1">
      <alignment horizontal="left" vertical="center"/>
    </xf>
    <xf numFmtId="0" fontId="2" fillId="22" borderId="1" xfId="0" applyFont="1" applyFill="1" applyBorder="1" applyAlignment="1">
      <alignment horizontal="center" vertical="center" wrapText="1"/>
    </xf>
  </cellXfs>
  <cellStyles count="1">
    <cellStyle name="Normal" xfId="0" builtinId="0"/>
  </cellStyles>
  <dxfs count="2">
    <dxf>
      <font>
        <b/>
        <sz val="10"/>
        <color rgb="FF1B5E20"/>
        <name val="Arial"/>
        <charset val="1"/>
      </font>
      <fill>
        <patternFill>
          <bgColor rgb="FFC8E6C9"/>
        </patternFill>
      </fill>
    </dxf>
    <dxf>
      <font>
        <b/>
        <sz val="10"/>
        <color rgb="FFFFFFFF"/>
        <name val="Arial"/>
        <charset val="1"/>
      </font>
      <fill>
        <patternFill>
          <bgColor rgb="FF1B5E2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8080"/>
      <rgbColor rgb="FFBDBDBD"/>
      <rgbColor rgb="FF455A64"/>
      <rgbColor rgb="FF9999FF"/>
      <rgbColor rgb="FF993366"/>
      <rgbColor rgb="FFFFFDE7"/>
      <rgbColor rgb="FFE3F2FD"/>
      <rgbColor rgb="FF660066"/>
      <rgbColor rgb="FFFF8080"/>
      <rgbColor rgb="FF0D47A1"/>
      <rgbColor rgb="FFCFD8DC"/>
      <rgbColor rgb="FF000080"/>
      <rgbColor rgb="FFFF00FF"/>
      <rgbColor rgb="FFFFFF00"/>
      <rgbColor rgb="FF00FFFF"/>
      <rgbColor rgb="FF800080"/>
      <rgbColor rgb="FF800000"/>
      <rgbColor rgb="FF008080"/>
      <rgbColor rgb="FF0000FF"/>
      <rgbColor rgb="FF00CCFF"/>
      <rgbColor rgb="FFE8F5E9"/>
      <rgbColor rgb="FFC8E6C9"/>
      <rgbColor rgb="FFFFF3E0"/>
      <rgbColor rgb="FFEEF2FF"/>
      <rgbColor rgb="FFF5F5F5"/>
      <rgbColor rgb="FFCC99FF"/>
      <rgbColor rgb="FFECEFF1"/>
      <rgbColor rgb="FF3366FF"/>
      <rgbColor rgb="FF33CCCC"/>
      <rgbColor rgb="FF99CC00"/>
      <rgbColor rgb="FFFFCC00"/>
      <rgbColor rgb="FFF9A825"/>
      <rgbColor rgb="FFE65100"/>
      <rgbColor rgb="FF546E7A"/>
      <rgbColor rgb="FF9E9E9E"/>
      <rgbColor rgb="FF1A237E"/>
      <rgbColor rgb="FF388E3C"/>
      <rgbColor rgb="FF1B5E20"/>
      <rgbColor rgb="FF37474F"/>
      <rgbColor rgb="FFBF360C"/>
      <rgbColor rgb="FF993366"/>
      <rgbColor rgb="FF283593"/>
      <rgbColor rgb="FF21212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65100"/>
  </sheetPr>
  <dimension ref="A1:R500"/>
  <sheetViews>
    <sheetView zoomScaleNormal="100" workbookViewId="0">
      <pane ySplit="2" topLeftCell="A3" activePane="bottomLeft" state="frozen"/>
      <selection pane="bottomLeft"/>
    </sheetView>
  </sheetViews>
  <sheetFormatPr defaultColWidth="8.7109375" defaultRowHeight="15"/>
  <cols>
    <col min="1" max="1" width="180" customWidth="1"/>
    <col min="2" max="2" width="160" customWidth="1"/>
    <col min="3" max="3" width="100" customWidth="1"/>
    <col min="4" max="4" width="120" customWidth="1"/>
    <col min="5" max="5" width="320" customWidth="1"/>
    <col min="6" max="8" width="200" customWidth="1"/>
    <col min="9" max="9" width="85" customWidth="1"/>
    <col min="10" max="10" width="80" customWidth="1"/>
    <col min="11" max="12" width="85" customWidth="1"/>
    <col min="13" max="13" width="80" customWidth="1"/>
    <col min="14" max="14" width="85" customWidth="1"/>
    <col min="15" max="15" width="80" customWidth="1"/>
    <col min="16" max="16" width="85" customWidth="1"/>
    <col min="17" max="17" width="90" customWidth="1"/>
    <col min="18" max="18" width="200" customWidth="1"/>
  </cols>
  <sheetData>
    <row r="1" spans="1:18" ht="36" customHeight="1">
      <c r="A1" s="65" t="s">
        <v>0</v>
      </c>
      <c r="B1" s="65"/>
      <c r="C1" s="65"/>
      <c r="D1" s="65"/>
      <c r="E1" s="65"/>
      <c r="F1" s="65"/>
      <c r="G1" s="65"/>
      <c r="H1" s="65"/>
      <c r="I1" s="65"/>
      <c r="J1" s="65"/>
      <c r="K1" s="65"/>
      <c r="L1" s="65"/>
      <c r="M1" s="65"/>
      <c r="N1" s="65"/>
      <c r="O1" s="65"/>
      <c r="P1" s="65"/>
      <c r="Q1" s="65"/>
      <c r="R1" s="65"/>
    </row>
    <row r="2" spans="1:18" ht="43.5" customHeight="1">
      <c r="A2" s="1" t="s">
        <v>1</v>
      </c>
      <c r="B2" s="1" t="s">
        <v>2</v>
      </c>
      <c r="C2" s="1" t="s">
        <v>3</v>
      </c>
      <c r="D2" s="1" t="s">
        <v>4</v>
      </c>
      <c r="E2" s="1" t="s">
        <v>5</v>
      </c>
      <c r="F2" s="1" t="s">
        <v>6</v>
      </c>
      <c r="G2" s="1" t="s">
        <v>7</v>
      </c>
      <c r="H2" s="1" t="s">
        <v>8</v>
      </c>
      <c r="I2" s="2" t="s">
        <v>9</v>
      </c>
      <c r="J2" s="2" t="s">
        <v>10</v>
      </c>
      <c r="K2" s="2" t="s">
        <v>11</v>
      </c>
      <c r="L2" s="2" t="s">
        <v>12</v>
      </c>
      <c r="M2" s="2" t="s">
        <v>13</v>
      </c>
      <c r="N2" s="2" t="s">
        <v>14</v>
      </c>
      <c r="O2" s="2" t="s">
        <v>15</v>
      </c>
      <c r="P2" s="2" t="s">
        <v>16</v>
      </c>
      <c r="Q2" s="2" t="s">
        <v>17</v>
      </c>
      <c r="R2" s="1" t="s">
        <v>18</v>
      </c>
    </row>
    <row r="3" spans="1:18" ht="15" customHeight="1">
      <c r="A3" s="3" t="s">
        <v>19</v>
      </c>
      <c r="B3" s="3" t="s">
        <v>20</v>
      </c>
      <c r="C3" s="3" t="s">
        <v>21</v>
      </c>
      <c r="D3" s="3" t="s">
        <v>22</v>
      </c>
      <c r="E3" s="3" t="s">
        <v>23</v>
      </c>
      <c r="F3" s="3" t="s">
        <v>24</v>
      </c>
      <c r="G3" s="3" t="s">
        <v>25</v>
      </c>
      <c r="H3" s="3" t="s">
        <v>26</v>
      </c>
      <c r="I3" s="4">
        <v>260</v>
      </c>
      <c r="J3" s="4">
        <v>12</v>
      </c>
      <c r="K3" s="4">
        <v>1.3</v>
      </c>
      <c r="L3" s="4">
        <v>31</v>
      </c>
      <c r="M3" s="4">
        <v>10</v>
      </c>
      <c r="N3" s="4">
        <v>5.3</v>
      </c>
      <c r="O3" s="4">
        <v>1</v>
      </c>
      <c r="P3" s="4">
        <v>2.2999999999999998</v>
      </c>
      <c r="Q3" s="5"/>
      <c r="R3" s="3"/>
    </row>
    <row r="4" spans="1:18" ht="15" customHeight="1">
      <c r="A4" s="6" t="s">
        <v>27</v>
      </c>
      <c r="B4" s="6" t="s">
        <v>20</v>
      </c>
      <c r="C4" s="6" t="s">
        <v>28</v>
      </c>
      <c r="D4" s="6" t="s">
        <v>22</v>
      </c>
      <c r="E4" s="6" t="s">
        <v>29</v>
      </c>
      <c r="F4" s="6" t="s">
        <v>30</v>
      </c>
      <c r="G4" s="6" t="s">
        <v>31</v>
      </c>
      <c r="H4" s="6" t="s">
        <v>32</v>
      </c>
      <c r="I4" s="7">
        <v>237</v>
      </c>
      <c r="J4" s="7">
        <v>4.3</v>
      </c>
      <c r="K4" s="7">
        <v>0.3</v>
      </c>
      <c r="L4" s="7">
        <v>44</v>
      </c>
      <c r="M4" s="7">
        <v>16</v>
      </c>
      <c r="N4" s="7">
        <v>4.4000000000000004</v>
      </c>
      <c r="O4" s="7">
        <v>0.4</v>
      </c>
      <c r="P4" s="7">
        <v>1.5</v>
      </c>
      <c r="Q4" s="5"/>
      <c r="R4" s="6"/>
    </row>
    <row r="5" spans="1:18" ht="15" customHeight="1">
      <c r="A5" s="3" t="s">
        <v>33</v>
      </c>
      <c r="B5" s="3" t="s">
        <v>20</v>
      </c>
      <c r="C5" s="3" t="s">
        <v>34</v>
      </c>
      <c r="D5" s="3" t="s">
        <v>35</v>
      </c>
      <c r="E5" s="3" t="s">
        <v>36</v>
      </c>
      <c r="F5" s="3" t="s">
        <v>37</v>
      </c>
      <c r="G5" s="3" t="s">
        <v>38</v>
      </c>
      <c r="H5" s="3" t="s">
        <v>39</v>
      </c>
      <c r="I5" s="4">
        <v>311</v>
      </c>
      <c r="J5" s="4">
        <v>10.8</v>
      </c>
      <c r="K5" s="4">
        <v>1.3</v>
      </c>
      <c r="L5" s="4">
        <v>40.299999999999997</v>
      </c>
      <c r="M5" s="4">
        <v>1.7</v>
      </c>
      <c r="N5" s="4">
        <v>10.5</v>
      </c>
      <c r="O5" s="4">
        <v>1.1000000000000001</v>
      </c>
      <c r="P5" s="4">
        <v>4.7</v>
      </c>
      <c r="Q5" s="5"/>
      <c r="R5" s="3"/>
    </row>
    <row r="6" spans="1:18" ht="15" customHeight="1">
      <c r="A6" s="6" t="s">
        <v>40</v>
      </c>
      <c r="B6" s="6" t="s">
        <v>41</v>
      </c>
      <c r="C6" s="6" t="s">
        <v>42</v>
      </c>
      <c r="D6" s="6" t="s">
        <v>43</v>
      </c>
      <c r="E6" s="6" t="s">
        <v>44</v>
      </c>
      <c r="F6" s="6" t="s">
        <v>45</v>
      </c>
      <c r="G6" s="6" t="s">
        <v>46</v>
      </c>
      <c r="H6" s="6" t="s">
        <v>47</v>
      </c>
      <c r="I6" s="7">
        <v>257</v>
      </c>
      <c r="J6" s="7">
        <v>0.9</v>
      </c>
      <c r="K6" s="7">
        <v>0.2</v>
      </c>
      <c r="L6" s="7">
        <v>51</v>
      </c>
      <c r="M6" s="7">
        <v>2.6</v>
      </c>
      <c r="N6" s="7">
        <v>9.4</v>
      </c>
      <c r="O6" s="7">
        <v>1.5</v>
      </c>
      <c r="P6" s="7">
        <v>2.4</v>
      </c>
      <c r="Q6" s="5"/>
      <c r="R6" s="6"/>
    </row>
    <row r="7" spans="1:18" ht="15" customHeight="1">
      <c r="A7" s="3" t="s">
        <v>48</v>
      </c>
      <c r="B7" s="3" t="s">
        <v>41</v>
      </c>
      <c r="C7" s="3" t="s">
        <v>49</v>
      </c>
      <c r="D7" s="3" t="s">
        <v>35</v>
      </c>
      <c r="E7" s="3" t="s">
        <v>50</v>
      </c>
      <c r="F7" s="3" t="s">
        <v>51</v>
      </c>
      <c r="G7" s="3" t="s">
        <v>52</v>
      </c>
      <c r="H7" s="3" t="s">
        <v>53</v>
      </c>
      <c r="I7" s="4">
        <v>244</v>
      </c>
      <c r="J7" s="4">
        <v>2.9</v>
      </c>
      <c r="K7" s="4">
        <v>0.6</v>
      </c>
      <c r="L7" s="4">
        <v>37</v>
      </c>
      <c r="M7" s="4">
        <v>1.6</v>
      </c>
      <c r="N7" s="4">
        <v>14</v>
      </c>
      <c r="O7" s="4">
        <v>1</v>
      </c>
      <c r="P7" s="4">
        <v>6.6</v>
      </c>
      <c r="Q7" s="5"/>
      <c r="R7" s="3"/>
    </row>
    <row r="8" spans="1:18" ht="15" customHeight="1">
      <c r="A8" s="6" t="s">
        <v>54</v>
      </c>
      <c r="B8" s="6" t="s">
        <v>41</v>
      </c>
      <c r="C8" s="6" t="s">
        <v>55</v>
      </c>
      <c r="D8" s="6" t="s">
        <v>35</v>
      </c>
      <c r="E8" s="6" t="s">
        <v>56</v>
      </c>
      <c r="F8" s="6" t="s">
        <v>30</v>
      </c>
      <c r="G8" s="6" t="s">
        <v>57</v>
      </c>
      <c r="H8" s="6" t="s">
        <v>58</v>
      </c>
      <c r="I8" s="7">
        <v>250</v>
      </c>
      <c r="J8" s="7">
        <v>2.7</v>
      </c>
      <c r="K8" s="7">
        <v>0.4</v>
      </c>
      <c r="L8" s="7">
        <v>45</v>
      </c>
      <c r="M8" s="7">
        <v>0.3</v>
      </c>
      <c r="N8" s="7">
        <v>9</v>
      </c>
      <c r="O8" s="7">
        <v>1.4</v>
      </c>
      <c r="P8" s="7">
        <v>3.1</v>
      </c>
      <c r="Q8" s="5"/>
      <c r="R8" s="6"/>
    </row>
    <row r="9" spans="1:18" ht="15" customHeight="1">
      <c r="A9" s="3" t="s">
        <v>59</v>
      </c>
      <c r="B9" s="3" t="s">
        <v>41</v>
      </c>
      <c r="C9" s="3" t="s">
        <v>60</v>
      </c>
      <c r="D9" s="3" t="s">
        <v>35</v>
      </c>
      <c r="E9" s="3" t="s">
        <v>61</v>
      </c>
      <c r="F9" s="3" t="s">
        <v>62</v>
      </c>
      <c r="G9" s="3" t="s">
        <v>52</v>
      </c>
      <c r="H9" s="3" t="s">
        <v>63</v>
      </c>
      <c r="I9" s="4">
        <v>241</v>
      </c>
      <c r="J9" s="4">
        <v>4.3</v>
      </c>
      <c r="K9" s="4">
        <v>0.8</v>
      </c>
      <c r="L9" s="4">
        <v>33</v>
      </c>
      <c r="M9" s="4">
        <v>1.2</v>
      </c>
      <c r="N9" s="4">
        <v>14</v>
      </c>
      <c r="O9" s="4">
        <v>0.9</v>
      </c>
      <c r="P9" s="4">
        <v>6.8</v>
      </c>
      <c r="Q9" s="5"/>
      <c r="R9" s="3"/>
    </row>
    <row r="10" spans="1:18" ht="15" customHeight="1">
      <c r="A10" s="6" t="s">
        <v>64</v>
      </c>
      <c r="B10" s="6" t="s">
        <v>41</v>
      </c>
      <c r="C10" s="6" t="s">
        <v>65</v>
      </c>
      <c r="D10" s="6" t="s">
        <v>43</v>
      </c>
      <c r="E10" s="6" t="s">
        <v>66</v>
      </c>
      <c r="F10" s="6" t="s">
        <v>67</v>
      </c>
      <c r="G10" s="6" t="s">
        <v>68</v>
      </c>
      <c r="H10" s="6" t="s">
        <v>69</v>
      </c>
      <c r="I10" s="7">
        <v>305</v>
      </c>
      <c r="J10" s="7">
        <v>14</v>
      </c>
      <c r="K10" s="7">
        <v>6.4</v>
      </c>
      <c r="L10" s="7">
        <v>37</v>
      </c>
      <c r="M10" s="7">
        <v>0.8</v>
      </c>
      <c r="N10" s="7">
        <v>6.6</v>
      </c>
      <c r="O10" s="7">
        <v>1.5</v>
      </c>
      <c r="P10" s="7">
        <v>1.9</v>
      </c>
      <c r="Q10" s="5"/>
      <c r="R10" s="6"/>
    </row>
    <row r="11" spans="1:18" ht="15" customHeight="1">
      <c r="A11" s="3" t="s">
        <v>70</v>
      </c>
      <c r="B11" s="3" t="s">
        <v>71</v>
      </c>
      <c r="C11" s="3" t="s">
        <v>72</v>
      </c>
      <c r="D11" s="3" t="s">
        <v>35</v>
      </c>
      <c r="E11" s="3" t="s">
        <v>73</v>
      </c>
      <c r="F11" s="3" t="s">
        <v>74</v>
      </c>
      <c r="G11" s="3"/>
      <c r="H11" s="3" t="s">
        <v>75</v>
      </c>
      <c r="I11" s="4">
        <v>308</v>
      </c>
      <c r="J11" s="4">
        <v>7.8</v>
      </c>
      <c r="K11" s="4">
        <v>0.8</v>
      </c>
      <c r="L11" s="4">
        <v>48</v>
      </c>
      <c r="M11" s="4">
        <v>9.1</v>
      </c>
      <c r="N11" s="4">
        <v>10</v>
      </c>
      <c r="O11" s="4">
        <v>1.4</v>
      </c>
      <c r="P11" s="4">
        <v>6</v>
      </c>
      <c r="Q11" s="5"/>
      <c r="R11" s="3"/>
    </row>
    <row r="12" spans="1:18" ht="15" customHeight="1">
      <c r="A12" s="6" t="s">
        <v>76</v>
      </c>
      <c r="B12" s="6" t="s">
        <v>71</v>
      </c>
      <c r="C12" s="6" t="s">
        <v>77</v>
      </c>
      <c r="D12" s="6" t="s">
        <v>35</v>
      </c>
      <c r="E12" s="6" t="s">
        <v>78</v>
      </c>
      <c r="F12" s="6" t="s">
        <v>74</v>
      </c>
      <c r="G12" s="6"/>
      <c r="H12" s="6" t="s">
        <v>79</v>
      </c>
      <c r="I12" s="7">
        <v>262</v>
      </c>
      <c r="J12" s="7">
        <v>3</v>
      </c>
      <c r="K12" s="7">
        <v>0.4</v>
      </c>
      <c r="L12" s="7">
        <v>45</v>
      </c>
      <c r="M12" s="7">
        <v>4.0999999999999996</v>
      </c>
      <c r="N12" s="7">
        <v>11</v>
      </c>
      <c r="O12" s="7">
        <v>0.9</v>
      </c>
      <c r="P12" s="7">
        <v>5</v>
      </c>
      <c r="Q12" s="5"/>
      <c r="R12" s="6"/>
    </row>
    <row r="13" spans="1:18" ht="15" customHeight="1">
      <c r="A13" s="3" t="s">
        <v>80</v>
      </c>
      <c r="B13" s="3" t="s">
        <v>81</v>
      </c>
      <c r="C13" s="3"/>
      <c r="D13" s="3" t="s">
        <v>82</v>
      </c>
      <c r="E13" s="3" t="s">
        <v>83</v>
      </c>
      <c r="F13" s="3" t="s">
        <v>84</v>
      </c>
      <c r="G13" s="3" t="s">
        <v>85</v>
      </c>
      <c r="H13" s="3" t="s">
        <v>86</v>
      </c>
      <c r="I13" s="4">
        <v>324</v>
      </c>
      <c r="J13" s="4">
        <v>1.6</v>
      </c>
      <c r="K13" s="4">
        <v>0.3</v>
      </c>
      <c r="L13" s="4">
        <v>59</v>
      </c>
      <c r="M13" s="4">
        <v>1.8</v>
      </c>
      <c r="N13" s="4">
        <v>8.6</v>
      </c>
      <c r="O13" s="4">
        <v>1.3</v>
      </c>
      <c r="P13" s="4">
        <v>21</v>
      </c>
      <c r="Q13" s="5"/>
      <c r="R13" s="3"/>
    </row>
    <row r="14" spans="1:18" ht="15" customHeight="1">
      <c r="A14" s="6" t="s">
        <v>87</v>
      </c>
      <c r="B14" s="6" t="s">
        <v>88</v>
      </c>
      <c r="C14" s="6" t="s">
        <v>89</v>
      </c>
      <c r="D14" s="6" t="s">
        <v>90</v>
      </c>
      <c r="E14" s="6" t="s">
        <v>91</v>
      </c>
      <c r="F14" s="6" t="s">
        <v>30</v>
      </c>
      <c r="G14" s="6" t="s">
        <v>92</v>
      </c>
      <c r="H14" s="6" t="s">
        <v>93</v>
      </c>
      <c r="I14" s="7">
        <v>478</v>
      </c>
      <c r="J14" s="7">
        <v>20.8</v>
      </c>
      <c r="K14" s="7">
        <v>10.5</v>
      </c>
      <c r="L14" s="7">
        <v>62.4</v>
      </c>
      <c r="M14" s="7">
        <v>22.7</v>
      </c>
      <c r="N14" s="7">
        <v>8</v>
      </c>
      <c r="O14" s="7">
        <v>1.1000000000000001</v>
      </c>
      <c r="P14" s="8"/>
      <c r="Q14" s="5"/>
      <c r="R14" s="6"/>
    </row>
    <row r="15" spans="1:18" ht="15" customHeight="1">
      <c r="A15" s="3" t="s">
        <v>94</v>
      </c>
      <c r="B15" s="3" t="s">
        <v>95</v>
      </c>
      <c r="C15" s="3" t="s">
        <v>96</v>
      </c>
      <c r="D15" s="3" t="s">
        <v>97</v>
      </c>
      <c r="E15" s="3" t="s">
        <v>98</v>
      </c>
      <c r="F15" s="3" t="s">
        <v>99</v>
      </c>
      <c r="G15" s="3"/>
      <c r="H15" s="3" t="s">
        <v>100</v>
      </c>
      <c r="I15" s="4">
        <v>308</v>
      </c>
      <c r="J15" s="4">
        <v>15</v>
      </c>
      <c r="K15" s="4">
        <v>9.1999999999999993</v>
      </c>
      <c r="L15" s="4">
        <v>36</v>
      </c>
      <c r="M15" s="4">
        <v>5.4</v>
      </c>
      <c r="N15" s="4">
        <v>6.8</v>
      </c>
      <c r="O15" s="4">
        <v>1</v>
      </c>
      <c r="P15" s="4">
        <v>1.4</v>
      </c>
      <c r="Q15" s="5"/>
      <c r="R15" s="3"/>
    </row>
    <row r="16" spans="1:18" ht="15" customHeight="1">
      <c r="A16" s="6" t="s">
        <v>101</v>
      </c>
      <c r="B16" s="6" t="s">
        <v>102</v>
      </c>
      <c r="C16" s="6"/>
      <c r="D16" s="6" t="s">
        <v>103</v>
      </c>
      <c r="E16" s="6" t="s">
        <v>104</v>
      </c>
      <c r="F16" s="6" t="s">
        <v>105</v>
      </c>
      <c r="G16" s="6"/>
      <c r="H16" s="6" t="s">
        <v>106</v>
      </c>
      <c r="I16" s="7">
        <v>78</v>
      </c>
      <c r="J16" s="7">
        <v>0.3</v>
      </c>
      <c r="K16" s="7">
        <v>0.2</v>
      </c>
      <c r="L16" s="7">
        <v>7.9</v>
      </c>
      <c r="M16" s="7">
        <v>7.9</v>
      </c>
      <c r="N16" s="7">
        <v>11</v>
      </c>
      <c r="O16" s="7">
        <v>0.1</v>
      </c>
      <c r="P16" s="8"/>
      <c r="Q16" s="5"/>
      <c r="R16" s="6"/>
    </row>
    <row r="17" spans="1:18" ht="15" customHeight="1">
      <c r="A17" s="3" t="s">
        <v>107</v>
      </c>
      <c r="B17" s="3" t="s">
        <v>108</v>
      </c>
      <c r="C17" s="3" t="s">
        <v>109</v>
      </c>
      <c r="D17" s="3" t="s">
        <v>110</v>
      </c>
      <c r="E17" s="3" t="s">
        <v>111</v>
      </c>
      <c r="F17" s="3" t="s">
        <v>105</v>
      </c>
      <c r="G17" s="3"/>
      <c r="H17" s="3" t="s">
        <v>112</v>
      </c>
      <c r="I17" s="4">
        <v>91</v>
      </c>
      <c r="J17" s="4">
        <v>3</v>
      </c>
      <c r="K17" s="4">
        <v>1.6</v>
      </c>
      <c r="L17" s="4">
        <v>14</v>
      </c>
      <c r="M17" s="4">
        <v>4.5999999999999996</v>
      </c>
      <c r="N17" s="4">
        <v>3</v>
      </c>
      <c r="O17" s="4">
        <v>0.5</v>
      </c>
      <c r="P17" s="4"/>
      <c r="Q17" s="5"/>
      <c r="R17" s="3"/>
    </row>
    <row r="18" spans="1:18" ht="15" customHeight="1">
      <c r="A18" s="6" t="s">
        <v>113</v>
      </c>
      <c r="B18" s="6" t="s">
        <v>114</v>
      </c>
      <c r="C18" s="6" t="s">
        <v>115</v>
      </c>
      <c r="D18" s="6" t="s">
        <v>116</v>
      </c>
      <c r="E18" s="6" t="s">
        <v>117</v>
      </c>
      <c r="F18" s="6"/>
      <c r="G18" s="6"/>
      <c r="H18" s="6" t="s">
        <v>118</v>
      </c>
      <c r="I18" s="7">
        <v>177</v>
      </c>
      <c r="J18" s="7">
        <v>15</v>
      </c>
      <c r="K18" s="7">
        <v>6.4</v>
      </c>
      <c r="L18" s="7">
        <v>9.1</v>
      </c>
      <c r="M18" s="7">
        <v>4.0999999999999996</v>
      </c>
      <c r="N18" s="7">
        <v>1</v>
      </c>
      <c r="O18" s="7">
        <v>0</v>
      </c>
      <c r="P18" s="7">
        <v>1</v>
      </c>
      <c r="Q18" s="5"/>
      <c r="R18" s="6"/>
    </row>
    <row r="19" spans="1:18" ht="15" customHeight="1">
      <c r="A19" s="3" t="s">
        <v>119</v>
      </c>
      <c r="B19" s="3" t="s">
        <v>120</v>
      </c>
      <c r="C19" s="3" t="s">
        <v>121</v>
      </c>
      <c r="D19" s="3" t="s">
        <v>116</v>
      </c>
      <c r="E19" s="3" t="s">
        <v>122</v>
      </c>
      <c r="F19" s="3" t="s">
        <v>123</v>
      </c>
      <c r="G19" s="3"/>
      <c r="H19" s="3" t="s">
        <v>124</v>
      </c>
      <c r="I19" s="4">
        <v>295</v>
      </c>
      <c r="J19" s="4">
        <v>30</v>
      </c>
      <c r="K19" s="4">
        <v>25</v>
      </c>
      <c r="L19" s="4">
        <v>6.2</v>
      </c>
      <c r="M19" s="4"/>
      <c r="N19" s="4">
        <v>0</v>
      </c>
      <c r="O19" s="4">
        <v>0.1</v>
      </c>
      <c r="P19" s="4">
        <v>0</v>
      </c>
      <c r="Q19" s="5"/>
      <c r="R19" s="3"/>
    </row>
    <row r="20" spans="1:18" ht="15" customHeight="1">
      <c r="A20" s="6" t="s">
        <v>125</v>
      </c>
      <c r="B20" s="6" t="s">
        <v>126</v>
      </c>
      <c r="C20" s="6"/>
      <c r="D20" s="6" t="s">
        <v>127</v>
      </c>
      <c r="E20" s="6" t="s">
        <v>128</v>
      </c>
      <c r="F20" s="6" t="s">
        <v>129</v>
      </c>
      <c r="G20" s="6"/>
      <c r="H20" s="6" t="s">
        <v>130</v>
      </c>
      <c r="I20" s="7">
        <v>122</v>
      </c>
      <c r="J20" s="7">
        <v>5.9</v>
      </c>
      <c r="K20" s="7">
        <v>2.4</v>
      </c>
      <c r="L20" s="7">
        <v>3.6</v>
      </c>
      <c r="M20" s="7">
        <v>1.6</v>
      </c>
      <c r="N20" s="7">
        <v>13.4</v>
      </c>
      <c r="O20" s="7">
        <v>2.7</v>
      </c>
      <c r="P20" s="8"/>
      <c r="Q20" s="5"/>
      <c r="R20" s="6"/>
    </row>
    <row r="21" spans="1:18" ht="15" customHeight="1">
      <c r="A21" s="3" t="s">
        <v>131</v>
      </c>
      <c r="B21" s="3" t="s">
        <v>126</v>
      </c>
      <c r="C21" s="3"/>
      <c r="D21" s="3" t="s">
        <v>127</v>
      </c>
      <c r="E21" s="3" t="s">
        <v>132</v>
      </c>
      <c r="F21" s="3" t="s">
        <v>133</v>
      </c>
      <c r="G21" s="3"/>
      <c r="H21" s="3" t="s">
        <v>134</v>
      </c>
      <c r="I21" s="4">
        <v>173</v>
      </c>
      <c r="J21" s="4">
        <v>13.4</v>
      </c>
      <c r="K21" s="4">
        <v>4.8</v>
      </c>
      <c r="L21" s="4">
        <v>0.3</v>
      </c>
      <c r="M21" s="4">
        <v>0.3</v>
      </c>
      <c r="N21" s="4">
        <v>13.7</v>
      </c>
      <c r="O21" s="4">
        <v>2.8</v>
      </c>
      <c r="P21" s="4"/>
      <c r="Q21" s="5"/>
      <c r="R21" s="3"/>
    </row>
    <row r="22" spans="1:18" ht="15" customHeight="1">
      <c r="A22" s="6" t="s">
        <v>135</v>
      </c>
      <c r="B22" s="6" t="s">
        <v>136</v>
      </c>
      <c r="C22" s="6" t="s">
        <v>137</v>
      </c>
      <c r="D22" s="6" t="s">
        <v>138</v>
      </c>
      <c r="E22" s="6" t="s">
        <v>139</v>
      </c>
      <c r="F22" s="6" t="s">
        <v>140</v>
      </c>
      <c r="G22" s="6"/>
      <c r="H22" s="6" t="s">
        <v>141</v>
      </c>
      <c r="I22" s="7">
        <v>177</v>
      </c>
      <c r="J22" s="7">
        <v>9</v>
      </c>
      <c r="K22" s="7">
        <v>1.8</v>
      </c>
      <c r="L22" s="7">
        <v>7</v>
      </c>
      <c r="M22" s="7">
        <v>0.9</v>
      </c>
      <c r="N22" s="7">
        <v>17</v>
      </c>
      <c r="O22" s="7">
        <v>1.8</v>
      </c>
      <c r="P22" s="8"/>
      <c r="Q22" s="5"/>
      <c r="R22" s="6"/>
    </row>
    <row r="23" spans="1:18" ht="15" customHeight="1">
      <c r="A23" s="3" t="s">
        <v>142</v>
      </c>
      <c r="B23" s="3" t="s">
        <v>136</v>
      </c>
      <c r="C23" s="3" t="s">
        <v>143</v>
      </c>
      <c r="D23" s="3" t="s">
        <v>138</v>
      </c>
      <c r="E23" s="3" t="s">
        <v>144</v>
      </c>
      <c r="F23" s="3" t="s">
        <v>145</v>
      </c>
      <c r="G23" s="3"/>
      <c r="H23" s="3" t="s">
        <v>146</v>
      </c>
      <c r="I23" s="4">
        <v>237</v>
      </c>
      <c r="J23" s="4">
        <v>13</v>
      </c>
      <c r="K23" s="4">
        <v>4.7</v>
      </c>
      <c r="L23" s="4">
        <v>14</v>
      </c>
      <c r="M23" s="4">
        <v>1.1000000000000001</v>
      </c>
      <c r="N23" s="4">
        <v>16</v>
      </c>
      <c r="O23" s="4">
        <v>1.5</v>
      </c>
      <c r="P23" s="4"/>
      <c r="Q23" s="5"/>
      <c r="R23" s="3"/>
    </row>
    <row r="24" spans="1:18" ht="15" customHeight="1">
      <c r="A24" s="6" t="s">
        <v>147</v>
      </c>
      <c r="B24" s="6" t="s">
        <v>136</v>
      </c>
      <c r="C24" s="6" t="s">
        <v>148</v>
      </c>
      <c r="D24" s="6" t="s">
        <v>127</v>
      </c>
      <c r="E24" s="6" t="s">
        <v>149</v>
      </c>
      <c r="F24" s="6"/>
      <c r="G24" s="6"/>
      <c r="H24" s="6" t="s">
        <v>150</v>
      </c>
      <c r="I24" s="7">
        <v>206</v>
      </c>
      <c r="J24" s="7">
        <v>10</v>
      </c>
      <c r="K24" s="7">
        <v>1.8</v>
      </c>
      <c r="L24" s="7">
        <v>4</v>
      </c>
      <c r="M24" s="7">
        <v>3.3</v>
      </c>
      <c r="N24" s="7">
        <v>25</v>
      </c>
      <c r="O24" s="7">
        <v>3.2</v>
      </c>
      <c r="P24" s="8"/>
      <c r="Q24" s="5"/>
      <c r="R24" s="6"/>
    </row>
    <row r="25" spans="1:18" ht="15" customHeight="1">
      <c r="A25" s="3" t="s">
        <v>151</v>
      </c>
      <c r="B25" s="3" t="s">
        <v>152</v>
      </c>
      <c r="C25" s="3" t="s">
        <v>153</v>
      </c>
      <c r="D25" s="3" t="s">
        <v>138</v>
      </c>
      <c r="E25" s="3" t="s">
        <v>154</v>
      </c>
      <c r="F25" s="3"/>
      <c r="G25" s="3"/>
      <c r="H25" s="3" t="s">
        <v>155</v>
      </c>
      <c r="I25" s="4">
        <v>137</v>
      </c>
      <c r="J25" s="4">
        <v>9</v>
      </c>
      <c r="K25" s="4">
        <v>2.2999999999999998</v>
      </c>
      <c r="L25" s="4"/>
      <c r="M25" s="4"/>
      <c r="N25" s="4">
        <v>14</v>
      </c>
      <c r="O25" s="4">
        <v>0.8</v>
      </c>
      <c r="P25" s="4"/>
      <c r="Q25" s="5"/>
      <c r="R25" s="3"/>
    </row>
    <row r="26" spans="1:18" ht="15" customHeight="1">
      <c r="A26" s="6" t="s">
        <v>156</v>
      </c>
      <c r="B26" s="6" t="s">
        <v>157</v>
      </c>
      <c r="C26" s="6" t="s">
        <v>158</v>
      </c>
      <c r="D26" s="6" t="s">
        <v>127</v>
      </c>
      <c r="E26" s="6" t="s">
        <v>159</v>
      </c>
      <c r="F26" s="6"/>
      <c r="G26" s="6"/>
      <c r="H26" s="6" t="s">
        <v>160</v>
      </c>
      <c r="I26" s="7">
        <v>264</v>
      </c>
      <c r="J26" s="7">
        <v>24</v>
      </c>
      <c r="K26" s="7">
        <v>12</v>
      </c>
      <c r="L26" s="7">
        <v>1</v>
      </c>
      <c r="M26" s="7">
        <v>0</v>
      </c>
      <c r="N26" s="7">
        <v>11</v>
      </c>
      <c r="O26" s="7">
        <v>2.1</v>
      </c>
      <c r="P26" s="7">
        <v>0</v>
      </c>
      <c r="Q26" s="5"/>
      <c r="R26" s="6"/>
    </row>
    <row r="27" spans="1:18" ht="15" customHeight="1">
      <c r="A27" s="3" t="s">
        <v>161</v>
      </c>
      <c r="B27" s="3" t="s">
        <v>157</v>
      </c>
      <c r="C27" s="3" t="s">
        <v>162</v>
      </c>
      <c r="D27" s="3" t="s">
        <v>127</v>
      </c>
      <c r="E27" s="3" t="s">
        <v>163</v>
      </c>
      <c r="F27" s="3" t="s">
        <v>164</v>
      </c>
      <c r="G27" s="3"/>
      <c r="H27" s="3" t="s">
        <v>165</v>
      </c>
      <c r="I27" s="4">
        <v>401</v>
      </c>
      <c r="J27" s="4">
        <v>32.700000000000003</v>
      </c>
      <c r="K27" s="4">
        <v>16.600000000000001</v>
      </c>
      <c r="L27" s="4">
        <v>15.7</v>
      </c>
      <c r="M27" s="4">
        <v>0.3</v>
      </c>
      <c r="N27" s="4">
        <v>10.3</v>
      </c>
      <c r="O27" s="4">
        <v>1</v>
      </c>
      <c r="P27" s="4">
        <v>3.8</v>
      </c>
      <c r="Q27" s="5"/>
      <c r="R27" s="3"/>
    </row>
    <row r="28" spans="1:18" ht="15" customHeight="1">
      <c r="A28" s="6" t="s">
        <v>166</v>
      </c>
      <c r="B28" s="6" t="s">
        <v>167</v>
      </c>
      <c r="C28" s="6" t="s">
        <v>168</v>
      </c>
      <c r="D28" s="6" t="s">
        <v>169</v>
      </c>
      <c r="E28" s="6" t="s">
        <v>170</v>
      </c>
      <c r="F28" s="6" t="s">
        <v>171</v>
      </c>
      <c r="G28" s="6"/>
      <c r="H28" s="6" t="s">
        <v>172</v>
      </c>
      <c r="I28" s="7">
        <v>125</v>
      </c>
      <c r="J28" s="7">
        <v>1</v>
      </c>
      <c r="K28" s="7">
        <v>0.3</v>
      </c>
      <c r="L28" s="7">
        <v>11</v>
      </c>
      <c r="M28" s="7">
        <v>0.2</v>
      </c>
      <c r="N28" s="7">
        <v>18</v>
      </c>
      <c r="O28" s="7">
        <v>0.7</v>
      </c>
      <c r="P28" s="8"/>
      <c r="Q28" s="5"/>
      <c r="R28" s="6"/>
    </row>
    <row r="29" spans="1:18" ht="15" customHeight="1">
      <c r="A29" s="3" t="s">
        <v>173</v>
      </c>
      <c r="B29" s="3" t="s">
        <v>174</v>
      </c>
      <c r="C29" s="3" t="s">
        <v>175</v>
      </c>
      <c r="D29" s="3" t="s">
        <v>176</v>
      </c>
      <c r="E29" s="3" t="s">
        <v>177</v>
      </c>
      <c r="F29" s="3" t="s">
        <v>178</v>
      </c>
      <c r="G29" s="3"/>
      <c r="H29" s="3" t="s">
        <v>179</v>
      </c>
      <c r="I29" s="4">
        <v>125</v>
      </c>
      <c r="J29" s="4">
        <v>1.3</v>
      </c>
      <c r="K29" s="4">
        <v>0.1</v>
      </c>
      <c r="L29" s="4">
        <v>14.2</v>
      </c>
      <c r="M29" s="4">
        <v>0.7</v>
      </c>
      <c r="N29" s="4">
        <v>14.1</v>
      </c>
      <c r="O29" s="4">
        <v>1.4</v>
      </c>
      <c r="P29" s="4"/>
      <c r="Q29" s="5"/>
      <c r="R29" s="3"/>
    </row>
    <row r="30" spans="1:18" ht="15" customHeight="1">
      <c r="A30" s="6" t="s">
        <v>180</v>
      </c>
      <c r="B30" s="6" t="s">
        <v>181</v>
      </c>
      <c r="C30" s="6" t="s">
        <v>182</v>
      </c>
      <c r="D30" s="6" t="s">
        <v>183</v>
      </c>
      <c r="E30" s="6" t="s">
        <v>184</v>
      </c>
      <c r="F30" s="6"/>
      <c r="G30" s="6" t="s">
        <v>185</v>
      </c>
      <c r="H30" s="6" t="s">
        <v>186</v>
      </c>
      <c r="I30" s="7">
        <v>256</v>
      </c>
      <c r="J30" s="7">
        <v>17</v>
      </c>
      <c r="K30" s="7">
        <v>1.2</v>
      </c>
      <c r="L30" s="7">
        <v>14</v>
      </c>
      <c r="M30" s="7">
        <v>0</v>
      </c>
      <c r="N30" s="7">
        <v>12</v>
      </c>
      <c r="O30" s="7">
        <v>1.2</v>
      </c>
      <c r="P30" s="8"/>
      <c r="Q30" s="5"/>
      <c r="R30" s="6"/>
    </row>
    <row r="31" spans="1:18" ht="15" customHeight="1">
      <c r="A31" s="3" t="s">
        <v>187</v>
      </c>
      <c r="B31" s="3" t="s">
        <v>188</v>
      </c>
      <c r="C31" s="3" t="s">
        <v>189</v>
      </c>
      <c r="D31" s="3" t="s">
        <v>183</v>
      </c>
      <c r="E31" s="3" t="s">
        <v>190</v>
      </c>
      <c r="F31" s="3" t="s">
        <v>191</v>
      </c>
      <c r="G31" s="3"/>
      <c r="H31" s="3" t="s">
        <v>192</v>
      </c>
      <c r="I31" s="4">
        <v>115</v>
      </c>
      <c r="J31" s="4">
        <v>0.7</v>
      </c>
      <c r="K31" s="4">
        <v>0.1</v>
      </c>
      <c r="L31" s="4">
        <v>11</v>
      </c>
      <c r="M31" s="4">
        <v>9.4</v>
      </c>
      <c r="N31" s="4">
        <v>14</v>
      </c>
      <c r="O31" s="4">
        <v>1.5</v>
      </c>
      <c r="P31" s="4">
        <v>4.7</v>
      </c>
      <c r="Q31" s="5"/>
      <c r="R31" s="3"/>
    </row>
    <row r="32" spans="1:18" ht="15" customHeight="1">
      <c r="A32" s="6" t="s">
        <v>193</v>
      </c>
      <c r="B32" s="6" t="s">
        <v>194</v>
      </c>
      <c r="C32" s="6" t="s">
        <v>195</v>
      </c>
      <c r="D32" s="6" t="s">
        <v>183</v>
      </c>
      <c r="E32" s="6" t="s">
        <v>196</v>
      </c>
      <c r="F32" s="6"/>
      <c r="G32" s="6"/>
      <c r="H32" s="6" t="s">
        <v>197</v>
      </c>
      <c r="I32" s="7">
        <v>182</v>
      </c>
      <c r="J32" s="7">
        <v>7.5</v>
      </c>
      <c r="K32" s="7">
        <v>0.8</v>
      </c>
      <c r="L32" s="7">
        <v>24.7</v>
      </c>
      <c r="M32" s="7">
        <v>5.3</v>
      </c>
      <c r="N32" s="7">
        <v>1.9</v>
      </c>
      <c r="O32" s="7">
        <v>1.4</v>
      </c>
      <c r="P32" s="8"/>
      <c r="Q32" s="5"/>
      <c r="R32" s="6"/>
    </row>
    <row r="33" spans="1:18" ht="15" customHeight="1">
      <c r="A33" s="3" t="s">
        <v>198</v>
      </c>
      <c r="B33" s="3" t="s">
        <v>199</v>
      </c>
      <c r="C33" s="3" t="s">
        <v>200</v>
      </c>
      <c r="D33" s="3" t="s">
        <v>183</v>
      </c>
      <c r="E33" s="3" t="s">
        <v>201</v>
      </c>
      <c r="F33" s="3" t="s">
        <v>30</v>
      </c>
      <c r="G33" s="3"/>
      <c r="H33" s="3" t="s">
        <v>202</v>
      </c>
      <c r="I33" s="4">
        <v>222</v>
      </c>
      <c r="J33" s="4">
        <v>7.4</v>
      </c>
      <c r="K33" s="4">
        <v>0.9</v>
      </c>
      <c r="L33" s="4">
        <v>28</v>
      </c>
      <c r="M33" s="4">
        <v>3.6</v>
      </c>
      <c r="N33" s="4">
        <v>7.6</v>
      </c>
      <c r="O33" s="4">
        <v>1.1000000000000001</v>
      </c>
      <c r="P33" s="4">
        <v>6.5</v>
      </c>
      <c r="Q33" s="5"/>
      <c r="R33" s="3"/>
    </row>
    <row r="34" spans="1:18" ht="15" customHeight="1">
      <c r="A34" s="6" t="s">
        <v>203</v>
      </c>
      <c r="B34" s="6" t="s">
        <v>204</v>
      </c>
      <c r="C34" s="6" t="s">
        <v>205</v>
      </c>
      <c r="D34" s="6" t="s">
        <v>183</v>
      </c>
      <c r="E34" s="6" t="s">
        <v>206</v>
      </c>
      <c r="F34" s="6" t="s">
        <v>207</v>
      </c>
      <c r="G34" s="6" t="s">
        <v>208</v>
      </c>
      <c r="H34" s="6" t="s">
        <v>209</v>
      </c>
      <c r="I34" s="7">
        <v>238</v>
      </c>
      <c r="J34" s="7">
        <v>13.4</v>
      </c>
      <c r="K34" s="7">
        <v>1.6</v>
      </c>
      <c r="L34" s="7">
        <v>13.3</v>
      </c>
      <c r="M34" s="7">
        <v>1.7</v>
      </c>
      <c r="N34" s="7">
        <v>13.6</v>
      </c>
      <c r="O34" s="7">
        <v>1.1000000000000001</v>
      </c>
      <c r="P34" s="7">
        <v>5.0999999999999996</v>
      </c>
      <c r="Q34" s="5"/>
      <c r="R34" s="6"/>
    </row>
    <row r="35" spans="1:18" ht="15" customHeight="1">
      <c r="A35" s="3" t="s">
        <v>210</v>
      </c>
      <c r="B35" s="3" t="s">
        <v>211</v>
      </c>
      <c r="C35" s="3" t="s">
        <v>212</v>
      </c>
      <c r="D35" s="3" t="s">
        <v>183</v>
      </c>
      <c r="E35" s="3" t="s">
        <v>213</v>
      </c>
      <c r="F35" s="3" t="s">
        <v>214</v>
      </c>
      <c r="G35" s="3" t="s">
        <v>215</v>
      </c>
      <c r="H35" s="3" t="s">
        <v>216</v>
      </c>
      <c r="I35" s="4">
        <v>118</v>
      </c>
      <c r="J35" s="4">
        <v>4.5</v>
      </c>
      <c r="K35" s="4">
        <v>0.4</v>
      </c>
      <c r="L35" s="4">
        <v>13.5</v>
      </c>
      <c r="M35" s="4">
        <v>5.7</v>
      </c>
      <c r="N35" s="4">
        <v>3.8</v>
      </c>
      <c r="O35" s="4">
        <v>0.9</v>
      </c>
      <c r="P35" s="4">
        <v>4</v>
      </c>
      <c r="Q35" s="5"/>
      <c r="R35" s="3"/>
    </row>
    <row r="36" spans="1:18" ht="15" customHeight="1">
      <c r="A36" s="6" t="s">
        <v>217</v>
      </c>
      <c r="B36" s="6" t="s">
        <v>218</v>
      </c>
      <c r="C36" s="6" t="s">
        <v>219</v>
      </c>
      <c r="D36" s="6" t="s">
        <v>220</v>
      </c>
      <c r="E36" s="6" t="s">
        <v>221</v>
      </c>
      <c r="F36" s="6" t="s">
        <v>123</v>
      </c>
      <c r="G36" s="6"/>
      <c r="H36" s="6" t="s">
        <v>222</v>
      </c>
      <c r="I36" s="7">
        <v>74</v>
      </c>
      <c r="J36" s="7">
        <v>1.6</v>
      </c>
      <c r="K36" s="7">
        <v>0.3</v>
      </c>
      <c r="L36" s="7">
        <v>13</v>
      </c>
      <c r="M36" s="7">
        <v>1.2</v>
      </c>
      <c r="N36" s="7">
        <v>1.8</v>
      </c>
      <c r="O36" s="7">
        <v>0.4</v>
      </c>
      <c r="P36" s="8"/>
      <c r="Q36" s="5"/>
      <c r="R36" s="6"/>
    </row>
    <row r="37" spans="1:18" ht="15" customHeight="1">
      <c r="A37" s="3" t="s">
        <v>223</v>
      </c>
      <c r="B37" s="3" t="s">
        <v>224</v>
      </c>
      <c r="C37" s="3" t="s">
        <v>225</v>
      </c>
      <c r="D37" s="3" t="s">
        <v>226</v>
      </c>
      <c r="E37" s="3" t="s">
        <v>227</v>
      </c>
      <c r="F37" s="3" t="s">
        <v>228</v>
      </c>
      <c r="G37" s="3"/>
      <c r="H37" s="3" t="s">
        <v>229</v>
      </c>
      <c r="I37" s="4">
        <v>26</v>
      </c>
      <c r="J37" s="4">
        <v>0.4</v>
      </c>
      <c r="K37" s="4">
        <v>0.1</v>
      </c>
      <c r="L37" s="4">
        <v>3.4</v>
      </c>
      <c r="M37" s="4">
        <v>2.9</v>
      </c>
      <c r="N37" s="4">
        <v>1</v>
      </c>
      <c r="O37" s="4">
        <v>0.1</v>
      </c>
      <c r="P37" s="4">
        <v>2.5</v>
      </c>
      <c r="Q37" s="5"/>
      <c r="R37" s="3"/>
    </row>
    <row r="38" spans="1:18" ht="15" customHeight="1">
      <c r="A38" s="6" t="s">
        <v>230</v>
      </c>
      <c r="B38" s="6" t="s">
        <v>224</v>
      </c>
      <c r="C38" s="6" t="s">
        <v>231</v>
      </c>
      <c r="D38" s="6" t="s">
        <v>226</v>
      </c>
      <c r="E38" s="6" t="s">
        <v>232</v>
      </c>
      <c r="F38" s="6"/>
      <c r="G38" s="6" t="s">
        <v>233</v>
      </c>
      <c r="H38" s="6" t="s">
        <v>234</v>
      </c>
      <c r="I38" s="7">
        <v>99</v>
      </c>
      <c r="J38" s="7">
        <v>6</v>
      </c>
      <c r="K38" s="7">
        <v>0.8</v>
      </c>
      <c r="L38" s="7">
        <v>8.3000000000000007</v>
      </c>
      <c r="M38" s="7">
        <v>3.9</v>
      </c>
      <c r="N38" s="7">
        <v>1.8</v>
      </c>
      <c r="O38" s="7">
        <v>0.1</v>
      </c>
      <c r="P38" s="7">
        <v>2.5</v>
      </c>
      <c r="Q38" s="5"/>
      <c r="R38" s="6"/>
    </row>
    <row r="39" spans="1:18" ht="15" customHeight="1">
      <c r="A39" s="3" t="s">
        <v>235</v>
      </c>
      <c r="B39" s="3" t="s">
        <v>236</v>
      </c>
      <c r="C39" s="3"/>
      <c r="D39" s="3" t="s">
        <v>237</v>
      </c>
      <c r="E39" s="3" t="s">
        <v>238</v>
      </c>
      <c r="F39" s="3"/>
      <c r="G39" s="3"/>
      <c r="H39" s="3" t="s">
        <v>239</v>
      </c>
      <c r="I39" s="4">
        <v>120</v>
      </c>
      <c r="J39" s="4">
        <v>2.7</v>
      </c>
      <c r="K39" s="4">
        <v>0.4</v>
      </c>
      <c r="L39" s="4">
        <v>22.9</v>
      </c>
      <c r="M39" s="4"/>
      <c r="N39" s="4">
        <v>2.2000000000000002</v>
      </c>
      <c r="O39" s="4">
        <v>0.1</v>
      </c>
      <c r="P39" s="4">
        <v>2.6</v>
      </c>
      <c r="Q39" s="5"/>
      <c r="R39" s="3"/>
    </row>
    <row r="40" spans="1:18" ht="15" customHeight="1">
      <c r="A40" s="6" t="s">
        <v>240</v>
      </c>
      <c r="B40" s="6" t="s">
        <v>241</v>
      </c>
      <c r="C40" s="6"/>
      <c r="D40" s="6" t="s">
        <v>237</v>
      </c>
      <c r="E40" s="6" t="s">
        <v>242</v>
      </c>
      <c r="F40" s="6"/>
      <c r="G40" s="6"/>
      <c r="H40" s="6" t="s">
        <v>243</v>
      </c>
      <c r="I40" s="7">
        <v>130</v>
      </c>
      <c r="J40" s="7">
        <v>3.8</v>
      </c>
      <c r="K40" s="7">
        <v>2.1</v>
      </c>
      <c r="L40" s="7">
        <v>20</v>
      </c>
      <c r="M40" s="8"/>
      <c r="N40" s="7">
        <v>2.7</v>
      </c>
      <c r="O40" s="7">
        <v>0.1</v>
      </c>
      <c r="P40" s="7">
        <v>2.7</v>
      </c>
      <c r="Q40" s="5"/>
      <c r="R40" s="6"/>
    </row>
    <row r="41" spans="1:18" ht="15" customHeight="1">
      <c r="A41" s="3" t="s">
        <v>244</v>
      </c>
      <c r="B41" s="3" t="s">
        <v>245</v>
      </c>
      <c r="C41" s="3" t="s">
        <v>246</v>
      </c>
      <c r="D41" s="3" t="s">
        <v>247</v>
      </c>
      <c r="E41" s="3" t="s">
        <v>248</v>
      </c>
      <c r="F41" s="3" t="s">
        <v>133</v>
      </c>
      <c r="G41" s="3"/>
      <c r="H41" s="3" t="s">
        <v>249</v>
      </c>
      <c r="I41" s="4">
        <v>519</v>
      </c>
      <c r="J41" s="4">
        <v>56</v>
      </c>
      <c r="K41" s="4">
        <v>3.6</v>
      </c>
      <c r="L41" s="4">
        <v>6</v>
      </c>
      <c r="M41" s="4">
        <v>4.0999999999999996</v>
      </c>
      <c r="N41" s="4"/>
      <c r="O41" s="4">
        <v>1.1000000000000001</v>
      </c>
      <c r="P41" s="4"/>
      <c r="Q41" s="5"/>
      <c r="R41" s="3"/>
    </row>
    <row r="42" spans="1:18" ht="15" customHeight="1">
      <c r="A42" s="6" t="s">
        <v>250</v>
      </c>
      <c r="B42" s="6" t="s">
        <v>245</v>
      </c>
      <c r="C42" s="6" t="s">
        <v>251</v>
      </c>
      <c r="D42" s="6" t="s">
        <v>247</v>
      </c>
      <c r="E42" s="6" t="s">
        <v>252</v>
      </c>
      <c r="F42" s="6" t="s">
        <v>133</v>
      </c>
      <c r="G42" s="6"/>
      <c r="H42" s="6" t="s">
        <v>253</v>
      </c>
      <c r="I42" s="7">
        <v>532</v>
      </c>
      <c r="J42" s="7">
        <v>57</v>
      </c>
      <c r="K42" s="7">
        <v>3.7</v>
      </c>
      <c r="L42" s="7">
        <v>5.9</v>
      </c>
      <c r="M42" s="7">
        <v>3</v>
      </c>
      <c r="N42" s="8"/>
      <c r="O42" s="7">
        <v>1.2</v>
      </c>
      <c r="P42" s="8"/>
      <c r="Q42" s="5"/>
      <c r="R42" s="6"/>
    </row>
    <row r="43" spans="1:18" ht="15" customHeight="1">
      <c r="A43" s="3" t="s">
        <v>254</v>
      </c>
      <c r="B43" s="3" t="s">
        <v>245</v>
      </c>
      <c r="C43" s="3" t="s">
        <v>255</v>
      </c>
      <c r="D43" s="3" t="s">
        <v>247</v>
      </c>
      <c r="E43" s="3" t="s">
        <v>256</v>
      </c>
      <c r="F43" s="3" t="s">
        <v>133</v>
      </c>
      <c r="G43" s="3"/>
      <c r="H43" s="3" t="s">
        <v>257</v>
      </c>
      <c r="I43" s="4">
        <v>448</v>
      </c>
      <c r="J43" s="4">
        <v>45</v>
      </c>
      <c r="K43" s="4">
        <v>2.9</v>
      </c>
      <c r="L43" s="4">
        <v>12</v>
      </c>
      <c r="M43" s="4">
        <v>9.9</v>
      </c>
      <c r="N43" s="4"/>
      <c r="O43" s="4">
        <v>1.4</v>
      </c>
      <c r="P43" s="4"/>
      <c r="Q43" s="5"/>
      <c r="R43" s="3"/>
    </row>
    <row r="44" spans="1:18" ht="15" customHeight="1">
      <c r="A44" s="6" t="s">
        <v>258</v>
      </c>
      <c r="B44" s="6" t="s">
        <v>259</v>
      </c>
      <c r="C44" s="6" t="s">
        <v>260</v>
      </c>
      <c r="D44" s="6" t="s">
        <v>261</v>
      </c>
      <c r="E44" s="6" t="s">
        <v>262</v>
      </c>
      <c r="F44" s="6"/>
      <c r="G44" s="6"/>
      <c r="H44" s="6" t="s">
        <v>263</v>
      </c>
      <c r="I44" s="7">
        <v>353</v>
      </c>
      <c r="J44" s="7">
        <v>3.7</v>
      </c>
      <c r="K44" s="7">
        <v>0.5</v>
      </c>
      <c r="L44" s="7">
        <v>72</v>
      </c>
      <c r="M44" s="7">
        <v>10</v>
      </c>
      <c r="N44" s="7">
        <v>7.8</v>
      </c>
      <c r="O44" s="7">
        <v>7.3</v>
      </c>
      <c r="P44" s="7">
        <v>1.3</v>
      </c>
      <c r="Q44" s="5"/>
      <c r="R44" s="6"/>
    </row>
    <row r="45" spans="1:18" ht="15" customHeight="1">
      <c r="A45" s="3" t="s">
        <v>264</v>
      </c>
      <c r="B45" s="3" t="s">
        <v>265</v>
      </c>
      <c r="C45" s="3" t="s">
        <v>266</v>
      </c>
      <c r="D45" s="3" t="s">
        <v>267</v>
      </c>
      <c r="E45" s="3" t="s">
        <v>268</v>
      </c>
      <c r="F45" s="3"/>
      <c r="G45" s="3" t="s">
        <v>269</v>
      </c>
      <c r="H45" s="3" t="s">
        <v>270</v>
      </c>
      <c r="I45" s="4">
        <v>0</v>
      </c>
      <c r="J45" s="4">
        <v>0</v>
      </c>
      <c r="K45" s="4">
        <v>0</v>
      </c>
      <c r="L45" s="4">
        <v>0</v>
      </c>
      <c r="M45" s="4">
        <v>0</v>
      </c>
      <c r="N45" s="4">
        <v>0</v>
      </c>
      <c r="O45" s="4">
        <v>100</v>
      </c>
      <c r="P45" s="4"/>
      <c r="Q45" s="5"/>
      <c r="R45" s="3"/>
    </row>
    <row r="46" spans="1:18" ht="15" customHeight="1">
      <c r="A46" s="6" t="s">
        <v>271</v>
      </c>
      <c r="B46" s="6" t="s">
        <v>272</v>
      </c>
      <c r="C46" s="6" t="s">
        <v>273</v>
      </c>
      <c r="D46" s="6" t="s">
        <v>274</v>
      </c>
      <c r="E46" s="6" t="s">
        <v>275</v>
      </c>
      <c r="F46" s="6"/>
      <c r="G46" s="6" t="s">
        <v>276</v>
      </c>
      <c r="H46" s="6" t="s">
        <v>277</v>
      </c>
      <c r="I46" s="7">
        <v>178</v>
      </c>
      <c r="J46" s="7">
        <v>1.1000000000000001</v>
      </c>
      <c r="K46" s="7">
        <v>0.3</v>
      </c>
      <c r="L46" s="7">
        <v>31</v>
      </c>
      <c r="M46" s="7">
        <v>4.7</v>
      </c>
      <c r="N46" s="7">
        <v>6.3</v>
      </c>
      <c r="O46" s="7">
        <v>51</v>
      </c>
      <c r="P46" s="8"/>
      <c r="Q46" s="5"/>
      <c r="R46" s="6"/>
    </row>
    <row r="47" spans="1:18" ht="15" customHeight="1">
      <c r="A47" s="3" t="s">
        <v>278</v>
      </c>
      <c r="B47" s="3" t="s">
        <v>272</v>
      </c>
      <c r="C47" s="3" t="s">
        <v>279</v>
      </c>
      <c r="D47" s="3" t="s">
        <v>274</v>
      </c>
      <c r="E47" s="3" t="s">
        <v>280</v>
      </c>
      <c r="F47" s="3"/>
      <c r="G47" s="3" t="s">
        <v>276</v>
      </c>
      <c r="H47" s="3" t="s">
        <v>281</v>
      </c>
      <c r="I47" s="4">
        <v>385</v>
      </c>
      <c r="J47" s="4">
        <v>0.8</v>
      </c>
      <c r="K47" s="4">
        <v>0.1</v>
      </c>
      <c r="L47" s="4">
        <v>73</v>
      </c>
      <c r="M47" s="4">
        <v>24</v>
      </c>
      <c r="N47" s="4">
        <v>17</v>
      </c>
      <c r="O47" s="4">
        <v>0.1</v>
      </c>
      <c r="P47" s="4"/>
      <c r="Q47" s="5"/>
      <c r="R47" s="3"/>
    </row>
    <row r="48" spans="1:18" ht="15" customHeight="1">
      <c r="A48" s="6" t="s">
        <v>282</v>
      </c>
      <c r="B48" s="6" t="s">
        <v>283</v>
      </c>
      <c r="C48" s="6" t="s">
        <v>284</v>
      </c>
      <c r="D48" s="6" t="s">
        <v>285</v>
      </c>
      <c r="E48" s="6" t="s">
        <v>286</v>
      </c>
      <c r="F48" s="6" t="s">
        <v>287</v>
      </c>
      <c r="G48" s="6"/>
      <c r="H48" s="6" t="s">
        <v>288</v>
      </c>
      <c r="I48" s="7">
        <v>181</v>
      </c>
      <c r="J48" s="7">
        <v>18</v>
      </c>
      <c r="K48" s="7">
        <v>15.3</v>
      </c>
      <c r="L48" s="7">
        <v>2.8</v>
      </c>
      <c r="M48" s="7">
        <v>1</v>
      </c>
      <c r="N48" s="7">
        <v>2</v>
      </c>
      <c r="O48" s="7">
        <v>0</v>
      </c>
      <c r="P48" s="7">
        <v>0</v>
      </c>
      <c r="Q48" s="5"/>
      <c r="R48" s="6"/>
    </row>
    <row r="49" spans="1:18" ht="15" customHeight="1">
      <c r="A49" s="3" t="s">
        <v>289</v>
      </c>
      <c r="B49" s="3" t="s">
        <v>290</v>
      </c>
      <c r="C49" s="3"/>
      <c r="D49" s="3" t="s">
        <v>291</v>
      </c>
      <c r="E49" s="3" t="s">
        <v>292</v>
      </c>
      <c r="F49" s="3"/>
      <c r="G49" s="3"/>
      <c r="H49" s="3" t="s">
        <v>293</v>
      </c>
      <c r="I49" s="4"/>
      <c r="J49" s="4"/>
      <c r="K49" s="4"/>
      <c r="L49" s="4"/>
      <c r="M49" s="4"/>
      <c r="N49" s="4"/>
      <c r="O49" s="4"/>
      <c r="P49" s="4"/>
      <c r="Q49" s="5"/>
      <c r="R49" s="3"/>
    </row>
    <row r="50" spans="1:18" ht="15" customHeight="1">
      <c r="A50" s="6" t="s">
        <v>294</v>
      </c>
      <c r="B50" s="6" t="s">
        <v>295</v>
      </c>
      <c r="C50" s="6" t="s">
        <v>296</v>
      </c>
      <c r="D50" s="6" t="s">
        <v>297</v>
      </c>
      <c r="E50" s="6" t="s">
        <v>298</v>
      </c>
      <c r="F50" s="6"/>
      <c r="G50" s="6"/>
      <c r="H50" s="6" t="s">
        <v>299</v>
      </c>
      <c r="I50" s="8"/>
      <c r="J50" s="8"/>
      <c r="K50" s="8"/>
      <c r="L50" s="8"/>
      <c r="M50" s="8"/>
      <c r="N50" s="8"/>
      <c r="O50" s="8"/>
      <c r="P50" s="8"/>
      <c r="Q50" s="5"/>
      <c r="R50" s="6"/>
    </row>
    <row r="51" spans="1:18" ht="15" customHeight="1">
      <c r="A51" s="3" t="s">
        <v>300</v>
      </c>
      <c r="B51" s="3" t="s">
        <v>301</v>
      </c>
      <c r="C51" s="3" t="s">
        <v>302</v>
      </c>
      <c r="D51" s="3" t="s">
        <v>303</v>
      </c>
      <c r="E51" s="3" t="s">
        <v>304</v>
      </c>
      <c r="F51" s="3" t="s">
        <v>305</v>
      </c>
      <c r="G51" s="3" t="s">
        <v>306</v>
      </c>
      <c r="H51" s="3" t="s">
        <v>307</v>
      </c>
      <c r="I51" s="4">
        <v>430</v>
      </c>
      <c r="J51" s="4">
        <v>13</v>
      </c>
      <c r="K51" s="4">
        <v>1.4</v>
      </c>
      <c r="L51" s="4">
        <v>66</v>
      </c>
      <c r="M51" s="4">
        <v>17</v>
      </c>
      <c r="N51" s="4">
        <v>9.3000000000000007</v>
      </c>
      <c r="O51" s="4">
        <v>0.2</v>
      </c>
      <c r="P51" s="4">
        <v>6</v>
      </c>
      <c r="Q51" s="5"/>
      <c r="R51" s="3"/>
    </row>
    <row r="52" spans="1:18" ht="15" customHeight="1">
      <c r="A52" s="6" t="s">
        <v>308</v>
      </c>
      <c r="B52" s="6" t="s">
        <v>309</v>
      </c>
      <c r="C52" s="6" t="s">
        <v>310</v>
      </c>
      <c r="D52" s="6" t="s">
        <v>311</v>
      </c>
      <c r="E52" s="6" t="s">
        <v>312</v>
      </c>
      <c r="F52" s="6"/>
      <c r="G52" s="6" t="s">
        <v>185</v>
      </c>
      <c r="H52" s="6" t="s">
        <v>313</v>
      </c>
      <c r="I52" s="7">
        <v>472</v>
      </c>
      <c r="J52" s="7">
        <v>20</v>
      </c>
      <c r="K52" s="7">
        <v>2</v>
      </c>
      <c r="L52" s="7">
        <v>64</v>
      </c>
      <c r="M52" s="7">
        <v>0.8</v>
      </c>
      <c r="N52" s="7">
        <v>6.6</v>
      </c>
      <c r="O52" s="7">
        <v>1.2</v>
      </c>
      <c r="P52" s="7">
        <v>4</v>
      </c>
      <c r="Q52" s="5"/>
      <c r="R52" s="6"/>
    </row>
    <row r="53" spans="1:18" ht="15" customHeight="1">
      <c r="A53" s="3" t="s">
        <v>314</v>
      </c>
      <c r="B53" s="3" t="s">
        <v>20</v>
      </c>
      <c r="C53" s="3" t="s">
        <v>315</v>
      </c>
      <c r="D53" s="3" t="s">
        <v>35</v>
      </c>
      <c r="E53" s="3" t="s">
        <v>316</v>
      </c>
      <c r="F53" s="3" t="s">
        <v>317</v>
      </c>
      <c r="G53" s="3" t="s">
        <v>318</v>
      </c>
      <c r="H53" s="3" t="s">
        <v>319</v>
      </c>
      <c r="I53" s="4">
        <v>252</v>
      </c>
      <c r="J53" s="4">
        <v>1.1000000000000001</v>
      </c>
      <c r="K53" s="4">
        <v>0.2</v>
      </c>
      <c r="L53" s="4">
        <v>50</v>
      </c>
      <c r="M53" s="4">
        <v>20</v>
      </c>
      <c r="N53" s="4">
        <v>4.8</v>
      </c>
      <c r="O53" s="4">
        <v>0.6</v>
      </c>
      <c r="P53" s="4">
        <v>8.1999999999999993</v>
      </c>
      <c r="Q53" s="5"/>
      <c r="R53" s="3"/>
    </row>
    <row r="54" spans="1:18" ht="15" customHeight="1">
      <c r="A54" s="6" t="s">
        <v>320</v>
      </c>
      <c r="B54" s="6" t="s">
        <v>188</v>
      </c>
      <c r="C54" s="6" t="s">
        <v>321</v>
      </c>
      <c r="D54" s="6" t="s">
        <v>183</v>
      </c>
      <c r="E54" s="6" t="s">
        <v>322</v>
      </c>
      <c r="F54" s="6" t="s">
        <v>191</v>
      </c>
      <c r="G54" s="6"/>
      <c r="H54" s="6" t="s">
        <v>323</v>
      </c>
      <c r="I54" s="7">
        <v>131</v>
      </c>
      <c r="J54" s="7">
        <v>7.2</v>
      </c>
      <c r="K54" s="7">
        <v>0.5</v>
      </c>
      <c r="L54" s="7">
        <v>1.4</v>
      </c>
      <c r="M54" s="7">
        <v>0.6</v>
      </c>
      <c r="N54" s="7">
        <v>13</v>
      </c>
      <c r="O54" s="7">
        <v>0.9</v>
      </c>
      <c r="P54" s="7">
        <v>4.2</v>
      </c>
      <c r="Q54" s="5"/>
      <c r="R54" s="6"/>
    </row>
    <row r="55" spans="1:18" ht="15" customHeight="1">
      <c r="A55" s="3" t="s">
        <v>324</v>
      </c>
      <c r="B55" s="3" t="s">
        <v>325</v>
      </c>
      <c r="C55" s="3" t="s">
        <v>326</v>
      </c>
      <c r="D55" s="3" t="s">
        <v>97</v>
      </c>
      <c r="E55" s="3" t="s">
        <v>327</v>
      </c>
      <c r="F55" s="3" t="s">
        <v>67</v>
      </c>
      <c r="G55" s="3" t="s">
        <v>185</v>
      </c>
      <c r="H55" s="3" t="s">
        <v>328</v>
      </c>
      <c r="I55" s="4">
        <v>227</v>
      </c>
      <c r="J55" s="4">
        <v>7.5</v>
      </c>
      <c r="K55" s="4">
        <v>3.6</v>
      </c>
      <c r="L55" s="4">
        <v>29</v>
      </c>
      <c r="M55" s="4">
        <v>3.8</v>
      </c>
      <c r="N55" s="4">
        <v>10</v>
      </c>
      <c r="O55" s="4">
        <v>1</v>
      </c>
      <c r="P55" s="4"/>
      <c r="Q55" s="5"/>
      <c r="R55" s="3"/>
    </row>
    <row r="56" spans="1:18" ht="15" customHeight="1">
      <c r="A56" s="6" t="s">
        <v>329</v>
      </c>
      <c r="B56" s="6"/>
      <c r="C56" s="6"/>
      <c r="D56" s="6" t="s">
        <v>169</v>
      </c>
      <c r="E56" s="6" t="s">
        <v>330</v>
      </c>
      <c r="F56" s="6" t="s">
        <v>331</v>
      </c>
      <c r="G56" s="6"/>
      <c r="H56" s="6" t="s">
        <v>332</v>
      </c>
      <c r="I56" s="7">
        <v>121</v>
      </c>
      <c r="J56" s="7">
        <v>5</v>
      </c>
      <c r="K56" s="7">
        <v>1.1000000000000001</v>
      </c>
      <c r="L56" s="7">
        <v>7</v>
      </c>
      <c r="M56" s="7">
        <v>0.6</v>
      </c>
      <c r="N56" s="7">
        <v>12</v>
      </c>
      <c r="O56" s="7">
        <v>1.2</v>
      </c>
      <c r="P56" s="7">
        <v>0.6</v>
      </c>
      <c r="Q56" s="5"/>
      <c r="R56" s="6"/>
    </row>
    <row r="57" spans="1:18" ht="15" customHeight="1">
      <c r="A57" s="3" t="s">
        <v>333</v>
      </c>
      <c r="B57" s="3" t="s">
        <v>334</v>
      </c>
      <c r="C57" s="3" t="s">
        <v>335</v>
      </c>
      <c r="D57" s="3" t="s">
        <v>43</v>
      </c>
      <c r="E57" s="3" t="s">
        <v>336</v>
      </c>
      <c r="F57" s="3" t="s">
        <v>337</v>
      </c>
      <c r="G57" s="3"/>
      <c r="H57" s="3" t="s">
        <v>338</v>
      </c>
      <c r="I57" s="4">
        <v>296</v>
      </c>
      <c r="J57" s="4">
        <v>4.5</v>
      </c>
      <c r="K57" s="4">
        <v>0.5</v>
      </c>
      <c r="L57" s="4">
        <v>52</v>
      </c>
      <c r="M57" s="4">
        <v>9.6999999999999993</v>
      </c>
      <c r="N57" s="4">
        <v>9.1</v>
      </c>
      <c r="O57" s="4">
        <v>0.8</v>
      </c>
      <c r="P57" s="4">
        <v>3.3</v>
      </c>
      <c r="Q57" s="5"/>
      <c r="R57" s="3"/>
    </row>
    <row r="58" spans="1:18" ht="15" customHeight="1">
      <c r="A58" s="6" t="s">
        <v>339</v>
      </c>
      <c r="B58" s="6" t="s">
        <v>340</v>
      </c>
      <c r="C58" s="6" t="s">
        <v>341</v>
      </c>
      <c r="D58" s="6" t="s">
        <v>226</v>
      </c>
      <c r="E58" s="6" t="s">
        <v>342</v>
      </c>
      <c r="F58" s="6" t="s">
        <v>105</v>
      </c>
      <c r="G58" s="6"/>
      <c r="H58" s="6" t="s">
        <v>343</v>
      </c>
      <c r="I58" s="7">
        <v>104</v>
      </c>
      <c r="J58" s="7">
        <v>3.1</v>
      </c>
      <c r="K58" s="7">
        <v>1.9</v>
      </c>
      <c r="L58" s="7">
        <v>16</v>
      </c>
      <c r="M58" s="8"/>
      <c r="N58" s="7">
        <v>2</v>
      </c>
      <c r="O58" s="7">
        <v>0.5</v>
      </c>
      <c r="P58" s="7">
        <v>1.9</v>
      </c>
      <c r="Q58" s="5"/>
      <c r="R58" s="6"/>
    </row>
    <row r="59" spans="1:18" ht="15" customHeight="1">
      <c r="A59" s="3" t="s">
        <v>344</v>
      </c>
      <c r="B59" s="3" t="s">
        <v>345</v>
      </c>
      <c r="C59" s="3" t="s">
        <v>346</v>
      </c>
      <c r="D59" s="3" t="s">
        <v>183</v>
      </c>
      <c r="E59" s="3" t="s">
        <v>347</v>
      </c>
      <c r="F59" s="3" t="s">
        <v>348</v>
      </c>
      <c r="G59" s="3"/>
      <c r="H59" s="3" t="s">
        <v>349</v>
      </c>
      <c r="I59" s="4">
        <v>212</v>
      </c>
      <c r="J59" s="4">
        <v>11.4</v>
      </c>
      <c r="K59" s="4">
        <v>1.3</v>
      </c>
      <c r="L59" s="4">
        <v>21.7</v>
      </c>
      <c r="M59" s="4">
        <v>1.9</v>
      </c>
      <c r="N59" s="4">
        <v>4.5</v>
      </c>
      <c r="O59" s="4">
        <v>1</v>
      </c>
      <c r="P59" s="4">
        <v>2.5</v>
      </c>
      <c r="Q59" s="5"/>
      <c r="R59" s="3"/>
    </row>
    <row r="60" spans="1:18" ht="15" customHeight="1">
      <c r="A60" s="6" t="s">
        <v>350</v>
      </c>
      <c r="B60" s="6" t="s">
        <v>351</v>
      </c>
      <c r="C60" s="6" t="s">
        <v>352</v>
      </c>
      <c r="D60" s="6" t="s">
        <v>353</v>
      </c>
      <c r="E60" s="6" t="s">
        <v>354</v>
      </c>
      <c r="F60" s="6"/>
      <c r="G60" s="6"/>
      <c r="H60" s="6" t="s">
        <v>355</v>
      </c>
      <c r="I60" s="7">
        <v>74</v>
      </c>
      <c r="J60" s="7">
        <v>0.5</v>
      </c>
      <c r="K60" s="7">
        <v>0.1</v>
      </c>
      <c r="L60" s="7">
        <v>17</v>
      </c>
      <c r="M60" s="7">
        <v>15</v>
      </c>
      <c r="N60" s="7">
        <v>1.3</v>
      </c>
      <c r="O60" s="7">
        <v>0.4</v>
      </c>
      <c r="P60" s="7">
        <v>1.7</v>
      </c>
      <c r="Q60" s="5"/>
      <c r="R60" s="6"/>
    </row>
    <row r="61" spans="1:18" ht="15" customHeight="1">
      <c r="A61" s="3" t="s">
        <v>356</v>
      </c>
      <c r="B61" s="3" t="s">
        <v>357</v>
      </c>
      <c r="C61" s="3" t="s">
        <v>358</v>
      </c>
      <c r="D61" s="3" t="s">
        <v>226</v>
      </c>
      <c r="E61" s="3" t="s">
        <v>359</v>
      </c>
      <c r="F61" s="3"/>
      <c r="G61" s="3"/>
      <c r="H61" s="3" t="s">
        <v>360</v>
      </c>
      <c r="I61" s="4">
        <v>72</v>
      </c>
      <c r="J61" s="4">
        <v>0.1</v>
      </c>
      <c r="K61" s="4">
        <v>0</v>
      </c>
      <c r="L61" s="4">
        <v>15.2</v>
      </c>
      <c r="M61" s="4">
        <v>5.7</v>
      </c>
      <c r="N61" s="4">
        <v>1.4</v>
      </c>
      <c r="O61" s="4">
        <v>0.1</v>
      </c>
      <c r="P61" s="4">
        <v>2.5</v>
      </c>
      <c r="Q61" s="5"/>
      <c r="R61" s="3"/>
    </row>
    <row r="62" spans="1:18" ht="15" customHeight="1">
      <c r="A62" s="6" t="s">
        <v>361</v>
      </c>
      <c r="B62" s="6" t="s">
        <v>309</v>
      </c>
      <c r="C62" s="6" t="s">
        <v>362</v>
      </c>
      <c r="D62" s="6" t="s">
        <v>247</v>
      </c>
      <c r="E62" s="6" t="s">
        <v>363</v>
      </c>
      <c r="F62" s="6"/>
      <c r="G62" s="6"/>
      <c r="H62" s="6" t="s">
        <v>364</v>
      </c>
      <c r="I62" s="7">
        <v>33</v>
      </c>
      <c r="J62" s="7">
        <v>0</v>
      </c>
      <c r="K62" s="7">
        <v>0</v>
      </c>
      <c r="L62" s="7">
        <v>5.5</v>
      </c>
      <c r="M62" s="7">
        <v>4.8</v>
      </c>
      <c r="N62" s="7">
        <v>1.6</v>
      </c>
      <c r="O62" s="7">
        <v>1</v>
      </c>
      <c r="P62" s="7">
        <v>1.9</v>
      </c>
      <c r="Q62" s="5"/>
      <c r="R62" s="6"/>
    </row>
    <row r="63" spans="1:18" ht="15" customHeight="1">
      <c r="A63" s="3" t="s">
        <v>365</v>
      </c>
      <c r="B63" s="3" t="s">
        <v>136</v>
      </c>
      <c r="C63" s="3" t="s">
        <v>366</v>
      </c>
      <c r="D63" s="3" t="s">
        <v>127</v>
      </c>
      <c r="E63" s="3" t="s">
        <v>367</v>
      </c>
      <c r="F63" s="3"/>
      <c r="G63" s="3"/>
      <c r="H63" s="3" t="s">
        <v>368</v>
      </c>
      <c r="I63" s="4">
        <v>85</v>
      </c>
      <c r="J63" s="4">
        <v>0.8</v>
      </c>
      <c r="K63" s="4">
        <v>0.3</v>
      </c>
      <c r="L63" s="4">
        <v>1.8</v>
      </c>
      <c r="M63" s="4">
        <v>1.7</v>
      </c>
      <c r="N63" s="4">
        <v>16</v>
      </c>
      <c r="O63" s="4">
        <v>2.6</v>
      </c>
      <c r="P63" s="4"/>
      <c r="Q63" s="5"/>
      <c r="R63" s="3"/>
    </row>
    <row r="64" spans="1:18" ht="15" customHeight="1">
      <c r="A64" s="6" t="s">
        <v>369</v>
      </c>
      <c r="B64" s="6" t="s">
        <v>370</v>
      </c>
      <c r="C64" s="6" t="s">
        <v>371</v>
      </c>
      <c r="D64" s="6" t="s">
        <v>247</v>
      </c>
      <c r="E64" s="6" t="s">
        <v>372</v>
      </c>
      <c r="F64" s="6" t="s">
        <v>133</v>
      </c>
      <c r="G64" s="6"/>
      <c r="H64" s="6" t="s">
        <v>373</v>
      </c>
      <c r="I64" s="7">
        <v>150</v>
      </c>
      <c r="J64" s="7">
        <v>5.9</v>
      </c>
      <c r="K64" s="7">
        <v>0.6</v>
      </c>
      <c r="L64" s="7">
        <v>22</v>
      </c>
      <c r="M64" s="7">
        <v>18</v>
      </c>
      <c r="N64" s="7">
        <v>1.4</v>
      </c>
      <c r="O64" s="7">
        <v>4.4000000000000004</v>
      </c>
      <c r="P64" s="7">
        <v>1.6</v>
      </c>
      <c r="Q64" s="5"/>
      <c r="R64" s="6"/>
    </row>
    <row r="65" spans="1:18" ht="15" customHeight="1">
      <c r="A65" s="3" t="s">
        <v>374</v>
      </c>
      <c r="B65" s="3" t="s">
        <v>41</v>
      </c>
      <c r="C65" s="3" t="s">
        <v>375</v>
      </c>
      <c r="D65" s="3" t="s">
        <v>43</v>
      </c>
      <c r="E65" s="3" t="s">
        <v>376</v>
      </c>
      <c r="F65" s="3" t="s">
        <v>377</v>
      </c>
      <c r="G65" s="3" t="s">
        <v>52</v>
      </c>
      <c r="H65" s="3" t="s">
        <v>378</v>
      </c>
      <c r="I65" s="4">
        <v>221</v>
      </c>
      <c r="J65" s="4">
        <v>2.8</v>
      </c>
      <c r="K65" s="4">
        <v>0.5</v>
      </c>
      <c r="L65" s="4">
        <v>34</v>
      </c>
      <c r="M65" s="4">
        <v>1.4</v>
      </c>
      <c r="N65" s="4">
        <v>11</v>
      </c>
      <c r="O65" s="4">
        <v>1.1000000000000001</v>
      </c>
      <c r="P65" s="4">
        <v>6.4</v>
      </c>
      <c r="Q65" s="5"/>
      <c r="R65" s="3"/>
    </row>
    <row r="66" spans="1:18" ht="15" customHeight="1">
      <c r="A66" s="6" t="s">
        <v>379</v>
      </c>
      <c r="B66" s="6" t="s">
        <v>380</v>
      </c>
      <c r="C66" s="6" t="s">
        <v>381</v>
      </c>
      <c r="D66" s="6" t="s">
        <v>103</v>
      </c>
      <c r="E66" s="6" t="s">
        <v>382</v>
      </c>
      <c r="F66" s="6" t="s">
        <v>105</v>
      </c>
      <c r="G66" s="6"/>
      <c r="H66" s="6" t="s">
        <v>383</v>
      </c>
      <c r="I66" s="8"/>
      <c r="J66" s="7">
        <v>82</v>
      </c>
      <c r="K66" s="7">
        <v>49</v>
      </c>
      <c r="L66" s="7">
        <v>0.4</v>
      </c>
      <c r="M66" s="7">
        <v>0.4</v>
      </c>
      <c r="N66" s="7">
        <v>0.6</v>
      </c>
      <c r="O66" s="7">
        <v>1.2</v>
      </c>
      <c r="P66" s="8"/>
      <c r="Q66" s="5"/>
      <c r="R66" s="6"/>
    </row>
    <row r="67" spans="1:18" ht="15" customHeight="1">
      <c r="A67" s="3" t="s">
        <v>384</v>
      </c>
      <c r="B67" s="3" t="s">
        <v>380</v>
      </c>
      <c r="C67" s="3" t="s">
        <v>385</v>
      </c>
      <c r="D67" s="3" t="s">
        <v>103</v>
      </c>
      <c r="E67" s="3" t="s">
        <v>386</v>
      </c>
      <c r="F67" s="3" t="s">
        <v>105</v>
      </c>
      <c r="G67" s="3"/>
      <c r="H67" s="3" t="s">
        <v>387</v>
      </c>
      <c r="I67" s="4">
        <v>702</v>
      </c>
      <c r="J67" s="4">
        <v>78</v>
      </c>
      <c r="K67" s="4">
        <v>37</v>
      </c>
      <c r="L67" s="4">
        <v>0.4</v>
      </c>
      <c r="M67" s="4">
        <v>0.4</v>
      </c>
      <c r="N67" s="4">
        <v>0.6</v>
      </c>
      <c r="O67" s="4">
        <v>1.2</v>
      </c>
      <c r="P67" s="4"/>
      <c r="Q67" s="5"/>
      <c r="R67" s="3"/>
    </row>
    <row r="68" spans="1:18" ht="15" customHeight="1">
      <c r="A68" s="6" t="s">
        <v>388</v>
      </c>
      <c r="B68" s="6" t="s">
        <v>389</v>
      </c>
      <c r="C68" s="6" t="s">
        <v>390</v>
      </c>
      <c r="D68" s="6" t="s">
        <v>391</v>
      </c>
      <c r="E68" s="6" t="s">
        <v>392</v>
      </c>
      <c r="F68" s="6"/>
      <c r="G68" s="6"/>
      <c r="H68" s="6" t="s">
        <v>393</v>
      </c>
      <c r="I68" s="7">
        <v>305</v>
      </c>
      <c r="J68" s="7">
        <v>24</v>
      </c>
      <c r="K68" s="7">
        <v>21</v>
      </c>
      <c r="L68" s="7">
        <v>22</v>
      </c>
      <c r="M68" s="7">
        <v>0</v>
      </c>
      <c r="N68" s="7">
        <v>0.1</v>
      </c>
      <c r="O68" s="7">
        <v>1.7</v>
      </c>
      <c r="P68" s="8"/>
      <c r="Q68" s="5"/>
      <c r="R68" s="6"/>
    </row>
    <row r="69" spans="1:18" ht="15" customHeight="1">
      <c r="A69" s="3" t="s">
        <v>394</v>
      </c>
      <c r="B69" s="3" t="s">
        <v>395</v>
      </c>
      <c r="C69" s="3" t="s">
        <v>396</v>
      </c>
      <c r="D69" s="3" t="s">
        <v>43</v>
      </c>
      <c r="E69" s="3" t="s">
        <v>397</v>
      </c>
      <c r="F69" s="3" t="s">
        <v>398</v>
      </c>
      <c r="G69" s="3" t="s">
        <v>399</v>
      </c>
      <c r="H69" s="3" t="s">
        <v>400</v>
      </c>
      <c r="I69" s="4">
        <v>242</v>
      </c>
      <c r="J69" s="4">
        <v>2.5</v>
      </c>
      <c r="K69" s="4">
        <v>0.4</v>
      </c>
      <c r="L69" s="4">
        <v>44</v>
      </c>
      <c r="M69" s="4">
        <v>0.6</v>
      </c>
      <c r="N69" s="4">
        <v>9.4</v>
      </c>
      <c r="O69" s="4">
        <v>1.3</v>
      </c>
      <c r="P69" s="4">
        <v>1.8</v>
      </c>
      <c r="Q69" s="5"/>
      <c r="R69" s="3"/>
    </row>
    <row r="70" spans="1:18" ht="15" customHeight="1">
      <c r="A70" s="6" t="s">
        <v>401</v>
      </c>
      <c r="B70" s="6" t="s">
        <v>402</v>
      </c>
      <c r="C70" s="6" t="s">
        <v>403</v>
      </c>
      <c r="D70" s="6" t="s">
        <v>247</v>
      </c>
      <c r="E70" s="6" t="s">
        <v>404</v>
      </c>
      <c r="F70" s="6"/>
      <c r="G70" s="6"/>
      <c r="H70" s="6" t="s">
        <v>405</v>
      </c>
      <c r="I70" s="7">
        <v>175</v>
      </c>
      <c r="J70" s="7">
        <v>0.3</v>
      </c>
      <c r="K70" s="7">
        <v>0.1</v>
      </c>
      <c r="L70" s="7">
        <v>42.3</v>
      </c>
      <c r="M70" s="7">
        <v>37.5</v>
      </c>
      <c r="N70" s="7">
        <v>0.2</v>
      </c>
      <c r="O70" s="7">
        <v>0.9</v>
      </c>
      <c r="P70" s="7">
        <v>0.2</v>
      </c>
      <c r="Q70" s="5"/>
      <c r="R70" s="6"/>
    </row>
    <row r="71" spans="1:18" ht="15" customHeight="1">
      <c r="A71" s="3" t="s">
        <v>406</v>
      </c>
      <c r="B71" s="3" t="s">
        <v>407</v>
      </c>
      <c r="C71" s="3"/>
      <c r="D71" s="3" t="s">
        <v>297</v>
      </c>
      <c r="E71" s="3" t="s">
        <v>408</v>
      </c>
      <c r="F71" s="3"/>
      <c r="G71" s="3"/>
      <c r="H71" s="3" t="s">
        <v>409</v>
      </c>
      <c r="I71" s="4">
        <v>400</v>
      </c>
      <c r="J71" s="4">
        <v>0</v>
      </c>
      <c r="K71" s="4">
        <v>0</v>
      </c>
      <c r="L71" s="4">
        <v>100</v>
      </c>
      <c r="M71" s="4">
        <v>100</v>
      </c>
      <c r="N71" s="4">
        <v>0</v>
      </c>
      <c r="O71" s="4">
        <v>0</v>
      </c>
      <c r="P71" s="4">
        <v>0</v>
      </c>
      <c r="Q71" s="5"/>
      <c r="R71" s="3"/>
    </row>
    <row r="72" spans="1:18" ht="15" customHeight="1">
      <c r="A72" s="6" t="s">
        <v>410</v>
      </c>
      <c r="B72" s="6" t="s">
        <v>380</v>
      </c>
      <c r="C72" s="6"/>
      <c r="D72" s="6" t="s">
        <v>103</v>
      </c>
      <c r="E72" s="6" t="s">
        <v>411</v>
      </c>
      <c r="F72" s="6" t="s">
        <v>105</v>
      </c>
      <c r="G72" s="6"/>
      <c r="H72" s="6" t="s">
        <v>412</v>
      </c>
      <c r="I72" s="7">
        <v>119</v>
      </c>
      <c r="J72" s="7">
        <v>10</v>
      </c>
      <c r="K72" s="7">
        <v>6.4</v>
      </c>
      <c r="L72" s="7">
        <v>3.5</v>
      </c>
      <c r="M72" s="7">
        <v>3.5</v>
      </c>
      <c r="N72" s="7">
        <v>3.8</v>
      </c>
      <c r="O72" s="7">
        <v>0.1</v>
      </c>
      <c r="P72" s="8"/>
      <c r="Q72" s="5"/>
      <c r="R72" s="6"/>
    </row>
    <row r="73" spans="1:18" ht="15" customHeight="1">
      <c r="A73" s="3" t="s">
        <v>413</v>
      </c>
      <c r="B73" s="3" t="s">
        <v>272</v>
      </c>
      <c r="C73" s="3" t="s">
        <v>414</v>
      </c>
      <c r="D73" s="3" t="s">
        <v>274</v>
      </c>
      <c r="E73" s="3" t="s">
        <v>415</v>
      </c>
      <c r="F73" s="3"/>
      <c r="G73" s="3" t="s">
        <v>276</v>
      </c>
      <c r="H73" s="3" t="s">
        <v>416</v>
      </c>
      <c r="I73" s="4">
        <v>222</v>
      </c>
      <c r="J73" s="4">
        <v>6</v>
      </c>
      <c r="K73" s="4">
        <v>0.9</v>
      </c>
      <c r="L73" s="4">
        <v>30</v>
      </c>
      <c r="M73" s="4">
        <v>4.5999999999999996</v>
      </c>
      <c r="N73" s="4">
        <v>7.1</v>
      </c>
      <c r="O73" s="4">
        <v>45</v>
      </c>
      <c r="P73" s="4"/>
      <c r="Q73" s="5"/>
      <c r="R73" s="3"/>
    </row>
    <row r="74" spans="1:18" ht="15" customHeight="1">
      <c r="A74" s="6" t="s">
        <v>417</v>
      </c>
      <c r="B74" s="6" t="s">
        <v>309</v>
      </c>
      <c r="C74" s="6" t="s">
        <v>418</v>
      </c>
      <c r="D74" s="6" t="s">
        <v>419</v>
      </c>
      <c r="E74" s="6" t="s">
        <v>420</v>
      </c>
      <c r="F74" s="6"/>
      <c r="G74" s="6"/>
      <c r="H74" s="6" t="s">
        <v>421</v>
      </c>
      <c r="I74" s="7">
        <v>483</v>
      </c>
      <c r="J74" s="7">
        <v>25</v>
      </c>
      <c r="K74" s="7">
        <v>2.2999999999999998</v>
      </c>
      <c r="L74" s="7">
        <v>56</v>
      </c>
      <c r="M74" s="7">
        <v>1.1000000000000001</v>
      </c>
      <c r="N74" s="7">
        <v>5.7</v>
      </c>
      <c r="O74" s="7">
        <v>1.2</v>
      </c>
      <c r="P74" s="7">
        <v>6.3</v>
      </c>
      <c r="Q74" s="5"/>
      <c r="R74" s="6"/>
    </row>
    <row r="75" spans="1:18" ht="15" customHeight="1">
      <c r="A75" s="3" t="s">
        <v>422</v>
      </c>
      <c r="B75" s="3" t="s">
        <v>423</v>
      </c>
      <c r="C75" s="3" t="s">
        <v>424</v>
      </c>
      <c r="D75" s="3" t="s">
        <v>285</v>
      </c>
      <c r="E75" s="3" t="s">
        <v>425</v>
      </c>
      <c r="F75" s="3"/>
      <c r="G75" s="3"/>
      <c r="H75" s="3" t="s">
        <v>426</v>
      </c>
      <c r="I75" s="4">
        <v>113</v>
      </c>
      <c r="J75" s="4">
        <v>0.4</v>
      </c>
      <c r="K75" s="4">
        <v>0</v>
      </c>
      <c r="L75" s="4">
        <v>19</v>
      </c>
      <c r="M75" s="4">
        <v>14</v>
      </c>
      <c r="N75" s="4">
        <v>6</v>
      </c>
      <c r="O75" s="4">
        <v>0.1</v>
      </c>
      <c r="P75" s="4"/>
      <c r="Q75" s="5"/>
      <c r="R75" s="3"/>
    </row>
    <row r="76" spans="1:18" ht="15" customHeight="1">
      <c r="A76" s="6" t="s">
        <v>427</v>
      </c>
      <c r="B76" s="6" t="s">
        <v>428</v>
      </c>
      <c r="C76" s="6" t="s">
        <v>429</v>
      </c>
      <c r="D76" s="6" t="s">
        <v>183</v>
      </c>
      <c r="E76" s="6" t="s">
        <v>430</v>
      </c>
      <c r="F76" s="6" t="s">
        <v>431</v>
      </c>
      <c r="G76" s="6"/>
      <c r="H76" s="6" t="s">
        <v>432</v>
      </c>
      <c r="I76" s="7">
        <v>177</v>
      </c>
      <c r="J76" s="7">
        <v>8.3000000000000007</v>
      </c>
      <c r="K76" s="7">
        <v>1</v>
      </c>
      <c r="L76" s="7">
        <v>20</v>
      </c>
      <c r="M76" s="7">
        <v>4</v>
      </c>
      <c r="N76" s="7">
        <v>3.8</v>
      </c>
      <c r="O76" s="7">
        <v>1.4</v>
      </c>
      <c r="P76" s="7">
        <v>3.5</v>
      </c>
      <c r="Q76" s="5"/>
      <c r="R76" s="6"/>
    </row>
    <row r="77" spans="1:18" ht="15" customHeight="1">
      <c r="A77" s="3" t="s">
        <v>433</v>
      </c>
      <c r="B77" s="3" t="s">
        <v>204</v>
      </c>
      <c r="C77" s="3" t="s">
        <v>434</v>
      </c>
      <c r="D77" s="3" t="s">
        <v>183</v>
      </c>
      <c r="E77" s="3" t="s">
        <v>435</v>
      </c>
      <c r="F77" s="3" t="s">
        <v>129</v>
      </c>
      <c r="G77" s="3" t="s">
        <v>436</v>
      </c>
      <c r="H77" s="3" t="s">
        <v>437</v>
      </c>
      <c r="I77" s="4">
        <v>153</v>
      </c>
      <c r="J77" s="4">
        <v>4.7</v>
      </c>
      <c r="K77" s="4">
        <v>0.4</v>
      </c>
      <c r="L77" s="4">
        <v>1.2</v>
      </c>
      <c r="M77" s="4">
        <v>0.1</v>
      </c>
      <c r="N77" s="4">
        <v>22.5</v>
      </c>
      <c r="O77" s="4">
        <v>0.6</v>
      </c>
      <c r="P77" s="4">
        <v>8</v>
      </c>
      <c r="Q77" s="5"/>
      <c r="R77" s="3"/>
    </row>
    <row r="78" spans="1:18" ht="15" customHeight="1">
      <c r="A78" s="6" t="s">
        <v>438</v>
      </c>
      <c r="B78" s="6" t="s">
        <v>204</v>
      </c>
      <c r="C78" s="6" t="s">
        <v>439</v>
      </c>
      <c r="D78" s="6" t="s">
        <v>183</v>
      </c>
      <c r="E78" s="6" t="s">
        <v>440</v>
      </c>
      <c r="F78" s="6" t="s">
        <v>441</v>
      </c>
      <c r="G78" s="6"/>
      <c r="H78" s="6" t="s">
        <v>442</v>
      </c>
      <c r="I78" s="7">
        <v>128</v>
      </c>
      <c r="J78" s="7">
        <v>2.5</v>
      </c>
      <c r="K78" s="7">
        <v>0.3</v>
      </c>
      <c r="L78" s="7">
        <v>1.8</v>
      </c>
      <c r="M78" s="7">
        <v>0.6</v>
      </c>
      <c r="N78" s="7">
        <v>21.2</v>
      </c>
      <c r="O78" s="7">
        <v>0.3</v>
      </c>
      <c r="P78" s="7">
        <v>6.7</v>
      </c>
      <c r="Q78" s="5"/>
      <c r="R78" s="6"/>
    </row>
    <row r="79" spans="1:18" ht="15" customHeight="1">
      <c r="A79" s="3" t="s">
        <v>443</v>
      </c>
      <c r="B79" s="3" t="s">
        <v>444</v>
      </c>
      <c r="C79" s="3" t="s">
        <v>445</v>
      </c>
      <c r="D79" s="3" t="s">
        <v>43</v>
      </c>
      <c r="E79" s="3" t="s">
        <v>446</v>
      </c>
      <c r="F79" s="3" t="s">
        <v>30</v>
      </c>
      <c r="G79" s="3" t="s">
        <v>447</v>
      </c>
      <c r="H79" s="3" t="s">
        <v>448</v>
      </c>
      <c r="I79" s="4">
        <v>195</v>
      </c>
      <c r="J79" s="4">
        <v>2.5</v>
      </c>
      <c r="K79" s="4">
        <v>0.5</v>
      </c>
      <c r="L79" s="4">
        <v>35</v>
      </c>
      <c r="M79" s="4">
        <v>1.5</v>
      </c>
      <c r="N79" s="4">
        <v>7</v>
      </c>
      <c r="O79" s="4">
        <v>1.2</v>
      </c>
      <c r="P79" s="4">
        <v>2</v>
      </c>
      <c r="Q79" s="5"/>
      <c r="R79" s="3"/>
    </row>
    <row r="80" spans="1:18" ht="15" customHeight="1">
      <c r="A80" s="6" t="s">
        <v>449</v>
      </c>
      <c r="B80" s="6" t="s">
        <v>450</v>
      </c>
      <c r="C80" s="6" t="s">
        <v>451</v>
      </c>
      <c r="D80" s="6" t="s">
        <v>391</v>
      </c>
      <c r="E80" s="6" t="s">
        <v>452</v>
      </c>
      <c r="F80" s="6" t="s">
        <v>453</v>
      </c>
      <c r="G80" s="6" t="s">
        <v>454</v>
      </c>
      <c r="H80" s="6" t="s">
        <v>455</v>
      </c>
      <c r="I80" s="7">
        <v>272</v>
      </c>
      <c r="J80" s="7">
        <v>2.6</v>
      </c>
      <c r="K80" s="7">
        <v>0.4</v>
      </c>
      <c r="L80" s="7">
        <v>47.2</v>
      </c>
      <c r="M80" s="7">
        <v>1.3</v>
      </c>
      <c r="N80" s="7">
        <v>10.199999999999999</v>
      </c>
      <c r="O80" s="7">
        <v>0.9</v>
      </c>
      <c r="P80" s="7">
        <v>9.5</v>
      </c>
      <c r="Q80" s="5"/>
      <c r="R80" s="6"/>
    </row>
    <row r="81" spans="1:18" ht="15" customHeight="1">
      <c r="A81" s="3" t="s">
        <v>456</v>
      </c>
      <c r="B81" s="3" t="s">
        <v>157</v>
      </c>
      <c r="C81" s="3" t="s">
        <v>457</v>
      </c>
      <c r="D81" s="3" t="s">
        <v>138</v>
      </c>
      <c r="E81" s="3" t="s">
        <v>458</v>
      </c>
      <c r="F81" s="3"/>
      <c r="G81" s="3"/>
      <c r="H81" s="3" t="s">
        <v>459</v>
      </c>
      <c r="I81" s="4">
        <v>179</v>
      </c>
      <c r="J81" s="4">
        <v>11</v>
      </c>
      <c r="K81" s="4">
        <v>3.1</v>
      </c>
      <c r="L81" s="4">
        <v>0</v>
      </c>
      <c r="M81" s="4">
        <v>0</v>
      </c>
      <c r="N81" s="4">
        <v>20</v>
      </c>
      <c r="O81" s="4">
        <v>0.2</v>
      </c>
      <c r="P81" s="4">
        <v>0</v>
      </c>
      <c r="Q81" s="5"/>
      <c r="R81" s="3"/>
    </row>
    <row r="82" spans="1:18" ht="15" customHeight="1">
      <c r="A82" s="6" t="s">
        <v>460</v>
      </c>
      <c r="B82" s="6" t="s">
        <v>461</v>
      </c>
      <c r="C82" s="6"/>
      <c r="D82" s="6" t="s">
        <v>462</v>
      </c>
      <c r="E82" s="6" t="s">
        <v>463</v>
      </c>
      <c r="F82" s="6"/>
      <c r="G82" s="6"/>
      <c r="H82" s="6" t="s">
        <v>464</v>
      </c>
      <c r="I82" s="7">
        <v>37</v>
      </c>
      <c r="J82" s="7">
        <v>0.5</v>
      </c>
      <c r="K82" s="7">
        <v>0.1</v>
      </c>
      <c r="L82" s="7">
        <v>3.7</v>
      </c>
      <c r="M82" s="7">
        <v>2.1</v>
      </c>
      <c r="N82" s="7">
        <v>0</v>
      </c>
      <c r="O82" s="7">
        <v>0</v>
      </c>
      <c r="P82" s="8"/>
      <c r="Q82" s="5"/>
      <c r="R82" s="6"/>
    </row>
    <row r="83" spans="1:18" ht="15" customHeight="1">
      <c r="A83" s="3" t="s">
        <v>465</v>
      </c>
      <c r="B83" s="3" t="s">
        <v>224</v>
      </c>
      <c r="C83" s="3" t="s">
        <v>466</v>
      </c>
      <c r="D83" s="3" t="s">
        <v>226</v>
      </c>
      <c r="E83" s="3" t="s">
        <v>467</v>
      </c>
      <c r="F83" s="3"/>
      <c r="G83" s="3"/>
      <c r="H83" s="3" t="s">
        <v>468</v>
      </c>
      <c r="I83" s="4">
        <v>31</v>
      </c>
      <c r="J83" s="4">
        <v>0.9</v>
      </c>
      <c r="K83" s="4">
        <v>0.2</v>
      </c>
      <c r="L83" s="4">
        <v>2.1</v>
      </c>
      <c r="M83" s="4">
        <v>1.8</v>
      </c>
      <c r="N83" s="4">
        <v>2.9</v>
      </c>
      <c r="O83" s="4">
        <v>0</v>
      </c>
      <c r="P83" s="4">
        <v>1.6</v>
      </c>
      <c r="Q83" s="5"/>
      <c r="R83" s="3"/>
    </row>
    <row r="84" spans="1:18" ht="15" customHeight="1">
      <c r="A84" s="6" t="s">
        <v>469</v>
      </c>
      <c r="B84" s="6" t="s">
        <v>224</v>
      </c>
      <c r="C84" s="6" t="s">
        <v>470</v>
      </c>
      <c r="D84" s="6" t="s">
        <v>226</v>
      </c>
      <c r="E84" s="6" t="s">
        <v>471</v>
      </c>
      <c r="F84" s="6"/>
      <c r="G84" s="6"/>
      <c r="H84" s="6" t="s">
        <v>472</v>
      </c>
      <c r="I84" s="7">
        <v>17</v>
      </c>
      <c r="J84" s="7">
        <v>0.2</v>
      </c>
      <c r="K84" s="8"/>
      <c r="L84" s="7">
        <v>1.8</v>
      </c>
      <c r="M84" s="7">
        <v>1.7</v>
      </c>
      <c r="N84" s="7">
        <v>0.9</v>
      </c>
      <c r="O84" s="7">
        <v>0.5</v>
      </c>
      <c r="P84" s="7">
        <v>2.2999999999999998</v>
      </c>
      <c r="Q84" s="5"/>
      <c r="R84" s="6"/>
    </row>
    <row r="85" spans="1:18" ht="15" customHeight="1">
      <c r="A85" s="3" t="s">
        <v>473</v>
      </c>
      <c r="B85" s="3" t="s">
        <v>474</v>
      </c>
      <c r="C85" s="3"/>
      <c r="D85" s="3" t="s">
        <v>226</v>
      </c>
      <c r="E85" s="3" t="s">
        <v>475</v>
      </c>
      <c r="F85" s="3"/>
      <c r="G85" s="3"/>
      <c r="H85" s="3" t="s">
        <v>476</v>
      </c>
      <c r="I85" s="4">
        <v>114</v>
      </c>
      <c r="J85" s="4">
        <v>8.6</v>
      </c>
      <c r="K85" s="4">
        <v>1.1000000000000001</v>
      </c>
      <c r="L85" s="4">
        <v>6.9</v>
      </c>
      <c r="M85" s="4">
        <v>3.9</v>
      </c>
      <c r="N85" s="4">
        <v>1.2</v>
      </c>
      <c r="O85" s="4">
        <v>0</v>
      </c>
      <c r="P85" s="4">
        <v>1.9</v>
      </c>
      <c r="Q85" s="5"/>
      <c r="R85" s="3"/>
    </row>
    <row r="86" spans="1:18" ht="15" customHeight="1">
      <c r="A86" s="6" t="s">
        <v>477</v>
      </c>
      <c r="B86" s="6" t="s">
        <v>450</v>
      </c>
      <c r="C86" s="6" t="s">
        <v>478</v>
      </c>
      <c r="D86" s="6" t="s">
        <v>391</v>
      </c>
      <c r="E86" s="6" t="s">
        <v>479</v>
      </c>
      <c r="F86" s="6" t="s">
        <v>453</v>
      </c>
      <c r="G86" s="6" t="s">
        <v>480</v>
      </c>
      <c r="H86" s="6" t="s">
        <v>481</v>
      </c>
      <c r="I86" s="7">
        <v>264</v>
      </c>
      <c r="J86" s="7">
        <v>7.8</v>
      </c>
      <c r="K86" s="7">
        <v>0.7</v>
      </c>
      <c r="L86" s="7">
        <v>29.9</v>
      </c>
      <c r="M86" s="7">
        <v>2.8</v>
      </c>
      <c r="N86" s="7">
        <v>13.3</v>
      </c>
      <c r="O86" s="7">
        <v>1.7</v>
      </c>
      <c r="P86" s="7">
        <v>10.5</v>
      </c>
      <c r="Q86" s="5"/>
      <c r="R86" s="6"/>
    </row>
    <row r="87" spans="1:18" ht="15" customHeight="1">
      <c r="A87" s="3" t="s">
        <v>482</v>
      </c>
      <c r="B87" s="3" t="s">
        <v>483</v>
      </c>
      <c r="C87" s="3"/>
      <c r="D87" s="3" t="s">
        <v>484</v>
      </c>
      <c r="E87" s="3" t="s">
        <v>485</v>
      </c>
      <c r="F87" s="3" t="s">
        <v>486</v>
      </c>
      <c r="G87" s="3"/>
      <c r="H87" s="3" t="s">
        <v>487</v>
      </c>
      <c r="I87" s="4">
        <v>153</v>
      </c>
      <c r="J87" s="4">
        <v>4.2</v>
      </c>
      <c r="K87" s="4">
        <v>0</v>
      </c>
      <c r="L87" s="4">
        <v>23.4</v>
      </c>
      <c r="M87" s="4">
        <v>0</v>
      </c>
      <c r="N87" s="4">
        <v>5.0999999999999996</v>
      </c>
      <c r="O87" s="4">
        <v>0</v>
      </c>
      <c r="P87" s="4"/>
      <c r="Q87" s="5"/>
      <c r="R87" s="3"/>
    </row>
    <row r="88" spans="1:18" ht="15" customHeight="1">
      <c r="A88" s="6" t="s">
        <v>488</v>
      </c>
      <c r="B88" s="6" t="s">
        <v>489</v>
      </c>
      <c r="C88" s="6" t="s">
        <v>490</v>
      </c>
      <c r="D88" s="6" t="s">
        <v>462</v>
      </c>
      <c r="E88" s="6" t="s">
        <v>491</v>
      </c>
      <c r="F88" s="6"/>
      <c r="G88" s="6"/>
      <c r="H88" s="6" t="s">
        <v>492</v>
      </c>
      <c r="I88" s="7">
        <v>43</v>
      </c>
      <c r="J88" s="7">
        <v>0.5</v>
      </c>
      <c r="K88" s="7">
        <v>0.1</v>
      </c>
      <c r="L88" s="7">
        <v>9.1</v>
      </c>
      <c r="M88" s="7">
        <v>4.5999999999999996</v>
      </c>
      <c r="N88" s="7">
        <v>0.4</v>
      </c>
      <c r="O88" s="7">
        <v>0</v>
      </c>
      <c r="P88" s="7">
        <v>2.1</v>
      </c>
      <c r="Q88" s="5"/>
      <c r="R88" s="6"/>
    </row>
    <row r="89" spans="1:18" ht="15" customHeight="1">
      <c r="A89" s="3" t="s">
        <v>493</v>
      </c>
      <c r="B89" s="3" t="s">
        <v>224</v>
      </c>
      <c r="C89" s="3" t="s">
        <v>494</v>
      </c>
      <c r="D89" s="3" t="s">
        <v>226</v>
      </c>
      <c r="E89" s="3" t="s">
        <v>495</v>
      </c>
      <c r="F89" s="3"/>
      <c r="G89" s="3"/>
      <c r="H89" s="3" t="s">
        <v>496</v>
      </c>
      <c r="I89" s="4">
        <v>104</v>
      </c>
      <c r="J89" s="4">
        <v>2.7</v>
      </c>
      <c r="K89" s="4">
        <v>0.4</v>
      </c>
      <c r="L89" s="4">
        <v>15</v>
      </c>
      <c r="M89" s="4">
        <v>3.3</v>
      </c>
      <c r="N89" s="4">
        <v>3.2</v>
      </c>
      <c r="O89" s="4">
        <v>0.4</v>
      </c>
      <c r="P89" s="4">
        <v>3.9</v>
      </c>
      <c r="Q89" s="5"/>
      <c r="R89" s="3"/>
    </row>
    <row r="90" spans="1:18" ht="15" customHeight="1">
      <c r="A90" s="6" t="s">
        <v>497</v>
      </c>
      <c r="B90" s="6" t="s">
        <v>218</v>
      </c>
      <c r="C90" s="6"/>
      <c r="D90" s="6" t="s">
        <v>498</v>
      </c>
      <c r="E90" s="6" t="s">
        <v>499</v>
      </c>
      <c r="F90" s="6" t="s">
        <v>30</v>
      </c>
      <c r="G90" s="6"/>
      <c r="H90" s="6" t="s">
        <v>500</v>
      </c>
      <c r="I90" s="7">
        <v>16</v>
      </c>
      <c r="J90" s="7">
        <v>0.2</v>
      </c>
      <c r="K90" s="7">
        <v>0</v>
      </c>
      <c r="L90" s="7">
        <v>3</v>
      </c>
      <c r="M90" s="7">
        <v>1</v>
      </c>
      <c r="N90" s="7">
        <v>0.5</v>
      </c>
      <c r="O90" s="7">
        <v>0</v>
      </c>
      <c r="P90" s="7">
        <v>0.1</v>
      </c>
      <c r="Q90" s="5"/>
      <c r="R90" s="6"/>
    </row>
    <row r="91" spans="1:18" ht="15" customHeight="1">
      <c r="A91" s="3" t="s">
        <v>501</v>
      </c>
      <c r="B91" s="3" t="s">
        <v>41</v>
      </c>
      <c r="C91" s="3" t="s">
        <v>502</v>
      </c>
      <c r="D91" s="3" t="s">
        <v>503</v>
      </c>
      <c r="E91" s="3" t="s">
        <v>504</v>
      </c>
      <c r="F91" s="3" t="s">
        <v>505</v>
      </c>
      <c r="G91" s="3" t="s">
        <v>506</v>
      </c>
      <c r="H91" s="3" t="s">
        <v>507</v>
      </c>
      <c r="I91" s="4">
        <v>279</v>
      </c>
      <c r="J91" s="4">
        <v>5.9</v>
      </c>
      <c r="K91" s="4">
        <v>2.4</v>
      </c>
      <c r="L91" s="4">
        <v>46</v>
      </c>
      <c r="M91" s="4">
        <v>5.4</v>
      </c>
      <c r="N91" s="4">
        <v>8.9</v>
      </c>
      <c r="O91" s="4">
        <v>1.5</v>
      </c>
      <c r="P91" s="4">
        <v>2.5</v>
      </c>
      <c r="Q91" s="5"/>
      <c r="R91" s="3"/>
    </row>
    <row r="92" spans="1:18" ht="15" customHeight="1">
      <c r="A92" s="6" t="s">
        <v>508</v>
      </c>
      <c r="B92" s="6" t="s">
        <v>224</v>
      </c>
      <c r="C92" s="6" t="s">
        <v>509</v>
      </c>
      <c r="D92" s="6" t="s">
        <v>226</v>
      </c>
      <c r="E92" s="6" t="s">
        <v>510</v>
      </c>
      <c r="F92" s="6"/>
      <c r="G92" s="6"/>
      <c r="H92" s="6" t="s">
        <v>511</v>
      </c>
      <c r="I92" s="7">
        <v>42</v>
      </c>
      <c r="J92" s="7">
        <v>0.3</v>
      </c>
      <c r="K92" s="7">
        <v>0.1</v>
      </c>
      <c r="L92" s="7">
        <v>7.9</v>
      </c>
      <c r="M92" s="7">
        <v>7.4</v>
      </c>
      <c r="N92" s="7">
        <v>0.6</v>
      </c>
      <c r="O92" s="7">
        <v>0.1</v>
      </c>
      <c r="P92" s="7">
        <v>2.4</v>
      </c>
      <c r="Q92" s="5"/>
      <c r="R92" s="6"/>
    </row>
    <row r="93" spans="1:18" ht="15" customHeight="1">
      <c r="A93" s="3" t="s">
        <v>512</v>
      </c>
      <c r="B93" s="3" t="s">
        <v>41</v>
      </c>
      <c r="C93" s="3" t="s">
        <v>513</v>
      </c>
      <c r="D93" s="3" t="s">
        <v>43</v>
      </c>
      <c r="E93" s="3" t="s">
        <v>514</v>
      </c>
      <c r="F93" s="3" t="s">
        <v>30</v>
      </c>
      <c r="G93" s="3" t="s">
        <v>515</v>
      </c>
      <c r="H93" s="3" t="s">
        <v>516</v>
      </c>
      <c r="I93" s="4">
        <v>259</v>
      </c>
      <c r="J93" s="4">
        <v>2.7</v>
      </c>
      <c r="K93" s="4">
        <v>0.4</v>
      </c>
      <c r="L93" s="4">
        <v>48</v>
      </c>
      <c r="M93" s="4">
        <v>0.4</v>
      </c>
      <c r="N93" s="4">
        <v>9.4</v>
      </c>
      <c r="O93" s="4">
        <v>1.4</v>
      </c>
      <c r="P93" s="4">
        <v>2.2999999999999998</v>
      </c>
      <c r="Q93" s="5"/>
      <c r="R93" s="3"/>
    </row>
    <row r="94" spans="1:18" ht="15" customHeight="1">
      <c r="A94" s="6" t="s">
        <v>517</v>
      </c>
      <c r="B94" s="6" t="s">
        <v>167</v>
      </c>
      <c r="C94" s="6" t="s">
        <v>518</v>
      </c>
      <c r="D94" s="6" t="s">
        <v>169</v>
      </c>
      <c r="E94" s="6" t="s">
        <v>519</v>
      </c>
      <c r="F94" s="6" t="s">
        <v>520</v>
      </c>
      <c r="G94" s="6"/>
      <c r="H94" s="6" t="s">
        <v>521</v>
      </c>
      <c r="I94" s="7">
        <v>114</v>
      </c>
      <c r="J94" s="7">
        <v>5.9</v>
      </c>
      <c r="K94" s="7">
        <v>0.5</v>
      </c>
      <c r="L94" s="7">
        <v>1.8</v>
      </c>
      <c r="M94" s="7">
        <v>1.2</v>
      </c>
      <c r="N94" s="7">
        <v>13</v>
      </c>
      <c r="O94" s="7">
        <v>0.8</v>
      </c>
      <c r="P94" s="7">
        <v>0.6</v>
      </c>
      <c r="Q94" s="5"/>
      <c r="R94" s="6"/>
    </row>
    <row r="95" spans="1:18" ht="15" customHeight="1">
      <c r="A95" s="3" t="s">
        <v>522</v>
      </c>
      <c r="B95" s="3" t="s">
        <v>523</v>
      </c>
      <c r="C95" s="3"/>
      <c r="D95" s="3" t="s">
        <v>524</v>
      </c>
      <c r="E95" s="3" t="s">
        <v>525</v>
      </c>
      <c r="F95" s="3"/>
      <c r="G95" s="3"/>
      <c r="H95" s="3" t="s">
        <v>526</v>
      </c>
      <c r="I95" s="4">
        <v>50</v>
      </c>
      <c r="J95" s="4">
        <v>0.2</v>
      </c>
      <c r="K95" s="4">
        <v>0</v>
      </c>
      <c r="L95" s="4">
        <v>9.9</v>
      </c>
      <c r="M95" s="4">
        <v>9.6999999999999993</v>
      </c>
      <c r="N95" s="4">
        <v>1</v>
      </c>
      <c r="O95" s="4">
        <v>0</v>
      </c>
      <c r="P95" s="4"/>
      <c r="Q95" s="5"/>
      <c r="R95" s="3"/>
    </row>
    <row r="96" spans="1:18" ht="15" customHeight="1">
      <c r="A96" s="6" t="s">
        <v>527</v>
      </c>
      <c r="B96" s="6" t="s">
        <v>528</v>
      </c>
      <c r="C96" s="6" t="s">
        <v>390</v>
      </c>
      <c r="D96" s="6" t="s">
        <v>529</v>
      </c>
      <c r="E96" s="6" t="s">
        <v>530</v>
      </c>
      <c r="F96" s="6" t="s">
        <v>123</v>
      </c>
      <c r="G96" s="6"/>
      <c r="H96" s="6" t="s">
        <v>531</v>
      </c>
      <c r="I96" s="8"/>
      <c r="J96" s="8"/>
      <c r="K96" s="8"/>
      <c r="L96" s="8"/>
      <c r="M96" s="8"/>
      <c r="N96" s="8"/>
      <c r="O96" s="8"/>
      <c r="P96" s="8"/>
      <c r="Q96" s="5"/>
      <c r="R96" s="6"/>
    </row>
    <row r="97" spans="1:18" ht="15" customHeight="1">
      <c r="A97" s="3" t="s">
        <v>532</v>
      </c>
      <c r="B97" s="3" t="s">
        <v>380</v>
      </c>
      <c r="C97" s="3" t="s">
        <v>533</v>
      </c>
      <c r="D97" s="3" t="s">
        <v>103</v>
      </c>
      <c r="E97" s="3" t="s">
        <v>534</v>
      </c>
      <c r="F97" s="3" t="s">
        <v>105</v>
      </c>
      <c r="G97" s="3"/>
      <c r="H97" s="3" t="s">
        <v>535</v>
      </c>
      <c r="I97" s="4">
        <v>330</v>
      </c>
      <c r="J97" s="4">
        <v>26</v>
      </c>
      <c r="K97" s="4">
        <v>14</v>
      </c>
      <c r="L97" s="4">
        <v>0</v>
      </c>
      <c r="M97" s="4">
        <v>0</v>
      </c>
      <c r="N97" s="4">
        <v>25</v>
      </c>
      <c r="O97" s="4">
        <v>1.5</v>
      </c>
      <c r="P97" s="4"/>
      <c r="Q97" s="5"/>
      <c r="R97" s="3"/>
    </row>
    <row r="98" spans="1:18" ht="15" customHeight="1">
      <c r="A98" s="6" t="s">
        <v>536</v>
      </c>
      <c r="B98" s="6" t="s">
        <v>157</v>
      </c>
      <c r="C98" s="6"/>
      <c r="D98" s="6" t="s">
        <v>127</v>
      </c>
      <c r="E98" s="6" t="s">
        <v>537</v>
      </c>
      <c r="F98" s="6" t="s">
        <v>129</v>
      </c>
      <c r="G98" s="6"/>
      <c r="H98" s="6" t="s">
        <v>538</v>
      </c>
      <c r="I98" s="7">
        <v>384</v>
      </c>
      <c r="J98" s="7">
        <v>29.3</v>
      </c>
      <c r="K98" s="7">
        <v>14.7</v>
      </c>
      <c r="L98" s="7">
        <v>2.4</v>
      </c>
      <c r="M98" s="7">
        <v>0.2</v>
      </c>
      <c r="N98" s="7">
        <v>12.8</v>
      </c>
      <c r="O98" s="7">
        <v>1.7</v>
      </c>
      <c r="P98" s="7">
        <v>0.2</v>
      </c>
      <c r="Q98" s="5"/>
      <c r="R98" s="6"/>
    </row>
    <row r="99" spans="1:18" ht="15" customHeight="1">
      <c r="A99" s="3" t="s">
        <v>539</v>
      </c>
      <c r="B99" s="3" t="s">
        <v>167</v>
      </c>
      <c r="C99" s="3"/>
      <c r="D99" s="3" t="s">
        <v>169</v>
      </c>
      <c r="E99" s="3" t="s">
        <v>540</v>
      </c>
      <c r="F99" s="3" t="s">
        <v>541</v>
      </c>
      <c r="G99" s="3"/>
      <c r="H99" s="3" t="s">
        <v>542</v>
      </c>
      <c r="I99" s="4">
        <v>61</v>
      </c>
      <c r="J99" s="4">
        <v>1</v>
      </c>
      <c r="K99" s="4">
        <v>0</v>
      </c>
      <c r="L99" s="4">
        <v>0</v>
      </c>
      <c r="M99" s="4">
        <v>0</v>
      </c>
      <c r="N99" s="4">
        <v>14</v>
      </c>
      <c r="O99" s="4">
        <v>3</v>
      </c>
      <c r="P99" s="4"/>
      <c r="Q99" s="5"/>
      <c r="R99" s="3"/>
    </row>
    <row r="100" spans="1:18" ht="15" customHeight="1">
      <c r="A100" s="6" t="s">
        <v>543</v>
      </c>
      <c r="B100" s="6" t="s">
        <v>174</v>
      </c>
      <c r="C100" s="6" t="s">
        <v>544</v>
      </c>
      <c r="D100" s="6" t="s">
        <v>176</v>
      </c>
      <c r="E100" s="6" t="s">
        <v>545</v>
      </c>
      <c r="F100" s="6" t="s">
        <v>546</v>
      </c>
      <c r="G100" s="6"/>
      <c r="H100" s="6" t="s">
        <v>547</v>
      </c>
      <c r="I100" s="7">
        <v>122</v>
      </c>
      <c r="J100" s="7">
        <v>1.5</v>
      </c>
      <c r="K100" s="7">
        <v>0.2</v>
      </c>
      <c r="L100" s="7">
        <v>12.4</v>
      </c>
      <c r="M100" s="7">
        <v>0.7</v>
      </c>
      <c r="N100" s="7">
        <v>14.7</v>
      </c>
      <c r="O100" s="7">
        <v>0.6</v>
      </c>
      <c r="P100" s="8"/>
      <c r="Q100" s="5"/>
      <c r="R100" s="6"/>
    </row>
    <row r="101" spans="1:18" ht="15" customHeight="1">
      <c r="A101" s="3" t="s">
        <v>548</v>
      </c>
      <c r="B101" s="3" t="s">
        <v>549</v>
      </c>
      <c r="C101" s="3" t="s">
        <v>550</v>
      </c>
      <c r="D101" s="3" t="s">
        <v>176</v>
      </c>
      <c r="E101" s="3" t="s">
        <v>551</v>
      </c>
      <c r="F101" s="3" t="s">
        <v>552</v>
      </c>
      <c r="G101" s="3"/>
      <c r="H101" s="3" t="s">
        <v>553</v>
      </c>
      <c r="I101" s="4">
        <v>174</v>
      </c>
      <c r="J101" s="4">
        <v>7.4</v>
      </c>
      <c r="K101" s="4">
        <v>0.7</v>
      </c>
      <c r="L101" s="4">
        <v>13.4</v>
      </c>
      <c r="M101" s="4">
        <v>0</v>
      </c>
      <c r="N101" s="4">
        <v>13.4</v>
      </c>
      <c r="O101" s="4">
        <v>1.1000000000000001</v>
      </c>
      <c r="P101" s="4"/>
      <c r="Q101" s="5"/>
      <c r="R101" s="3"/>
    </row>
    <row r="102" spans="1:18" ht="15" customHeight="1">
      <c r="A102" s="6" t="s">
        <v>554</v>
      </c>
      <c r="B102" s="6" t="s">
        <v>136</v>
      </c>
      <c r="C102" s="6" t="s">
        <v>555</v>
      </c>
      <c r="D102" s="6" t="s">
        <v>138</v>
      </c>
      <c r="E102" s="6" t="s">
        <v>556</v>
      </c>
      <c r="F102" s="6" t="s">
        <v>30</v>
      </c>
      <c r="G102" s="6"/>
      <c r="H102" s="6" t="s">
        <v>557</v>
      </c>
      <c r="I102" s="7">
        <v>153</v>
      </c>
      <c r="J102" s="7">
        <v>5.2</v>
      </c>
      <c r="K102" s="7">
        <v>0.9</v>
      </c>
      <c r="L102" s="7">
        <v>6.6</v>
      </c>
      <c r="M102" s="7">
        <v>0.2</v>
      </c>
      <c r="N102" s="7">
        <v>20</v>
      </c>
      <c r="O102" s="7">
        <v>0.7</v>
      </c>
      <c r="P102" s="8"/>
      <c r="Q102" s="5"/>
      <c r="R102" s="6"/>
    </row>
    <row r="103" spans="1:18" ht="15" customHeight="1">
      <c r="A103" s="3" t="s">
        <v>558</v>
      </c>
      <c r="B103" s="3" t="s">
        <v>136</v>
      </c>
      <c r="C103" s="3" t="s">
        <v>559</v>
      </c>
      <c r="D103" s="3" t="s">
        <v>138</v>
      </c>
      <c r="E103" s="3" t="s">
        <v>560</v>
      </c>
      <c r="F103" s="3" t="s">
        <v>561</v>
      </c>
      <c r="G103" s="3"/>
      <c r="H103" s="3" t="s">
        <v>562</v>
      </c>
      <c r="I103" s="4">
        <v>245</v>
      </c>
      <c r="J103" s="4">
        <v>12.6</v>
      </c>
      <c r="K103" s="4">
        <v>4.5</v>
      </c>
      <c r="L103" s="4">
        <v>16.5</v>
      </c>
      <c r="M103" s="4">
        <v>1.1000000000000001</v>
      </c>
      <c r="N103" s="4">
        <v>16</v>
      </c>
      <c r="O103" s="4">
        <v>1.6</v>
      </c>
      <c r="P103" s="4"/>
      <c r="Q103" s="5"/>
      <c r="R103" s="3"/>
    </row>
    <row r="104" spans="1:18" ht="15" customHeight="1">
      <c r="A104" s="6" t="s">
        <v>563</v>
      </c>
      <c r="B104" s="6" t="s">
        <v>157</v>
      </c>
      <c r="C104" s="6" t="s">
        <v>564</v>
      </c>
      <c r="D104" s="6" t="s">
        <v>138</v>
      </c>
      <c r="E104" s="6" t="s">
        <v>565</v>
      </c>
      <c r="F104" s="6"/>
      <c r="G104" s="6"/>
      <c r="H104" s="6" t="s">
        <v>566</v>
      </c>
      <c r="I104" s="7">
        <v>110</v>
      </c>
      <c r="J104" s="7">
        <v>12</v>
      </c>
      <c r="K104" s="7">
        <v>6</v>
      </c>
      <c r="L104" s="7">
        <v>12</v>
      </c>
      <c r="M104" s="7">
        <v>0.6</v>
      </c>
      <c r="N104" s="7">
        <v>12</v>
      </c>
      <c r="O104" s="7">
        <v>1.6</v>
      </c>
      <c r="P104" s="8"/>
      <c r="Q104" s="5"/>
      <c r="R104" s="6"/>
    </row>
    <row r="105" spans="1:18" ht="15" customHeight="1">
      <c r="A105" s="3" t="s">
        <v>567</v>
      </c>
      <c r="B105" s="3" t="s">
        <v>568</v>
      </c>
      <c r="C105" s="3"/>
      <c r="D105" s="3" t="s">
        <v>127</v>
      </c>
      <c r="E105" s="3" t="s">
        <v>569</v>
      </c>
      <c r="F105" s="3" t="s">
        <v>570</v>
      </c>
      <c r="G105" s="3" t="s">
        <v>571</v>
      </c>
      <c r="H105" s="3" t="s">
        <v>572</v>
      </c>
      <c r="I105" s="4">
        <v>187</v>
      </c>
      <c r="J105" s="4">
        <v>5.3</v>
      </c>
      <c r="K105" s="4">
        <v>1.3</v>
      </c>
      <c r="L105" s="4">
        <v>23</v>
      </c>
      <c r="M105" s="4">
        <v>1.4</v>
      </c>
      <c r="N105" s="4">
        <v>12</v>
      </c>
      <c r="O105" s="4">
        <v>1.3</v>
      </c>
      <c r="P105" s="4">
        <v>0.6</v>
      </c>
      <c r="Q105" s="5"/>
      <c r="R105" s="3"/>
    </row>
    <row r="106" spans="1:18" ht="15" customHeight="1">
      <c r="A106" s="6" t="s">
        <v>573</v>
      </c>
      <c r="B106" s="6" t="s">
        <v>568</v>
      </c>
      <c r="C106" s="6"/>
      <c r="D106" s="6" t="s">
        <v>391</v>
      </c>
      <c r="E106" s="6" t="s">
        <v>574</v>
      </c>
      <c r="F106" s="6" t="s">
        <v>575</v>
      </c>
      <c r="G106" s="6" t="s">
        <v>576</v>
      </c>
      <c r="H106" s="6" t="s">
        <v>577</v>
      </c>
      <c r="I106" s="7">
        <v>164</v>
      </c>
      <c r="J106" s="7">
        <v>3</v>
      </c>
      <c r="K106" s="7">
        <v>0.3</v>
      </c>
      <c r="L106" s="7">
        <v>23</v>
      </c>
      <c r="M106" s="7">
        <v>1.6</v>
      </c>
      <c r="N106" s="7">
        <v>11</v>
      </c>
      <c r="O106" s="7">
        <v>1.2</v>
      </c>
      <c r="P106" s="7">
        <v>0.7</v>
      </c>
      <c r="Q106" s="5"/>
      <c r="R106" s="6"/>
    </row>
    <row r="107" spans="1:18" ht="15" customHeight="1">
      <c r="A107" s="3" t="s">
        <v>578</v>
      </c>
      <c r="B107" s="3" t="s">
        <v>579</v>
      </c>
      <c r="C107" s="3" t="s">
        <v>580</v>
      </c>
      <c r="D107" s="3" t="s">
        <v>391</v>
      </c>
      <c r="E107" s="3" t="s">
        <v>581</v>
      </c>
      <c r="F107" s="3" t="s">
        <v>191</v>
      </c>
      <c r="G107" s="3"/>
      <c r="H107" s="3" t="s">
        <v>582</v>
      </c>
      <c r="I107" s="4">
        <v>78</v>
      </c>
      <c r="J107" s="4">
        <v>1.9</v>
      </c>
      <c r="K107" s="4">
        <v>0.3</v>
      </c>
      <c r="L107" s="4">
        <v>10</v>
      </c>
      <c r="M107" s="4">
        <v>8.3000000000000007</v>
      </c>
      <c r="N107" s="4">
        <v>3.8</v>
      </c>
      <c r="O107" s="4">
        <v>0.1</v>
      </c>
      <c r="P107" s="4">
        <v>2.2999999999999998</v>
      </c>
      <c r="Q107" s="5"/>
      <c r="R107" s="3"/>
    </row>
    <row r="108" spans="1:18" ht="15" customHeight="1">
      <c r="A108" s="6" t="s">
        <v>583</v>
      </c>
      <c r="B108" s="6" t="s">
        <v>579</v>
      </c>
      <c r="C108" s="6" t="s">
        <v>584</v>
      </c>
      <c r="D108" s="6" t="s">
        <v>391</v>
      </c>
      <c r="E108" s="6" t="s">
        <v>585</v>
      </c>
      <c r="F108" s="6" t="s">
        <v>191</v>
      </c>
      <c r="G108" s="6"/>
      <c r="H108" s="6" t="s">
        <v>586</v>
      </c>
      <c r="I108" s="7">
        <v>83</v>
      </c>
      <c r="J108" s="7">
        <v>1.8</v>
      </c>
      <c r="K108" s="7">
        <v>0.2</v>
      </c>
      <c r="L108" s="7">
        <v>12</v>
      </c>
      <c r="M108" s="7">
        <v>10</v>
      </c>
      <c r="N108" s="7">
        <v>3.6</v>
      </c>
      <c r="O108" s="7">
        <v>0.1</v>
      </c>
      <c r="P108" s="7">
        <v>2.1</v>
      </c>
      <c r="Q108" s="5"/>
      <c r="R108" s="6"/>
    </row>
    <row r="109" spans="1:18" ht="15" customHeight="1">
      <c r="A109" s="3" t="s">
        <v>587</v>
      </c>
      <c r="B109" s="3" t="s">
        <v>568</v>
      </c>
      <c r="C109" s="3"/>
      <c r="D109" s="3" t="s">
        <v>110</v>
      </c>
      <c r="E109" s="3" t="s">
        <v>588</v>
      </c>
      <c r="F109" s="3" t="s">
        <v>105</v>
      </c>
      <c r="G109" s="3"/>
      <c r="H109" s="3" t="s">
        <v>589</v>
      </c>
      <c r="I109" s="4">
        <v>45</v>
      </c>
      <c r="J109" s="4">
        <v>2</v>
      </c>
      <c r="K109" s="4">
        <v>1.1000000000000001</v>
      </c>
      <c r="L109" s="4">
        <v>4.9000000000000004</v>
      </c>
      <c r="M109" s="4">
        <v>1.6</v>
      </c>
      <c r="N109" s="4">
        <v>1.9</v>
      </c>
      <c r="O109" s="4">
        <v>0.1</v>
      </c>
      <c r="P109" s="4">
        <v>0</v>
      </c>
      <c r="Q109" s="5"/>
      <c r="R109" s="3"/>
    </row>
    <row r="110" spans="1:18" ht="15" customHeight="1">
      <c r="A110" s="6" t="s">
        <v>590</v>
      </c>
      <c r="B110" s="6" t="s">
        <v>568</v>
      </c>
      <c r="C110" s="6"/>
      <c r="D110" s="6" t="s">
        <v>110</v>
      </c>
      <c r="E110" s="6" t="s">
        <v>591</v>
      </c>
      <c r="F110" s="6" t="s">
        <v>105</v>
      </c>
      <c r="G110" s="6"/>
      <c r="H110" s="6" t="s">
        <v>592</v>
      </c>
      <c r="I110" s="7">
        <v>48</v>
      </c>
      <c r="J110" s="7">
        <v>2</v>
      </c>
      <c r="K110" s="7">
        <v>1.1000000000000001</v>
      </c>
      <c r="L110" s="7">
        <v>5.7</v>
      </c>
      <c r="M110" s="7">
        <v>2.5</v>
      </c>
      <c r="N110" s="7">
        <v>1.9</v>
      </c>
      <c r="O110" s="7">
        <v>0.1</v>
      </c>
      <c r="P110" s="7">
        <v>0</v>
      </c>
      <c r="Q110" s="5"/>
      <c r="R110" s="6"/>
    </row>
    <row r="111" spans="1:18" ht="15" customHeight="1">
      <c r="A111" s="3" t="s">
        <v>593</v>
      </c>
      <c r="B111" s="3" t="s">
        <v>224</v>
      </c>
      <c r="C111" s="3" t="s">
        <v>594</v>
      </c>
      <c r="D111" s="3" t="s">
        <v>226</v>
      </c>
      <c r="E111" s="3" t="s">
        <v>595</v>
      </c>
      <c r="F111" s="3"/>
      <c r="G111" s="3"/>
      <c r="H111" s="3" t="s">
        <v>596</v>
      </c>
      <c r="I111" s="4">
        <v>23</v>
      </c>
      <c r="J111" s="4">
        <v>0.3</v>
      </c>
      <c r="K111" s="4">
        <v>0.1</v>
      </c>
      <c r="L111" s="4">
        <v>3.3</v>
      </c>
      <c r="M111" s="4">
        <v>3</v>
      </c>
      <c r="N111" s="4">
        <v>1</v>
      </c>
      <c r="O111" s="4">
        <v>0</v>
      </c>
      <c r="P111" s="4">
        <v>1.3</v>
      </c>
      <c r="Q111" s="5"/>
      <c r="R111" s="3"/>
    </row>
    <row r="112" spans="1:18" ht="15" customHeight="1">
      <c r="A112" s="6" t="s">
        <v>597</v>
      </c>
      <c r="B112" s="6" t="s">
        <v>224</v>
      </c>
      <c r="C112" s="6" t="s">
        <v>598</v>
      </c>
      <c r="D112" s="6" t="s">
        <v>226</v>
      </c>
      <c r="E112" s="6" t="s">
        <v>599</v>
      </c>
      <c r="F112" s="6"/>
      <c r="G112" s="6"/>
      <c r="H112" s="6" t="s">
        <v>234</v>
      </c>
      <c r="I112" s="7">
        <v>57</v>
      </c>
      <c r="J112" s="7">
        <v>2.4</v>
      </c>
      <c r="K112" s="7">
        <v>0.5</v>
      </c>
      <c r="L112" s="7">
        <v>5.2</v>
      </c>
      <c r="M112" s="7">
        <v>3.8</v>
      </c>
      <c r="N112" s="7">
        <v>2</v>
      </c>
      <c r="O112" s="7">
        <v>0.2</v>
      </c>
      <c r="P112" s="7">
        <v>3.1</v>
      </c>
      <c r="Q112" s="5"/>
      <c r="R112" s="6"/>
    </row>
    <row r="113" spans="1:18" ht="15" customHeight="1">
      <c r="A113" s="3" t="s">
        <v>600</v>
      </c>
      <c r="B113" s="3" t="s">
        <v>224</v>
      </c>
      <c r="C113" s="3" t="s">
        <v>601</v>
      </c>
      <c r="D113" s="3" t="s">
        <v>226</v>
      </c>
      <c r="E113" s="3" t="s">
        <v>602</v>
      </c>
      <c r="F113" s="3"/>
      <c r="G113" s="3"/>
      <c r="H113" s="3" t="s">
        <v>603</v>
      </c>
      <c r="I113" s="4">
        <v>30</v>
      </c>
      <c r="J113" s="4">
        <v>0.4</v>
      </c>
      <c r="K113" s="4">
        <v>0.1</v>
      </c>
      <c r="L113" s="4">
        <v>4.4000000000000004</v>
      </c>
      <c r="M113" s="4">
        <v>4.2</v>
      </c>
      <c r="N113" s="4">
        <v>0.6</v>
      </c>
      <c r="O113" s="4">
        <v>0.1</v>
      </c>
      <c r="P113" s="4">
        <v>3.2</v>
      </c>
      <c r="Q113" s="5"/>
      <c r="R113" s="3"/>
    </row>
    <row r="114" spans="1:18" ht="15" customHeight="1">
      <c r="A114" s="6" t="s">
        <v>604</v>
      </c>
      <c r="B114" s="6" t="s">
        <v>224</v>
      </c>
      <c r="C114" s="6" t="s">
        <v>605</v>
      </c>
      <c r="D114" s="6" t="s">
        <v>226</v>
      </c>
      <c r="E114" s="6" t="s">
        <v>606</v>
      </c>
      <c r="F114" s="6"/>
      <c r="G114" s="6"/>
      <c r="H114" s="6" t="s">
        <v>607</v>
      </c>
      <c r="I114" s="7">
        <v>28</v>
      </c>
      <c r="J114" s="7">
        <v>0.4</v>
      </c>
      <c r="K114" s="7">
        <v>0.1</v>
      </c>
      <c r="L114" s="7">
        <v>4.3</v>
      </c>
      <c r="M114" s="7">
        <v>4.0999999999999996</v>
      </c>
      <c r="N114" s="7">
        <v>0.6</v>
      </c>
      <c r="O114" s="7">
        <v>0.1</v>
      </c>
      <c r="P114" s="7">
        <v>2.2999999999999998</v>
      </c>
      <c r="Q114" s="5"/>
      <c r="R114" s="6"/>
    </row>
    <row r="115" spans="1:18" ht="15" customHeight="1">
      <c r="A115" s="3" t="s">
        <v>608</v>
      </c>
      <c r="B115" s="3" t="s">
        <v>224</v>
      </c>
      <c r="C115" s="3" t="s">
        <v>609</v>
      </c>
      <c r="D115" s="3" t="s">
        <v>226</v>
      </c>
      <c r="E115" s="3" t="s">
        <v>610</v>
      </c>
      <c r="F115" s="3"/>
      <c r="G115" s="3"/>
      <c r="H115" s="3" t="s">
        <v>611</v>
      </c>
      <c r="I115" s="4">
        <v>28</v>
      </c>
      <c r="J115" s="4">
        <v>0.4</v>
      </c>
      <c r="K115" s="4">
        <v>0.1</v>
      </c>
      <c r="L115" s="4">
        <v>4.5</v>
      </c>
      <c r="M115" s="4">
        <v>4.3</v>
      </c>
      <c r="N115" s="4">
        <v>0.9</v>
      </c>
      <c r="O115" s="4">
        <v>0</v>
      </c>
      <c r="P115" s="4">
        <v>1.6</v>
      </c>
      <c r="Q115" s="5"/>
      <c r="R115" s="3"/>
    </row>
    <row r="116" spans="1:18" ht="15" customHeight="1">
      <c r="A116" s="6" t="s">
        <v>612</v>
      </c>
      <c r="B116" s="6" t="s">
        <v>613</v>
      </c>
      <c r="C116" s="6" t="s">
        <v>614</v>
      </c>
      <c r="D116" s="6" t="s">
        <v>285</v>
      </c>
      <c r="E116" s="6" t="s">
        <v>615</v>
      </c>
      <c r="F116" s="6"/>
      <c r="G116" s="6"/>
      <c r="H116" s="6" t="s">
        <v>616</v>
      </c>
      <c r="I116" s="7">
        <v>28</v>
      </c>
      <c r="J116" s="7">
        <v>0.1</v>
      </c>
      <c r="K116" s="7">
        <v>0</v>
      </c>
      <c r="L116" s="7">
        <v>5</v>
      </c>
      <c r="M116" s="7">
        <v>3.4</v>
      </c>
      <c r="N116" s="7">
        <v>1.5</v>
      </c>
      <c r="O116" s="7">
        <v>0</v>
      </c>
      <c r="P116" s="8"/>
      <c r="Q116" s="5"/>
      <c r="R116" s="6"/>
    </row>
    <row r="117" spans="1:18" ht="15" customHeight="1">
      <c r="A117" s="3" t="s">
        <v>617</v>
      </c>
      <c r="B117" s="3" t="s">
        <v>224</v>
      </c>
      <c r="C117" s="3" t="s">
        <v>618</v>
      </c>
      <c r="D117" s="3" t="s">
        <v>226</v>
      </c>
      <c r="E117" s="3" t="s">
        <v>619</v>
      </c>
      <c r="F117" s="3"/>
      <c r="G117" s="3"/>
      <c r="H117" s="3" t="s">
        <v>620</v>
      </c>
      <c r="I117" s="4">
        <v>60</v>
      </c>
      <c r="J117" s="4">
        <v>2.8</v>
      </c>
      <c r="K117" s="4">
        <v>0.4</v>
      </c>
      <c r="L117" s="4">
        <v>4.8</v>
      </c>
      <c r="M117" s="4">
        <v>2.9</v>
      </c>
      <c r="N117" s="4">
        <v>2.2000000000000002</v>
      </c>
      <c r="O117" s="4">
        <v>0</v>
      </c>
      <c r="P117" s="4">
        <v>3</v>
      </c>
      <c r="Q117" s="5"/>
      <c r="R117" s="3"/>
    </row>
    <row r="118" spans="1:18" ht="15" customHeight="1">
      <c r="A118" s="6" t="s">
        <v>621</v>
      </c>
      <c r="B118" s="6" t="s">
        <v>357</v>
      </c>
      <c r="C118" s="6" t="s">
        <v>622</v>
      </c>
      <c r="D118" s="6" t="s">
        <v>237</v>
      </c>
      <c r="E118" s="6" t="s">
        <v>623</v>
      </c>
      <c r="F118" s="6"/>
      <c r="G118" s="6"/>
      <c r="H118" s="6" t="s">
        <v>624</v>
      </c>
      <c r="I118" s="7">
        <v>141</v>
      </c>
      <c r="J118" s="7">
        <v>4.7</v>
      </c>
      <c r="K118" s="7">
        <v>0.6</v>
      </c>
      <c r="L118" s="7">
        <v>21</v>
      </c>
      <c r="M118" s="7">
        <v>11</v>
      </c>
      <c r="N118" s="7">
        <v>1.7</v>
      </c>
      <c r="O118" s="7">
        <v>0.1</v>
      </c>
      <c r="P118" s="7">
        <v>3.7</v>
      </c>
      <c r="Q118" s="5"/>
      <c r="R118" s="6"/>
    </row>
    <row r="119" spans="1:18" ht="15" customHeight="1">
      <c r="A119" s="3" t="s">
        <v>625</v>
      </c>
      <c r="B119" s="3" t="s">
        <v>245</v>
      </c>
      <c r="C119" s="3" t="s">
        <v>626</v>
      </c>
      <c r="D119" s="3" t="s">
        <v>247</v>
      </c>
      <c r="E119" s="3" t="s">
        <v>627</v>
      </c>
      <c r="F119" s="3" t="s">
        <v>133</v>
      </c>
      <c r="G119" s="3"/>
      <c r="H119" s="3" t="s">
        <v>628</v>
      </c>
      <c r="I119" s="4">
        <v>557</v>
      </c>
      <c r="J119" s="4">
        <v>60</v>
      </c>
      <c r="K119" s="4">
        <v>3.9</v>
      </c>
      <c r="L119" s="4">
        <v>5.4</v>
      </c>
      <c r="M119" s="4">
        <v>3.6</v>
      </c>
      <c r="N119" s="4"/>
      <c r="O119" s="4">
        <v>1.2</v>
      </c>
      <c r="P119" s="4"/>
      <c r="Q119" s="5"/>
      <c r="R119" s="3"/>
    </row>
    <row r="120" spans="1:18" ht="15" customHeight="1">
      <c r="A120" s="6" t="s">
        <v>629</v>
      </c>
      <c r="B120" s="6" t="s">
        <v>245</v>
      </c>
      <c r="C120" s="6" t="s">
        <v>630</v>
      </c>
      <c r="D120" s="6" t="s">
        <v>247</v>
      </c>
      <c r="E120" s="6" t="s">
        <v>631</v>
      </c>
      <c r="F120" s="6" t="s">
        <v>133</v>
      </c>
      <c r="G120" s="6"/>
      <c r="H120" s="6" t="s">
        <v>632</v>
      </c>
      <c r="I120" s="7">
        <v>574</v>
      </c>
      <c r="J120" s="7">
        <v>62</v>
      </c>
      <c r="K120" s="7">
        <v>4.0999999999999996</v>
      </c>
      <c r="L120" s="7">
        <v>5.4</v>
      </c>
      <c r="M120" s="7">
        <v>3</v>
      </c>
      <c r="N120" s="8"/>
      <c r="O120" s="7">
        <v>2.4</v>
      </c>
      <c r="P120" s="8"/>
      <c r="Q120" s="5"/>
      <c r="R120" s="6"/>
    </row>
    <row r="121" spans="1:18" ht="15" customHeight="1">
      <c r="A121" s="3" t="s">
        <v>633</v>
      </c>
      <c r="B121" s="3" t="s">
        <v>245</v>
      </c>
      <c r="C121" s="3" t="s">
        <v>634</v>
      </c>
      <c r="D121" s="3" t="s">
        <v>247</v>
      </c>
      <c r="E121" s="3" t="s">
        <v>635</v>
      </c>
      <c r="F121" s="3" t="s">
        <v>133</v>
      </c>
      <c r="G121" s="3"/>
      <c r="H121" s="3" t="s">
        <v>636</v>
      </c>
      <c r="I121" s="4">
        <v>400</v>
      </c>
      <c r="J121" s="4">
        <v>40</v>
      </c>
      <c r="K121" s="4">
        <v>2.6</v>
      </c>
      <c r="L121" s="4">
        <v>11</v>
      </c>
      <c r="M121" s="4">
        <v>8.4</v>
      </c>
      <c r="N121" s="4"/>
      <c r="O121" s="4">
        <v>0.9</v>
      </c>
      <c r="P121" s="4"/>
      <c r="Q121" s="5"/>
      <c r="R121" s="3"/>
    </row>
    <row r="122" spans="1:18" ht="15" customHeight="1">
      <c r="A122" s="6" t="s">
        <v>637</v>
      </c>
      <c r="B122" s="6" t="s">
        <v>638</v>
      </c>
      <c r="C122" s="6" t="s">
        <v>639</v>
      </c>
      <c r="D122" s="6" t="s">
        <v>247</v>
      </c>
      <c r="E122" s="6" t="s">
        <v>640</v>
      </c>
      <c r="F122" s="6"/>
      <c r="G122" s="6" t="s">
        <v>641</v>
      </c>
      <c r="H122" s="6" t="s">
        <v>642</v>
      </c>
      <c r="I122" s="7">
        <v>97</v>
      </c>
      <c r="J122" s="7">
        <v>0.1</v>
      </c>
      <c r="K122" s="7">
        <v>0</v>
      </c>
      <c r="L122" s="7">
        <v>21.5</v>
      </c>
      <c r="M122" s="7">
        <v>18.2</v>
      </c>
      <c r="N122" s="7">
        <v>1.2</v>
      </c>
      <c r="O122" s="7">
        <v>2.5</v>
      </c>
      <c r="P122" s="8"/>
      <c r="Q122" s="5"/>
      <c r="R122" s="6"/>
    </row>
    <row r="123" spans="1:18" ht="15" customHeight="1">
      <c r="A123" s="3" t="s">
        <v>643</v>
      </c>
      <c r="B123" s="3" t="s">
        <v>638</v>
      </c>
      <c r="C123" s="3" t="s">
        <v>644</v>
      </c>
      <c r="D123" s="3" t="s">
        <v>247</v>
      </c>
      <c r="E123" s="3" t="s">
        <v>645</v>
      </c>
      <c r="F123" s="3" t="s">
        <v>646</v>
      </c>
      <c r="G123" s="3" t="s">
        <v>647</v>
      </c>
      <c r="H123" s="3" t="s">
        <v>648</v>
      </c>
      <c r="I123" s="4">
        <v>628</v>
      </c>
      <c r="J123" s="4">
        <v>70</v>
      </c>
      <c r="K123" s="4">
        <v>5.2</v>
      </c>
      <c r="L123" s="4">
        <v>1.6</v>
      </c>
      <c r="M123" s="4">
        <v>0.9</v>
      </c>
      <c r="N123" s="4"/>
      <c r="O123" s="4">
        <v>0.5</v>
      </c>
      <c r="P123" s="4"/>
      <c r="Q123" s="5"/>
      <c r="R123" s="3"/>
    </row>
    <row r="124" spans="1:18" ht="15" customHeight="1">
      <c r="A124" s="6" t="s">
        <v>649</v>
      </c>
      <c r="B124" s="6" t="s">
        <v>650</v>
      </c>
      <c r="C124" s="6" t="s">
        <v>651</v>
      </c>
      <c r="D124" s="6" t="s">
        <v>261</v>
      </c>
      <c r="E124" s="6" t="s">
        <v>652</v>
      </c>
      <c r="F124" s="6"/>
      <c r="G124" s="6"/>
      <c r="H124" s="6" t="s">
        <v>653</v>
      </c>
      <c r="I124" s="7">
        <v>478</v>
      </c>
      <c r="J124" s="7">
        <v>29.4</v>
      </c>
      <c r="K124" s="7">
        <v>12.7</v>
      </c>
      <c r="L124" s="7">
        <v>47</v>
      </c>
      <c r="M124" s="7">
        <v>19.399999999999999</v>
      </c>
      <c r="N124" s="7">
        <v>4.8</v>
      </c>
      <c r="O124" s="7">
        <v>9.4</v>
      </c>
      <c r="P124" s="7">
        <v>3.3</v>
      </c>
      <c r="Q124" s="5"/>
      <c r="R124" s="6"/>
    </row>
    <row r="125" spans="1:18" ht="15" customHeight="1">
      <c r="A125" s="3" t="s">
        <v>654</v>
      </c>
      <c r="B125" s="3" t="s">
        <v>655</v>
      </c>
      <c r="C125" s="3" t="s">
        <v>656</v>
      </c>
      <c r="D125" s="3" t="s">
        <v>261</v>
      </c>
      <c r="E125" s="3" t="s">
        <v>657</v>
      </c>
      <c r="F125" s="3" t="s">
        <v>123</v>
      </c>
      <c r="G125" s="3"/>
      <c r="H125" s="3" t="s">
        <v>658</v>
      </c>
      <c r="I125" s="4">
        <v>361</v>
      </c>
      <c r="J125" s="4">
        <v>8.6</v>
      </c>
      <c r="K125" s="4">
        <v>3.6</v>
      </c>
      <c r="L125" s="4">
        <v>65.3</v>
      </c>
      <c r="M125" s="4">
        <v>4</v>
      </c>
      <c r="N125" s="4">
        <v>5.6</v>
      </c>
      <c r="O125" s="4">
        <v>11.3</v>
      </c>
      <c r="P125" s="4">
        <v>0.3</v>
      </c>
      <c r="Q125" s="5"/>
      <c r="R125" s="3"/>
    </row>
    <row r="126" spans="1:18" ht="15" customHeight="1">
      <c r="A126" s="6" t="s">
        <v>659</v>
      </c>
      <c r="B126" s="6" t="s">
        <v>655</v>
      </c>
      <c r="C126" s="6" t="s">
        <v>660</v>
      </c>
      <c r="D126" s="6" t="s">
        <v>261</v>
      </c>
      <c r="E126" s="6" t="s">
        <v>661</v>
      </c>
      <c r="F126" s="6"/>
      <c r="G126" s="6"/>
      <c r="H126" s="6" t="s">
        <v>662</v>
      </c>
      <c r="I126" s="7">
        <v>278</v>
      </c>
      <c r="J126" s="7">
        <v>1.3</v>
      </c>
      <c r="K126" s="7">
        <v>0.1</v>
      </c>
      <c r="L126" s="7">
        <v>52.6</v>
      </c>
      <c r="M126" s="7">
        <v>36.5</v>
      </c>
      <c r="N126" s="7">
        <v>13.8</v>
      </c>
      <c r="O126" s="7">
        <v>27</v>
      </c>
      <c r="P126" s="7">
        <v>0.4</v>
      </c>
      <c r="Q126" s="5"/>
      <c r="R126" s="6"/>
    </row>
    <row r="127" spans="1:18" ht="15" customHeight="1">
      <c r="A127" s="3" t="s">
        <v>663</v>
      </c>
      <c r="B127" s="3" t="s">
        <v>664</v>
      </c>
      <c r="C127" s="3"/>
      <c r="D127" s="3" t="s">
        <v>247</v>
      </c>
      <c r="E127" s="3" t="s">
        <v>665</v>
      </c>
      <c r="F127" s="3" t="s">
        <v>228</v>
      </c>
      <c r="G127" s="3"/>
      <c r="H127" s="3" t="s">
        <v>666</v>
      </c>
      <c r="I127" s="4">
        <v>123</v>
      </c>
      <c r="J127" s="4">
        <v>0</v>
      </c>
      <c r="K127" s="4">
        <v>0</v>
      </c>
      <c r="L127" s="4">
        <v>29</v>
      </c>
      <c r="M127" s="4">
        <v>25</v>
      </c>
      <c r="N127" s="4">
        <v>0.6</v>
      </c>
      <c r="O127" s="4">
        <v>3.1</v>
      </c>
      <c r="P127" s="4">
        <v>0</v>
      </c>
      <c r="Q127" s="5"/>
      <c r="R127" s="3"/>
    </row>
    <row r="128" spans="1:18" ht="15" customHeight="1">
      <c r="A128" s="6" t="s">
        <v>667</v>
      </c>
      <c r="B128" s="6" t="s">
        <v>668</v>
      </c>
      <c r="C128" s="6" t="s">
        <v>669</v>
      </c>
      <c r="D128" s="6" t="s">
        <v>670</v>
      </c>
      <c r="E128" s="6" t="s">
        <v>671</v>
      </c>
      <c r="F128" s="6" t="s">
        <v>105</v>
      </c>
      <c r="G128" s="6"/>
      <c r="H128" s="6" t="s">
        <v>672</v>
      </c>
      <c r="I128" s="7">
        <v>67</v>
      </c>
      <c r="J128" s="7">
        <v>3.9</v>
      </c>
      <c r="K128" s="7">
        <v>2.2999999999999998</v>
      </c>
      <c r="L128" s="7">
        <v>4.7</v>
      </c>
      <c r="M128" s="7">
        <v>4.7</v>
      </c>
      <c r="N128" s="7">
        <v>3.3</v>
      </c>
      <c r="O128" s="7">
        <v>0.1</v>
      </c>
      <c r="P128" s="7">
        <v>0</v>
      </c>
      <c r="Q128" s="5"/>
      <c r="R128" s="6"/>
    </row>
    <row r="129" spans="1:18" ht="15" customHeight="1">
      <c r="A129" s="3" t="s">
        <v>673</v>
      </c>
      <c r="B129" s="3" t="s">
        <v>668</v>
      </c>
      <c r="C129" s="3" t="s">
        <v>674</v>
      </c>
      <c r="D129" s="3" t="s">
        <v>670</v>
      </c>
      <c r="E129" s="3" t="s">
        <v>675</v>
      </c>
      <c r="F129" s="3" t="s">
        <v>105</v>
      </c>
      <c r="G129" s="3"/>
      <c r="H129" s="3" t="s">
        <v>676</v>
      </c>
      <c r="I129" s="4">
        <v>46</v>
      </c>
      <c r="J129" s="4">
        <v>1.5</v>
      </c>
      <c r="K129" s="4">
        <v>0.9</v>
      </c>
      <c r="L129" s="4">
        <v>4.7</v>
      </c>
      <c r="M129" s="4">
        <v>4.7</v>
      </c>
      <c r="N129" s="4">
        <v>3.4</v>
      </c>
      <c r="O129" s="4">
        <v>0.1</v>
      </c>
      <c r="P129" s="4">
        <v>0</v>
      </c>
      <c r="Q129" s="5"/>
      <c r="R129" s="3"/>
    </row>
    <row r="130" spans="1:18" ht="15" customHeight="1">
      <c r="A130" s="6" t="s">
        <v>677</v>
      </c>
      <c r="B130" s="6" t="s">
        <v>272</v>
      </c>
      <c r="C130" s="6" t="s">
        <v>678</v>
      </c>
      <c r="D130" s="6" t="s">
        <v>274</v>
      </c>
      <c r="E130" s="6" t="s">
        <v>679</v>
      </c>
      <c r="F130" s="6"/>
      <c r="G130" s="6" t="s">
        <v>276</v>
      </c>
      <c r="H130" s="6" t="s">
        <v>680</v>
      </c>
      <c r="I130" s="7">
        <v>243</v>
      </c>
      <c r="J130" s="7">
        <v>1.2</v>
      </c>
      <c r="K130" s="7">
        <v>0.4</v>
      </c>
      <c r="L130" s="7">
        <v>81</v>
      </c>
      <c r="M130" s="7">
        <v>2.2000000000000002</v>
      </c>
      <c r="N130" s="7">
        <v>4</v>
      </c>
      <c r="O130" s="7">
        <v>0</v>
      </c>
      <c r="P130" s="8"/>
      <c r="Q130" s="5"/>
      <c r="R130" s="6"/>
    </row>
    <row r="131" spans="1:18" ht="15" customHeight="1">
      <c r="A131" s="3" t="s">
        <v>681</v>
      </c>
      <c r="B131" s="3" t="s">
        <v>272</v>
      </c>
      <c r="C131" s="3" t="s">
        <v>682</v>
      </c>
      <c r="D131" s="3" t="s">
        <v>274</v>
      </c>
      <c r="E131" s="3" t="s">
        <v>683</v>
      </c>
      <c r="F131" s="3"/>
      <c r="G131" s="3" t="s">
        <v>276</v>
      </c>
      <c r="H131" s="3" t="s">
        <v>684</v>
      </c>
      <c r="I131" s="4">
        <v>386</v>
      </c>
      <c r="J131" s="4">
        <v>3.3</v>
      </c>
      <c r="K131" s="4">
        <v>1</v>
      </c>
      <c r="L131" s="4">
        <v>65</v>
      </c>
      <c r="M131" s="4">
        <v>0.6</v>
      </c>
      <c r="N131" s="4">
        <v>11</v>
      </c>
      <c r="O131" s="4">
        <v>0.1</v>
      </c>
      <c r="P131" s="4"/>
      <c r="Q131" s="5"/>
      <c r="R131" s="3"/>
    </row>
    <row r="132" spans="1:18" ht="15" customHeight="1">
      <c r="A132" s="6" t="s">
        <v>685</v>
      </c>
      <c r="B132" s="6" t="s">
        <v>272</v>
      </c>
      <c r="C132" s="6" t="s">
        <v>686</v>
      </c>
      <c r="D132" s="6" t="s">
        <v>274</v>
      </c>
      <c r="E132" s="6" t="s">
        <v>687</v>
      </c>
      <c r="F132" s="6"/>
      <c r="G132" s="6" t="s">
        <v>276</v>
      </c>
      <c r="H132" s="6" t="s">
        <v>688</v>
      </c>
      <c r="I132" s="7">
        <v>480</v>
      </c>
      <c r="J132" s="7">
        <v>10</v>
      </c>
      <c r="K132" s="7">
        <v>2.7</v>
      </c>
      <c r="L132" s="7">
        <v>64</v>
      </c>
      <c r="M132" s="7">
        <v>4.0999999999999996</v>
      </c>
      <c r="N132" s="7">
        <v>11</v>
      </c>
      <c r="O132" s="7">
        <v>0</v>
      </c>
      <c r="P132" s="8"/>
      <c r="Q132" s="5"/>
      <c r="R132" s="6"/>
    </row>
    <row r="133" spans="1:18" ht="15" customHeight="1">
      <c r="A133" s="3" t="s">
        <v>689</v>
      </c>
      <c r="B133" s="3" t="s">
        <v>668</v>
      </c>
      <c r="C133" s="3" t="s">
        <v>690</v>
      </c>
      <c r="D133" s="3" t="s">
        <v>670</v>
      </c>
      <c r="E133" s="3" t="s">
        <v>691</v>
      </c>
      <c r="F133" s="3" t="s">
        <v>105</v>
      </c>
      <c r="G133" s="3"/>
      <c r="H133" s="3" t="s">
        <v>692</v>
      </c>
      <c r="I133" s="4">
        <v>64</v>
      </c>
      <c r="J133" s="4">
        <v>3.9</v>
      </c>
      <c r="K133" s="4">
        <v>2.2999999999999998</v>
      </c>
      <c r="L133" s="4">
        <v>3.7</v>
      </c>
      <c r="M133" s="4">
        <v>3.7</v>
      </c>
      <c r="N133" s="4">
        <v>3.4</v>
      </c>
      <c r="O133" s="4">
        <v>0.1</v>
      </c>
      <c r="P133" s="4"/>
      <c r="Q133" s="5"/>
      <c r="R133" s="3"/>
    </row>
    <row r="134" spans="1:18" ht="15" customHeight="1">
      <c r="A134" s="6" t="s">
        <v>693</v>
      </c>
      <c r="B134" s="6" t="s">
        <v>694</v>
      </c>
      <c r="C134" s="6" t="s">
        <v>695</v>
      </c>
      <c r="D134" s="6" t="s">
        <v>670</v>
      </c>
      <c r="E134" s="6" t="s">
        <v>696</v>
      </c>
      <c r="F134" s="6" t="s">
        <v>105</v>
      </c>
      <c r="G134" s="6"/>
      <c r="H134" s="6" t="s">
        <v>697</v>
      </c>
      <c r="I134" s="7">
        <v>301</v>
      </c>
      <c r="J134" s="7">
        <v>21</v>
      </c>
      <c r="K134" s="7">
        <v>12</v>
      </c>
      <c r="L134" s="7">
        <v>3.2</v>
      </c>
      <c r="M134" s="7">
        <v>1</v>
      </c>
      <c r="N134" s="7">
        <v>24</v>
      </c>
      <c r="O134" s="7">
        <v>1.4</v>
      </c>
      <c r="P134" s="7">
        <v>0</v>
      </c>
      <c r="Q134" s="5"/>
      <c r="R134" s="6"/>
    </row>
    <row r="135" spans="1:18" ht="15" customHeight="1">
      <c r="A135" s="3" t="s">
        <v>698</v>
      </c>
      <c r="B135" s="3" t="s">
        <v>699</v>
      </c>
      <c r="C135" s="3" t="s">
        <v>700</v>
      </c>
      <c r="D135" s="3" t="s">
        <v>43</v>
      </c>
      <c r="E135" s="3" t="s">
        <v>701</v>
      </c>
      <c r="F135" s="3" t="s">
        <v>30</v>
      </c>
      <c r="G135" s="3" t="s">
        <v>702</v>
      </c>
      <c r="H135" s="3" t="s">
        <v>703</v>
      </c>
      <c r="I135" s="4">
        <v>267</v>
      </c>
      <c r="J135" s="4">
        <v>2.4</v>
      </c>
      <c r="K135" s="4">
        <v>0.4</v>
      </c>
      <c r="L135" s="4">
        <v>51.1</v>
      </c>
      <c r="M135" s="4">
        <v>0.5</v>
      </c>
      <c r="N135" s="4">
        <v>8.9</v>
      </c>
      <c r="O135" s="4">
        <v>1.625</v>
      </c>
      <c r="P135" s="4">
        <v>2.2999999999999998</v>
      </c>
      <c r="Q135" s="5"/>
      <c r="R135" s="3"/>
    </row>
    <row r="136" spans="1:18" ht="15" customHeight="1">
      <c r="A136" s="6" t="s">
        <v>704</v>
      </c>
      <c r="B136" s="6" t="s">
        <v>613</v>
      </c>
      <c r="C136" s="6" t="s">
        <v>705</v>
      </c>
      <c r="D136" s="6" t="s">
        <v>291</v>
      </c>
      <c r="E136" s="6" t="s">
        <v>706</v>
      </c>
      <c r="F136" s="6" t="s">
        <v>453</v>
      </c>
      <c r="G136" s="6"/>
      <c r="H136" s="6" t="s">
        <v>707</v>
      </c>
      <c r="I136" s="7">
        <v>121</v>
      </c>
      <c r="J136" s="7">
        <v>0.52</v>
      </c>
      <c r="K136" s="7">
        <v>9.2999999999999999E-2</v>
      </c>
      <c r="L136" s="7">
        <v>27.91</v>
      </c>
      <c r="M136" s="7">
        <v>0.14000000000000001</v>
      </c>
      <c r="N136" s="7">
        <v>2.48</v>
      </c>
      <c r="O136" s="7">
        <v>0</v>
      </c>
      <c r="P136" s="7">
        <v>3.8</v>
      </c>
      <c r="Q136" s="5"/>
      <c r="R136" s="6"/>
    </row>
    <row r="137" spans="1:18" ht="15" customHeight="1">
      <c r="A137" s="3" t="s">
        <v>708</v>
      </c>
      <c r="B137" s="3" t="s">
        <v>709</v>
      </c>
      <c r="C137" s="3" t="s">
        <v>710</v>
      </c>
      <c r="D137" s="3" t="s">
        <v>670</v>
      </c>
      <c r="E137" s="3" t="s">
        <v>711</v>
      </c>
      <c r="F137" s="3" t="s">
        <v>712</v>
      </c>
      <c r="G137" s="3"/>
      <c r="H137" s="3" t="s">
        <v>713</v>
      </c>
      <c r="I137" s="4">
        <v>235</v>
      </c>
      <c r="J137" s="4">
        <v>18</v>
      </c>
      <c r="K137" s="4">
        <v>10</v>
      </c>
      <c r="L137" s="4">
        <v>0.3</v>
      </c>
      <c r="M137" s="4">
        <v>0.2</v>
      </c>
      <c r="N137" s="4">
        <v>19</v>
      </c>
      <c r="O137" s="4">
        <v>2.8</v>
      </c>
      <c r="P137" s="4">
        <v>0</v>
      </c>
      <c r="Q137" s="5"/>
      <c r="R137" s="3"/>
    </row>
    <row r="138" spans="1:18" ht="15" customHeight="1">
      <c r="A138" s="6" t="s">
        <v>714</v>
      </c>
      <c r="B138" s="6" t="s">
        <v>715</v>
      </c>
      <c r="C138" s="6" t="s">
        <v>716</v>
      </c>
      <c r="D138" s="6" t="s">
        <v>127</v>
      </c>
      <c r="E138" s="6" t="s">
        <v>717</v>
      </c>
      <c r="F138" s="6" t="s">
        <v>129</v>
      </c>
      <c r="G138" s="6"/>
      <c r="H138" s="6" t="s">
        <v>718</v>
      </c>
      <c r="I138" s="7">
        <v>190</v>
      </c>
      <c r="J138" s="7">
        <v>11</v>
      </c>
      <c r="K138" s="7">
        <v>6.4</v>
      </c>
      <c r="L138" s="7">
        <v>2.7</v>
      </c>
      <c r="M138" s="7">
        <v>0.1</v>
      </c>
      <c r="N138" s="7">
        <v>20</v>
      </c>
      <c r="O138" s="7">
        <v>1.4</v>
      </c>
      <c r="P138" s="7">
        <v>0</v>
      </c>
      <c r="Q138" s="5"/>
      <c r="R138" s="6"/>
    </row>
    <row r="139" spans="1:18" ht="15" customHeight="1">
      <c r="A139" s="3" t="s">
        <v>719</v>
      </c>
      <c r="B139" s="3" t="s">
        <v>450</v>
      </c>
      <c r="C139" s="3" t="s">
        <v>720</v>
      </c>
      <c r="D139" s="3" t="s">
        <v>183</v>
      </c>
      <c r="E139" s="3" t="s">
        <v>721</v>
      </c>
      <c r="F139" s="3" t="s">
        <v>453</v>
      </c>
      <c r="G139" s="3" t="s">
        <v>480</v>
      </c>
      <c r="H139" s="3" t="s">
        <v>722</v>
      </c>
      <c r="I139" s="4">
        <v>215</v>
      </c>
      <c r="J139" s="4">
        <v>2</v>
      </c>
      <c r="K139" s="4">
        <v>0.3</v>
      </c>
      <c r="L139" s="4">
        <v>36.9</v>
      </c>
      <c r="M139" s="4">
        <v>1.4</v>
      </c>
      <c r="N139" s="4">
        <v>8.4</v>
      </c>
      <c r="O139" s="4">
        <v>0.9</v>
      </c>
      <c r="P139" s="4">
        <v>7.7</v>
      </c>
      <c r="Q139" s="5"/>
      <c r="R139" s="3"/>
    </row>
    <row r="140" spans="1:18" ht="15" customHeight="1">
      <c r="A140" s="6" t="s">
        <v>723</v>
      </c>
      <c r="B140" s="6" t="s">
        <v>724</v>
      </c>
      <c r="C140" s="6"/>
      <c r="D140" s="6" t="s">
        <v>725</v>
      </c>
      <c r="E140" s="6" t="s">
        <v>723</v>
      </c>
      <c r="F140" s="6"/>
      <c r="G140" s="6"/>
      <c r="H140" s="6"/>
      <c r="I140" s="7">
        <v>52</v>
      </c>
      <c r="J140" s="7">
        <v>0.2</v>
      </c>
      <c r="K140" s="7">
        <v>0</v>
      </c>
      <c r="L140" s="7">
        <v>13.8</v>
      </c>
      <c r="M140" s="7">
        <v>10.4</v>
      </c>
      <c r="N140" s="7">
        <v>0.3</v>
      </c>
      <c r="O140" s="7">
        <v>0</v>
      </c>
      <c r="P140" s="7">
        <v>2.4</v>
      </c>
      <c r="Q140" s="5"/>
      <c r="R140" s="6"/>
    </row>
    <row r="141" spans="1:18" ht="15" customHeight="1">
      <c r="A141" s="3" t="s">
        <v>726</v>
      </c>
      <c r="B141" s="3" t="s">
        <v>724</v>
      </c>
      <c r="C141" s="3"/>
      <c r="D141" s="3" t="s">
        <v>725</v>
      </c>
      <c r="E141" s="3" t="s">
        <v>726</v>
      </c>
      <c r="F141" s="3"/>
      <c r="G141" s="3"/>
      <c r="H141" s="3"/>
      <c r="I141" s="4">
        <v>89</v>
      </c>
      <c r="J141" s="4">
        <v>0.3</v>
      </c>
      <c r="K141" s="4">
        <v>0.1</v>
      </c>
      <c r="L141" s="4">
        <v>23</v>
      </c>
      <c r="M141" s="4">
        <v>12.2</v>
      </c>
      <c r="N141" s="4">
        <v>1.1000000000000001</v>
      </c>
      <c r="O141" s="4">
        <v>0</v>
      </c>
      <c r="P141" s="4">
        <v>2.6</v>
      </c>
      <c r="Q141" s="5"/>
      <c r="R141" s="3"/>
    </row>
    <row r="142" spans="1:18" ht="15" customHeight="1">
      <c r="A142" s="6" t="s">
        <v>727</v>
      </c>
      <c r="B142" s="6" t="s">
        <v>724</v>
      </c>
      <c r="C142" s="6"/>
      <c r="D142" s="6" t="s">
        <v>725</v>
      </c>
      <c r="E142" s="6" t="s">
        <v>727</v>
      </c>
      <c r="F142" s="6"/>
      <c r="G142" s="6"/>
      <c r="H142" s="6"/>
      <c r="I142" s="7">
        <v>57</v>
      </c>
      <c r="J142" s="7">
        <v>0.1</v>
      </c>
      <c r="K142" s="7">
        <v>0</v>
      </c>
      <c r="L142" s="7">
        <v>15.2</v>
      </c>
      <c r="M142" s="7">
        <v>9.8000000000000007</v>
      </c>
      <c r="N142" s="7">
        <v>0.4</v>
      </c>
      <c r="O142" s="7">
        <v>0</v>
      </c>
      <c r="P142" s="7">
        <v>3.1</v>
      </c>
      <c r="Q142" s="5"/>
      <c r="R142" s="6"/>
    </row>
    <row r="143" spans="1:18" ht="15" customHeight="1">
      <c r="A143" s="3" t="s">
        <v>728</v>
      </c>
      <c r="B143" s="3" t="s">
        <v>724</v>
      </c>
      <c r="C143" s="3"/>
      <c r="D143" s="3" t="s">
        <v>725</v>
      </c>
      <c r="E143" s="3" t="s">
        <v>728</v>
      </c>
      <c r="F143" s="3"/>
      <c r="G143" s="3"/>
      <c r="H143" s="3"/>
      <c r="I143" s="4">
        <v>69</v>
      </c>
      <c r="J143" s="4">
        <v>0.2</v>
      </c>
      <c r="K143" s="4">
        <v>0</v>
      </c>
      <c r="L143" s="4">
        <v>18.100000000000001</v>
      </c>
      <c r="M143" s="4">
        <v>15.5</v>
      </c>
      <c r="N143" s="4">
        <v>0.6</v>
      </c>
      <c r="O143" s="4">
        <v>0</v>
      </c>
      <c r="P143" s="4">
        <v>0.9</v>
      </c>
      <c r="Q143" s="5"/>
      <c r="R143" s="3"/>
    </row>
    <row r="144" spans="1:18" ht="15" customHeight="1">
      <c r="A144" s="6" t="s">
        <v>729</v>
      </c>
      <c r="B144" s="6" t="s">
        <v>724</v>
      </c>
      <c r="C144" s="6"/>
      <c r="D144" s="6" t="s">
        <v>725</v>
      </c>
      <c r="E144" s="6" t="s">
        <v>729</v>
      </c>
      <c r="F144" s="6"/>
      <c r="G144" s="6"/>
      <c r="H144" s="6"/>
      <c r="I144" s="7">
        <v>30</v>
      </c>
      <c r="J144" s="7">
        <v>0.2</v>
      </c>
      <c r="K144" s="7">
        <v>0</v>
      </c>
      <c r="L144" s="7">
        <v>7.6</v>
      </c>
      <c r="M144" s="7">
        <v>6.2</v>
      </c>
      <c r="N144" s="7">
        <v>0.6</v>
      </c>
      <c r="O144" s="7">
        <v>0</v>
      </c>
      <c r="P144" s="7">
        <v>0.4</v>
      </c>
      <c r="Q144" s="5"/>
      <c r="R144" s="6"/>
    </row>
    <row r="145" spans="1:18" ht="15" customHeight="1">
      <c r="A145" s="3" t="s">
        <v>730</v>
      </c>
      <c r="B145" s="3" t="s">
        <v>724</v>
      </c>
      <c r="C145" s="3"/>
      <c r="D145" s="3" t="s">
        <v>725</v>
      </c>
      <c r="E145" s="3" t="s">
        <v>730</v>
      </c>
      <c r="F145" s="3"/>
      <c r="G145" s="3"/>
      <c r="H145" s="3"/>
      <c r="I145" s="4">
        <v>47</v>
      </c>
      <c r="J145" s="4">
        <v>0.1</v>
      </c>
      <c r="K145" s="4">
        <v>0</v>
      </c>
      <c r="L145" s="4">
        <v>11.8</v>
      </c>
      <c r="M145" s="4">
        <v>9.4</v>
      </c>
      <c r="N145" s="4">
        <v>0.9</v>
      </c>
      <c r="O145" s="4">
        <v>0</v>
      </c>
      <c r="P145" s="4">
        <v>2.4</v>
      </c>
      <c r="Q145" s="5"/>
      <c r="R145" s="3"/>
    </row>
    <row r="146" spans="1:18" ht="15" customHeight="1">
      <c r="A146" s="6" t="s">
        <v>731</v>
      </c>
      <c r="B146" s="6" t="s">
        <v>732</v>
      </c>
      <c r="C146" s="6" t="s">
        <v>733</v>
      </c>
      <c r="D146" s="6" t="s">
        <v>43</v>
      </c>
      <c r="E146" s="6" t="s">
        <v>734</v>
      </c>
      <c r="F146" s="6" t="s">
        <v>735</v>
      </c>
      <c r="G146" s="6"/>
      <c r="H146" s="6" t="s">
        <v>736</v>
      </c>
      <c r="I146" s="7">
        <v>270</v>
      </c>
      <c r="J146" s="7">
        <v>5.2</v>
      </c>
      <c r="K146" s="7">
        <v>0.7</v>
      </c>
      <c r="L146" s="7">
        <v>40</v>
      </c>
      <c r="M146" s="7">
        <v>2.6</v>
      </c>
      <c r="N146" s="7">
        <v>12</v>
      </c>
      <c r="O146" s="7">
        <v>0.99</v>
      </c>
      <c r="P146" s="7">
        <v>6</v>
      </c>
      <c r="Q146" s="5"/>
      <c r="R146" s="6"/>
    </row>
    <row r="147" spans="1:18" ht="15" customHeight="1">
      <c r="A147" s="3" t="s">
        <v>737</v>
      </c>
      <c r="B147" s="3"/>
      <c r="C147" s="3"/>
      <c r="D147" s="3" t="s">
        <v>524</v>
      </c>
      <c r="E147" s="3" t="s">
        <v>738</v>
      </c>
      <c r="F147" s="3" t="s">
        <v>123</v>
      </c>
      <c r="G147" s="3"/>
      <c r="H147" s="3"/>
      <c r="I147" s="4">
        <v>41</v>
      </c>
      <c r="J147" s="4">
        <v>0.2</v>
      </c>
      <c r="K147" s="4">
        <v>0</v>
      </c>
      <c r="L147" s="4">
        <v>9.6</v>
      </c>
      <c r="M147" s="4">
        <v>4.7</v>
      </c>
      <c r="N147" s="4">
        <v>0.9</v>
      </c>
      <c r="O147" s="4">
        <v>7.0000000000000007E-2</v>
      </c>
      <c r="P147" s="4">
        <v>2.8</v>
      </c>
      <c r="Q147" s="5"/>
      <c r="R147" s="3"/>
    </row>
    <row r="148" spans="1:18" ht="15" customHeight="1">
      <c r="A148" s="6" t="s">
        <v>739</v>
      </c>
      <c r="B148" s="6"/>
      <c r="C148" s="6"/>
      <c r="D148" s="6" t="s">
        <v>524</v>
      </c>
      <c r="E148" s="6" t="s">
        <v>530</v>
      </c>
      <c r="F148" s="6" t="s">
        <v>123</v>
      </c>
      <c r="G148" s="6"/>
      <c r="H148" s="6"/>
      <c r="I148" s="7">
        <v>77</v>
      </c>
      <c r="J148" s="7">
        <v>0.1</v>
      </c>
      <c r="K148" s="7">
        <v>0</v>
      </c>
      <c r="L148" s="7">
        <v>17</v>
      </c>
      <c r="M148" s="7">
        <v>0.8</v>
      </c>
      <c r="N148" s="7">
        <v>2</v>
      </c>
      <c r="O148" s="7">
        <v>6.0000000000000001E-3</v>
      </c>
      <c r="P148" s="7">
        <v>2.2000000000000002</v>
      </c>
      <c r="Q148" s="5"/>
      <c r="R148" s="6"/>
    </row>
    <row r="149" spans="1:18" ht="15" customHeight="1">
      <c r="A149" s="3" t="s">
        <v>740</v>
      </c>
      <c r="B149" s="3"/>
      <c r="C149" s="3"/>
      <c r="D149" s="3" t="s">
        <v>524</v>
      </c>
      <c r="E149" s="3" t="s">
        <v>741</v>
      </c>
      <c r="F149" s="3" t="s">
        <v>123</v>
      </c>
      <c r="G149" s="3"/>
      <c r="H149" s="3"/>
      <c r="I149" s="4">
        <v>40</v>
      </c>
      <c r="J149" s="4">
        <v>0.1</v>
      </c>
      <c r="K149" s="4">
        <v>0</v>
      </c>
      <c r="L149" s="4">
        <v>9.3000000000000007</v>
      </c>
      <c r="M149" s="4">
        <v>4.2</v>
      </c>
      <c r="N149" s="4">
        <v>1.1000000000000001</v>
      </c>
      <c r="O149" s="4">
        <v>4.0000000000000001E-3</v>
      </c>
      <c r="P149" s="4">
        <v>1.7</v>
      </c>
      <c r="Q149" s="5"/>
      <c r="R149" s="3"/>
    </row>
    <row r="150" spans="1:18" ht="15" customHeight="1">
      <c r="A150" s="6" t="s">
        <v>742</v>
      </c>
      <c r="B150" s="6"/>
      <c r="C150" s="6"/>
      <c r="D150" s="6" t="s">
        <v>524</v>
      </c>
      <c r="E150" s="6" t="s">
        <v>743</v>
      </c>
      <c r="F150" s="6" t="s">
        <v>123</v>
      </c>
      <c r="G150" s="6"/>
      <c r="H150" s="6"/>
      <c r="I150" s="7">
        <v>61</v>
      </c>
      <c r="J150" s="7">
        <v>0.3</v>
      </c>
      <c r="K150" s="7">
        <v>0</v>
      </c>
      <c r="L150" s="7">
        <v>14.2</v>
      </c>
      <c r="M150" s="7">
        <v>3.9</v>
      </c>
      <c r="N150" s="7">
        <v>1.5</v>
      </c>
      <c r="O150" s="7">
        <v>0.02</v>
      </c>
      <c r="P150" s="7">
        <v>1.8</v>
      </c>
      <c r="Q150" s="5"/>
      <c r="R150" s="6"/>
    </row>
    <row r="151" spans="1:18" ht="15" customHeight="1">
      <c r="A151" s="3" t="s">
        <v>744</v>
      </c>
      <c r="B151" s="3"/>
      <c r="C151" s="3"/>
      <c r="D151" s="3" t="s">
        <v>524</v>
      </c>
      <c r="E151" s="3" t="s">
        <v>228</v>
      </c>
      <c r="F151" s="3" t="s">
        <v>228</v>
      </c>
      <c r="G151" s="3"/>
      <c r="H151" s="3"/>
      <c r="I151" s="4">
        <v>16</v>
      </c>
      <c r="J151" s="4">
        <v>0.2</v>
      </c>
      <c r="K151" s="4">
        <v>0</v>
      </c>
      <c r="L151" s="4">
        <v>3</v>
      </c>
      <c r="M151" s="4">
        <v>1.3</v>
      </c>
      <c r="N151" s="4">
        <v>0.7</v>
      </c>
      <c r="O151" s="4">
        <v>0.08</v>
      </c>
      <c r="P151" s="4">
        <v>1.6</v>
      </c>
      <c r="Q151" s="5"/>
      <c r="R151" s="3"/>
    </row>
    <row r="152" spans="1:18" ht="15" customHeight="1">
      <c r="A152" s="6" t="s">
        <v>745</v>
      </c>
      <c r="B152" s="6"/>
      <c r="C152" s="6"/>
      <c r="D152" s="6" t="s">
        <v>484</v>
      </c>
      <c r="E152" s="6" t="s">
        <v>746</v>
      </c>
      <c r="F152" s="6" t="s">
        <v>123</v>
      </c>
      <c r="G152" s="6"/>
      <c r="H152" s="6"/>
      <c r="I152" s="7">
        <v>149</v>
      </c>
      <c r="J152" s="7">
        <v>0.5</v>
      </c>
      <c r="K152" s="7">
        <v>0.1</v>
      </c>
      <c r="L152" s="7">
        <v>33.1</v>
      </c>
      <c r="M152" s="7">
        <v>1</v>
      </c>
      <c r="N152" s="7">
        <v>6.4</v>
      </c>
      <c r="O152" s="7">
        <v>0.02</v>
      </c>
      <c r="P152" s="7">
        <v>2.1</v>
      </c>
      <c r="Q152" s="5"/>
      <c r="R152" s="6"/>
    </row>
    <row r="153" spans="1:18" ht="15" customHeight="1">
      <c r="A153" s="3" t="s">
        <v>747</v>
      </c>
      <c r="B153" s="3"/>
      <c r="C153" s="3"/>
      <c r="D153" s="3" t="s">
        <v>297</v>
      </c>
      <c r="E153" s="3" t="s">
        <v>747</v>
      </c>
      <c r="F153" s="3" t="s">
        <v>123</v>
      </c>
      <c r="G153" s="3"/>
      <c r="H153" s="3"/>
      <c r="I153" s="4">
        <v>900</v>
      </c>
      <c r="J153" s="4">
        <v>100</v>
      </c>
      <c r="K153" s="4">
        <v>11</v>
      </c>
      <c r="L153" s="4">
        <v>0</v>
      </c>
      <c r="M153" s="4">
        <v>0</v>
      </c>
      <c r="N153" s="4">
        <v>0</v>
      </c>
      <c r="O153" s="4">
        <v>0</v>
      </c>
      <c r="P153" s="4">
        <v>0</v>
      </c>
      <c r="Q153" s="5"/>
      <c r="R153" s="3"/>
    </row>
    <row r="154" spans="1:18" ht="15" customHeight="1">
      <c r="A154" s="6" t="s">
        <v>748</v>
      </c>
      <c r="B154" s="6"/>
      <c r="C154" s="6"/>
      <c r="D154" s="6" t="s">
        <v>297</v>
      </c>
      <c r="E154" s="6" t="s">
        <v>748</v>
      </c>
      <c r="F154" s="6" t="s">
        <v>123</v>
      </c>
      <c r="G154" s="6"/>
      <c r="H154" s="6"/>
      <c r="I154" s="7">
        <v>0</v>
      </c>
      <c r="J154" s="7">
        <v>0</v>
      </c>
      <c r="K154" s="7">
        <v>0</v>
      </c>
      <c r="L154" s="7">
        <v>0</v>
      </c>
      <c r="M154" s="7">
        <v>0</v>
      </c>
      <c r="N154" s="7">
        <v>0</v>
      </c>
      <c r="O154" s="7">
        <v>0</v>
      </c>
      <c r="P154" s="7">
        <v>0</v>
      </c>
      <c r="Q154" s="5"/>
      <c r="R154" s="6"/>
    </row>
    <row r="155" spans="1:18" ht="15" customHeight="1">
      <c r="A155" s="3" t="s">
        <v>365</v>
      </c>
      <c r="B155" s="3" t="s">
        <v>136</v>
      </c>
      <c r="C155" s="3" t="s">
        <v>366</v>
      </c>
      <c r="D155" s="3" t="s">
        <v>127</v>
      </c>
      <c r="E155" s="3" t="s">
        <v>367</v>
      </c>
      <c r="F155" s="3"/>
      <c r="G155" s="3"/>
      <c r="H155" s="3"/>
      <c r="I155" s="4">
        <v>85</v>
      </c>
      <c r="J155" s="4">
        <v>0.8</v>
      </c>
      <c r="K155" s="4">
        <v>0.3</v>
      </c>
      <c r="L155" s="4">
        <v>1.8</v>
      </c>
      <c r="M155" s="4">
        <v>1.7</v>
      </c>
      <c r="N155" s="4">
        <v>16</v>
      </c>
      <c r="O155" s="4">
        <v>2.6</v>
      </c>
      <c r="P155" s="4"/>
      <c r="Q155" s="5"/>
      <c r="R155" s="3"/>
    </row>
    <row r="156" spans="1:18" ht="15" customHeight="1">
      <c r="A156" s="6" t="s">
        <v>749</v>
      </c>
      <c r="B156" s="6"/>
      <c r="C156" s="6"/>
      <c r="D156" s="6" t="s">
        <v>297</v>
      </c>
      <c r="E156" s="6" t="s">
        <v>750</v>
      </c>
      <c r="F156" s="6" t="s">
        <v>30</v>
      </c>
      <c r="G156" s="6" t="s">
        <v>751</v>
      </c>
      <c r="H156" s="6" t="s">
        <v>752</v>
      </c>
      <c r="I156" s="7">
        <v>353</v>
      </c>
      <c r="J156" s="7">
        <v>1.2</v>
      </c>
      <c r="K156" s="7">
        <v>0.2</v>
      </c>
      <c r="L156" s="7">
        <v>72</v>
      </c>
      <c r="M156" s="7">
        <v>2.5</v>
      </c>
      <c r="N156" s="7">
        <v>12</v>
      </c>
      <c r="O156" s="7">
        <v>0</v>
      </c>
      <c r="P156" s="7">
        <v>3</v>
      </c>
      <c r="Q156" s="5"/>
      <c r="R156" s="6"/>
    </row>
    <row r="157" spans="1:18" ht="15" customHeight="1">
      <c r="A157" s="3" t="s">
        <v>753</v>
      </c>
      <c r="B157" s="3"/>
      <c r="C157" s="3"/>
      <c r="D157" s="3" t="s">
        <v>127</v>
      </c>
      <c r="E157" s="3" t="s">
        <v>754</v>
      </c>
      <c r="F157" s="3" t="s">
        <v>228</v>
      </c>
      <c r="G157" s="3"/>
      <c r="H157" s="3"/>
      <c r="I157" s="4">
        <v>96</v>
      </c>
      <c r="J157" s="4">
        <v>5.2</v>
      </c>
      <c r="K157" s="4">
        <v>1.9</v>
      </c>
      <c r="L157" s="4">
        <v>5.5</v>
      </c>
      <c r="M157" s="4">
        <v>3.4</v>
      </c>
      <c r="N157" s="4">
        <v>8.6</v>
      </c>
      <c r="O157" s="4">
        <v>0.9</v>
      </c>
      <c r="P157" s="4">
        <v>1.1000000000000001</v>
      </c>
      <c r="Q157" s="5"/>
      <c r="R157" s="3"/>
    </row>
    <row r="158" spans="1:18" ht="15" customHeight="1">
      <c r="A158" s="6" t="s">
        <v>755</v>
      </c>
      <c r="B158" s="6"/>
      <c r="C158" s="6"/>
      <c r="D158" s="6" t="s">
        <v>391</v>
      </c>
      <c r="E158" s="6" t="s">
        <v>756</v>
      </c>
      <c r="F158" s="6" t="s">
        <v>757</v>
      </c>
      <c r="G158" s="6"/>
      <c r="H158" s="6"/>
      <c r="I158" s="7">
        <v>72</v>
      </c>
      <c r="J158" s="7">
        <v>3.3</v>
      </c>
      <c r="K158" s="7">
        <v>0.4</v>
      </c>
      <c r="L158" s="7">
        <v>6</v>
      </c>
      <c r="M158" s="7">
        <v>3.3</v>
      </c>
      <c r="N158" s="7">
        <v>5.6</v>
      </c>
      <c r="O158" s="7">
        <v>0.7</v>
      </c>
      <c r="P158" s="7">
        <v>2.5</v>
      </c>
      <c r="Q158" s="5"/>
      <c r="R158" s="6"/>
    </row>
    <row r="159" spans="1:18" ht="15" customHeight="1">
      <c r="A159" s="3" t="s">
        <v>758</v>
      </c>
      <c r="B159" s="3"/>
      <c r="C159" s="3"/>
      <c r="D159" s="3" t="s">
        <v>759</v>
      </c>
      <c r="E159" s="3" t="s">
        <v>760</v>
      </c>
      <c r="F159" s="3" t="s">
        <v>761</v>
      </c>
      <c r="G159" s="3" t="s">
        <v>762</v>
      </c>
      <c r="H159" s="3"/>
      <c r="I159" s="4">
        <v>148</v>
      </c>
      <c r="J159" s="4">
        <v>9.6</v>
      </c>
      <c r="K159" s="4">
        <v>0.7</v>
      </c>
      <c r="L159" s="4">
        <v>32</v>
      </c>
      <c r="M159" s="4">
        <v>1.9</v>
      </c>
      <c r="N159" s="4">
        <v>5.5</v>
      </c>
      <c r="O159" s="4">
        <v>0.3</v>
      </c>
      <c r="P159" s="4">
        <v>1.5</v>
      </c>
      <c r="Q159" s="5"/>
      <c r="R159" s="3"/>
    </row>
    <row r="160" spans="1:18" ht="15" customHeight="1">
      <c r="A160" s="6" t="s">
        <v>763</v>
      </c>
      <c r="B160" s="6"/>
      <c r="C160" s="6"/>
      <c r="D160" s="6" t="s">
        <v>169</v>
      </c>
      <c r="E160" s="6" t="s">
        <v>763</v>
      </c>
      <c r="F160" s="6" t="s">
        <v>541</v>
      </c>
      <c r="G160" s="6"/>
      <c r="H160" s="6"/>
      <c r="I160" s="7">
        <v>100</v>
      </c>
      <c r="J160" s="7">
        <v>0.7</v>
      </c>
      <c r="K160" s="7">
        <v>0.1</v>
      </c>
      <c r="L160" s="7">
        <v>0</v>
      </c>
      <c r="M160" s="7">
        <v>0</v>
      </c>
      <c r="N160" s="7">
        <v>23</v>
      </c>
      <c r="O160" s="7">
        <v>0.3</v>
      </c>
      <c r="P160" s="7">
        <v>0</v>
      </c>
      <c r="Q160" s="5"/>
      <c r="R160" s="6"/>
    </row>
    <row r="161" spans="1:18" ht="15" customHeight="1">
      <c r="A161" s="3" t="s">
        <v>764</v>
      </c>
      <c r="B161" s="3"/>
      <c r="C161" s="3"/>
      <c r="D161" s="3" t="s">
        <v>247</v>
      </c>
      <c r="E161" s="3" t="s">
        <v>765</v>
      </c>
      <c r="F161" s="3" t="s">
        <v>133</v>
      </c>
      <c r="G161" s="3"/>
      <c r="H161" s="3"/>
      <c r="I161" s="4">
        <v>277</v>
      </c>
      <c r="J161" s="4">
        <v>14.1</v>
      </c>
      <c r="K161" s="4">
        <v>1.1000000000000001</v>
      </c>
      <c r="L161" s="4">
        <v>14.6</v>
      </c>
      <c r="M161" s="4">
        <v>12.5</v>
      </c>
      <c r="N161" s="4">
        <v>0.9</v>
      </c>
      <c r="O161" s="4">
        <v>1.8</v>
      </c>
      <c r="P161" s="4">
        <v>0</v>
      </c>
      <c r="Q161" s="5"/>
      <c r="R161" s="3"/>
    </row>
    <row r="162" spans="1:18" ht="15" customHeight="1">
      <c r="A162" s="6" t="s">
        <v>766</v>
      </c>
      <c r="B162" s="6" t="s">
        <v>767</v>
      </c>
      <c r="C162" s="6" t="s">
        <v>768</v>
      </c>
      <c r="D162" s="6" t="s">
        <v>769</v>
      </c>
      <c r="E162" s="6" t="s">
        <v>770</v>
      </c>
      <c r="F162" s="6" t="s">
        <v>228</v>
      </c>
      <c r="G162" s="6"/>
      <c r="H162" s="6"/>
      <c r="I162" s="7">
        <v>170</v>
      </c>
      <c r="J162" s="7">
        <v>8.3000000000000007</v>
      </c>
      <c r="K162" s="7">
        <v>2.1</v>
      </c>
      <c r="L162" s="7">
        <v>11.9</v>
      </c>
      <c r="M162" s="7">
        <v>2</v>
      </c>
      <c r="N162" s="7">
        <v>11.4</v>
      </c>
      <c r="O162" s="7">
        <v>3.3</v>
      </c>
      <c r="P162" s="7">
        <v>0.8</v>
      </c>
      <c r="Q162" s="5"/>
      <c r="R162" s="6"/>
    </row>
    <row r="163" spans="1:18" ht="15" customHeight="1">
      <c r="A163" s="3" t="s">
        <v>771</v>
      </c>
      <c r="B163" s="3" t="s">
        <v>772</v>
      </c>
      <c r="C163" s="3" t="s">
        <v>773</v>
      </c>
      <c r="D163" s="3" t="s">
        <v>498</v>
      </c>
      <c r="E163" s="3" t="s">
        <v>774</v>
      </c>
      <c r="F163" s="3" t="s">
        <v>123</v>
      </c>
      <c r="G163" s="3"/>
      <c r="H163" s="3"/>
      <c r="I163" s="4">
        <v>101.1</v>
      </c>
      <c r="J163" s="4">
        <v>4.4000000000000004</v>
      </c>
      <c r="K163" s="4">
        <v>0.9</v>
      </c>
      <c r="L163" s="4">
        <v>9.1</v>
      </c>
      <c r="M163" s="4">
        <v>2.4</v>
      </c>
      <c r="N163" s="4">
        <v>6.4</v>
      </c>
      <c r="O163" s="4">
        <v>1.1000000000000001</v>
      </c>
      <c r="P163" s="4">
        <v>1.5</v>
      </c>
      <c r="Q163" s="5"/>
      <c r="R163" s="3"/>
    </row>
    <row r="164" spans="1:18" ht="15" customHeight="1">
      <c r="A164" s="6" t="s">
        <v>775</v>
      </c>
      <c r="B164" s="6" t="s">
        <v>776</v>
      </c>
      <c r="C164" s="6"/>
      <c r="D164" s="6" t="s">
        <v>777</v>
      </c>
      <c r="E164" s="6" t="s">
        <v>778</v>
      </c>
      <c r="F164" s="6" t="s">
        <v>228</v>
      </c>
      <c r="G164" s="6"/>
      <c r="H164" s="6"/>
      <c r="I164" s="7">
        <v>94</v>
      </c>
      <c r="J164" s="7">
        <v>7.2</v>
      </c>
      <c r="K164" s="7">
        <v>2.67</v>
      </c>
      <c r="L164" s="7">
        <v>11.6</v>
      </c>
      <c r="M164" s="7">
        <v>3.3</v>
      </c>
      <c r="N164" s="7">
        <v>5.9</v>
      </c>
      <c r="O164" s="7">
        <v>1.81</v>
      </c>
      <c r="P164" s="7">
        <v>1.5</v>
      </c>
      <c r="Q164" s="5"/>
      <c r="R164" s="6"/>
    </row>
    <row r="165" spans="1:18" ht="15" customHeight="1">
      <c r="A165" s="3" t="s">
        <v>779</v>
      </c>
      <c r="B165" s="3" t="s">
        <v>772</v>
      </c>
      <c r="C165" s="3"/>
      <c r="D165" s="3" t="s">
        <v>780</v>
      </c>
      <c r="E165" s="3" t="s">
        <v>781</v>
      </c>
      <c r="F165" s="3" t="s">
        <v>228</v>
      </c>
      <c r="G165" s="3"/>
      <c r="H165" s="3"/>
      <c r="I165" s="4">
        <v>112</v>
      </c>
      <c r="J165" s="4">
        <v>4.8</v>
      </c>
      <c r="K165" s="4">
        <v>1.52</v>
      </c>
      <c r="L165" s="4">
        <v>9.5</v>
      </c>
      <c r="M165" s="4">
        <v>1.8</v>
      </c>
      <c r="N165" s="4">
        <v>8.1999999999999993</v>
      </c>
      <c r="O165" s="4">
        <v>0.66</v>
      </c>
      <c r="P165" s="4">
        <v>1.2</v>
      </c>
      <c r="Q165" s="5"/>
      <c r="R165" s="3"/>
    </row>
    <row r="166" spans="1:18" ht="15" customHeight="1">
      <c r="A166" s="6" t="s">
        <v>782</v>
      </c>
      <c r="B166" s="6" t="s">
        <v>772</v>
      </c>
      <c r="C166" s="6"/>
      <c r="D166" s="6" t="s">
        <v>780</v>
      </c>
      <c r="E166" s="6" t="s">
        <v>783</v>
      </c>
      <c r="F166" s="6" t="s">
        <v>123</v>
      </c>
      <c r="G166" s="6"/>
      <c r="H166" s="6"/>
      <c r="I166" s="7">
        <v>127</v>
      </c>
      <c r="J166" s="7">
        <v>8.9</v>
      </c>
      <c r="K166" s="7">
        <v>3.7</v>
      </c>
      <c r="L166" s="7">
        <v>5.7</v>
      </c>
      <c r="M166" s="7">
        <v>2.4</v>
      </c>
      <c r="N166" s="7">
        <v>6.8</v>
      </c>
      <c r="O166" s="7">
        <v>1.08</v>
      </c>
      <c r="P166" s="7">
        <v>1</v>
      </c>
      <c r="Q166" s="5"/>
      <c r="R166" s="6"/>
    </row>
    <row r="167" spans="1:18" ht="15" customHeight="1">
      <c r="A167" s="3" t="s">
        <v>784</v>
      </c>
      <c r="B167" s="3" t="s">
        <v>772</v>
      </c>
      <c r="C167" s="3"/>
      <c r="D167" s="3" t="s">
        <v>780</v>
      </c>
      <c r="E167" s="3" t="s">
        <v>785</v>
      </c>
      <c r="F167" s="3" t="s">
        <v>786</v>
      </c>
      <c r="G167" s="3"/>
      <c r="H167" s="3"/>
      <c r="I167" s="4">
        <v>147</v>
      </c>
      <c r="J167" s="4">
        <v>9.6</v>
      </c>
      <c r="K167" s="4">
        <v>2.95</v>
      </c>
      <c r="L167" s="4">
        <v>5.0999999999999996</v>
      </c>
      <c r="M167" s="4">
        <v>4</v>
      </c>
      <c r="N167" s="4">
        <v>10.3</v>
      </c>
      <c r="O167" s="4">
        <v>1.42</v>
      </c>
      <c r="P167" s="4">
        <v>0.4</v>
      </c>
      <c r="Q167" s="5"/>
      <c r="R167" s="3"/>
    </row>
    <row r="168" spans="1:18" ht="15" customHeight="1">
      <c r="A168" s="6" t="s">
        <v>787</v>
      </c>
      <c r="B168" s="6" t="s">
        <v>772</v>
      </c>
      <c r="C168" s="6"/>
      <c r="D168" s="6" t="s">
        <v>788</v>
      </c>
      <c r="E168" s="6" t="s">
        <v>789</v>
      </c>
      <c r="F168" s="6" t="s">
        <v>67</v>
      </c>
      <c r="G168" s="6"/>
      <c r="H168" s="6"/>
      <c r="I168" s="7">
        <v>147</v>
      </c>
      <c r="J168" s="7">
        <v>7.2</v>
      </c>
      <c r="K168" s="7">
        <v>3.59</v>
      </c>
      <c r="L168" s="7">
        <v>13.6</v>
      </c>
      <c r="M168" s="7">
        <v>2.2000000000000002</v>
      </c>
      <c r="N168" s="7">
        <v>6.9</v>
      </c>
      <c r="O168" s="7">
        <v>0.45</v>
      </c>
      <c r="P168" s="7">
        <v>1</v>
      </c>
      <c r="Q168" s="5"/>
      <c r="R168" s="6"/>
    </row>
    <row r="169" spans="1:18" ht="15" customHeight="1">
      <c r="A169" s="3" t="s">
        <v>790</v>
      </c>
      <c r="B169" s="3" t="s">
        <v>218</v>
      </c>
      <c r="C169" s="3"/>
      <c r="D169" s="3" t="s">
        <v>498</v>
      </c>
      <c r="E169" s="3" t="s">
        <v>791</v>
      </c>
      <c r="F169" s="3"/>
      <c r="G169" s="3"/>
      <c r="H169" s="3" t="s">
        <v>792</v>
      </c>
      <c r="I169" s="4">
        <v>40</v>
      </c>
      <c r="J169" s="4">
        <v>1</v>
      </c>
      <c r="K169" s="4">
        <v>0.3</v>
      </c>
      <c r="L169" s="4">
        <v>6.6</v>
      </c>
      <c r="M169" s="4">
        <v>4.5</v>
      </c>
      <c r="N169" s="4">
        <v>0.5</v>
      </c>
      <c r="O169" s="4">
        <v>0.8</v>
      </c>
      <c r="P169" s="4"/>
      <c r="Q169" s="5"/>
      <c r="R169" s="3"/>
    </row>
    <row r="170" spans="1:18" ht="15" customHeight="1">
      <c r="A170" s="9"/>
      <c r="B170" s="9"/>
      <c r="C170" s="9"/>
      <c r="D170" s="9"/>
      <c r="E170" s="9"/>
      <c r="F170" s="9"/>
      <c r="G170" s="9"/>
      <c r="H170" s="9"/>
      <c r="I170" s="10"/>
      <c r="J170" s="10"/>
      <c r="K170" s="10"/>
      <c r="L170" s="10"/>
      <c r="M170" s="10"/>
      <c r="N170" s="10"/>
      <c r="O170" s="10"/>
      <c r="P170" s="10"/>
      <c r="Q170" s="11"/>
      <c r="R170" s="9"/>
    </row>
    <row r="171" spans="1:18" ht="15" customHeight="1">
      <c r="A171" s="12"/>
      <c r="B171" s="12"/>
      <c r="C171" s="12"/>
      <c r="D171" s="12"/>
      <c r="E171" s="12"/>
      <c r="F171" s="12"/>
      <c r="G171" s="12"/>
      <c r="H171" s="12"/>
      <c r="I171" s="13"/>
      <c r="J171" s="13"/>
      <c r="K171" s="13"/>
      <c r="L171" s="13"/>
      <c r="M171" s="13"/>
      <c r="N171" s="13"/>
      <c r="O171" s="13"/>
      <c r="P171" s="13"/>
      <c r="Q171" s="11"/>
      <c r="R171" s="12"/>
    </row>
    <row r="172" spans="1:18" ht="15" customHeight="1">
      <c r="A172" s="9"/>
      <c r="B172" s="9"/>
      <c r="C172" s="9"/>
      <c r="D172" s="9"/>
      <c r="E172" s="9"/>
      <c r="F172" s="9"/>
      <c r="G172" s="9"/>
      <c r="H172" s="9"/>
      <c r="I172" s="10"/>
      <c r="J172" s="10"/>
      <c r="K172" s="10"/>
      <c r="L172" s="10"/>
      <c r="M172" s="10"/>
      <c r="N172" s="10"/>
      <c r="O172" s="10"/>
      <c r="P172" s="10"/>
      <c r="Q172" s="11"/>
      <c r="R172" s="9"/>
    </row>
    <row r="173" spans="1:18" ht="15" customHeight="1">
      <c r="A173" s="12"/>
      <c r="B173" s="12"/>
      <c r="C173" s="12"/>
      <c r="D173" s="12"/>
      <c r="E173" s="12"/>
      <c r="F173" s="12"/>
      <c r="G173" s="12"/>
      <c r="H173" s="12"/>
      <c r="I173" s="13"/>
      <c r="J173" s="13"/>
      <c r="K173" s="13"/>
      <c r="L173" s="13"/>
      <c r="M173" s="13"/>
      <c r="N173" s="13"/>
      <c r="O173" s="13"/>
      <c r="P173" s="13"/>
      <c r="Q173" s="11"/>
      <c r="R173" s="12"/>
    </row>
    <row r="174" spans="1:18" ht="15" customHeight="1">
      <c r="A174" s="9"/>
      <c r="B174" s="9"/>
      <c r="C174" s="9"/>
      <c r="D174" s="9"/>
      <c r="E174" s="9"/>
      <c r="F174" s="9"/>
      <c r="G174" s="9"/>
      <c r="H174" s="9"/>
      <c r="I174" s="10"/>
      <c r="J174" s="10"/>
      <c r="K174" s="10"/>
      <c r="L174" s="10"/>
      <c r="M174" s="10"/>
      <c r="N174" s="10"/>
      <c r="O174" s="10"/>
      <c r="P174" s="10"/>
      <c r="Q174" s="11"/>
      <c r="R174" s="9"/>
    </row>
    <row r="175" spans="1:18" ht="15" customHeight="1">
      <c r="A175" s="12"/>
      <c r="B175" s="12"/>
      <c r="C175" s="12"/>
      <c r="D175" s="12"/>
      <c r="E175" s="12"/>
      <c r="F175" s="12"/>
      <c r="G175" s="12"/>
      <c r="H175" s="12"/>
      <c r="I175" s="13"/>
      <c r="J175" s="13"/>
      <c r="K175" s="13"/>
      <c r="L175" s="13"/>
      <c r="M175" s="13"/>
      <c r="N175" s="13"/>
      <c r="O175" s="13"/>
      <c r="P175" s="13"/>
      <c r="Q175" s="11"/>
      <c r="R175" s="12"/>
    </row>
    <row r="176" spans="1:18" ht="15" customHeight="1">
      <c r="A176" s="9"/>
      <c r="B176" s="9"/>
      <c r="C176" s="9"/>
      <c r="D176" s="9"/>
      <c r="E176" s="9"/>
      <c r="F176" s="9"/>
      <c r="G176" s="9"/>
      <c r="H176" s="9"/>
      <c r="I176" s="10"/>
      <c r="J176" s="10"/>
      <c r="K176" s="10"/>
      <c r="L176" s="10"/>
      <c r="M176" s="10"/>
      <c r="N176" s="10"/>
      <c r="O176" s="10"/>
      <c r="P176" s="10"/>
      <c r="Q176" s="11"/>
      <c r="R176" s="9"/>
    </row>
    <row r="177" spans="1:18" ht="15" customHeight="1">
      <c r="A177" s="12"/>
      <c r="B177" s="12"/>
      <c r="C177" s="12"/>
      <c r="D177" s="12"/>
      <c r="E177" s="12"/>
      <c r="F177" s="12"/>
      <c r="G177" s="12"/>
      <c r="H177" s="12"/>
      <c r="I177" s="13"/>
      <c r="J177" s="13"/>
      <c r="K177" s="13"/>
      <c r="L177" s="13"/>
      <c r="M177" s="13"/>
      <c r="N177" s="13"/>
      <c r="O177" s="13"/>
      <c r="P177" s="13"/>
      <c r="Q177" s="11"/>
      <c r="R177" s="12"/>
    </row>
    <row r="178" spans="1:18" ht="15" customHeight="1">
      <c r="A178" s="9"/>
      <c r="B178" s="9"/>
      <c r="C178" s="9"/>
      <c r="D178" s="9"/>
      <c r="E178" s="9"/>
      <c r="F178" s="9"/>
      <c r="G178" s="9"/>
      <c r="H178" s="9"/>
      <c r="I178" s="10"/>
      <c r="J178" s="10"/>
      <c r="K178" s="10"/>
      <c r="L178" s="10"/>
      <c r="M178" s="10"/>
      <c r="N178" s="10"/>
      <c r="O178" s="10"/>
      <c r="P178" s="10"/>
      <c r="Q178" s="11"/>
      <c r="R178" s="9"/>
    </row>
    <row r="179" spans="1:18" ht="15" customHeight="1">
      <c r="A179" s="12"/>
      <c r="B179" s="12"/>
      <c r="C179" s="12"/>
      <c r="D179" s="12"/>
      <c r="E179" s="12"/>
      <c r="F179" s="12"/>
      <c r="G179" s="12"/>
      <c r="H179" s="12"/>
      <c r="I179" s="13"/>
      <c r="J179" s="13"/>
      <c r="K179" s="13"/>
      <c r="L179" s="13"/>
      <c r="M179" s="13"/>
      <c r="N179" s="13"/>
      <c r="O179" s="13"/>
      <c r="P179" s="13"/>
      <c r="Q179" s="11"/>
      <c r="R179" s="12"/>
    </row>
    <row r="180" spans="1:18" ht="15" customHeight="1">
      <c r="A180" s="9"/>
      <c r="B180" s="9"/>
      <c r="C180" s="9"/>
      <c r="D180" s="9"/>
      <c r="E180" s="9"/>
      <c r="F180" s="9"/>
      <c r="G180" s="9"/>
      <c r="H180" s="9"/>
      <c r="I180" s="10"/>
      <c r="J180" s="10"/>
      <c r="K180" s="10"/>
      <c r="L180" s="10"/>
      <c r="M180" s="10"/>
      <c r="N180" s="10"/>
      <c r="O180" s="10"/>
      <c r="P180" s="10"/>
      <c r="Q180" s="11"/>
      <c r="R180" s="9"/>
    </row>
    <row r="181" spans="1:18" ht="15" customHeight="1">
      <c r="A181" s="12"/>
      <c r="B181" s="12"/>
      <c r="C181" s="12"/>
      <c r="D181" s="12"/>
      <c r="E181" s="12"/>
      <c r="F181" s="12"/>
      <c r="G181" s="12"/>
      <c r="H181" s="12"/>
      <c r="I181" s="13"/>
      <c r="J181" s="13"/>
      <c r="K181" s="13"/>
      <c r="L181" s="13"/>
      <c r="M181" s="13"/>
      <c r="N181" s="13"/>
      <c r="O181" s="13"/>
      <c r="P181" s="13"/>
      <c r="Q181" s="11"/>
      <c r="R181" s="12"/>
    </row>
    <row r="182" spans="1:18" ht="15" customHeight="1">
      <c r="A182" s="9"/>
      <c r="B182" s="9"/>
      <c r="C182" s="9"/>
      <c r="D182" s="9"/>
      <c r="E182" s="9"/>
      <c r="F182" s="9"/>
      <c r="G182" s="9"/>
      <c r="H182" s="9"/>
      <c r="I182" s="10"/>
      <c r="J182" s="10"/>
      <c r="K182" s="10"/>
      <c r="L182" s="10"/>
      <c r="M182" s="10"/>
      <c r="N182" s="10"/>
      <c r="O182" s="10"/>
      <c r="P182" s="10"/>
      <c r="Q182" s="11"/>
      <c r="R182" s="9"/>
    </row>
    <row r="183" spans="1:18" ht="15" customHeight="1">
      <c r="A183" s="12"/>
      <c r="B183" s="12"/>
      <c r="C183" s="12"/>
      <c r="D183" s="12"/>
      <c r="E183" s="12"/>
      <c r="F183" s="12"/>
      <c r="G183" s="12"/>
      <c r="H183" s="12"/>
      <c r="I183" s="13"/>
      <c r="J183" s="13"/>
      <c r="K183" s="13"/>
      <c r="L183" s="13"/>
      <c r="M183" s="13"/>
      <c r="N183" s="13"/>
      <c r="O183" s="13"/>
      <c r="P183" s="13"/>
      <c r="Q183" s="11"/>
      <c r="R183" s="12"/>
    </row>
    <row r="184" spans="1:18" ht="15" customHeight="1">
      <c r="A184" s="9"/>
      <c r="B184" s="9"/>
      <c r="C184" s="9"/>
      <c r="D184" s="9"/>
      <c r="E184" s="9"/>
      <c r="F184" s="9"/>
      <c r="G184" s="9"/>
      <c r="H184" s="9"/>
      <c r="I184" s="10"/>
      <c r="J184" s="10"/>
      <c r="K184" s="10"/>
      <c r="L184" s="10"/>
      <c r="M184" s="10"/>
      <c r="N184" s="10"/>
      <c r="O184" s="10"/>
      <c r="P184" s="10"/>
      <c r="Q184" s="11"/>
      <c r="R184" s="9"/>
    </row>
    <row r="185" spans="1:18" ht="15" customHeight="1">
      <c r="A185" s="12"/>
      <c r="B185" s="12"/>
      <c r="C185" s="12"/>
      <c r="D185" s="12"/>
      <c r="E185" s="12"/>
      <c r="F185" s="12"/>
      <c r="G185" s="12"/>
      <c r="H185" s="12"/>
      <c r="I185" s="13"/>
      <c r="J185" s="13"/>
      <c r="K185" s="13"/>
      <c r="L185" s="13"/>
      <c r="M185" s="13"/>
      <c r="N185" s="13"/>
      <c r="O185" s="13"/>
      <c r="P185" s="13"/>
      <c r="Q185" s="11"/>
      <c r="R185" s="12"/>
    </row>
    <row r="186" spans="1:18" ht="15" customHeight="1">
      <c r="A186" s="9"/>
      <c r="B186" s="9"/>
      <c r="C186" s="9"/>
      <c r="D186" s="9"/>
      <c r="E186" s="9"/>
      <c r="F186" s="9"/>
      <c r="G186" s="9"/>
      <c r="H186" s="9"/>
      <c r="I186" s="10"/>
      <c r="J186" s="10"/>
      <c r="K186" s="10"/>
      <c r="L186" s="10"/>
      <c r="M186" s="10"/>
      <c r="N186" s="10"/>
      <c r="O186" s="10"/>
      <c r="P186" s="10"/>
      <c r="Q186" s="11"/>
      <c r="R186" s="9"/>
    </row>
    <row r="187" spans="1:18" ht="15" customHeight="1">
      <c r="A187" s="12"/>
      <c r="B187" s="12"/>
      <c r="C187" s="12"/>
      <c r="D187" s="12"/>
      <c r="E187" s="12"/>
      <c r="F187" s="12"/>
      <c r="G187" s="12"/>
      <c r="H187" s="12"/>
      <c r="I187" s="13"/>
      <c r="J187" s="13"/>
      <c r="K187" s="13"/>
      <c r="L187" s="13"/>
      <c r="M187" s="13"/>
      <c r="N187" s="13"/>
      <c r="O187" s="13"/>
      <c r="P187" s="13"/>
      <c r="Q187" s="11"/>
      <c r="R187" s="12"/>
    </row>
    <row r="188" spans="1:18" ht="15" customHeight="1">
      <c r="A188" s="9"/>
      <c r="B188" s="9"/>
      <c r="C188" s="9"/>
      <c r="D188" s="9"/>
      <c r="E188" s="9"/>
      <c r="F188" s="9"/>
      <c r="G188" s="9"/>
      <c r="H188" s="9"/>
      <c r="I188" s="10"/>
      <c r="J188" s="10"/>
      <c r="K188" s="10"/>
      <c r="L188" s="10"/>
      <c r="M188" s="10"/>
      <c r="N188" s="10"/>
      <c r="O188" s="10"/>
      <c r="P188" s="10"/>
      <c r="Q188" s="11"/>
      <c r="R188" s="9"/>
    </row>
    <row r="189" spans="1:18" ht="15" customHeight="1">
      <c r="A189" s="12"/>
      <c r="B189" s="12"/>
      <c r="C189" s="12"/>
      <c r="D189" s="12"/>
      <c r="E189" s="12"/>
      <c r="F189" s="12"/>
      <c r="G189" s="12"/>
      <c r="H189" s="12"/>
      <c r="I189" s="13"/>
      <c r="J189" s="13"/>
      <c r="K189" s="13"/>
      <c r="L189" s="13"/>
      <c r="M189" s="13"/>
      <c r="N189" s="13"/>
      <c r="O189" s="13"/>
      <c r="P189" s="13"/>
      <c r="Q189" s="11"/>
      <c r="R189" s="12"/>
    </row>
    <row r="190" spans="1:18" ht="15" customHeight="1">
      <c r="A190" s="9"/>
      <c r="B190" s="9"/>
      <c r="C190" s="9"/>
      <c r="D190" s="9"/>
      <c r="E190" s="9"/>
      <c r="F190" s="9"/>
      <c r="G190" s="9"/>
      <c r="H190" s="9"/>
      <c r="I190" s="10"/>
      <c r="J190" s="10"/>
      <c r="K190" s="10"/>
      <c r="L190" s="10"/>
      <c r="M190" s="10"/>
      <c r="N190" s="10"/>
      <c r="O190" s="10"/>
      <c r="P190" s="10"/>
      <c r="Q190" s="11"/>
      <c r="R190" s="9"/>
    </row>
    <row r="191" spans="1:18" ht="15" customHeight="1">
      <c r="A191" s="12"/>
      <c r="B191" s="12"/>
      <c r="C191" s="12"/>
      <c r="D191" s="12"/>
      <c r="E191" s="12"/>
      <c r="F191" s="12"/>
      <c r="G191" s="12"/>
      <c r="H191" s="12"/>
      <c r="I191" s="13"/>
      <c r="J191" s="13"/>
      <c r="K191" s="13"/>
      <c r="L191" s="13"/>
      <c r="M191" s="13"/>
      <c r="N191" s="13"/>
      <c r="O191" s="13"/>
      <c r="P191" s="13"/>
      <c r="Q191" s="11"/>
      <c r="R191" s="12"/>
    </row>
    <row r="192" spans="1:18" ht="15" customHeight="1">
      <c r="A192" s="9"/>
      <c r="B192" s="9"/>
      <c r="C192" s="9"/>
      <c r="D192" s="9"/>
      <c r="E192" s="9"/>
      <c r="F192" s="9"/>
      <c r="G192" s="9"/>
      <c r="H192" s="9"/>
      <c r="I192" s="10"/>
      <c r="J192" s="10"/>
      <c r="K192" s="10"/>
      <c r="L192" s="10"/>
      <c r="M192" s="10"/>
      <c r="N192" s="10"/>
      <c r="O192" s="10"/>
      <c r="P192" s="10"/>
      <c r="Q192" s="11"/>
      <c r="R192" s="9"/>
    </row>
    <row r="193" spans="1:18" ht="15" customHeight="1">
      <c r="A193" s="12"/>
      <c r="B193" s="12"/>
      <c r="C193" s="12"/>
      <c r="D193" s="12"/>
      <c r="E193" s="12"/>
      <c r="F193" s="12"/>
      <c r="G193" s="12"/>
      <c r="H193" s="12"/>
      <c r="I193" s="13"/>
      <c r="J193" s="13"/>
      <c r="K193" s="13"/>
      <c r="L193" s="13"/>
      <c r="M193" s="13"/>
      <c r="N193" s="13"/>
      <c r="O193" s="13"/>
      <c r="P193" s="13"/>
      <c r="Q193" s="11"/>
      <c r="R193" s="12"/>
    </row>
    <row r="194" spans="1:18" ht="15" customHeight="1">
      <c r="A194" s="9"/>
      <c r="B194" s="9"/>
      <c r="C194" s="9"/>
      <c r="D194" s="9"/>
      <c r="E194" s="9"/>
      <c r="F194" s="9"/>
      <c r="G194" s="9"/>
      <c r="H194" s="9"/>
      <c r="I194" s="10"/>
      <c r="J194" s="10"/>
      <c r="K194" s="10"/>
      <c r="L194" s="10"/>
      <c r="M194" s="10"/>
      <c r="N194" s="10"/>
      <c r="O194" s="10"/>
      <c r="P194" s="10"/>
      <c r="Q194" s="11"/>
      <c r="R194" s="9"/>
    </row>
    <row r="195" spans="1:18" ht="15" customHeight="1">
      <c r="A195" s="12"/>
      <c r="B195" s="12"/>
      <c r="C195" s="12"/>
      <c r="D195" s="12"/>
      <c r="E195" s="12"/>
      <c r="F195" s="12"/>
      <c r="G195" s="12"/>
      <c r="H195" s="12"/>
      <c r="I195" s="13"/>
      <c r="J195" s="13"/>
      <c r="K195" s="13"/>
      <c r="L195" s="13"/>
      <c r="M195" s="13"/>
      <c r="N195" s="13"/>
      <c r="O195" s="13"/>
      <c r="P195" s="13"/>
      <c r="Q195" s="11"/>
      <c r="R195" s="12"/>
    </row>
    <row r="196" spans="1:18" ht="15" customHeight="1">
      <c r="A196" s="9"/>
      <c r="B196" s="9"/>
      <c r="C196" s="9"/>
      <c r="D196" s="9"/>
      <c r="E196" s="9"/>
      <c r="F196" s="9"/>
      <c r="G196" s="9"/>
      <c r="H196" s="9"/>
      <c r="I196" s="10"/>
      <c r="J196" s="10"/>
      <c r="K196" s="10"/>
      <c r="L196" s="10"/>
      <c r="M196" s="10"/>
      <c r="N196" s="10"/>
      <c r="O196" s="10"/>
      <c r="P196" s="10"/>
      <c r="Q196" s="11"/>
      <c r="R196" s="9"/>
    </row>
    <row r="197" spans="1:18" ht="15" customHeight="1">
      <c r="A197" s="12"/>
      <c r="B197" s="12"/>
      <c r="C197" s="12"/>
      <c r="D197" s="12"/>
      <c r="E197" s="12"/>
      <c r="F197" s="12"/>
      <c r="G197" s="12"/>
      <c r="H197" s="12"/>
      <c r="I197" s="13"/>
      <c r="J197" s="13"/>
      <c r="K197" s="13"/>
      <c r="L197" s="13"/>
      <c r="M197" s="13"/>
      <c r="N197" s="13"/>
      <c r="O197" s="13"/>
      <c r="P197" s="13"/>
      <c r="Q197" s="11"/>
      <c r="R197" s="12"/>
    </row>
    <row r="198" spans="1:18" ht="15" customHeight="1">
      <c r="A198" s="9"/>
      <c r="B198" s="9"/>
      <c r="C198" s="9"/>
      <c r="D198" s="9"/>
      <c r="E198" s="9"/>
      <c r="F198" s="9"/>
      <c r="G198" s="9"/>
      <c r="H198" s="9"/>
      <c r="I198" s="10"/>
      <c r="J198" s="10"/>
      <c r="K198" s="10"/>
      <c r="L198" s="10"/>
      <c r="M198" s="10"/>
      <c r="N198" s="10"/>
      <c r="O198" s="10"/>
      <c r="P198" s="10"/>
      <c r="Q198" s="11"/>
      <c r="R198" s="9"/>
    </row>
    <row r="199" spans="1:18" ht="15" customHeight="1">
      <c r="A199" s="12"/>
      <c r="B199" s="12"/>
      <c r="C199" s="12"/>
      <c r="D199" s="12"/>
      <c r="E199" s="12"/>
      <c r="F199" s="12"/>
      <c r="G199" s="12"/>
      <c r="H199" s="12"/>
      <c r="I199" s="13"/>
      <c r="J199" s="13"/>
      <c r="K199" s="13"/>
      <c r="L199" s="13"/>
      <c r="M199" s="13"/>
      <c r="N199" s="13"/>
      <c r="O199" s="13"/>
      <c r="P199" s="13"/>
      <c r="Q199" s="11"/>
      <c r="R199" s="12"/>
    </row>
    <row r="200" spans="1:18" ht="15" customHeight="1">
      <c r="A200" s="9"/>
      <c r="B200" s="9"/>
      <c r="C200" s="9"/>
      <c r="D200" s="9"/>
      <c r="E200" s="9"/>
      <c r="F200" s="9"/>
      <c r="G200" s="9"/>
      <c r="H200" s="9"/>
      <c r="I200" s="10"/>
      <c r="J200" s="10"/>
      <c r="K200" s="10"/>
      <c r="L200" s="10"/>
      <c r="M200" s="10"/>
      <c r="N200" s="10"/>
      <c r="O200" s="10"/>
      <c r="P200" s="10"/>
      <c r="Q200" s="11"/>
      <c r="R200" s="9"/>
    </row>
    <row r="201" spans="1:18" ht="15" customHeight="1">
      <c r="A201" s="12"/>
      <c r="B201" s="12"/>
      <c r="C201" s="12"/>
      <c r="D201" s="12"/>
      <c r="E201" s="12"/>
      <c r="F201" s="12"/>
      <c r="G201" s="12"/>
      <c r="H201" s="12"/>
      <c r="I201" s="13"/>
      <c r="J201" s="13"/>
      <c r="K201" s="13"/>
      <c r="L201" s="13"/>
      <c r="M201" s="13"/>
      <c r="N201" s="13"/>
      <c r="O201" s="13"/>
      <c r="P201" s="13"/>
      <c r="Q201" s="11"/>
      <c r="R201" s="12"/>
    </row>
    <row r="202" spans="1:18" ht="15" customHeight="1">
      <c r="A202" s="9"/>
      <c r="B202" s="9"/>
      <c r="C202" s="9"/>
      <c r="D202" s="9"/>
      <c r="E202" s="9"/>
      <c r="F202" s="9"/>
      <c r="G202" s="9"/>
      <c r="H202" s="9"/>
      <c r="I202" s="10"/>
      <c r="J202" s="10"/>
      <c r="K202" s="10"/>
      <c r="L202" s="10"/>
      <c r="M202" s="10"/>
      <c r="N202" s="10"/>
      <c r="O202" s="10"/>
      <c r="P202" s="10"/>
      <c r="Q202" s="11"/>
      <c r="R202" s="9"/>
    </row>
    <row r="203" spans="1:18" ht="15" customHeight="1">
      <c r="A203" s="12"/>
      <c r="B203" s="12"/>
      <c r="C203" s="12"/>
      <c r="D203" s="12"/>
      <c r="E203" s="12"/>
      <c r="F203" s="12"/>
      <c r="G203" s="12"/>
      <c r="H203" s="12"/>
      <c r="I203" s="13"/>
      <c r="J203" s="13"/>
      <c r="K203" s="13"/>
      <c r="L203" s="13"/>
      <c r="M203" s="13"/>
      <c r="N203" s="13"/>
      <c r="O203" s="13"/>
      <c r="P203" s="13"/>
      <c r="Q203" s="11"/>
      <c r="R203" s="12"/>
    </row>
    <row r="204" spans="1:18" ht="15" customHeight="1">
      <c r="A204" s="9"/>
      <c r="B204" s="9"/>
      <c r="C204" s="9"/>
      <c r="D204" s="9"/>
      <c r="E204" s="9"/>
      <c r="F204" s="9"/>
      <c r="G204" s="9"/>
      <c r="H204" s="9"/>
      <c r="I204" s="10"/>
      <c r="J204" s="10"/>
      <c r="K204" s="10"/>
      <c r="L204" s="10"/>
      <c r="M204" s="10"/>
      <c r="N204" s="10"/>
      <c r="O204" s="10"/>
      <c r="P204" s="10"/>
      <c r="Q204" s="11"/>
      <c r="R204" s="9"/>
    </row>
    <row r="205" spans="1:18" ht="15" customHeight="1">
      <c r="A205" s="12"/>
      <c r="B205" s="12"/>
      <c r="C205" s="12"/>
      <c r="D205" s="12"/>
      <c r="E205" s="12"/>
      <c r="F205" s="12"/>
      <c r="G205" s="12"/>
      <c r="H205" s="12"/>
      <c r="I205" s="13"/>
      <c r="J205" s="13"/>
      <c r="K205" s="13"/>
      <c r="L205" s="13"/>
      <c r="M205" s="13"/>
      <c r="N205" s="13"/>
      <c r="O205" s="13"/>
      <c r="P205" s="13"/>
      <c r="Q205" s="11"/>
      <c r="R205" s="12"/>
    </row>
    <row r="206" spans="1:18" ht="15" customHeight="1">
      <c r="A206" s="9"/>
      <c r="B206" s="9"/>
      <c r="C206" s="9"/>
      <c r="D206" s="9"/>
      <c r="E206" s="9"/>
      <c r="F206" s="9"/>
      <c r="G206" s="9"/>
      <c r="H206" s="9"/>
      <c r="I206" s="10"/>
      <c r="J206" s="10"/>
      <c r="K206" s="10"/>
      <c r="L206" s="10"/>
      <c r="M206" s="10"/>
      <c r="N206" s="10"/>
      <c r="O206" s="10"/>
      <c r="P206" s="10"/>
      <c r="Q206" s="11"/>
      <c r="R206" s="9"/>
    </row>
    <row r="207" spans="1:18" ht="15" customHeight="1">
      <c r="A207" s="12"/>
      <c r="B207" s="12"/>
      <c r="C207" s="12"/>
      <c r="D207" s="12"/>
      <c r="E207" s="12"/>
      <c r="F207" s="12"/>
      <c r="G207" s="12"/>
      <c r="H207" s="12"/>
      <c r="I207" s="13"/>
      <c r="J207" s="13"/>
      <c r="K207" s="13"/>
      <c r="L207" s="13"/>
      <c r="M207" s="13"/>
      <c r="N207" s="13"/>
      <c r="O207" s="13"/>
      <c r="P207" s="13"/>
      <c r="Q207" s="11"/>
      <c r="R207" s="12"/>
    </row>
    <row r="208" spans="1:18" ht="15" customHeight="1">
      <c r="A208" s="9"/>
      <c r="B208" s="9"/>
      <c r="C208" s="9"/>
      <c r="D208" s="9"/>
      <c r="E208" s="9"/>
      <c r="F208" s="9"/>
      <c r="G208" s="9"/>
      <c r="H208" s="9"/>
      <c r="I208" s="10"/>
      <c r="J208" s="10"/>
      <c r="K208" s="10"/>
      <c r="L208" s="10"/>
      <c r="M208" s="10"/>
      <c r="N208" s="10"/>
      <c r="O208" s="10"/>
      <c r="P208" s="10"/>
      <c r="Q208" s="11"/>
      <c r="R208" s="9"/>
    </row>
    <row r="209" spans="1:18" ht="15" customHeight="1">
      <c r="A209" s="12"/>
      <c r="B209" s="12"/>
      <c r="C209" s="12"/>
      <c r="D209" s="12"/>
      <c r="E209" s="12"/>
      <c r="F209" s="12"/>
      <c r="G209" s="12"/>
      <c r="H209" s="12"/>
      <c r="I209" s="13"/>
      <c r="J209" s="13"/>
      <c r="K209" s="13"/>
      <c r="L209" s="13"/>
      <c r="M209" s="13"/>
      <c r="N209" s="13"/>
      <c r="O209" s="13"/>
      <c r="P209" s="13"/>
      <c r="Q209" s="11"/>
      <c r="R209" s="12"/>
    </row>
    <row r="210" spans="1:18" ht="15" customHeight="1">
      <c r="A210" s="9"/>
      <c r="B210" s="9"/>
      <c r="C210" s="9"/>
      <c r="D210" s="9"/>
      <c r="E210" s="9"/>
      <c r="F210" s="9"/>
      <c r="G210" s="9"/>
      <c r="H210" s="9"/>
      <c r="I210" s="10"/>
      <c r="J210" s="10"/>
      <c r="K210" s="10"/>
      <c r="L210" s="10"/>
      <c r="M210" s="10"/>
      <c r="N210" s="10"/>
      <c r="O210" s="10"/>
      <c r="P210" s="10"/>
      <c r="Q210" s="11"/>
      <c r="R210" s="9"/>
    </row>
    <row r="211" spans="1:18" ht="15" customHeight="1">
      <c r="A211" s="12"/>
      <c r="B211" s="12"/>
      <c r="C211" s="12"/>
      <c r="D211" s="12"/>
      <c r="E211" s="12"/>
      <c r="F211" s="12"/>
      <c r="G211" s="12"/>
      <c r="H211" s="12"/>
      <c r="I211" s="13"/>
      <c r="J211" s="13"/>
      <c r="K211" s="13"/>
      <c r="L211" s="13"/>
      <c r="M211" s="13"/>
      <c r="N211" s="13"/>
      <c r="O211" s="13"/>
      <c r="P211" s="13"/>
      <c r="Q211" s="11"/>
      <c r="R211" s="12"/>
    </row>
    <row r="212" spans="1:18" ht="15" customHeight="1">
      <c r="A212" s="9"/>
      <c r="B212" s="9"/>
      <c r="C212" s="9"/>
      <c r="D212" s="9"/>
      <c r="E212" s="9"/>
      <c r="F212" s="9"/>
      <c r="G212" s="9"/>
      <c r="H212" s="9"/>
      <c r="I212" s="10"/>
      <c r="J212" s="10"/>
      <c r="K212" s="10"/>
      <c r="L212" s="10"/>
      <c r="M212" s="10"/>
      <c r="N212" s="10"/>
      <c r="O212" s="10"/>
      <c r="P212" s="10"/>
      <c r="Q212" s="11"/>
      <c r="R212" s="9"/>
    </row>
    <row r="213" spans="1:18" ht="15" customHeight="1">
      <c r="A213" s="12"/>
      <c r="B213" s="12"/>
      <c r="C213" s="12"/>
      <c r="D213" s="12"/>
      <c r="E213" s="12"/>
      <c r="F213" s="12"/>
      <c r="G213" s="12"/>
      <c r="H213" s="12"/>
      <c r="I213" s="13"/>
      <c r="J213" s="13"/>
      <c r="K213" s="13"/>
      <c r="L213" s="13"/>
      <c r="M213" s="13"/>
      <c r="N213" s="13"/>
      <c r="O213" s="13"/>
      <c r="P213" s="13"/>
      <c r="Q213" s="11"/>
      <c r="R213" s="12"/>
    </row>
    <row r="214" spans="1:18" ht="15" customHeight="1">
      <c r="A214" s="9"/>
      <c r="B214" s="9"/>
      <c r="C214" s="9"/>
      <c r="D214" s="9"/>
      <c r="E214" s="9"/>
      <c r="F214" s="9"/>
      <c r="G214" s="9"/>
      <c r="H214" s="9"/>
      <c r="I214" s="10"/>
      <c r="J214" s="10"/>
      <c r="K214" s="10"/>
      <c r="L214" s="10"/>
      <c r="M214" s="10"/>
      <c r="N214" s="10"/>
      <c r="O214" s="10"/>
      <c r="P214" s="10"/>
      <c r="Q214" s="11"/>
      <c r="R214" s="9"/>
    </row>
    <row r="215" spans="1:18" ht="15" customHeight="1">
      <c r="A215" s="12"/>
      <c r="B215" s="12"/>
      <c r="C215" s="12"/>
      <c r="D215" s="12"/>
      <c r="E215" s="12"/>
      <c r="F215" s="12"/>
      <c r="G215" s="12"/>
      <c r="H215" s="12"/>
      <c r="I215" s="13"/>
      <c r="J215" s="13"/>
      <c r="K215" s="13"/>
      <c r="L215" s="13"/>
      <c r="M215" s="13"/>
      <c r="N215" s="13"/>
      <c r="O215" s="13"/>
      <c r="P215" s="13"/>
      <c r="Q215" s="11"/>
      <c r="R215" s="12"/>
    </row>
    <row r="216" spans="1:18" ht="15" customHeight="1">
      <c r="A216" s="9"/>
      <c r="B216" s="9"/>
      <c r="C216" s="9"/>
      <c r="D216" s="9"/>
      <c r="E216" s="9"/>
      <c r="F216" s="9"/>
      <c r="G216" s="9"/>
      <c r="H216" s="9"/>
      <c r="I216" s="10"/>
      <c r="J216" s="10"/>
      <c r="K216" s="10"/>
      <c r="L216" s="10"/>
      <c r="M216" s="10"/>
      <c r="N216" s="10"/>
      <c r="O216" s="10"/>
      <c r="P216" s="10"/>
      <c r="Q216" s="11"/>
      <c r="R216" s="9"/>
    </row>
    <row r="217" spans="1:18" ht="15" customHeight="1">
      <c r="A217" s="12"/>
      <c r="B217" s="12"/>
      <c r="C217" s="12"/>
      <c r="D217" s="12"/>
      <c r="E217" s="12"/>
      <c r="F217" s="12"/>
      <c r="G217" s="12"/>
      <c r="H217" s="12"/>
      <c r="I217" s="13"/>
      <c r="J217" s="13"/>
      <c r="K217" s="13"/>
      <c r="L217" s="13"/>
      <c r="M217" s="13"/>
      <c r="N217" s="13"/>
      <c r="O217" s="13"/>
      <c r="P217" s="13"/>
      <c r="Q217" s="11"/>
      <c r="R217" s="12"/>
    </row>
    <row r="218" spans="1:18" ht="15" customHeight="1">
      <c r="A218" s="9"/>
      <c r="B218" s="9"/>
      <c r="C218" s="9"/>
      <c r="D218" s="9"/>
      <c r="E218" s="9"/>
      <c r="F218" s="9"/>
      <c r="G218" s="9"/>
      <c r="H218" s="9"/>
      <c r="I218" s="10"/>
      <c r="J218" s="10"/>
      <c r="K218" s="10"/>
      <c r="L218" s="10"/>
      <c r="M218" s="10"/>
      <c r="N218" s="10"/>
      <c r="O218" s="10"/>
      <c r="P218" s="10"/>
      <c r="Q218" s="11"/>
      <c r="R218" s="9"/>
    </row>
    <row r="219" spans="1:18" ht="15" customHeight="1">
      <c r="A219" s="12"/>
      <c r="B219" s="12"/>
      <c r="C219" s="12"/>
      <c r="D219" s="12"/>
      <c r="E219" s="12"/>
      <c r="F219" s="12"/>
      <c r="G219" s="12"/>
      <c r="H219" s="12"/>
      <c r="I219" s="13"/>
      <c r="J219" s="13"/>
      <c r="K219" s="13"/>
      <c r="L219" s="13"/>
      <c r="M219" s="13"/>
      <c r="N219" s="13"/>
      <c r="O219" s="13"/>
      <c r="P219" s="13"/>
      <c r="Q219" s="11"/>
      <c r="R219" s="12"/>
    </row>
    <row r="220" spans="1:18" ht="15" customHeight="1">
      <c r="A220" s="9"/>
      <c r="B220" s="9"/>
      <c r="C220" s="9"/>
      <c r="D220" s="9"/>
      <c r="E220" s="9"/>
      <c r="F220" s="9"/>
      <c r="G220" s="9"/>
      <c r="H220" s="9"/>
      <c r="I220" s="10"/>
      <c r="J220" s="10"/>
      <c r="K220" s="10"/>
      <c r="L220" s="10"/>
      <c r="M220" s="10"/>
      <c r="N220" s="10"/>
      <c r="O220" s="10"/>
      <c r="P220" s="10"/>
      <c r="Q220" s="11"/>
      <c r="R220" s="9"/>
    </row>
    <row r="221" spans="1:18" ht="15" customHeight="1">
      <c r="A221" s="12"/>
      <c r="B221" s="12"/>
      <c r="C221" s="12"/>
      <c r="D221" s="12"/>
      <c r="E221" s="12"/>
      <c r="F221" s="12"/>
      <c r="G221" s="12"/>
      <c r="H221" s="12"/>
      <c r="I221" s="13"/>
      <c r="J221" s="13"/>
      <c r="K221" s="13"/>
      <c r="L221" s="13"/>
      <c r="M221" s="13"/>
      <c r="N221" s="13"/>
      <c r="O221" s="13"/>
      <c r="P221" s="13"/>
      <c r="Q221" s="11"/>
      <c r="R221" s="12"/>
    </row>
    <row r="222" spans="1:18" ht="15" customHeight="1">
      <c r="A222" s="9"/>
      <c r="B222" s="9"/>
      <c r="C222" s="9"/>
      <c r="D222" s="9"/>
      <c r="E222" s="9"/>
      <c r="F222" s="9"/>
      <c r="G222" s="9"/>
      <c r="H222" s="9"/>
      <c r="I222" s="10"/>
      <c r="J222" s="10"/>
      <c r="K222" s="10"/>
      <c r="L222" s="10"/>
      <c r="M222" s="10"/>
      <c r="N222" s="10"/>
      <c r="O222" s="10"/>
      <c r="P222" s="10"/>
      <c r="Q222" s="11"/>
      <c r="R222" s="9"/>
    </row>
    <row r="223" spans="1:18" ht="15" customHeight="1">
      <c r="A223" s="12"/>
      <c r="B223" s="12"/>
      <c r="C223" s="12"/>
      <c r="D223" s="12"/>
      <c r="E223" s="12"/>
      <c r="F223" s="12"/>
      <c r="G223" s="12"/>
      <c r="H223" s="12"/>
      <c r="I223" s="13"/>
      <c r="J223" s="13"/>
      <c r="K223" s="13"/>
      <c r="L223" s="13"/>
      <c r="M223" s="13"/>
      <c r="N223" s="13"/>
      <c r="O223" s="13"/>
      <c r="P223" s="13"/>
      <c r="Q223" s="11"/>
      <c r="R223" s="12"/>
    </row>
    <row r="224" spans="1:18" ht="15" customHeight="1">
      <c r="A224" s="9"/>
      <c r="B224" s="9"/>
      <c r="C224" s="9"/>
      <c r="D224" s="9"/>
      <c r="E224" s="9"/>
      <c r="F224" s="9"/>
      <c r="G224" s="9"/>
      <c r="H224" s="9"/>
      <c r="I224" s="10"/>
      <c r="J224" s="10"/>
      <c r="K224" s="10"/>
      <c r="L224" s="10"/>
      <c r="M224" s="10"/>
      <c r="N224" s="10"/>
      <c r="O224" s="10"/>
      <c r="P224" s="10"/>
      <c r="Q224" s="11"/>
      <c r="R224" s="9"/>
    </row>
    <row r="225" spans="1:18" ht="15" customHeight="1">
      <c r="A225" s="12"/>
      <c r="B225" s="12"/>
      <c r="C225" s="12"/>
      <c r="D225" s="12"/>
      <c r="E225" s="12"/>
      <c r="F225" s="12"/>
      <c r="G225" s="12"/>
      <c r="H225" s="12"/>
      <c r="I225" s="13"/>
      <c r="J225" s="13"/>
      <c r="K225" s="13"/>
      <c r="L225" s="13"/>
      <c r="M225" s="13"/>
      <c r="N225" s="13"/>
      <c r="O225" s="13"/>
      <c r="P225" s="13"/>
      <c r="Q225" s="11"/>
      <c r="R225" s="12"/>
    </row>
    <row r="226" spans="1:18" ht="15" customHeight="1">
      <c r="A226" s="9"/>
      <c r="B226" s="9"/>
      <c r="C226" s="9"/>
      <c r="D226" s="9"/>
      <c r="E226" s="9"/>
      <c r="F226" s="9"/>
      <c r="G226" s="9"/>
      <c r="H226" s="9"/>
      <c r="I226" s="10"/>
      <c r="J226" s="10"/>
      <c r="K226" s="10"/>
      <c r="L226" s="10"/>
      <c r="M226" s="10"/>
      <c r="N226" s="10"/>
      <c r="O226" s="10"/>
      <c r="P226" s="10"/>
      <c r="Q226" s="11"/>
      <c r="R226" s="9"/>
    </row>
    <row r="227" spans="1:18" ht="15" customHeight="1">
      <c r="A227" s="12"/>
      <c r="B227" s="12"/>
      <c r="C227" s="12"/>
      <c r="D227" s="12"/>
      <c r="E227" s="12"/>
      <c r="F227" s="12"/>
      <c r="G227" s="12"/>
      <c r="H227" s="12"/>
      <c r="I227" s="13"/>
      <c r="J227" s="13"/>
      <c r="K227" s="13"/>
      <c r="L227" s="13"/>
      <c r="M227" s="13"/>
      <c r="N227" s="13"/>
      <c r="O227" s="13"/>
      <c r="P227" s="13"/>
      <c r="Q227" s="11"/>
      <c r="R227" s="12"/>
    </row>
    <row r="228" spans="1:18" ht="15" customHeight="1">
      <c r="A228" s="9"/>
      <c r="B228" s="9"/>
      <c r="C228" s="9"/>
      <c r="D228" s="9"/>
      <c r="E228" s="9"/>
      <c r="F228" s="9"/>
      <c r="G228" s="9"/>
      <c r="H228" s="9"/>
      <c r="I228" s="10"/>
      <c r="J228" s="10"/>
      <c r="K228" s="10"/>
      <c r="L228" s="10"/>
      <c r="M228" s="10"/>
      <c r="N228" s="10"/>
      <c r="O228" s="10"/>
      <c r="P228" s="10"/>
      <c r="Q228" s="11"/>
      <c r="R228" s="9"/>
    </row>
    <row r="229" spans="1:18" ht="15" customHeight="1">
      <c r="A229" s="12"/>
      <c r="B229" s="12"/>
      <c r="C229" s="12"/>
      <c r="D229" s="12"/>
      <c r="E229" s="12"/>
      <c r="F229" s="12"/>
      <c r="G229" s="12"/>
      <c r="H229" s="12"/>
      <c r="I229" s="13"/>
      <c r="J229" s="13"/>
      <c r="K229" s="13"/>
      <c r="L229" s="13"/>
      <c r="M229" s="13"/>
      <c r="N229" s="13"/>
      <c r="O229" s="13"/>
      <c r="P229" s="13"/>
      <c r="Q229" s="11"/>
      <c r="R229" s="12"/>
    </row>
    <row r="230" spans="1:18" ht="15" customHeight="1">
      <c r="A230" s="9"/>
      <c r="B230" s="9"/>
      <c r="C230" s="9"/>
      <c r="D230" s="9"/>
      <c r="E230" s="9"/>
      <c r="F230" s="9"/>
      <c r="G230" s="9"/>
      <c r="H230" s="9"/>
      <c r="I230" s="10"/>
      <c r="J230" s="10"/>
      <c r="K230" s="10"/>
      <c r="L230" s="10"/>
      <c r="M230" s="10"/>
      <c r="N230" s="10"/>
      <c r="O230" s="10"/>
      <c r="P230" s="10"/>
      <c r="Q230" s="11"/>
      <c r="R230" s="9"/>
    </row>
    <row r="231" spans="1:18" ht="15" customHeight="1">
      <c r="A231" s="12"/>
      <c r="B231" s="12"/>
      <c r="C231" s="12"/>
      <c r="D231" s="12"/>
      <c r="E231" s="12"/>
      <c r="F231" s="12"/>
      <c r="G231" s="12"/>
      <c r="H231" s="12"/>
      <c r="I231" s="13"/>
      <c r="J231" s="13"/>
      <c r="K231" s="13"/>
      <c r="L231" s="13"/>
      <c r="M231" s="13"/>
      <c r="N231" s="13"/>
      <c r="O231" s="13"/>
      <c r="P231" s="13"/>
      <c r="Q231" s="11"/>
      <c r="R231" s="12"/>
    </row>
    <row r="232" spans="1:18" ht="15" customHeight="1">
      <c r="A232" s="9"/>
      <c r="B232" s="9"/>
      <c r="C232" s="9"/>
      <c r="D232" s="9"/>
      <c r="E232" s="9"/>
      <c r="F232" s="9"/>
      <c r="G232" s="9"/>
      <c r="H232" s="9"/>
      <c r="I232" s="10"/>
      <c r="J232" s="10"/>
      <c r="K232" s="10"/>
      <c r="L232" s="10"/>
      <c r="M232" s="10"/>
      <c r="N232" s="10"/>
      <c r="O232" s="10"/>
      <c r="P232" s="10"/>
      <c r="Q232" s="11"/>
      <c r="R232" s="9"/>
    </row>
    <row r="233" spans="1:18" ht="15" customHeight="1">
      <c r="A233" s="12"/>
      <c r="B233" s="12"/>
      <c r="C233" s="12"/>
      <c r="D233" s="12"/>
      <c r="E233" s="12"/>
      <c r="F233" s="12"/>
      <c r="G233" s="12"/>
      <c r="H233" s="12"/>
      <c r="I233" s="13"/>
      <c r="J233" s="13"/>
      <c r="K233" s="13"/>
      <c r="L233" s="13"/>
      <c r="M233" s="13"/>
      <c r="N233" s="13"/>
      <c r="O233" s="13"/>
      <c r="P233" s="13"/>
      <c r="Q233" s="11"/>
      <c r="R233" s="12"/>
    </row>
    <row r="234" spans="1:18" ht="15" customHeight="1">
      <c r="A234" s="9"/>
      <c r="B234" s="9"/>
      <c r="C234" s="9"/>
      <c r="D234" s="9"/>
      <c r="E234" s="9"/>
      <c r="F234" s="9"/>
      <c r="G234" s="9"/>
      <c r="H234" s="9"/>
      <c r="I234" s="10"/>
      <c r="J234" s="10"/>
      <c r="K234" s="10"/>
      <c r="L234" s="10"/>
      <c r="M234" s="10"/>
      <c r="N234" s="10"/>
      <c r="O234" s="10"/>
      <c r="P234" s="10"/>
      <c r="Q234" s="11"/>
      <c r="R234" s="9"/>
    </row>
    <row r="235" spans="1:18" ht="15" customHeight="1">
      <c r="A235" s="12"/>
      <c r="B235" s="12"/>
      <c r="C235" s="12"/>
      <c r="D235" s="12"/>
      <c r="E235" s="12"/>
      <c r="F235" s="12"/>
      <c r="G235" s="12"/>
      <c r="H235" s="12"/>
      <c r="I235" s="13"/>
      <c r="J235" s="13"/>
      <c r="K235" s="13"/>
      <c r="L235" s="13"/>
      <c r="M235" s="13"/>
      <c r="N235" s="13"/>
      <c r="O235" s="13"/>
      <c r="P235" s="13"/>
      <c r="Q235" s="11"/>
      <c r="R235" s="12"/>
    </row>
    <row r="236" spans="1:18" ht="15" customHeight="1">
      <c r="A236" s="9"/>
      <c r="B236" s="9"/>
      <c r="C236" s="9"/>
      <c r="D236" s="9"/>
      <c r="E236" s="9"/>
      <c r="F236" s="9"/>
      <c r="G236" s="9"/>
      <c r="H236" s="9"/>
      <c r="I236" s="10"/>
      <c r="J236" s="10"/>
      <c r="K236" s="10"/>
      <c r="L236" s="10"/>
      <c r="M236" s="10"/>
      <c r="N236" s="10"/>
      <c r="O236" s="10"/>
      <c r="P236" s="10"/>
      <c r="Q236" s="11"/>
      <c r="R236" s="9"/>
    </row>
    <row r="237" spans="1:18" ht="15" customHeight="1">
      <c r="A237" s="12"/>
      <c r="B237" s="12"/>
      <c r="C237" s="12"/>
      <c r="D237" s="12"/>
      <c r="E237" s="12"/>
      <c r="F237" s="12"/>
      <c r="G237" s="12"/>
      <c r="H237" s="12"/>
      <c r="I237" s="13"/>
      <c r="J237" s="13"/>
      <c r="K237" s="13"/>
      <c r="L237" s="13"/>
      <c r="M237" s="13"/>
      <c r="N237" s="13"/>
      <c r="O237" s="13"/>
      <c r="P237" s="13"/>
      <c r="Q237" s="11"/>
      <c r="R237" s="12"/>
    </row>
    <row r="238" spans="1:18" ht="15" customHeight="1">
      <c r="A238" s="9"/>
      <c r="B238" s="9"/>
      <c r="C238" s="9"/>
      <c r="D238" s="9"/>
      <c r="E238" s="9"/>
      <c r="F238" s="9"/>
      <c r="G238" s="9"/>
      <c r="H238" s="9"/>
      <c r="I238" s="10"/>
      <c r="J238" s="10"/>
      <c r="K238" s="10"/>
      <c r="L238" s="10"/>
      <c r="M238" s="10"/>
      <c r="N238" s="10"/>
      <c r="O238" s="10"/>
      <c r="P238" s="10"/>
      <c r="Q238" s="11"/>
      <c r="R238" s="9"/>
    </row>
    <row r="239" spans="1:18" ht="15" customHeight="1">
      <c r="A239" s="12"/>
      <c r="B239" s="12"/>
      <c r="C239" s="12"/>
      <c r="D239" s="12"/>
      <c r="E239" s="12"/>
      <c r="F239" s="12"/>
      <c r="G239" s="12"/>
      <c r="H239" s="12"/>
      <c r="I239" s="13"/>
      <c r="J239" s="13"/>
      <c r="K239" s="13"/>
      <c r="L239" s="13"/>
      <c r="M239" s="13"/>
      <c r="N239" s="13"/>
      <c r="O239" s="13"/>
      <c r="P239" s="13"/>
      <c r="Q239" s="11"/>
      <c r="R239" s="12"/>
    </row>
    <row r="240" spans="1:18" ht="15" customHeight="1">
      <c r="A240" s="9"/>
      <c r="B240" s="9"/>
      <c r="C240" s="9"/>
      <c r="D240" s="9"/>
      <c r="E240" s="9"/>
      <c r="F240" s="9"/>
      <c r="G240" s="9"/>
      <c r="H240" s="9"/>
      <c r="I240" s="10"/>
      <c r="J240" s="10"/>
      <c r="K240" s="10"/>
      <c r="L240" s="10"/>
      <c r="M240" s="10"/>
      <c r="N240" s="10"/>
      <c r="O240" s="10"/>
      <c r="P240" s="10"/>
      <c r="Q240" s="11"/>
      <c r="R240" s="9"/>
    </row>
    <row r="241" spans="1:18" ht="15" customHeight="1">
      <c r="A241" s="12"/>
      <c r="B241" s="12"/>
      <c r="C241" s="12"/>
      <c r="D241" s="12"/>
      <c r="E241" s="12"/>
      <c r="F241" s="12"/>
      <c r="G241" s="12"/>
      <c r="H241" s="12"/>
      <c r="I241" s="13"/>
      <c r="J241" s="13"/>
      <c r="K241" s="13"/>
      <c r="L241" s="13"/>
      <c r="M241" s="13"/>
      <c r="N241" s="13"/>
      <c r="O241" s="13"/>
      <c r="P241" s="13"/>
      <c r="Q241" s="11"/>
      <c r="R241" s="12"/>
    </row>
    <row r="242" spans="1:18" ht="15" customHeight="1">
      <c r="A242" s="9"/>
      <c r="B242" s="9"/>
      <c r="C242" s="9"/>
      <c r="D242" s="9"/>
      <c r="E242" s="9"/>
      <c r="F242" s="9"/>
      <c r="G242" s="9"/>
      <c r="H242" s="9"/>
      <c r="I242" s="10"/>
      <c r="J242" s="10"/>
      <c r="K242" s="10"/>
      <c r="L242" s="10"/>
      <c r="M242" s="10"/>
      <c r="N242" s="10"/>
      <c r="O242" s="10"/>
      <c r="P242" s="10"/>
      <c r="Q242" s="11"/>
      <c r="R242" s="9"/>
    </row>
    <row r="243" spans="1:18" ht="15" customHeight="1">
      <c r="A243" s="12"/>
      <c r="B243" s="12"/>
      <c r="C243" s="12"/>
      <c r="D243" s="12"/>
      <c r="E243" s="12"/>
      <c r="F243" s="12"/>
      <c r="G243" s="12"/>
      <c r="H243" s="12"/>
      <c r="I243" s="13"/>
      <c r="J243" s="13"/>
      <c r="K243" s="13"/>
      <c r="L243" s="13"/>
      <c r="M243" s="13"/>
      <c r="N243" s="13"/>
      <c r="O243" s="13"/>
      <c r="P243" s="13"/>
      <c r="Q243" s="11"/>
      <c r="R243" s="12"/>
    </row>
    <row r="244" spans="1:18" ht="15" customHeight="1">
      <c r="A244" s="9"/>
      <c r="B244" s="9"/>
      <c r="C244" s="9"/>
      <c r="D244" s="9"/>
      <c r="E244" s="9"/>
      <c r="F244" s="9"/>
      <c r="G244" s="9"/>
      <c r="H244" s="9"/>
      <c r="I244" s="10"/>
      <c r="J244" s="10"/>
      <c r="K244" s="10"/>
      <c r="L244" s="10"/>
      <c r="M244" s="10"/>
      <c r="N244" s="10"/>
      <c r="O244" s="10"/>
      <c r="P244" s="10"/>
      <c r="Q244" s="11"/>
      <c r="R244" s="9"/>
    </row>
    <row r="245" spans="1:18" ht="15" customHeight="1">
      <c r="A245" s="12"/>
      <c r="B245" s="12"/>
      <c r="C245" s="12"/>
      <c r="D245" s="12"/>
      <c r="E245" s="12"/>
      <c r="F245" s="12"/>
      <c r="G245" s="12"/>
      <c r="H245" s="12"/>
      <c r="I245" s="13"/>
      <c r="J245" s="13"/>
      <c r="K245" s="13"/>
      <c r="L245" s="13"/>
      <c r="M245" s="13"/>
      <c r="N245" s="13"/>
      <c r="O245" s="13"/>
      <c r="P245" s="13"/>
      <c r="Q245" s="11"/>
      <c r="R245" s="12"/>
    </row>
    <row r="246" spans="1:18" ht="15" customHeight="1">
      <c r="A246" s="9"/>
      <c r="B246" s="9"/>
      <c r="C246" s="9"/>
      <c r="D246" s="9"/>
      <c r="E246" s="9"/>
      <c r="F246" s="9"/>
      <c r="G246" s="9"/>
      <c r="H246" s="9"/>
      <c r="I246" s="10"/>
      <c r="J246" s="10"/>
      <c r="K246" s="10"/>
      <c r="L246" s="10"/>
      <c r="M246" s="10"/>
      <c r="N246" s="10"/>
      <c r="O246" s="10"/>
      <c r="P246" s="10"/>
      <c r="Q246" s="11"/>
      <c r="R246" s="9"/>
    </row>
    <row r="247" spans="1:18" ht="15" customHeight="1">
      <c r="A247" s="12"/>
      <c r="B247" s="12"/>
      <c r="C247" s="12"/>
      <c r="D247" s="12"/>
      <c r="E247" s="12"/>
      <c r="F247" s="12"/>
      <c r="G247" s="12"/>
      <c r="H247" s="12"/>
      <c r="I247" s="13"/>
      <c r="J247" s="13"/>
      <c r="K247" s="13"/>
      <c r="L247" s="13"/>
      <c r="M247" s="13"/>
      <c r="N247" s="13"/>
      <c r="O247" s="13"/>
      <c r="P247" s="13"/>
      <c r="Q247" s="11"/>
      <c r="R247" s="12"/>
    </row>
    <row r="248" spans="1:18" ht="15" customHeight="1">
      <c r="A248" s="9"/>
      <c r="B248" s="9"/>
      <c r="C248" s="9"/>
      <c r="D248" s="9"/>
      <c r="E248" s="9"/>
      <c r="F248" s="9"/>
      <c r="G248" s="9"/>
      <c r="H248" s="9"/>
      <c r="I248" s="10"/>
      <c r="J248" s="10"/>
      <c r="K248" s="10"/>
      <c r="L248" s="10"/>
      <c r="M248" s="10"/>
      <c r="N248" s="10"/>
      <c r="O248" s="10"/>
      <c r="P248" s="10"/>
      <c r="Q248" s="11"/>
      <c r="R248" s="9"/>
    </row>
    <row r="249" spans="1:18" ht="15" customHeight="1">
      <c r="A249" s="12"/>
      <c r="B249" s="12"/>
      <c r="C249" s="12"/>
      <c r="D249" s="12"/>
      <c r="E249" s="12"/>
      <c r="F249" s="12"/>
      <c r="G249" s="12"/>
      <c r="H249" s="12"/>
      <c r="I249" s="13"/>
      <c r="J249" s="13"/>
      <c r="K249" s="13"/>
      <c r="L249" s="13"/>
      <c r="M249" s="13"/>
      <c r="N249" s="13"/>
      <c r="O249" s="13"/>
      <c r="P249" s="13"/>
      <c r="Q249" s="11"/>
      <c r="R249" s="12"/>
    </row>
    <row r="250" spans="1:18" ht="15" customHeight="1">
      <c r="A250" s="9"/>
      <c r="B250" s="9"/>
      <c r="C250" s="9"/>
      <c r="D250" s="9"/>
      <c r="E250" s="9"/>
      <c r="F250" s="9"/>
      <c r="G250" s="9"/>
      <c r="H250" s="9"/>
      <c r="I250" s="10"/>
      <c r="J250" s="10"/>
      <c r="K250" s="10"/>
      <c r="L250" s="10"/>
      <c r="M250" s="10"/>
      <c r="N250" s="10"/>
      <c r="O250" s="10"/>
      <c r="P250" s="10"/>
      <c r="Q250" s="11"/>
      <c r="R250" s="9"/>
    </row>
    <row r="251" spans="1:18" ht="15" customHeight="1">
      <c r="A251" s="12"/>
      <c r="B251" s="12"/>
      <c r="C251" s="12"/>
      <c r="D251" s="12"/>
      <c r="E251" s="12"/>
      <c r="F251" s="12"/>
      <c r="G251" s="12"/>
      <c r="H251" s="12"/>
      <c r="I251" s="13"/>
      <c r="J251" s="13"/>
      <c r="K251" s="13"/>
      <c r="L251" s="13"/>
      <c r="M251" s="13"/>
      <c r="N251" s="13"/>
      <c r="O251" s="13"/>
      <c r="P251" s="13"/>
      <c r="Q251" s="11"/>
      <c r="R251" s="12"/>
    </row>
    <row r="252" spans="1:18" ht="15" customHeight="1">
      <c r="A252" s="9"/>
      <c r="B252" s="9"/>
      <c r="C252" s="9"/>
      <c r="D252" s="9"/>
      <c r="E252" s="9"/>
      <c r="F252" s="9"/>
      <c r="G252" s="9"/>
      <c r="H252" s="9"/>
      <c r="I252" s="10"/>
      <c r="J252" s="10"/>
      <c r="K252" s="10"/>
      <c r="L252" s="10"/>
      <c r="M252" s="10"/>
      <c r="N252" s="10"/>
      <c r="O252" s="10"/>
      <c r="P252" s="10"/>
      <c r="Q252" s="11"/>
      <c r="R252" s="9"/>
    </row>
    <row r="253" spans="1:18" ht="15" customHeight="1">
      <c r="A253" s="12"/>
      <c r="B253" s="12"/>
      <c r="C253" s="12"/>
      <c r="D253" s="12"/>
      <c r="E253" s="12"/>
      <c r="F253" s="12"/>
      <c r="G253" s="12"/>
      <c r="H253" s="12"/>
      <c r="I253" s="13"/>
      <c r="J253" s="13"/>
      <c r="K253" s="13"/>
      <c r="L253" s="13"/>
      <c r="M253" s="13"/>
      <c r="N253" s="13"/>
      <c r="O253" s="13"/>
      <c r="P253" s="13"/>
      <c r="Q253" s="11"/>
      <c r="R253" s="12"/>
    </row>
    <row r="254" spans="1:18" ht="15" customHeight="1">
      <c r="A254" s="9"/>
      <c r="B254" s="9"/>
      <c r="C254" s="9"/>
      <c r="D254" s="9"/>
      <c r="E254" s="9"/>
      <c r="F254" s="9"/>
      <c r="G254" s="9"/>
      <c r="H254" s="9"/>
      <c r="I254" s="10"/>
      <c r="J254" s="10"/>
      <c r="K254" s="10"/>
      <c r="L254" s="10"/>
      <c r="M254" s="10"/>
      <c r="N254" s="10"/>
      <c r="O254" s="10"/>
      <c r="P254" s="10"/>
      <c r="Q254" s="11"/>
      <c r="R254" s="9"/>
    </row>
    <row r="255" spans="1:18" ht="15" customHeight="1">
      <c r="A255" s="12"/>
      <c r="B255" s="12"/>
      <c r="C255" s="12"/>
      <c r="D255" s="12"/>
      <c r="E255" s="12"/>
      <c r="F255" s="12"/>
      <c r="G255" s="12"/>
      <c r="H255" s="12"/>
      <c r="I255" s="13"/>
      <c r="J255" s="13"/>
      <c r="K255" s="13"/>
      <c r="L255" s="13"/>
      <c r="M255" s="13"/>
      <c r="N255" s="13"/>
      <c r="O255" s="13"/>
      <c r="P255" s="13"/>
      <c r="Q255" s="11"/>
      <c r="R255" s="12"/>
    </row>
    <row r="256" spans="1:18" ht="15" customHeight="1">
      <c r="A256" s="9"/>
      <c r="B256" s="9"/>
      <c r="C256" s="9"/>
      <c r="D256" s="9"/>
      <c r="E256" s="9"/>
      <c r="F256" s="9"/>
      <c r="G256" s="9"/>
      <c r="H256" s="9"/>
      <c r="I256" s="10"/>
      <c r="J256" s="10"/>
      <c r="K256" s="10"/>
      <c r="L256" s="10"/>
      <c r="M256" s="10"/>
      <c r="N256" s="10"/>
      <c r="O256" s="10"/>
      <c r="P256" s="10"/>
      <c r="Q256" s="11"/>
      <c r="R256" s="9"/>
    </row>
    <row r="257" spans="1:18" ht="15" customHeight="1">
      <c r="A257" s="12"/>
      <c r="B257" s="12"/>
      <c r="C257" s="12"/>
      <c r="D257" s="12"/>
      <c r="E257" s="12"/>
      <c r="F257" s="12"/>
      <c r="G257" s="12"/>
      <c r="H257" s="12"/>
      <c r="I257" s="13"/>
      <c r="J257" s="13"/>
      <c r="K257" s="13"/>
      <c r="L257" s="13"/>
      <c r="M257" s="13"/>
      <c r="N257" s="13"/>
      <c r="O257" s="13"/>
      <c r="P257" s="13"/>
      <c r="Q257" s="11"/>
      <c r="R257" s="12"/>
    </row>
    <row r="258" spans="1:18" ht="15" customHeight="1">
      <c r="A258" s="9"/>
      <c r="B258" s="9"/>
      <c r="C258" s="9"/>
      <c r="D258" s="9"/>
      <c r="E258" s="9"/>
      <c r="F258" s="9"/>
      <c r="G258" s="9"/>
      <c r="H258" s="9"/>
      <c r="I258" s="10"/>
      <c r="J258" s="10"/>
      <c r="K258" s="10"/>
      <c r="L258" s="10"/>
      <c r="M258" s="10"/>
      <c r="N258" s="10"/>
      <c r="O258" s="10"/>
      <c r="P258" s="10"/>
      <c r="Q258" s="11"/>
      <c r="R258" s="9"/>
    </row>
    <row r="259" spans="1:18" ht="15" customHeight="1">
      <c r="A259" s="12"/>
      <c r="B259" s="12"/>
      <c r="C259" s="12"/>
      <c r="D259" s="12"/>
      <c r="E259" s="12"/>
      <c r="F259" s="12"/>
      <c r="G259" s="12"/>
      <c r="H259" s="12"/>
      <c r="I259" s="13"/>
      <c r="J259" s="13"/>
      <c r="K259" s="13"/>
      <c r="L259" s="13"/>
      <c r="M259" s="13"/>
      <c r="N259" s="13"/>
      <c r="O259" s="13"/>
      <c r="P259" s="13"/>
      <c r="Q259" s="11"/>
      <c r="R259" s="12"/>
    </row>
    <row r="260" spans="1:18" ht="15" customHeight="1">
      <c r="A260" s="9"/>
      <c r="B260" s="9"/>
      <c r="C260" s="9"/>
      <c r="D260" s="9"/>
      <c r="E260" s="9"/>
      <c r="F260" s="9"/>
      <c r="G260" s="9"/>
      <c r="H260" s="9"/>
      <c r="I260" s="10"/>
      <c r="J260" s="10"/>
      <c r="K260" s="10"/>
      <c r="L260" s="10"/>
      <c r="M260" s="10"/>
      <c r="N260" s="10"/>
      <c r="O260" s="10"/>
      <c r="P260" s="10"/>
      <c r="Q260" s="11"/>
      <c r="R260" s="9"/>
    </row>
    <row r="261" spans="1:18" ht="15" customHeight="1">
      <c r="A261" s="12"/>
      <c r="B261" s="12"/>
      <c r="C261" s="12"/>
      <c r="D261" s="12"/>
      <c r="E261" s="12"/>
      <c r="F261" s="12"/>
      <c r="G261" s="12"/>
      <c r="H261" s="12"/>
      <c r="I261" s="13"/>
      <c r="J261" s="13"/>
      <c r="K261" s="13"/>
      <c r="L261" s="13"/>
      <c r="M261" s="13"/>
      <c r="N261" s="13"/>
      <c r="O261" s="13"/>
      <c r="P261" s="13"/>
      <c r="Q261" s="11"/>
      <c r="R261" s="12"/>
    </row>
    <row r="262" spans="1:18" ht="15" customHeight="1">
      <c r="A262" s="9"/>
      <c r="B262" s="9"/>
      <c r="C262" s="9"/>
      <c r="D262" s="9"/>
      <c r="E262" s="9"/>
      <c r="F262" s="9"/>
      <c r="G262" s="9"/>
      <c r="H262" s="9"/>
      <c r="I262" s="10"/>
      <c r="J262" s="10"/>
      <c r="K262" s="10"/>
      <c r="L262" s="10"/>
      <c r="M262" s="10"/>
      <c r="N262" s="10"/>
      <c r="O262" s="10"/>
      <c r="P262" s="10"/>
      <c r="Q262" s="11"/>
      <c r="R262" s="9"/>
    </row>
    <row r="263" spans="1:18" ht="15" customHeight="1">
      <c r="A263" s="12"/>
      <c r="B263" s="12"/>
      <c r="C263" s="12"/>
      <c r="D263" s="12"/>
      <c r="E263" s="12"/>
      <c r="F263" s="12"/>
      <c r="G263" s="12"/>
      <c r="H263" s="12"/>
      <c r="I263" s="13"/>
      <c r="J263" s="13"/>
      <c r="K263" s="13"/>
      <c r="L263" s="13"/>
      <c r="M263" s="13"/>
      <c r="N263" s="13"/>
      <c r="O263" s="13"/>
      <c r="P263" s="13"/>
      <c r="Q263" s="11"/>
      <c r="R263" s="12"/>
    </row>
    <row r="264" spans="1:18" ht="15" customHeight="1">
      <c r="A264" s="9"/>
      <c r="B264" s="9"/>
      <c r="C264" s="9"/>
      <c r="D264" s="9"/>
      <c r="E264" s="9"/>
      <c r="F264" s="9"/>
      <c r="G264" s="9"/>
      <c r="H264" s="9"/>
      <c r="I264" s="10"/>
      <c r="J264" s="10"/>
      <c r="K264" s="10"/>
      <c r="L264" s="10"/>
      <c r="M264" s="10"/>
      <c r="N264" s="10"/>
      <c r="O264" s="10"/>
      <c r="P264" s="10"/>
      <c r="Q264" s="11"/>
      <c r="R264" s="9"/>
    </row>
    <row r="265" spans="1:18" ht="15" customHeight="1">
      <c r="A265" s="12"/>
      <c r="B265" s="12"/>
      <c r="C265" s="12"/>
      <c r="D265" s="12"/>
      <c r="E265" s="12"/>
      <c r="F265" s="12"/>
      <c r="G265" s="12"/>
      <c r="H265" s="12"/>
      <c r="I265" s="13"/>
      <c r="J265" s="13"/>
      <c r="K265" s="13"/>
      <c r="L265" s="13"/>
      <c r="M265" s="13"/>
      <c r="N265" s="13"/>
      <c r="O265" s="13"/>
      <c r="P265" s="13"/>
      <c r="Q265" s="11"/>
      <c r="R265" s="12"/>
    </row>
    <row r="266" spans="1:18" ht="15" customHeight="1">
      <c r="A266" s="9"/>
      <c r="B266" s="9"/>
      <c r="C266" s="9"/>
      <c r="D266" s="9"/>
      <c r="E266" s="9"/>
      <c r="F266" s="9"/>
      <c r="G266" s="9"/>
      <c r="H266" s="9"/>
      <c r="I266" s="10"/>
      <c r="J266" s="10"/>
      <c r="K266" s="10"/>
      <c r="L266" s="10"/>
      <c r="M266" s="10"/>
      <c r="N266" s="10"/>
      <c r="O266" s="10"/>
      <c r="P266" s="10"/>
      <c r="Q266" s="11"/>
      <c r="R266" s="9"/>
    </row>
    <row r="267" spans="1:18" ht="15" customHeight="1">
      <c r="A267" s="12"/>
      <c r="B267" s="12"/>
      <c r="C267" s="12"/>
      <c r="D267" s="12"/>
      <c r="E267" s="12"/>
      <c r="F267" s="12"/>
      <c r="G267" s="12"/>
      <c r="H267" s="12"/>
      <c r="I267" s="13"/>
      <c r="J267" s="13"/>
      <c r="K267" s="13"/>
      <c r="L267" s="13"/>
      <c r="M267" s="13"/>
      <c r="N267" s="13"/>
      <c r="O267" s="13"/>
      <c r="P267" s="13"/>
      <c r="Q267" s="11"/>
      <c r="R267" s="12"/>
    </row>
    <row r="268" spans="1:18" ht="15" customHeight="1">
      <c r="A268" s="9"/>
      <c r="B268" s="9"/>
      <c r="C268" s="9"/>
      <c r="D268" s="9"/>
      <c r="E268" s="9"/>
      <c r="F268" s="9"/>
      <c r="G268" s="9"/>
      <c r="H268" s="9"/>
      <c r="I268" s="10"/>
      <c r="J268" s="10"/>
      <c r="K268" s="10"/>
      <c r="L268" s="10"/>
      <c r="M268" s="10"/>
      <c r="N268" s="10"/>
      <c r="O268" s="10"/>
      <c r="P268" s="10"/>
      <c r="Q268" s="11"/>
      <c r="R268" s="9"/>
    </row>
    <row r="269" spans="1:18" ht="15" customHeight="1">
      <c r="A269" s="12"/>
      <c r="B269" s="12"/>
      <c r="C269" s="12"/>
      <c r="D269" s="12"/>
      <c r="E269" s="12"/>
      <c r="F269" s="12"/>
      <c r="G269" s="12"/>
      <c r="H269" s="12"/>
      <c r="I269" s="13"/>
      <c r="J269" s="13"/>
      <c r="K269" s="13"/>
      <c r="L269" s="13"/>
      <c r="M269" s="13"/>
      <c r="N269" s="13"/>
      <c r="O269" s="13"/>
      <c r="P269" s="13"/>
      <c r="Q269" s="11"/>
      <c r="R269" s="12"/>
    </row>
    <row r="270" spans="1:18" ht="15" customHeight="1">
      <c r="A270" s="9"/>
      <c r="B270" s="9"/>
      <c r="C270" s="9"/>
      <c r="D270" s="9"/>
      <c r="E270" s="9"/>
      <c r="F270" s="9"/>
      <c r="G270" s="9"/>
      <c r="H270" s="9"/>
      <c r="I270" s="10"/>
      <c r="J270" s="10"/>
      <c r="K270" s="10"/>
      <c r="L270" s="10"/>
      <c r="M270" s="10"/>
      <c r="N270" s="10"/>
      <c r="O270" s="10"/>
      <c r="P270" s="10"/>
      <c r="Q270" s="11"/>
      <c r="R270" s="9"/>
    </row>
    <row r="271" spans="1:18" ht="15" customHeight="1">
      <c r="A271" s="12"/>
      <c r="B271" s="12"/>
      <c r="C271" s="12"/>
      <c r="D271" s="12"/>
      <c r="E271" s="12"/>
      <c r="F271" s="12"/>
      <c r="G271" s="12"/>
      <c r="H271" s="12"/>
      <c r="I271" s="13"/>
      <c r="J271" s="13"/>
      <c r="K271" s="13"/>
      <c r="L271" s="13"/>
      <c r="M271" s="13"/>
      <c r="N271" s="13"/>
      <c r="O271" s="13"/>
      <c r="P271" s="13"/>
      <c r="Q271" s="11"/>
      <c r="R271" s="12"/>
    </row>
    <row r="272" spans="1:18" ht="15" customHeight="1">
      <c r="A272" s="9"/>
      <c r="B272" s="9"/>
      <c r="C272" s="9"/>
      <c r="D272" s="9"/>
      <c r="E272" s="9"/>
      <c r="F272" s="9"/>
      <c r="G272" s="9"/>
      <c r="H272" s="9"/>
      <c r="I272" s="10"/>
      <c r="J272" s="10"/>
      <c r="K272" s="10"/>
      <c r="L272" s="10"/>
      <c r="M272" s="10"/>
      <c r="N272" s="10"/>
      <c r="O272" s="10"/>
      <c r="P272" s="10"/>
      <c r="Q272" s="11"/>
      <c r="R272" s="9"/>
    </row>
    <row r="273" spans="1:18" ht="15" customHeight="1">
      <c r="A273" s="12"/>
      <c r="B273" s="12"/>
      <c r="C273" s="12"/>
      <c r="D273" s="12"/>
      <c r="E273" s="12"/>
      <c r="F273" s="12"/>
      <c r="G273" s="12"/>
      <c r="H273" s="12"/>
      <c r="I273" s="13"/>
      <c r="J273" s="13"/>
      <c r="K273" s="13"/>
      <c r="L273" s="13"/>
      <c r="M273" s="13"/>
      <c r="N273" s="13"/>
      <c r="O273" s="13"/>
      <c r="P273" s="13"/>
      <c r="Q273" s="11"/>
      <c r="R273" s="12"/>
    </row>
    <row r="274" spans="1:18" ht="15" customHeight="1">
      <c r="A274" s="9"/>
      <c r="B274" s="9"/>
      <c r="C274" s="9"/>
      <c r="D274" s="9"/>
      <c r="E274" s="9"/>
      <c r="F274" s="9"/>
      <c r="G274" s="9"/>
      <c r="H274" s="9"/>
      <c r="I274" s="10"/>
      <c r="J274" s="10"/>
      <c r="K274" s="10"/>
      <c r="L274" s="10"/>
      <c r="M274" s="10"/>
      <c r="N274" s="10"/>
      <c r="O274" s="10"/>
      <c r="P274" s="10"/>
      <c r="Q274" s="11"/>
      <c r="R274" s="9"/>
    </row>
    <row r="275" spans="1:18" ht="15" customHeight="1">
      <c r="A275" s="12"/>
      <c r="B275" s="12"/>
      <c r="C275" s="12"/>
      <c r="D275" s="12"/>
      <c r="E275" s="12"/>
      <c r="F275" s="12"/>
      <c r="G275" s="12"/>
      <c r="H275" s="12"/>
      <c r="I275" s="13"/>
      <c r="J275" s="13"/>
      <c r="K275" s="13"/>
      <c r="L275" s="13"/>
      <c r="M275" s="13"/>
      <c r="N275" s="13"/>
      <c r="O275" s="13"/>
      <c r="P275" s="13"/>
      <c r="Q275" s="11"/>
      <c r="R275" s="12"/>
    </row>
    <row r="276" spans="1:18" ht="15" customHeight="1">
      <c r="A276" s="9"/>
      <c r="B276" s="9"/>
      <c r="C276" s="9"/>
      <c r="D276" s="9"/>
      <c r="E276" s="9"/>
      <c r="F276" s="9"/>
      <c r="G276" s="9"/>
      <c r="H276" s="9"/>
      <c r="I276" s="10"/>
      <c r="J276" s="10"/>
      <c r="K276" s="10"/>
      <c r="L276" s="10"/>
      <c r="M276" s="10"/>
      <c r="N276" s="10"/>
      <c r="O276" s="10"/>
      <c r="P276" s="10"/>
      <c r="Q276" s="11"/>
      <c r="R276" s="9"/>
    </row>
    <row r="277" spans="1:18" ht="15" customHeight="1">
      <c r="A277" s="12"/>
      <c r="B277" s="12"/>
      <c r="C277" s="12"/>
      <c r="D277" s="12"/>
      <c r="E277" s="12"/>
      <c r="F277" s="12"/>
      <c r="G277" s="12"/>
      <c r="H277" s="12"/>
      <c r="I277" s="13"/>
      <c r="J277" s="13"/>
      <c r="K277" s="13"/>
      <c r="L277" s="13"/>
      <c r="M277" s="13"/>
      <c r="N277" s="13"/>
      <c r="O277" s="13"/>
      <c r="P277" s="13"/>
      <c r="Q277" s="11"/>
      <c r="R277" s="12"/>
    </row>
    <row r="278" spans="1:18" ht="15" customHeight="1">
      <c r="A278" s="9"/>
      <c r="B278" s="9"/>
      <c r="C278" s="9"/>
      <c r="D278" s="9"/>
      <c r="E278" s="9"/>
      <c r="F278" s="9"/>
      <c r="G278" s="9"/>
      <c r="H278" s="9"/>
      <c r="I278" s="10"/>
      <c r="J278" s="10"/>
      <c r="K278" s="10"/>
      <c r="L278" s="10"/>
      <c r="M278" s="10"/>
      <c r="N278" s="10"/>
      <c r="O278" s="10"/>
      <c r="P278" s="10"/>
      <c r="Q278" s="11"/>
      <c r="R278" s="9"/>
    </row>
    <row r="279" spans="1:18" ht="15" customHeight="1">
      <c r="A279" s="12"/>
      <c r="B279" s="12"/>
      <c r="C279" s="12"/>
      <c r="D279" s="12"/>
      <c r="E279" s="12"/>
      <c r="F279" s="12"/>
      <c r="G279" s="12"/>
      <c r="H279" s="12"/>
      <c r="I279" s="13"/>
      <c r="J279" s="13"/>
      <c r="K279" s="13"/>
      <c r="L279" s="13"/>
      <c r="M279" s="13"/>
      <c r="N279" s="13"/>
      <c r="O279" s="13"/>
      <c r="P279" s="13"/>
      <c r="Q279" s="11"/>
      <c r="R279" s="12"/>
    </row>
    <row r="280" spans="1:18" ht="15" customHeight="1">
      <c r="A280" s="9"/>
      <c r="B280" s="9"/>
      <c r="C280" s="9"/>
      <c r="D280" s="9"/>
      <c r="E280" s="9"/>
      <c r="F280" s="9"/>
      <c r="G280" s="9"/>
      <c r="H280" s="9"/>
      <c r="I280" s="10"/>
      <c r="J280" s="10"/>
      <c r="K280" s="10"/>
      <c r="L280" s="10"/>
      <c r="M280" s="10"/>
      <c r="N280" s="10"/>
      <c r="O280" s="10"/>
      <c r="P280" s="10"/>
      <c r="Q280" s="11"/>
      <c r="R280" s="9"/>
    </row>
    <row r="281" spans="1:18" ht="15" customHeight="1">
      <c r="A281" s="12"/>
      <c r="B281" s="12"/>
      <c r="C281" s="12"/>
      <c r="D281" s="12"/>
      <c r="E281" s="12"/>
      <c r="F281" s="12"/>
      <c r="G281" s="12"/>
      <c r="H281" s="12"/>
      <c r="I281" s="13"/>
      <c r="J281" s="13"/>
      <c r="K281" s="13"/>
      <c r="L281" s="13"/>
      <c r="M281" s="13"/>
      <c r="N281" s="13"/>
      <c r="O281" s="13"/>
      <c r="P281" s="13"/>
      <c r="Q281" s="11"/>
      <c r="R281" s="12"/>
    </row>
    <row r="282" spans="1:18" ht="15" customHeight="1">
      <c r="A282" s="9"/>
      <c r="B282" s="9"/>
      <c r="C282" s="9"/>
      <c r="D282" s="9"/>
      <c r="E282" s="9"/>
      <c r="F282" s="9"/>
      <c r="G282" s="9"/>
      <c r="H282" s="9"/>
      <c r="I282" s="10"/>
      <c r="J282" s="10"/>
      <c r="K282" s="10"/>
      <c r="L282" s="10"/>
      <c r="M282" s="10"/>
      <c r="N282" s="10"/>
      <c r="O282" s="10"/>
      <c r="P282" s="10"/>
      <c r="Q282" s="11"/>
      <c r="R282" s="9"/>
    </row>
    <row r="283" spans="1:18" ht="15" customHeight="1">
      <c r="A283" s="12"/>
      <c r="B283" s="12"/>
      <c r="C283" s="12"/>
      <c r="D283" s="12"/>
      <c r="E283" s="12"/>
      <c r="F283" s="12"/>
      <c r="G283" s="12"/>
      <c r="H283" s="12"/>
      <c r="I283" s="13"/>
      <c r="J283" s="13"/>
      <c r="K283" s="13"/>
      <c r="L283" s="13"/>
      <c r="M283" s="13"/>
      <c r="N283" s="13"/>
      <c r="O283" s="13"/>
      <c r="P283" s="13"/>
      <c r="Q283" s="11"/>
      <c r="R283" s="12"/>
    </row>
    <row r="284" spans="1:18" ht="15" customHeight="1">
      <c r="A284" s="9"/>
      <c r="B284" s="9"/>
      <c r="C284" s="9"/>
      <c r="D284" s="9"/>
      <c r="E284" s="9"/>
      <c r="F284" s="9"/>
      <c r="G284" s="9"/>
      <c r="H284" s="9"/>
      <c r="I284" s="10"/>
      <c r="J284" s="10"/>
      <c r="K284" s="10"/>
      <c r="L284" s="10"/>
      <c r="M284" s="10"/>
      <c r="N284" s="10"/>
      <c r="O284" s="10"/>
      <c r="P284" s="10"/>
      <c r="Q284" s="11"/>
      <c r="R284" s="9"/>
    </row>
    <row r="285" spans="1:18" ht="15" customHeight="1">
      <c r="A285" s="12"/>
      <c r="B285" s="12"/>
      <c r="C285" s="12"/>
      <c r="D285" s="12"/>
      <c r="E285" s="12"/>
      <c r="F285" s="12"/>
      <c r="G285" s="12"/>
      <c r="H285" s="12"/>
      <c r="I285" s="13"/>
      <c r="J285" s="13"/>
      <c r="K285" s="13"/>
      <c r="L285" s="13"/>
      <c r="M285" s="13"/>
      <c r="N285" s="13"/>
      <c r="O285" s="13"/>
      <c r="P285" s="13"/>
      <c r="Q285" s="11"/>
      <c r="R285" s="12"/>
    </row>
    <row r="286" spans="1:18" ht="15" customHeight="1">
      <c r="A286" s="9"/>
      <c r="B286" s="9"/>
      <c r="C286" s="9"/>
      <c r="D286" s="9"/>
      <c r="E286" s="9"/>
      <c r="F286" s="9"/>
      <c r="G286" s="9"/>
      <c r="H286" s="9"/>
      <c r="I286" s="10"/>
      <c r="J286" s="10"/>
      <c r="K286" s="10"/>
      <c r="L286" s="10"/>
      <c r="M286" s="10"/>
      <c r="N286" s="10"/>
      <c r="O286" s="10"/>
      <c r="P286" s="10"/>
      <c r="Q286" s="11"/>
      <c r="R286" s="9"/>
    </row>
    <row r="287" spans="1:18" ht="15" customHeight="1">
      <c r="A287" s="12"/>
      <c r="B287" s="12"/>
      <c r="C287" s="12"/>
      <c r="D287" s="12"/>
      <c r="E287" s="12"/>
      <c r="F287" s="12"/>
      <c r="G287" s="12"/>
      <c r="H287" s="12"/>
      <c r="I287" s="13"/>
      <c r="J287" s="13"/>
      <c r="K287" s="13"/>
      <c r="L287" s="13"/>
      <c r="M287" s="13"/>
      <c r="N287" s="13"/>
      <c r="O287" s="13"/>
      <c r="P287" s="13"/>
      <c r="Q287" s="11"/>
      <c r="R287" s="12"/>
    </row>
    <row r="288" spans="1:18" ht="15" customHeight="1">
      <c r="A288" s="9"/>
      <c r="B288" s="9"/>
      <c r="C288" s="9"/>
      <c r="D288" s="9"/>
      <c r="E288" s="9"/>
      <c r="F288" s="9"/>
      <c r="G288" s="9"/>
      <c r="H288" s="9"/>
      <c r="I288" s="10"/>
      <c r="J288" s="10"/>
      <c r="K288" s="10"/>
      <c r="L288" s="10"/>
      <c r="M288" s="10"/>
      <c r="N288" s="10"/>
      <c r="O288" s="10"/>
      <c r="P288" s="10"/>
      <c r="Q288" s="11"/>
      <c r="R288" s="9"/>
    </row>
    <row r="289" spans="1:18" ht="15" customHeight="1">
      <c r="A289" s="12"/>
      <c r="B289" s="12"/>
      <c r="C289" s="12"/>
      <c r="D289" s="12"/>
      <c r="E289" s="12"/>
      <c r="F289" s="12"/>
      <c r="G289" s="12"/>
      <c r="H289" s="12"/>
      <c r="I289" s="13"/>
      <c r="J289" s="13"/>
      <c r="K289" s="13"/>
      <c r="L289" s="13"/>
      <c r="M289" s="13"/>
      <c r="N289" s="13"/>
      <c r="O289" s="13"/>
      <c r="P289" s="13"/>
      <c r="Q289" s="11"/>
      <c r="R289" s="12"/>
    </row>
    <row r="290" spans="1:18" ht="15" customHeight="1">
      <c r="A290" s="9"/>
      <c r="B290" s="9"/>
      <c r="C290" s="9"/>
      <c r="D290" s="9"/>
      <c r="E290" s="9"/>
      <c r="F290" s="9"/>
      <c r="G290" s="9"/>
      <c r="H290" s="9"/>
      <c r="I290" s="10"/>
      <c r="J290" s="10"/>
      <c r="K290" s="10"/>
      <c r="L290" s="10"/>
      <c r="M290" s="10"/>
      <c r="N290" s="10"/>
      <c r="O290" s="10"/>
      <c r="P290" s="10"/>
      <c r="Q290" s="11"/>
      <c r="R290" s="9"/>
    </row>
    <row r="291" spans="1:18" ht="15" customHeight="1">
      <c r="A291" s="12"/>
      <c r="B291" s="12"/>
      <c r="C291" s="12"/>
      <c r="D291" s="12"/>
      <c r="E291" s="12"/>
      <c r="F291" s="12"/>
      <c r="G291" s="12"/>
      <c r="H291" s="12"/>
      <c r="I291" s="13"/>
      <c r="J291" s="13"/>
      <c r="K291" s="13"/>
      <c r="L291" s="13"/>
      <c r="M291" s="13"/>
      <c r="N291" s="13"/>
      <c r="O291" s="13"/>
      <c r="P291" s="13"/>
      <c r="Q291" s="11"/>
      <c r="R291" s="12"/>
    </row>
    <row r="292" spans="1:18" ht="15" customHeight="1">
      <c r="A292" s="9"/>
      <c r="B292" s="9"/>
      <c r="C292" s="9"/>
      <c r="D292" s="9"/>
      <c r="E292" s="9"/>
      <c r="F292" s="9"/>
      <c r="G292" s="9"/>
      <c r="H292" s="9"/>
      <c r="I292" s="10"/>
      <c r="J292" s="10"/>
      <c r="K292" s="10"/>
      <c r="L292" s="10"/>
      <c r="M292" s="10"/>
      <c r="N292" s="10"/>
      <c r="O292" s="10"/>
      <c r="P292" s="10"/>
      <c r="Q292" s="11"/>
      <c r="R292" s="9"/>
    </row>
    <row r="293" spans="1:18" ht="15" customHeight="1">
      <c r="A293" s="12"/>
      <c r="B293" s="12"/>
      <c r="C293" s="12"/>
      <c r="D293" s="12"/>
      <c r="E293" s="12"/>
      <c r="F293" s="12"/>
      <c r="G293" s="12"/>
      <c r="H293" s="12"/>
      <c r="I293" s="13"/>
      <c r="J293" s="13"/>
      <c r="K293" s="13"/>
      <c r="L293" s="13"/>
      <c r="M293" s="13"/>
      <c r="N293" s="13"/>
      <c r="O293" s="13"/>
      <c r="P293" s="13"/>
      <c r="Q293" s="11"/>
      <c r="R293" s="12"/>
    </row>
    <row r="294" spans="1:18" ht="15" customHeight="1">
      <c r="A294" s="9"/>
      <c r="B294" s="9"/>
      <c r="C294" s="9"/>
      <c r="D294" s="9"/>
      <c r="E294" s="9"/>
      <c r="F294" s="9"/>
      <c r="G294" s="9"/>
      <c r="H294" s="9"/>
      <c r="I294" s="10"/>
      <c r="J294" s="10"/>
      <c r="K294" s="10"/>
      <c r="L294" s="10"/>
      <c r="M294" s="10"/>
      <c r="N294" s="10"/>
      <c r="O294" s="10"/>
      <c r="P294" s="10"/>
      <c r="Q294" s="11"/>
      <c r="R294" s="9"/>
    </row>
    <row r="295" spans="1:18" ht="15" customHeight="1">
      <c r="A295" s="12"/>
      <c r="B295" s="12"/>
      <c r="C295" s="12"/>
      <c r="D295" s="12"/>
      <c r="E295" s="12"/>
      <c r="F295" s="12"/>
      <c r="G295" s="12"/>
      <c r="H295" s="12"/>
      <c r="I295" s="13"/>
      <c r="J295" s="13"/>
      <c r="K295" s="13"/>
      <c r="L295" s="13"/>
      <c r="M295" s="13"/>
      <c r="N295" s="13"/>
      <c r="O295" s="13"/>
      <c r="P295" s="13"/>
      <c r="Q295" s="11"/>
      <c r="R295" s="12"/>
    </row>
    <row r="296" spans="1:18" ht="15" customHeight="1">
      <c r="A296" s="9"/>
      <c r="B296" s="9"/>
      <c r="C296" s="9"/>
      <c r="D296" s="9"/>
      <c r="E296" s="9"/>
      <c r="F296" s="9"/>
      <c r="G296" s="9"/>
      <c r="H296" s="9"/>
      <c r="I296" s="10"/>
      <c r="J296" s="10"/>
      <c r="K296" s="10"/>
      <c r="L296" s="10"/>
      <c r="M296" s="10"/>
      <c r="N296" s="10"/>
      <c r="O296" s="10"/>
      <c r="P296" s="10"/>
      <c r="Q296" s="11"/>
      <c r="R296" s="9"/>
    </row>
    <row r="297" spans="1:18" ht="15" customHeight="1">
      <c r="A297" s="12"/>
      <c r="B297" s="12"/>
      <c r="C297" s="12"/>
      <c r="D297" s="12"/>
      <c r="E297" s="12"/>
      <c r="F297" s="12"/>
      <c r="G297" s="12"/>
      <c r="H297" s="12"/>
      <c r="I297" s="13"/>
      <c r="J297" s="13"/>
      <c r="K297" s="13"/>
      <c r="L297" s="13"/>
      <c r="M297" s="13"/>
      <c r="N297" s="13"/>
      <c r="O297" s="13"/>
      <c r="P297" s="13"/>
      <c r="Q297" s="11"/>
      <c r="R297" s="12"/>
    </row>
    <row r="298" spans="1:18" ht="15" customHeight="1">
      <c r="A298" s="9"/>
      <c r="B298" s="9"/>
      <c r="C298" s="9"/>
      <c r="D298" s="9"/>
      <c r="E298" s="9"/>
      <c r="F298" s="9"/>
      <c r="G298" s="9"/>
      <c r="H298" s="9"/>
      <c r="I298" s="10"/>
      <c r="J298" s="10"/>
      <c r="K298" s="10"/>
      <c r="L298" s="10"/>
      <c r="M298" s="10"/>
      <c r="N298" s="10"/>
      <c r="O298" s="10"/>
      <c r="P298" s="10"/>
      <c r="Q298" s="11"/>
      <c r="R298" s="9"/>
    </row>
    <row r="299" spans="1:18" ht="15" customHeight="1">
      <c r="A299" s="12"/>
      <c r="B299" s="12"/>
      <c r="C299" s="12"/>
      <c r="D299" s="12"/>
      <c r="E299" s="12"/>
      <c r="F299" s="12"/>
      <c r="G299" s="12"/>
      <c r="H299" s="12"/>
      <c r="I299" s="13"/>
      <c r="J299" s="13"/>
      <c r="K299" s="13"/>
      <c r="L299" s="13"/>
      <c r="M299" s="13"/>
      <c r="N299" s="13"/>
      <c r="O299" s="13"/>
      <c r="P299" s="13"/>
      <c r="Q299" s="11"/>
      <c r="R299" s="12"/>
    </row>
    <row r="300" spans="1:18" ht="15" customHeight="1">
      <c r="A300" s="9"/>
      <c r="B300" s="9"/>
      <c r="C300" s="9"/>
      <c r="D300" s="9"/>
      <c r="E300" s="9"/>
      <c r="F300" s="9"/>
      <c r="G300" s="9"/>
      <c r="H300" s="9"/>
      <c r="I300" s="10"/>
      <c r="J300" s="10"/>
      <c r="K300" s="10"/>
      <c r="L300" s="10"/>
      <c r="M300" s="10"/>
      <c r="N300" s="10"/>
      <c r="O300" s="10"/>
      <c r="P300" s="10"/>
      <c r="Q300" s="11"/>
      <c r="R300" s="9"/>
    </row>
    <row r="301" spans="1:18" ht="15" customHeight="1">
      <c r="A301" s="12"/>
      <c r="B301" s="12"/>
      <c r="C301" s="12"/>
      <c r="D301" s="12"/>
      <c r="E301" s="12"/>
      <c r="F301" s="12"/>
      <c r="G301" s="12"/>
      <c r="H301" s="12"/>
      <c r="I301" s="13"/>
      <c r="J301" s="13"/>
      <c r="K301" s="13"/>
      <c r="L301" s="13"/>
      <c r="M301" s="13"/>
      <c r="N301" s="13"/>
      <c r="O301" s="13"/>
      <c r="P301" s="13"/>
      <c r="Q301" s="11"/>
      <c r="R301" s="12"/>
    </row>
    <row r="302" spans="1:18" ht="15" customHeight="1">
      <c r="A302" s="9"/>
      <c r="B302" s="9"/>
      <c r="C302" s="9"/>
      <c r="D302" s="9"/>
      <c r="E302" s="9"/>
      <c r="F302" s="9"/>
      <c r="G302" s="9"/>
      <c r="H302" s="9"/>
      <c r="I302" s="10"/>
      <c r="J302" s="10"/>
      <c r="K302" s="10"/>
      <c r="L302" s="10"/>
      <c r="M302" s="10"/>
      <c r="N302" s="10"/>
      <c r="O302" s="10"/>
      <c r="P302" s="10"/>
      <c r="Q302" s="11"/>
      <c r="R302" s="9"/>
    </row>
    <row r="303" spans="1:18" ht="15" customHeight="1">
      <c r="A303" s="12"/>
      <c r="B303" s="12"/>
      <c r="C303" s="12"/>
      <c r="D303" s="12"/>
      <c r="E303" s="12"/>
      <c r="F303" s="12"/>
      <c r="G303" s="12"/>
      <c r="H303" s="12"/>
      <c r="I303" s="13"/>
      <c r="J303" s="13"/>
      <c r="K303" s="13"/>
      <c r="L303" s="13"/>
      <c r="M303" s="13"/>
      <c r="N303" s="13"/>
      <c r="O303" s="13"/>
      <c r="P303" s="13"/>
      <c r="Q303" s="11"/>
      <c r="R303" s="12"/>
    </row>
    <row r="304" spans="1:18" ht="15" customHeight="1">
      <c r="A304" s="9"/>
      <c r="B304" s="9"/>
      <c r="C304" s="9"/>
      <c r="D304" s="9"/>
      <c r="E304" s="9"/>
      <c r="F304" s="9"/>
      <c r="G304" s="9"/>
      <c r="H304" s="9"/>
      <c r="I304" s="10"/>
      <c r="J304" s="10"/>
      <c r="K304" s="10"/>
      <c r="L304" s="10"/>
      <c r="M304" s="10"/>
      <c r="N304" s="10"/>
      <c r="O304" s="10"/>
      <c r="P304" s="10"/>
      <c r="Q304" s="11"/>
      <c r="R304" s="9"/>
    </row>
    <row r="305" spans="1:18" ht="15" customHeight="1">
      <c r="A305" s="12"/>
      <c r="B305" s="12"/>
      <c r="C305" s="12"/>
      <c r="D305" s="12"/>
      <c r="E305" s="12"/>
      <c r="F305" s="12"/>
      <c r="G305" s="12"/>
      <c r="H305" s="12"/>
      <c r="I305" s="13"/>
      <c r="J305" s="13"/>
      <c r="K305" s="13"/>
      <c r="L305" s="13"/>
      <c r="M305" s="13"/>
      <c r="N305" s="13"/>
      <c r="O305" s="13"/>
      <c r="P305" s="13"/>
      <c r="Q305" s="11"/>
      <c r="R305" s="12"/>
    </row>
    <row r="306" spans="1:18" ht="15" customHeight="1">
      <c r="A306" s="9"/>
      <c r="B306" s="9"/>
      <c r="C306" s="9"/>
      <c r="D306" s="9"/>
      <c r="E306" s="9"/>
      <c r="F306" s="9"/>
      <c r="G306" s="9"/>
      <c r="H306" s="9"/>
      <c r="I306" s="10"/>
      <c r="J306" s="10"/>
      <c r="K306" s="10"/>
      <c r="L306" s="10"/>
      <c r="M306" s="10"/>
      <c r="N306" s="10"/>
      <c r="O306" s="10"/>
      <c r="P306" s="10"/>
      <c r="Q306" s="11"/>
      <c r="R306" s="9"/>
    </row>
    <row r="307" spans="1:18" ht="15" customHeight="1">
      <c r="A307" s="12"/>
      <c r="B307" s="12"/>
      <c r="C307" s="12"/>
      <c r="D307" s="12"/>
      <c r="E307" s="12"/>
      <c r="F307" s="12"/>
      <c r="G307" s="12"/>
      <c r="H307" s="12"/>
      <c r="I307" s="13"/>
      <c r="J307" s="13"/>
      <c r="K307" s="13"/>
      <c r="L307" s="13"/>
      <c r="M307" s="13"/>
      <c r="N307" s="13"/>
      <c r="O307" s="13"/>
      <c r="P307" s="13"/>
      <c r="Q307" s="11"/>
      <c r="R307" s="12"/>
    </row>
    <row r="308" spans="1:18" ht="15" customHeight="1">
      <c r="A308" s="9"/>
      <c r="B308" s="9"/>
      <c r="C308" s="9"/>
      <c r="D308" s="9"/>
      <c r="E308" s="9"/>
      <c r="F308" s="9"/>
      <c r="G308" s="9"/>
      <c r="H308" s="9"/>
      <c r="I308" s="10"/>
      <c r="J308" s="10"/>
      <c r="K308" s="10"/>
      <c r="L308" s="10"/>
      <c r="M308" s="10"/>
      <c r="N308" s="10"/>
      <c r="O308" s="10"/>
      <c r="P308" s="10"/>
      <c r="Q308" s="11"/>
      <c r="R308" s="9"/>
    </row>
    <row r="309" spans="1:18" ht="15" customHeight="1">
      <c r="A309" s="12"/>
      <c r="B309" s="12"/>
      <c r="C309" s="12"/>
      <c r="D309" s="12"/>
      <c r="E309" s="12"/>
      <c r="F309" s="12"/>
      <c r="G309" s="12"/>
      <c r="H309" s="12"/>
      <c r="I309" s="13"/>
      <c r="J309" s="13"/>
      <c r="K309" s="13"/>
      <c r="L309" s="13"/>
      <c r="M309" s="13"/>
      <c r="N309" s="13"/>
      <c r="O309" s="13"/>
      <c r="P309" s="13"/>
      <c r="Q309" s="11"/>
      <c r="R309" s="12"/>
    </row>
    <row r="310" spans="1:18" ht="15" customHeight="1">
      <c r="A310" s="9"/>
      <c r="B310" s="9"/>
      <c r="C310" s="9"/>
      <c r="D310" s="9"/>
      <c r="E310" s="9"/>
      <c r="F310" s="9"/>
      <c r="G310" s="9"/>
      <c r="H310" s="9"/>
      <c r="I310" s="10"/>
      <c r="J310" s="10"/>
      <c r="K310" s="10"/>
      <c r="L310" s="10"/>
      <c r="M310" s="10"/>
      <c r="N310" s="10"/>
      <c r="O310" s="10"/>
      <c r="P310" s="10"/>
      <c r="Q310" s="11"/>
      <c r="R310" s="9"/>
    </row>
    <row r="311" spans="1:18" ht="15" customHeight="1">
      <c r="A311" s="12"/>
      <c r="B311" s="12"/>
      <c r="C311" s="12"/>
      <c r="D311" s="12"/>
      <c r="E311" s="12"/>
      <c r="F311" s="12"/>
      <c r="G311" s="12"/>
      <c r="H311" s="12"/>
      <c r="I311" s="13"/>
      <c r="J311" s="13"/>
      <c r="K311" s="13"/>
      <c r="L311" s="13"/>
      <c r="M311" s="13"/>
      <c r="N311" s="13"/>
      <c r="O311" s="13"/>
      <c r="P311" s="13"/>
      <c r="Q311" s="11"/>
      <c r="R311" s="12"/>
    </row>
    <row r="312" spans="1:18" ht="15" customHeight="1">
      <c r="A312" s="9"/>
      <c r="B312" s="9"/>
      <c r="C312" s="9"/>
      <c r="D312" s="9"/>
      <c r="E312" s="9"/>
      <c r="F312" s="9"/>
      <c r="G312" s="9"/>
      <c r="H312" s="9"/>
      <c r="I312" s="10"/>
      <c r="J312" s="10"/>
      <c r="K312" s="10"/>
      <c r="L312" s="10"/>
      <c r="M312" s="10"/>
      <c r="N312" s="10"/>
      <c r="O312" s="10"/>
      <c r="P312" s="10"/>
      <c r="Q312" s="11"/>
      <c r="R312" s="9"/>
    </row>
    <row r="313" spans="1:18" ht="15" customHeight="1">
      <c r="A313" s="12"/>
      <c r="B313" s="12"/>
      <c r="C313" s="12"/>
      <c r="D313" s="12"/>
      <c r="E313" s="12"/>
      <c r="F313" s="12"/>
      <c r="G313" s="12"/>
      <c r="H313" s="12"/>
      <c r="I313" s="13"/>
      <c r="J313" s="13"/>
      <c r="K313" s="13"/>
      <c r="L313" s="13"/>
      <c r="M313" s="13"/>
      <c r="N313" s="13"/>
      <c r="O313" s="13"/>
      <c r="P313" s="13"/>
      <c r="Q313" s="11"/>
      <c r="R313" s="12"/>
    </row>
    <row r="314" spans="1:18" ht="15" customHeight="1">
      <c r="A314" s="9"/>
      <c r="B314" s="9"/>
      <c r="C314" s="9"/>
      <c r="D314" s="9"/>
      <c r="E314" s="9"/>
      <c r="F314" s="9"/>
      <c r="G314" s="9"/>
      <c r="H314" s="9"/>
      <c r="I314" s="10"/>
      <c r="J314" s="10"/>
      <c r="K314" s="10"/>
      <c r="L314" s="10"/>
      <c r="M314" s="10"/>
      <c r="N314" s="10"/>
      <c r="O314" s="10"/>
      <c r="P314" s="10"/>
      <c r="Q314" s="11"/>
      <c r="R314" s="9"/>
    </row>
    <row r="315" spans="1:18" ht="15" customHeight="1">
      <c r="A315" s="12"/>
      <c r="B315" s="12"/>
      <c r="C315" s="12"/>
      <c r="D315" s="12"/>
      <c r="E315" s="12"/>
      <c r="F315" s="12"/>
      <c r="G315" s="12"/>
      <c r="H315" s="12"/>
      <c r="I315" s="13"/>
      <c r="J315" s="13"/>
      <c r="K315" s="13"/>
      <c r="L315" s="13"/>
      <c r="M315" s="13"/>
      <c r="N315" s="13"/>
      <c r="O315" s="13"/>
      <c r="P315" s="13"/>
      <c r="Q315" s="11"/>
      <c r="R315" s="12"/>
    </row>
    <row r="316" spans="1:18" ht="15" customHeight="1">
      <c r="A316" s="9"/>
      <c r="B316" s="9"/>
      <c r="C316" s="9"/>
      <c r="D316" s="9"/>
      <c r="E316" s="9"/>
      <c r="F316" s="9"/>
      <c r="G316" s="9"/>
      <c r="H316" s="9"/>
      <c r="I316" s="10"/>
      <c r="J316" s="10"/>
      <c r="K316" s="10"/>
      <c r="L316" s="10"/>
      <c r="M316" s="10"/>
      <c r="N316" s="10"/>
      <c r="O316" s="10"/>
      <c r="P316" s="10"/>
      <c r="Q316" s="11"/>
      <c r="R316" s="9"/>
    </row>
    <row r="317" spans="1:18" ht="15" customHeight="1">
      <c r="A317" s="12"/>
      <c r="B317" s="12"/>
      <c r="C317" s="12"/>
      <c r="D317" s="12"/>
      <c r="E317" s="12"/>
      <c r="F317" s="12"/>
      <c r="G317" s="12"/>
      <c r="H317" s="12"/>
      <c r="I317" s="13"/>
      <c r="J317" s="13"/>
      <c r="K317" s="13"/>
      <c r="L317" s="13"/>
      <c r="M317" s="13"/>
      <c r="N317" s="13"/>
      <c r="O317" s="13"/>
      <c r="P317" s="13"/>
      <c r="Q317" s="11"/>
      <c r="R317" s="12"/>
    </row>
    <row r="318" spans="1:18" ht="15" customHeight="1">
      <c r="A318" s="9"/>
      <c r="B318" s="9"/>
      <c r="C318" s="9"/>
      <c r="D318" s="9"/>
      <c r="E318" s="9"/>
      <c r="F318" s="9"/>
      <c r="G318" s="9"/>
      <c r="H318" s="9"/>
      <c r="I318" s="10"/>
      <c r="J318" s="10"/>
      <c r="K318" s="10"/>
      <c r="L318" s="10"/>
      <c r="M318" s="10"/>
      <c r="N318" s="10"/>
      <c r="O318" s="10"/>
      <c r="P318" s="10"/>
      <c r="Q318" s="11"/>
      <c r="R318" s="9"/>
    </row>
    <row r="319" spans="1:18" ht="15" customHeight="1">
      <c r="A319" s="12"/>
      <c r="B319" s="12"/>
      <c r="C319" s="12"/>
      <c r="D319" s="12"/>
      <c r="E319" s="12"/>
      <c r="F319" s="12"/>
      <c r="G319" s="12"/>
      <c r="H319" s="12"/>
      <c r="I319" s="13"/>
      <c r="J319" s="13"/>
      <c r="K319" s="13"/>
      <c r="L319" s="13"/>
      <c r="M319" s="13"/>
      <c r="N319" s="13"/>
      <c r="O319" s="13"/>
      <c r="P319" s="13"/>
      <c r="Q319" s="11"/>
      <c r="R319" s="12"/>
    </row>
    <row r="320" spans="1:18" ht="15" customHeight="1">
      <c r="A320" s="9"/>
      <c r="B320" s="9"/>
      <c r="C320" s="9"/>
      <c r="D320" s="9"/>
      <c r="E320" s="9"/>
      <c r="F320" s="9"/>
      <c r="G320" s="9"/>
      <c r="H320" s="9"/>
      <c r="I320" s="10"/>
      <c r="J320" s="10"/>
      <c r="K320" s="10"/>
      <c r="L320" s="10"/>
      <c r="M320" s="10"/>
      <c r="N320" s="10"/>
      <c r="O320" s="10"/>
      <c r="P320" s="10"/>
      <c r="Q320" s="11"/>
      <c r="R320" s="9"/>
    </row>
    <row r="321" spans="1:18" ht="15" customHeight="1">
      <c r="A321" s="12"/>
      <c r="B321" s="12"/>
      <c r="C321" s="12"/>
      <c r="D321" s="12"/>
      <c r="E321" s="12"/>
      <c r="F321" s="12"/>
      <c r="G321" s="12"/>
      <c r="H321" s="12"/>
      <c r="I321" s="13"/>
      <c r="J321" s="13"/>
      <c r="K321" s="13"/>
      <c r="L321" s="13"/>
      <c r="M321" s="13"/>
      <c r="N321" s="13"/>
      <c r="O321" s="13"/>
      <c r="P321" s="13"/>
      <c r="Q321" s="11"/>
      <c r="R321" s="12"/>
    </row>
    <row r="322" spans="1:18" ht="15" customHeight="1">
      <c r="A322" s="9"/>
      <c r="B322" s="9"/>
      <c r="C322" s="9"/>
      <c r="D322" s="9"/>
      <c r="E322" s="9"/>
      <c r="F322" s="9"/>
      <c r="G322" s="9"/>
      <c r="H322" s="9"/>
      <c r="I322" s="10"/>
      <c r="J322" s="10"/>
      <c r="K322" s="10"/>
      <c r="L322" s="10"/>
      <c r="M322" s="10"/>
      <c r="N322" s="10"/>
      <c r="O322" s="10"/>
      <c r="P322" s="10"/>
      <c r="Q322" s="11"/>
      <c r="R322" s="9"/>
    </row>
    <row r="323" spans="1:18" ht="15" customHeight="1">
      <c r="A323" s="12"/>
      <c r="B323" s="12"/>
      <c r="C323" s="12"/>
      <c r="D323" s="12"/>
      <c r="E323" s="12"/>
      <c r="F323" s="12"/>
      <c r="G323" s="12"/>
      <c r="H323" s="12"/>
      <c r="I323" s="13"/>
      <c r="J323" s="13"/>
      <c r="K323" s="13"/>
      <c r="L323" s="13"/>
      <c r="M323" s="13"/>
      <c r="N323" s="13"/>
      <c r="O323" s="13"/>
      <c r="P323" s="13"/>
      <c r="Q323" s="11"/>
      <c r="R323" s="12"/>
    </row>
    <row r="324" spans="1:18" ht="15" customHeight="1">
      <c r="A324" s="9"/>
      <c r="B324" s="9"/>
      <c r="C324" s="9"/>
      <c r="D324" s="9"/>
      <c r="E324" s="9"/>
      <c r="F324" s="9"/>
      <c r="G324" s="9"/>
      <c r="H324" s="9"/>
      <c r="I324" s="10"/>
      <c r="J324" s="10"/>
      <c r="K324" s="10"/>
      <c r="L324" s="10"/>
      <c r="M324" s="10"/>
      <c r="N324" s="10"/>
      <c r="O324" s="10"/>
      <c r="P324" s="10"/>
      <c r="Q324" s="11"/>
      <c r="R324" s="9"/>
    </row>
    <row r="325" spans="1:18" ht="15" customHeight="1">
      <c r="A325" s="12"/>
      <c r="B325" s="12"/>
      <c r="C325" s="12"/>
      <c r="D325" s="12"/>
      <c r="E325" s="12"/>
      <c r="F325" s="12"/>
      <c r="G325" s="12"/>
      <c r="H325" s="12"/>
      <c r="I325" s="13"/>
      <c r="J325" s="13"/>
      <c r="K325" s="13"/>
      <c r="L325" s="13"/>
      <c r="M325" s="13"/>
      <c r="N325" s="13"/>
      <c r="O325" s="13"/>
      <c r="P325" s="13"/>
      <c r="Q325" s="11"/>
      <c r="R325" s="12"/>
    </row>
    <row r="326" spans="1:18" ht="15" customHeight="1">
      <c r="A326" s="9"/>
      <c r="B326" s="9"/>
      <c r="C326" s="9"/>
      <c r="D326" s="9"/>
      <c r="E326" s="9"/>
      <c r="F326" s="9"/>
      <c r="G326" s="9"/>
      <c r="H326" s="9"/>
      <c r="I326" s="10"/>
      <c r="J326" s="10"/>
      <c r="K326" s="10"/>
      <c r="L326" s="10"/>
      <c r="M326" s="10"/>
      <c r="N326" s="10"/>
      <c r="O326" s="10"/>
      <c r="P326" s="10"/>
      <c r="Q326" s="11"/>
      <c r="R326" s="9"/>
    </row>
    <row r="327" spans="1:18" ht="15" customHeight="1">
      <c r="A327" s="12"/>
      <c r="B327" s="12"/>
      <c r="C327" s="12"/>
      <c r="D327" s="12"/>
      <c r="E327" s="12"/>
      <c r="F327" s="12"/>
      <c r="G327" s="12"/>
      <c r="H327" s="12"/>
      <c r="I327" s="13"/>
      <c r="J327" s="13"/>
      <c r="K327" s="13"/>
      <c r="L327" s="13"/>
      <c r="M327" s="13"/>
      <c r="N327" s="13"/>
      <c r="O327" s="13"/>
      <c r="P327" s="13"/>
      <c r="Q327" s="11"/>
      <c r="R327" s="12"/>
    </row>
    <row r="328" spans="1:18" ht="15" customHeight="1">
      <c r="A328" s="9"/>
      <c r="B328" s="9"/>
      <c r="C328" s="9"/>
      <c r="D328" s="9"/>
      <c r="E328" s="9"/>
      <c r="F328" s="9"/>
      <c r="G328" s="9"/>
      <c r="H328" s="9"/>
      <c r="I328" s="10"/>
      <c r="J328" s="10"/>
      <c r="K328" s="10"/>
      <c r="L328" s="10"/>
      <c r="M328" s="10"/>
      <c r="N328" s="10"/>
      <c r="O328" s="10"/>
      <c r="P328" s="10"/>
      <c r="Q328" s="11"/>
      <c r="R328" s="9"/>
    </row>
    <row r="329" spans="1:18" ht="15" customHeight="1">
      <c r="A329" s="12"/>
      <c r="B329" s="12"/>
      <c r="C329" s="12"/>
      <c r="D329" s="12"/>
      <c r="E329" s="12"/>
      <c r="F329" s="12"/>
      <c r="G329" s="12"/>
      <c r="H329" s="12"/>
      <c r="I329" s="13"/>
      <c r="J329" s="13"/>
      <c r="K329" s="13"/>
      <c r="L329" s="13"/>
      <c r="M329" s="13"/>
      <c r="N329" s="13"/>
      <c r="O329" s="13"/>
      <c r="P329" s="13"/>
      <c r="Q329" s="11"/>
      <c r="R329" s="12"/>
    </row>
    <row r="330" spans="1:18" ht="15" customHeight="1">
      <c r="A330" s="9"/>
      <c r="B330" s="9"/>
      <c r="C330" s="9"/>
      <c r="D330" s="9"/>
      <c r="E330" s="9"/>
      <c r="F330" s="9"/>
      <c r="G330" s="9"/>
      <c r="H330" s="9"/>
      <c r="I330" s="10"/>
      <c r="J330" s="10"/>
      <c r="K330" s="10"/>
      <c r="L330" s="10"/>
      <c r="M330" s="10"/>
      <c r="N330" s="10"/>
      <c r="O330" s="10"/>
      <c r="P330" s="10"/>
      <c r="Q330" s="11"/>
      <c r="R330" s="9"/>
    </row>
    <row r="331" spans="1:18" ht="15" customHeight="1">
      <c r="A331" s="12"/>
      <c r="B331" s="12"/>
      <c r="C331" s="12"/>
      <c r="D331" s="12"/>
      <c r="E331" s="12"/>
      <c r="F331" s="12"/>
      <c r="G331" s="12"/>
      <c r="H331" s="12"/>
      <c r="I331" s="13"/>
      <c r="J331" s="13"/>
      <c r="K331" s="13"/>
      <c r="L331" s="13"/>
      <c r="M331" s="13"/>
      <c r="N331" s="13"/>
      <c r="O331" s="13"/>
      <c r="P331" s="13"/>
      <c r="Q331" s="11"/>
      <c r="R331" s="12"/>
    </row>
    <row r="332" spans="1:18" ht="15" customHeight="1">
      <c r="A332" s="9"/>
      <c r="B332" s="9"/>
      <c r="C332" s="9"/>
      <c r="D332" s="9"/>
      <c r="E332" s="9"/>
      <c r="F332" s="9"/>
      <c r="G332" s="9"/>
      <c r="H332" s="9"/>
      <c r="I332" s="10"/>
      <c r="J332" s="10"/>
      <c r="K332" s="10"/>
      <c r="L332" s="10"/>
      <c r="M332" s="10"/>
      <c r="N332" s="10"/>
      <c r="O332" s="10"/>
      <c r="P332" s="10"/>
      <c r="Q332" s="11"/>
      <c r="R332" s="9"/>
    </row>
    <row r="333" spans="1:18" ht="15" customHeight="1">
      <c r="A333" s="12"/>
      <c r="B333" s="12"/>
      <c r="C333" s="12"/>
      <c r="D333" s="12"/>
      <c r="E333" s="12"/>
      <c r="F333" s="12"/>
      <c r="G333" s="12"/>
      <c r="H333" s="12"/>
      <c r="I333" s="13"/>
      <c r="J333" s="13"/>
      <c r="K333" s="13"/>
      <c r="L333" s="13"/>
      <c r="M333" s="13"/>
      <c r="N333" s="13"/>
      <c r="O333" s="13"/>
      <c r="P333" s="13"/>
      <c r="Q333" s="11"/>
      <c r="R333" s="12"/>
    </row>
    <row r="334" spans="1:18" ht="15" customHeight="1">
      <c r="A334" s="9"/>
      <c r="B334" s="9"/>
      <c r="C334" s="9"/>
      <c r="D334" s="9"/>
      <c r="E334" s="9"/>
      <c r="F334" s="9"/>
      <c r="G334" s="9"/>
      <c r="H334" s="9"/>
      <c r="I334" s="10"/>
      <c r="J334" s="10"/>
      <c r="K334" s="10"/>
      <c r="L334" s="10"/>
      <c r="M334" s="10"/>
      <c r="N334" s="10"/>
      <c r="O334" s="10"/>
      <c r="P334" s="10"/>
      <c r="Q334" s="11"/>
      <c r="R334" s="9"/>
    </row>
    <row r="335" spans="1:18" ht="15" customHeight="1">
      <c r="A335" s="12"/>
      <c r="B335" s="12"/>
      <c r="C335" s="12"/>
      <c r="D335" s="12"/>
      <c r="E335" s="12"/>
      <c r="F335" s="12"/>
      <c r="G335" s="12"/>
      <c r="H335" s="12"/>
      <c r="I335" s="13"/>
      <c r="J335" s="13"/>
      <c r="K335" s="13"/>
      <c r="L335" s="13"/>
      <c r="M335" s="13"/>
      <c r="N335" s="13"/>
      <c r="O335" s="13"/>
      <c r="P335" s="13"/>
      <c r="Q335" s="11"/>
      <c r="R335" s="12"/>
    </row>
    <row r="336" spans="1:18" ht="15" customHeight="1">
      <c r="A336" s="9"/>
      <c r="B336" s="9"/>
      <c r="C336" s="9"/>
      <c r="D336" s="9"/>
      <c r="E336" s="9"/>
      <c r="F336" s="9"/>
      <c r="G336" s="9"/>
      <c r="H336" s="9"/>
      <c r="I336" s="10"/>
      <c r="J336" s="10"/>
      <c r="K336" s="10"/>
      <c r="L336" s="10"/>
      <c r="M336" s="10"/>
      <c r="N336" s="10"/>
      <c r="O336" s="10"/>
      <c r="P336" s="10"/>
      <c r="Q336" s="11"/>
      <c r="R336" s="9"/>
    </row>
    <row r="337" spans="1:18" ht="15" customHeight="1">
      <c r="A337" s="12"/>
      <c r="B337" s="12"/>
      <c r="C337" s="12"/>
      <c r="D337" s="12"/>
      <c r="E337" s="12"/>
      <c r="F337" s="12"/>
      <c r="G337" s="12"/>
      <c r="H337" s="12"/>
      <c r="I337" s="13"/>
      <c r="J337" s="13"/>
      <c r="K337" s="13"/>
      <c r="L337" s="13"/>
      <c r="M337" s="13"/>
      <c r="N337" s="13"/>
      <c r="O337" s="13"/>
      <c r="P337" s="13"/>
      <c r="Q337" s="11"/>
      <c r="R337" s="12"/>
    </row>
    <row r="338" spans="1:18" ht="15" customHeight="1">
      <c r="A338" s="9"/>
      <c r="B338" s="9"/>
      <c r="C338" s="9"/>
      <c r="D338" s="9"/>
      <c r="E338" s="9"/>
      <c r="F338" s="9"/>
      <c r="G338" s="9"/>
      <c r="H338" s="9"/>
      <c r="I338" s="10"/>
      <c r="J338" s="10"/>
      <c r="K338" s="10"/>
      <c r="L338" s="10"/>
      <c r="M338" s="10"/>
      <c r="N338" s="10"/>
      <c r="O338" s="10"/>
      <c r="P338" s="10"/>
      <c r="Q338" s="11"/>
      <c r="R338" s="9"/>
    </row>
    <row r="339" spans="1:18" ht="15" customHeight="1">
      <c r="A339" s="12"/>
      <c r="B339" s="12"/>
      <c r="C339" s="12"/>
      <c r="D339" s="12"/>
      <c r="E339" s="12"/>
      <c r="F339" s="12"/>
      <c r="G339" s="12"/>
      <c r="H339" s="12"/>
      <c r="I339" s="13"/>
      <c r="J339" s="13"/>
      <c r="K339" s="13"/>
      <c r="L339" s="13"/>
      <c r="M339" s="13"/>
      <c r="N339" s="13"/>
      <c r="O339" s="13"/>
      <c r="P339" s="13"/>
      <c r="Q339" s="11"/>
      <c r="R339" s="12"/>
    </row>
    <row r="340" spans="1:18" ht="15" customHeight="1">
      <c r="A340" s="9"/>
      <c r="B340" s="9"/>
      <c r="C340" s="9"/>
      <c r="D340" s="9"/>
      <c r="E340" s="9"/>
      <c r="F340" s="9"/>
      <c r="G340" s="9"/>
      <c r="H340" s="9"/>
      <c r="I340" s="10"/>
      <c r="J340" s="10"/>
      <c r="K340" s="10"/>
      <c r="L340" s="10"/>
      <c r="M340" s="10"/>
      <c r="N340" s="10"/>
      <c r="O340" s="10"/>
      <c r="P340" s="10"/>
      <c r="Q340" s="11"/>
      <c r="R340" s="9"/>
    </row>
    <row r="341" spans="1:18" ht="15" customHeight="1">
      <c r="A341" s="12"/>
      <c r="B341" s="12"/>
      <c r="C341" s="12"/>
      <c r="D341" s="12"/>
      <c r="E341" s="12"/>
      <c r="F341" s="12"/>
      <c r="G341" s="12"/>
      <c r="H341" s="12"/>
      <c r="I341" s="13"/>
      <c r="J341" s="13"/>
      <c r="K341" s="13"/>
      <c r="L341" s="13"/>
      <c r="M341" s="13"/>
      <c r="N341" s="13"/>
      <c r="O341" s="13"/>
      <c r="P341" s="13"/>
      <c r="Q341" s="11"/>
      <c r="R341" s="12"/>
    </row>
    <row r="342" spans="1:18" ht="15" customHeight="1">
      <c r="A342" s="9"/>
      <c r="B342" s="9"/>
      <c r="C342" s="9"/>
      <c r="D342" s="9"/>
      <c r="E342" s="9"/>
      <c r="F342" s="9"/>
      <c r="G342" s="9"/>
      <c r="H342" s="9"/>
      <c r="I342" s="10"/>
      <c r="J342" s="10"/>
      <c r="K342" s="10"/>
      <c r="L342" s="10"/>
      <c r="M342" s="10"/>
      <c r="N342" s="10"/>
      <c r="O342" s="10"/>
      <c r="P342" s="10"/>
      <c r="Q342" s="11"/>
      <c r="R342" s="9"/>
    </row>
    <row r="343" spans="1:18" ht="15" customHeight="1">
      <c r="A343" s="12"/>
      <c r="B343" s="12"/>
      <c r="C343" s="12"/>
      <c r="D343" s="12"/>
      <c r="E343" s="12"/>
      <c r="F343" s="12"/>
      <c r="G343" s="12"/>
      <c r="H343" s="12"/>
      <c r="I343" s="13"/>
      <c r="J343" s="13"/>
      <c r="K343" s="13"/>
      <c r="L343" s="13"/>
      <c r="M343" s="13"/>
      <c r="N343" s="13"/>
      <c r="O343" s="13"/>
      <c r="P343" s="13"/>
      <c r="Q343" s="11"/>
      <c r="R343" s="12"/>
    </row>
    <row r="344" spans="1:18" ht="15" customHeight="1">
      <c r="A344" s="9"/>
      <c r="B344" s="9"/>
      <c r="C344" s="9"/>
      <c r="D344" s="9"/>
      <c r="E344" s="9"/>
      <c r="F344" s="9"/>
      <c r="G344" s="9"/>
      <c r="H344" s="9"/>
      <c r="I344" s="10"/>
      <c r="J344" s="10"/>
      <c r="K344" s="10"/>
      <c r="L344" s="10"/>
      <c r="M344" s="10"/>
      <c r="N344" s="10"/>
      <c r="O344" s="10"/>
      <c r="P344" s="10"/>
      <c r="Q344" s="11"/>
      <c r="R344" s="9"/>
    </row>
    <row r="345" spans="1:18" ht="15" customHeight="1">
      <c r="A345" s="12"/>
      <c r="B345" s="12"/>
      <c r="C345" s="12"/>
      <c r="D345" s="12"/>
      <c r="E345" s="12"/>
      <c r="F345" s="12"/>
      <c r="G345" s="12"/>
      <c r="H345" s="12"/>
      <c r="I345" s="13"/>
      <c r="J345" s="13"/>
      <c r="K345" s="13"/>
      <c r="L345" s="13"/>
      <c r="M345" s="13"/>
      <c r="N345" s="13"/>
      <c r="O345" s="13"/>
      <c r="P345" s="13"/>
      <c r="Q345" s="11"/>
      <c r="R345" s="12"/>
    </row>
    <row r="346" spans="1:18" ht="15" customHeight="1">
      <c r="A346" s="9"/>
      <c r="B346" s="9"/>
      <c r="C346" s="9"/>
      <c r="D346" s="9"/>
      <c r="E346" s="9"/>
      <c r="F346" s="9"/>
      <c r="G346" s="9"/>
      <c r="H346" s="9"/>
      <c r="I346" s="10"/>
      <c r="J346" s="10"/>
      <c r="K346" s="10"/>
      <c r="L346" s="10"/>
      <c r="M346" s="10"/>
      <c r="N346" s="10"/>
      <c r="O346" s="10"/>
      <c r="P346" s="10"/>
      <c r="Q346" s="11"/>
      <c r="R346" s="9"/>
    </row>
    <row r="347" spans="1:18" ht="15" customHeight="1">
      <c r="A347" s="12"/>
      <c r="B347" s="12"/>
      <c r="C347" s="12"/>
      <c r="D347" s="12"/>
      <c r="E347" s="12"/>
      <c r="F347" s="12"/>
      <c r="G347" s="12"/>
      <c r="H347" s="12"/>
      <c r="I347" s="13"/>
      <c r="J347" s="13"/>
      <c r="K347" s="13"/>
      <c r="L347" s="13"/>
      <c r="M347" s="13"/>
      <c r="N347" s="13"/>
      <c r="O347" s="13"/>
      <c r="P347" s="13"/>
      <c r="Q347" s="11"/>
      <c r="R347" s="12"/>
    </row>
    <row r="348" spans="1:18" ht="15" customHeight="1">
      <c r="A348" s="9"/>
      <c r="B348" s="9"/>
      <c r="C348" s="9"/>
      <c r="D348" s="9"/>
      <c r="E348" s="9"/>
      <c r="F348" s="9"/>
      <c r="G348" s="9"/>
      <c r="H348" s="9"/>
      <c r="I348" s="10"/>
      <c r="J348" s="10"/>
      <c r="K348" s="10"/>
      <c r="L348" s="10"/>
      <c r="M348" s="10"/>
      <c r="N348" s="10"/>
      <c r="O348" s="10"/>
      <c r="P348" s="10"/>
      <c r="Q348" s="11"/>
      <c r="R348" s="9"/>
    </row>
    <row r="349" spans="1:18" ht="15" customHeight="1">
      <c r="A349" s="12"/>
      <c r="B349" s="12"/>
      <c r="C349" s="12"/>
      <c r="D349" s="12"/>
      <c r="E349" s="12"/>
      <c r="F349" s="12"/>
      <c r="G349" s="12"/>
      <c r="H349" s="12"/>
      <c r="I349" s="13"/>
      <c r="J349" s="13"/>
      <c r="K349" s="13"/>
      <c r="L349" s="13"/>
      <c r="M349" s="13"/>
      <c r="N349" s="13"/>
      <c r="O349" s="13"/>
      <c r="P349" s="13"/>
      <c r="Q349" s="11"/>
      <c r="R349" s="12"/>
    </row>
    <row r="350" spans="1:18" ht="15" customHeight="1">
      <c r="A350" s="9"/>
      <c r="B350" s="9"/>
      <c r="C350" s="9"/>
      <c r="D350" s="9"/>
      <c r="E350" s="9"/>
      <c r="F350" s="9"/>
      <c r="G350" s="9"/>
      <c r="H350" s="9"/>
      <c r="I350" s="10"/>
      <c r="J350" s="10"/>
      <c r="K350" s="10"/>
      <c r="L350" s="10"/>
      <c r="M350" s="10"/>
      <c r="N350" s="10"/>
      <c r="O350" s="10"/>
      <c r="P350" s="10"/>
      <c r="Q350" s="11"/>
      <c r="R350" s="9"/>
    </row>
    <row r="351" spans="1:18" ht="15" customHeight="1">
      <c r="A351" s="12"/>
      <c r="B351" s="12"/>
      <c r="C351" s="12"/>
      <c r="D351" s="12"/>
      <c r="E351" s="12"/>
      <c r="F351" s="12"/>
      <c r="G351" s="12"/>
      <c r="H351" s="12"/>
      <c r="I351" s="13"/>
      <c r="J351" s="13"/>
      <c r="K351" s="13"/>
      <c r="L351" s="13"/>
      <c r="M351" s="13"/>
      <c r="N351" s="13"/>
      <c r="O351" s="13"/>
      <c r="P351" s="13"/>
      <c r="Q351" s="11"/>
      <c r="R351" s="12"/>
    </row>
    <row r="352" spans="1:18" ht="15" customHeight="1">
      <c r="A352" s="9"/>
      <c r="B352" s="9"/>
      <c r="C352" s="9"/>
      <c r="D352" s="9"/>
      <c r="E352" s="9"/>
      <c r="F352" s="9"/>
      <c r="G352" s="9"/>
      <c r="H352" s="9"/>
      <c r="I352" s="10"/>
      <c r="J352" s="10"/>
      <c r="K352" s="10"/>
      <c r="L352" s="10"/>
      <c r="M352" s="10"/>
      <c r="N352" s="10"/>
      <c r="O352" s="10"/>
      <c r="P352" s="10"/>
      <c r="Q352" s="11"/>
      <c r="R352" s="9"/>
    </row>
    <row r="353" spans="1:18" ht="15" customHeight="1">
      <c r="A353" s="12"/>
      <c r="B353" s="12"/>
      <c r="C353" s="12"/>
      <c r="D353" s="12"/>
      <c r="E353" s="12"/>
      <c r="F353" s="12"/>
      <c r="G353" s="12"/>
      <c r="H353" s="12"/>
      <c r="I353" s="13"/>
      <c r="J353" s="13"/>
      <c r="K353" s="13"/>
      <c r="L353" s="13"/>
      <c r="M353" s="13"/>
      <c r="N353" s="13"/>
      <c r="O353" s="13"/>
      <c r="P353" s="13"/>
      <c r="Q353" s="11"/>
      <c r="R353" s="12"/>
    </row>
    <row r="354" spans="1:18" ht="15" customHeight="1">
      <c r="A354" s="9"/>
      <c r="B354" s="9"/>
      <c r="C354" s="9"/>
      <c r="D354" s="9"/>
      <c r="E354" s="9"/>
      <c r="F354" s="9"/>
      <c r="G354" s="9"/>
      <c r="H354" s="9"/>
      <c r="I354" s="10"/>
      <c r="J354" s="10"/>
      <c r="K354" s="10"/>
      <c r="L354" s="10"/>
      <c r="M354" s="10"/>
      <c r="N354" s="10"/>
      <c r="O354" s="10"/>
      <c r="P354" s="10"/>
      <c r="Q354" s="11"/>
      <c r="R354" s="9"/>
    </row>
    <row r="355" spans="1:18" ht="15" customHeight="1">
      <c r="A355" s="12"/>
      <c r="B355" s="12"/>
      <c r="C355" s="12"/>
      <c r="D355" s="12"/>
      <c r="E355" s="12"/>
      <c r="F355" s="12"/>
      <c r="G355" s="12"/>
      <c r="H355" s="12"/>
      <c r="I355" s="13"/>
      <c r="J355" s="13"/>
      <c r="K355" s="13"/>
      <c r="L355" s="13"/>
      <c r="M355" s="13"/>
      <c r="N355" s="13"/>
      <c r="O355" s="13"/>
      <c r="P355" s="13"/>
      <c r="Q355" s="11"/>
      <c r="R355" s="12"/>
    </row>
    <row r="356" spans="1:18" ht="15" customHeight="1">
      <c r="A356" s="9"/>
      <c r="B356" s="9"/>
      <c r="C356" s="9"/>
      <c r="D356" s="9"/>
      <c r="E356" s="9"/>
      <c r="F356" s="9"/>
      <c r="G356" s="9"/>
      <c r="H356" s="9"/>
      <c r="I356" s="10"/>
      <c r="J356" s="10"/>
      <c r="K356" s="10"/>
      <c r="L356" s="10"/>
      <c r="M356" s="10"/>
      <c r="N356" s="10"/>
      <c r="O356" s="10"/>
      <c r="P356" s="10"/>
      <c r="Q356" s="11"/>
      <c r="R356" s="9"/>
    </row>
    <row r="357" spans="1:18" ht="15" customHeight="1">
      <c r="A357" s="12"/>
      <c r="B357" s="12"/>
      <c r="C357" s="12"/>
      <c r="D357" s="12"/>
      <c r="E357" s="12"/>
      <c r="F357" s="12"/>
      <c r="G357" s="12"/>
      <c r="H357" s="12"/>
      <c r="I357" s="13"/>
      <c r="J357" s="13"/>
      <c r="K357" s="13"/>
      <c r="L357" s="13"/>
      <c r="M357" s="13"/>
      <c r="N357" s="13"/>
      <c r="O357" s="13"/>
      <c r="P357" s="13"/>
      <c r="Q357" s="11"/>
      <c r="R357" s="12"/>
    </row>
    <row r="358" spans="1:18" ht="15" customHeight="1">
      <c r="A358" s="9"/>
      <c r="B358" s="9"/>
      <c r="C358" s="9"/>
      <c r="D358" s="9"/>
      <c r="E358" s="9"/>
      <c r="F358" s="9"/>
      <c r="G358" s="9"/>
      <c r="H358" s="9"/>
      <c r="I358" s="10"/>
      <c r="J358" s="10"/>
      <c r="K358" s="10"/>
      <c r="L358" s="10"/>
      <c r="M358" s="10"/>
      <c r="N358" s="10"/>
      <c r="O358" s="10"/>
      <c r="P358" s="10"/>
      <c r="Q358" s="11"/>
      <c r="R358" s="9"/>
    </row>
    <row r="359" spans="1:18" ht="15" customHeight="1">
      <c r="A359" s="12"/>
      <c r="B359" s="12"/>
      <c r="C359" s="12"/>
      <c r="D359" s="12"/>
      <c r="E359" s="12"/>
      <c r="F359" s="12"/>
      <c r="G359" s="12"/>
      <c r="H359" s="12"/>
      <c r="I359" s="13"/>
      <c r="J359" s="13"/>
      <c r="K359" s="13"/>
      <c r="L359" s="13"/>
      <c r="M359" s="13"/>
      <c r="N359" s="13"/>
      <c r="O359" s="13"/>
      <c r="P359" s="13"/>
      <c r="Q359" s="11"/>
      <c r="R359" s="12"/>
    </row>
    <row r="360" spans="1:18" ht="15" customHeight="1">
      <c r="A360" s="9"/>
      <c r="B360" s="9"/>
      <c r="C360" s="9"/>
      <c r="D360" s="9"/>
      <c r="E360" s="9"/>
      <c r="F360" s="9"/>
      <c r="G360" s="9"/>
      <c r="H360" s="9"/>
      <c r="I360" s="10"/>
      <c r="J360" s="10"/>
      <c r="K360" s="10"/>
      <c r="L360" s="10"/>
      <c r="M360" s="10"/>
      <c r="N360" s="10"/>
      <c r="O360" s="10"/>
      <c r="P360" s="10"/>
      <c r="Q360" s="11"/>
      <c r="R360" s="9"/>
    </row>
    <row r="361" spans="1:18" ht="15" customHeight="1">
      <c r="A361" s="12"/>
      <c r="B361" s="12"/>
      <c r="C361" s="12"/>
      <c r="D361" s="12"/>
      <c r="E361" s="12"/>
      <c r="F361" s="12"/>
      <c r="G361" s="12"/>
      <c r="H361" s="12"/>
      <c r="I361" s="13"/>
      <c r="J361" s="13"/>
      <c r="K361" s="13"/>
      <c r="L361" s="13"/>
      <c r="M361" s="13"/>
      <c r="N361" s="13"/>
      <c r="O361" s="13"/>
      <c r="P361" s="13"/>
      <c r="Q361" s="11"/>
      <c r="R361" s="12"/>
    </row>
    <row r="362" spans="1:18" ht="15" customHeight="1">
      <c r="A362" s="9"/>
      <c r="B362" s="9"/>
      <c r="C362" s="9"/>
      <c r="D362" s="9"/>
      <c r="E362" s="9"/>
      <c r="F362" s="9"/>
      <c r="G362" s="9"/>
      <c r="H362" s="9"/>
      <c r="I362" s="10"/>
      <c r="J362" s="10"/>
      <c r="K362" s="10"/>
      <c r="L362" s="10"/>
      <c r="M362" s="10"/>
      <c r="N362" s="10"/>
      <c r="O362" s="10"/>
      <c r="P362" s="10"/>
      <c r="Q362" s="11"/>
      <c r="R362" s="9"/>
    </row>
    <row r="363" spans="1:18" ht="15" customHeight="1">
      <c r="A363" s="12"/>
      <c r="B363" s="12"/>
      <c r="C363" s="12"/>
      <c r="D363" s="12"/>
      <c r="E363" s="12"/>
      <c r="F363" s="12"/>
      <c r="G363" s="12"/>
      <c r="H363" s="12"/>
      <c r="I363" s="13"/>
      <c r="J363" s="13"/>
      <c r="K363" s="13"/>
      <c r="L363" s="13"/>
      <c r="M363" s="13"/>
      <c r="N363" s="13"/>
      <c r="O363" s="13"/>
      <c r="P363" s="13"/>
      <c r="Q363" s="11"/>
      <c r="R363" s="12"/>
    </row>
    <row r="364" spans="1:18" ht="15" customHeight="1">
      <c r="A364" s="9"/>
      <c r="B364" s="9"/>
      <c r="C364" s="9"/>
      <c r="D364" s="9"/>
      <c r="E364" s="9"/>
      <c r="F364" s="9"/>
      <c r="G364" s="9"/>
      <c r="H364" s="9"/>
      <c r="I364" s="10"/>
      <c r="J364" s="10"/>
      <c r="K364" s="10"/>
      <c r="L364" s="10"/>
      <c r="M364" s="10"/>
      <c r="N364" s="10"/>
      <c r="O364" s="10"/>
      <c r="P364" s="10"/>
      <c r="Q364" s="11"/>
      <c r="R364" s="9"/>
    </row>
    <row r="365" spans="1:18" ht="15" customHeight="1">
      <c r="A365" s="12"/>
      <c r="B365" s="12"/>
      <c r="C365" s="12"/>
      <c r="D365" s="12"/>
      <c r="E365" s="12"/>
      <c r="F365" s="12"/>
      <c r="G365" s="12"/>
      <c r="H365" s="12"/>
      <c r="I365" s="13"/>
      <c r="J365" s="13"/>
      <c r="K365" s="13"/>
      <c r="L365" s="13"/>
      <c r="M365" s="13"/>
      <c r="N365" s="13"/>
      <c r="O365" s="13"/>
      <c r="P365" s="13"/>
      <c r="Q365" s="11"/>
      <c r="R365" s="12"/>
    </row>
    <row r="366" spans="1:18" ht="15" customHeight="1">
      <c r="A366" s="9"/>
      <c r="B366" s="9"/>
      <c r="C366" s="9"/>
      <c r="D366" s="9"/>
      <c r="E366" s="9"/>
      <c r="F366" s="9"/>
      <c r="G366" s="9"/>
      <c r="H366" s="9"/>
      <c r="I366" s="10"/>
      <c r="J366" s="10"/>
      <c r="K366" s="10"/>
      <c r="L366" s="10"/>
      <c r="M366" s="10"/>
      <c r="N366" s="10"/>
      <c r="O366" s="10"/>
      <c r="P366" s="10"/>
      <c r="Q366" s="11"/>
      <c r="R366" s="9"/>
    </row>
    <row r="367" spans="1:18" ht="15" customHeight="1">
      <c r="A367" s="12"/>
      <c r="B367" s="12"/>
      <c r="C367" s="12"/>
      <c r="D367" s="12"/>
      <c r="E367" s="12"/>
      <c r="F367" s="12"/>
      <c r="G367" s="12"/>
      <c r="H367" s="12"/>
      <c r="I367" s="13"/>
      <c r="J367" s="13"/>
      <c r="K367" s="13"/>
      <c r="L367" s="13"/>
      <c r="M367" s="13"/>
      <c r="N367" s="13"/>
      <c r="O367" s="13"/>
      <c r="P367" s="13"/>
      <c r="Q367" s="11"/>
      <c r="R367" s="12"/>
    </row>
    <row r="368" spans="1:18" ht="15" customHeight="1">
      <c r="A368" s="9"/>
      <c r="B368" s="9"/>
      <c r="C368" s="9"/>
      <c r="D368" s="9"/>
      <c r="E368" s="9"/>
      <c r="F368" s="9"/>
      <c r="G368" s="9"/>
      <c r="H368" s="9"/>
      <c r="I368" s="10"/>
      <c r="J368" s="10"/>
      <c r="K368" s="10"/>
      <c r="L368" s="10"/>
      <c r="M368" s="10"/>
      <c r="N368" s="10"/>
      <c r="O368" s="10"/>
      <c r="P368" s="10"/>
      <c r="Q368" s="11"/>
      <c r="R368" s="9"/>
    </row>
    <row r="369" spans="1:18" ht="15" customHeight="1">
      <c r="A369" s="12"/>
      <c r="B369" s="12"/>
      <c r="C369" s="12"/>
      <c r="D369" s="12"/>
      <c r="E369" s="12"/>
      <c r="F369" s="12"/>
      <c r="G369" s="12"/>
      <c r="H369" s="12"/>
      <c r="I369" s="13"/>
      <c r="J369" s="13"/>
      <c r="K369" s="13"/>
      <c r="L369" s="13"/>
      <c r="M369" s="13"/>
      <c r="N369" s="13"/>
      <c r="O369" s="13"/>
      <c r="P369" s="13"/>
      <c r="Q369" s="11"/>
      <c r="R369" s="12"/>
    </row>
    <row r="370" spans="1:18" ht="15" customHeight="1">
      <c r="A370" s="9"/>
      <c r="B370" s="9"/>
      <c r="C370" s="9"/>
      <c r="D370" s="9"/>
      <c r="E370" s="9"/>
      <c r="F370" s="9"/>
      <c r="G370" s="9"/>
      <c r="H370" s="9"/>
      <c r="I370" s="10"/>
      <c r="J370" s="10"/>
      <c r="K370" s="10"/>
      <c r="L370" s="10"/>
      <c r="M370" s="10"/>
      <c r="N370" s="10"/>
      <c r="O370" s="10"/>
      <c r="P370" s="10"/>
      <c r="Q370" s="11"/>
      <c r="R370" s="9"/>
    </row>
    <row r="371" spans="1:18" ht="15" customHeight="1">
      <c r="A371" s="12"/>
      <c r="B371" s="12"/>
      <c r="C371" s="12"/>
      <c r="D371" s="12"/>
      <c r="E371" s="12"/>
      <c r="F371" s="12"/>
      <c r="G371" s="12"/>
      <c r="H371" s="12"/>
      <c r="I371" s="13"/>
      <c r="J371" s="13"/>
      <c r="K371" s="13"/>
      <c r="L371" s="13"/>
      <c r="M371" s="13"/>
      <c r="N371" s="13"/>
      <c r="O371" s="13"/>
      <c r="P371" s="13"/>
      <c r="Q371" s="11"/>
      <c r="R371" s="12"/>
    </row>
    <row r="372" spans="1:18" ht="15" customHeight="1">
      <c r="A372" s="9"/>
      <c r="B372" s="9"/>
      <c r="C372" s="9"/>
      <c r="D372" s="9"/>
      <c r="E372" s="9"/>
      <c r="F372" s="9"/>
      <c r="G372" s="9"/>
      <c r="H372" s="9"/>
      <c r="I372" s="10"/>
      <c r="J372" s="10"/>
      <c r="K372" s="10"/>
      <c r="L372" s="10"/>
      <c r="M372" s="10"/>
      <c r="N372" s="10"/>
      <c r="O372" s="10"/>
      <c r="P372" s="10"/>
      <c r="Q372" s="11"/>
      <c r="R372" s="9"/>
    </row>
    <row r="373" spans="1:18" ht="15" customHeight="1">
      <c r="A373" s="12"/>
      <c r="B373" s="12"/>
      <c r="C373" s="12"/>
      <c r="D373" s="12"/>
      <c r="E373" s="12"/>
      <c r="F373" s="12"/>
      <c r="G373" s="12"/>
      <c r="H373" s="12"/>
      <c r="I373" s="13"/>
      <c r="J373" s="13"/>
      <c r="K373" s="13"/>
      <c r="L373" s="13"/>
      <c r="M373" s="13"/>
      <c r="N373" s="13"/>
      <c r="O373" s="13"/>
      <c r="P373" s="13"/>
      <c r="Q373" s="11"/>
      <c r="R373" s="12"/>
    </row>
    <row r="374" spans="1:18" ht="15" customHeight="1">
      <c r="A374" s="9"/>
      <c r="B374" s="9"/>
      <c r="C374" s="9"/>
      <c r="D374" s="9"/>
      <c r="E374" s="9"/>
      <c r="F374" s="9"/>
      <c r="G374" s="9"/>
      <c r="H374" s="9"/>
      <c r="I374" s="10"/>
      <c r="J374" s="10"/>
      <c r="K374" s="10"/>
      <c r="L374" s="10"/>
      <c r="M374" s="10"/>
      <c r="N374" s="10"/>
      <c r="O374" s="10"/>
      <c r="P374" s="10"/>
      <c r="Q374" s="11"/>
      <c r="R374" s="9"/>
    </row>
    <row r="375" spans="1:18" ht="15" customHeight="1">
      <c r="A375" s="12"/>
      <c r="B375" s="12"/>
      <c r="C375" s="12"/>
      <c r="D375" s="12"/>
      <c r="E375" s="12"/>
      <c r="F375" s="12"/>
      <c r="G375" s="12"/>
      <c r="H375" s="12"/>
      <c r="I375" s="13"/>
      <c r="J375" s="13"/>
      <c r="K375" s="13"/>
      <c r="L375" s="13"/>
      <c r="M375" s="13"/>
      <c r="N375" s="13"/>
      <c r="O375" s="13"/>
      <c r="P375" s="13"/>
      <c r="Q375" s="11"/>
      <c r="R375" s="12"/>
    </row>
    <row r="376" spans="1:18" ht="15" customHeight="1">
      <c r="A376" s="9"/>
      <c r="B376" s="9"/>
      <c r="C376" s="9"/>
      <c r="D376" s="9"/>
      <c r="E376" s="9"/>
      <c r="F376" s="9"/>
      <c r="G376" s="9"/>
      <c r="H376" s="9"/>
      <c r="I376" s="10"/>
      <c r="J376" s="10"/>
      <c r="K376" s="10"/>
      <c r="L376" s="10"/>
      <c r="M376" s="10"/>
      <c r="N376" s="10"/>
      <c r="O376" s="10"/>
      <c r="P376" s="10"/>
      <c r="Q376" s="11"/>
      <c r="R376" s="9"/>
    </row>
    <row r="377" spans="1:18" ht="15" customHeight="1">
      <c r="A377" s="12"/>
      <c r="B377" s="12"/>
      <c r="C377" s="12"/>
      <c r="D377" s="12"/>
      <c r="E377" s="12"/>
      <c r="F377" s="12"/>
      <c r="G377" s="12"/>
      <c r="H377" s="12"/>
      <c r="I377" s="13"/>
      <c r="J377" s="13"/>
      <c r="K377" s="13"/>
      <c r="L377" s="13"/>
      <c r="M377" s="13"/>
      <c r="N377" s="13"/>
      <c r="O377" s="13"/>
      <c r="P377" s="13"/>
      <c r="Q377" s="11"/>
      <c r="R377" s="12"/>
    </row>
    <row r="378" spans="1:18" ht="15" customHeight="1">
      <c r="A378" s="9"/>
      <c r="B378" s="9"/>
      <c r="C378" s="9"/>
      <c r="D378" s="9"/>
      <c r="E378" s="9"/>
      <c r="F378" s="9"/>
      <c r="G378" s="9"/>
      <c r="H378" s="9"/>
      <c r="I378" s="10"/>
      <c r="J378" s="10"/>
      <c r="K378" s="10"/>
      <c r="L378" s="10"/>
      <c r="M378" s="10"/>
      <c r="N378" s="10"/>
      <c r="O378" s="10"/>
      <c r="P378" s="10"/>
      <c r="Q378" s="11"/>
      <c r="R378" s="9"/>
    </row>
    <row r="379" spans="1:18" ht="15" customHeight="1">
      <c r="A379" s="12"/>
      <c r="B379" s="12"/>
      <c r="C379" s="12"/>
      <c r="D379" s="12"/>
      <c r="E379" s="12"/>
      <c r="F379" s="12"/>
      <c r="G379" s="12"/>
      <c r="H379" s="12"/>
      <c r="I379" s="13"/>
      <c r="J379" s="13"/>
      <c r="K379" s="13"/>
      <c r="L379" s="13"/>
      <c r="M379" s="13"/>
      <c r="N379" s="13"/>
      <c r="O379" s="13"/>
      <c r="P379" s="13"/>
      <c r="Q379" s="11"/>
      <c r="R379" s="12"/>
    </row>
    <row r="380" spans="1:18" ht="15" customHeight="1">
      <c r="A380" s="9"/>
      <c r="B380" s="9"/>
      <c r="C380" s="9"/>
      <c r="D380" s="9"/>
      <c r="E380" s="9"/>
      <c r="F380" s="9"/>
      <c r="G380" s="9"/>
      <c r="H380" s="9"/>
      <c r="I380" s="10"/>
      <c r="J380" s="10"/>
      <c r="K380" s="10"/>
      <c r="L380" s="10"/>
      <c r="M380" s="10"/>
      <c r="N380" s="10"/>
      <c r="O380" s="10"/>
      <c r="P380" s="10"/>
      <c r="Q380" s="11"/>
      <c r="R380" s="9"/>
    </row>
    <row r="381" spans="1:18" ht="15" customHeight="1">
      <c r="A381" s="12"/>
      <c r="B381" s="12"/>
      <c r="C381" s="12"/>
      <c r="D381" s="12"/>
      <c r="E381" s="12"/>
      <c r="F381" s="12"/>
      <c r="G381" s="12"/>
      <c r="H381" s="12"/>
      <c r="I381" s="13"/>
      <c r="J381" s="13"/>
      <c r="K381" s="13"/>
      <c r="L381" s="13"/>
      <c r="M381" s="13"/>
      <c r="N381" s="13"/>
      <c r="O381" s="13"/>
      <c r="P381" s="13"/>
      <c r="Q381" s="11"/>
      <c r="R381" s="12"/>
    </row>
    <row r="382" spans="1:18" ht="15" customHeight="1">
      <c r="A382" s="9"/>
      <c r="B382" s="9"/>
      <c r="C382" s="9"/>
      <c r="D382" s="9"/>
      <c r="E382" s="9"/>
      <c r="F382" s="9"/>
      <c r="G382" s="9"/>
      <c r="H382" s="9"/>
      <c r="I382" s="10"/>
      <c r="J382" s="10"/>
      <c r="K382" s="10"/>
      <c r="L382" s="10"/>
      <c r="M382" s="10"/>
      <c r="N382" s="10"/>
      <c r="O382" s="10"/>
      <c r="P382" s="10"/>
      <c r="Q382" s="11"/>
      <c r="R382" s="9"/>
    </row>
    <row r="383" spans="1:18" ht="15" customHeight="1">
      <c r="A383" s="12"/>
      <c r="B383" s="12"/>
      <c r="C383" s="12"/>
      <c r="D383" s="12"/>
      <c r="E383" s="12"/>
      <c r="F383" s="12"/>
      <c r="G383" s="12"/>
      <c r="H383" s="12"/>
      <c r="I383" s="13"/>
      <c r="J383" s="13"/>
      <c r="K383" s="13"/>
      <c r="L383" s="13"/>
      <c r="M383" s="13"/>
      <c r="N383" s="13"/>
      <c r="O383" s="13"/>
      <c r="P383" s="13"/>
      <c r="Q383" s="11"/>
      <c r="R383" s="12"/>
    </row>
    <row r="384" spans="1:18" ht="15" customHeight="1">
      <c r="A384" s="9"/>
      <c r="B384" s="9"/>
      <c r="C384" s="9"/>
      <c r="D384" s="9"/>
      <c r="E384" s="9"/>
      <c r="F384" s="9"/>
      <c r="G384" s="9"/>
      <c r="H384" s="9"/>
      <c r="I384" s="10"/>
      <c r="J384" s="10"/>
      <c r="K384" s="10"/>
      <c r="L384" s="10"/>
      <c r="M384" s="10"/>
      <c r="N384" s="10"/>
      <c r="O384" s="10"/>
      <c r="P384" s="10"/>
      <c r="Q384" s="11"/>
      <c r="R384" s="9"/>
    </row>
    <row r="385" spans="1:18" ht="15" customHeight="1">
      <c r="A385" s="12"/>
      <c r="B385" s="12"/>
      <c r="C385" s="12"/>
      <c r="D385" s="12"/>
      <c r="E385" s="12"/>
      <c r="F385" s="12"/>
      <c r="G385" s="12"/>
      <c r="H385" s="12"/>
      <c r="I385" s="13"/>
      <c r="J385" s="13"/>
      <c r="K385" s="13"/>
      <c r="L385" s="13"/>
      <c r="M385" s="13"/>
      <c r="N385" s="13"/>
      <c r="O385" s="13"/>
      <c r="P385" s="13"/>
      <c r="Q385" s="11"/>
      <c r="R385" s="12"/>
    </row>
    <row r="386" spans="1:18" ht="15" customHeight="1">
      <c r="A386" s="9"/>
      <c r="B386" s="9"/>
      <c r="C386" s="9"/>
      <c r="D386" s="9"/>
      <c r="E386" s="9"/>
      <c r="F386" s="9"/>
      <c r="G386" s="9"/>
      <c r="H386" s="9"/>
      <c r="I386" s="10"/>
      <c r="J386" s="10"/>
      <c r="K386" s="10"/>
      <c r="L386" s="10"/>
      <c r="M386" s="10"/>
      <c r="N386" s="10"/>
      <c r="O386" s="10"/>
      <c r="P386" s="10"/>
      <c r="Q386" s="11"/>
      <c r="R386" s="9"/>
    </row>
    <row r="387" spans="1:18" ht="15" customHeight="1">
      <c r="A387" s="12"/>
      <c r="B387" s="12"/>
      <c r="C387" s="12"/>
      <c r="D387" s="12"/>
      <c r="E387" s="12"/>
      <c r="F387" s="12"/>
      <c r="G387" s="12"/>
      <c r="H387" s="12"/>
      <c r="I387" s="13"/>
      <c r="J387" s="13"/>
      <c r="K387" s="13"/>
      <c r="L387" s="13"/>
      <c r="M387" s="13"/>
      <c r="N387" s="13"/>
      <c r="O387" s="13"/>
      <c r="P387" s="13"/>
      <c r="Q387" s="11"/>
      <c r="R387" s="12"/>
    </row>
    <row r="388" spans="1:18" ht="15" customHeight="1">
      <c r="A388" s="9"/>
      <c r="B388" s="9"/>
      <c r="C388" s="9"/>
      <c r="D388" s="9"/>
      <c r="E388" s="9"/>
      <c r="F388" s="9"/>
      <c r="G388" s="9"/>
      <c r="H388" s="9"/>
      <c r="I388" s="10"/>
      <c r="J388" s="10"/>
      <c r="K388" s="10"/>
      <c r="L388" s="10"/>
      <c r="M388" s="10"/>
      <c r="N388" s="10"/>
      <c r="O388" s="10"/>
      <c r="P388" s="10"/>
      <c r="Q388" s="11"/>
      <c r="R388" s="9"/>
    </row>
    <row r="389" spans="1:18" ht="15" customHeight="1">
      <c r="A389" s="12"/>
      <c r="B389" s="12"/>
      <c r="C389" s="12"/>
      <c r="D389" s="12"/>
      <c r="E389" s="12"/>
      <c r="F389" s="12"/>
      <c r="G389" s="12"/>
      <c r="H389" s="12"/>
      <c r="I389" s="13"/>
      <c r="J389" s="13"/>
      <c r="K389" s="13"/>
      <c r="L389" s="13"/>
      <c r="M389" s="13"/>
      <c r="N389" s="13"/>
      <c r="O389" s="13"/>
      <c r="P389" s="13"/>
      <c r="Q389" s="11"/>
      <c r="R389" s="12"/>
    </row>
    <row r="390" spans="1:18" ht="15" customHeight="1">
      <c r="A390" s="9"/>
      <c r="B390" s="9"/>
      <c r="C390" s="9"/>
      <c r="D390" s="9"/>
      <c r="E390" s="9"/>
      <c r="F390" s="9"/>
      <c r="G390" s="9"/>
      <c r="H390" s="9"/>
      <c r="I390" s="10"/>
      <c r="J390" s="10"/>
      <c r="K390" s="10"/>
      <c r="L390" s="10"/>
      <c r="M390" s="10"/>
      <c r="N390" s="10"/>
      <c r="O390" s="10"/>
      <c r="P390" s="10"/>
      <c r="Q390" s="11"/>
      <c r="R390" s="9"/>
    </row>
    <row r="391" spans="1:18" ht="15" customHeight="1">
      <c r="A391" s="12"/>
      <c r="B391" s="12"/>
      <c r="C391" s="12"/>
      <c r="D391" s="12"/>
      <c r="E391" s="12"/>
      <c r="F391" s="12"/>
      <c r="G391" s="12"/>
      <c r="H391" s="12"/>
      <c r="I391" s="13"/>
      <c r="J391" s="13"/>
      <c r="K391" s="13"/>
      <c r="L391" s="13"/>
      <c r="M391" s="13"/>
      <c r="N391" s="13"/>
      <c r="O391" s="13"/>
      <c r="P391" s="13"/>
      <c r="Q391" s="11"/>
      <c r="R391" s="12"/>
    </row>
    <row r="392" spans="1:18" ht="15" customHeight="1">
      <c r="A392" s="9"/>
      <c r="B392" s="9"/>
      <c r="C392" s="9"/>
      <c r="D392" s="9"/>
      <c r="E392" s="9"/>
      <c r="F392" s="9"/>
      <c r="G392" s="9"/>
      <c r="H392" s="9"/>
      <c r="I392" s="10"/>
      <c r="J392" s="10"/>
      <c r="K392" s="10"/>
      <c r="L392" s="10"/>
      <c r="M392" s="10"/>
      <c r="N392" s="10"/>
      <c r="O392" s="10"/>
      <c r="P392" s="10"/>
      <c r="Q392" s="11"/>
      <c r="R392" s="9"/>
    </row>
    <row r="393" spans="1:18" ht="15" customHeight="1">
      <c r="A393" s="12"/>
      <c r="B393" s="12"/>
      <c r="C393" s="12"/>
      <c r="D393" s="12"/>
      <c r="E393" s="12"/>
      <c r="F393" s="12"/>
      <c r="G393" s="12"/>
      <c r="H393" s="12"/>
      <c r="I393" s="13"/>
      <c r="J393" s="13"/>
      <c r="K393" s="13"/>
      <c r="L393" s="13"/>
      <c r="M393" s="13"/>
      <c r="N393" s="13"/>
      <c r="O393" s="13"/>
      <c r="P393" s="13"/>
      <c r="Q393" s="11"/>
      <c r="R393" s="12"/>
    </row>
    <row r="394" spans="1:18" ht="15" customHeight="1">
      <c r="A394" s="9"/>
      <c r="B394" s="9"/>
      <c r="C394" s="9"/>
      <c r="D394" s="9"/>
      <c r="E394" s="9"/>
      <c r="F394" s="9"/>
      <c r="G394" s="9"/>
      <c r="H394" s="9"/>
      <c r="I394" s="10"/>
      <c r="J394" s="10"/>
      <c r="K394" s="10"/>
      <c r="L394" s="10"/>
      <c r="M394" s="10"/>
      <c r="N394" s="10"/>
      <c r="O394" s="10"/>
      <c r="P394" s="10"/>
      <c r="Q394" s="11"/>
      <c r="R394" s="9"/>
    </row>
    <row r="395" spans="1:18" ht="15" customHeight="1">
      <c r="A395" s="12"/>
      <c r="B395" s="12"/>
      <c r="C395" s="12"/>
      <c r="D395" s="12"/>
      <c r="E395" s="12"/>
      <c r="F395" s="12"/>
      <c r="G395" s="12"/>
      <c r="H395" s="12"/>
      <c r="I395" s="13"/>
      <c r="J395" s="13"/>
      <c r="K395" s="13"/>
      <c r="L395" s="13"/>
      <c r="M395" s="13"/>
      <c r="N395" s="13"/>
      <c r="O395" s="13"/>
      <c r="P395" s="13"/>
      <c r="Q395" s="11"/>
      <c r="R395" s="12"/>
    </row>
    <row r="396" spans="1:18" ht="15" customHeight="1">
      <c r="A396" s="9"/>
      <c r="B396" s="9"/>
      <c r="C396" s="9"/>
      <c r="D396" s="9"/>
      <c r="E396" s="9"/>
      <c r="F396" s="9"/>
      <c r="G396" s="9"/>
      <c r="H396" s="9"/>
      <c r="I396" s="10"/>
      <c r="J396" s="10"/>
      <c r="K396" s="10"/>
      <c r="L396" s="10"/>
      <c r="M396" s="10"/>
      <c r="N396" s="10"/>
      <c r="O396" s="10"/>
      <c r="P396" s="10"/>
      <c r="Q396" s="11"/>
      <c r="R396" s="9"/>
    </row>
    <row r="397" spans="1:18" ht="15" customHeight="1">
      <c r="A397" s="12"/>
      <c r="B397" s="12"/>
      <c r="C397" s="12"/>
      <c r="D397" s="12"/>
      <c r="E397" s="12"/>
      <c r="F397" s="12"/>
      <c r="G397" s="12"/>
      <c r="H397" s="12"/>
      <c r="I397" s="13"/>
      <c r="J397" s="13"/>
      <c r="K397" s="13"/>
      <c r="L397" s="13"/>
      <c r="M397" s="13"/>
      <c r="N397" s="13"/>
      <c r="O397" s="13"/>
      <c r="P397" s="13"/>
      <c r="Q397" s="11"/>
      <c r="R397" s="12"/>
    </row>
    <row r="398" spans="1:18" ht="15" customHeight="1">
      <c r="A398" s="9"/>
      <c r="B398" s="9"/>
      <c r="C398" s="9"/>
      <c r="D398" s="9"/>
      <c r="E398" s="9"/>
      <c r="F398" s="9"/>
      <c r="G398" s="9"/>
      <c r="H398" s="9"/>
      <c r="I398" s="10"/>
      <c r="J398" s="10"/>
      <c r="K398" s="10"/>
      <c r="L398" s="10"/>
      <c r="M398" s="10"/>
      <c r="N398" s="10"/>
      <c r="O398" s="10"/>
      <c r="P398" s="10"/>
      <c r="Q398" s="11"/>
      <c r="R398" s="9"/>
    </row>
    <row r="399" spans="1:18" ht="15" customHeight="1">
      <c r="A399" s="12"/>
      <c r="B399" s="12"/>
      <c r="C399" s="12"/>
      <c r="D399" s="12"/>
      <c r="E399" s="12"/>
      <c r="F399" s="12"/>
      <c r="G399" s="12"/>
      <c r="H399" s="12"/>
      <c r="I399" s="13"/>
      <c r="J399" s="13"/>
      <c r="K399" s="13"/>
      <c r="L399" s="13"/>
      <c r="M399" s="13"/>
      <c r="N399" s="13"/>
      <c r="O399" s="13"/>
      <c r="P399" s="13"/>
      <c r="Q399" s="11"/>
      <c r="R399" s="12"/>
    </row>
    <row r="400" spans="1:18" ht="15" customHeight="1">
      <c r="A400" s="9"/>
      <c r="B400" s="9"/>
      <c r="C400" s="9"/>
      <c r="D400" s="9"/>
      <c r="E400" s="9"/>
      <c r="F400" s="9"/>
      <c r="G400" s="9"/>
      <c r="H400" s="9"/>
      <c r="I400" s="10"/>
      <c r="J400" s="10"/>
      <c r="K400" s="10"/>
      <c r="L400" s="10"/>
      <c r="M400" s="10"/>
      <c r="N400" s="10"/>
      <c r="O400" s="10"/>
      <c r="P400" s="10"/>
      <c r="Q400" s="11"/>
      <c r="R400" s="9"/>
    </row>
    <row r="401" spans="1:18" ht="15" customHeight="1">
      <c r="A401" s="12"/>
      <c r="B401" s="12"/>
      <c r="C401" s="12"/>
      <c r="D401" s="12"/>
      <c r="E401" s="12"/>
      <c r="F401" s="12"/>
      <c r="G401" s="12"/>
      <c r="H401" s="12"/>
      <c r="I401" s="13"/>
      <c r="J401" s="13"/>
      <c r="K401" s="13"/>
      <c r="L401" s="13"/>
      <c r="M401" s="13"/>
      <c r="N401" s="13"/>
      <c r="O401" s="13"/>
      <c r="P401" s="13"/>
      <c r="Q401" s="11"/>
      <c r="R401" s="12"/>
    </row>
    <row r="402" spans="1:18" ht="15" customHeight="1">
      <c r="A402" s="9"/>
      <c r="B402" s="9"/>
      <c r="C402" s="9"/>
      <c r="D402" s="9"/>
      <c r="E402" s="9"/>
      <c r="F402" s="9"/>
      <c r="G402" s="9"/>
      <c r="H402" s="9"/>
      <c r="I402" s="10"/>
      <c r="J402" s="10"/>
      <c r="K402" s="10"/>
      <c r="L402" s="10"/>
      <c r="M402" s="10"/>
      <c r="N402" s="10"/>
      <c r="O402" s="10"/>
      <c r="P402" s="10"/>
      <c r="Q402" s="11"/>
      <c r="R402" s="9"/>
    </row>
    <row r="403" spans="1:18" ht="15" customHeight="1">
      <c r="A403" s="12"/>
      <c r="B403" s="12"/>
      <c r="C403" s="12"/>
      <c r="D403" s="12"/>
      <c r="E403" s="12"/>
      <c r="F403" s="12"/>
      <c r="G403" s="12"/>
      <c r="H403" s="12"/>
      <c r="I403" s="13"/>
      <c r="J403" s="13"/>
      <c r="K403" s="13"/>
      <c r="L403" s="13"/>
      <c r="M403" s="13"/>
      <c r="N403" s="13"/>
      <c r="O403" s="13"/>
      <c r="P403" s="13"/>
      <c r="Q403" s="11"/>
      <c r="R403" s="12"/>
    </row>
    <row r="404" spans="1:18" ht="15" customHeight="1">
      <c r="A404" s="9"/>
      <c r="B404" s="9"/>
      <c r="C404" s="9"/>
      <c r="D404" s="9"/>
      <c r="E404" s="9"/>
      <c r="F404" s="9"/>
      <c r="G404" s="9"/>
      <c r="H404" s="9"/>
      <c r="I404" s="10"/>
      <c r="J404" s="10"/>
      <c r="K404" s="10"/>
      <c r="L404" s="10"/>
      <c r="M404" s="10"/>
      <c r="N404" s="10"/>
      <c r="O404" s="10"/>
      <c r="P404" s="10"/>
      <c r="Q404" s="11"/>
      <c r="R404" s="9"/>
    </row>
    <row r="405" spans="1:18" ht="15" customHeight="1">
      <c r="A405" s="12"/>
      <c r="B405" s="12"/>
      <c r="C405" s="12"/>
      <c r="D405" s="12"/>
      <c r="E405" s="12"/>
      <c r="F405" s="12"/>
      <c r="G405" s="12"/>
      <c r="H405" s="12"/>
      <c r="I405" s="13"/>
      <c r="J405" s="13"/>
      <c r="K405" s="13"/>
      <c r="L405" s="13"/>
      <c r="M405" s="13"/>
      <c r="N405" s="13"/>
      <c r="O405" s="13"/>
      <c r="P405" s="13"/>
      <c r="Q405" s="11"/>
      <c r="R405" s="12"/>
    </row>
    <row r="406" spans="1:18" ht="15" customHeight="1">
      <c r="A406" s="9"/>
      <c r="B406" s="9"/>
      <c r="C406" s="9"/>
      <c r="D406" s="9"/>
      <c r="E406" s="9"/>
      <c r="F406" s="9"/>
      <c r="G406" s="9"/>
      <c r="H406" s="9"/>
      <c r="I406" s="10"/>
      <c r="J406" s="10"/>
      <c r="K406" s="10"/>
      <c r="L406" s="10"/>
      <c r="M406" s="10"/>
      <c r="N406" s="10"/>
      <c r="O406" s="10"/>
      <c r="P406" s="10"/>
      <c r="Q406" s="11"/>
      <c r="R406" s="9"/>
    </row>
    <row r="407" spans="1:18" ht="15" customHeight="1">
      <c r="A407" s="12"/>
      <c r="B407" s="12"/>
      <c r="C407" s="12"/>
      <c r="D407" s="12"/>
      <c r="E407" s="12"/>
      <c r="F407" s="12"/>
      <c r="G407" s="12"/>
      <c r="H407" s="12"/>
      <c r="I407" s="13"/>
      <c r="J407" s="13"/>
      <c r="K407" s="13"/>
      <c r="L407" s="13"/>
      <c r="M407" s="13"/>
      <c r="N407" s="13"/>
      <c r="O407" s="13"/>
      <c r="P407" s="13"/>
      <c r="Q407" s="11"/>
      <c r="R407" s="12"/>
    </row>
    <row r="408" spans="1:18" ht="15" customHeight="1">
      <c r="A408" s="9"/>
      <c r="B408" s="9"/>
      <c r="C408" s="9"/>
      <c r="D408" s="9"/>
      <c r="E408" s="9"/>
      <c r="F408" s="9"/>
      <c r="G408" s="9"/>
      <c r="H408" s="9"/>
      <c r="I408" s="10"/>
      <c r="J408" s="10"/>
      <c r="K408" s="10"/>
      <c r="L408" s="10"/>
      <c r="M408" s="10"/>
      <c r="N408" s="10"/>
      <c r="O408" s="10"/>
      <c r="P408" s="10"/>
      <c r="Q408" s="11"/>
      <c r="R408" s="9"/>
    </row>
    <row r="409" spans="1:18" ht="15" customHeight="1">
      <c r="A409" s="12"/>
      <c r="B409" s="12"/>
      <c r="C409" s="12"/>
      <c r="D409" s="12"/>
      <c r="E409" s="12"/>
      <c r="F409" s="12"/>
      <c r="G409" s="12"/>
      <c r="H409" s="12"/>
      <c r="I409" s="13"/>
      <c r="J409" s="13"/>
      <c r="K409" s="13"/>
      <c r="L409" s="13"/>
      <c r="M409" s="13"/>
      <c r="N409" s="13"/>
      <c r="O409" s="13"/>
      <c r="P409" s="13"/>
      <c r="Q409" s="11"/>
      <c r="R409" s="12"/>
    </row>
    <row r="410" spans="1:18" ht="15" customHeight="1">
      <c r="A410" s="9"/>
      <c r="B410" s="9"/>
      <c r="C410" s="9"/>
      <c r="D410" s="9"/>
      <c r="E410" s="9"/>
      <c r="F410" s="9"/>
      <c r="G410" s="9"/>
      <c r="H410" s="9"/>
      <c r="I410" s="10"/>
      <c r="J410" s="10"/>
      <c r="K410" s="10"/>
      <c r="L410" s="10"/>
      <c r="M410" s="10"/>
      <c r="N410" s="10"/>
      <c r="O410" s="10"/>
      <c r="P410" s="10"/>
      <c r="Q410" s="11"/>
      <c r="R410" s="9"/>
    </row>
    <row r="411" spans="1:18" ht="15" customHeight="1">
      <c r="A411" s="12"/>
      <c r="B411" s="12"/>
      <c r="C411" s="12"/>
      <c r="D411" s="12"/>
      <c r="E411" s="12"/>
      <c r="F411" s="12"/>
      <c r="G411" s="12"/>
      <c r="H411" s="12"/>
      <c r="I411" s="13"/>
      <c r="J411" s="13"/>
      <c r="K411" s="13"/>
      <c r="L411" s="13"/>
      <c r="M411" s="13"/>
      <c r="N411" s="13"/>
      <c r="O411" s="13"/>
      <c r="P411" s="13"/>
      <c r="Q411" s="11"/>
      <c r="R411" s="12"/>
    </row>
    <row r="412" spans="1:18" ht="15" customHeight="1">
      <c r="A412" s="9"/>
      <c r="B412" s="9"/>
      <c r="C412" s="9"/>
      <c r="D412" s="9"/>
      <c r="E412" s="9"/>
      <c r="F412" s="9"/>
      <c r="G412" s="9"/>
      <c r="H412" s="9"/>
      <c r="I412" s="10"/>
      <c r="J412" s="10"/>
      <c r="K412" s="10"/>
      <c r="L412" s="10"/>
      <c r="M412" s="10"/>
      <c r="N412" s="10"/>
      <c r="O412" s="10"/>
      <c r="P412" s="10"/>
      <c r="Q412" s="11"/>
      <c r="R412" s="9"/>
    </row>
    <row r="413" spans="1:18" ht="15" customHeight="1">
      <c r="A413" s="12"/>
      <c r="B413" s="12"/>
      <c r="C413" s="12"/>
      <c r="D413" s="12"/>
      <c r="E413" s="12"/>
      <c r="F413" s="12"/>
      <c r="G413" s="12"/>
      <c r="H413" s="12"/>
      <c r="I413" s="13"/>
      <c r="J413" s="13"/>
      <c r="K413" s="13"/>
      <c r="L413" s="13"/>
      <c r="M413" s="13"/>
      <c r="N413" s="13"/>
      <c r="O413" s="13"/>
      <c r="P413" s="13"/>
      <c r="Q413" s="11"/>
      <c r="R413" s="12"/>
    </row>
    <row r="414" spans="1:18" ht="15" customHeight="1">
      <c r="A414" s="9"/>
      <c r="B414" s="9"/>
      <c r="C414" s="9"/>
      <c r="D414" s="9"/>
      <c r="E414" s="9"/>
      <c r="F414" s="9"/>
      <c r="G414" s="9"/>
      <c r="H414" s="9"/>
      <c r="I414" s="10"/>
      <c r="J414" s="10"/>
      <c r="K414" s="10"/>
      <c r="L414" s="10"/>
      <c r="M414" s="10"/>
      <c r="N414" s="10"/>
      <c r="O414" s="10"/>
      <c r="P414" s="10"/>
      <c r="Q414" s="11"/>
      <c r="R414" s="9"/>
    </row>
    <row r="415" spans="1:18" ht="15" customHeight="1">
      <c r="A415" s="12"/>
      <c r="B415" s="12"/>
      <c r="C415" s="12"/>
      <c r="D415" s="12"/>
      <c r="E415" s="12"/>
      <c r="F415" s="12"/>
      <c r="G415" s="12"/>
      <c r="H415" s="12"/>
      <c r="I415" s="13"/>
      <c r="J415" s="13"/>
      <c r="K415" s="13"/>
      <c r="L415" s="13"/>
      <c r="M415" s="13"/>
      <c r="N415" s="13"/>
      <c r="O415" s="13"/>
      <c r="P415" s="13"/>
      <c r="Q415" s="11"/>
      <c r="R415" s="12"/>
    </row>
    <row r="416" spans="1:18" ht="15" customHeight="1">
      <c r="A416" s="9"/>
      <c r="B416" s="9"/>
      <c r="C416" s="9"/>
      <c r="D416" s="9"/>
      <c r="E416" s="9"/>
      <c r="F416" s="9"/>
      <c r="G416" s="9"/>
      <c r="H416" s="9"/>
      <c r="I416" s="10"/>
      <c r="J416" s="10"/>
      <c r="K416" s="10"/>
      <c r="L416" s="10"/>
      <c r="M416" s="10"/>
      <c r="N416" s="10"/>
      <c r="O416" s="10"/>
      <c r="P416" s="10"/>
      <c r="Q416" s="11"/>
      <c r="R416" s="9"/>
    </row>
    <row r="417" spans="1:18" ht="15" customHeight="1">
      <c r="A417" s="12"/>
      <c r="B417" s="12"/>
      <c r="C417" s="12"/>
      <c r="D417" s="12"/>
      <c r="E417" s="12"/>
      <c r="F417" s="12"/>
      <c r="G417" s="12"/>
      <c r="H417" s="12"/>
      <c r="I417" s="13"/>
      <c r="J417" s="13"/>
      <c r="K417" s="13"/>
      <c r="L417" s="13"/>
      <c r="M417" s="13"/>
      <c r="N417" s="13"/>
      <c r="O417" s="13"/>
      <c r="P417" s="13"/>
      <c r="Q417" s="11"/>
      <c r="R417" s="12"/>
    </row>
    <row r="418" spans="1:18" ht="15" customHeight="1">
      <c r="A418" s="9"/>
      <c r="B418" s="9"/>
      <c r="C418" s="9"/>
      <c r="D418" s="9"/>
      <c r="E418" s="9"/>
      <c r="F418" s="9"/>
      <c r="G418" s="9"/>
      <c r="H418" s="9"/>
      <c r="I418" s="10"/>
      <c r="J418" s="10"/>
      <c r="K418" s="10"/>
      <c r="L418" s="10"/>
      <c r="M418" s="10"/>
      <c r="N418" s="10"/>
      <c r="O418" s="10"/>
      <c r="P418" s="10"/>
      <c r="Q418" s="11"/>
      <c r="R418" s="9"/>
    </row>
    <row r="419" spans="1:18" ht="15" customHeight="1">
      <c r="A419" s="12"/>
      <c r="B419" s="12"/>
      <c r="C419" s="12"/>
      <c r="D419" s="12"/>
      <c r="E419" s="12"/>
      <c r="F419" s="12"/>
      <c r="G419" s="12"/>
      <c r="H419" s="12"/>
      <c r="I419" s="13"/>
      <c r="J419" s="13"/>
      <c r="K419" s="13"/>
      <c r="L419" s="13"/>
      <c r="M419" s="13"/>
      <c r="N419" s="13"/>
      <c r="O419" s="13"/>
      <c r="P419" s="13"/>
      <c r="Q419" s="11"/>
      <c r="R419" s="12"/>
    </row>
    <row r="420" spans="1:18" ht="15" customHeight="1">
      <c r="A420" s="9"/>
      <c r="B420" s="9"/>
      <c r="C420" s="9"/>
      <c r="D420" s="9"/>
      <c r="E420" s="9"/>
      <c r="F420" s="9"/>
      <c r="G420" s="9"/>
      <c r="H420" s="9"/>
      <c r="I420" s="10"/>
      <c r="J420" s="10"/>
      <c r="K420" s="10"/>
      <c r="L420" s="10"/>
      <c r="M420" s="10"/>
      <c r="N420" s="10"/>
      <c r="O420" s="10"/>
      <c r="P420" s="10"/>
      <c r="Q420" s="11"/>
      <c r="R420" s="9"/>
    </row>
    <row r="421" spans="1:18" ht="15" customHeight="1">
      <c r="A421" s="12"/>
      <c r="B421" s="12"/>
      <c r="C421" s="12"/>
      <c r="D421" s="12"/>
      <c r="E421" s="12"/>
      <c r="F421" s="12"/>
      <c r="G421" s="12"/>
      <c r="H421" s="12"/>
      <c r="I421" s="13"/>
      <c r="J421" s="13"/>
      <c r="K421" s="13"/>
      <c r="L421" s="13"/>
      <c r="M421" s="13"/>
      <c r="N421" s="13"/>
      <c r="O421" s="13"/>
      <c r="P421" s="13"/>
      <c r="Q421" s="11"/>
      <c r="R421" s="12"/>
    </row>
    <row r="422" spans="1:18" ht="15" customHeight="1">
      <c r="A422" s="9"/>
      <c r="B422" s="9"/>
      <c r="C422" s="9"/>
      <c r="D422" s="9"/>
      <c r="E422" s="9"/>
      <c r="F422" s="9"/>
      <c r="G422" s="9"/>
      <c r="H422" s="9"/>
      <c r="I422" s="10"/>
      <c r="J422" s="10"/>
      <c r="K422" s="10"/>
      <c r="L422" s="10"/>
      <c r="M422" s="10"/>
      <c r="N422" s="10"/>
      <c r="O422" s="10"/>
      <c r="P422" s="10"/>
      <c r="Q422" s="11"/>
      <c r="R422" s="9"/>
    </row>
    <row r="423" spans="1:18" ht="15" customHeight="1">
      <c r="A423" s="12"/>
      <c r="B423" s="12"/>
      <c r="C423" s="12"/>
      <c r="D423" s="12"/>
      <c r="E423" s="12"/>
      <c r="F423" s="12"/>
      <c r="G423" s="12"/>
      <c r="H423" s="12"/>
      <c r="I423" s="13"/>
      <c r="J423" s="13"/>
      <c r="K423" s="13"/>
      <c r="L423" s="13"/>
      <c r="M423" s="13"/>
      <c r="N423" s="13"/>
      <c r="O423" s="13"/>
      <c r="P423" s="13"/>
      <c r="Q423" s="11"/>
      <c r="R423" s="12"/>
    </row>
    <row r="424" spans="1:18" ht="15" customHeight="1">
      <c r="A424" s="9"/>
      <c r="B424" s="9"/>
      <c r="C424" s="9"/>
      <c r="D424" s="9"/>
      <c r="E424" s="9"/>
      <c r="F424" s="9"/>
      <c r="G424" s="9"/>
      <c r="H424" s="9"/>
      <c r="I424" s="10"/>
      <c r="J424" s="10"/>
      <c r="K424" s="10"/>
      <c r="L424" s="10"/>
      <c r="M424" s="10"/>
      <c r="N424" s="10"/>
      <c r="O424" s="10"/>
      <c r="P424" s="10"/>
      <c r="Q424" s="11"/>
      <c r="R424" s="9"/>
    </row>
    <row r="425" spans="1:18" ht="15" customHeight="1">
      <c r="A425" s="12"/>
      <c r="B425" s="12"/>
      <c r="C425" s="12"/>
      <c r="D425" s="12"/>
      <c r="E425" s="12"/>
      <c r="F425" s="12"/>
      <c r="G425" s="12"/>
      <c r="H425" s="12"/>
      <c r="I425" s="13"/>
      <c r="J425" s="13"/>
      <c r="K425" s="13"/>
      <c r="L425" s="13"/>
      <c r="M425" s="13"/>
      <c r="N425" s="13"/>
      <c r="O425" s="13"/>
      <c r="P425" s="13"/>
      <c r="Q425" s="11"/>
      <c r="R425" s="12"/>
    </row>
    <row r="426" spans="1:18" ht="15" customHeight="1">
      <c r="A426" s="9"/>
      <c r="B426" s="9"/>
      <c r="C426" s="9"/>
      <c r="D426" s="9"/>
      <c r="E426" s="9"/>
      <c r="F426" s="9"/>
      <c r="G426" s="9"/>
      <c r="H426" s="9"/>
      <c r="I426" s="10"/>
      <c r="J426" s="10"/>
      <c r="K426" s="10"/>
      <c r="L426" s="10"/>
      <c r="M426" s="10"/>
      <c r="N426" s="10"/>
      <c r="O426" s="10"/>
      <c r="P426" s="10"/>
      <c r="Q426" s="11"/>
      <c r="R426" s="9"/>
    </row>
    <row r="427" spans="1:18" ht="15" customHeight="1">
      <c r="A427" s="12"/>
      <c r="B427" s="12"/>
      <c r="C427" s="12"/>
      <c r="D427" s="12"/>
      <c r="E427" s="12"/>
      <c r="F427" s="12"/>
      <c r="G427" s="12"/>
      <c r="H427" s="12"/>
      <c r="I427" s="13"/>
      <c r="J427" s="13"/>
      <c r="K427" s="13"/>
      <c r="L427" s="13"/>
      <c r="M427" s="13"/>
      <c r="N427" s="13"/>
      <c r="O427" s="13"/>
      <c r="P427" s="13"/>
      <c r="Q427" s="11"/>
      <c r="R427" s="12"/>
    </row>
    <row r="428" spans="1:18" ht="15" customHeight="1">
      <c r="A428" s="9"/>
      <c r="B428" s="9"/>
      <c r="C428" s="9"/>
      <c r="D428" s="9"/>
      <c r="E428" s="9"/>
      <c r="F428" s="9"/>
      <c r="G428" s="9"/>
      <c r="H428" s="9"/>
      <c r="I428" s="10"/>
      <c r="J428" s="10"/>
      <c r="K428" s="10"/>
      <c r="L428" s="10"/>
      <c r="M428" s="10"/>
      <c r="N428" s="10"/>
      <c r="O428" s="10"/>
      <c r="P428" s="10"/>
      <c r="Q428" s="11"/>
      <c r="R428" s="9"/>
    </row>
    <row r="429" spans="1:18" ht="15" customHeight="1">
      <c r="A429" s="12"/>
      <c r="B429" s="12"/>
      <c r="C429" s="12"/>
      <c r="D429" s="12"/>
      <c r="E429" s="12"/>
      <c r="F429" s="12"/>
      <c r="G429" s="12"/>
      <c r="H429" s="12"/>
      <c r="I429" s="13"/>
      <c r="J429" s="13"/>
      <c r="K429" s="13"/>
      <c r="L429" s="13"/>
      <c r="M429" s="13"/>
      <c r="N429" s="13"/>
      <c r="O429" s="13"/>
      <c r="P429" s="13"/>
      <c r="Q429" s="11"/>
      <c r="R429" s="12"/>
    </row>
    <row r="430" spans="1:18" ht="15" customHeight="1">
      <c r="A430" s="9"/>
      <c r="B430" s="9"/>
      <c r="C430" s="9"/>
      <c r="D430" s="9"/>
      <c r="E430" s="9"/>
      <c r="F430" s="9"/>
      <c r="G430" s="9"/>
      <c r="H430" s="9"/>
      <c r="I430" s="10"/>
      <c r="J430" s="10"/>
      <c r="K430" s="10"/>
      <c r="L430" s="10"/>
      <c r="M430" s="10"/>
      <c r="N430" s="10"/>
      <c r="O430" s="10"/>
      <c r="P430" s="10"/>
      <c r="Q430" s="11"/>
      <c r="R430" s="9"/>
    </row>
    <row r="431" spans="1:18" ht="15" customHeight="1">
      <c r="A431" s="12"/>
      <c r="B431" s="12"/>
      <c r="C431" s="12"/>
      <c r="D431" s="12"/>
      <c r="E431" s="12"/>
      <c r="F431" s="12"/>
      <c r="G431" s="12"/>
      <c r="H431" s="12"/>
      <c r="I431" s="13"/>
      <c r="J431" s="13"/>
      <c r="K431" s="13"/>
      <c r="L431" s="13"/>
      <c r="M431" s="13"/>
      <c r="N431" s="13"/>
      <c r="O431" s="13"/>
      <c r="P431" s="13"/>
      <c r="Q431" s="11"/>
      <c r="R431" s="12"/>
    </row>
    <row r="432" spans="1:18" ht="15" customHeight="1">
      <c r="A432" s="9"/>
      <c r="B432" s="9"/>
      <c r="C432" s="9"/>
      <c r="D432" s="9"/>
      <c r="E432" s="9"/>
      <c r="F432" s="9"/>
      <c r="G432" s="9"/>
      <c r="H432" s="9"/>
      <c r="I432" s="10"/>
      <c r="J432" s="10"/>
      <c r="K432" s="10"/>
      <c r="L432" s="10"/>
      <c r="M432" s="10"/>
      <c r="N432" s="10"/>
      <c r="O432" s="10"/>
      <c r="P432" s="10"/>
      <c r="Q432" s="11"/>
      <c r="R432" s="9"/>
    </row>
    <row r="433" spans="1:18" ht="15" customHeight="1">
      <c r="A433" s="12"/>
      <c r="B433" s="12"/>
      <c r="C433" s="12"/>
      <c r="D433" s="12"/>
      <c r="E433" s="12"/>
      <c r="F433" s="12"/>
      <c r="G433" s="12"/>
      <c r="H433" s="12"/>
      <c r="I433" s="13"/>
      <c r="J433" s="13"/>
      <c r="K433" s="13"/>
      <c r="L433" s="13"/>
      <c r="M433" s="13"/>
      <c r="N433" s="13"/>
      <c r="O433" s="13"/>
      <c r="P433" s="13"/>
      <c r="Q433" s="11"/>
      <c r="R433" s="12"/>
    </row>
    <row r="434" spans="1:18" ht="15" customHeight="1">
      <c r="A434" s="9"/>
      <c r="B434" s="9"/>
      <c r="C434" s="9"/>
      <c r="D434" s="9"/>
      <c r="E434" s="9"/>
      <c r="F434" s="9"/>
      <c r="G434" s="9"/>
      <c r="H434" s="9"/>
      <c r="I434" s="10"/>
      <c r="J434" s="10"/>
      <c r="K434" s="10"/>
      <c r="L434" s="10"/>
      <c r="M434" s="10"/>
      <c r="N434" s="10"/>
      <c r="O434" s="10"/>
      <c r="P434" s="10"/>
      <c r="Q434" s="11"/>
      <c r="R434" s="9"/>
    </row>
    <row r="435" spans="1:18" ht="15" customHeight="1">
      <c r="A435" s="12"/>
      <c r="B435" s="12"/>
      <c r="C435" s="12"/>
      <c r="D435" s="12"/>
      <c r="E435" s="12"/>
      <c r="F435" s="12"/>
      <c r="G435" s="12"/>
      <c r="H435" s="12"/>
      <c r="I435" s="13"/>
      <c r="J435" s="13"/>
      <c r="K435" s="13"/>
      <c r="L435" s="13"/>
      <c r="M435" s="13"/>
      <c r="N435" s="13"/>
      <c r="O435" s="13"/>
      <c r="P435" s="13"/>
      <c r="Q435" s="11"/>
      <c r="R435" s="12"/>
    </row>
    <row r="436" spans="1:18" ht="15" customHeight="1">
      <c r="A436" s="9"/>
      <c r="B436" s="9"/>
      <c r="C436" s="9"/>
      <c r="D436" s="9"/>
      <c r="E436" s="9"/>
      <c r="F436" s="9"/>
      <c r="G436" s="9"/>
      <c r="H436" s="9"/>
      <c r="I436" s="10"/>
      <c r="J436" s="10"/>
      <c r="K436" s="10"/>
      <c r="L436" s="10"/>
      <c r="M436" s="10"/>
      <c r="N436" s="10"/>
      <c r="O436" s="10"/>
      <c r="P436" s="10"/>
      <c r="Q436" s="11"/>
      <c r="R436" s="9"/>
    </row>
    <row r="437" spans="1:18" ht="15" customHeight="1">
      <c r="A437" s="12"/>
      <c r="B437" s="12"/>
      <c r="C437" s="12"/>
      <c r="D437" s="12"/>
      <c r="E437" s="12"/>
      <c r="F437" s="12"/>
      <c r="G437" s="12"/>
      <c r="H437" s="12"/>
      <c r="I437" s="13"/>
      <c r="J437" s="13"/>
      <c r="K437" s="13"/>
      <c r="L437" s="13"/>
      <c r="M437" s="13"/>
      <c r="N437" s="13"/>
      <c r="O437" s="13"/>
      <c r="P437" s="13"/>
      <c r="Q437" s="11"/>
      <c r="R437" s="12"/>
    </row>
    <row r="438" spans="1:18" ht="15" customHeight="1">
      <c r="A438" s="9"/>
      <c r="B438" s="9"/>
      <c r="C438" s="9"/>
      <c r="D438" s="9"/>
      <c r="E438" s="9"/>
      <c r="F438" s="9"/>
      <c r="G438" s="9"/>
      <c r="H438" s="9"/>
      <c r="I438" s="10"/>
      <c r="J438" s="10"/>
      <c r="K438" s="10"/>
      <c r="L438" s="10"/>
      <c r="M438" s="10"/>
      <c r="N438" s="10"/>
      <c r="O438" s="10"/>
      <c r="P438" s="10"/>
      <c r="Q438" s="11"/>
      <c r="R438" s="9"/>
    </row>
    <row r="439" spans="1:18" ht="15" customHeight="1">
      <c r="A439" s="12"/>
      <c r="B439" s="12"/>
      <c r="C439" s="12"/>
      <c r="D439" s="12"/>
      <c r="E439" s="12"/>
      <c r="F439" s="12"/>
      <c r="G439" s="12"/>
      <c r="H439" s="12"/>
      <c r="I439" s="13"/>
      <c r="J439" s="13"/>
      <c r="K439" s="13"/>
      <c r="L439" s="13"/>
      <c r="M439" s="13"/>
      <c r="N439" s="13"/>
      <c r="O439" s="13"/>
      <c r="P439" s="13"/>
      <c r="Q439" s="11"/>
      <c r="R439" s="12"/>
    </row>
    <row r="440" spans="1:18" ht="15" customHeight="1">
      <c r="A440" s="9"/>
      <c r="B440" s="9"/>
      <c r="C440" s="9"/>
      <c r="D440" s="9"/>
      <c r="E440" s="9"/>
      <c r="F440" s="9"/>
      <c r="G440" s="9"/>
      <c r="H440" s="9"/>
      <c r="I440" s="10"/>
      <c r="J440" s="10"/>
      <c r="K440" s="10"/>
      <c r="L440" s="10"/>
      <c r="M440" s="10"/>
      <c r="N440" s="10"/>
      <c r="O440" s="10"/>
      <c r="P440" s="10"/>
      <c r="Q440" s="11"/>
      <c r="R440" s="9"/>
    </row>
    <row r="441" spans="1:18" ht="15" customHeight="1">
      <c r="A441" s="12"/>
      <c r="B441" s="12"/>
      <c r="C441" s="12"/>
      <c r="D441" s="12"/>
      <c r="E441" s="12"/>
      <c r="F441" s="12"/>
      <c r="G441" s="12"/>
      <c r="H441" s="12"/>
      <c r="I441" s="13"/>
      <c r="J441" s="13"/>
      <c r="K441" s="13"/>
      <c r="L441" s="13"/>
      <c r="M441" s="13"/>
      <c r="N441" s="13"/>
      <c r="O441" s="13"/>
      <c r="P441" s="13"/>
      <c r="Q441" s="11"/>
      <c r="R441" s="12"/>
    </row>
    <row r="442" spans="1:18" ht="15" customHeight="1">
      <c r="A442" s="9"/>
      <c r="B442" s="9"/>
      <c r="C442" s="9"/>
      <c r="D442" s="9"/>
      <c r="E442" s="9"/>
      <c r="F442" s="9"/>
      <c r="G442" s="9"/>
      <c r="H442" s="9"/>
      <c r="I442" s="10"/>
      <c r="J442" s="10"/>
      <c r="K442" s="10"/>
      <c r="L442" s="10"/>
      <c r="M442" s="10"/>
      <c r="N442" s="10"/>
      <c r="O442" s="10"/>
      <c r="P442" s="10"/>
      <c r="Q442" s="11"/>
      <c r="R442" s="9"/>
    </row>
    <row r="443" spans="1:18" ht="15" customHeight="1">
      <c r="A443" s="12"/>
      <c r="B443" s="12"/>
      <c r="C443" s="12"/>
      <c r="D443" s="12"/>
      <c r="E443" s="12"/>
      <c r="F443" s="12"/>
      <c r="G443" s="12"/>
      <c r="H443" s="12"/>
      <c r="I443" s="13"/>
      <c r="J443" s="13"/>
      <c r="K443" s="13"/>
      <c r="L443" s="13"/>
      <c r="M443" s="13"/>
      <c r="N443" s="13"/>
      <c r="O443" s="13"/>
      <c r="P443" s="13"/>
      <c r="Q443" s="11"/>
      <c r="R443" s="12"/>
    </row>
    <row r="444" spans="1:18" ht="15" customHeight="1">
      <c r="A444" s="9"/>
      <c r="B444" s="9"/>
      <c r="C444" s="9"/>
      <c r="D444" s="9"/>
      <c r="E444" s="9"/>
      <c r="F444" s="9"/>
      <c r="G444" s="9"/>
      <c r="H444" s="9"/>
      <c r="I444" s="10"/>
      <c r="J444" s="10"/>
      <c r="K444" s="10"/>
      <c r="L444" s="10"/>
      <c r="M444" s="10"/>
      <c r="N444" s="10"/>
      <c r="O444" s="10"/>
      <c r="P444" s="10"/>
      <c r="Q444" s="11"/>
      <c r="R444" s="9"/>
    </row>
    <row r="445" spans="1:18" ht="15" customHeight="1">
      <c r="A445" s="12"/>
      <c r="B445" s="12"/>
      <c r="C445" s="12"/>
      <c r="D445" s="12"/>
      <c r="E445" s="12"/>
      <c r="F445" s="12"/>
      <c r="G445" s="12"/>
      <c r="H445" s="12"/>
      <c r="I445" s="13"/>
      <c r="J445" s="13"/>
      <c r="K445" s="13"/>
      <c r="L445" s="13"/>
      <c r="M445" s="13"/>
      <c r="N445" s="13"/>
      <c r="O445" s="13"/>
      <c r="P445" s="13"/>
      <c r="Q445" s="11"/>
      <c r="R445" s="12"/>
    </row>
    <row r="446" spans="1:18" ht="15" customHeight="1">
      <c r="A446" s="9"/>
      <c r="B446" s="9"/>
      <c r="C446" s="9"/>
      <c r="D446" s="9"/>
      <c r="E446" s="9"/>
      <c r="F446" s="9"/>
      <c r="G446" s="9"/>
      <c r="H446" s="9"/>
      <c r="I446" s="10"/>
      <c r="J446" s="10"/>
      <c r="K446" s="10"/>
      <c r="L446" s="10"/>
      <c r="M446" s="10"/>
      <c r="N446" s="10"/>
      <c r="O446" s="10"/>
      <c r="P446" s="10"/>
      <c r="Q446" s="11"/>
      <c r="R446" s="9"/>
    </row>
    <row r="447" spans="1:18" ht="15" customHeight="1">
      <c r="A447" s="12"/>
      <c r="B447" s="12"/>
      <c r="C447" s="12"/>
      <c r="D447" s="12"/>
      <c r="E447" s="12"/>
      <c r="F447" s="12"/>
      <c r="G447" s="12"/>
      <c r="H447" s="12"/>
      <c r="I447" s="13"/>
      <c r="J447" s="13"/>
      <c r="K447" s="13"/>
      <c r="L447" s="13"/>
      <c r="M447" s="13"/>
      <c r="N447" s="13"/>
      <c r="O447" s="13"/>
      <c r="P447" s="13"/>
      <c r="Q447" s="11"/>
      <c r="R447" s="12"/>
    </row>
    <row r="448" spans="1:18" ht="15" customHeight="1">
      <c r="A448" s="9"/>
      <c r="B448" s="9"/>
      <c r="C448" s="9"/>
      <c r="D448" s="9"/>
      <c r="E448" s="9"/>
      <c r="F448" s="9"/>
      <c r="G448" s="9"/>
      <c r="H448" s="9"/>
      <c r="I448" s="10"/>
      <c r="J448" s="10"/>
      <c r="K448" s="10"/>
      <c r="L448" s="10"/>
      <c r="M448" s="10"/>
      <c r="N448" s="10"/>
      <c r="O448" s="10"/>
      <c r="P448" s="10"/>
      <c r="Q448" s="11"/>
      <c r="R448" s="9"/>
    </row>
    <row r="449" spans="1:18" ht="15" customHeight="1">
      <c r="A449" s="12"/>
      <c r="B449" s="12"/>
      <c r="C449" s="12"/>
      <c r="D449" s="12"/>
      <c r="E449" s="12"/>
      <c r="F449" s="12"/>
      <c r="G449" s="12"/>
      <c r="H449" s="12"/>
      <c r="I449" s="13"/>
      <c r="J449" s="13"/>
      <c r="K449" s="13"/>
      <c r="L449" s="13"/>
      <c r="M449" s="13"/>
      <c r="N449" s="13"/>
      <c r="O449" s="13"/>
      <c r="P449" s="13"/>
      <c r="Q449" s="11"/>
      <c r="R449" s="12"/>
    </row>
    <row r="450" spans="1:18" ht="15" customHeight="1">
      <c r="A450" s="9"/>
      <c r="B450" s="9"/>
      <c r="C450" s="9"/>
      <c r="D450" s="9"/>
      <c r="E450" s="9"/>
      <c r="F450" s="9"/>
      <c r="G450" s="9"/>
      <c r="H450" s="9"/>
      <c r="I450" s="10"/>
      <c r="J450" s="10"/>
      <c r="K450" s="10"/>
      <c r="L450" s="10"/>
      <c r="M450" s="10"/>
      <c r="N450" s="10"/>
      <c r="O450" s="10"/>
      <c r="P450" s="10"/>
      <c r="Q450" s="11"/>
      <c r="R450" s="9"/>
    </row>
    <row r="451" spans="1:18" ht="15" customHeight="1">
      <c r="A451" s="12"/>
      <c r="B451" s="12"/>
      <c r="C451" s="12"/>
      <c r="D451" s="12"/>
      <c r="E451" s="12"/>
      <c r="F451" s="12"/>
      <c r="G451" s="12"/>
      <c r="H451" s="12"/>
      <c r="I451" s="13"/>
      <c r="J451" s="13"/>
      <c r="K451" s="13"/>
      <c r="L451" s="13"/>
      <c r="M451" s="13"/>
      <c r="N451" s="13"/>
      <c r="O451" s="13"/>
      <c r="P451" s="13"/>
      <c r="Q451" s="11"/>
      <c r="R451" s="12"/>
    </row>
    <row r="452" spans="1:18" ht="15" customHeight="1">
      <c r="A452" s="9"/>
      <c r="B452" s="9"/>
      <c r="C452" s="9"/>
      <c r="D452" s="9"/>
      <c r="E452" s="9"/>
      <c r="F452" s="9"/>
      <c r="G452" s="9"/>
      <c r="H452" s="9"/>
      <c r="I452" s="10"/>
      <c r="J452" s="10"/>
      <c r="K452" s="10"/>
      <c r="L452" s="10"/>
      <c r="M452" s="10"/>
      <c r="N452" s="10"/>
      <c r="O452" s="10"/>
      <c r="P452" s="10"/>
      <c r="Q452" s="11"/>
      <c r="R452" s="9"/>
    </row>
    <row r="453" spans="1:18" ht="15" customHeight="1">
      <c r="A453" s="12"/>
      <c r="B453" s="12"/>
      <c r="C453" s="12"/>
      <c r="D453" s="12"/>
      <c r="E453" s="12"/>
      <c r="F453" s="12"/>
      <c r="G453" s="12"/>
      <c r="H453" s="12"/>
      <c r="I453" s="13"/>
      <c r="J453" s="13"/>
      <c r="K453" s="13"/>
      <c r="L453" s="13"/>
      <c r="M453" s="13"/>
      <c r="N453" s="13"/>
      <c r="O453" s="13"/>
      <c r="P453" s="13"/>
      <c r="Q453" s="11"/>
      <c r="R453" s="12"/>
    </row>
    <row r="454" spans="1:18" ht="15" customHeight="1">
      <c r="A454" s="9"/>
      <c r="B454" s="9"/>
      <c r="C454" s="9"/>
      <c r="D454" s="9"/>
      <c r="E454" s="9"/>
      <c r="F454" s="9"/>
      <c r="G454" s="9"/>
      <c r="H454" s="9"/>
      <c r="I454" s="10"/>
      <c r="J454" s="10"/>
      <c r="K454" s="10"/>
      <c r="L454" s="10"/>
      <c r="M454" s="10"/>
      <c r="N454" s="10"/>
      <c r="O454" s="10"/>
      <c r="P454" s="10"/>
      <c r="Q454" s="11"/>
      <c r="R454" s="9"/>
    </row>
    <row r="455" spans="1:18" ht="15" customHeight="1">
      <c r="A455" s="12"/>
      <c r="B455" s="12"/>
      <c r="C455" s="12"/>
      <c r="D455" s="12"/>
      <c r="E455" s="12"/>
      <c r="F455" s="12"/>
      <c r="G455" s="12"/>
      <c r="H455" s="12"/>
      <c r="I455" s="13"/>
      <c r="J455" s="13"/>
      <c r="K455" s="13"/>
      <c r="L455" s="13"/>
      <c r="M455" s="13"/>
      <c r="N455" s="13"/>
      <c r="O455" s="13"/>
      <c r="P455" s="13"/>
      <c r="Q455" s="11"/>
      <c r="R455" s="12"/>
    </row>
    <row r="456" spans="1:18" ht="15" customHeight="1">
      <c r="A456" s="9"/>
      <c r="B456" s="9"/>
      <c r="C456" s="9"/>
      <c r="D456" s="9"/>
      <c r="E456" s="9"/>
      <c r="F456" s="9"/>
      <c r="G456" s="9"/>
      <c r="H456" s="9"/>
      <c r="I456" s="10"/>
      <c r="J456" s="10"/>
      <c r="K456" s="10"/>
      <c r="L456" s="10"/>
      <c r="M456" s="10"/>
      <c r="N456" s="10"/>
      <c r="O456" s="10"/>
      <c r="P456" s="10"/>
      <c r="Q456" s="11"/>
      <c r="R456" s="9"/>
    </row>
    <row r="457" spans="1:18" ht="15" customHeight="1">
      <c r="A457" s="12"/>
      <c r="B457" s="12"/>
      <c r="C457" s="12"/>
      <c r="D457" s="12"/>
      <c r="E457" s="12"/>
      <c r="F457" s="12"/>
      <c r="G457" s="12"/>
      <c r="H457" s="12"/>
      <c r="I457" s="13"/>
      <c r="J457" s="13"/>
      <c r="K457" s="13"/>
      <c r="L457" s="13"/>
      <c r="M457" s="13"/>
      <c r="N457" s="13"/>
      <c r="O457" s="13"/>
      <c r="P457" s="13"/>
      <c r="Q457" s="11"/>
      <c r="R457" s="12"/>
    </row>
    <row r="458" spans="1:18" ht="15" customHeight="1">
      <c r="A458" s="9"/>
      <c r="B458" s="9"/>
      <c r="C458" s="9"/>
      <c r="D458" s="9"/>
      <c r="E458" s="9"/>
      <c r="F458" s="9"/>
      <c r="G458" s="9"/>
      <c r="H458" s="9"/>
      <c r="I458" s="10"/>
      <c r="J458" s="10"/>
      <c r="K458" s="10"/>
      <c r="L458" s="10"/>
      <c r="M458" s="10"/>
      <c r="N458" s="10"/>
      <c r="O458" s="10"/>
      <c r="P458" s="10"/>
      <c r="Q458" s="11"/>
      <c r="R458" s="9"/>
    </row>
    <row r="459" spans="1:18" ht="15" customHeight="1">
      <c r="A459" s="12"/>
      <c r="B459" s="12"/>
      <c r="C459" s="12"/>
      <c r="D459" s="12"/>
      <c r="E459" s="12"/>
      <c r="F459" s="12"/>
      <c r="G459" s="12"/>
      <c r="H459" s="12"/>
      <c r="I459" s="13"/>
      <c r="J459" s="13"/>
      <c r="K459" s="13"/>
      <c r="L459" s="13"/>
      <c r="M459" s="13"/>
      <c r="N459" s="13"/>
      <c r="O459" s="13"/>
      <c r="P459" s="13"/>
      <c r="Q459" s="11"/>
      <c r="R459" s="12"/>
    </row>
    <row r="460" spans="1:18" ht="15" customHeight="1">
      <c r="A460" s="9"/>
      <c r="B460" s="9"/>
      <c r="C460" s="9"/>
      <c r="D460" s="9"/>
      <c r="E460" s="9"/>
      <c r="F460" s="9"/>
      <c r="G460" s="9"/>
      <c r="H460" s="9"/>
      <c r="I460" s="10"/>
      <c r="J460" s="10"/>
      <c r="K460" s="10"/>
      <c r="L460" s="10"/>
      <c r="M460" s="10"/>
      <c r="N460" s="10"/>
      <c r="O460" s="10"/>
      <c r="P460" s="10"/>
      <c r="Q460" s="11"/>
      <c r="R460" s="9"/>
    </row>
    <row r="461" spans="1:18" ht="15" customHeight="1">
      <c r="A461" s="12"/>
      <c r="B461" s="12"/>
      <c r="C461" s="12"/>
      <c r="D461" s="12"/>
      <c r="E461" s="12"/>
      <c r="F461" s="12"/>
      <c r="G461" s="12"/>
      <c r="H461" s="12"/>
      <c r="I461" s="13"/>
      <c r="J461" s="13"/>
      <c r="K461" s="13"/>
      <c r="L461" s="13"/>
      <c r="M461" s="13"/>
      <c r="N461" s="13"/>
      <c r="O461" s="13"/>
      <c r="P461" s="13"/>
      <c r="Q461" s="11"/>
      <c r="R461" s="12"/>
    </row>
    <row r="462" spans="1:18" ht="15" customHeight="1">
      <c r="A462" s="9"/>
      <c r="B462" s="9"/>
      <c r="C462" s="9"/>
      <c r="D462" s="9"/>
      <c r="E462" s="9"/>
      <c r="F462" s="9"/>
      <c r="G462" s="9"/>
      <c r="H462" s="9"/>
      <c r="I462" s="10"/>
      <c r="J462" s="10"/>
      <c r="K462" s="10"/>
      <c r="L462" s="10"/>
      <c r="M462" s="10"/>
      <c r="N462" s="10"/>
      <c r="O462" s="10"/>
      <c r="P462" s="10"/>
      <c r="Q462" s="11"/>
      <c r="R462" s="9"/>
    </row>
    <row r="463" spans="1:18" ht="15" customHeight="1">
      <c r="A463" s="12"/>
      <c r="B463" s="12"/>
      <c r="C463" s="12"/>
      <c r="D463" s="12"/>
      <c r="E463" s="12"/>
      <c r="F463" s="12"/>
      <c r="G463" s="12"/>
      <c r="H463" s="12"/>
      <c r="I463" s="13"/>
      <c r="J463" s="13"/>
      <c r="K463" s="13"/>
      <c r="L463" s="13"/>
      <c r="M463" s="13"/>
      <c r="N463" s="13"/>
      <c r="O463" s="13"/>
      <c r="P463" s="13"/>
      <c r="Q463" s="11"/>
      <c r="R463" s="12"/>
    </row>
    <row r="464" spans="1:18" ht="15" customHeight="1">
      <c r="A464" s="9"/>
      <c r="B464" s="9"/>
      <c r="C464" s="9"/>
      <c r="D464" s="9"/>
      <c r="E464" s="9"/>
      <c r="F464" s="9"/>
      <c r="G464" s="9"/>
      <c r="H464" s="9"/>
      <c r="I464" s="10"/>
      <c r="J464" s="10"/>
      <c r="K464" s="10"/>
      <c r="L464" s="10"/>
      <c r="M464" s="10"/>
      <c r="N464" s="10"/>
      <c r="O464" s="10"/>
      <c r="P464" s="10"/>
      <c r="Q464" s="11"/>
      <c r="R464" s="9"/>
    </row>
    <row r="465" spans="1:18" ht="15" customHeight="1">
      <c r="A465" s="12"/>
      <c r="B465" s="12"/>
      <c r="C465" s="12"/>
      <c r="D465" s="12"/>
      <c r="E465" s="12"/>
      <c r="F465" s="12"/>
      <c r="G465" s="12"/>
      <c r="H465" s="12"/>
      <c r="I465" s="13"/>
      <c r="J465" s="13"/>
      <c r="K465" s="13"/>
      <c r="L465" s="13"/>
      <c r="M465" s="13"/>
      <c r="N465" s="13"/>
      <c r="O465" s="13"/>
      <c r="P465" s="13"/>
      <c r="Q465" s="11"/>
      <c r="R465" s="12"/>
    </row>
    <row r="466" spans="1:18" ht="15" customHeight="1">
      <c r="A466" s="9"/>
      <c r="B466" s="9"/>
      <c r="C466" s="9"/>
      <c r="D466" s="9"/>
      <c r="E466" s="9"/>
      <c r="F466" s="9"/>
      <c r="G466" s="9"/>
      <c r="H466" s="9"/>
      <c r="I466" s="10"/>
      <c r="J466" s="10"/>
      <c r="K466" s="10"/>
      <c r="L466" s="10"/>
      <c r="M466" s="10"/>
      <c r="N466" s="10"/>
      <c r="O466" s="10"/>
      <c r="P466" s="10"/>
      <c r="Q466" s="11"/>
      <c r="R466" s="9"/>
    </row>
    <row r="467" spans="1:18" ht="15" customHeight="1">
      <c r="A467" s="12"/>
      <c r="B467" s="12"/>
      <c r="C467" s="12"/>
      <c r="D467" s="12"/>
      <c r="E467" s="12"/>
      <c r="F467" s="12"/>
      <c r="G467" s="12"/>
      <c r="H467" s="12"/>
      <c r="I467" s="13"/>
      <c r="J467" s="13"/>
      <c r="K467" s="13"/>
      <c r="L467" s="13"/>
      <c r="M467" s="13"/>
      <c r="N467" s="13"/>
      <c r="O467" s="13"/>
      <c r="P467" s="13"/>
      <c r="Q467" s="11"/>
      <c r="R467" s="12"/>
    </row>
    <row r="468" spans="1:18" ht="15" customHeight="1">
      <c r="A468" s="9"/>
      <c r="B468" s="9"/>
      <c r="C468" s="9"/>
      <c r="D468" s="9"/>
      <c r="E468" s="9"/>
      <c r="F468" s="9"/>
      <c r="G468" s="9"/>
      <c r="H468" s="9"/>
      <c r="I468" s="10"/>
      <c r="J468" s="10"/>
      <c r="K468" s="10"/>
      <c r="L468" s="10"/>
      <c r="M468" s="10"/>
      <c r="N468" s="10"/>
      <c r="O468" s="10"/>
      <c r="P468" s="10"/>
      <c r="Q468" s="11"/>
      <c r="R468" s="9"/>
    </row>
    <row r="469" spans="1:18" ht="15" customHeight="1">
      <c r="A469" s="12"/>
      <c r="B469" s="12"/>
      <c r="C469" s="12"/>
      <c r="D469" s="12"/>
      <c r="E469" s="12"/>
      <c r="F469" s="12"/>
      <c r="G469" s="12"/>
      <c r="H469" s="12"/>
      <c r="I469" s="13"/>
      <c r="J469" s="13"/>
      <c r="K469" s="13"/>
      <c r="L469" s="13"/>
      <c r="M469" s="13"/>
      <c r="N469" s="13"/>
      <c r="O469" s="13"/>
      <c r="P469" s="13"/>
      <c r="Q469" s="11"/>
      <c r="R469" s="12"/>
    </row>
    <row r="470" spans="1:18" ht="15" customHeight="1">
      <c r="A470" s="9"/>
      <c r="B470" s="9"/>
      <c r="C470" s="9"/>
      <c r="D470" s="9"/>
      <c r="E470" s="9"/>
      <c r="F470" s="9"/>
      <c r="G470" s="9"/>
      <c r="H470" s="9"/>
      <c r="I470" s="10"/>
      <c r="J470" s="10"/>
      <c r="K470" s="10"/>
      <c r="L470" s="10"/>
      <c r="M470" s="10"/>
      <c r="N470" s="10"/>
      <c r="O470" s="10"/>
      <c r="P470" s="10"/>
      <c r="Q470" s="11"/>
      <c r="R470" s="9"/>
    </row>
    <row r="471" spans="1:18" ht="15" customHeight="1">
      <c r="A471" s="12"/>
      <c r="B471" s="12"/>
      <c r="C471" s="12"/>
      <c r="D471" s="12"/>
      <c r="E471" s="12"/>
      <c r="F471" s="12"/>
      <c r="G471" s="12"/>
      <c r="H471" s="12"/>
      <c r="I471" s="13"/>
      <c r="J471" s="13"/>
      <c r="K471" s="13"/>
      <c r="L471" s="13"/>
      <c r="M471" s="13"/>
      <c r="N471" s="13"/>
      <c r="O471" s="13"/>
      <c r="P471" s="13"/>
      <c r="Q471" s="11"/>
      <c r="R471" s="12"/>
    </row>
    <row r="472" spans="1:18" ht="15" customHeight="1">
      <c r="A472" s="9"/>
      <c r="B472" s="9"/>
      <c r="C472" s="9"/>
      <c r="D472" s="9"/>
      <c r="E472" s="9"/>
      <c r="F472" s="9"/>
      <c r="G472" s="9"/>
      <c r="H472" s="9"/>
      <c r="I472" s="10"/>
      <c r="J472" s="10"/>
      <c r="K472" s="10"/>
      <c r="L472" s="10"/>
      <c r="M472" s="10"/>
      <c r="N472" s="10"/>
      <c r="O472" s="10"/>
      <c r="P472" s="10"/>
      <c r="Q472" s="11"/>
      <c r="R472" s="9"/>
    </row>
    <row r="473" spans="1:18" ht="15" customHeight="1">
      <c r="A473" s="12"/>
      <c r="B473" s="12"/>
      <c r="C473" s="12"/>
      <c r="D473" s="12"/>
      <c r="E473" s="12"/>
      <c r="F473" s="12"/>
      <c r="G473" s="12"/>
      <c r="H473" s="12"/>
      <c r="I473" s="13"/>
      <c r="J473" s="13"/>
      <c r="K473" s="13"/>
      <c r="L473" s="13"/>
      <c r="M473" s="13"/>
      <c r="N473" s="13"/>
      <c r="O473" s="13"/>
      <c r="P473" s="13"/>
      <c r="Q473" s="11"/>
      <c r="R473" s="12"/>
    </row>
    <row r="474" spans="1:18" ht="15" customHeight="1">
      <c r="A474" s="9"/>
      <c r="B474" s="9"/>
      <c r="C474" s="9"/>
      <c r="D474" s="9"/>
      <c r="E474" s="9"/>
      <c r="F474" s="9"/>
      <c r="G474" s="9"/>
      <c r="H474" s="9"/>
      <c r="I474" s="10"/>
      <c r="J474" s="10"/>
      <c r="K474" s="10"/>
      <c r="L474" s="10"/>
      <c r="M474" s="10"/>
      <c r="N474" s="10"/>
      <c r="O474" s="10"/>
      <c r="P474" s="10"/>
      <c r="Q474" s="11"/>
      <c r="R474" s="9"/>
    </row>
    <row r="475" spans="1:18" ht="15" customHeight="1">
      <c r="A475" s="12"/>
      <c r="B475" s="12"/>
      <c r="C475" s="12"/>
      <c r="D475" s="12"/>
      <c r="E475" s="12"/>
      <c r="F475" s="12"/>
      <c r="G475" s="12"/>
      <c r="H475" s="12"/>
      <c r="I475" s="13"/>
      <c r="J475" s="13"/>
      <c r="K475" s="13"/>
      <c r="L475" s="13"/>
      <c r="M475" s="13"/>
      <c r="N475" s="13"/>
      <c r="O475" s="13"/>
      <c r="P475" s="13"/>
      <c r="Q475" s="11"/>
      <c r="R475" s="12"/>
    </row>
    <row r="476" spans="1:18" ht="15" customHeight="1">
      <c r="A476" s="9"/>
      <c r="B476" s="9"/>
      <c r="C476" s="9"/>
      <c r="D476" s="9"/>
      <c r="E476" s="9"/>
      <c r="F476" s="9"/>
      <c r="G476" s="9"/>
      <c r="H476" s="9"/>
      <c r="I476" s="10"/>
      <c r="J476" s="10"/>
      <c r="K476" s="10"/>
      <c r="L476" s="10"/>
      <c r="M476" s="10"/>
      <c r="N476" s="10"/>
      <c r="O476" s="10"/>
      <c r="P476" s="10"/>
      <c r="Q476" s="11"/>
      <c r="R476" s="9"/>
    </row>
    <row r="477" spans="1:18" ht="15" customHeight="1">
      <c r="A477" s="12"/>
      <c r="B477" s="12"/>
      <c r="C477" s="12"/>
      <c r="D477" s="12"/>
      <c r="E477" s="12"/>
      <c r="F477" s="12"/>
      <c r="G477" s="12"/>
      <c r="H477" s="12"/>
      <c r="I477" s="13"/>
      <c r="J477" s="13"/>
      <c r="K477" s="13"/>
      <c r="L477" s="13"/>
      <c r="M477" s="13"/>
      <c r="N477" s="13"/>
      <c r="O477" s="13"/>
      <c r="P477" s="13"/>
      <c r="Q477" s="11"/>
      <c r="R477" s="12"/>
    </row>
    <row r="478" spans="1:18" ht="15" customHeight="1">
      <c r="A478" s="9"/>
      <c r="B478" s="9"/>
      <c r="C478" s="9"/>
      <c r="D478" s="9"/>
      <c r="E478" s="9"/>
      <c r="F478" s="9"/>
      <c r="G478" s="9"/>
      <c r="H478" s="9"/>
      <c r="I478" s="10"/>
      <c r="J478" s="10"/>
      <c r="K478" s="10"/>
      <c r="L478" s="10"/>
      <c r="M478" s="10"/>
      <c r="N478" s="10"/>
      <c r="O478" s="10"/>
      <c r="P478" s="10"/>
      <c r="Q478" s="11"/>
      <c r="R478" s="9"/>
    </row>
    <row r="479" spans="1:18" ht="15" customHeight="1">
      <c r="A479" s="12"/>
      <c r="B479" s="12"/>
      <c r="C479" s="12"/>
      <c r="D479" s="12"/>
      <c r="E479" s="12"/>
      <c r="F479" s="12"/>
      <c r="G479" s="12"/>
      <c r="H479" s="12"/>
      <c r="I479" s="13"/>
      <c r="J479" s="13"/>
      <c r="K479" s="13"/>
      <c r="L479" s="13"/>
      <c r="M479" s="13"/>
      <c r="N479" s="13"/>
      <c r="O479" s="13"/>
      <c r="P479" s="13"/>
      <c r="Q479" s="11"/>
      <c r="R479" s="12"/>
    </row>
    <row r="480" spans="1:18" ht="15" customHeight="1">
      <c r="A480" s="9"/>
      <c r="B480" s="9"/>
      <c r="C480" s="9"/>
      <c r="D480" s="9"/>
      <c r="E480" s="9"/>
      <c r="F480" s="9"/>
      <c r="G480" s="9"/>
      <c r="H480" s="9"/>
      <c r="I480" s="10"/>
      <c r="J480" s="10"/>
      <c r="K480" s="10"/>
      <c r="L480" s="10"/>
      <c r="M480" s="10"/>
      <c r="N480" s="10"/>
      <c r="O480" s="10"/>
      <c r="P480" s="10"/>
      <c r="Q480" s="11"/>
      <c r="R480" s="9"/>
    </row>
    <row r="481" spans="1:18" ht="15" customHeight="1">
      <c r="A481" s="12"/>
      <c r="B481" s="12"/>
      <c r="C481" s="12"/>
      <c r="D481" s="12"/>
      <c r="E481" s="12"/>
      <c r="F481" s="12"/>
      <c r="G481" s="12"/>
      <c r="H481" s="12"/>
      <c r="I481" s="13"/>
      <c r="J481" s="13"/>
      <c r="K481" s="13"/>
      <c r="L481" s="13"/>
      <c r="M481" s="13"/>
      <c r="N481" s="13"/>
      <c r="O481" s="13"/>
      <c r="P481" s="13"/>
      <c r="Q481" s="11"/>
      <c r="R481" s="12"/>
    </row>
    <row r="482" spans="1:18" ht="15" customHeight="1">
      <c r="A482" s="9"/>
      <c r="B482" s="9"/>
      <c r="C482" s="9"/>
      <c r="D482" s="9"/>
      <c r="E482" s="9"/>
      <c r="F482" s="9"/>
      <c r="G482" s="9"/>
      <c r="H482" s="9"/>
      <c r="I482" s="10"/>
      <c r="J482" s="10"/>
      <c r="K482" s="10"/>
      <c r="L482" s="10"/>
      <c r="M482" s="10"/>
      <c r="N482" s="10"/>
      <c r="O482" s="10"/>
      <c r="P482" s="10"/>
      <c r="Q482" s="11"/>
      <c r="R482" s="9"/>
    </row>
    <row r="483" spans="1:18" ht="15" customHeight="1">
      <c r="A483" s="12"/>
      <c r="B483" s="12"/>
      <c r="C483" s="12"/>
      <c r="D483" s="12"/>
      <c r="E483" s="12"/>
      <c r="F483" s="12"/>
      <c r="G483" s="12"/>
      <c r="H483" s="12"/>
      <c r="I483" s="13"/>
      <c r="J483" s="13"/>
      <c r="K483" s="13"/>
      <c r="L483" s="13"/>
      <c r="M483" s="13"/>
      <c r="N483" s="13"/>
      <c r="O483" s="13"/>
      <c r="P483" s="13"/>
      <c r="Q483" s="11"/>
      <c r="R483" s="12"/>
    </row>
    <row r="484" spans="1:18" ht="15" customHeight="1">
      <c r="A484" s="9"/>
      <c r="B484" s="9"/>
      <c r="C484" s="9"/>
      <c r="D484" s="9"/>
      <c r="E484" s="9"/>
      <c r="F484" s="9"/>
      <c r="G484" s="9"/>
      <c r="H484" s="9"/>
      <c r="I484" s="10"/>
      <c r="J484" s="10"/>
      <c r="K484" s="10"/>
      <c r="L484" s="10"/>
      <c r="M484" s="10"/>
      <c r="N484" s="10"/>
      <c r="O484" s="10"/>
      <c r="P484" s="10"/>
      <c r="Q484" s="11"/>
      <c r="R484" s="9"/>
    </row>
    <row r="485" spans="1:18" ht="15" customHeight="1">
      <c r="A485" s="12"/>
      <c r="B485" s="12"/>
      <c r="C485" s="12"/>
      <c r="D485" s="12"/>
      <c r="E485" s="12"/>
      <c r="F485" s="12"/>
      <c r="G485" s="12"/>
      <c r="H485" s="12"/>
      <c r="I485" s="13"/>
      <c r="J485" s="13"/>
      <c r="K485" s="13"/>
      <c r="L485" s="13"/>
      <c r="M485" s="13"/>
      <c r="N485" s="13"/>
      <c r="O485" s="13"/>
      <c r="P485" s="13"/>
      <c r="Q485" s="11"/>
      <c r="R485" s="12"/>
    </row>
    <row r="486" spans="1:18" ht="15" customHeight="1">
      <c r="A486" s="9"/>
      <c r="B486" s="9"/>
      <c r="C486" s="9"/>
      <c r="D486" s="9"/>
      <c r="E486" s="9"/>
      <c r="F486" s="9"/>
      <c r="G486" s="9"/>
      <c r="H486" s="9"/>
      <c r="I486" s="10"/>
      <c r="J486" s="10"/>
      <c r="K486" s="10"/>
      <c r="L486" s="10"/>
      <c r="M486" s="10"/>
      <c r="N486" s="10"/>
      <c r="O486" s="10"/>
      <c r="P486" s="10"/>
      <c r="Q486" s="11"/>
      <c r="R486" s="9"/>
    </row>
    <row r="487" spans="1:18" ht="15" customHeight="1">
      <c r="A487" s="12"/>
      <c r="B487" s="12"/>
      <c r="C487" s="12"/>
      <c r="D487" s="12"/>
      <c r="E487" s="12"/>
      <c r="F487" s="12"/>
      <c r="G487" s="12"/>
      <c r="H487" s="12"/>
      <c r="I487" s="13"/>
      <c r="J487" s="13"/>
      <c r="K487" s="13"/>
      <c r="L487" s="13"/>
      <c r="M487" s="13"/>
      <c r="N487" s="13"/>
      <c r="O487" s="13"/>
      <c r="P487" s="13"/>
      <c r="Q487" s="11"/>
      <c r="R487" s="12"/>
    </row>
    <row r="488" spans="1:18" ht="15" customHeight="1">
      <c r="A488" s="9"/>
      <c r="B488" s="9"/>
      <c r="C488" s="9"/>
      <c r="D488" s="9"/>
      <c r="E488" s="9"/>
      <c r="F488" s="9"/>
      <c r="G488" s="9"/>
      <c r="H488" s="9"/>
      <c r="I488" s="10"/>
      <c r="J488" s="10"/>
      <c r="K488" s="10"/>
      <c r="L488" s="10"/>
      <c r="M488" s="10"/>
      <c r="N488" s="10"/>
      <c r="O488" s="10"/>
      <c r="P488" s="10"/>
      <c r="Q488" s="11"/>
      <c r="R488" s="9"/>
    </row>
    <row r="489" spans="1:18" ht="15" customHeight="1">
      <c r="A489" s="12"/>
      <c r="B489" s="12"/>
      <c r="C489" s="12"/>
      <c r="D489" s="12"/>
      <c r="E489" s="12"/>
      <c r="F489" s="12"/>
      <c r="G489" s="12"/>
      <c r="H489" s="12"/>
      <c r="I489" s="13"/>
      <c r="J489" s="13"/>
      <c r="K489" s="13"/>
      <c r="L489" s="13"/>
      <c r="M489" s="13"/>
      <c r="N489" s="13"/>
      <c r="O489" s="13"/>
      <c r="P489" s="13"/>
      <c r="Q489" s="11"/>
      <c r="R489" s="12"/>
    </row>
    <row r="490" spans="1:18" ht="15" customHeight="1">
      <c r="A490" s="9"/>
      <c r="B490" s="9"/>
      <c r="C490" s="9"/>
      <c r="D490" s="9"/>
      <c r="E490" s="9"/>
      <c r="F490" s="9"/>
      <c r="G490" s="9"/>
      <c r="H490" s="9"/>
      <c r="I490" s="10"/>
      <c r="J490" s="10"/>
      <c r="K490" s="10"/>
      <c r="L490" s="10"/>
      <c r="M490" s="10"/>
      <c r="N490" s="10"/>
      <c r="O490" s="10"/>
      <c r="P490" s="10"/>
      <c r="Q490" s="11"/>
      <c r="R490" s="9"/>
    </row>
    <row r="491" spans="1:18" ht="15" customHeight="1">
      <c r="A491" s="12"/>
      <c r="B491" s="12"/>
      <c r="C491" s="12"/>
      <c r="D491" s="12"/>
      <c r="E491" s="12"/>
      <c r="F491" s="12"/>
      <c r="G491" s="12"/>
      <c r="H491" s="12"/>
      <c r="I491" s="13"/>
      <c r="J491" s="13"/>
      <c r="K491" s="13"/>
      <c r="L491" s="13"/>
      <c r="M491" s="13"/>
      <c r="N491" s="13"/>
      <c r="O491" s="13"/>
      <c r="P491" s="13"/>
      <c r="Q491" s="11"/>
      <c r="R491" s="12"/>
    </row>
    <row r="492" spans="1:18" ht="15" customHeight="1">
      <c r="A492" s="9"/>
      <c r="B492" s="9"/>
      <c r="C492" s="9"/>
      <c r="D492" s="9"/>
      <c r="E492" s="9"/>
      <c r="F492" s="9"/>
      <c r="G492" s="9"/>
      <c r="H492" s="9"/>
      <c r="I492" s="10"/>
      <c r="J492" s="10"/>
      <c r="K492" s="10"/>
      <c r="L492" s="10"/>
      <c r="M492" s="10"/>
      <c r="N492" s="10"/>
      <c r="O492" s="10"/>
      <c r="P492" s="10"/>
      <c r="Q492" s="11"/>
      <c r="R492" s="9"/>
    </row>
    <row r="493" spans="1:18" ht="15" customHeight="1">
      <c r="A493" s="12"/>
      <c r="B493" s="12"/>
      <c r="C493" s="12"/>
      <c r="D493" s="12"/>
      <c r="E493" s="12"/>
      <c r="F493" s="12"/>
      <c r="G493" s="12"/>
      <c r="H493" s="12"/>
      <c r="I493" s="13"/>
      <c r="J493" s="13"/>
      <c r="K493" s="13"/>
      <c r="L493" s="13"/>
      <c r="M493" s="13"/>
      <c r="N493" s="13"/>
      <c r="O493" s="13"/>
      <c r="P493" s="13"/>
      <c r="Q493" s="11"/>
      <c r="R493" s="12"/>
    </row>
    <row r="494" spans="1:18" ht="15" customHeight="1">
      <c r="A494" s="9"/>
      <c r="B494" s="9"/>
      <c r="C494" s="9"/>
      <c r="D494" s="9"/>
      <c r="E494" s="9"/>
      <c r="F494" s="9"/>
      <c r="G494" s="9"/>
      <c r="H494" s="9"/>
      <c r="I494" s="10"/>
      <c r="J494" s="10"/>
      <c r="K494" s="10"/>
      <c r="L494" s="10"/>
      <c r="M494" s="10"/>
      <c r="N494" s="10"/>
      <c r="O494" s="10"/>
      <c r="P494" s="10"/>
      <c r="Q494" s="11"/>
      <c r="R494" s="9"/>
    </row>
    <row r="495" spans="1:18" ht="15" customHeight="1">
      <c r="A495" s="12"/>
      <c r="B495" s="12"/>
      <c r="C495" s="12"/>
      <c r="D495" s="12"/>
      <c r="E495" s="12"/>
      <c r="F495" s="12"/>
      <c r="G495" s="12"/>
      <c r="H495" s="12"/>
      <c r="I495" s="13"/>
      <c r="J495" s="13"/>
      <c r="K495" s="13"/>
      <c r="L495" s="13"/>
      <c r="M495" s="13"/>
      <c r="N495" s="13"/>
      <c r="O495" s="13"/>
      <c r="P495" s="13"/>
      <c r="Q495" s="11"/>
      <c r="R495" s="12"/>
    </row>
    <row r="496" spans="1:18" ht="15" customHeight="1">
      <c r="A496" s="9"/>
      <c r="B496" s="9"/>
      <c r="C496" s="9"/>
      <c r="D496" s="9"/>
      <c r="E496" s="9"/>
      <c r="F496" s="9"/>
      <c r="G496" s="9"/>
      <c r="H496" s="9"/>
      <c r="I496" s="10"/>
      <c r="J496" s="10"/>
      <c r="K496" s="10"/>
      <c r="L496" s="10"/>
      <c r="M496" s="10"/>
      <c r="N496" s="10"/>
      <c r="O496" s="10"/>
      <c r="P496" s="10"/>
      <c r="Q496" s="11"/>
      <c r="R496" s="9"/>
    </row>
    <row r="497" spans="1:18" ht="15" customHeight="1">
      <c r="A497" s="12"/>
      <c r="B497" s="12"/>
      <c r="C497" s="12"/>
      <c r="D497" s="12"/>
      <c r="E497" s="12"/>
      <c r="F497" s="12"/>
      <c r="G497" s="12"/>
      <c r="H497" s="12"/>
      <c r="I497" s="13"/>
      <c r="J497" s="13"/>
      <c r="K497" s="13"/>
      <c r="L497" s="13"/>
      <c r="M497" s="13"/>
      <c r="N497" s="13"/>
      <c r="O497" s="13"/>
      <c r="P497" s="13"/>
      <c r="Q497" s="11"/>
      <c r="R497" s="12"/>
    </row>
    <row r="498" spans="1:18" ht="15" customHeight="1">
      <c r="A498" s="9"/>
      <c r="B498" s="9"/>
      <c r="C498" s="9"/>
      <c r="D498" s="9"/>
      <c r="E498" s="9"/>
      <c r="F498" s="9"/>
      <c r="G498" s="9"/>
      <c r="H498" s="9"/>
      <c r="I498" s="10"/>
      <c r="J498" s="10"/>
      <c r="K498" s="10"/>
      <c r="L498" s="10"/>
      <c r="M498" s="10"/>
      <c r="N498" s="10"/>
      <c r="O498" s="10"/>
      <c r="P498" s="10"/>
      <c r="Q498" s="11"/>
      <c r="R498" s="9"/>
    </row>
    <row r="499" spans="1:18" ht="15" customHeight="1">
      <c r="A499" s="12"/>
      <c r="B499" s="12"/>
      <c r="C499" s="12"/>
      <c r="D499" s="12"/>
      <c r="E499" s="12"/>
      <c r="F499" s="12"/>
      <c r="G499" s="12"/>
      <c r="H499" s="12"/>
      <c r="I499" s="13"/>
      <c r="J499" s="13"/>
      <c r="K499" s="13"/>
      <c r="L499" s="13"/>
      <c r="M499" s="13"/>
      <c r="N499" s="13"/>
      <c r="O499" s="13"/>
      <c r="P499" s="13"/>
      <c r="Q499" s="11"/>
      <c r="R499" s="12"/>
    </row>
    <row r="500" spans="1:18" ht="15" customHeight="1">
      <c r="A500" s="9"/>
      <c r="B500" s="9"/>
      <c r="C500" s="9"/>
      <c r="D500" s="9"/>
      <c r="E500" s="9"/>
      <c r="F500" s="9"/>
      <c r="G500" s="9"/>
      <c r="H500" s="9"/>
      <c r="I500" s="10"/>
      <c r="J500" s="10"/>
      <c r="K500" s="10"/>
      <c r="L500" s="10"/>
      <c r="M500" s="10"/>
      <c r="N500" s="10"/>
      <c r="O500" s="10"/>
      <c r="P500" s="10"/>
      <c r="Q500" s="11"/>
      <c r="R500" s="9"/>
    </row>
  </sheetData>
  <mergeCells count="1">
    <mergeCell ref="A1:R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D32"/>
  </sheetPr>
  <dimension ref="A1:BD500"/>
  <sheetViews>
    <sheetView zoomScaleNormal="100" workbookViewId="0">
      <pane ySplit="2" topLeftCell="A3" activePane="bottomLeft" state="frozen"/>
      <selection pane="bottomLeft"/>
    </sheetView>
  </sheetViews>
  <sheetFormatPr defaultColWidth="8.7109375" defaultRowHeight="15"/>
  <cols>
    <col min="1" max="1" width="260" customWidth="1"/>
    <col min="2" max="2" width="160" customWidth="1"/>
    <col min="3" max="3" width="130" customWidth="1"/>
    <col min="4" max="5" width="200" customWidth="1"/>
    <col min="6" max="6" width="75" customWidth="1"/>
    <col min="7" max="7" width="200" customWidth="1"/>
    <col min="8" max="8" width="75" customWidth="1"/>
    <col min="9" max="9" width="200" customWidth="1"/>
    <col min="10" max="10" width="75" customWidth="1"/>
    <col min="11" max="11" width="200" customWidth="1"/>
    <col min="12" max="12" width="75" customWidth="1"/>
    <col min="13" max="13" width="200" customWidth="1"/>
    <col min="14" max="14" width="75" customWidth="1"/>
    <col min="15" max="15" width="200" customWidth="1"/>
    <col min="16" max="16" width="75" customWidth="1"/>
    <col min="17" max="17" width="200" customWidth="1"/>
    <col min="18" max="18" width="75" customWidth="1"/>
    <col min="19" max="19" width="200" customWidth="1"/>
    <col min="20" max="20" width="75" customWidth="1"/>
    <col min="21" max="21" width="200" customWidth="1"/>
    <col min="22" max="22" width="75" customWidth="1"/>
    <col min="23" max="23" width="200" customWidth="1"/>
    <col min="24" max="24" width="75" customWidth="1"/>
    <col min="25" max="25" width="200" customWidth="1"/>
    <col min="26" max="26" width="75" customWidth="1"/>
    <col min="27" max="27" width="200" customWidth="1"/>
    <col min="28" max="28" width="75" customWidth="1"/>
    <col min="29" max="29" width="200" customWidth="1"/>
    <col min="30" max="30" width="75" customWidth="1"/>
    <col min="31" max="31" width="200" customWidth="1"/>
    <col min="32" max="32" width="75" customWidth="1"/>
    <col min="33" max="33" width="200" customWidth="1"/>
    <col min="34" max="34" width="75" customWidth="1"/>
    <col min="35" max="35" width="200" customWidth="1"/>
    <col min="36" max="36" width="75" customWidth="1"/>
    <col min="37" max="37" width="200" customWidth="1"/>
    <col min="38" max="38" width="75" customWidth="1"/>
    <col min="39" max="39" width="200" customWidth="1"/>
    <col min="40" max="40" width="75" customWidth="1"/>
    <col min="41" max="41" width="200" customWidth="1"/>
    <col min="42" max="42" width="75" customWidth="1"/>
    <col min="43" max="43" width="200" customWidth="1"/>
    <col min="44" max="44" width="75" customWidth="1"/>
    <col min="45" max="45" width="65.28515625" customWidth="1"/>
    <col min="46" max="47" width="200" customWidth="1"/>
    <col min="48" max="48" width="85" customWidth="1"/>
    <col min="49" max="49" width="80" customWidth="1"/>
    <col min="50" max="51" width="85" customWidth="1"/>
    <col min="52" max="52" width="80" customWidth="1"/>
    <col min="53" max="53" width="85" customWidth="1"/>
    <col min="54" max="54" width="80" customWidth="1"/>
    <col min="55" max="55" width="85" customWidth="1"/>
    <col min="56" max="56" width="100" customWidth="1"/>
  </cols>
  <sheetData>
    <row r="1" spans="1:56" ht="36" customHeight="1">
      <c r="A1" s="64" t="s">
        <v>793</v>
      </c>
      <c r="B1" s="64"/>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row>
    <row r="2" spans="1:56" ht="43.5" customHeight="1">
      <c r="A2" s="14" t="s">
        <v>794</v>
      </c>
      <c r="B2" s="14" t="s">
        <v>2</v>
      </c>
      <c r="C2" s="14" t="s">
        <v>795</v>
      </c>
      <c r="D2" s="14" t="s">
        <v>796</v>
      </c>
      <c r="E2" s="15" t="s">
        <v>797</v>
      </c>
      <c r="F2" s="16" t="s">
        <v>798</v>
      </c>
      <c r="G2" s="15" t="s">
        <v>799</v>
      </c>
      <c r="H2" s="16" t="s">
        <v>800</v>
      </c>
      <c r="I2" s="15" t="s">
        <v>801</v>
      </c>
      <c r="J2" s="16" t="s">
        <v>802</v>
      </c>
      <c r="K2" s="15" t="s">
        <v>803</v>
      </c>
      <c r="L2" s="16" t="s">
        <v>804</v>
      </c>
      <c r="M2" s="15" t="s">
        <v>805</v>
      </c>
      <c r="N2" s="16" t="s">
        <v>806</v>
      </c>
      <c r="O2" s="15" t="s">
        <v>807</v>
      </c>
      <c r="P2" s="16" t="s">
        <v>808</v>
      </c>
      <c r="Q2" s="15" t="s">
        <v>809</v>
      </c>
      <c r="R2" s="16" t="s">
        <v>810</v>
      </c>
      <c r="S2" s="15" t="s">
        <v>811</v>
      </c>
      <c r="T2" s="16" t="s">
        <v>812</v>
      </c>
      <c r="U2" s="15" t="s">
        <v>813</v>
      </c>
      <c r="V2" s="16" t="s">
        <v>814</v>
      </c>
      <c r="W2" s="15" t="s">
        <v>815</v>
      </c>
      <c r="X2" s="16" t="s">
        <v>816</v>
      </c>
      <c r="Y2" s="15" t="s">
        <v>817</v>
      </c>
      <c r="Z2" s="16" t="s">
        <v>818</v>
      </c>
      <c r="AA2" s="15" t="s">
        <v>819</v>
      </c>
      <c r="AB2" s="16" t="s">
        <v>820</v>
      </c>
      <c r="AC2" s="15" t="s">
        <v>821</v>
      </c>
      <c r="AD2" s="16" t="s">
        <v>822</v>
      </c>
      <c r="AE2" s="15" t="s">
        <v>823</v>
      </c>
      <c r="AF2" s="16" t="s">
        <v>824</v>
      </c>
      <c r="AG2" s="15" t="s">
        <v>825</v>
      </c>
      <c r="AH2" s="16" t="s">
        <v>826</v>
      </c>
      <c r="AI2" s="15" t="s">
        <v>827</v>
      </c>
      <c r="AJ2" s="16" t="s">
        <v>828</v>
      </c>
      <c r="AK2" s="15" t="s">
        <v>829</v>
      </c>
      <c r="AL2" s="16" t="s">
        <v>830</v>
      </c>
      <c r="AM2" s="15" t="s">
        <v>831</v>
      </c>
      <c r="AN2" s="16" t="s">
        <v>832</v>
      </c>
      <c r="AO2" s="15" t="s">
        <v>833</v>
      </c>
      <c r="AP2" s="16" t="s">
        <v>834</v>
      </c>
      <c r="AQ2" s="15" t="s">
        <v>835</v>
      </c>
      <c r="AR2" s="16" t="s">
        <v>836</v>
      </c>
      <c r="AS2" s="17" t="s">
        <v>837</v>
      </c>
      <c r="AT2" s="17" t="s">
        <v>838</v>
      </c>
      <c r="AU2" s="17" t="s">
        <v>839</v>
      </c>
      <c r="AV2" s="17" t="s">
        <v>9</v>
      </c>
      <c r="AW2" s="17" t="s">
        <v>10</v>
      </c>
      <c r="AX2" s="17" t="s">
        <v>11</v>
      </c>
      <c r="AY2" s="17" t="s">
        <v>12</v>
      </c>
      <c r="AZ2" s="17" t="s">
        <v>13</v>
      </c>
      <c r="BA2" s="17" t="s">
        <v>14</v>
      </c>
      <c r="BB2" s="17" t="s">
        <v>15</v>
      </c>
      <c r="BC2" s="17" t="s">
        <v>16</v>
      </c>
      <c r="BD2" s="17" t="s">
        <v>840</v>
      </c>
    </row>
    <row r="3" spans="1:56" ht="15" customHeight="1">
      <c r="A3" s="18" t="s">
        <v>841</v>
      </c>
      <c r="B3" s="18" t="s">
        <v>767</v>
      </c>
      <c r="C3" s="18"/>
      <c r="D3" s="18" t="s">
        <v>842</v>
      </c>
      <c r="E3" s="18" t="s">
        <v>843</v>
      </c>
      <c r="F3" s="19">
        <v>40000</v>
      </c>
      <c r="G3" s="18" t="s">
        <v>844</v>
      </c>
      <c r="H3" s="19">
        <v>25000</v>
      </c>
      <c r="I3" s="18" t="s">
        <v>845</v>
      </c>
      <c r="J3" s="19">
        <v>18000</v>
      </c>
      <c r="K3" s="18" t="s">
        <v>740</v>
      </c>
      <c r="L3" s="19">
        <v>5000</v>
      </c>
      <c r="M3" s="18" t="s">
        <v>737</v>
      </c>
      <c r="N3" s="19">
        <v>3000</v>
      </c>
      <c r="O3" s="18" t="s">
        <v>748</v>
      </c>
      <c r="P3" s="19">
        <v>4000</v>
      </c>
      <c r="Q3" s="18" t="s">
        <v>846</v>
      </c>
      <c r="R3" s="19">
        <v>300</v>
      </c>
      <c r="S3" s="18" t="s">
        <v>847</v>
      </c>
      <c r="T3" s="19">
        <v>80</v>
      </c>
      <c r="U3" s="18" t="s">
        <v>848</v>
      </c>
      <c r="V3" s="19">
        <v>40</v>
      </c>
      <c r="W3" s="18" t="s">
        <v>849</v>
      </c>
      <c r="X3" s="19">
        <v>800</v>
      </c>
      <c r="Y3" s="18"/>
      <c r="Z3" s="19"/>
      <c r="AA3" s="18"/>
      <c r="AB3" s="19"/>
      <c r="AC3" s="18"/>
      <c r="AD3" s="19"/>
      <c r="AE3" s="18"/>
      <c r="AF3" s="19"/>
      <c r="AG3" s="18"/>
      <c r="AH3" s="19"/>
      <c r="AI3" s="18"/>
      <c r="AJ3" s="19"/>
      <c r="AK3" s="18"/>
      <c r="AL3" s="19"/>
      <c r="AM3" s="18"/>
      <c r="AN3" s="19"/>
      <c r="AO3" s="18"/>
      <c r="AP3" s="19"/>
      <c r="AQ3" s="18"/>
      <c r="AR3" s="19"/>
      <c r="AS3" s="20"/>
      <c r="AT3" s="20"/>
      <c r="AU3" s="20"/>
      <c r="AV3" s="21">
        <v>152.5</v>
      </c>
      <c r="AW3" s="21">
        <v>4.5999999999999996</v>
      </c>
      <c r="AX3" s="21">
        <v>1.6</v>
      </c>
      <c r="AY3" s="21">
        <v>25.9</v>
      </c>
      <c r="AZ3" s="21">
        <v>4.4000000000000004</v>
      </c>
      <c r="BA3" s="21">
        <v>7.8</v>
      </c>
      <c r="BB3" s="21"/>
      <c r="BC3" s="21"/>
      <c r="BD3" s="22"/>
    </row>
    <row r="4" spans="1:56" ht="15" customHeight="1">
      <c r="A4" s="6" t="s">
        <v>779</v>
      </c>
      <c r="B4" s="6" t="s">
        <v>772</v>
      </c>
      <c r="C4" s="6" t="s">
        <v>850</v>
      </c>
      <c r="D4" s="6" t="s">
        <v>851</v>
      </c>
      <c r="E4" s="6" t="s">
        <v>852</v>
      </c>
      <c r="F4" s="23">
        <v>35000</v>
      </c>
      <c r="G4" s="6" t="s">
        <v>739</v>
      </c>
      <c r="H4" s="23">
        <v>30000</v>
      </c>
      <c r="I4" s="6" t="s">
        <v>737</v>
      </c>
      <c r="J4" s="23">
        <v>10000</v>
      </c>
      <c r="K4" s="6" t="s">
        <v>740</v>
      </c>
      <c r="L4" s="23">
        <v>8000</v>
      </c>
      <c r="M4" s="6" t="s">
        <v>845</v>
      </c>
      <c r="N4" s="23">
        <v>2500</v>
      </c>
      <c r="O4" s="6" t="s">
        <v>853</v>
      </c>
      <c r="P4" s="23">
        <v>1500</v>
      </c>
      <c r="Q4" s="6" t="s">
        <v>854</v>
      </c>
      <c r="R4" s="23">
        <v>1200</v>
      </c>
      <c r="S4" s="6" t="s">
        <v>855</v>
      </c>
      <c r="T4" s="23">
        <v>400</v>
      </c>
      <c r="U4" s="6" t="s">
        <v>856</v>
      </c>
      <c r="V4" s="23">
        <v>1200</v>
      </c>
      <c r="W4" s="6" t="s">
        <v>849</v>
      </c>
      <c r="X4" s="23">
        <v>600</v>
      </c>
      <c r="Y4" s="6" t="s">
        <v>848</v>
      </c>
      <c r="Z4" s="23">
        <v>80</v>
      </c>
      <c r="AA4" s="6" t="s">
        <v>748</v>
      </c>
      <c r="AB4" s="23">
        <v>7350</v>
      </c>
      <c r="AC4" s="6"/>
      <c r="AD4" s="23"/>
      <c r="AE4" s="6"/>
      <c r="AF4" s="23"/>
      <c r="AG4" s="6"/>
      <c r="AH4" s="23"/>
      <c r="AI4" s="6"/>
      <c r="AJ4" s="23"/>
      <c r="AK4" s="6"/>
      <c r="AL4" s="23"/>
      <c r="AM4" s="6"/>
      <c r="AN4" s="23"/>
      <c r="AO4" s="6"/>
      <c r="AP4" s="23"/>
      <c r="AQ4" s="6"/>
      <c r="AR4" s="23"/>
      <c r="AS4" s="20"/>
      <c r="AT4" s="20"/>
      <c r="AU4" s="20"/>
      <c r="AV4" s="21">
        <v>121.9</v>
      </c>
      <c r="AW4" s="21">
        <v>6.5</v>
      </c>
      <c r="AX4" s="21">
        <v>2.4</v>
      </c>
      <c r="AY4" s="21">
        <v>9.1</v>
      </c>
      <c r="AZ4" s="21">
        <v>2.2999999999999998</v>
      </c>
      <c r="BA4" s="21">
        <v>7.2</v>
      </c>
      <c r="BB4" s="21"/>
      <c r="BC4" s="21"/>
      <c r="BD4" s="22"/>
    </row>
    <row r="5" spans="1:56" ht="15" customHeight="1">
      <c r="A5" s="18" t="s">
        <v>782</v>
      </c>
      <c r="B5" s="18" t="s">
        <v>772</v>
      </c>
      <c r="C5" s="18" t="s">
        <v>857</v>
      </c>
      <c r="D5" s="18" t="s">
        <v>858</v>
      </c>
      <c r="E5" s="18" t="s">
        <v>859</v>
      </c>
      <c r="F5" s="19">
        <v>35000</v>
      </c>
      <c r="G5" s="18" t="s">
        <v>860</v>
      </c>
      <c r="H5" s="19">
        <v>18000</v>
      </c>
      <c r="I5" s="18" t="s">
        <v>861</v>
      </c>
      <c r="J5" s="19">
        <v>8000</v>
      </c>
      <c r="K5" s="18" t="s">
        <v>737</v>
      </c>
      <c r="L5" s="19">
        <v>8000</v>
      </c>
      <c r="M5" s="18" t="s">
        <v>862</v>
      </c>
      <c r="N5" s="19">
        <v>12000</v>
      </c>
      <c r="O5" s="18" t="s">
        <v>854</v>
      </c>
      <c r="P5" s="19">
        <v>1200</v>
      </c>
      <c r="Q5" s="18" t="s">
        <v>855</v>
      </c>
      <c r="R5" s="19">
        <v>500</v>
      </c>
      <c r="S5" s="18" t="s">
        <v>856</v>
      </c>
      <c r="T5" s="19">
        <v>1000</v>
      </c>
      <c r="U5" s="18" t="s">
        <v>849</v>
      </c>
      <c r="V5" s="19">
        <v>600</v>
      </c>
      <c r="W5" s="18" t="s">
        <v>848</v>
      </c>
      <c r="X5" s="19">
        <v>100</v>
      </c>
      <c r="Y5" s="18" t="s">
        <v>748</v>
      </c>
      <c r="Z5" s="19">
        <v>7600</v>
      </c>
      <c r="AA5" s="18"/>
      <c r="AB5" s="19"/>
      <c r="AC5" s="18"/>
      <c r="AD5" s="19"/>
      <c r="AE5" s="18"/>
      <c r="AF5" s="19"/>
      <c r="AG5" s="18"/>
      <c r="AH5" s="19"/>
      <c r="AI5" s="18"/>
      <c r="AJ5" s="19"/>
      <c r="AK5" s="18"/>
      <c r="AL5" s="19"/>
      <c r="AM5" s="18"/>
      <c r="AN5" s="19"/>
      <c r="AO5" s="18"/>
      <c r="AP5" s="19"/>
      <c r="AQ5" s="18"/>
      <c r="AR5" s="19"/>
      <c r="AS5" s="20"/>
      <c r="AT5" s="20"/>
      <c r="AU5" s="20"/>
      <c r="AV5" s="21">
        <v>106.7</v>
      </c>
      <c r="AW5" s="21">
        <v>7.6</v>
      </c>
      <c r="AX5" s="21">
        <v>2.8</v>
      </c>
      <c r="AY5" s="21">
        <v>4.5999999999999996</v>
      </c>
      <c r="AZ5" s="21">
        <v>2.2000000000000002</v>
      </c>
      <c r="BA5" s="21">
        <v>5.8</v>
      </c>
      <c r="BB5" s="21"/>
      <c r="BC5" s="21"/>
      <c r="BD5" s="22"/>
    </row>
    <row r="6" spans="1:56" ht="15" customHeight="1">
      <c r="A6" s="6" t="s">
        <v>784</v>
      </c>
      <c r="B6" s="6" t="s">
        <v>772</v>
      </c>
      <c r="C6" s="6" t="s">
        <v>863</v>
      </c>
      <c r="D6" s="6" t="s">
        <v>864</v>
      </c>
      <c r="E6" s="6" t="s">
        <v>859</v>
      </c>
      <c r="F6" s="23">
        <v>70000</v>
      </c>
      <c r="G6" s="6" t="s">
        <v>865</v>
      </c>
      <c r="H6" s="23">
        <v>18000</v>
      </c>
      <c r="I6" s="6" t="s">
        <v>862</v>
      </c>
      <c r="J6" s="23">
        <v>6000</v>
      </c>
      <c r="K6" s="6" t="s">
        <v>866</v>
      </c>
      <c r="L6" s="23">
        <v>2000</v>
      </c>
      <c r="M6" s="6" t="s">
        <v>845</v>
      </c>
      <c r="N6" s="23">
        <v>1500</v>
      </c>
      <c r="O6" s="6" t="s">
        <v>867</v>
      </c>
      <c r="P6" s="23">
        <v>500</v>
      </c>
      <c r="Q6" s="6" t="s">
        <v>849</v>
      </c>
      <c r="R6" s="23">
        <v>200</v>
      </c>
      <c r="S6" s="6" t="s">
        <v>846</v>
      </c>
      <c r="T6" s="23">
        <v>100</v>
      </c>
      <c r="U6" s="6" t="s">
        <v>748</v>
      </c>
      <c r="V6" s="23">
        <v>600</v>
      </c>
      <c r="W6" s="6"/>
      <c r="X6" s="23"/>
      <c r="Y6" s="6"/>
      <c r="Z6" s="23"/>
      <c r="AA6" s="6"/>
      <c r="AB6" s="23"/>
      <c r="AC6" s="6"/>
      <c r="AD6" s="23"/>
      <c r="AE6" s="6"/>
      <c r="AF6" s="23"/>
      <c r="AG6" s="6"/>
      <c r="AH6" s="23"/>
      <c r="AI6" s="6"/>
      <c r="AJ6" s="23"/>
      <c r="AK6" s="6"/>
      <c r="AL6" s="23"/>
      <c r="AM6" s="6"/>
      <c r="AN6" s="23"/>
      <c r="AO6" s="6"/>
      <c r="AP6" s="23"/>
      <c r="AQ6" s="6"/>
      <c r="AR6" s="23"/>
      <c r="AS6" s="20"/>
      <c r="AT6" s="20"/>
      <c r="AU6" s="20"/>
      <c r="AV6" s="21">
        <v>145.9</v>
      </c>
      <c r="AW6" s="21">
        <v>9.4</v>
      </c>
      <c r="AX6" s="21">
        <v>2.7</v>
      </c>
      <c r="AY6" s="21">
        <v>4.8</v>
      </c>
      <c r="AZ6" s="21">
        <v>3.7</v>
      </c>
      <c r="BA6" s="21">
        <v>10.3</v>
      </c>
      <c r="BB6" s="21"/>
      <c r="BC6" s="21"/>
      <c r="BD6" s="22"/>
    </row>
    <row r="7" spans="1:56" ht="15" customHeight="1">
      <c r="A7" s="18" t="s">
        <v>868</v>
      </c>
      <c r="B7" s="18" t="s">
        <v>772</v>
      </c>
      <c r="C7" s="18" t="s">
        <v>869</v>
      </c>
      <c r="D7" s="18" t="s">
        <v>870</v>
      </c>
      <c r="E7" s="18" t="s">
        <v>859</v>
      </c>
      <c r="F7" s="19">
        <v>25000</v>
      </c>
      <c r="G7" s="18" t="s">
        <v>871</v>
      </c>
      <c r="H7" s="19">
        <v>12000</v>
      </c>
      <c r="I7" s="18" t="s">
        <v>748</v>
      </c>
      <c r="J7" s="19">
        <v>45000</v>
      </c>
      <c r="K7" s="18" t="s">
        <v>854</v>
      </c>
      <c r="L7" s="19">
        <v>5000</v>
      </c>
      <c r="M7" s="18" t="s">
        <v>737</v>
      </c>
      <c r="N7" s="19">
        <v>5000</v>
      </c>
      <c r="O7" s="18" t="s">
        <v>740</v>
      </c>
      <c r="P7" s="19">
        <v>3000</v>
      </c>
      <c r="Q7" s="18" t="s">
        <v>742</v>
      </c>
      <c r="R7" s="19">
        <v>2000</v>
      </c>
      <c r="S7" s="18" t="s">
        <v>744</v>
      </c>
      <c r="T7" s="19">
        <v>1000</v>
      </c>
      <c r="U7" s="18" t="s">
        <v>855</v>
      </c>
      <c r="V7" s="19">
        <v>500</v>
      </c>
      <c r="W7" s="18" t="s">
        <v>849</v>
      </c>
      <c r="X7" s="19">
        <v>400</v>
      </c>
      <c r="Y7" s="18" t="s">
        <v>848</v>
      </c>
      <c r="Z7" s="19">
        <v>300</v>
      </c>
      <c r="AA7" s="18"/>
      <c r="AB7" s="19"/>
      <c r="AC7" s="18"/>
      <c r="AD7" s="19"/>
      <c r="AE7" s="18"/>
      <c r="AF7" s="19"/>
      <c r="AG7" s="18"/>
      <c r="AH7" s="19"/>
      <c r="AI7" s="18"/>
      <c r="AJ7" s="19"/>
      <c r="AK7" s="18"/>
      <c r="AL7" s="19"/>
      <c r="AM7" s="18"/>
      <c r="AN7" s="19"/>
      <c r="AO7" s="18"/>
      <c r="AP7" s="19"/>
      <c r="AQ7" s="18"/>
      <c r="AR7" s="19"/>
      <c r="AS7" s="20"/>
      <c r="AT7" s="20"/>
      <c r="AU7" s="20"/>
      <c r="AV7" s="21">
        <v>61.2</v>
      </c>
      <c r="AW7" s="21">
        <v>2.9</v>
      </c>
      <c r="AX7" s="21">
        <v>0.6</v>
      </c>
      <c r="AY7" s="21">
        <v>4.7</v>
      </c>
      <c r="AZ7" s="21">
        <v>2.5</v>
      </c>
      <c r="BA7" s="21">
        <v>4.5</v>
      </c>
      <c r="BB7" s="21"/>
      <c r="BC7" s="21"/>
      <c r="BD7" s="22"/>
    </row>
    <row r="8" spans="1:56" ht="15" customHeight="1">
      <c r="A8" s="6" t="s">
        <v>787</v>
      </c>
      <c r="B8" s="6" t="s">
        <v>772</v>
      </c>
      <c r="C8" s="6" t="s">
        <v>872</v>
      </c>
      <c r="D8" s="6" t="s">
        <v>873</v>
      </c>
      <c r="E8" s="6" t="s">
        <v>843</v>
      </c>
      <c r="F8" s="23">
        <v>35000</v>
      </c>
      <c r="G8" s="6" t="s">
        <v>874</v>
      </c>
      <c r="H8" s="23">
        <v>18000</v>
      </c>
      <c r="I8" s="6" t="s">
        <v>875</v>
      </c>
      <c r="J8" s="23">
        <v>20000</v>
      </c>
      <c r="K8" s="6" t="s">
        <v>876</v>
      </c>
      <c r="L8" s="23">
        <v>4000</v>
      </c>
      <c r="M8" s="6" t="s">
        <v>740</v>
      </c>
      <c r="N8" s="23">
        <v>2000</v>
      </c>
      <c r="O8" s="6" t="s">
        <v>856</v>
      </c>
      <c r="P8" s="23">
        <v>1200</v>
      </c>
      <c r="Q8" s="6" t="s">
        <v>849</v>
      </c>
      <c r="R8" s="23">
        <v>400</v>
      </c>
      <c r="S8" s="6" t="s">
        <v>848</v>
      </c>
      <c r="T8" s="23">
        <v>200</v>
      </c>
      <c r="U8" s="6"/>
      <c r="V8" s="23"/>
      <c r="W8" s="6"/>
      <c r="X8" s="23"/>
      <c r="Y8" s="6"/>
      <c r="Z8" s="23"/>
      <c r="AA8" s="6"/>
      <c r="AB8" s="23"/>
      <c r="AC8" s="6"/>
      <c r="AD8" s="23"/>
      <c r="AE8" s="6"/>
      <c r="AF8" s="23"/>
      <c r="AG8" s="6"/>
      <c r="AH8" s="23"/>
      <c r="AI8" s="6"/>
      <c r="AJ8" s="23"/>
      <c r="AK8" s="6"/>
      <c r="AL8" s="23"/>
      <c r="AM8" s="6"/>
      <c r="AN8" s="23"/>
      <c r="AO8" s="6"/>
      <c r="AP8" s="23"/>
      <c r="AQ8" s="6"/>
      <c r="AR8" s="23"/>
      <c r="AS8" s="20"/>
      <c r="AT8" s="20"/>
      <c r="AU8" s="20"/>
      <c r="AV8" s="21">
        <v>136.5</v>
      </c>
      <c r="AW8" s="21">
        <v>5.3</v>
      </c>
      <c r="AX8" s="21">
        <v>2.8</v>
      </c>
      <c r="AY8" s="21">
        <v>18</v>
      </c>
      <c r="AZ8" s="21">
        <v>2.4</v>
      </c>
      <c r="BA8" s="21">
        <v>4.3</v>
      </c>
      <c r="BB8" s="21"/>
      <c r="BC8" s="21"/>
      <c r="BD8" s="22"/>
    </row>
    <row r="9" spans="1:56" ht="15" customHeight="1">
      <c r="A9" s="18" t="s">
        <v>877</v>
      </c>
      <c r="B9" s="18" t="s">
        <v>772</v>
      </c>
      <c r="C9" s="18" t="s">
        <v>878</v>
      </c>
      <c r="D9" s="18" t="s">
        <v>851</v>
      </c>
      <c r="E9" s="18" t="s">
        <v>879</v>
      </c>
      <c r="F9" s="19">
        <v>5500</v>
      </c>
      <c r="G9" s="18" t="s">
        <v>880</v>
      </c>
      <c r="H9" s="19">
        <v>2500</v>
      </c>
      <c r="I9" s="18" t="s">
        <v>861</v>
      </c>
      <c r="J9" s="19">
        <v>2000</v>
      </c>
      <c r="K9" s="18" t="s">
        <v>881</v>
      </c>
      <c r="L9" s="19">
        <v>1250</v>
      </c>
      <c r="M9" s="18" t="s">
        <v>854</v>
      </c>
      <c r="N9" s="19">
        <v>5000</v>
      </c>
      <c r="O9" s="18" t="s">
        <v>867</v>
      </c>
      <c r="P9" s="19">
        <v>400</v>
      </c>
      <c r="Q9" s="18" t="s">
        <v>849</v>
      </c>
      <c r="R9" s="19">
        <v>500</v>
      </c>
      <c r="S9" s="18" t="s">
        <v>848</v>
      </c>
      <c r="T9" s="19">
        <v>50</v>
      </c>
      <c r="U9" s="18" t="s">
        <v>882</v>
      </c>
      <c r="V9" s="19">
        <v>9000</v>
      </c>
      <c r="W9" s="18" t="s">
        <v>748</v>
      </c>
      <c r="X9" s="19">
        <v>64526</v>
      </c>
      <c r="Y9" s="18" t="s">
        <v>883</v>
      </c>
      <c r="Z9" s="19">
        <v>1000</v>
      </c>
      <c r="AA9" s="18" t="s">
        <v>884</v>
      </c>
      <c r="AB9" s="19">
        <v>1000</v>
      </c>
      <c r="AC9" s="18"/>
      <c r="AD9" s="19"/>
      <c r="AE9" s="18"/>
      <c r="AF9" s="19"/>
      <c r="AG9" s="18"/>
      <c r="AH9" s="19"/>
      <c r="AI9" s="18"/>
      <c r="AJ9" s="19"/>
      <c r="AK9" s="18"/>
      <c r="AL9" s="19"/>
      <c r="AM9" s="18"/>
      <c r="AN9" s="19"/>
      <c r="AO9" s="18"/>
      <c r="AP9" s="19"/>
      <c r="AQ9" s="18"/>
      <c r="AR9" s="19"/>
      <c r="AS9" s="20"/>
      <c r="AT9" s="20"/>
      <c r="AU9" s="20"/>
      <c r="AV9" s="21">
        <v>62.7</v>
      </c>
      <c r="AW9" s="21">
        <v>2.9</v>
      </c>
      <c r="AX9" s="21">
        <v>1.1000000000000001</v>
      </c>
      <c r="AY9" s="21">
        <v>7.5</v>
      </c>
      <c r="AZ9" s="21">
        <v>3.8</v>
      </c>
      <c r="BA9" s="21">
        <v>1.4</v>
      </c>
      <c r="BB9" s="21"/>
      <c r="BC9" s="21"/>
      <c r="BD9" s="22"/>
    </row>
    <row r="10" spans="1:56" ht="15" customHeight="1">
      <c r="A10" s="6" t="s">
        <v>885</v>
      </c>
      <c r="B10" s="6" t="s">
        <v>772</v>
      </c>
      <c r="C10" s="6" t="s">
        <v>886</v>
      </c>
      <c r="D10" s="6" t="s">
        <v>887</v>
      </c>
      <c r="E10" s="6" t="s">
        <v>888</v>
      </c>
      <c r="F10" s="23">
        <v>25000</v>
      </c>
      <c r="G10" s="6" t="s">
        <v>875</v>
      </c>
      <c r="H10" s="23">
        <v>23125</v>
      </c>
      <c r="I10" s="6" t="s">
        <v>889</v>
      </c>
      <c r="J10" s="23">
        <v>3125</v>
      </c>
      <c r="K10" s="6" t="s">
        <v>740</v>
      </c>
      <c r="L10" s="23">
        <v>2500</v>
      </c>
      <c r="M10" s="6" t="s">
        <v>882</v>
      </c>
      <c r="N10" s="23">
        <v>3750</v>
      </c>
      <c r="O10" s="6" t="s">
        <v>890</v>
      </c>
      <c r="P10" s="23">
        <v>2500</v>
      </c>
      <c r="Q10" s="6" t="s">
        <v>849</v>
      </c>
      <c r="R10" s="23">
        <v>375</v>
      </c>
      <c r="S10" s="6" t="s">
        <v>848</v>
      </c>
      <c r="T10" s="23">
        <v>50</v>
      </c>
      <c r="U10" s="6" t="s">
        <v>748</v>
      </c>
      <c r="V10" s="23">
        <v>1500</v>
      </c>
      <c r="W10" s="6"/>
      <c r="X10" s="23"/>
      <c r="Y10" s="6"/>
      <c r="Z10" s="23"/>
      <c r="AA10" s="6"/>
      <c r="AB10" s="23"/>
      <c r="AC10" s="6"/>
      <c r="AD10" s="23"/>
      <c r="AE10" s="6"/>
      <c r="AF10" s="23"/>
      <c r="AG10" s="6"/>
      <c r="AH10" s="23"/>
      <c r="AI10" s="6"/>
      <c r="AJ10" s="23"/>
      <c r="AK10" s="6"/>
      <c r="AL10" s="23"/>
      <c r="AM10" s="6"/>
      <c r="AN10" s="23"/>
      <c r="AO10" s="6"/>
      <c r="AP10" s="23"/>
      <c r="AQ10" s="6"/>
      <c r="AR10" s="23"/>
      <c r="AS10" s="20"/>
      <c r="AT10" s="20"/>
      <c r="AU10" s="20"/>
      <c r="AV10" s="21">
        <v>130.6</v>
      </c>
      <c r="AW10" s="21">
        <v>3.1</v>
      </c>
      <c r="AX10" s="21">
        <v>1.6</v>
      </c>
      <c r="AY10" s="21">
        <v>19.8</v>
      </c>
      <c r="AZ10" s="21">
        <v>2.2000000000000002</v>
      </c>
      <c r="BA10" s="21">
        <v>5.4</v>
      </c>
      <c r="BB10" s="21"/>
      <c r="BC10" s="21"/>
      <c r="BD10" s="22"/>
    </row>
    <row r="11" spans="1:56" ht="15" customHeight="1">
      <c r="A11" s="18" t="s">
        <v>891</v>
      </c>
      <c r="B11" s="18" t="s">
        <v>772</v>
      </c>
      <c r="C11" s="18" t="s">
        <v>892</v>
      </c>
      <c r="D11" s="18" t="s">
        <v>893</v>
      </c>
      <c r="E11" s="18" t="s">
        <v>894</v>
      </c>
      <c r="F11" s="19">
        <v>40000</v>
      </c>
      <c r="G11" s="18" t="s">
        <v>739</v>
      </c>
      <c r="H11" s="19">
        <v>36000</v>
      </c>
      <c r="I11" s="18" t="s">
        <v>740</v>
      </c>
      <c r="J11" s="19">
        <v>4500</v>
      </c>
      <c r="K11" s="18" t="s">
        <v>895</v>
      </c>
      <c r="L11" s="19">
        <v>10000</v>
      </c>
      <c r="M11" s="18" t="s">
        <v>748</v>
      </c>
      <c r="N11" s="19">
        <v>5000</v>
      </c>
      <c r="O11" s="18" t="s">
        <v>856</v>
      </c>
      <c r="P11" s="19">
        <v>1800</v>
      </c>
      <c r="Q11" s="18" t="s">
        <v>849</v>
      </c>
      <c r="R11" s="19">
        <v>450</v>
      </c>
      <c r="S11" s="18" t="s">
        <v>848</v>
      </c>
      <c r="T11" s="19">
        <v>50</v>
      </c>
      <c r="U11" s="18"/>
      <c r="V11" s="19"/>
      <c r="W11" s="18"/>
      <c r="X11" s="19"/>
      <c r="Y11" s="18"/>
      <c r="Z11" s="19"/>
      <c r="AA11" s="18"/>
      <c r="AB11" s="19"/>
      <c r="AC11" s="18"/>
      <c r="AD11" s="19"/>
      <c r="AE11" s="18"/>
      <c r="AF11" s="19"/>
      <c r="AG11" s="18"/>
      <c r="AH11" s="19"/>
      <c r="AI11" s="18"/>
      <c r="AJ11" s="19"/>
      <c r="AK11" s="18"/>
      <c r="AL11" s="19"/>
      <c r="AM11" s="18"/>
      <c r="AN11" s="19"/>
      <c r="AO11" s="18"/>
      <c r="AP11" s="19"/>
      <c r="AQ11" s="18"/>
      <c r="AR11" s="19"/>
      <c r="AS11" s="20"/>
      <c r="AT11" s="20"/>
      <c r="AU11" s="20"/>
      <c r="AV11" s="21">
        <v>68.2</v>
      </c>
      <c r="AW11" s="21">
        <v>3.9</v>
      </c>
      <c r="AX11" s="21">
        <v>2.6</v>
      </c>
      <c r="AY11" s="21">
        <v>8.1</v>
      </c>
      <c r="AZ11" s="21">
        <v>1</v>
      </c>
      <c r="BA11" s="21">
        <v>0.8</v>
      </c>
      <c r="BB11" s="21"/>
      <c r="BC11" s="21"/>
      <c r="BD11" s="22"/>
    </row>
    <row r="12" spans="1:56" ht="15" customHeight="1">
      <c r="A12" s="9"/>
      <c r="B12" s="9"/>
      <c r="C12" s="9"/>
      <c r="D12" s="9"/>
      <c r="E12" s="9"/>
      <c r="F12" s="24"/>
      <c r="G12" s="9"/>
      <c r="H12" s="24"/>
      <c r="I12" s="9"/>
      <c r="J12" s="24"/>
      <c r="K12" s="9"/>
      <c r="L12" s="24"/>
      <c r="M12" s="9"/>
      <c r="N12" s="24"/>
      <c r="O12" s="9"/>
      <c r="P12" s="24"/>
      <c r="Q12" s="9"/>
      <c r="R12" s="24"/>
      <c r="S12" s="9"/>
      <c r="T12" s="24"/>
      <c r="U12" s="9"/>
      <c r="V12" s="24"/>
      <c r="W12" s="9"/>
      <c r="X12" s="24"/>
      <c r="Y12" s="9"/>
      <c r="Z12" s="24"/>
      <c r="AA12" s="9"/>
      <c r="AB12" s="24"/>
      <c r="AC12" s="9"/>
      <c r="AD12" s="24"/>
      <c r="AE12" s="9"/>
      <c r="AF12" s="24"/>
      <c r="AG12" s="9"/>
      <c r="AH12" s="24"/>
      <c r="AI12" s="9"/>
      <c r="AJ12" s="24"/>
      <c r="AK12" s="9"/>
      <c r="AL12" s="24"/>
      <c r="AM12" s="9"/>
      <c r="AN12" s="24"/>
      <c r="AO12" s="9"/>
      <c r="AP12" s="24"/>
      <c r="AQ12" s="9"/>
      <c r="AR12" s="24"/>
      <c r="AS12" s="25"/>
      <c r="AT12" s="25"/>
      <c r="AU12" s="25"/>
      <c r="AV12" s="26"/>
      <c r="AW12" s="26"/>
      <c r="AX12" s="26"/>
      <c r="AY12" s="26"/>
      <c r="AZ12" s="26"/>
      <c r="BA12" s="26"/>
      <c r="BB12" s="26"/>
      <c r="BC12" s="26"/>
      <c r="BD12" s="27"/>
    </row>
    <row r="13" spans="1:56" ht="15" customHeight="1">
      <c r="A13" s="28"/>
      <c r="B13" s="28"/>
      <c r="C13" s="28"/>
      <c r="D13" s="28"/>
      <c r="E13" s="28"/>
      <c r="F13" s="29"/>
      <c r="G13" s="28"/>
      <c r="H13" s="29"/>
      <c r="I13" s="28"/>
      <c r="J13" s="29"/>
      <c r="K13" s="28"/>
      <c r="L13" s="29"/>
      <c r="M13" s="28"/>
      <c r="N13" s="29"/>
      <c r="O13" s="28"/>
      <c r="P13" s="29"/>
      <c r="Q13" s="28"/>
      <c r="R13" s="29"/>
      <c r="S13" s="28"/>
      <c r="T13" s="29"/>
      <c r="U13" s="28"/>
      <c r="V13" s="29"/>
      <c r="W13" s="28"/>
      <c r="X13" s="29"/>
      <c r="Y13" s="28"/>
      <c r="Z13" s="29"/>
      <c r="AA13" s="28"/>
      <c r="AB13" s="29"/>
      <c r="AC13" s="28"/>
      <c r="AD13" s="29"/>
      <c r="AE13" s="28"/>
      <c r="AF13" s="29"/>
      <c r="AG13" s="28"/>
      <c r="AH13" s="29"/>
      <c r="AI13" s="28"/>
      <c r="AJ13" s="29"/>
      <c r="AK13" s="28"/>
      <c r="AL13" s="29"/>
      <c r="AM13" s="28"/>
      <c r="AN13" s="29"/>
      <c r="AO13" s="28"/>
      <c r="AP13" s="29"/>
      <c r="AQ13" s="28"/>
      <c r="AR13" s="29"/>
      <c r="AS13" s="25"/>
      <c r="AT13" s="25"/>
      <c r="AU13" s="25"/>
      <c r="AV13" s="26"/>
      <c r="AW13" s="26"/>
      <c r="AX13" s="26"/>
      <c r="AY13" s="26"/>
      <c r="AZ13" s="26"/>
      <c r="BA13" s="26"/>
      <c r="BB13" s="26"/>
      <c r="BC13" s="26"/>
      <c r="BD13" s="27"/>
    </row>
    <row r="14" spans="1:56" ht="15" customHeight="1">
      <c r="A14" s="9"/>
      <c r="B14" s="9"/>
      <c r="C14" s="9"/>
      <c r="D14" s="9"/>
      <c r="E14" s="9"/>
      <c r="F14" s="24"/>
      <c r="G14" s="9"/>
      <c r="H14" s="24"/>
      <c r="I14" s="9"/>
      <c r="J14" s="24"/>
      <c r="K14" s="9"/>
      <c r="L14" s="24"/>
      <c r="M14" s="9"/>
      <c r="N14" s="24"/>
      <c r="O14" s="9"/>
      <c r="P14" s="24"/>
      <c r="Q14" s="9"/>
      <c r="R14" s="24"/>
      <c r="S14" s="9"/>
      <c r="T14" s="24"/>
      <c r="U14" s="9"/>
      <c r="V14" s="24"/>
      <c r="W14" s="9"/>
      <c r="X14" s="24"/>
      <c r="Y14" s="9"/>
      <c r="Z14" s="24"/>
      <c r="AA14" s="9"/>
      <c r="AB14" s="24"/>
      <c r="AC14" s="9"/>
      <c r="AD14" s="24"/>
      <c r="AE14" s="9"/>
      <c r="AF14" s="24"/>
      <c r="AG14" s="9"/>
      <c r="AH14" s="24"/>
      <c r="AI14" s="9"/>
      <c r="AJ14" s="24"/>
      <c r="AK14" s="9"/>
      <c r="AL14" s="24"/>
      <c r="AM14" s="9"/>
      <c r="AN14" s="24"/>
      <c r="AO14" s="9"/>
      <c r="AP14" s="24"/>
      <c r="AQ14" s="9"/>
      <c r="AR14" s="24"/>
      <c r="AS14" s="25"/>
      <c r="AT14" s="25"/>
      <c r="AU14" s="25"/>
      <c r="AV14" s="26"/>
      <c r="AW14" s="26"/>
      <c r="AX14" s="26"/>
      <c r="AY14" s="26"/>
      <c r="AZ14" s="26"/>
      <c r="BA14" s="26"/>
      <c r="BB14" s="26"/>
      <c r="BC14" s="26"/>
      <c r="BD14" s="27"/>
    </row>
    <row r="15" spans="1:56" ht="15" customHeight="1">
      <c r="A15" s="28"/>
      <c r="B15" s="28"/>
      <c r="C15" s="28"/>
      <c r="D15" s="28"/>
      <c r="E15" s="28"/>
      <c r="F15" s="29"/>
      <c r="G15" s="28"/>
      <c r="H15" s="29"/>
      <c r="I15" s="28"/>
      <c r="J15" s="29"/>
      <c r="K15" s="28"/>
      <c r="L15" s="29"/>
      <c r="M15" s="28"/>
      <c r="N15" s="29"/>
      <c r="O15" s="28"/>
      <c r="P15" s="29"/>
      <c r="Q15" s="28"/>
      <c r="R15" s="29"/>
      <c r="S15" s="28"/>
      <c r="T15" s="29"/>
      <c r="U15" s="28"/>
      <c r="V15" s="29"/>
      <c r="W15" s="28"/>
      <c r="X15" s="29"/>
      <c r="Y15" s="28"/>
      <c r="Z15" s="29"/>
      <c r="AA15" s="28"/>
      <c r="AB15" s="29"/>
      <c r="AC15" s="28"/>
      <c r="AD15" s="29"/>
      <c r="AE15" s="28"/>
      <c r="AF15" s="29"/>
      <c r="AG15" s="28"/>
      <c r="AH15" s="29"/>
      <c r="AI15" s="28"/>
      <c r="AJ15" s="29"/>
      <c r="AK15" s="28"/>
      <c r="AL15" s="29"/>
      <c r="AM15" s="28"/>
      <c r="AN15" s="29"/>
      <c r="AO15" s="28"/>
      <c r="AP15" s="29"/>
      <c r="AQ15" s="28"/>
      <c r="AR15" s="29"/>
      <c r="AS15" s="25"/>
      <c r="AT15" s="25"/>
      <c r="AU15" s="25"/>
      <c r="AV15" s="26"/>
      <c r="AW15" s="26"/>
      <c r="AX15" s="26"/>
      <c r="AY15" s="26"/>
      <c r="AZ15" s="26"/>
      <c r="BA15" s="26"/>
      <c r="BB15" s="26"/>
      <c r="BC15" s="26"/>
      <c r="BD15" s="27"/>
    </row>
    <row r="16" spans="1:56" ht="15" customHeight="1">
      <c r="A16" s="9"/>
      <c r="B16" s="9"/>
      <c r="C16" s="9"/>
      <c r="D16" s="9"/>
      <c r="E16" s="9"/>
      <c r="F16" s="24"/>
      <c r="G16" s="9"/>
      <c r="H16" s="24"/>
      <c r="I16" s="9"/>
      <c r="J16" s="24"/>
      <c r="K16" s="9"/>
      <c r="L16" s="24"/>
      <c r="M16" s="9"/>
      <c r="N16" s="24"/>
      <c r="O16" s="9"/>
      <c r="P16" s="24"/>
      <c r="Q16" s="9"/>
      <c r="R16" s="24"/>
      <c r="S16" s="9"/>
      <c r="T16" s="24"/>
      <c r="U16" s="9"/>
      <c r="V16" s="24"/>
      <c r="W16" s="9"/>
      <c r="X16" s="24"/>
      <c r="Y16" s="9"/>
      <c r="Z16" s="24"/>
      <c r="AA16" s="9"/>
      <c r="AB16" s="24"/>
      <c r="AC16" s="9"/>
      <c r="AD16" s="24"/>
      <c r="AE16" s="9"/>
      <c r="AF16" s="24"/>
      <c r="AG16" s="9"/>
      <c r="AH16" s="24"/>
      <c r="AI16" s="9"/>
      <c r="AJ16" s="24"/>
      <c r="AK16" s="9"/>
      <c r="AL16" s="24"/>
      <c r="AM16" s="9"/>
      <c r="AN16" s="24"/>
      <c r="AO16" s="9"/>
      <c r="AP16" s="24"/>
      <c r="AQ16" s="9"/>
      <c r="AR16" s="24"/>
      <c r="AS16" s="25"/>
      <c r="AT16" s="25"/>
      <c r="AU16" s="25"/>
      <c r="AV16" s="26"/>
      <c r="AW16" s="26"/>
      <c r="AX16" s="26"/>
      <c r="AY16" s="26"/>
      <c r="AZ16" s="26"/>
      <c r="BA16" s="26"/>
      <c r="BB16" s="26"/>
      <c r="BC16" s="26"/>
      <c r="BD16" s="27"/>
    </row>
    <row r="17" spans="1:56" ht="15" customHeight="1">
      <c r="A17" s="28"/>
      <c r="B17" s="28"/>
      <c r="C17" s="28"/>
      <c r="D17" s="28"/>
      <c r="E17" s="28"/>
      <c r="F17" s="29"/>
      <c r="G17" s="28"/>
      <c r="H17" s="29"/>
      <c r="I17" s="28"/>
      <c r="J17" s="29"/>
      <c r="K17" s="28"/>
      <c r="L17" s="29"/>
      <c r="M17" s="28"/>
      <c r="N17" s="29"/>
      <c r="O17" s="28"/>
      <c r="P17" s="29"/>
      <c r="Q17" s="28"/>
      <c r="R17" s="29"/>
      <c r="S17" s="28"/>
      <c r="T17" s="29"/>
      <c r="U17" s="28"/>
      <c r="V17" s="29"/>
      <c r="W17" s="28"/>
      <c r="X17" s="29"/>
      <c r="Y17" s="28"/>
      <c r="Z17" s="29"/>
      <c r="AA17" s="28"/>
      <c r="AB17" s="29"/>
      <c r="AC17" s="28"/>
      <c r="AD17" s="29"/>
      <c r="AE17" s="28"/>
      <c r="AF17" s="29"/>
      <c r="AG17" s="28"/>
      <c r="AH17" s="29"/>
      <c r="AI17" s="28"/>
      <c r="AJ17" s="29"/>
      <c r="AK17" s="28"/>
      <c r="AL17" s="29"/>
      <c r="AM17" s="28"/>
      <c r="AN17" s="29"/>
      <c r="AO17" s="28"/>
      <c r="AP17" s="29"/>
      <c r="AQ17" s="28"/>
      <c r="AR17" s="29"/>
      <c r="AS17" s="25"/>
      <c r="AT17" s="25"/>
      <c r="AU17" s="25"/>
      <c r="AV17" s="26"/>
      <c r="AW17" s="26"/>
      <c r="AX17" s="26"/>
      <c r="AY17" s="26"/>
      <c r="AZ17" s="26"/>
      <c r="BA17" s="26"/>
      <c r="BB17" s="26"/>
      <c r="BC17" s="26"/>
      <c r="BD17" s="27"/>
    </row>
    <row r="18" spans="1:56" ht="15" customHeight="1">
      <c r="A18" s="9"/>
      <c r="B18" s="9"/>
      <c r="C18" s="9"/>
      <c r="D18" s="9"/>
      <c r="E18" s="9"/>
      <c r="F18" s="24"/>
      <c r="G18" s="9"/>
      <c r="H18" s="24"/>
      <c r="I18" s="9"/>
      <c r="J18" s="24"/>
      <c r="K18" s="9"/>
      <c r="L18" s="24"/>
      <c r="M18" s="9"/>
      <c r="N18" s="24"/>
      <c r="O18" s="9"/>
      <c r="P18" s="24"/>
      <c r="Q18" s="9"/>
      <c r="R18" s="24"/>
      <c r="S18" s="9"/>
      <c r="T18" s="24"/>
      <c r="U18" s="9"/>
      <c r="V18" s="24"/>
      <c r="W18" s="9"/>
      <c r="X18" s="24"/>
      <c r="Y18" s="9"/>
      <c r="Z18" s="24"/>
      <c r="AA18" s="9"/>
      <c r="AB18" s="24"/>
      <c r="AC18" s="9"/>
      <c r="AD18" s="24"/>
      <c r="AE18" s="9"/>
      <c r="AF18" s="24"/>
      <c r="AG18" s="9"/>
      <c r="AH18" s="24"/>
      <c r="AI18" s="9"/>
      <c r="AJ18" s="24"/>
      <c r="AK18" s="9"/>
      <c r="AL18" s="24"/>
      <c r="AM18" s="9"/>
      <c r="AN18" s="24"/>
      <c r="AO18" s="9"/>
      <c r="AP18" s="24"/>
      <c r="AQ18" s="9"/>
      <c r="AR18" s="24"/>
      <c r="AS18" s="25"/>
      <c r="AT18" s="25"/>
      <c r="AU18" s="25"/>
      <c r="AV18" s="26"/>
      <c r="AW18" s="26"/>
      <c r="AX18" s="26"/>
      <c r="AY18" s="26"/>
      <c r="AZ18" s="26"/>
      <c r="BA18" s="26"/>
      <c r="BB18" s="26"/>
      <c r="BC18" s="26"/>
      <c r="BD18" s="27"/>
    </row>
    <row r="19" spans="1:56" ht="15" customHeight="1">
      <c r="A19" s="28"/>
      <c r="B19" s="28"/>
      <c r="C19" s="28"/>
      <c r="D19" s="28"/>
      <c r="E19" s="28"/>
      <c r="F19" s="29"/>
      <c r="G19" s="28"/>
      <c r="H19" s="29"/>
      <c r="I19" s="28"/>
      <c r="J19" s="29"/>
      <c r="K19" s="28"/>
      <c r="L19" s="29"/>
      <c r="M19" s="28"/>
      <c r="N19" s="29"/>
      <c r="O19" s="28"/>
      <c r="P19" s="29"/>
      <c r="Q19" s="28"/>
      <c r="R19" s="29"/>
      <c r="S19" s="28"/>
      <c r="T19" s="29"/>
      <c r="U19" s="28"/>
      <c r="V19" s="29"/>
      <c r="W19" s="28"/>
      <c r="X19" s="29"/>
      <c r="Y19" s="28"/>
      <c r="Z19" s="29"/>
      <c r="AA19" s="28"/>
      <c r="AB19" s="29"/>
      <c r="AC19" s="28"/>
      <c r="AD19" s="29"/>
      <c r="AE19" s="28"/>
      <c r="AF19" s="29"/>
      <c r="AG19" s="28"/>
      <c r="AH19" s="29"/>
      <c r="AI19" s="28"/>
      <c r="AJ19" s="29"/>
      <c r="AK19" s="28"/>
      <c r="AL19" s="29"/>
      <c r="AM19" s="28"/>
      <c r="AN19" s="29"/>
      <c r="AO19" s="28"/>
      <c r="AP19" s="29"/>
      <c r="AQ19" s="28"/>
      <c r="AR19" s="29"/>
      <c r="AS19" s="25"/>
      <c r="AT19" s="25"/>
      <c r="AU19" s="25"/>
      <c r="AV19" s="26"/>
      <c r="AW19" s="26"/>
      <c r="AX19" s="26"/>
      <c r="AY19" s="26"/>
      <c r="AZ19" s="26"/>
      <c r="BA19" s="26"/>
      <c r="BB19" s="26"/>
      <c r="BC19" s="26"/>
      <c r="BD19" s="27"/>
    </row>
    <row r="20" spans="1:56" ht="15" customHeight="1">
      <c r="A20" s="9"/>
      <c r="B20" s="9"/>
      <c r="C20" s="9"/>
      <c r="D20" s="9"/>
      <c r="E20" s="9"/>
      <c r="F20" s="24"/>
      <c r="G20" s="9"/>
      <c r="H20" s="24"/>
      <c r="I20" s="9"/>
      <c r="J20" s="24"/>
      <c r="K20" s="9"/>
      <c r="L20" s="24"/>
      <c r="M20" s="9"/>
      <c r="N20" s="24"/>
      <c r="O20" s="9"/>
      <c r="P20" s="24"/>
      <c r="Q20" s="9"/>
      <c r="R20" s="24"/>
      <c r="S20" s="9"/>
      <c r="T20" s="24"/>
      <c r="U20" s="9"/>
      <c r="V20" s="24"/>
      <c r="W20" s="9"/>
      <c r="X20" s="24"/>
      <c r="Y20" s="9"/>
      <c r="Z20" s="24"/>
      <c r="AA20" s="9"/>
      <c r="AB20" s="24"/>
      <c r="AC20" s="9"/>
      <c r="AD20" s="24"/>
      <c r="AE20" s="9"/>
      <c r="AF20" s="24"/>
      <c r="AG20" s="9"/>
      <c r="AH20" s="24"/>
      <c r="AI20" s="9"/>
      <c r="AJ20" s="24"/>
      <c r="AK20" s="9"/>
      <c r="AL20" s="24"/>
      <c r="AM20" s="9"/>
      <c r="AN20" s="24"/>
      <c r="AO20" s="9"/>
      <c r="AP20" s="24"/>
      <c r="AQ20" s="9"/>
      <c r="AR20" s="24"/>
      <c r="AS20" s="25"/>
      <c r="AT20" s="25"/>
      <c r="AU20" s="25"/>
      <c r="AV20" s="26"/>
      <c r="AW20" s="26"/>
      <c r="AX20" s="26"/>
      <c r="AY20" s="26"/>
      <c r="AZ20" s="26"/>
      <c r="BA20" s="26"/>
      <c r="BB20" s="26"/>
      <c r="BC20" s="26"/>
      <c r="BD20" s="27"/>
    </row>
    <row r="21" spans="1:56" ht="15" customHeight="1">
      <c r="A21" s="28"/>
      <c r="B21" s="28"/>
      <c r="C21" s="28"/>
      <c r="D21" s="28"/>
      <c r="E21" s="28"/>
      <c r="F21" s="29"/>
      <c r="G21" s="28"/>
      <c r="H21" s="29"/>
      <c r="I21" s="28"/>
      <c r="J21" s="29"/>
      <c r="K21" s="28"/>
      <c r="L21" s="29"/>
      <c r="M21" s="28"/>
      <c r="N21" s="29"/>
      <c r="O21" s="28"/>
      <c r="P21" s="29"/>
      <c r="Q21" s="28"/>
      <c r="R21" s="29"/>
      <c r="S21" s="28"/>
      <c r="T21" s="29"/>
      <c r="U21" s="28"/>
      <c r="V21" s="29"/>
      <c r="W21" s="28"/>
      <c r="X21" s="29"/>
      <c r="Y21" s="28"/>
      <c r="Z21" s="29"/>
      <c r="AA21" s="28"/>
      <c r="AB21" s="29"/>
      <c r="AC21" s="28"/>
      <c r="AD21" s="29"/>
      <c r="AE21" s="28"/>
      <c r="AF21" s="29"/>
      <c r="AG21" s="28"/>
      <c r="AH21" s="29"/>
      <c r="AI21" s="28"/>
      <c r="AJ21" s="29"/>
      <c r="AK21" s="28"/>
      <c r="AL21" s="29"/>
      <c r="AM21" s="28"/>
      <c r="AN21" s="29"/>
      <c r="AO21" s="28"/>
      <c r="AP21" s="29"/>
      <c r="AQ21" s="28"/>
      <c r="AR21" s="29"/>
      <c r="AS21" s="25"/>
      <c r="AT21" s="25"/>
      <c r="AU21" s="25"/>
      <c r="AV21" s="26"/>
      <c r="AW21" s="26"/>
      <c r="AX21" s="26"/>
      <c r="AY21" s="26"/>
      <c r="AZ21" s="26"/>
      <c r="BA21" s="26"/>
      <c r="BB21" s="26"/>
      <c r="BC21" s="26"/>
      <c r="BD21" s="27"/>
    </row>
    <row r="22" spans="1:56" ht="15" customHeight="1">
      <c r="A22" s="9"/>
      <c r="B22" s="9"/>
      <c r="C22" s="9"/>
      <c r="D22" s="9"/>
      <c r="E22" s="9"/>
      <c r="F22" s="24"/>
      <c r="G22" s="9"/>
      <c r="H22" s="24"/>
      <c r="I22" s="9"/>
      <c r="J22" s="24"/>
      <c r="K22" s="9"/>
      <c r="L22" s="24"/>
      <c r="M22" s="9"/>
      <c r="N22" s="24"/>
      <c r="O22" s="9"/>
      <c r="P22" s="24"/>
      <c r="Q22" s="9"/>
      <c r="R22" s="24"/>
      <c r="S22" s="9"/>
      <c r="T22" s="24"/>
      <c r="U22" s="9"/>
      <c r="V22" s="24"/>
      <c r="W22" s="9"/>
      <c r="X22" s="24"/>
      <c r="Y22" s="9"/>
      <c r="Z22" s="24"/>
      <c r="AA22" s="9"/>
      <c r="AB22" s="24"/>
      <c r="AC22" s="9"/>
      <c r="AD22" s="24"/>
      <c r="AE22" s="9"/>
      <c r="AF22" s="24"/>
      <c r="AG22" s="9"/>
      <c r="AH22" s="24"/>
      <c r="AI22" s="9"/>
      <c r="AJ22" s="24"/>
      <c r="AK22" s="9"/>
      <c r="AL22" s="24"/>
      <c r="AM22" s="9"/>
      <c r="AN22" s="24"/>
      <c r="AO22" s="9"/>
      <c r="AP22" s="24"/>
      <c r="AQ22" s="9"/>
      <c r="AR22" s="24"/>
      <c r="AS22" s="25"/>
      <c r="AT22" s="25"/>
      <c r="AU22" s="25"/>
      <c r="AV22" s="26"/>
      <c r="AW22" s="26"/>
      <c r="AX22" s="26"/>
      <c r="AY22" s="26"/>
      <c r="AZ22" s="26"/>
      <c r="BA22" s="26"/>
      <c r="BB22" s="26"/>
      <c r="BC22" s="26"/>
      <c r="BD22" s="27"/>
    </row>
    <row r="23" spans="1:56" ht="15" customHeight="1">
      <c r="A23" s="28"/>
      <c r="B23" s="28"/>
      <c r="C23" s="28"/>
      <c r="D23" s="28"/>
      <c r="E23" s="28"/>
      <c r="F23" s="29"/>
      <c r="G23" s="28"/>
      <c r="H23" s="29"/>
      <c r="I23" s="28"/>
      <c r="J23" s="29"/>
      <c r="K23" s="28"/>
      <c r="L23" s="29"/>
      <c r="M23" s="28"/>
      <c r="N23" s="29"/>
      <c r="O23" s="28"/>
      <c r="P23" s="29"/>
      <c r="Q23" s="28"/>
      <c r="R23" s="29"/>
      <c r="S23" s="28"/>
      <c r="T23" s="29"/>
      <c r="U23" s="28"/>
      <c r="V23" s="29"/>
      <c r="W23" s="28"/>
      <c r="X23" s="29"/>
      <c r="Y23" s="28"/>
      <c r="Z23" s="29"/>
      <c r="AA23" s="28"/>
      <c r="AB23" s="29"/>
      <c r="AC23" s="28"/>
      <c r="AD23" s="29"/>
      <c r="AE23" s="28"/>
      <c r="AF23" s="29"/>
      <c r="AG23" s="28"/>
      <c r="AH23" s="29"/>
      <c r="AI23" s="28"/>
      <c r="AJ23" s="29"/>
      <c r="AK23" s="28"/>
      <c r="AL23" s="29"/>
      <c r="AM23" s="28"/>
      <c r="AN23" s="29"/>
      <c r="AO23" s="28"/>
      <c r="AP23" s="29"/>
      <c r="AQ23" s="28"/>
      <c r="AR23" s="29"/>
      <c r="AS23" s="25"/>
      <c r="AT23" s="25"/>
      <c r="AU23" s="25"/>
      <c r="AV23" s="26"/>
      <c r="AW23" s="26"/>
      <c r="AX23" s="26"/>
      <c r="AY23" s="26"/>
      <c r="AZ23" s="26"/>
      <c r="BA23" s="26"/>
      <c r="BB23" s="26"/>
      <c r="BC23" s="26"/>
      <c r="BD23" s="27"/>
    </row>
    <row r="24" spans="1:56" ht="15" customHeight="1">
      <c r="A24" s="9"/>
      <c r="B24" s="9"/>
      <c r="C24" s="9"/>
      <c r="D24" s="9"/>
      <c r="E24" s="9"/>
      <c r="F24" s="24"/>
      <c r="G24" s="9"/>
      <c r="H24" s="24"/>
      <c r="I24" s="9"/>
      <c r="J24" s="24"/>
      <c r="K24" s="9"/>
      <c r="L24" s="24"/>
      <c r="M24" s="9"/>
      <c r="N24" s="24"/>
      <c r="O24" s="9"/>
      <c r="P24" s="24"/>
      <c r="Q24" s="9"/>
      <c r="R24" s="24"/>
      <c r="S24" s="9"/>
      <c r="T24" s="24"/>
      <c r="U24" s="9"/>
      <c r="V24" s="24"/>
      <c r="W24" s="9"/>
      <c r="X24" s="24"/>
      <c r="Y24" s="9"/>
      <c r="Z24" s="24"/>
      <c r="AA24" s="9"/>
      <c r="AB24" s="24"/>
      <c r="AC24" s="9"/>
      <c r="AD24" s="24"/>
      <c r="AE24" s="9"/>
      <c r="AF24" s="24"/>
      <c r="AG24" s="9"/>
      <c r="AH24" s="24"/>
      <c r="AI24" s="9"/>
      <c r="AJ24" s="24"/>
      <c r="AK24" s="9"/>
      <c r="AL24" s="24"/>
      <c r="AM24" s="9"/>
      <c r="AN24" s="24"/>
      <c r="AO24" s="9"/>
      <c r="AP24" s="24"/>
      <c r="AQ24" s="9"/>
      <c r="AR24" s="24"/>
      <c r="AS24" s="25"/>
      <c r="AT24" s="25"/>
      <c r="AU24" s="25"/>
      <c r="AV24" s="26"/>
      <c r="AW24" s="26"/>
      <c r="AX24" s="26"/>
      <c r="AY24" s="26"/>
      <c r="AZ24" s="26"/>
      <c r="BA24" s="26"/>
      <c r="BB24" s="26"/>
      <c r="BC24" s="26"/>
      <c r="BD24" s="27"/>
    </row>
    <row r="25" spans="1:56" ht="15" customHeight="1">
      <c r="A25" s="28"/>
      <c r="B25" s="28"/>
      <c r="C25" s="28"/>
      <c r="D25" s="28"/>
      <c r="E25" s="28"/>
      <c r="F25" s="29"/>
      <c r="G25" s="28"/>
      <c r="H25" s="29"/>
      <c r="I25" s="28"/>
      <c r="J25" s="29"/>
      <c r="K25" s="28"/>
      <c r="L25" s="29"/>
      <c r="M25" s="28"/>
      <c r="N25" s="29"/>
      <c r="O25" s="28"/>
      <c r="P25" s="29"/>
      <c r="Q25" s="28"/>
      <c r="R25" s="29"/>
      <c r="S25" s="28"/>
      <c r="T25" s="29"/>
      <c r="U25" s="28"/>
      <c r="V25" s="29"/>
      <c r="W25" s="28"/>
      <c r="X25" s="29"/>
      <c r="Y25" s="28"/>
      <c r="Z25" s="29"/>
      <c r="AA25" s="28"/>
      <c r="AB25" s="29"/>
      <c r="AC25" s="28"/>
      <c r="AD25" s="29"/>
      <c r="AE25" s="28"/>
      <c r="AF25" s="29"/>
      <c r="AG25" s="28"/>
      <c r="AH25" s="29"/>
      <c r="AI25" s="28"/>
      <c r="AJ25" s="29"/>
      <c r="AK25" s="28"/>
      <c r="AL25" s="29"/>
      <c r="AM25" s="28"/>
      <c r="AN25" s="29"/>
      <c r="AO25" s="28"/>
      <c r="AP25" s="29"/>
      <c r="AQ25" s="28"/>
      <c r="AR25" s="29"/>
      <c r="AS25" s="25"/>
      <c r="AT25" s="25"/>
      <c r="AU25" s="25"/>
      <c r="AV25" s="26"/>
      <c r="AW25" s="26"/>
      <c r="AX25" s="26"/>
      <c r="AY25" s="26"/>
      <c r="AZ25" s="26"/>
      <c r="BA25" s="26"/>
      <c r="BB25" s="26"/>
      <c r="BC25" s="26"/>
      <c r="BD25" s="27"/>
    </row>
    <row r="26" spans="1:56" ht="15" customHeight="1">
      <c r="A26" s="9"/>
      <c r="B26" s="9"/>
      <c r="C26" s="9"/>
      <c r="D26" s="9"/>
      <c r="E26" s="9"/>
      <c r="F26" s="24"/>
      <c r="G26" s="9"/>
      <c r="H26" s="24"/>
      <c r="I26" s="9"/>
      <c r="J26" s="24"/>
      <c r="K26" s="9"/>
      <c r="L26" s="24"/>
      <c r="M26" s="9"/>
      <c r="N26" s="24"/>
      <c r="O26" s="9"/>
      <c r="P26" s="24"/>
      <c r="Q26" s="9"/>
      <c r="R26" s="24"/>
      <c r="S26" s="9"/>
      <c r="T26" s="24"/>
      <c r="U26" s="9"/>
      <c r="V26" s="24"/>
      <c r="W26" s="9"/>
      <c r="X26" s="24"/>
      <c r="Y26" s="9"/>
      <c r="Z26" s="24"/>
      <c r="AA26" s="9"/>
      <c r="AB26" s="24"/>
      <c r="AC26" s="9"/>
      <c r="AD26" s="24"/>
      <c r="AE26" s="9"/>
      <c r="AF26" s="24"/>
      <c r="AG26" s="9"/>
      <c r="AH26" s="24"/>
      <c r="AI26" s="9"/>
      <c r="AJ26" s="24"/>
      <c r="AK26" s="9"/>
      <c r="AL26" s="24"/>
      <c r="AM26" s="9"/>
      <c r="AN26" s="24"/>
      <c r="AO26" s="9"/>
      <c r="AP26" s="24"/>
      <c r="AQ26" s="9"/>
      <c r="AR26" s="24"/>
      <c r="AS26" s="25"/>
      <c r="AT26" s="25"/>
      <c r="AU26" s="25"/>
      <c r="AV26" s="26"/>
      <c r="AW26" s="26"/>
      <c r="AX26" s="26"/>
      <c r="AY26" s="26"/>
      <c r="AZ26" s="26"/>
      <c r="BA26" s="26"/>
      <c r="BB26" s="26"/>
      <c r="BC26" s="26"/>
      <c r="BD26" s="27"/>
    </row>
    <row r="27" spans="1:56" ht="15" customHeight="1">
      <c r="A27" s="28"/>
      <c r="B27" s="28"/>
      <c r="C27" s="28"/>
      <c r="D27" s="28"/>
      <c r="E27" s="28"/>
      <c r="F27" s="29"/>
      <c r="G27" s="28"/>
      <c r="H27" s="29"/>
      <c r="I27" s="28"/>
      <c r="J27" s="29"/>
      <c r="K27" s="28"/>
      <c r="L27" s="29"/>
      <c r="M27" s="28"/>
      <c r="N27" s="29"/>
      <c r="O27" s="28"/>
      <c r="P27" s="29"/>
      <c r="Q27" s="28"/>
      <c r="R27" s="29"/>
      <c r="S27" s="28"/>
      <c r="T27" s="29"/>
      <c r="U27" s="28"/>
      <c r="V27" s="29"/>
      <c r="W27" s="28"/>
      <c r="X27" s="29"/>
      <c r="Y27" s="28"/>
      <c r="Z27" s="29"/>
      <c r="AA27" s="28"/>
      <c r="AB27" s="29"/>
      <c r="AC27" s="28"/>
      <c r="AD27" s="29"/>
      <c r="AE27" s="28"/>
      <c r="AF27" s="29"/>
      <c r="AG27" s="28"/>
      <c r="AH27" s="29"/>
      <c r="AI27" s="28"/>
      <c r="AJ27" s="29"/>
      <c r="AK27" s="28"/>
      <c r="AL27" s="29"/>
      <c r="AM27" s="28"/>
      <c r="AN27" s="29"/>
      <c r="AO27" s="28"/>
      <c r="AP27" s="29"/>
      <c r="AQ27" s="28"/>
      <c r="AR27" s="29"/>
      <c r="AS27" s="25"/>
      <c r="AT27" s="25"/>
      <c r="AU27" s="25"/>
      <c r="AV27" s="26"/>
      <c r="AW27" s="26"/>
      <c r="AX27" s="26"/>
      <c r="AY27" s="26"/>
      <c r="AZ27" s="26"/>
      <c r="BA27" s="26"/>
      <c r="BB27" s="26"/>
      <c r="BC27" s="26"/>
      <c r="BD27" s="27"/>
    </row>
    <row r="28" spans="1:56" ht="15" customHeight="1">
      <c r="A28" s="9"/>
      <c r="B28" s="9"/>
      <c r="C28" s="9"/>
      <c r="D28" s="9"/>
      <c r="E28" s="9"/>
      <c r="F28" s="24"/>
      <c r="G28" s="9"/>
      <c r="H28" s="24"/>
      <c r="I28" s="9"/>
      <c r="J28" s="24"/>
      <c r="K28" s="9"/>
      <c r="L28" s="24"/>
      <c r="M28" s="9"/>
      <c r="N28" s="24"/>
      <c r="O28" s="9"/>
      <c r="P28" s="24"/>
      <c r="Q28" s="9"/>
      <c r="R28" s="24"/>
      <c r="S28" s="9"/>
      <c r="T28" s="24"/>
      <c r="U28" s="9"/>
      <c r="V28" s="24"/>
      <c r="W28" s="9"/>
      <c r="X28" s="24"/>
      <c r="Y28" s="9"/>
      <c r="Z28" s="24"/>
      <c r="AA28" s="9"/>
      <c r="AB28" s="24"/>
      <c r="AC28" s="9"/>
      <c r="AD28" s="24"/>
      <c r="AE28" s="9"/>
      <c r="AF28" s="24"/>
      <c r="AG28" s="9"/>
      <c r="AH28" s="24"/>
      <c r="AI28" s="9"/>
      <c r="AJ28" s="24"/>
      <c r="AK28" s="9"/>
      <c r="AL28" s="24"/>
      <c r="AM28" s="9"/>
      <c r="AN28" s="24"/>
      <c r="AO28" s="9"/>
      <c r="AP28" s="24"/>
      <c r="AQ28" s="9"/>
      <c r="AR28" s="24"/>
      <c r="AS28" s="25"/>
      <c r="AT28" s="25"/>
      <c r="AU28" s="25"/>
      <c r="AV28" s="26"/>
      <c r="AW28" s="26"/>
      <c r="AX28" s="26"/>
      <c r="AY28" s="26"/>
      <c r="AZ28" s="26"/>
      <c r="BA28" s="26"/>
      <c r="BB28" s="26"/>
      <c r="BC28" s="26"/>
      <c r="BD28" s="27"/>
    </row>
    <row r="29" spans="1:56" ht="15" customHeight="1">
      <c r="A29" s="28"/>
      <c r="B29" s="28"/>
      <c r="C29" s="28"/>
      <c r="D29" s="28"/>
      <c r="E29" s="28"/>
      <c r="F29" s="29"/>
      <c r="G29" s="28"/>
      <c r="H29" s="29"/>
      <c r="I29" s="28"/>
      <c r="J29" s="29"/>
      <c r="K29" s="28"/>
      <c r="L29" s="29"/>
      <c r="M29" s="28"/>
      <c r="N29" s="29"/>
      <c r="O29" s="28"/>
      <c r="P29" s="29"/>
      <c r="Q29" s="28"/>
      <c r="R29" s="29"/>
      <c r="S29" s="28"/>
      <c r="T29" s="29"/>
      <c r="U29" s="28"/>
      <c r="V29" s="29"/>
      <c r="W29" s="28"/>
      <c r="X29" s="29"/>
      <c r="Y29" s="28"/>
      <c r="Z29" s="29"/>
      <c r="AA29" s="28"/>
      <c r="AB29" s="29"/>
      <c r="AC29" s="28"/>
      <c r="AD29" s="29"/>
      <c r="AE29" s="28"/>
      <c r="AF29" s="29"/>
      <c r="AG29" s="28"/>
      <c r="AH29" s="29"/>
      <c r="AI29" s="28"/>
      <c r="AJ29" s="29"/>
      <c r="AK29" s="28"/>
      <c r="AL29" s="29"/>
      <c r="AM29" s="28"/>
      <c r="AN29" s="29"/>
      <c r="AO29" s="28"/>
      <c r="AP29" s="29"/>
      <c r="AQ29" s="28"/>
      <c r="AR29" s="29"/>
      <c r="AS29" s="25"/>
      <c r="AT29" s="25"/>
      <c r="AU29" s="25"/>
      <c r="AV29" s="26"/>
      <c r="AW29" s="26"/>
      <c r="AX29" s="26"/>
      <c r="AY29" s="26"/>
      <c r="AZ29" s="26"/>
      <c r="BA29" s="26"/>
      <c r="BB29" s="26"/>
      <c r="BC29" s="26"/>
      <c r="BD29" s="27"/>
    </row>
    <row r="30" spans="1:56" ht="15" customHeight="1">
      <c r="A30" s="9"/>
      <c r="B30" s="9"/>
      <c r="C30" s="9"/>
      <c r="D30" s="9"/>
      <c r="E30" s="9"/>
      <c r="F30" s="24"/>
      <c r="G30" s="9"/>
      <c r="H30" s="24"/>
      <c r="I30" s="9"/>
      <c r="J30" s="24"/>
      <c r="K30" s="9"/>
      <c r="L30" s="24"/>
      <c r="M30" s="9"/>
      <c r="N30" s="24"/>
      <c r="O30" s="9"/>
      <c r="P30" s="24"/>
      <c r="Q30" s="9"/>
      <c r="R30" s="24"/>
      <c r="S30" s="9"/>
      <c r="T30" s="24"/>
      <c r="U30" s="9"/>
      <c r="V30" s="24"/>
      <c r="W30" s="9"/>
      <c r="X30" s="24"/>
      <c r="Y30" s="9"/>
      <c r="Z30" s="24"/>
      <c r="AA30" s="9"/>
      <c r="AB30" s="24"/>
      <c r="AC30" s="9"/>
      <c r="AD30" s="24"/>
      <c r="AE30" s="9"/>
      <c r="AF30" s="24"/>
      <c r="AG30" s="9"/>
      <c r="AH30" s="24"/>
      <c r="AI30" s="9"/>
      <c r="AJ30" s="24"/>
      <c r="AK30" s="9"/>
      <c r="AL30" s="24"/>
      <c r="AM30" s="9"/>
      <c r="AN30" s="24"/>
      <c r="AO30" s="9"/>
      <c r="AP30" s="24"/>
      <c r="AQ30" s="9"/>
      <c r="AR30" s="24"/>
      <c r="AS30" s="25"/>
      <c r="AT30" s="25"/>
      <c r="AU30" s="25"/>
      <c r="AV30" s="26"/>
      <c r="AW30" s="26"/>
      <c r="AX30" s="26"/>
      <c r="AY30" s="26"/>
      <c r="AZ30" s="26"/>
      <c r="BA30" s="26"/>
      <c r="BB30" s="26"/>
      <c r="BC30" s="26"/>
      <c r="BD30" s="27"/>
    </row>
    <row r="31" spans="1:56" ht="15" customHeight="1">
      <c r="A31" s="28"/>
      <c r="B31" s="28"/>
      <c r="C31" s="28"/>
      <c r="D31" s="28"/>
      <c r="E31" s="28"/>
      <c r="F31" s="29"/>
      <c r="G31" s="28"/>
      <c r="H31" s="29"/>
      <c r="I31" s="28"/>
      <c r="J31" s="29"/>
      <c r="K31" s="28"/>
      <c r="L31" s="29"/>
      <c r="M31" s="28"/>
      <c r="N31" s="29"/>
      <c r="O31" s="28"/>
      <c r="P31" s="29"/>
      <c r="Q31" s="28"/>
      <c r="R31" s="29"/>
      <c r="S31" s="28"/>
      <c r="T31" s="29"/>
      <c r="U31" s="28"/>
      <c r="V31" s="29"/>
      <c r="W31" s="28"/>
      <c r="X31" s="29"/>
      <c r="Y31" s="28"/>
      <c r="Z31" s="29"/>
      <c r="AA31" s="28"/>
      <c r="AB31" s="29"/>
      <c r="AC31" s="28"/>
      <c r="AD31" s="29"/>
      <c r="AE31" s="28"/>
      <c r="AF31" s="29"/>
      <c r="AG31" s="28"/>
      <c r="AH31" s="29"/>
      <c r="AI31" s="28"/>
      <c r="AJ31" s="29"/>
      <c r="AK31" s="28"/>
      <c r="AL31" s="29"/>
      <c r="AM31" s="28"/>
      <c r="AN31" s="29"/>
      <c r="AO31" s="28"/>
      <c r="AP31" s="29"/>
      <c r="AQ31" s="28"/>
      <c r="AR31" s="29"/>
      <c r="AS31" s="25"/>
      <c r="AT31" s="25"/>
      <c r="AU31" s="25"/>
      <c r="AV31" s="26"/>
      <c r="AW31" s="26"/>
      <c r="AX31" s="26"/>
      <c r="AY31" s="26"/>
      <c r="AZ31" s="26"/>
      <c r="BA31" s="26"/>
      <c r="BB31" s="26"/>
      <c r="BC31" s="26"/>
      <c r="BD31" s="27"/>
    </row>
    <row r="32" spans="1:56" ht="15" customHeight="1">
      <c r="A32" s="9"/>
      <c r="B32" s="9"/>
      <c r="C32" s="9"/>
      <c r="D32" s="9"/>
      <c r="E32" s="9"/>
      <c r="F32" s="24"/>
      <c r="G32" s="9"/>
      <c r="H32" s="24"/>
      <c r="I32" s="9"/>
      <c r="J32" s="24"/>
      <c r="K32" s="9"/>
      <c r="L32" s="24"/>
      <c r="M32" s="9"/>
      <c r="N32" s="24"/>
      <c r="O32" s="9"/>
      <c r="P32" s="24"/>
      <c r="Q32" s="9"/>
      <c r="R32" s="24"/>
      <c r="S32" s="9"/>
      <c r="T32" s="24"/>
      <c r="U32" s="9"/>
      <c r="V32" s="24"/>
      <c r="W32" s="9"/>
      <c r="X32" s="24"/>
      <c r="Y32" s="9"/>
      <c r="Z32" s="24"/>
      <c r="AA32" s="9"/>
      <c r="AB32" s="24"/>
      <c r="AC32" s="9"/>
      <c r="AD32" s="24"/>
      <c r="AE32" s="9"/>
      <c r="AF32" s="24"/>
      <c r="AG32" s="9"/>
      <c r="AH32" s="24"/>
      <c r="AI32" s="9"/>
      <c r="AJ32" s="24"/>
      <c r="AK32" s="9"/>
      <c r="AL32" s="24"/>
      <c r="AM32" s="9"/>
      <c r="AN32" s="24"/>
      <c r="AO32" s="9"/>
      <c r="AP32" s="24"/>
      <c r="AQ32" s="9"/>
      <c r="AR32" s="24"/>
      <c r="AS32" s="25"/>
      <c r="AT32" s="25"/>
      <c r="AU32" s="25"/>
      <c r="AV32" s="26"/>
      <c r="AW32" s="26"/>
      <c r="AX32" s="26"/>
      <c r="AY32" s="26"/>
      <c r="AZ32" s="26"/>
      <c r="BA32" s="26"/>
      <c r="BB32" s="26"/>
      <c r="BC32" s="26"/>
      <c r="BD32" s="27"/>
    </row>
    <row r="33" spans="1:56" ht="15" customHeight="1">
      <c r="A33" s="28"/>
      <c r="B33" s="28"/>
      <c r="C33" s="28"/>
      <c r="D33" s="28"/>
      <c r="E33" s="28"/>
      <c r="F33" s="29"/>
      <c r="G33" s="28"/>
      <c r="H33" s="29"/>
      <c r="I33" s="28"/>
      <c r="J33" s="29"/>
      <c r="K33" s="28"/>
      <c r="L33" s="29"/>
      <c r="M33" s="28"/>
      <c r="N33" s="29"/>
      <c r="O33" s="28"/>
      <c r="P33" s="29"/>
      <c r="Q33" s="28"/>
      <c r="R33" s="29"/>
      <c r="S33" s="28"/>
      <c r="T33" s="29"/>
      <c r="U33" s="28"/>
      <c r="V33" s="29"/>
      <c r="W33" s="28"/>
      <c r="X33" s="29"/>
      <c r="Y33" s="28"/>
      <c r="Z33" s="29"/>
      <c r="AA33" s="28"/>
      <c r="AB33" s="29"/>
      <c r="AC33" s="28"/>
      <c r="AD33" s="29"/>
      <c r="AE33" s="28"/>
      <c r="AF33" s="29"/>
      <c r="AG33" s="28"/>
      <c r="AH33" s="29"/>
      <c r="AI33" s="28"/>
      <c r="AJ33" s="29"/>
      <c r="AK33" s="28"/>
      <c r="AL33" s="29"/>
      <c r="AM33" s="28"/>
      <c r="AN33" s="29"/>
      <c r="AO33" s="28"/>
      <c r="AP33" s="29"/>
      <c r="AQ33" s="28"/>
      <c r="AR33" s="29"/>
      <c r="AS33" s="25"/>
      <c r="AT33" s="25"/>
      <c r="AU33" s="25"/>
      <c r="AV33" s="26"/>
      <c r="AW33" s="26"/>
      <c r="AX33" s="26"/>
      <c r="AY33" s="26"/>
      <c r="AZ33" s="26"/>
      <c r="BA33" s="26"/>
      <c r="BB33" s="26"/>
      <c r="BC33" s="26"/>
      <c r="BD33" s="27"/>
    </row>
    <row r="34" spans="1:56" ht="15" customHeight="1">
      <c r="A34" s="9"/>
      <c r="B34" s="9"/>
      <c r="C34" s="9"/>
      <c r="D34" s="9"/>
      <c r="E34" s="9"/>
      <c r="F34" s="24"/>
      <c r="G34" s="9"/>
      <c r="H34" s="24"/>
      <c r="I34" s="9"/>
      <c r="J34" s="24"/>
      <c r="K34" s="9"/>
      <c r="L34" s="24"/>
      <c r="M34" s="9"/>
      <c r="N34" s="24"/>
      <c r="O34" s="9"/>
      <c r="P34" s="24"/>
      <c r="Q34" s="9"/>
      <c r="R34" s="24"/>
      <c r="S34" s="9"/>
      <c r="T34" s="24"/>
      <c r="U34" s="9"/>
      <c r="V34" s="24"/>
      <c r="W34" s="9"/>
      <c r="X34" s="24"/>
      <c r="Y34" s="9"/>
      <c r="Z34" s="24"/>
      <c r="AA34" s="9"/>
      <c r="AB34" s="24"/>
      <c r="AC34" s="9"/>
      <c r="AD34" s="24"/>
      <c r="AE34" s="9"/>
      <c r="AF34" s="24"/>
      <c r="AG34" s="9"/>
      <c r="AH34" s="24"/>
      <c r="AI34" s="9"/>
      <c r="AJ34" s="24"/>
      <c r="AK34" s="9"/>
      <c r="AL34" s="24"/>
      <c r="AM34" s="9"/>
      <c r="AN34" s="24"/>
      <c r="AO34" s="9"/>
      <c r="AP34" s="24"/>
      <c r="AQ34" s="9"/>
      <c r="AR34" s="24"/>
      <c r="AS34" s="25"/>
      <c r="AT34" s="25"/>
      <c r="AU34" s="25"/>
      <c r="AV34" s="26"/>
      <c r="AW34" s="26"/>
      <c r="AX34" s="26"/>
      <c r="AY34" s="26"/>
      <c r="AZ34" s="26"/>
      <c r="BA34" s="26"/>
      <c r="BB34" s="26"/>
      <c r="BC34" s="26"/>
      <c r="BD34" s="27"/>
    </row>
    <row r="35" spans="1:56" ht="15" customHeight="1">
      <c r="A35" s="28"/>
      <c r="B35" s="28"/>
      <c r="C35" s="28"/>
      <c r="D35" s="28"/>
      <c r="E35" s="28"/>
      <c r="F35" s="29"/>
      <c r="G35" s="28"/>
      <c r="H35" s="29"/>
      <c r="I35" s="28"/>
      <c r="J35" s="29"/>
      <c r="K35" s="28"/>
      <c r="L35" s="29"/>
      <c r="M35" s="28"/>
      <c r="N35" s="29"/>
      <c r="O35" s="28"/>
      <c r="P35" s="29"/>
      <c r="Q35" s="28"/>
      <c r="R35" s="29"/>
      <c r="S35" s="28"/>
      <c r="T35" s="29"/>
      <c r="U35" s="28"/>
      <c r="V35" s="29"/>
      <c r="W35" s="28"/>
      <c r="X35" s="29"/>
      <c r="Y35" s="28"/>
      <c r="Z35" s="29"/>
      <c r="AA35" s="28"/>
      <c r="AB35" s="29"/>
      <c r="AC35" s="28"/>
      <c r="AD35" s="29"/>
      <c r="AE35" s="28"/>
      <c r="AF35" s="29"/>
      <c r="AG35" s="28"/>
      <c r="AH35" s="29"/>
      <c r="AI35" s="28"/>
      <c r="AJ35" s="29"/>
      <c r="AK35" s="28"/>
      <c r="AL35" s="29"/>
      <c r="AM35" s="28"/>
      <c r="AN35" s="29"/>
      <c r="AO35" s="28"/>
      <c r="AP35" s="29"/>
      <c r="AQ35" s="28"/>
      <c r="AR35" s="29"/>
      <c r="AS35" s="25"/>
      <c r="AT35" s="25"/>
      <c r="AU35" s="25"/>
      <c r="AV35" s="26"/>
      <c r="AW35" s="26"/>
      <c r="AX35" s="26"/>
      <c r="AY35" s="26"/>
      <c r="AZ35" s="26"/>
      <c r="BA35" s="26"/>
      <c r="BB35" s="26"/>
      <c r="BC35" s="26"/>
      <c r="BD35" s="27"/>
    </row>
    <row r="36" spans="1:56" ht="15" customHeight="1">
      <c r="A36" s="9"/>
      <c r="B36" s="9"/>
      <c r="C36" s="9"/>
      <c r="D36" s="9"/>
      <c r="E36" s="9"/>
      <c r="F36" s="24"/>
      <c r="G36" s="9"/>
      <c r="H36" s="24"/>
      <c r="I36" s="9"/>
      <c r="J36" s="24"/>
      <c r="K36" s="9"/>
      <c r="L36" s="24"/>
      <c r="M36" s="9"/>
      <c r="N36" s="24"/>
      <c r="O36" s="9"/>
      <c r="P36" s="24"/>
      <c r="Q36" s="9"/>
      <c r="R36" s="24"/>
      <c r="S36" s="9"/>
      <c r="T36" s="24"/>
      <c r="U36" s="9"/>
      <c r="V36" s="24"/>
      <c r="W36" s="9"/>
      <c r="X36" s="24"/>
      <c r="Y36" s="9"/>
      <c r="Z36" s="24"/>
      <c r="AA36" s="9"/>
      <c r="AB36" s="24"/>
      <c r="AC36" s="9"/>
      <c r="AD36" s="24"/>
      <c r="AE36" s="9"/>
      <c r="AF36" s="24"/>
      <c r="AG36" s="9"/>
      <c r="AH36" s="24"/>
      <c r="AI36" s="9"/>
      <c r="AJ36" s="24"/>
      <c r="AK36" s="9"/>
      <c r="AL36" s="24"/>
      <c r="AM36" s="9"/>
      <c r="AN36" s="24"/>
      <c r="AO36" s="9"/>
      <c r="AP36" s="24"/>
      <c r="AQ36" s="9"/>
      <c r="AR36" s="24"/>
      <c r="AS36" s="25"/>
      <c r="AT36" s="25"/>
      <c r="AU36" s="25"/>
      <c r="AV36" s="26"/>
      <c r="AW36" s="26"/>
      <c r="AX36" s="26"/>
      <c r="AY36" s="26"/>
      <c r="AZ36" s="26"/>
      <c r="BA36" s="26"/>
      <c r="BB36" s="26"/>
      <c r="BC36" s="26"/>
      <c r="BD36" s="27"/>
    </row>
    <row r="37" spans="1:56" ht="15" customHeight="1">
      <c r="A37" s="28"/>
      <c r="B37" s="28"/>
      <c r="C37" s="28"/>
      <c r="D37" s="28"/>
      <c r="E37" s="28"/>
      <c r="F37" s="29"/>
      <c r="G37" s="28"/>
      <c r="H37" s="29"/>
      <c r="I37" s="28"/>
      <c r="J37" s="29"/>
      <c r="K37" s="28"/>
      <c r="L37" s="29"/>
      <c r="M37" s="28"/>
      <c r="N37" s="29"/>
      <c r="O37" s="28"/>
      <c r="P37" s="29"/>
      <c r="Q37" s="28"/>
      <c r="R37" s="29"/>
      <c r="S37" s="28"/>
      <c r="T37" s="29"/>
      <c r="U37" s="28"/>
      <c r="V37" s="29"/>
      <c r="W37" s="28"/>
      <c r="X37" s="29"/>
      <c r="Y37" s="28"/>
      <c r="Z37" s="29"/>
      <c r="AA37" s="28"/>
      <c r="AB37" s="29"/>
      <c r="AC37" s="28"/>
      <c r="AD37" s="29"/>
      <c r="AE37" s="28"/>
      <c r="AF37" s="29"/>
      <c r="AG37" s="28"/>
      <c r="AH37" s="29"/>
      <c r="AI37" s="28"/>
      <c r="AJ37" s="29"/>
      <c r="AK37" s="28"/>
      <c r="AL37" s="29"/>
      <c r="AM37" s="28"/>
      <c r="AN37" s="29"/>
      <c r="AO37" s="28"/>
      <c r="AP37" s="29"/>
      <c r="AQ37" s="28"/>
      <c r="AR37" s="29"/>
      <c r="AS37" s="25"/>
      <c r="AT37" s="25"/>
      <c r="AU37" s="25"/>
      <c r="AV37" s="26"/>
      <c r="AW37" s="26"/>
      <c r="AX37" s="26"/>
      <c r="AY37" s="26"/>
      <c r="AZ37" s="26"/>
      <c r="BA37" s="26"/>
      <c r="BB37" s="26"/>
      <c r="BC37" s="26"/>
      <c r="BD37" s="27"/>
    </row>
    <row r="38" spans="1:56" ht="15" customHeight="1">
      <c r="A38" s="9"/>
      <c r="B38" s="9"/>
      <c r="C38" s="9"/>
      <c r="D38" s="9"/>
      <c r="E38" s="9"/>
      <c r="F38" s="24"/>
      <c r="G38" s="9"/>
      <c r="H38" s="24"/>
      <c r="I38" s="9"/>
      <c r="J38" s="24"/>
      <c r="K38" s="9"/>
      <c r="L38" s="24"/>
      <c r="M38" s="9"/>
      <c r="N38" s="24"/>
      <c r="O38" s="9"/>
      <c r="P38" s="24"/>
      <c r="Q38" s="9"/>
      <c r="R38" s="24"/>
      <c r="S38" s="9"/>
      <c r="T38" s="24"/>
      <c r="U38" s="9"/>
      <c r="V38" s="24"/>
      <c r="W38" s="9"/>
      <c r="X38" s="24"/>
      <c r="Y38" s="9"/>
      <c r="Z38" s="24"/>
      <c r="AA38" s="9"/>
      <c r="AB38" s="24"/>
      <c r="AC38" s="9"/>
      <c r="AD38" s="24"/>
      <c r="AE38" s="9"/>
      <c r="AF38" s="24"/>
      <c r="AG38" s="9"/>
      <c r="AH38" s="24"/>
      <c r="AI38" s="9"/>
      <c r="AJ38" s="24"/>
      <c r="AK38" s="9"/>
      <c r="AL38" s="24"/>
      <c r="AM38" s="9"/>
      <c r="AN38" s="24"/>
      <c r="AO38" s="9"/>
      <c r="AP38" s="24"/>
      <c r="AQ38" s="9"/>
      <c r="AR38" s="24"/>
      <c r="AS38" s="25"/>
      <c r="AT38" s="25"/>
      <c r="AU38" s="25"/>
      <c r="AV38" s="26"/>
      <c r="AW38" s="26"/>
      <c r="AX38" s="26"/>
      <c r="AY38" s="26"/>
      <c r="AZ38" s="26"/>
      <c r="BA38" s="26"/>
      <c r="BB38" s="26"/>
      <c r="BC38" s="26"/>
      <c r="BD38" s="27"/>
    </row>
    <row r="39" spans="1:56" ht="15" customHeight="1">
      <c r="A39" s="28"/>
      <c r="B39" s="28"/>
      <c r="C39" s="28"/>
      <c r="D39" s="28"/>
      <c r="E39" s="28"/>
      <c r="F39" s="29"/>
      <c r="G39" s="28"/>
      <c r="H39" s="29"/>
      <c r="I39" s="28"/>
      <c r="J39" s="29"/>
      <c r="K39" s="28"/>
      <c r="L39" s="29"/>
      <c r="M39" s="28"/>
      <c r="N39" s="29"/>
      <c r="O39" s="28"/>
      <c r="P39" s="29"/>
      <c r="Q39" s="28"/>
      <c r="R39" s="29"/>
      <c r="S39" s="28"/>
      <c r="T39" s="29"/>
      <c r="U39" s="28"/>
      <c r="V39" s="29"/>
      <c r="W39" s="28"/>
      <c r="X39" s="29"/>
      <c r="Y39" s="28"/>
      <c r="Z39" s="29"/>
      <c r="AA39" s="28"/>
      <c r="AB39" s="29"/>
      <c r="AC39" s="28"/>
      <c r="AD39" s="29"/>
      <c r="AE39" s="28"/>
      <c r="AF39" s="29"/>
      <c r="AG39" s="28"/>
      <c r="AH39" s="29"/>
      <c r="AI39" s="28"/>
      <c r="AJ39" s="29"/>
      <c r="AK39" s="28"/>
      <c r="AL39" s="29"/>
      <c r="AM39" s="28"/>
      <c r="AN39" s="29"/>
      <c r="AO39" s="28"/>
      <c r="AP39" s="29"/>
      <c r="AQ39" s="28"/>
      <c r="AR39" s="29"/>
      <c r="AS39" s="25"/>
      <c r="AT39" s="25"/>
      <c r="AU39" s="25"/>
      <c r="AV39" s="26"/>
      <c r="AW39" s="26"/>
      <c r="AX39" s="26"/>
      <c r="AY39" s="26"/>
      <c r="AZ39" s="26"/>
      <c r="BA39" s="26"/>
      <c r="BB39" s="26"/>
      <c r="BC39" s="26"/>
      <c r="BD39" s="27"/>
    </row>
    <row r="40" spans="1:56" ht="15" customHeight="1">
      <c r="A40" s="9"/>
      <c r="B40" s="9"/>
      <c r="C40" s="9"/>
      <c r="D40" s="9"/>
      <c r="E40" s="9"/>
      <c r="F40" s="24"/>
      <c r="G40" s="9"/>
      <c r="H40" s="24"/>
      <c r="I40" s="9"/>
      <c r="J40" s="24"/>
      <c r="K40" s="9"/>
      <c r="L40" s="24"/>
      <c r="M40" s="9"/>
      <c r="N40" s="24"/>
      <c r="O40" s="9"/>
      <c r="P40" s="24"/>
      <c r="Q40" s="9"/>
      <c r="R40" s="24"/>
      <c r="S40" s="9"/>
      <c r="T40" s="24"/>
      <c r="U40" s="9"/>
      <c r="V40" s="24"/>
      <c r="W40" s="9"/>
      <c r="X40" s="24"/>
      <c r="Y40" s="9"/>
      <c r="Z40" s="24"/>
      <c r="AA40" s="9"/>
      <c r="AB40" s="24"/>
      <c r="AC40" s="9"/>
      <c r="AD40" s="24"/>
      <c r="AE40" s="9"/>
      <c r="AF40" s="24"/>
      <c r="AG40" s="9"/>
      <c r="AH40" s="24"/>
      <c r="AI40" s="9"/>
      <c r="AJ40" s="24"/>
      <c r="AK40" s="9"/>
      <c r="AL40" s="24"/>
      <c r="AM40" s="9"/>
      <c r="AN40" s="24"/>
      <c r="AO40" s="9"/>
      <c r="AP40" s="24"/>
      <c r="AQ40" s="9"/>
      <c r="AR40" s="24"/>
      <c r="AS40" s="25"/>
      <c r="AT40" s="25"/>
      <c r="AU40" s="25"/>
      <c r="AV40" s="26"/>
      <c r="AW40" s="26"/>
      <c r="AX40" s="26"/>
      <c r="AY40" s="26"/>
      <c r="AZ40" s="26"/>
      <c r="BA40" s="26"/>
      <c r="BB40" s="26"/>
      <c r="BC40" s="26"/>
      <c r="BD40" s="27"/>
    </row>
    <row r="41" spans="1:56" ht="15" customHeight="1">
      <c r="A41" s="28"/>
      <c r="B41" s="28"/>
      <c r="C41" s="28"/>
      <c r="D41" s="28"/>
      <c r="E41" s="28"/>
      <c r="F41" s="29"/>
      <c r="G41" s="28"/>
      <c r="H41" s="29"/>
      <c r="I41" s="28"/>
      <c r="J41" s="29"/>
      <c r="K41" s="28"/>
      <c r="L41" s="29"/>
      <c r="M41" s="28"/>
      <c r="N41" s="29"/>
      <c r="O41" s="28"/>
      <c r="P41" s="29"/>
      <c r="Q41" s="28"/>
      <c r="R41" s="29"/>
      <c r="S41" s="28"/>
      <c r="T41" s="29"/>
      <c r="U41" s="28"/>
      <c r="V41" s="29"/>
      <c r="W41" s="28"/>
      <c r="X41" s="29"/>
      <c r="Y41" s="28"/>
      <c r="Z41" s="29"/>
      <c r="AA41" s="28"/>
      <c r="AB41" s="29"/>
      <c r="AC41" s="28"/>
      <c r="AD41" s="29"/>
      <c r="AE41" s="28"/>
      <c r="AF41" s="29"/>
      <c r="AG41" s="28"/>
      <c r="AH41" s="29"/>
      <c r="AI41" s="28"/>
      <c r="AJ41" s="29"/>
      <c r="AK41" s="28"/>
      <c r="AL41" s="29"/>
      <c r="AM41" s="28"/>
      <c r="AN41" s="29"/>
      <c r="AO41" s="28"/>
      <c r="AP41" s="29"/>
      <c r="AQ41" s="28"/>
      <c r="AR41" s="29"/>
      <c r="AS41" s="25"/>
      <c r="AT41" s="25"/>
      <c r="AU41" s="25"/>
      <c r="AV41" s="26"/>
      <c r="AW41" s="26"/>
      <c r="AX41" s="26"/>
      <c r="AY41" s="26"/>
      <c r="AZ41" s="26"/>
      <c r="BA41" s="26"/>
      <c r="BB41" s="26"/>
      <c r="BC41" s="26"/>
      <c r="BD41" s="27"/>
    </row>
    <row r="42" spans="1:56" ht="15" customHeight="1">
      <c r="A42" s="9"/>
      <c r="B42" s="9"/>
      <c r="C42" s="9"/>
      <c r="D42" s="9"/>
      <c r="E42" s="9"/>
      <c r="F42" s="24"/>
      <c r="G42" s="9"/>
      <c r="H42" s="24"/>
      <c r="I42" s="9"/>
      <c r="J42" s="24"/>
      <c r="K42" s="9"/>
      <c r="L42" s="24"/>
      <c r="M42" s="9"/>
      <c r="N42" s="24"/>
      <c r="O42" s="9"/>
      <c r="P42" s="24"/>
      <c r="Q42" s="9"/>
      <c r="R42" s="24"/>
      <c r="S42" s="9"/>
      <c r="T42" s="24"/>
      <c r="U42" s="9"/>
      <c r="V42" s="24"/>
      <c r="W42" s="9"/>
      <c r="X42" s="24"/>
      <c r="Y42" s="9"/>
      <c r="Z42" s="24"/>
      <c r="AA42" s="9"/>
      <c r="AB42" s="24"/>
      <c r="AC42" s="9"/>
      <c r="AD42" s="24"/>
      <c r="AE42" s="9"/>
      <c r="AF42" s="24"/>
      <c r="AG42" s="9"/>
      <c r="AH42" s="24"/>
      <c r="AI42" s="9"/>
      <c r="AJ42" s="24"/>
      <c r="AK42" s="9"/>
      <c r="AL42" s="24"/>
      <c r="AM42" s="9"/>
      <c r="AN42" s="24"/>
      <c r="AO42" s="9"/>
      <c r="AP42" s="24"/>
      <c r="AQ42" s="9"/>
      <c r="AR42" s="24"/>
      <c r="AS42" s="25"/>
      <c r="AT42" s="25"/>
      <c r="AU42" s="25"/>
      <c r="AV42" s="26"/>
      <c r="AW42" s="26"/>
      <c r="AX42" s="26"/>
      <c r="AY42" s="26"/>
      <c r="AZ42" s="26"/>
      <c r="BA42" s="26"/>
      <c r="BB42" s="26"/>
      <c r="BC42" s="26"/>
      <c r="BD42" s="27"/>
    </row>
    <row r="43" spans="1:56" ht="15" customHeight="1">
      <c r="A43" s="28"/>
      <c r="B43" s="28"/>
      <c r="C43" s="28"/>
      <c r="D43" s="28"/>
      <c r="E43" s="28"/>
      <c r="F43" s="29"/>
      <c r="G43" s="28"/>
      <c r="H43" s="29"/>
      <c r="I43" s="28"/>
      <c r="J43" s="29"/>
      <c r="K43" s="28"/>
      <c r="L43" s="29"/>
      <c r="M43" s="28"/>
      <c r="N43" s="29"/>
      <c r="O43" s="28"/>
      <c r="P43" s="29"/>
      <c r="Q43" s="28"/>
      <c r="R43" s="29"/>
      <c r="S43" s="28"/>
      <c r="T43" s="29"/>
      <c r="U43" s="28"/>
      <c r="V43" s="29"/>
      <c r="W43" s="28"/>
      <c r="X43" s="29"/>
      <c r="Y43" s="28"/>
      <c r="Z43" s="29"/>
      <c r="AA43" s="28"/>
      <c r="AB43" s="29"/>
      <c r="AC43" s="28"/>
      <c r="AD43" s="29"/>
      <c r="AE43" s="28"/>
      <c r="AF43" s="29"/>
      <c r="AG43" s="28"/>
      <c r="AH43" s="29"/>
      <c r="AI43" s="28"/>
      <c r="AJ43" s="29"/>
      <c r="AK43" s="28"/>
      <c r="AL43" s="29"/>
      <c r="AM43" s="28"/>
      <c r="AN43" s="29"/>
      <c r="AO43" s="28"/>
      <c r="AP43" s="29"/>
      <c r="AQ43" s="28"/>
      <c r="AR43" s="29"/>
      <c r="AS43" s="25"/>
      <c r="AT43" s="25"/>
      <c r="AU43" s="25"/>
      <c r="AV43" s="26"/>
      <c r="AW43" s="26"/>
      <c r="AX43" s="26"/>
      <c r="AY43" s="26"/>
      <c r="AZ43" s="26"/>
      <c r="BA43" s="26"/>
      <c r="BB43" s="26"/>
      <c r="BC43" s="26"/>
      <c r="BD43" s="27"/>
    </row>
    <row r="44" spans="1:56" ht="15" customHeight="1">
      <c r="A44" s="9"/>
      <c r="B44" s="9"/>
      <c r="C44" s="9"/>
      <c r="D44" s="9"/>
      <c r="E44" s="9"/>
      <c r="F44" s="24"/>
      <c r="G44" s="9"/>
      <c r="H44" s="24"/>
      <c r="I44" s="9"/>
      <c r="J44" s="24"/>
      <c r="K44" s="9"/>
      <c r="L44" s="24"/>
      <c r="M44" s="9"/>
      <c r="N44" s="24"/>
      <c r="O44" s="9"/>
      <c r="P44" s="24"/>
      <c r="Q44" s="9"/>
      <c r="R44" s="24"/>
      <c r="S44" s="9"/>
      <c r="T44" s="24"/>
      <c r="U44" s="9"/>
      <c r="V44" s="24"/>
      <c r="W44" s="9"/>
      <c r="X44" s="24"/>
      <c r="Y44" s="9"/>
      <c r="Z44" s="24"/>
      <c r="AA44" s="9"/>
      <c r="AB44" s="24"/>
      <c r="AC44" s="9"/>
      <c r="AD44" s="24"/>
      <c r="AE44" s="9"/>
      <c r="AF44" s="24"/>
      <c r="AG44" s="9"/>
      <c r="AH44" s="24"/>
      <c r="AI44" s="9"/>
      <c r="AJ44" s="24"/>
      <c r="AK44" s="9"/>
      <c r="AL44" s="24"/>
      <c r="AM44" s="9"/>
      <c r="AN44" s="24"/>
      <c r="AO44" s="9"/>
      <c r="AP44" s="24"/>
      <c r="AQ44" s="9"/>
      <c r="AR44" s="24"/>
      <c r="AS44" s="25"/>
      <c r="AT44" s="25"/>
      <c r="AU44" s="25"/>
      <c r="AV44" s="26"/>
      <c r="AW44" s="26"/>
      <c r="AX44" s="26"/>
      <c r="AY44" s="26"/>
      <c r="AZ44" s="26"/>
      <c r="BA44" s="26"/>
      <c r="BB44" s="26"/>
      <c r="BC44" s="26"/>
      <c r="BD44" s="27"/>
    </row>
    <row r="45" spans="1:56" ht="15" customHeight="1">
      <c r="A45" s="28"/>
      <c r="B45" s="28"/>
      <c r="C45" s="28"/>
      <c r="D45" s="28"/>
      <c r="E45" s="28"/>
      <c r="F45" s="29"/>
      <c r="G45" s="28"/>
      <c r="H45" s="29"/>
      <c r="I45" s="28"/>
      <c r="J45" s="29"/>
      <c r="K45" s="28"/>
      <c r="L45" s="29"/>
      <c r="M45" s="28"/>
      <c r="N45" s="29"/>
      <c r="O45" s="28"/>
      <c r="P45" s="29"/>
      <c r="Q45" s="28"/>
      <c r="R45" s="29"/>
      <c r="S45" s="28"/>
      <c r="T45" s="29"/>
      <c r="U45" s="28"/>
      <c r="V45" s="29"/>
      <c r="W45" s="28"/>
      <c r="X45" s="29"/>
      <c r="Y45" s="28"/>
      <c r="Z45" s="29"/>
      <c r="AA45" s="28"/>
      <c r="AB45" s="29"/>
      <c r="AC45" s="28"/>
      <c r="AD45" s="29"/>
      <c r="AE45" s="28"/>
      <c r="AF45" s="29"/>
      <c r="AG45" s="28"/>
      <c r="AH45" s="29"/>
      <c r="AI45" s="28"/>
      <c r="AJ45" s="29"/>
      <c r="AK45" s="28"/>
      <c r="AL45" s="29"/>
      <c r="AM45" s="28"/>
      <c r="AN45" s="29"/>
      <c r="AO45" s="28"/>
      <c r="AP45" s="29"/>
      <c r="AQ45" s="28"/>
      <c r="AR45" s="29"/>
      <c r="AS45" s="25"/>
      <c r="AT45" s="25"/>
      <c r="AU45" s="25"/>
      <c r="AV45" s="26"/>
      <c r="AW45" s="26"/>
      <c r="AX45" s="26"/>
      <c r="AY45" s="26"/>
      <c r="AZ45" s="26"/>
      <c r="BA45" s="26"/>
      <c r="BB45" s="26"/>
      <c r="BC45" s="26"/>
      <c r="BD45" s="27"/>
    </row>
    <row r="46" spans="1:56" ht="15" customHeight="1">
      <c r="A46" s="9"/>
      <c r="B46" s="9"/>
      <c r="C46" s="9"/>
      <c r="D46" s="9"/>
      <c r="E46" s="9"/>
      <c r="F46" s="24"/>
      <c r="G46" s="9"/>
      <c r="H46" s="24"/>
      <c r="I46" s="9"/>
      <c r="J46" s="24"/>
      <c r="K46" s="9"/>
      <c r="L46" s="24"/>
      <c r="M46" s="9"/>
      <c r="N46" s="24"/>
      <c r="O46" s="9"/>
      <c r="P46" s="24"/>
      <c r="Q46" s="9"/>
      <c r="R46" s="24"/>
      <c r="S46" s="9"/>
      <c r="T46" s="24"/>
      <c r="U46" s="9"/>
      <c r="V46" s="24"/>
      <c r="W46" s="9"/>
      <c r="X46" s="24"/>
      <c r="Y46" s="9"/>
      <c r="Z46" s="24"/>
      <c r="AA46" s="9"/>
      <c r="AB46" s="24"/>
      <c r="AC46" s="9"/>
      <c r="AD46" s="24"/>
      <c r="AE46" s="9"/>
      <c r="AF46" s="24"/>
      <c r="AG46" s="9"/>
      <c r="AH46" s="24"/>
      <c r="AI46" s="9"/>
      <c r="AJ46" s="24"/>
      <c r="AK46" s="9"/>
      <c r="AL46" s="24"/>
      <c r="AM46" s="9"/>
      <c r="AN46" s="24"/>
      <c r="AO46" s="9"/>
      <c r="AP46" s="24"/>
      <c r="AQ46" s="9"/>
      <c r="AR46" s="24"/>
      <c r="AS46" s="25"/>
      <c r="AT46" s="25"/>
      <c r="AU46" s="25"/>
      <c r="AV46" s="26"/>
      <c r="AW46" s="26"/>
      <c r="AX46" s="26"/>
      <c r="AY46" s="26"/>
      <c r="AZ46" s="26"/>
      <c r="BA46" s="26"/>
      <c r="BB46" s="26"/>
      <c r="BC46" s="26"/>
      <c r="BD46" s="27"/>
    </row>
    <row r="47" spans="1:56" ht="15" customHeight="1">
      <c r="A47" s="28"/>
      <c r="B47" s="28"/>
      <c r="C47" s="28"/>
      <c r="D47" s="28"/>
      <c r="E47" s="28"/>
      <c r="F47" s="29"/>
      <c r="G47" s="28"/>
      <c r="H47" s="29"/>
      <c r="I47" s="28"/>
      <c r="J47" s="29"/>
      <c r="K47" s="28"/>
      <c r="L47" s="29"/>
      <c r="M47" s="28"/>
      <c r="N47" s="29"/>
      <c r="O47" s="28"/>
      <c r="P47" s="29"/>
      <c r="Q47" s="28"/>
      <c r="R47" s="29"/>
      <c r="S47" s="28"/>
      <c r="T47" s="29"/>
      <c r="U47" s="28"/>
      <c r="V47" s="29"/>
      <c r="W47" s="28"/>
      <c r="X47" s="29"/>
      <c r="Y47" s="28"/>
      <c r="Z47" s="29"/>
      <c r="AA47" s="28"/>
      <c r="AB47" s="29"/>
      <c r="AC47" s="28"/>
      <c r="AD47" s="29"/>
      <c r="AE47" s="28"/>
      <c r="AF47" s="29"/>
      <c r="AG47" s="28"/>
      <c r="AH47" s="29"/>
      <c r="AI47" s="28"/>
      <c r="AJ47" s="29"/>
      <c r="AK47" s="28"/>
      <c r="AL47" s="29"/>
      <c r="AM47" s="28"/>
      <c r="AN47" s="29"/>
      <c r="AO47" s="28"/>
      <c r="AP47" s="29"/>
      <c r="AQ47" s="28"/>
      <c r="AR47" s="29"/>
      <c r="AS47" s="25"/>
      <c r="AT47" s="25"/>
      <c r="AU47" s="25"/>
      <c r="AV47" s="26"/>
      <c r="AW47" s="26"/>
      <c r="AX47" s="26"/>
      <c r="AY47" s="26"/>
      <c r="AZ47" s="26"/>
      <c r="BA47" s="26"/>
      <c r="BB47" s="26"/>
      <c r="BC47" s="26"/>
      <c r="BD47" s="27"/>
    </row>
    <row r="48" spans="1:56" ht="15" customHeight="1">
      <c r="A48" s="9"/>
      <c r="B48" s="9"/>
      <c r="C48" s="9"/>
      <c r="D48" s="9"/>
      <c r="E48" s="9"/>
      <c r="F48" s="24"/>
      <c r="G48" s="9"/>
      <c r="H48" s="24"/>
      <c r="I48" s="9"/>
      <c r="J48" s="24"/>
      <c r="K48" s="9"/>
      <c r="L48" s="24"/>
      <c r="M48" s="9"/>
      <c r="N48" s="24"/>
      <c r="O48" s="9"/>
      <c r="P48" s="24"/>
      <c r="Q48" s="9"/>
      <c r="R48" s="24"/>
      <c r="S48" s="9"/>
      <c r="T48" s="24"/>
      <c r="U48" s="9"/>
      <c r="V48" s="24"/>
      <c r="W48" s="9"/>
      <c r="X48" s="24"/>
      <c r="Y48" s="9"/>
      <c r="Z48" s="24"/>
      <c r="AA48" s="9"/>
      <c r="AB48" s="24"/>
      <c r="AC48" s="9"/>
      <c r="AD48" s="24"/>
      <c r="AE48" s="9"/>
      <c r="AF48" s="24"/>
      <c r="AG48" s="9"/>
      <c r="AH48" s="24"/>
      <c r="AI48" s="9"/>
      <c r="AJ48" s="24"/>
      <c r="AK48" s="9"/>
      <c r="AL48" s="24"/>
      <c r="AM48" s="9"/>
      <c r="AN48" s="24"/>
      <c r="AO48" s="9"/>
      <c r="AP48" s="24"/>
      <c r="AQ48" s="9"/>
      <c r="AR48" s="24"/>
      <c r="AS48" s="25"/>
      <c r="AT48" s="25"/>
      <c r="AU48" s="25"/>
      <c r="AV48" s="26"/>
      <c r="AW48" s="26"/>
      <c r="AX48" s="26"/>
      <c r="AY48" s="26"/>
      <c r="AZ48" s="26"/>
      <c r="BA48" s="26"/>
      <c r="BB48" s="26"/>
      <c r="BC48" s="26"/>
      <c r="BD48" s="27"/>
    </row>
    <row r="49" spans="1:56" ht="15" customHeight="1">
      <c r="A49" s="28"/>
      <c r="B49" s="28"/>
      <c r="C49" s="28"/>
      <c r="D49" s="28"/>
      <c r="E49" s="28"/>
      <c r="F49" s="29"/>
      <c r="G49" s="28"/>
      <c r="H49" s="29"/>
      <c r="I49" s="28"/>
      <c r="J49" s="29"/>
      <c r="K49" s="28"/>
      <c r="L49" s="29"/>
      <c r="M49" s="28"/>
      <c r="N49" s="29"/>
      <c r="O49" s="28"/>
      <c r="P49" s="29"/>
      <c r="Q49" s="28"/>
      <c r="R49" s="29"/>
      <c r="S49" s="28"/>
      <c r="T49" s="29"/>
      <c r="U49" s="28"/>
      <c r="V49" s="29"/>
      <c r="W49" s="28"/>
      <c r="X49" s="29"/>
      <c r="Y49" s="28"/>
      <c r="Z49" s="29"/>
      <c r="AA49" s="28"/>
      <c r="AB49" s="29"/>
      <c r="AC49" s="28"/>
      <c r="AD49" s="29"/>
      <c r="AE49" s="28"/>
      <c r="AF49" s="29"/>
      <c r="AG49" s="28"/>
      <c r="AH49" s="29"/>
      <c r="AI49" s="28"/>
      <c r="AJ49" s="29"/>
      <c r="AK49" s="28"/>
      <c r="AL49" s="29"/>
      <c r="AM49" s="28"/>
      <c r="AN49" s="29"/>
      <c r="AO49" s="28"/>
      <c r="AP49" s="29"/>
      <c r="AQ49" s="28"/>
      <c r="AR49" s="29"/>
      <c r="AS49" s="25"/>
      <c r="AT49" s="25"/>
      <c r="AU49" s="25"/>
      <c r="AV49" s="26"/>
      <c r="AW49" s="26"/>
      <c r="AX49" s="26"/>
      <c r="AY49" s="26"/>
      <c r="AZ49" s="26"/>
      <c r="BA49" s="26"/>
      <c r="BB49" s="26"/>
      <c r="BC49" s="26"/>
      <c r="BD49" s="27"/>
    </row>
    <row r="50" spans="1:56" ht="15" customHeight="1">
      <c r="A50" s="9"/>
      <c r="B50" s="9"/>
      <c r="C50" s="9"/>
      <c r="D50" s="9"/>
      <c r="E50" s="9"/>
      <c r="F50" s="24"/>
      <c r="G50" s="9"/>
      <c r="H50" s="24"/>
      <c r="I50" s="9"/>
      <c r="J50" s="24"/>
      <c r="K50" s="9"/>
      <c r="L50" s="24"/>
      <c r="M50" s="9"/>
      <c r="N50" s="24"/>
      <c r="O50" s="9"/>
      <c r="P50" s="24"/>
      <c r="Q50" s="9"/>
      <c r="R50" s="24"/>
      <c r="S50" s="9"/>
      <c r="T50" s="24"/>
      <c r="U50" s="9"/>
      <c r="V50" s="24"/>
      <c r="W50" s="9"/>
      <c r="X50" s="24"/>
      <c r="Y50" s="9"/>
      <c r="Z50" s="24"/>
      <c r="AA50" s="9"/>
      <c r="AB50" s="24"/>
      <c r="AC50" s="9"/>
      <c r="AD50" s="24"/>
      <c r="AE50" s="9"/>
      <c r="AF50" s="24"/>
      <c r="AG50" s="9"/>
      <c r="AH50" s="24"/>
      <c r="AI50" s="9"/>
      <c r="AJ50" s="24"/>
      <c r="AK50" s="9"/>
      <c r="AL50" s="24"/>
      <c r="AM50" s="9"/>
      <c r="AN50" s="24"/>
      <c r="AO50" s="9"/>
      <c r="AP50" s="24"/>
      <c r="AQ50" s="9"/>
      <c r="AR50" s="24"/>
      <c r="AS50" s="25"/>
      <c r="AT50" s="25"/>
      <c r="AU50" s="25"/>
      <c r="AV50" s="26"/>
      <c r="AW50" s="26"/>
      <c r="AX50" s="26"/>
      <c r="AY50" s="26"/>
      <c r="AZ50" s="26"/>
      <c r="BA50" s="26"/>
      <c r="BB50" s="26"/>
      <c r="BC50" s="26"/>
      <c r="BD50" s="27"/>
    </row>
    <row r="51" spans="1:56" ht="15" customHeight="1">
      <c r="A51" s="28"/>
      <c r="B51" s="28"/>
      <c r="C51" s="28"/>
      <c r="D51" s="28"/>
      <c r="E51" s="28"/>
      <c r="F51" s="29"/>
      <c r="G51" s="28"/>
      <c r="H51" s="29"/>
      <c r="I51" s="28"/>
      <c r="J51" s="29"/>
      <c r="K51" s="28"/>
      <c r="L51" s="29"/>
      <c r="M51" s="28"/>
      <c r="N51" s="29"/>
      <c r="O51" s="28"/>
      <c r="P51" s="29"/>
      <c r="Q51" s="28"/>
      <c r="R51" s="29"/>
      <c r="S51" s="28"/>
      <c r="T51" s="29"/>
      <c r="U51" s="28"/>
      <c r="V51" s="29"/>
      <c r="W51" s="28"/>
      <c r="X51" s="29"/>
      <c r="Y51" s="28"/>
      <c r="Z51" s="29"/>
      <c r="AA51" s="28"/>
      <c r="AB51" s="29"/>
      <c r="AC51" s="28"/>
      <c r="AD51" s="29"/>
      <c r="AE51" s="28"/>
      <c r="AF51" s="29"/>
      <c r="AG51" s="28"/>
      <c r="AH51" s="29"/>
      <c r="AI51" s="28"/>
      <c r="AJ51" s="29"/>
      <c r="AK51" s="28"/>
      <c r="AL51" s="29"/>
      <c r="AM51" s="28"/>
      <c r="AN51" s="29"/>
      <c r="AO51" s="28"/>
      <c r="AP51" s="29"/>
      <c r="AQ51" s="28"/>
      <c r="AR51" s="29"/>
      <c r="AS51" s="25"/>
      <c r="AT51" s="25"/>
      <c r="AU51" s="25"/>
      <c r="AV51" s="26"/>
      <c r="AW51" s="26"/>
      <c r="AX51" s="26"/>
      <c r="AY51" s="26"/>
      <c r="AZ51" s="26"/>
      <c r="BA51" s="26"/>
      <c r="BB51" s="26"/>
      <c r="BC51" s="26"/>
      <c r="BD51" s="27"/>
    </row>
    <row r="52" spans="1:56" ht="15" customHeight="1">
      <c r="A52" s="9"/>
      <c r="B52" s="9"/>
      <c r="C52" s="9"/>
      <c r="D52" s="9"/>
      <c r="E52" s="9"/>
      <c r="F52" s="24"/>
      <c r="G52" s="9"/>
      <c r="H52" s="24"/>
      <c r="I52" s="9"/>
      <c r="J52" s="24"/>
      <c r="K52" s="9"/>
      <c r="L52" s="24"/>
      <c r="M52" s="9"/>
      <c r="N52" s="24"/>
      <c r="O52" s="9"/>
      <c r="P52" s="24"/>
      <c r="Q52" s="9"/>
      <c r="R52" s="24"/>
      <c r="S52" s="9"/>
      <c r="T52" s="24"/>
      <c r="U52" s="9"/>
      <c r="V52" s="24"/>
      <c r="W52" s="9"/>
      <c r="X52" s="24"/>
      <c r="Y52" s="9"/>
      <c r="Z52" s="24"/>
      <c r="AA52" s="9"/>
      <c r="AB52" s="24"/>
      <c r="AC52" s="9"/>
      <c r="AD52" s="24"/>
      <c r="AE52" s="9"/>
      <c r="AF52" s="24"/>
      <c r="AG52" s="9"/>
      <c r="AH52" s="24"/>
      <c r="AI52" s="9"/>
      <c r="AJ52" s="24"/>
      <c r="AK52" s="9"/>
      <c r="AL52" s="24"/>
      <c r="AM52" s="9"/>
      <c r="AN52" s="24"/>
      <c r="AO52" s="9"/>
      <c r="AP52" s="24"/>
      <c r="AQ52" s="9"/>
      <c r="AR52" s="24"/>
      <c r="AS52" s="25"/>
      <c r="AT52" s="25"/>
      <c r="AU52" s="25"/>
      <c r="AV52" s="26"/>
      <c r="AW52" s="26"/>
      <c r="AX52" s="26"/>
      <c r="AY52" s="26"/>
      <c r="AZ52" s="26"/>
      <c r="BA52" s="26"/>
      <c r="BB52" s="26"/>
      <c r="BC52" s="26"/>
      <c r="BD52" s="27"/>
    </row>
    <row r="53" spans="1:56" ht="15" customHeight="1">
      <c r="A53" s="28"/>
      <c r="B53" s="28"/>
      <c r="C53" s="28"/>
      <c r="D53" s="28"/>
      <c r="E53" s="28"/>
      <c r="F53" s="29"/>
      <c r="G53" s="28"/>
      <c r="H53" s="29"/>
      <c r="I53" s="28"/>
      <c r="J53" s="29"/>
      <c r="K53" s="28"/>
      <c r="L53" s="29"/>
      <c r="M53" s="28"/>
      <c r="N53" s="29"/>
      <c r="O53" s="28"/>
      <c r="P53" s="29"/>
      <c r="Q53" s="28"/>
      <c r="R53" s="29"/>
      <c r="S53" s="28"/>
      <c r="T53" s="29"/>
      <c r="U53" s="28"/>
      <c r="V53" s="29"/>
      <c r="W53" s="28"/>
      <c r="X53" s="29"/>
      <c r="Y53" s="28"/>
      <c r="Z53" s="29"/>
      <c r="AA53" s="28"/>
      <c r="AB53" s="29"/>
      <c r="AC53" s="28"/>
      <c r="AD53" s="29"/>
      <c r="AE53" s="28"/>
      <c r="AF53" s="29"/>
      <c r="AG53" s="28"/>
      <c r="AH53" s="29"/>
      <c r="AI53" s="28"/>
      <c r="AJ53" s="29"/>
      <c r="AK53" s="28"/>
      <c r="AL53" s="29"/>
      <c r="AM53" s="28"/>
      <c r="AN53" s="29"/>
      <c r="AO53" s="28"/>
      <c r="AP53" s="29"/>
      <c r="AQ53" s="28"/>
      <c r="AR53" s="29"/>
      <c r="AS53" s="25"/>
      <c r="AT53" s="25"/>
      <c r="AU53" s="25"/>
      <c r="AV53" s="26"/>
      <c r="AW53" s="26"/>
      <c r="AX53" s="26"/>
      <c r="AY53" s="26"/>
      <c r="AZ53" s="26"/>
      <c r="BA53" s="26"/>
      <c r="BB53" s="26"/>
      <c r="BC53" s="26"/>
      <c r="BD53" s="27"/>
    </row>
    <row r="54" spans="1:56" ht="15" customHeight="1">
      <c r="A54" s="9"/>
      <c r="B54" s="9"/>
      <c r="C54" s="9"/>
      <c r="D54" s="9"/>
      <c r="E54" s="9"/>
      <c r="F54" s="24"/>
      <c r="G54" s="9"/>
      <c r="H54" s="24"/>
      <c r="I54" s="9"/>
      <c r="J54" s="24"/>
      <c r="K54" s="9"/>
      <c r="L54" s="24"/>
      <c r="M54" s="9"/>
      <c r="N54" s="24"/>
      <c r="O54" s="9"/>
      <c r="P54" s="24"/>
      <c r="Q54" s="9"/>
      <c r="R54" s="24"/>
      <c r="S54" s="9"/>
      <c r="T54" s="24"/>
      <c r="U54" s="9"/>
      <c r="V54" s="24"/>
      <c r="W54" s="9"/>
      <c r="X54" s="24"/>
      <c r="Y54" s="9"/>
      <c r="Z54" s="24"/>
      <c r="AA54" s="9"/>
      <c r="AB54" s="24"/>
      <c r="AC54" s="9"/>
      <c r="AD54" s="24"/>
      <c r="AE54" s="9"/>
      <c r="AF54" s="24"/>
      <c r="AG54" s="9"/>
      <c r="AH54" s="24"/>
      <c r="AI54" s="9"/>
      <c r="AJ54" s="24"/>
      <c r="AK54" s="9"/>
      <c r="AL54" s="24"/>
      <c r="AM54" s="9"/>
      <c r="AN54" s="24"/>
      <c r="AO54" s="9"/>
      <c r="AP54" s="24"/>
      <c r="AQ54" s="9"/>
      <c r="AR54" s="24"/>
      <c r="AS54" s="25"/>
      <c r="AT54" s="25"/>
      <c r="AU54" s="25"/>
      <c r="AV54" s="26"/>
      <c r="AW54" s="26"/>
      <c r="AX54" s="26"/>
      <c r="AY54" s="26"/>
      <c r="AZ54" s="26"/>
      <c r="BA54" s="26"/>
      <c r="BB54" s="26"/>
      <c r="BC54" s="26"/>
      <c r="BD54" s="27"/>
    </row>
    <row r="55" spans="1:56" ht="15" customHeight="1">
      <c r="A55" s="28"/>
      <c r="B55" s="28"/>
      <c r="C55" s="28"/>
      <c r="D55" s="28"/>
      <c r="E55" s="28"/>
      <c r="F55" s="29"/>
      <c r="G55" s="28"/>
      <c r="H55" s="29"/>
      <c r="I55" s="28"/>
      <c r="J55" s="29"/>
      <c r="K55" s="28"/>
      <c r="L55" s="29"/>
      <c r="M55" s="28"/>
      <c r="N55" s="29"/>
      <c r="O55" s="28"/>
      <c r="P55" s="29"/>
      <c r="Q55" s="28"/>
      <c r="R55" s="29"/>
      <c r="S55" s="28"/>
      <c r="T55" s="29"/>
      <c r="U55" s="28"/>
      <c r="V55" s="29"/>
      <c r="W55" s="28"/>
      <c r="X55" s="29"/>
      <c r="Y55" s="28"/>
      <c r="Z55" s="29"/>
      <c r="AA55" s="28"/>
      <c r="AB55" s="29"/>
      <c r="AC55" s="28"/>
      <c r="AD55" s="29"/>
      <c r="AE55" s="28"/>
      <c r="AF55" s="29"/>
      <c r="AG55" s="28"/>
      <c r="AH55" s="29"/>
      <c r="AI55" s="28"/>
      <c r="AJ55" s="29"/>
      <c r="AK55" s="28"/>
      <c r="AL55" s="29"/>
      <c r="AM55" s="28"/>
      <c r="AN55" s="29"/>
      <c r="AO55" s="28"/>
      <c r="AP55" s="29"/>
      <c r="AQ55" s="28"/>
      <c r="AR55" s="29"/>
      <c r="AS55" s="25"/>
      <c r="AT55" s="25"/>
      <c r="AU55" s="25"/>
      <c r="AV55" s="26"/>
      <c r="AW55" s="26"/>
      <c r="AX55" s="26"/>
      <c r="AY55" s="26"/>
      <c r="AZ55" s="26"/>
      <c r="BA55" s="26"/>
      <c r="BB55" s="26"/>
      <c r="BC55" s="26"/>
      <c r="BD55" s="27"/>
    </row>
    <row r="56" spans="1:56" ht="15" customHeight="1">
      <c r="A56" s="9"/>
      <c r="B56" s="9"/>
      <c r="C56" s="9"/>
      <c r="D56" s="9"/>
      <c r="E56" s="9"/>
      <c r="F56" s="24"/>
      <c r="G56" s="9"/>
      <c r="H56" s="24"/>
      <c r="I56" s="9"/>
      <c r="J56" s="24"/>
      <c r="K56" s="9"/>
      <c r="L56" s="24"/>
      <c r="M56" s="9"/>
      <c r="N56" s="24"/>
      <c r="O56" s="9"/>
      <c r="P56" s="24"/>
      <c r="Q56" s="9"/>
      <c r="R56" s="24"/>
      <c r="S56" s="9"/>
      <c r="T56" s="24"/>
      <c r="U56" s="9"/>
      <c r="V56" s="24"/>
      <c r="W56" s="9"/>
      <c r="X56" s="24"/>
      <c r="Y56" s="9"/>
      <c r="Z56" s="24"/>
      <c r="AA56" s="9"/>
      <c r="AB56" s="24"/>
      <c r="AC56" s="9"/>
      <c r="AD56" s="24"/>
      <c r="AE56" s="9"/>
      <c r="AF56" s="24"/>
      <c r="AG56" s="9"/>
      <c r="AH56" s="24"/>
      <c r="AI56" s="9"/>
      <c r="AJ56" s="24"/>
      <c r="AK56" s="9"/>
      <c r="AL56" s="24"/>
      <c r="AM56" s="9"/>
      <c r="AN56" s="24"/>
      <c r="AO56" s="9"/>
      <c r="AP56" s="24"/>
      <c r="AQ56" s="9"/>
      <c r="AR56" s="24"/>
      <c r="AS56" s="25"/>
      <c r="AT56" s="25"/>
      <c r="AU56" s="25"/>
      <c r="AV56" s="26"/>
      <c r="AW56" s="26"/>
      <c r="AX56" s="26"/>
      <c r="AY56" s="26"/>
      <c r="AZ56" s="26"/>
      <c r="BA56" s="26"/>
      <c r="BB56" s="26"/>
      <c r="BC56" s="26"/>
      <c r="BD56" s="27"/>
    </row>
    <row r="57" spans="1:56" ht="15" customHeight="1">
      <c r="A57" s="28"/>
      <c r="B57" s="28"/>
      <c r="C57" s="28"/>
      <c r="D57" s="28"/>
      <c r="E57" s="28"/>
      <c r="F57" s="29"/>
      <c r="G57" s="28"/>
      <c r="H57" s="29"/>
      <c r="I57" s="28"/>
      <c r="J57" s="29"/>
      <c r="K57" s="28"/>
      <c r="L57" s="29"/>
      <c r="M57" s="28"/>
      <c r="N57" s="29"/>
      <c r="O57" s="28"/>
      <c r="P57" s="29"/>
      <c r="Q57" s="28"/>
      <c r="R57" s="29"/>
      <c r="S57" s="28"/>
      <c r="T57" s="29"/>
      <c r="U57" s="28"/>
      <c r="V57" s="29"/>
      <c r="W57" s="28"/>
      <c r="X57" s="29"/>
      <c r="Y57" s="28"/>
      <c r="Z57" s="29"/>
      <c r="AA57" s="28"/>
      <c r="AB57" s="29"/>
      <c r="AC57" s="28"/>
      <c r="AD57" s="29"/>
      <c r="AE57" s="28"/>
      <c r="AF57" s="29"/>
      <c r="AG57" s="28"/>
      <c r="AH57" s="29"/>
      <c r="AI57" s="28"/>
      <c r="AJ57" s="29"/>
      <c r="AK57" s="28"/>
      <c r="AL57" s="29"/>
      <c r="AM57" s="28"/>
      <c r="AN57" s="29"/>
      <c r="AO57" s="28"/>
      <c r="AP57" s="29"/>
      <c r="AQ57" s="28"/>
      <c r="AR57" s="29"/>
      <c r="AS57" s="25"/>
      <c r="AT57" s="25"/>
      <c r="AU57" s="25"/>
      <c r="AV57" s="26"/>
      <c r="AW57" s="26"/>
      <c r="AX57" s="26"/>
      <c r="AY57" s="26"/>
      <c r="AZ57" s="26"/>
      <c r="BA57" s="26"/>
      <c r="BB57" s="26"/>
      <c r="BC57" s="26"/>
      <c r="BD57" s="27"/>
    </row>
    <row r="58" spans="1:56" ht="15" customHeight="1">
      <c r="A58" s="9"/>
      <c r="B58" s="9"/>
      <c r="C58" s="9"/>
      <c r="D58" s="9"/>
      <c r="E58" s="9"/>
      <c r="F58" s="24"/>
      <c r="G58" s="9"/>
      <c r="H58" s="24"/>
      <c r="I58" s="9"/>
      <c r="J58" s="24"/>
      <c r="K58" s="9"/>
      <c r="L58" s="24"/>
      <c r="M58" s="9"/>
      <c r="N58" s="24"/>
      <c r="O58" s="9"/>
      <c r="P58" s="24"/>
      <c r="Q58" s="9"/>
      <c r="R58" s="24"/>
      <c r="S58" s="9"/>
      <c r="T58" s="24"/>
      <c r="U58" s="9"/>
      <c r="V58" s="24"/>
      <c r="W58" s="9"/>
      <c r="X58" s="24"/>
      <c r="Y58" s="9"/>
      <c r="Z58" s="24"/>
      <c r="AA58" s="9"/>
      <c r="AB58" s="24"/>
      <c r="AC58" s="9"/>
      <c r="AD58" s="24"/>
      <c r="AE58" s="9"/>
      <c r="AF58" s="24"/>
      <c r="AG58" s="9"/>
      <c r="AH58" s="24"/>
      <c r="AI58" s="9"/>
      <c r="AJ58" s="24"/>
      <c r="AK58" s="9"/>
      <c r="AL58" s="24"/>
      <c r="AM58" s="9"/>
      <c r="AN58" s="24"/>
      <c r="AO58" s="9"/>
      <c r="AP58" s="24"/>
      <c r="AQ58" s="9"/>
      <c r="AR58" s="24"/>
      <c r="AS58" s="25"/>
      <c r="AT58" s="25"/>
      <c r="AU58" s="25"/>
      <c r="AV58" s="26"/>
      <c r="AW58" s="26"/>
      <c r="AX58" s="26"/>
      <c r="AY58" s="26"/>
      <c r="AZ58" s="26"/>
      <c r="BA58" s="26"/>
      <c r="BB58" s="26"/>
      <c r="BC58" s="26"/>
      <c r="BD58" s="27"/>
    </row>
    <row r="59" spans="1:56" ht="15" customHeight="1">
      <c r="A59" s="28"/>
      <c r="B59" s="28"/>
      <c r="C59" s="28"/>
      <c r="D59" s="28"/>
      <c r="E59" s="28"/>
      <c r="F59" s="29"/>
      <c r="G59" s="28"/>
      <c r="H59" s="29"/>
      <c r="I59" s="28"/>
      <c r="J59" s="29"/>
      <c r="K59" s="28"/>
      <c r="L59" s="29"/>
      <c r="M59" s="28"/>
      <c r="N59" s="29"/>
      <c r="O59" s="28"/>
      <c r="P59" s="29"/>
      <c r="Q59" s="28"/>
      <c r="R59" s="29"/>
      <c r="S59" s="28"/>
      <c r="T59" s="29"/>
      <c r="U59" s="28"/>
      <c r="V59" s="29"/>
      <c r="W59" s="28"/>
      <c r="X59" s="29"/>
      <c r="Y59" s="28"/>
      <c r="Z59" s="29"/>
      <c r="AA59" s="28"/>
      <c r="AB59" s="29"/>
      <c r="AC59" s="28"/>
      <c r="AD59" s="29"/>
      <c r="AE59" s="28"/>
      <c r="AF59" s="29"/>
      <c r="AG59" s="28"/>
      <c r="AH59" s="29"/>
      <c r="AI59" s="28"/>
      <c r="AJ59" s="29"/>
      <c r="AK59" s="28"/>
      <c r="AL59" s="29"/>
      <c r="AM59" s="28"/>
      <c r="AN59" s="29"/>
      <c r="AO59" s="28"/>
      <c r="AP59" s="29"/>
      <c r="AQ59" s="28"/>
      <c r="AR59" s="29"/>
      <c r="AS59" s="25"/>
      <c r="AT59" s="25"/>
      <c r="AU59" s="25"/>
      <c r="AV59" s="26"/>
      <c r="AW59" s="26"/>
      <c r="AX59" s="26"/>
      <c r="AY59" s="26"/>
      <c r="AZ59" s="26"/>
      <c r="BA59" s="26"/>
      <c r="BB59" s="26"/>
      <c r="BC59" s="26"/>
      <c r="BD59" s="27"/>
    </row>
    <row r="60" spans="1:56" ht="15" customHeight="1">
      <c r="A60" s="9"/>
      <c r="B60" s="9"/>
      <c r="C60" s="9"/>
      <c r="D60" s="9"/>
      <c r="E60" s="9"/>
      <c r="F60" s="24"/>
      <c r="G60" s="9"/>
      <c r="H60" s="24"/>
      <c r="I60" s="9"/>
      <c r="J60" s="24"/>
      <c r="K60" s="9"/>
      <c r="L60" s="24"/>
      <c r="M60" s="9"/>
      <c r="N60" s="24"/>
      <c r="O60" s="9"/>
      <c r="P60" s="24"/>
      <c r="Q60" s="9"/>
      <c r="R60" s="24"/>
      <c r="S60" s="9"/>
      <c r="T60" s="24"/>
      <c r="U60" s="9"/>
      <c r="V60" s="24"/>
      <c r="W60" s="9"/>
      <c r="X60" s="24"/>
      <c r="Y60" s="9"/>
      <c r="Z60" s="24"/>
      <c r="AA60" s="9"/>
      <c r="AB60" s="24"/>
      <c r="AC60" s="9"/>
      <c r="AD60" s="24"/>
      <c r="AE60" s="9"/>
      <c r="AF60" s="24"/>
      <c r="AG60" s="9"/>
      <c r="AH60" s="24"/>
      <c r="AI60" s="9"/>
      <c r="AJ60" s="24"/>
      <c r="AK60" s="9"/>
      <c r="AL60" s="24"/>
      <c r="AM60" s="9"/>
      <c r="AN60" s="24"/>
      <c r="AO60" s="9"/>
      <c r="AP60" s="24"/>
      <c r="AQ60" s="9"/>
      <c r="AR60" s="24"/>
      <c r="AS60" s="25"/>
      <c r="AT60" s="25"/>
      <c r="AU60" s="25"/>
      <c r="AV60" s="26"/>
      <c r="AW60" s="26"/>
      <c r="AX60" s="26"/>
      <c r="AY60" s="26"/>
      <c r="AZ60" s="26"/>
      <c r="BA60" s="26"/>
      <c r="BB60" s="26"/>
      <c r="BC60" s="26"/>
      <c r="BD60" s="27"/>
    </row>
    <row r="61" spans="1:56" ht="15" customHeight="1">
      <c r="A61" s="28"/>
      <c r="B61" s="28"/>
      <c r="C61" s="28"/>
      <c r="D61" s="28"/>
      <c r="E61" s="28"/>
      <c r="F61" s="29"/>
      <c r="G61" s="28"/>
      <c r="H61" s="29"/>
      <c r="I61" s="28"/>
      <c r="J61" s="29"/>
      <c r="K61" s="28"/>
      <c r="L61" s="29"/>
      <c r="M61" s="28"/>
      <c r="N61" s="29"/>
      <c r="O61" s="28"/>
      <c r="P61" s="29"/>
      <c r="Q61" s="28"/>
      <c r="R61" s="29"/>
      <c r="S61" s="28"/>
      <c r="T61" s="29"/>
      <c r="U61" s="28"/>
      <c r="V61" s="29"/>
      <c r="W61" s="28"/>
      <c r="X61" s="29"/>
      <c r="Y61" s="28"/>
      <c r="Z61" s="29"/>
      <c r="AA61" s="28"/>
      <c r="AB61" s="29"/>
      <c r="AC61" s="28"/>
      <c r="AD61" s="29"/>
      <c r="AE61" s="28"/>
      <c r="AF61" s="29"/>
      <c r="AG61" s="28"/>
      <c r="AH61" s="29"/>
      <c r="AI61" s="28"/>
      <c r="AJ61" s="29"/>
      <c r="AK61" s="28"/>
      <c r="AL61" s="29"/>
      <c r="AM61" s="28"/>
      <c r="AN61" s="29"/>
      <c r="AO61" s="28"/>
      <c r="AP61" s="29"/>
      <c r="AQ61" s="28"/>
      <c r="AR61" s="29"/>
      <c r="AS61" s="25"/>
      <c r="AT61" s="25"/>
      <c r="AU61" s="25"/>
      <c r="AV61" s="26"/>
      <c r="AW61" s="26"/>
      <c r="AX61" s="26"/>
      <c r="AY61" s="26"/>
      <c r="AZ61" s="26"/>
      <c r="BA61" s="26"/>
      <c r="BB61" s="26"/>
      <c r="BC61" s="26"/>
      <c r="BD61" s="27"/>
    </row>
    <row r="62" spans="1:56" ht="15" customHeight="1">
      <c r="A62" s="9"/>
      <c r="B62" s="9"/>
      <c r="C62" s="9"/>
      <c r="D62" s="9"/>
      <c r="E62" s="9"/>
      <c r="F62" s="24"/>
      <c r="G62" s="9"/>
      <c r="H62" s="24"/>
      <c r="I62" s="9"/>
      <c r="J62" s="24"/>
      <c r="K62" s="9"/>
      <c r="L62" s="24"/>
      <c r="M62" s="9"/>
      <c r="N62" s="24"/>
      <c r="O62" s="9"/>
      <c r="P62" s="24"/>
      <c r="Q62" s="9"/>
      <c r="R62" s="24"/>
      <c r="S62" s="9"/>
      <c r="T62" s="24"/>
      <c r="U62" s="9"/>
      <c r="V62" s="24"/>
      <c r="W62" s="9"/>
      <c r="X62" s="24"/>
      <c r="Y62" s="9"/>
      <c r="Z62" s="24"/>
      <c r="AA62" s="9"/>
      <c r="AB62" s="24"/>
      <c r="AC62" s="9"/>
      <c r="AD62" s="24"/>
      <c r="AE62" s="9"/>
      <c r="AF62" s="24"/>
      <c r="AG62" s="9"/>
      <c r="AH62" s="24"/>
      <c r="AI62" s="9"/>
      <c r="AJ62" s="24"/>
      <c r="AK62" s="9"/>
      <c r="AL62" s="24"/>
      <c r="AM62" s="9"/>
      <c r="AN62" s="24"/>
      <c r="AO62" s="9"/>
      <c r="AP62" s="24"/>
      <c r="AQ62" s="9"/>
      <c r="AR62" s="24"/>
      <c r="AS62" s="25"/>
      <c r="AT62" s="25"/>
      <c r="AU62" s="25"/>
      <c r="AV62" s="26"/>
      <c r="AW62" s="26"/>
      <c r="AX62" s="26"/>
      <c r="AY62" s="26"/>
      <c r="AZ62" s="26"/>
      <c r="BA62" s="26"/>
      <c r="BB62" s="26"/>
      <c r="BC62" s="26"/>
      <c r="BD62" s="27"/>
    </row>
    <row r="63" spans="1:56" ht="15" customHeight="1">
      <c r="A63" s="28"/>
      <c r="B63" s="28"/>
      <c r="C63" s="28"/>
      <c r="D63" s="28"/>
      <c r="E63" s="28"/>
      <c r="F63" s="29"/>
      <c r="G63" s="28"/>
      <c r="H63" s="29"/>
      <c r="I63" s="28"/>
      <c r="J63" s="29"/>
      <c r="K63" s="28"/>
      <c r="L63" s="29"/>
      <c r="M63" s="28"/>
      <c r="N63" s="29"/>
      <c r="O63" s="28"/>
      <c r="P63" s="29"/>
      <c r="Q63" s="28"/>
      <c r="R63" s="29"/>
      <c r="S63" s="28"/>
      <c r="T63" s="29"/>
      <c r="U63" s="28"/>
      <c r="V63" s="29"/>
      <c r="W63" s="28"/>
      <c r="X63" s="29"/>
      <c r="Y63" s="28"/>
      <c r="Z63" s="29"/>
      <c r="AA63" s="28"/>
      <c r="AB63" s="29"/>
      <c r="AC63" s="28"/>
      <c r="AD63" s="29"/>
      <c r="AE63" s="28"/>
      <c r="AF63" s="29"/>
      <c r="AG63" s="28"/>
      <c r="AH63" s="29"/>
      <c r="AI63" s="28"/>
      <c r="AJ63" s="29"/>
      <c r="AK63" s="28"/>
      <c r="AL63" s="29"/>
      <c r="AM63" s="28"/>
      <c r="AN63" s="29"/>
      <c r="AO63" s="28"/>
      <c r="AP63" s="29"/>
      <c r="AQ63" s="28"/>
      <c r="AR63" s="29"/>
      <c r="AS63" s="25"/>
      <c r="AT63" s="25"/>
      <c r="AU63" s="25"/>
      <c r="AV63" s="26"/>
      <c r="AW63" s="26"/>
      <c r="AX63" s="26"/>
      <c r="AY63" s="26"/>
      <c r="AZ63" s="26"/>
      <c r="BA63" s="26"/>
      <c r="BB63" s="26"/>
      <c r="BC63" s="26"/>
      <c r="BD63" s="27"/>
    </row>
    <row r="64" spans="1:56" ht="15" customHeight="1">
      <c r="A64" s="9"/>
      <c r="B64" s="9"/>
      <c r="C64" s="9"/>
      <c r="D64" s="9"/>
      <c r="E64" s="9"/>
      <c r="F64" s="24"/>
      <c r="G64" s="9"/>
      <c r="H64" s="24"/>
      <c r="I64" s="9"/>
      <c r="J64" s="24"/>
      <c r="K64" s="9"/>
      <c r="L64" s="24"/>
      <c r="M64" s="9"/>
      <c r="N64" s="24"/>
      <c r="O64" s="9"/>
      <c r="P64" s="24"/>
      <c r="Q64" s="9"/>
      <c r="R64" s="24"/>
      <c r="S64" s="9"/>
      <c r="T64" s="24"/>
      <c r="U64" s="9"/>
      <c r="V64" s="24"/>
      <c r="W64" s="9"/>
      <c r="X64" s="24"/>
      <c r="Y64" s="9"/>
      <c r="Z64" s="24"/>
      <c r="AA64" s="9"/>
      <c r="AB64" s="24"/>
      <c r="AC64" s="9"/>
      <c r="AD64" s="24"/>
      <c r="AE64" s="9"/>
      <c r="AF64" s="24"/>
      <c r="AG64" s="9"/>
      <c r="AH64" s="24"/>
      <c r="AI64" s="9"/>
      <c r="AJ64" s="24"/>
      <c r="AK64" s="9"/>
      <c r="AL64" s="24"/>
      <c r="AM64" s="9"/>
      <c r="AN64" s="24"/>
      <c r="AO64" s="9"/>
      <c r="AP64" s="24"/>
      <c r="AQ64" s="9"/>
      <c r="AR64" s="24"/>
      <c r="AS64" s="25"/>
      <c r="AT64" s="25"/>
      <c r="AU64" s="25"/>
      <c r="AV64" s="26"/>
      <c r="AW64" s="26"/>
      <c r="AX64" s="26"/>
      <c r="AY64" s="26"/>
      <c r="AZ64" s="26"/>
      <c r="BA64" s="26"/>
      <c r="BB64" s="26"/>
      <c r="BC64" s="26"/>
      <c r="BD64" s="27"/>
    </row>
    <row r="65" spans="1:56" ht="15" customHeight="1">
      <c r="A65" s="28"/>
      <c r="B65" s="28"/>
      <c r="C65" s="28"/>
      <c r="D65" s="28"/>
      <c r="E65" s="28"/>
      <c r="F65" s="29"/>
      <c r="G65" s="28"/>
      <c r="H65" s="29"/>
      <c r="I65" s="28"/>
      <c r="J65" s="29"/>
      <c r="K65" s="28"/>
      <c r="L65" s="29"/>
      <c r="M65" s="28"/>
      <c r="N65" s="29"/>
      <c r="O65" s="28"/>
      <c r="P65" s="29"/>
      <c r="Q65" s="28"/>
      <c r="R65" s="29"/>
      <c r="S65" s="28"/>
      <c r="T65" s="29"/>
      <c r="U65" s="28"/>
      <c r="V65" s="29"/>
      <c r="W65" s="28"/>
      <c r="X65" s="29"/>
      <c r="Y65" s="28"/>
      <c r="Z65" s="29"/>
      <c r="AA65" s="28"/>
      <c r="AB65" s="29"/>
      <c r="AC65" s="28"/>
      <c r="AD65" s="29"/>
      <c r="AE65" s="28"/>
      <c r="AF65" s="29"/>
      <c r="AG65" s="28"/>
      <c r="AH65" s="29"/>
      <c r="AI65" s="28"/>
      <c r="AJ65" s="29"/>
      <c r="AK65" s="28"/>
      <c r="AL65" s="29"/>
      <c r="AM65" s="28"/>
      <c r="AN65" s="29"/>
      <c r="AO65" s="28"/>
      <c r="AP65" s="29"/>
      <c r="AQ65" s="28"/>
      <c r="AR65" s="29"/>
      <c r="AS65" s="25"/>
      <c r="AT65" s="25"/>
      <c r="AU65" s="25"/>
      <c r="AV65" s="26"/>
      <c r="AW65" s="26"/>
      <c r="AX65" s="26"/>
      <c r="AY65" s="26"/>
      <c r="AZ65" s="26"/>
      <c r="BA65" s="26"/>
      <c r="BB65" s="26"/>
      <c r="BC65" s="26"/>
      <c r="BD65" s="27"/>
    </row>
    <row r="66" spans="1:56" ht="15" customHeight="1">
      <c r="A66" s="9"/>
      <c r="B66" s="9"/>
      <c r="C66" s="9"/>
      <c r="D66" s="9"/>
      <c r="E66" s="9"/>
      <c r="F66" s="24"/>
      <c r="G66" s="9"/>
      <c r="H66" s="24"/>
      <c r="I66" s="9"/>
      <c r="J66" s="24"/>
      <c r="K66" s="9"/>
      <c r="L66" s="24"/>
      <c r="M66" s="9"/>
      <c r="N66" s="24"/>
      <c r="O66" s="9"/>
      <c r="P66" s="24"/>
      <c r="Q66" s="9"/>
      <c r="R66" s="24"/>
      <c r="S66" s="9"/>
      <c r="T66" s="24"/>
      <c r="U66" s="9"/>
      <c r="V66" s="24"/>
      <c r="W66" s="9"/>
      <c r="X66" s="24"/>
      <c r="Y66" s="9"/>
      <c r="Z66" s="24"/>
      <c r="AA66" s="9"/>
      <c r="AB66" s="24"/>
      <c r="AC66" s="9"/>
      <c r="AD66" s="24"/>
      <c r="AE66" s="9"/>
      <c r="AF66" s="24"/>
      <c r="AG66" s="9"/>
      <c r="AH66" s="24"/>
      <c r="AI66" s="9"/>
      <c r="AJ66" s="24"/>
      <c r="AK66" s="9"/>
      <c r="AL66" s="24"/>
      <c r="AM66" s="9"/>
      <c r="AN66" s="24"/>
      <c r="AO66" s="9"/>
      <c r="AP66" s="24"/>
      <c r="AQ66" s="9"/>
      <c r="AR66" s="24"/>
      <c r="AS66" s="25"/>
      <c r="AT66" s="25"/>
      <c r="AU66" s="25"/>
      <c r="AV66" s="26"/>
      <c r="AW66" s="26"/>
      <c r="AX66" s="26"/>
      <c r="AY66" s="26"/>
      <c r="AZ66" s="26"/>
      <c r="BA66" s="26"/>
      <c r="BB66" s="26"/>
      <c r="BC66" s="26"/>
      <c r="BD66" s="27"/>
    </row>
    <row r="67" spans="1:56" ht="15" customHeight="1">
      <c r="A67" s="28"/>
      <c r="B67" s="28"/>
      <c r="C67" s="28"/>
      <c r="D67" s="28"/>
      <c r="E67" s="28"/>
      <c r="F67" s="29"/>
      <c r="G67" s="28"/>
      <c r="H67" s="29"/>
      <c r="I67" s="28"/>
      <c r="J67" s="29"/>
      <c r="K67" s="28"/>
      <c r="L67" s="29"/>
      <c r="M67" s="28"/>
      <c r="N67" s="29"/>
      <c r="O67" s="28"/>
      <c r="P67" s="29"/>
      <c r="Q67" s="28"/>
      <c r="R67" s="29"/>
      <c r="S67" s="28"/>
      <c r="T67" s="29"/>
      <c r="U67" s="28"/>
      <c r="V67" s="29"/>
      <c r="W67" s="28"/>
      <c r="X67" s="29"/>
      <c r="Y67" s="28"/>
      <c r="Z67" s="29"/>
      <c r="AA67" s="28"/>
      <c r="AB67" s="29"/>
      <c r="AC67" s="28"/>
      <c r="AD67" s="29"/>
      <c r="AE67" s="28"/>
      <c r="AF67" s="29"/>
      <c r="AG67" s="28"/>
      <c r="AH67" s="29"/>
      <c r="AI67" s="28"/>
      <c r="AJ67" s="29"/>
      <c r="AK67" s="28"/>
      <c r="AL67" s="29"/>
      <c r="AM67" s="28"/>
      <c r="AN67" s="29"/>
      <c r="AO67" s="28"/>
      <c r="AP67" s="29"/>
      <c r="AQ67" s="28"/>
      <c r="AR67" s="29"/>
      <c r="AS67" s="25"/>
      <c r="AT67" s="25"/>
      <c r="AU67" s="25"/>
      <c r="AV67" s="26"/>
      <c r="AW67" s="26"/>
      <c r="AX67" s="26"/>
      <c r="AY67" s="26"/>
      <c r="AZ67" s="26"/>
      <c r="BA67" s="26"/>
      <c r="BB67" s="26"/>
      <c r="BC67" s="26"/>
      <c r="BD67" s="27"/>
    </row>
    <row r="68" spans="1:56" ht="15" customHeight="1">
      <c r="A68" s="9"/>
      <c r="B68" s="9"/>
      <c r="C68" s="9"/>
      <c r="D68" s="9"/>
      <c r="E68" s="9"/>
      <c r="F68" s="24"/>
      <c r="G68" s="9"/>
      <c r="H68" s="24"/>
      <c r="I68" s="9"/>
      <c r="J68" s="24"/>
      <c r="K68" s="9"/>
      <c r="L68" s="24"/>
      <c r="M68" s="9"/>
      <c r="N68" s="24"/>
      <c r="O68" s="9"/>
      <c r="P68" s="24"/>
      <c r="Q68" s="9"/>
      <c r="R68" s="24"/>
      <c r="S68" s="9"/>
      <c r="T68" s="24"/>
      <c r="U68" s="9"/>
      <c r="V68" s="24"/>
      <c r="W68" s="9"/>
      <c r="X68" s="24"/>
      <c r="Y68" s="9"/>
      <c r="Z68" s="24"/>
      <c r="AA68" s="9"/>
      <c r="AB68" s="24"/>
      <c r="AC68" s="9"/>
      <c r="AD68" s="24"/>
      <c r="AE68" s="9"/>
      <c r="AF68" s="24"/>
      <c r="AG68" s="9"/>
      <c r="AH68" s="24"/>
      <c r="AI68" s="9"/>
      <c r="AJ68" s="24"/>
      <c r="AK68" s="9"/>
      <c r="AL68" s="24"/>
      <c r="AM68" s="9"/>
      <c r="AN68" s="24"/>
      <c r="AO68" s="9"/>
      <c r="AP68" s="24"/>
      <c r="AQ68" s="9"/>
      <c r="AR68" s="24"/>
      <c r="AS68" s="25"/>
      <c r="AT68" s="25"/>
      <c r="AU68" s="25"/>
      <c r="AV68" s="26"/>
      <c r="AW68" s="26"/>
      <c r="AX68" s="26"/>
      <c r="AY68" s="26"/>
      <c r="AZ68" s="26"/>
      <c r="BA68" s="26"/>
      <c r="BB68" s="26"/>
      <c r="BC68" s="26"/>
      <c r="BD68" s="27"/>
    </row>
    <row r="69" spans="1:56" ht="15" customHeight="1">
      <c r="A69" s="28"/>
      <c r="B69" s="28"/>
      <c r="C69" s="28"/>
      <c r="D69" s="28"/>
      <c r="E69" s="28"/>
      <c r="F69" s="29"/>
      <c r="G69" s="28"/>
      <c r="H69" s="29"/>
      <c r="I69" s="28"/>
      <c r="J69" s="29"/>
      <c r="K69" s="28"/>
      <c r="L69" s="29"/>
      <c r="M69" s="28"/>
      <c r="N69" s="29"/>
      <c r="O69" s="28"/>
      <c r="P69" s="29"/>
      <c r="Q69" s="28"/>
      <c r="R69" s="29"/>
      <c r="S69" s="28"/>
      <c r="T69" s="29"/>
      <c r="U69" s="28"/>
      <c r="V69" s="29"/>
      <c r="W69" s="28"/>
      <c r="X69" s="29"/>
      <c r="Y69" s="28"/>
      <c r="Z69" s="29"/>
      <c r="AA69" s="28"/>
      <c r="AB69" s="29"/>
      <c r="AC69" s="28"/>
      <c r="AD69" s="29"/>
      <c r="AE69" s="28"/>
      <c r="AF69" s="29"/>
      <c r="AG69" s="28"/>
      <c r="AH69" s="29"/>
      <c r="AI69" s="28"/>
      <c r="AJ69" s="29"/>
      <c r="AK69" s="28"/>
      <c r="AL69" s="29"/>
      <c r="AM69" s="28"/>
      <c r="AN69" s="29"/>
      <c r="AO69" s="28"/>
      <c r="AP69" s="29"/>
      <c r="AQ69" s="28"/>
      <c r="AR69" s="29"/>
      <c r="AS69" s="25"/>
      <c r="AT69" s="25"/>
      <c r="AU69" s="25"/>
      <c r="AV69" s="26"/>
      <c r="AW69" s="26"/>
      <c r="AX69" s="26"/>
      <c r="AY69" s="26"/>
      <c r="AZ69" s="26"/>
      <c r="BA69" s="26"/>
      <c r="BB69" s="26"/>
      <c r="BC69" s="26"/>
      <c r="BD69" s="27"/>
    </row>
    <row r="70" spans="1:56" ht="15" customHeight="1">
      <c r="A70" s="9"/>
      <c r="B70" s="9"/>
      <c r="C70" s="9"/>
      <c r="D70" s="9"/>
      <c r="E70" s="9"/>
      <c r="F70" s="24"/>
      <c r="G70" s="9"/>
      <c r="H70" s="24"/>
      <c r="I70" s="9"/>
      <c r="J70" s="24"/>
      <c r="K70" s="9"/>
      <c r="L70" s="24"/>
      <c r="M70" s="9"/>
      <c r="N70" s="24"/>
      <c r="O70" s="9"/>
      <c r="P70" s="24"/>
      <c r="Q70" s="9"/>
      <c r="R70" s="24"/>
      <c r="S70" s="9"/>
      <c r="T70" s="24"/>
      <c r="U70" s="9"/>
      <c r="V70" s="24"/>
      <c r="W70" s="9"/>
      <c r="X70" s="24"/>
      <c r="Y70" s="9"/>
      <c r="Z70" s="24"/>
      <c r="AA70" s="9"/>
      <c r="AB70" s="24"/>
      <c r="AC70" s="9"/>
      <c r="AD70" s="24"/>
      <c r="AE70" s="9"/>
      <c r="AF70" s="24"/>
      <c r="AG70" s="9"/>
      <c r="AH70" s="24"/>
      <c r="AI70" s="9"/>
      <c r="AJ70" s="24"/>
      <c r="AK70" s="9"/>
      <c r="AL70" s="24"/>
      <c r="AM70" s="9"/>
      <c r="AN70" s="24"/>
      <c r="AO70" s="9"/>
      <c r="AP70" s="24"/>
      <c r="AQ70" s="9"/>
      <c r="AR70" s="24"/>
      <c r="AS70" s="25"/>
      <c r="AT70" s="25"/>
      <c r="AU70" s="25"/>
      <c r="AV70" s="26"/>
      <c r="AW70" s="26"/>
      <c r="AX70" s="26"/>
      <c r="AY70" s="26"/>
      <c r="AZ70" s="26"/>
      <c r="BA70" s="26"/>
      <c r="BB70" s="26"/>
      <c r="BC70" s="26"/>
      <c r="BD70" s="27"/>
    </row>
    <row r="71" spans="1:56" ht="15" customHeight="1">
      <c r="A71" s="28"/>
      <c r="B71" s="28"/>
      <c r="C71" s="28"/>
      <c r="D71" s="28"/>
      <c r="E71" s="28"/>
      <c r="F71" s="29"/>
      <c r="G71" s="28"/>
      <c r="H71" s="29"/>
      <c r="I71" s="28"/>
      <c r="J71" s="29"/>
      <c r="K71" s="28"/>
      <c r="L71" s="29"/>
      <c r="M71" s="28"/>
      <c r="N71" s="29"/>
      <c r="O71" s="28"/>
      <c r="P71" s="29"/>
      <c r="Q71" s="28"/>
      <c r="R71" s="29"/>
      <c r="S71" s="28"/>
      <c r="T71" s="29"/>
      <c r="U71" s="28"/>
      <c r="V71" s="29"/>
      <c r="W71" s="28"/>
      <c r="X71" s="29"/>
      <c r="Y71" s="28"/>
      <c r="Z71" s="29"/>
      <c r="AA71" s="28"/>
      <c r="AB71" s="29"/>
      <c r="AC71" s="28"/>
      <c r="AD71" s="29"/>
      <c r="AE71" s="28"/>
      <c r="AF71" s="29"/>
      <c r="AG71" s="28"/>
      <c r="AH71" s="29"/>
      <c r="AI71" s="28"/>
      <c r="AJ71" s="29"/>
      <c r="AK71" s="28"/>
      <c r="AL71" s="29"/>
      <c r="AM71" s="28"/>
      <c r="AN71" s="29"/>
      <c r="AO71" s="28"/>
      <c r="AP71" s="29"/>
      <c r="AQ71" s="28"/>
      <c r="AR71" s="29"/>
      <c r="AS71" s="25"/>
      <c r="AT71" s="25"/>
      <c r="AU71" s="25"/>
      <c r="AV71" s="26"/>
      <c r="AW71" s="26"/>
      <c r="AX71" s="26"/>
      <c r="AY71" s="26"/>
      <c r="AZ71" s="26"/>
      <c r="BA71" s="26"/>
      <c r="BB71" s="26"/>
      <c r="BC71" s="26"/>
      <c r="BD71" s="27"/>
    </row>
    <row r="72" spans="1:56" ht="15" customHeight="1">
      <c r="A72" s="9"/>
      <c r="B72" s="9"/>
      <c r="C72" s="9"/>
      <c r="D72" s="9"/>
      <c r="E72" s="9"/>
      <c r="F72" s="24"/>
      <c r="G72" s="9"/>
      <c r="H72" s="24"/>
      <c r="I72" s="9"/>
      <c r="J72" s="24"/>
      <c r="K72" s="9"/>
      <c r="L72" s="24"/>
      <c r="M72" s="9"/>
      <c r="N72" s="24"/>
      <c r="O72" s="9"/>
      <c r="P72" s="24"/>
      <c r="Q72" s="9"/>
      <c r="R72" s="24"/>
      <c r="S72" s="9"/>
      <c r="T72" s="24"/>
      <c r="U72" s="9"/>
      <c r="V72" s="24"/>
      <c r="W72" s="9"/>
      <c r="X72" s="24"/>
      <c r="Y72" s="9"/>
      <c r="Z72" s="24"/>
      <c r="AA72" s="9"/>
      <c r="AB72" s="24"/>
      <c r="AC72" s="9"/>
      <c r="AD72" s="24"/>
      <c r="AE72" s="9"/>
      <c r="AF72" s="24"/>
      <c r="AG72" s="9"/>
      <c r="AH72" s="24"/>
      <c r="AI72" s="9"/>
      <c r="AJ72" s="24"/>
      <c r="AK72" s="9"/>
      <c r="AL72" s="24"/>
      <c r="AM72" s="9"/>
      <c r="AN72" s="24"/>
      <c r="AO72" s="9"/>
      <c r="AP72" s="24"/>
      <c r="AQ72" s="9"/>
      <c r="AR72" s="24"/>
      <c r="AS72" s="25"/>
      <c r="AT72" s="25"/>
      <c r="AU72" s="25"/>
      <c r="AV72" s="26"/>
      <c r="AW72" s="26"/>
      <c r="AX72" s="26"/>
      <c r="AY72" s="26"/>
      <c r="AZ72" s="26"/>
      <c r="BA72" s="26"/>
      <c r="BB72" s="26"/>
      <c r="BC72" s="26"/>
      <c r="BD72" s="27"/>
    </row>
    <row r="73" spans="1:56" ht="15" customHeight="1">
      <c r="A73" s="28"/>
      <c r="B73" s="28"/>
      <c r="C73" s="28"/>
      <c r="D73" s="28"/>
      <c r="E73" s="28"/>
      <c r="F73" s="29"/>
      <c r="G73" s="28"/>
      <c r="H73" s="29"/>
      <c r="I73" s="28"/>
      <c r="J73" s="29"/>
      <c r="K73" s="28"/>
      <c r="L73" s="29"/>
      <c r="M73" s="28"/>
      <c r="N73" s="29"/>
      <c r="O73" s="28"/>
      <c r="P73" s="29"/>
      <c r="Q73" s="28"/>
      <c r="R73" s="29"/>
      <c r="S73" s="28"/>
      <c r="T73" s="29"/>
      <c r="U73" s="28"/>
      <c r="V73" s="29"/>
      <c r="W73" s="28"/>
      <c r="X73" s="29"/>
      <c r="Y73" s="28"/>
      <c r="Z73" s="29"/>
      <c r="AA73" s="28"/>
      <c r="AB73" s="29"/>
      <c r="AC73" s="28"/>
      <c r="AD73" s="29"/>
      <c r="AE73" s="28"/>
      <c r="AF73" s="29"/>
      <c r="AG73" s="28"/>
      <c r="AH73" s="29"/>
      <c r="AI73" s="28"/>
      <c r="AJ73" s="29"/>
      <c r="AK73" s="28"/>
      <c r="AL73" s="29"/>
      <c r="AM73" s="28"/>
      <c r="AN73" s="29"/>
      <c r="AO73" s="28"/>
      <c r="AP73" s="29"/>
      <c r="AQ73" s="28"/>
      <c r="AR73" s="29"/>
      <c r="AS73" s="25"/>
      <c r="AT73" s="25"/>
      <c r="AU73" s="25"/>
      <c r="AV73" s="26"/>
      <c r="AW73" s="26"/>
      <c r="AX73" s="26"/>
      <c r="AY73" s="26"/>
      <c r="AZ73" s="26"/>
      <c r="BA73" s="26"/>
      <c r="BB73" s="26"/>
      <c r="BC73" s="26"/>
      <c r="BD73" s="27"/>
    </row>
    <row r="74" spans="1:56" ht="15" customHeight="1">
      <c r="A74" s="9"/>
      <c r="B74" s="9"/>
      <c r="C74" s="9"/>
      <c r="D74" s="9"/>
      <c r="E74" s="9"/>
      <c r="F74" s="24"/>
      <c r="G74" s="9"/>
      <c r="H74" s="24"/>
      <c r="I74" s="9"/>
      <c r="J74" s="24"/>
      <c r="K74" s="9"/>
      <c r="L74" s="24"/>
      <c r="M74" s="9"/>
      <c r="N74" s="24"/>
      <c r="O74" s="9"/>
      <c r="P74" s="24"/>
      <c r="Q74" s="9"/>
      <c r="R74" s="24"/>
      <c r="S74" s="9"/>
      <c r="T74" s="24"/>
      <c r="U74" s="9"/>
      <c r="V74" s="24"/>
      <c r="W74" s="9"/>
      <c r="X74" s="24"/>
      <c r="Y74" s="9"/>
      <c r="Z74" s="24"/>
      <c r="AA74" s="9"/>
      <c r="AB74" s="24"/>
      <c r="AC74" s="9"/>
      <c r="AD74" s="24"/>
      <c r="AE74" s="9"/>
      <c r="AF74" s="24"/>
      <c r="AG74" s="9"/>
      <c r="AH74" s="24"/>
      <c r="AI74" s="9"/>
      <c r="AJ74" s="24"/>
      <c r="AK74" s="9"/>
      <c r="AL74" s="24"/>
      <c r="AM74" s="9"/>
      <c r="AN74" s="24"/>
      <c r="AO74" s="9"/>
      <c r="AP74" s="24"/>
      <c r="AQ74" s="9"/>
      <c r="AR74" s="24"/>
      <c r="AS74" s="25"/>
      <c r="AT74" s="25"/>
      <c r="AU74" s="25"/>
      <c r="AV74" s="26"/>
      <c r="AW74" s="26"/>
      <c r="AX74" s="26"/>
      <c r="AY74" s="26"/>
      <c r="AZ74" s="26"/>
      <c r="BA74" s="26"/>
      <c r="BB74" s="26"/>
      <c r="BC74" s="26"/>
      <c r="BD74" s="27"/>
    </row>
    <row r="75" spans="1:56" ht="15" customHeight="1">
      <c r="A75" s="28"/>
      <c r="B75" s="28"/>
      <c r="C75" s="28"/>
      <c r="D75" s="28"/>
      <c r="E75" s="28"/>
      <c r="F75" s="29"/>
      <c r="G75" s="28"/>
      <c r="H75" s="29"/>
      <c r="I75" s="28"/>
      <c r="J75" s="29"/>
      <c r="K75" s="28"/>
      <c r="L75" s="29"/>
      <c r="M75" s="28"/>
      <c r="N75" s="29"/>
      <c r="O75" s="28"/>
      <c r="P75" s="29"/>
      <c r="Q75" s="28"/>
      <c r="R75" s="29"/>
      <c r="S75" s="28"/>
      <c r="T75" s="29"/>
      <c r="U75" s="28"/>
      <c r="V75" s="29"/>
      <c r="W75" s="28"/>
      <c r="X75" s="29"/>
      <c r="Y75" s="28"/>
      <c r="Z75" s="29"/>
      <c r="AA75" s="28"/>
      <c r="AB75" s="29"/>
      <c r="AC75" s="28"/>
      <c r="AD75" s="29"/>
      <c r="AE75" s="28"/>
      <c r="AF75" s="29"/>
      <c r="AG75" s="28"/>
      <c r="AH75" s="29"/>
      <c r="AI75" s="28"/>
      <c r="AJ75" s="29"/>
      <c r="AK75" s="28"/>
      <c r="AL75" s="29"/>
      <c r="AM75" s="28"/>
      <c r="AN75" s="29"/>
      <c r="AO75" s="28"/>
      <c r="AP75" s="29"/>
      <c r="AQ75" s="28"/>
      <c r="AR75" s="29"/>
      <c r="AS75" s="25"/>
      <c r="AT75" s="25"/>
      <c r="AU75" s="25"/>
      <c r="AV75" s="26"/>
      <c r="AW75" s="26"/>
      <c r="AX75" s="26"/>
      <c r="AY75" s="26"/>
      <c r="AZ75" s="26"/>
      <c r="BA75" s="26"/>
      <c r="BB75" s="26"/>
      <c r="BC75" s="26"/>
      <c r="BD75" s="27"/>
    </row>
    <row r="76" spans="1:56" ht="15" customHeight="1">
      <c r="A76" s="9"/>
      <c r="B76" s="9"/>
      <c r="C76" s="9"/>
      <c r="D76" s="9"/>
      <c r="E76" s="9"/>
      <c r="F76" s="24"/>
      <c r="G76" s="9"/>
      <c r="H76" s="24"/>
      <c r="I76" s="9"/>
      <c r="J76" s="24"/>
      <c r="K76" s="9"/>
      <c r="L76" s="24"/>
      <c r="M76" s="9"/>
      <c r="N76" s="24"/>
      <c r="O76" s="9"/>
      <c r="P76" s="24"/>
      <c r="Q76" s="9"/>
      <c r="R76" s="24"/>
      <c r="S76" s="9"/>
      <c r="T76" s="24"/>
      <c r="U76" s="9"/>
      <c r="V76" s="24"/>
      <c r="W76" s="9"/>
      <c r="X76" s="24"/>
      <c r="Y76" s="9"/>
      <c r="Z76" s="24"/>
      <c r="AA76" s="9"/>
      <c r="AB76" s="24"/>
      <c r="AC76" s="9"/>
      <c r="AD76" s="24"/>
      <c r="AE76" s="9"/>
      <c r="AF76" s="24"/>
      <c r="AG76" s="9"/>
      <c r="AH76" s="24"/>
      <c r="AI76" s="9"/>
      <c r="AJ76" s="24"/>
      <c r="AK76" s="9"/>
      <c r="AL76" s="24"/>
      <c r="AM76" s="9"/>
      <c r="AN76" s="24"/>
      <c r="AO76" s="9"/>
      <c r="AP76" s="24"/>
      <c r="AQ76" s="9"/>
      <c r="AR76" s="24"/>
      <c r="AS76" s="25"/>
      <c r="AT76" s="25"/>
      <c r="AU76" s="25"/>
      <c r="AV76" s="26"/>
      <c r="AW76" s="26"/>
      <c r="AX76" s="26"/>
      <c r="AY76" s="26"/>
      <c r="AZ76" s="26"/>
      <c r="BA76" s="26"/>
      <c r="BB76" s="26"/>
      <c r="BC76" s="26"/>
      <c r="BD76" s="27"/>
    </row>
    <row r="77" spans="1:56" ht="15" customHeight="1">
      <c r="A77" s="28"/>
      <c r="B77" s="28"/>
      <c r="C77" s="28"/>
      <c r="D77" s="28"/>
      <c r="E77" s="28"/>
      <c r="F77" s="29"/>
      <c r="G77" s="28"/>
      <c r="H77" s="29"/>
      <c r="I77" s="28"/>
      <c r="J77" s="29"/>
      <c r="K77" s="28"/>
      <c r="L77" s="29"/>
      <c r="M77" s="28"/>
      <c r="N77" s="29"/>
      <c r="O77" s="28"/>
      <c r="P77" s="29"/>
      <c r="Q77" s="28"/>
      <c r="R77" s="29"/>
      <c r="S77" s="28"/>
      <c r="T77" s="29"/>
      <c r="U77" s="28"/>
      <c r="V77" s="29"/>
      <c r="W77" s="28"/>
      <c r="X77" s="29"/>
      <c r="Y77" s="28"/>
      <c r="Z77" s="29"/>
      <c r="AA77" s="28"/>
      <c r="AB77" s="29"/>
      <c r="AC77" s="28"/>
      <c r="AD77" s="29"/>
      <c r="AE77" s="28"/>
      <c r="AF77" s="29"/>
      <c r="AG77" s="28"/>
      <c r="AH77" s="29"/>
      <c r="AI77" s="28"/>
      <c r="AJ77" s="29"/>
      <c r="AK77" s="28"/>
      <c r="AL77" s="29"/>
      <c r="AM77" s="28"/>
      <c r="AN77" s="29"/>
      <c r="AO77" s="28"/>
      <c r="AP77" s="29"/>
      <c r="AQ77" s="28"/>
      <c r="AR77" s="29"/>
      <c r="AS77" s="25"/>
      <c r="AT77" s="25"/>
      <c r="AU77" s="25"/>
      <c r="AV77" s="26"/>
      <c r="AW77" s="26"/>
      <c r="AX77" s="26"/>
      <c r="AY77" s="26"/>
      <c r="AZ77" s="26"/>
      <c r="BA77" s="26"/>
      <c r="BB77" s="26"/>
      <c r="BC77" s="26"/>
      <c r="BD77" s="27"/>
    </row>
    <row r="78" spans="1:56" ht="15" customHeight="1">
      <c r="A78" s="9"/>
      <c r="B78" s="9"/>
      <c r="C78" s="9"/>
      <c r="D78" s="9"/>
      <c r="E78" s="9"/>
      <c r="F78" s="24"/>
      <c r="G78" s="9"/>
      <c r="H78" s="24"/>
      <c r="I78" s="9"/>
      <c r="J78" s="24"/>
      <c r="K78" s="9"/>
      <c r="L78" s="24"/>
      <c r="M78" s="9"/>
      <c r="N78" s="24"/>
      <c r="O78" s="9"/>
      <c r="P78" s="24"/>
      <c r="Q78" s="9"/>
      <c r="R78" s="24"/>
      <c r="S78" s="9"/>
      <c r="T78" s="24"/>
      <c r="U78" s="9"/>
      <c r="V78" s="24"/>
      <c r="W78" s="9"/>
      <c r="X78" s="24"/>
      <c r="Y78" s="9"/>
      <c r="Z78" s="24"/>
      <c r="AA78" s="9"/>
      <c r="AB78" s="24"/>
      <c r="AC78" s="9"/>
      <c r="AD78" s="24"/>
      <c r="AE78" s="9"/>
      <c r="AF78" s="24"/>
      <c r="AG78" s="9"/>
      <c r="AH78" s="24"/>
      <c r="AI78" s="9"/>
      <c r="AJ78" s="24"/>
      <c r="AK78" s="9"/>
      <c r="AL78" s="24"/>
      <c r="AM78" s="9"/>
      <c r="AN78" s="24"/>
      <c r="AO78" s="9"/>
      <c r="AP78" s="24"/>
      <c r="AQ78" s="9"/>
      <c r="AR78" s="24"/>
      <c r="AS78" s="25"/>
      <c r="AT78" s="25"/>
      <c r="AU78" s="25"/>
      <c r="AV78" s="26"/>
      <c r="AW78" s="26"/>
      <c r="AX78" s="26"/>
      <c r="AY78" s="26"/>
      <c r="AZ78" s="26"/>
      <c r="BA78" s="26"/>
      <c r="BB78" s="26"/>
      <c r="BC78" s="26"/>
      <c r="BD78" s="27"/>
    </row>
    <row r="79" spans="1:56" ht="15" customHeight="1">
      <c r="A79" s="28"/>
      <c r="B79" s="28"/>
      <c r="C79" s="28"/>
      <c r="D79" s="28"/>
      <c r="E79" s="28"/>
      <c r="F79" s="29"/>
      <c r="G79" s="28"/>
      <c r="H79" s="29"/>
      <c r="I79" s="28"/>
      <c r="J79" s="29"/>
      <c r="K79" s="28"/>
      <c r="L79" s="29"/>
      <c r="M79" s="28"/>
      <c r="N79" s="29"/>
      <c r="O79" s="28"/>
      <c r="P79" s="29"/>
      <c r="Q79" s="28"/>
      <c r="R79" s="29"/>
      <c r="S79" s="28"/>
      <c r="T79" s="29"/>
      <c r="U79" s="28"/>
      <c r="V79" s="29"/>
      <c r="W79" s="28"/>
      <c r="X79" s="29"/>
      <c r="Y79" s="28"/>
      <c r="Z79" s="29"/>
      <c r="AA79" s="28"/>
      <c r="AB79" s="29"/>
      <c r="AC79" s="28"/>
      <c r="AD79" s="29"/>
      <c r="AE79" s="28"/>
      <c r="AF79" s="29"/>
      <c r="AG79" s="28"/>
      <c r="AH79" s="29"/>
      <c r="AI79" s="28"/>
      <c r="AJ79" s="29"/>
      <c r="AK79" s="28"/>
      <c r="AL79" s="29"/>
      <c r="AM79" s="28"/>
      <c r="AN79" s="29"/>
      <c r="AO79" s="28"/>
      <c r="AP79" s="29"/>
      <c r="AQ79" s="28"/>
      <c r="AR79" s="29"/>
      <c r="AS79" s="25"/>
      <c r="AT79" s="25"/>
      <c r="AU79" s="25"/>
      <c r="AV79" s="26"/>
      <c r="AW79" s="26"/>
      <c r="AX79" s="26"/>
      <c r="AY79" s="26"/>
      <c r="AZ79" s="26"/>
      <c r="BA79" s="26"/>
      <c r="BB79" s="26"/>
      <c r="BC79" s="26"/>
      <c r="BD79" s="27"/>
    </row>
    <row r="80" spans="1:56" ht="15" customHeight="1">
      <c r="A80" s="9"/>
      <c r="B80" s="9"/>
      <c r="C80" s="9"/>
      <c r="D80" s="9"/>
      <c r="E80" s="9"/>
      <c r="F80" s="24"/>
      <c r="G80" s="9"/>
      <c r="H80" s="24"/>
      <c r="I80" s="9"/>
      <c r="J80" s="24"/>
      <c r="K80" s="9"/>
      <c r="L80" s="24"/>
      <c r="M80" s="9"/>
      <c r="N80" s="24"/>
      <c r="O80" s="9"/>
      <c r="P80" s="24"/>
      <c r="Q80" s="9"/>
      <c r="R80" s="24"/>
      <c r="S80" s="9"/>
      <c r="T80" s="24"/>
      <c r="U80" s="9"/>
      <c r="V80" s="24"/>
      <c r="W80" s="9"/>
      <c r="X80" s="24"/>
      <c r="Y80" s="9"/>
      <c r="Z80" s="24"/>
      <c r="AA80" s="9"/>
      <c r="AB80" s="24"/>
      <c r="AC80" s="9"/>
      <c r="AD80" s="24"/>
      <c r="AE80" s="9"/>
      <c r="AF80" s="24"/>
      <c r="AG80" s="9"/>
      <c r="AH80" s="24"/>
      <c r="AI80" s="9"/>
      <c r="AJ80" s="24"/>
      <c r="AK80" s="9"/>
      <c r="AL80" s="24"/>
      <c r="AM80" s="9"/>
      <c r="AN80" s="24"/>
      <c r="AO80" s="9"/>
      <c r="AP80" s="24"/>
      <c r="AQ80" s="9"/>
      <c r="AR80" s="24"/>
      <c r="AS80" s="25"/>
      <c r="AT80" s="25"/>
      <c r="AU80" s="25"/>
      <c r="AV80" s="26"/>
      <c r="AW80" s="26"/>
      <c r="AX80" s="26"/>
      <c r="AY80" s="26"/>
      <c r="AZ80" s="26"/>
      <c r="BA80" s="26"/>
      <c r="BB80" s="26"/>
      <c r="BC80" s="26"/>
      <c r="BD80" s="27"/>
    </row>
    <row r="81" spans="1:56" ht="15" customHeight="1">
      <c r="A81" s="28"/>
      <c r="B81" s="28"/>
      <c r="C81" s="28"/>
      <c r="D81" s="28"/>
      <c r="E81" s="28"/>
      <c r="F81" s="29"/>
      <c r="G81" s="28"/>
      <c r="H81" s="29"/>
      <c r="I81" s="28"/>
      <c r="J81" s="29"/>
      <c r="K81" s="28"/>
      <c r="L81" s="29"/>
      <c r="M81" s="28"/>
      <c r="N81" s="29"/>
      <c r="O81" s="28"/>
      <c r="P81" s="29"/>
      <c r="Q81" s="28"/>
      <c r="R81" s="29"/>
      <c r="S81" s="28"/>
      <c r="T81" s="29"/>
      <c r="U81" s="28"/>
      <c r="V81" s="29"/>
      <c r="W81" s="28"/>
      <c r="X81" s="29"/>
      <c r="Y81" s="28"/>
      <c r="Z81" s="29"/>
      <c r="AA81" s="28"/>
      <c r="AB81" s="29"/>
      <c r="AC81" s="28"/>
      <c r="AD81" s="29"/>
      <c r="AE81" s="28"/>
      <c r="AF81" s="29"/>
      <c r="AG81" s="28"/>
      <c r="AH81" s="29"/>
      <c r="AI81" s="28"/>
      <c r="AJ81" s="29"/>
      <c r="AK81" s="28"/>
      <c r="AL81" s="29"/>
      <c r="AM81" s="28"/>
      <c r="AN81" s="29"/>
      <c r="AO81" s="28"/>
      <c r="AP81" s="29"/>
      <c r="AQ81" s="28"/>
      <c r="AR81" s="29"/>
      <c r="AS81" s="25"/>
      <c r="AT81" s="25"/>
      <c r="AU81" s="25"/>
      <c r="AV81" s="26"/>
      <c r="AW81" s="26"/>
      <c r="AX81" s="26"/>
      <c r="AY81" s="26"/>
      <c r="AZ81" s="26"/>
      <c r="BA81" s="26"/>
      <c r="BB81" s="26"/>
      <c r="BC81" s="26"/>
      <c r="BD81" s="27"/>
    </row>
    <row r="82" spans="1:56" ht="15" customHeight="1">
      <c r="A82" s="9"/>
      <c r="B82" s="9"/>
      <c r="C82" s="9"/>
      <c r="D82" s="9"/>
      <c r="E82" s="9"/>
      <c r="F82" s="24"/>
      <c r="G82" s="9"/>
      <c r="H82" s="24"/>
      <c r="I82" s="9"/>
      <c r="J82" s="24"/>
      <c r="K82" s="9"/>
      <c r="L82" s="24"/>
      <c r="M82" s="9"/>
      <c r="N82" s="24"/>
      <c r="O82" s="9"/>
      <c r="P82" s="24"/>
      <c r="Q82" s="9"/>
      <c r="R82" s="24"/>
      <c r="S82" s="9"/>
      <c r="T82" s="24"/>
      <c r="U82" s="9"/>
      <c r="V82" s="24"/>
      <c r="W82" s="9"/>
      <c r="X82" s="24"/>
      <c r="Y82" s="9"/>
      <c r="Z82" s="24"/>
      <c r="AA82" s="9"/>
      <c r="AB82" s="24"/>
      <c r="AC82" s="9"/>
      <c r="AD82" s="24"/>
      <c r="AE82" s="9"/>
      <c r="AF82" s="24"/>
      <c r="AG82" s="9"/>
      <c r="AH82" s="24"/>
      <c r="AI82" s="9"/>
      <c r="AJ82" s="24"/>
      <c r="AK82" s="9"/>
      <c r="AL82" s="24"/>
      <c r="AM82" s="9"/>
      <c r="AN82" s="24"/>
      <c r="AO82" s="9"/>
      <c r="AP82" s="24"/>
      <c r="AQ82" s="9"/>
      <c r="AR82" s="24"/>
      <c r="AS82" s="25"/>
      <c r="AT82" s="25"/>
      <c r="AU82" s="25"/>
      <c r="AV82" s="26"/>
      <c r="AW82" s="26"/>
      <c r="AX82" s="26"/>
      <c r="AY82" s="26"/>
      <c r="AZ82" s="26"/>
      <c r="BA82" s="26"/>
      <c r="BB82" s="26"/>
      <c r="BC82" s="26"/>
      <c r="BD82" s="27"/>
    </row>
    <row r="83" spans="1:56" ht="15" customHeight="1">
      <c r="A83" s="28"/>
      <c r="B83" s="28"/>
      <c r="C83" s="28"/>
      <c r="D83" s="28"/>
      <c r="E83" s="28"/>
      <c r="F83" s="29"/>
      <c r="G83" s="28"/>
      <c r="H83" s="29"/>
      <c r="I83" s="28"/>
      <c r="J83" s="29"/>
      <c r="K83" s="28"/>
      <c r="L83" s="29"/>
      <c r="M83" s="28"/>
      <c r="N83" s="29"/>
      <c r="O83" s="28"/>
      <c r="P83" s="29"/>
      <c r="Q83" s="28"/>
      <c r="R83" s="29"/>
      <c r="S83" s="28"/>
      <c r="T83" s="29"/>
      <c r="U83" s="28"/>
      <c r="V83" s="29"/>
      <c r="W83" s="28"/>
      <c r="X83" s="29"/>
      <c r="Y83" s="28"/>
      <c r="Z83" s="29"/>
      <c r="AA83" s="28"/>
      <c r="AB83" s="29"/>
      <c r="AC83" s="28"/>
      <c r="AD83" s="29"/>
      <c r="AE83" s="28"/>
      <c r="AF83" s="29"/>
      <c r="AG83" s="28"/>
      <c r="AH83" s="29"/>
      <c r="AI83" s="28"/>
      <c r="AJ83" s="29"/>
      <c r="AK83" s="28"/>
      <c r="AL83" s="29"/>
      <c r="AM83" s="28"/>
      <c r="AN83" s="29"/>
      <c r="AO83" s="28"/>
      <c r="AP83" s="29"/>
      <c r="AQ83" s="28"/>
      <c r="AR83" s="29"/>
      <c r="AS83" s="25"/>
      <c r="AT83" s="25"/>
      <c r="AU83" s="25"/>
      <c r="AV83" s="26"/>
      <c r="AW83" s="26"/>
      <c r="AX83" s="26"/>
      <c r="AY83" s="26"/>
      <c r="AZ83" s="26"/>
      <c r="BA83" s="26"/>
      <c r="BB83" s="26"/>
      <c r="BC83" s="26"/>
      <c r="BD83" s="27"/>
    </row>
    <row r="84" spans="1:56" ht="15" customHeight="1">
      <c r="A84" s="9"/>
      <c r="B84" s="9"/>
      <c r="C84" s="9"/>
      <c r="D84" s="9"/>
      <c r="E84" s="9"/>
      <c r="F84" s="24"/>
      <c r="G84" s="9"/>
      <c r="H84" s="24"/>
      <c r="I84" s="9"/>
      <c r="J84" s="24"/>
      <c r="K84" s="9"/>
      <c r="L84" s="24"/>
      <c r="M84" s="9"/>
      <c r="N84" s="24"/>
      <c r="O84" s="9"/>
      <c r="P84" s="24"/>
      <c r="Q84" s="9"/>
      <c r="R84" s="24"/>
      <c r="S84" s="9"/>
      <c r="T84" s="24"/>
      <c r="U84" s="9"/>
      <c r="V84" s="24"/>
      <c r="W84" s="9"/>
      <c r="X84" s="24"/>
      <c r="Y84" s="9"/>
      <c r="Z84" s="24"/>
      <c r="AA84" s="9"/>
      <c r="AB84" s="24"/>
      <c r="AC84" s="9"/>
      <c r="AD84" s="24"/>
      <c r="AE84" s="9"/>
      <c r="AF84" s="24"/>
      <c r="AG84" s="9"/>
      <c r="AH84" s="24"/>
      <c r="AI84" s="9"/>
      <c r="AJ84" s="24"/>
      <c r="AK84" s="9"/>
      <c r="AL84" s="24"/>
      <c r="AM84" s="9"/>
      <c r="AN84" s="24"/>
      <c r="AO84" s="9"/>
      <c r="AP84" s="24"/>
      <c r="AQ84" s="9"/>
      <c r="AR84" s="24"/>
      <c r="AS84" s="25"/>
      <c r="AT84" s="25"/>
      <c r="AU84" s="25"/>
      <c r="AV84" s="26"/>
      <c r="AW84" s="26"/>
      <c r="AX84" s="26"/>
      <c r="AY84" s="26"/>
      <c r="AZ84" s="26"/>
      <c r="BA84" s="26"/>
      <c r="BB84" s="26"/>
      <c r="BC84" s="26"/>
      <c r="BD84" s="27"/>
    </row>
    <row r="85" spans="1:56" ht="15" customHeight="1">
      <c r="A85" s="28"/>
      <c r="B85" s="28"/>
      <c r="C85" s="28"/>
      <c r="D85" s="28"/>
      <c r="E85" s="28"/>
      <c r="F85" s="29"/>
      <c r="G85" s="28"/>
      <c r="H85" s="29"/>
      <c r="I85" s="28"/>
      <c r="J85" s="29"/>
      <c r="K85" s="28"/>
      <c r="L85" s="29"/>
      <c r="M85" s="28"/>
      <c r="N85" s="29"/>
      <c r="O85" s="28"/>
      <c r="P85" s="29"/>
      <c r="Q85" s="28"/>
      <c r="R85" s="29"/>
      <c r="S85" s="28"/>
      <c r="T85" s="29"/>
      <c r="U85" s="28"/>
      <c r="V85" s="29"/>
      <c r="W85" s="28"/>
      <c r="X85" s="29"/>
      <c r="Y85" s="28"/>
      <c r="Z85" s="29"/>
      <c r="AA85" s="28"/>
      <c r="AB85" s="29"/>
      <c r="AC85" s="28"/>
      <c r="AD85" s="29"/>
      <c r="AE85" s="28"/>
      <c r="AF85" s="29"/>
      <c r="AG85" s="28"/>
      <c r="AH85" s="29"/>
      <c r="AI85" s="28"/>
      <c r="AJ85" s="29"/>
      <c r="AK85" s="28"/>
      <c r="AL85" s="29"/>
      <c r="AM85" s="28"/>
      <c r="AN85" s="29"/>
      <c r="AO85" s="28"/>
      <c r="AP85" s="29"/>
      <c r="AQ85" s="28"/>
      <c r="AR85" s="29"/>
      <c r="AS85" s="25"/>
      <c r="AT85" s="25"/>
      <c r="AU85" s="25"/>
      <c r="AV85" s="26"/>
      <c r="AW85" s="26"/>
      <c r="AX85" s="26"/>
      <c r="AY85" s="26"/>
      <c r="AZ85" s="26"/>
      <c r="BA85" s="26"/>
      <c r="BB85" s="26"/>
      <c r="BC85" s="26"/>
      <c r="BD85" s="27"/>
    </row>
    <row r="86" spans="1:56" ht="15" customHeight="1">
      <c r="A86" s="9"/>
      <c r="B86" s="9"/>
      <c r="C86" s="9"/>
      <c r="D86" s="9"/>
      <c r="E86" s="9"/>
      <c r="F86" s="24"/>
      <c r="G86" s="9"/>
      <c r="H86" s="24"/>
      <c r="I86" s="9"/>
      <c r="J86" s="24"/>
      <c r="K86" s="9"/>
      <c r="L86" s="24"/>
      <c r="M86" s="9"/>
      <c r="N86" s="24"/>
      <c r="O86" s="9"/>
      <c r="P86" s="24"/>
      <c r="Q86" s="9"/>
      <c r="R86" s="24"/>
      <c r="S86" s="9"/>
      <c r="T86" s="24"/>
      <c r="U86" s="9"/>
      <c r="V86" s="24"/>
      <c r="W86" s="9"/>
      <c r="X86" s="24"/>
      <c r="Y86" s="9"/>
      <c r="Z86" s="24"/>
      <c r="AA86" s="9"/>
      <c r="AB86" s="24"/>
      <c r="AC86" s="9"/>
      <c r="AD86" s="24"/>
      <c r="AE86" s="9"/>
      <c r="AF86" s="24"/>
      <c r="AG86" s="9"/>
      <c r="AH86" s="24"/>
      <c r="AI86" s="9"/>
      <c r="AJ86" s="24"/>
      <c r="AK86" s="9"/>
      <c r="AL86" s="24"/>
      <c r="AM86" s="9"/>
      <c r="AN86" s="24"/>
      <c r="AO86" s="9"/>
      <c r="AP86" s="24"/>
      <c r="AQ86" s="9"/>
      <c r="AR86" s="24"/>
      <c r="AS86" s="25"/>
      <c r="AT86" s="25"/>
      <c r="AU86" s="25"/>
      <c r="AV86" s="26"/>
      <c r="AW86" s="26"/>
      <c r="AX86" s="26"/>
      <c r="AY86" s="26"/>
      <c r="AZ86" s="26"/>
      <c r="BA86" s="26"/>
      <c r="BB86" s="26"/>
      <c r="BC86" s="26"/>
      <c r="BD86" s="27"/>
    </row>
    <row r="87" spans="1:56" ht="15" customHeight="1">
      <c r="A87" s="28"/>
      <c r="B87" s="28"/>
      <c r="C87" s="28"/>
      <c r="D87" s="28"/>
      <c r="E87" s="28"/>
      <c r="F87" s="29"/>
      <c r="G87" s="28"/>
      <c r="H87" s="29"/>
      <c r="I87" s="28"/>
      <c r="J87" s="29"/>
      <c r="K87" s="28"/>
      <c r="L87" s="29"/>
      <c r="M87" s="28"/>
      <c r="N87" s="29"/>
      <c r="O87" s="28"/>
      <c r="P87" s="29"/>
      <c r="Q87" s="28"/>
      <c r="R87" s="29"/>
      <c r="S87" s="28"/>
      <c r="T87" s="29"/>
      <c r="U87" s="28"/>
      <c r="V87" s="29"/>
      <c r="W87" s="28"/>
      <c r="X87" s="29"/>
      <c r="Y87" s="28"/>
      <c r="Z87" s="29"/>
      <c r="AA87" s="28"/>
      <c r="AB87" s="29"/>
      <c r="AC87" s="28"/>
      <c r="AD87" s="29"/>
      <c r="AE87" s="28"/>
      <c r="AF87" s="29"/>
      <c r="AG87" s="28"/>
      <c r="AH87" s="29"/>
      <c r="AI87" s="28"/>
      <c r="AJ87" s="29"/>
      <c r="AK87" s="28"/>
      <c r="AL87" s="29"/>
      <c r="AM87" s="28"/>
      <c r="AN87" s="29"/>
      <c r="AO87" s="28"/>
      <c r="AP87" s="29"/>
      <c r="AQ87" s="28"/>
      <c r="AR87" s="29"/>
      <c r="AS87" s="25"/>
      <c r="AT87" s="25"/>
      <c r="AU87" s="25"/>
      <c r="AV87" s="26"/>
      <c r="AW87" s="26"/>
      <c r="AX87" s="26"/>
      <c r="AY87" s="26"/>
      <c r="AZ87" s="26"/>
      <c r="BA87" s="26"/>
      <c r="BB87" s="26"/>
      <c r="BC87" s="26"/>
      <c r="BD87" s="27"/>
    </row>
    <row r="88" spans="1:56" ht="15" customHeight="1">
      <c r="A88" s="9"/>
      <c r="B88" s="9"/>
      <c r="C88" s="9"/>
      <c r="D88" s="9"/>
      <c r="E88" s="9"/>
      <c r="F88" s="24"/>
      <c r="G88" s="9"/>
      <c r="H88" s="24"/>
      <c r="I88" s="9"/>
      <c r="J88" s="24"/>
      <c r="K88" s="9"/>
      <c r="L88" s="24"/>
      <c r="M88" s="9"/>
      <c r="N88" s="24"/>
      <c r="O88" s="9"/>
      <c r="P88" s="24"/>
      <c r="Q88" s="9"/>
      <c r="R88" s="24"/>
      <c r="S88" s="9"/>
      <c r="T88" s="24"/>
      <c r="U88" s="9"/>
      <c r="V88" s="24"/>
      <c r="W88" s="9"/>
      <c r="X88" s="24"/>
      <c r="Y88" s="9"/>
      <c r="Z88" s="24"/>
      <c r="AA88" s="9"/>
      <c r="AB88" s="24"/>
      <c r="AC88" s="9"/>
      <c r="AD88" s="24"/>
      <c r="AE88" s="9"/>
      <c r="AF88" s="24"/>
      <c r="AG88" s="9"/>
      <c r="AH88" s="24"/>
      <c r="AI88" s="9"/>
      <c r="AJ88" s="24"/>
      <c r="AK88" s="9"/>
      <c r="AL88" s="24"/>
      <c r="AM88" s="9"/>
      <c r="AN88" s="24"/>
      <c r="AO88" s="9"/>
      <c r="AP88" s="24"/>
      <c r="AQ88" s="9"/>
      <c r="AR88" s="24"/>
      <c r="AS88" s="25"/>
      <c r="AT88" s="25"/>
      <c r="AU88" s="25"/>
      <c r="AV88" s="26"/>
      <c r="AW88" s="26"/>
      <c r="AX88" s="26"/>
      <c r="AY88" s="26"/>
      <c r="AZ88" s="26"/>
      <c r="BA88" s="26"/>
      <c r="BB88" s="26"/>
      <c r="BC88" s="26"/>
      <c r="BD88" s="27"/>
    </row>
    <row r="89" spans="1:56" ht="15" customHeight="1">
      <c r="A89" s="28"/>
      <c r="B89" s="28"/>
      <c r="C89" s="28"/>
      <c r="D89" s="28"/>
      <c r="E89" s="28"/>
      <c r="F89" s="29"/>
      <c r="G89" s="28"/>
      <c r="H89" s="29"/>
      <c r="I89" s="28"/>
      <c r="J89" s="29"/>
      <c r="K89" s="28"/>
      <c r="L89" s="29"/>
      <c r="M89" s="28"/>
      <c r="N89" s="29"/>
      <c r="O89" s="28"/>
      <c r="P89" s="29"/>
      <c r="Q89" s="28"/>
      <c r="R89" s="29"/>
      <c r="S89" s="28"/>
      <c r="T89" s="29"/>
      <c r="U89" s="28"/>
      <c r="V89" s="29"/>
      <c r="W89" s="28"/>
      <c r="X89" s="29"/>
      <c r="Y89" s="28"/>
      <c r="Z89" s="29"/>
      <c r="AA89" s="28"/>
      <c r="AB89" s="29"/>
      <c r="AC89" s="28"/>
      <c r="AD89" s="29"/>
      <c r="AE89" s="28"/>
      <c r="AF89" s="29"/>
      <c r="AG89" s="28"/>
      <c r="AH89" s="29"/>
      <c r="AI89" s="28"/>
      <c r="AJ89" s="29"/>
      <c r="AK89" s="28"/>
      <c r="AL89" s="29"/>
      <c r="AM89" s="28"/>
      <c r="AN89" s="29"/>
      <c r="AO89" s="28"/>
      <c r="AP89" s="29"/>
      <c r="AQ89" s="28"/>
      <c r="AR89" s="29"/>
      <c r="AS89" s="25"/>
      <c r="AT89" s="25"/>
      <c r="AU89" s="25"/>
      <c r="AV89" s="26"/>
      <c r="AW89" s="26"/>
      <c r="AX89" s="26"/>
      <c r="AY89" s="26"/>
      <c r="AZ89" s="26"/>
      <c r="BA89" s="26"/>
      <c r="BB89" s="26"/>
      <c r="BC89" s="26"/>
      <c r="BD89" s="27"/>
    </row>
    <row r="90" spans="1:56" ht="15" customHeight="1">
      <c r="A90" s="9"/>
      <c r="B90" s="9"/>
      <c r="C90" s="9"/>
      <c r="D90" s="9"/>
      <c r="E90" s="9"/>
      <c r="F90" s="24"/>
      <c r="G90" s="9"/>
      <c r="H90" s="24"/>
      <c r="I90" s="9"/>
      <c r="J90" s="24"/>
      <c r="K90" s="9"/>
      <c r="L90" s="24"/>
      <c r="M90" s="9"/>
      <c r="N90" s="24"/>
      <c r="O90" s="9"/>
      <c r="P90" s="24"/>
      <c r="Q90" s="9"/>
      <c r="R90" s="24"/>
      <c r="S90" s="9"/>
      <c r="T90" s="24"/>
      <c r="U90" s="9"/>
      <c r="V90" s="24"/>
      <c r="W90" s="9"/>
      <c r="X90" s="24"/>
      <c r="Y90" s="9"/>
      <c r="Z90" s="24"/>
      <c r="AA90" s="9"/>
      <c r="AB90" s="24"/>
      <c r="AC90" s="9"/>
      <c r="AD90" s="24"/>
      <c r="AE90" s="9"/>
      <c r="AF90" s="24"/>
      <c r="AG90" s="9"/>
      <c r="AH90" s="24"/>
      <c r="AI90" s="9"/>
      <c r="AJ90" s="24"/>
      <c r="AK90" s="9"/>
      <c r="AL90" s="24"/>
      <c r="AM90" s="9"/>
      <c r="AN90" s="24"/>
      <c r="AO90" s="9"/>
      <c r="AP90" s="24"/>
      <c r="AQ90" s="9"/>
      <c r="AR90" s="24"/>
      <c r="AS90" s="25"/>
      <c r="AT90" s="25"/>
      <c r="AU90" s="25"/>
      <c r="AV90" s="26"/>
      <c r="AW90" s="26"/>
      <c r="AX90" s="26"/>
      <c r="AY90" s="26"/>
      <c r="AZ90" s="26"/>
      <c r="BA90" s="26"/>
      <c r="BB90" s="26"/>
      <c r="BC90" s="26"/>
      <c r="BD90" s="27"/>
    </row>
    <row r="91" spans="1:56" ht="15" customHeight="1">
      <c r="A91" s="28"/>
      <c r="B91" s="28"/>
      <c r="C91" s="28"/>
      <c r="D91" s="28"/>
      <c r="E91" s="28"/>
      <c r="F91" s="29"/>
      <c r="G91" s="28"/>
      <c r="H91" s="29"/>
      <c r="I91" s="28"/>
      <c r="J91" s="29"/>
      <c r="K91" s="28"/>
      <c r="L91" s="29"/>
      <c r="M91" s="28"/>
      <c r="N91" s="29"/>
      <c r="O91" s="28"/>
      <c r="P91" s="29"/>
      <c r="Q91" s="28"/>
      <c r="R91" s="29"/>
      <c r="S91" s="28"/>
      <c r="T91" s="29"/>
      <c r="U91" s="28"/>
      <c r="V91" s="29"/>
      <c r="W91" s="28"/>
      <c r="X91" s="29"/>
      <c r="Y91" s="28"/>
      <c r="Z91" s="29"/>
      <c r="AA91" s="28"/>
      <c r="AB91" s="29"/>
      <c r="AC91" s="28"/>
      <c r="AD91" s="29"/>
      <c r="AE91" s="28"/>
      <c r="AF91" s="29"/>
      <c r="AG91" s="28"/>
      <c r="AH91" s="29"/>
      <c r="AI91" s="28"/>
      <c r="AJ91" s="29"/>
      <c r="AK91" s="28"/>
      <c r="AL91" s="29"/>
      <c r="AM91" s="28"/>
      <c r="AN91" s="29"/>
      <c r="AO91" s="28"/>
      <c r="AP91" s="29"/>
      <c r="AQ91" s="28"/>
      <c r="AR91" s="29"/>
      <c r="AS91" s="25"/>
      <c r="AT91" s="25"/>
      <c r="AU91" s="25"/>
      <c r="AV91" s="26"/>
      <c r="AW91" s="26"/>
      <c r="AX91" s="26"/>
      <c r="AY91" s="26"/>
      <c r="AZ91" s="26"/>
      <c r="BA91" s="26"/>
      <c r="BB91" s="26"/>
      <c r="BC91" s="26"/>
      <c r="BD91" s="27"/>
    </row>
    <row r="92" spans="1:56" ht="15" customHeight="1">
      <c r="A92" s="9"/>
      <c r="B92" s="9"/>
      <c r="C92" s="9"/>
      <c r="D92" s="9"/>
      <c r="E92" s="9"/>
      <c r="F92" s="24"/>
      <c r="G92" s="9"/>
      <c r="H92" s="24"/>
      <c r="I92" s="9"/>
      <c r="J92" s="24"/>
      <c r="K92" s="9"/>
      <c r="L92" s="24"/>
      <c r="M92" s="9"/>
      <c r="N92" s="24"/>
      <c r="O92" s="9"/>
      <c r="P92" s="24"/>
      <c r="Q92" s="9"/>
      <c r="R92" s="24"/>
      <c r="S92" s="9"/>
      <c r="T92" s="24"/>
      <c r="U92" s="9"/>
      <c r="V92" s="24"/>
      <c r="W92" s="9"/>
      <c r="X92" s="24"/>
      <c r="Y92" s="9"/>
      <c r="Z92" s="24"/>
      <c r="AA92" s="9"/>
      <c r="AB92" s="24"/>
      <c r="AC92" s="9"/>
      <c r="AD92" s="24"/>
      <c r="AE92" s="9"/>
      <c r="AF92" s="24"/>
      <c r="AG92" s="9"/>
      <c r="AH92" s="24"/>
      <c r="AI92" s="9"/>
      <c r="AJ92" s="24"/>
      <c r="AK92" s="9"/>
      <c r="AL92" s="24"/>
      <c r="AM92" s="9"/>
      <c r="AN92" s="24"/>
      <c r="AO92" s="9"/>
      <c r="AP92" s="24"/>
      <c r="AQ92" s="9"/>
      <c r="AR92" s="24"/>
      <c r="AS92" s="25"/>
      <c r="AT92" s="25"/>
      <c r="AU92" s="25"/>
      <c r="AV92" s="26"/>
      <c r="AW92" s="26"/>
      <c r="AX92" s="26"/>
      <c r="AY92" s="26"/>
      <c r="AZ92" s="26"/>
      <c r="BA92" s="26"/>
      <c r="BB92" s="26"/>
      <c r="BC92" s="26"/>
      <c r="BD92" s="27"/>
    </row>
    <row r="93" spans="1:56" ht="15" customHeight="1">
      <c r="A93" s="28"/>
      <c r="B93" s="28"/>
      <c r="C93" s="28"/>
      <c r="D93" s="28"/>
      <c r="E93" s="28"/>
      <c r="F93" s="29"/>
      <c r="G93" s="28"/>
      <c r="H93" s="29"/>
      <c r="I93" s="28"/>
      <c r="J93" s="29"/>
      <c r="K93" s="28"/>
      <c r="L93" s="29"/>
      <c r="M93" s="28"/>
      <c r="N93" s="29"/>
      <c r="O93" s="28"/>
      <c r="P93" s="29"/>
      <c r="Q93" s="28"/>
      <c r="R93" s="29"/>
      <c r="S93" s="28"/>
      <c r="T93" s="29"/>
      <c r="U93" s="28"/>
      <c r="V93" s="29"/>
      <c r="W93" s="28"/>
      <c r="X93" s="29"/>
      <c r="Y93" s="28"/>
      <c r="Z93" s="29"/>
      <c r="AA93" s="28"/>
      <c r="AB93" s="29"/>
      <c r="AC93" s="28"/>
      <c r="AD93" s="29"/>
      <c r="AE93" s="28"/>
      <c r="AF93" s="29"/>
      <c r="AG93" s="28"/>
      <c r="AH93" s="29"/>
      <c r="AI93" s="28"/>
      <c r="AJ93" s="29"/>
      <c r="AK93" s="28"/>
      <c r="AL93" s="29"/>
      <c r="AM93" s="28"/>
      <c r="AN93" s="29"/>
      <c r="AO93" s="28"/>
      <c r="AP93" s="29"/>
      <c r="AQ93" s="28"/>
      <c r="AR93" s="29"/>
      <c r="AS93" s="25"/>
      <c r="AT93" s="25"/>
      <c r="AU93" s="25"/>
      <c r="AV93" s="26"/>
      <c r="AW93" s="26"/>
      <c r="AX93" s="26"/>
      <c r="AY93" s="26"/>
      <c r="AZ93" s="26"/>
      <c r="BA93" s="26"/>
      <c r="BB93" s="26"/>
      <c r="BC93" s="26"/>
      <c r="BD93" s="27"/>
    </row>
    <row r="94" spans="1:56" ht="15" customHeight="1">
      <c r="A94" s="9"/>
      <c r="B94" s="9"/>
      <c r="C94" s="9"/>
      <c r="D94" s="9"/>
      <c r="E94" s="9"/>
      <c r="F94" s="24"/>
      <c r="G94" s="9"/>
      <c r="H94" s="24"/>
      <c r="I94" s="9"/>
      <c r="J94" s="24"/>
      <c r="K94" s="9"/>
      <c r="L94" s="24"/>
      <c r="M94" s="9"/>
      <c r="N94" s="24"/>
      <c r="O94" s="9"/>
      <c r="P94" s="24"/>
      <c r="Q94" s="9"/>
      <c r="R94" s="24"/>
      <c r="S94" s="9"/>
      <c r="T94" s="24"/>
      <c r="U94" s="9"/>
      <c r="V94" s="24"/>
      <c r="W94" s="9"/>
      <c r="X94" s="24"/>
      <c r="Y94" s="9"/>
      <c r="Z94" s="24"/>
      <c r="AA94" s="9"/>
      <c r="AB94" s="24"/>
      <c r="AC94" s="9"/>
      <c r="AD94" s="24"/>
      <c r="AE94" s="9"/>
      <c r="AF94" s="24"/>
      <c r="AG94" s="9"/>
      <c r="AH94" s="24"/>
      <c r="AI94" s="9"/>
      <c r="AJ94" s="24"/>
      <c r="AK94" s="9"/>
      <c r="AL94" s="24"/>
      <c r="AM94" s="9"/>
      <c r="AN94" s="24"/>
      <c r="AO94" s="9"/>
      <c r="AP94" s="24"/>
      <c r="AQ94" s="9"/>
      <c r="AR94" s="24"/>
      <c r="AS94" s="25"/>
      <c r="AT94" s="25"/>
      <c r="AU94" s="25"/>
      <c r="AV94" s="26"/>
      <c r="AW94" s="26"/>
      <c r="AX94" s="26"/>
      <c r="AY94" s="26"/>
      <c r="AZ94" s="26"/>
      <c r="BA94" s="26"/>
      <c r="BB94" s="26"/>
      <c r="BC94" s="26"/>
      <c r="BD94" s="27"/>
    </row>
    <row r="95" spans="1:56" ht="15" customHeight="1">
      <c r="A95" s="28"/>
      <c r="B95" s="28"/>
      <c r="C95" s="28"/>
      <c r="D95" s="28"/>
      <c r="E95" s="28"/>
      <c r="F95" s="29"/>
      <c r="G95" s="28"/>
      <c r="H95" s="29"/>
      <c r="I95" s="28"/>
      <c r="J95" s="29"/>
      <c r="K95" s="28"/>
      <c r="L95" s="29"/>
      <c r="M95" s="28"/>
      <c r="N95" s="29"/>
      <c r="O95" s="28"/>
      <c r="P95" s="29"/>
      <c r="Q95" s="28"/>
      <c r="R95" s="29"/>
      <c r="S95" s="28"/>
      <c r="T95" s="29"/>
      <c r="U95" s="28"/>
      <c r="V95" s="29"/>
      <c r="W95" s="28"/>
      <c r="X95" s="29"/>
      <c r="Y95" s="28"/>
      <c r="Z95" s="29"/>
      <c r="AA95" s="28"/>
      <c r="AB95" s="29"/>
      <c r="AC95" s="28"/>
      <c r="AD95" s="29"/>
      <c r="AE95" s="28"/>
      <c r="AF95" s="29"/>
      <c r="AG95" s="28"/>
      <c r="AH95" s="29"/>
      <c r="AI95" s="28"/>
      <c r="AJ95" s="29"/>
      <c r="AK95" s="28"/>
      <c r="AL95" s="29"/>
      <c r="AM95" s="28"/>
      <c r="AN95" s="29"/>
      <c r="AO95" s="28"/>
      <c r="AP95" s="29"/>
      <c r="AQ95" s="28"/>
      <c r="AR95" s="29"/>
      <c r="AS95" s="25"/>
      <c r="AT95" s="25"/>
      <c r="AU95" s="25"/>
      <c r="AV95" s="26"/>
      <c r="AW95" s="26"/>
      <c r="AX95" s="26"/>
      <c r="AY95" s="26"/>
      <c r="AZ95" s="26"/>
      <c r="BA95" s="26"/>
      <c r="BB95" s="26"/>
      <c r="BC95" s="26"/>
      <c r="BD95" s="27"/>
    </row>
    <row r="96" spans="1:56" ht="15" customHeight="1">
      <c r="A96" s="9"/>
      <c r="B96" s="9"/>
      <c r="C96" s="9"/>
      <c r="D96" s="9"/>
      <c r="E96" s="9"/>
      <c r="F96" s="24"/>
      <c r="G96" s="9"/>
      <c r="H96" s="24"/>
      <c r="I96" s="9"/>
      <c r="J96" s="24"/>
      <c r="K96" s="9"/>
      <c r="L96" s="24"/>
      <c r="M96" s="9"/>
      <c r="N96" s="24"/>
      <c r="O96" s="9"/>
      <c r="P96" s="24"/>
      <c r="Q96" s="9"/>
      <c r="R96" s="24"/>
      <c r="S96" s="9"/>
      <c r="T96" s="24"/>
      <c r="U96" s="9"/>
      <c r="V96" s="24"/>
      <c r="W96" s="9"/>
      <c r="X96" s="24"/>
      <c r="Y96" s="9"/>
      <c r="Z96" s="24"/>
      <c r="AA96" s="9"/>
      <c r="AB96" s="24"/>
      <c r="AC96" s="9"/>
      <c r="AD96" s="24"/>
      <c r="AE96" s="9"/>
      <c r="AF96" s="24"/>
      <c r="AG96" s="9"/>
      <c r="AH96" s="24"/>
      <c r="AI96" s="9"/>
      <c r="AJ96" s="24"/>
      <c r="AK96" s="9"/>
      <c r="AL96" s="24"/>
      <c r="AM96" s="9"/>
      <c r="AN96" s="24"/>
      <c r="AO96" s="9"/>
      <c r="AP96" s="24"/>
      <c r="AQ96" s="9"/>
      <c r="AR96" s="24"/>
      <c r="AS96" s="25"/>
      <c r="AT96" s="25"/>
      <c r="AU96" s="25"/>
      <c r="AV96" s="26"/>
      <c r="AW96" s="26"/>
      <c r="AX96" s="26"/>
      <c r="AY96" s="26"/>
      <c r="AZ96" s="26"/>
      <c r="BA96" s="26"/>
      <c r="BB96" s="26"/>
      <c r="BC96" s="26"/>
      <c r="BD96" s="27"/>
    </row>
    <row r="97" spans="1:56" ht="15" customHeight="1">
      <c r="A97" s="28"/>
      <c r="B97" s="28"/>
      <c r="C97" s="28"/>
      <c r="D97" s="28"/>
      <c r="E97" s="28"/>
      <c r="F97" s="29"/>
      <c r="G97" s="28"/>
      <c r="H97" s="29"/>
      <c r="I97" s="28"/>
      <c r="J97" s="29"/>
      <c r="K97" s="28"/>
      <c r="L97" s="29"/>
      <c r="M97" s="28"/>
      <c r="N97" s="29"/>
      <c r="O97" s="28"/>
      <c r="P97" s="29"/>
      <c r="Q97" s="28"/>
      <c r="R97" s="29"/>
      <c r="S97" s="28"/>
      <c r="T97" s="29"/>
      <c r="U97" s="28"/>
      <c r="V97" s="29"/>
      <c r="W97" s="28"/>
      <c r="X97" s="29"/>
      <c r="Y97" s="28"/>
      <c r="Z97" s="29"/>
      <c r="AA97" s="28"/>
      <c r="AB97" s="29"/>
      <c r="AC97" s="28"/>
      <c r="AD97" s="29"/>
      <c r="AE97" s="28"/>
      <c r="AF97" s="29"/>
      <c r="AG97" s="28"/>
      <c r="AH97" s="29"/>
      <c r="AI97" s="28"/>
      <c r="AJ97" s="29"/>
      <c r="AK97" s="28"/>
      <c r="AL97" s="29"/>
      <c r="AM97" s="28"/>
      <c r="AN97" s="29"/>
      <c r="AO97" s="28"/>
      <c r="AP97" s="29"/>
      <c r="AQ97" s="28"/>
      <c r="AR97" s="29"/>
      <c r="AS97" s="25"/>
      <c r="AT97" s="25"/>
      <c r="AU97" s="25"/>
      <c r="AV97" s="26"/>
      <c r="AW97" s="26"/>
      <c r="AX97" s="26"/>
      <c r="AY97" s="26"/>
      <c r="AZ97" s="26"/>
      <c r="BA97" s="26"/>
      <c r="BB97" s="26"/>
      <c r="BC97" s="26"/>
      <c r="BD97" s="27"/>
    </row>
    <row r="98" spans="1:56" ht="15" customHeight="1">
      <c r="A98" s="9"/>
      <c r="B98" s="9"/>
      <c r="C98" s="9"/>
      <c r="D98" s="9"/>
      <c r="E98" s="9"/>
      <c r="F98" s="24"/>
      <c r="G98" s="9"/>
      <c r="H98" s="24"/>
      <c r="I98" s="9"/>
      <c r="J98" s="24"/>
      <c r="K98" s="9"/>
      <c r="L98" s="24"/>
      <c r="M98" s="9"/>
      <c r="N98" s="24"/>
      <c r="O98" s="9"/>
      <c r="P98" s="24"/>
      <c r="Q98" s="9"/>
      <c r="R98" s="24"/>
      <c r="S98" s="9"/>
      <c r="T98" s="24"/>
      <c r="U98" s="9"/>
      <c r="V98" s="24"/>
      <c r="W98" s="9"/>
      <c r="X98" s="24"/>
      <c r="Y98" s="9"/>
      <c r="Z98" s="24"/>
      <c r="AA98" s="9"/>
      <c r="AB98" s="24"/>
      <c r="AC98" s="9"/>
      <c r="AD98" s="24"/>
      <c r="AE98" s="9"/>
      <c r="AF98" s="24"/>
      <c r="AG98" s="9"/>
      <c r="AH98" s="24"/>
      <c r="AI98" s="9"/>
      <c r="AJ98" s="24"/>
      <c r="AK98" s="9"/>
      <c r="AL98" s="24"/>
      <c r="AM98" s="9"/>
      <c r="AN98" s="24"/>
      <c r="AO98" s="9"/>
      <c r="AP98" s="24"/>
      <c r="AQ98" s="9"/>
      <c r="AR98" s="24"/>
      <c r="AS98" s="25"/>
      <c r="AT98" s="25"/>
      <c r="AU98" s="25"/>
      <c r="AV98" s="26"/>
      <c r="AW98" s="26"/>
      <c r="AX98" s="26"/>
      <c r="AY98" s="26"/>
      <c r="AZ98" s="26"/>
      <c r="BA98" s="26"/>
      <c r="BB98" s="26"/>
      <c r="BC98" s="26"/>
      <c r="BD98" s="27"/>
    </row>
    <row r="99" spans="1:56" ht="15" customHeight="1">
      <c r="A99" s="28"/>
      <c r="B99" s="28"/>
      <c r="C99" s="28"/>
      <c r="D99" s="28"/>
      <c r="E99" s="28"/>
      <c r="F99" s="29"/>
      <c r="G99" s="28"/>
      <c r="H99" s="29"/>
      <c r="I99" s="28"/>
      <c r="J99" s="29"/>
      <c r="K99" s="28"/>
      <c r="L99" s="29"/>
      <c r="M99" s="28"/>
      <c r="N99" s="29"/>
      <c r="O99" s="28"/>
      <c r="P99" s="29"/>
      <c r="Q99" s="28"/>
      <c r="R99" s="29"/>
      <c r="S99" s="28"/>
      <c r="T99" s="29"/>
      <c r="U99" s="28"/>
      <c r="V99" s="29"/>
      <c r="W99" s="28"/>
      <c r="X99" s="29"/>
      <c r="Y99" s="28"/>
      <c r="Z99" s="29"/>
      <c r="AA99" s="28"/>
      <c r="AB99" s="29"/>
      <c r="AC99" s="28"/>
      <c r="AD99" s="29"/>
      <c r="AE99" s="28"/>
      <c r="AF99" s="29"/>
      <c r="AG99" s="28"/>
      <c r="AH99" s="29"/>
      <c r="AI99" s="28"/>
      <c r="AJ99" s="29"/>
      <c r="AK99" s="28"/>
      <c r="AL99" s="29"/>
      <c r="AM99" s="28"/>
      <c r="AN99" s="29"/>
      <c r="AO99" s="28"/>
      <c r="AP99" s="29"/>
      <c r="AQ99" s="28"/>
      <c r="AR99" s="29"/>
      <c r="AS99" s="25"/>
      <c r="AT99" s="25"/>
      <c r="AU99" s="25"/>
      <c r="AV99" s="26"/>
      <c r="AW99" s="26"/>
      <c r="AX99" s="26"/>
      <c r="AY99" s="26"/>
      <c r="AZ99" s="26"/>
      <c r="BA99" s="26"/>
      <c r="BB99" s="26"/>
      <c r="BC99" s="26"/>
      <c r="BD99" s="27"/>
    </row>
    <row r="100" spans="1:56" ht="15" customHeight="1">
      <c r="A100" s="9"/>
      <c r="B100" s="9"/>
      <c r="C100" s="9"/>
      <c r="D100" s="9"/>
      <c r="E100" s="9"/>
      <c r="F100" s="24"/>
      <c r="G100" s="9"/>
      <c r="H100" s="24"/>
      <c r="I100" s="9"/>
      <c r="J100" s="24"/>
      <c r="K100" s="9"/>
      <c r="L100" s="24"/>
      <c r="M100" s="9"/>
      <c r="N100" s="24"/>
      <c r="O100" s="9"/>
      <c r="P100" s="24"/>
      <c r="Q100" s="9"/>
      <c r="R100" s="24"/>
      <c r="S100" s="9"/>
      <c r="T100" s="24"/>
      <c r="U100" s="9"/>
      <c r="V100" s="24"/>
      <c r="W100" s="9"/>
      <c r="X100" s="24"/>
      <c r="Y100" s="9"/>
      <c r="Z100" s="24"/>
      <c r="AA100" s="9"/>
      <c r="AB100" s="24"/>
      <c r="AC100" s="9"/>
      <c r="AD100" s="24"/>
      <c r="AE100" s="9"/>
      <c r="AF100" s="24"/>
      <c r="AG100" s="9"/>
      <c r="AH100" s="24"/>
      <c r="AI100" s="9"/>
      <c r="AJ100" s="24"/>
      <c r="AK100" s="9"/>
      <c r="AL100" s="24"/>
      <c r="AM100" s="9"/>
      <c r="AN100" s="24"/>
      <c r="AO100" s="9"/>
      <c r="AP100" s="24"/>
      <c r="AQ100" s="9"/>
      <c r="AR100" s="24"/>
      <c r="AS100" s="25"/>
      <c r="AT100" s="25"/>
      <c r="AU100" s="25"/>
      <c r="AV100" s="26"/>
      <c r="AW100" s="26"/>
      <c r="AX100" s="26"/>
      <c r="AY100" s="26"/>
      <c r="AZ100" s="26"/>
      <c r="BA100" s="26"/>
      <c r="BB100" s="26"/>
      <c r="BC100" s="26"/>
      <c r="BD100" s="27"/>
    </row>
    <row r="101" spans="1:56" ht="15" customHeight="1">
      <c r="A101" s="28"/>
      <c r="B101" s="28"/>
      <c r="C101" s="28"/>
      <c r="D101" s="28"/>
      <c r="E101" s="28"/>
      <c r="F101" s="29"/>
      <c r="G101" s="28"/>
      <c r="H101" s="29"/>
      <c r="I101" s="28"/>
      <c r="J101" s="29"/>
      <c r="K101" s="28"/>
      <c r="L101" s="29"/>
      <c r="M101" s="28"/>
      <c r="N101" s="29"/>
      <c r="O101" s="28"/>
      <c r="P101" s="29"/>
      <c r="Q101" s="28"/>
      <c r="R101" s="29"/>
      <c r="S101" s="28"/>
      <c r="T101" s="29"/>
      <c r="U101" s="28"/>
      <c r="V101" s="29"/>
      <c r="W101" s="28"/>
      <c r="X101" s="29"/>
      <c r="Y101" s="28"/>
      <c r="Z101" s="29"/>
      <c r="AA101" s="28"/>
      <c r="AB101" s="29"/>
      <c r="AC101" s="28"/>
      <c r="AD101" s="29"/>
      <c r="AE101" s="28"/>
      <c r="AF101" s="29"/>
      <c r="AG101" s="28"/>
      <c r="AH101" s="29"/>
      <c r="AI101" s="28"/>
      <c r="AJ101" s="29"/>
      <c r="AK101" s="28"/>
      <c r="AL101" s="29"/>
      <c r="AM101" s="28"/>
      <c r="AN101" s="29"/>
      <c r="AO101" s="28"/>
      <c r="AP101" s="29"/>
      <c r="AQ101" s="28"/>
      <c r="AR101" s="29"/>
      <c r="AS101" s="25"/>
      <c r="AT101" s="25"/>
      <c r="AU101" s="25"/>
      <c r="AV101" s="26"/>
      <c r="AW101" s="26"/>
      <c r="AX101" s="26"/>
      <c r="AY101" s="26"/>
      <c r="AZ101" s="26"/>
      <c r="BA101" s="26"/>
      <c r="BB101" s="26"/>
      <c r="BC101" s="26"/>
      <c r="BD101" s="27"/>
    </row>
    <row r="102" spans="1:56" ht="15" customHeight="1">
      <c r="A102" s="9"/>
      <c r="B102" s="9"/>
      <c r="C102" s="9"/>
      <c r="D102" s="9"/>
      <c r="E102" s="9"/>
      <c r="F102" s="24"/>
      <c r="G102" s="9"/>
      <c r="H102" s="24"/>
      <c r="I102" s="9"/>
      <c r="J102" s="24"/>
      <c r="K102" s="9"/>
      <c r="L102" s="24"/>
      <c r="M102" s="9"/>
      <c r="N102" s="24"/>
      <c r="O102" s="9"/>
      <c r="P102" s="24"/>
      <c r="Q102" s="9"/>
      <c r="R102" s="24"/>
      <c r="S102" s="9"/>
      <c r="T102" s="24"/>
      <c r="U102" s="9"/>
      <c r="V102" s="24"/>
      <c r="W102" s="9"/>
      <c r="X102" s="24"/>
      <c r="Y102" s="9"/>
      <c r="Z102" s="24"/>
      <c r="AA102" s="9"/>
      <c r="AB102" s="24"/>
      <c r="AC102" s="9"/>
      <c r="AD102" s="24"/>
      <c r="AE102" s="9"/>
      <c r="AF102" s="24"/>
      <c r="AG102" s="9"/>
      <c r="AH102" s="24"/>
      <c r="AI102" s="9"/>
      <c r="AJ102" s="24"/>
      <c r="AK102" s="9"/>
      <c r="AL102" s="24"/>
      <c r="AM102" s="9"/>
      <c r="AN102" s="24"/>
      <c r="AO102" s="9"/>
      <c r="AP102" s="24"/>
      <c r="AQ102" s="9"/>
      <c r="AR102" s="24"/>
      <c r="AS102" s="25"/>
      <c r="AT102" s="25"/>
      <c r="AU102" s="25"/>
      <c r="AV102" s="26"/>
      <c r="AW102" s="26"/>
      <c r="AX102" s="26"/>
      <c r="AY102" s="26"/>
      <c r="AZ102" s="26"/>
      <c r="BA102" s="26"/>
      <c r="BB102" s="26"/>
      <c r="BC102" s="26"/>
      <c r="BD102" s="27"/>
    </row>
    <row r="103" spans="1:56" ht="15" customHeight="1">
      <c r="A103" s="28"/>
      <c r="B103" s="28"/>
      <c r="C103" s="28"/>
      <c r="D103" s="28"/>
      <c r="E103" s="28"/>
      <c r="F103" s="29"/>
      <c r="G103" s="28"/>
      <c r="H103" s="29"/>
      <c r="I103" s="28"/>
      <c r="J103" s="29"/>
      <c r="K103" s="28"/>
      <c r="L103" s="29"/>
      <c r="M103" s="28"/>
      <c r="N103" s="29"/>
      <c r="O103" s="28"/>
      <c r="P103" s="29"/>
      <c r="Q103" s="28"/>
      <c r="R103" s="29"/>
      <c r="S103" s="28"/>
      <c r="T103" s="29"/>
      <c r="U103" s="28"/>
      <c r="V103" s="29"/>
      <c r="W103" s="28"/>
      <c r="X103" s="29"/>
      <c r="Y103" s="28"/>
      <c r="Z103" s="29"/>
      <c r="AA103" s="28"/>
      <c r="AB103" s="29"/>
      <c r="AC103" s="28"/>
      <c r="AD103" s="29"/>
      <c r="AE103" s="28"/>
      <c r="AF103" s="29"/>
      <c r="AG103" s="28"/>
      <c r="AH103" s="29"/>
      <c r="AI103" s="28"/>
      <c r="AJ103" s="29"/>
      <c r="AK103" s="28"/>
      <c r="AL103" s="29"/>
      <c r="AM103" s="28"/>
      <c r="AN103" s="29"/>
      <c r="AO103" s="28"/>
      <c r="AP103" s="29"/>
      <c r="AQ103" s="28"/>
      <c r="AR103" s="29"/>
      <c r="AS103" s="25"/>
      <c r="AT103" s="25"/>
      <c r="AU103" s="25"/>
      <c r="AV103" s="26"/>
      <c r="AW103" s="26"/>
      <c r="AX103" s="26"/>
      <c r="AY103" s="26"/>
      <c r="AZ103" s="26"/>
      <c r="BA103" s="26"/>
      <c r="BB103" s="26"/>
      <c r="BC103" s="26"/>
      <c r="BD103" s="27"/>
    </row>
    <row r="104" spans="1:56" ht="15" customHeight="1">
      <c r="A104" s="9"/>
      <c r="B104" s="9"/>
      <c r="C104" s="9"/>
      <c r="D104" s="9"/>
      <c r="E104" s="9"/>
      <c r="F104" s="24"/>
      <c r="G104" s="9"/>
      <c r="H104" s="24"/>
      <c r="I104" s="9"/>
      <c r="J104" s="24"/>
      <c r="K104" s="9"/>
      <c r="L104" s="24"/>
      <c r="M104" s="9"/>
      <c r="N104" s="24"/>
      <c r="O104" s="9"/>
      <c r="P104" s="24"/>
      <c r="Q104" s="9"/>
      <c r="R104" s="24"/>
      <c r="S104" s="9"/>
      <c r="T104" s="24"/>
      <c r="U104" s="9"/>
      <c r="V104" s="24"/>
      <c r="W104" s="9"/>
      <c r="X104" s="24"/>
      <c r="Y104" s="9"/>
      <c r="Z104" s="24"/>
      <c r="AA104" s="9"/>
      <c r="AB104" s="24"/>
      <c r="AC104" s="9"/>
      <c r="AD104" s="24"/>
      <c r="AE104" s="9"/>
      <c r="AF104" s="24"/>
      <c r="AG104" s="9"/>
      <c r="AH104" s="24"/>
      <c r="AI104" s="9"/>
      <c r="AJ104" s="24"/>
      <c r="AK104" s="9"/>
      <c r="AL104" s="24"/>
      <c r="AM104" s="9"/>
      <c r="AN104" s="24"/>
      <c r="AO104" s="9"/>
      <c r="AP104" s="24"/>
      <c r="AQ104" s="9"/>
      <c r="AR104" s="24"/>
      <c r="AS104" s="25"/>
      <c r="AT104" s="25"/>
      <c r="AU104" s="25"/>
      <c r="AV104" s="26"/>
      <c r="AW104" s="26"/>
      <c r="AX104" s="26"/>
      <c r="AY104" s="26"/>
      <c r="AZ104" s="26"/>
      <c r="BA104" s="26"/>
      <c r="BB104" s="26"/>
      <c r="BC104" s="26"/>
      <c r="BD104" s="27"/>
    </row>
    <row r="105" spans="1:56" ht="15" customHeight="1">
      <c r="A105" s="28"/>
      <c r="B105" s="28"/>
      <c r="C105" s="28"/>
      <c r="D105" s="28"/>
      <c r="E105" s="28"/>
      <c r="F105" s="29"/>
      <c r="G105" s="28"/>
      <c r="H105" s="29"/>
      <c r="I105" s="28"/>
      <c r="J105" s="29"/>
      <c r="K105" s="28"/>
      <c r="L105" s="29"/>
      <c r="M105" s="28"/>
      <c r="N105" s="29"/>
      <c r="O105" s="28"/>
      <c r="P105" s="29"/>
      <c r="Q105" s="28"/>
      <c r="R105" s="29"/>
      <c r="S105" s="28"/>
      <c r="T105" s="29"/>
      <c r="U105" s="28"/>
      <c r="V105" s="29"/>
      <c r="W105" s="28"/>
      <c r="X105" s="29"/>
      <c r="Y105" s="28"/>
      <c r="Z105" s="29"/>
      <c r="AA105" s="28"/>
      <c r="AB105" s="29"/>
      <c r="AC105" s="28"/>
      <c r="AD105" s="29"/>
      <c r="AE105" s="28"/>
      <c r="AF105" s="29"/>
      <c r="AG105" s="28"/>
      <c r="AH105" s="29"/>
      <c r="AI105" s="28"/>
      <c r="AJ105" s="29"/>
      <c r="AK105" s="28"/>
      <c r="AL105" s="29"/>
      <c r="AM105" s="28"/>
      <c r="AN105" s="29"/>
      <c r="AO105" s="28"/>
      <c r="AP105" s="29"/>
      <c r="AQ105" s="28"/>
      <c r="AR105" s="29"/>
      <c r="AS105" s="25"/>
      <c r="AT105" s="25"/>
      <c r="AU105" s="25"/>
      <c r="AV105" s="26"/>
      <c r="AW105" s="26"/>
      <c r="AX105" s="26"/>
      <c r="AY105" s="26"/>
      <c r="AZ105" s="26"/>
      <c r="BA105" s="26"/>
      <c r="BB105" s="26"/>
      <c r="BC105" s="26"/>
      <c r="BD105" s="27"/>
    </row>
    <row r="106" spans="1:56" ht="15" customHeight="1">
      <c r="A106" s="9"/>
      <c r="B106" s="9"/>
      <c r="C106" s="9"/>
      <c r="D106" s="9"/>
      <c r="E106" s="9"/>
      <c r="F106" s="24"/>
      <c r="G106" s="9"/>
      <c r="H106" s="24"/>
      <c r="I106" s="9"/>
      <c r="J106" s="24"/>
      <c r="K106" s="9"/>
      <c r="L106" s="24"/>
      <c r="M106" s="9"/>
      <c r="N106" s="24"/>
      <c r="O106" s="9"/>
      <c r="P106" s="24"/>
      <c r="Q106" s="9"/>
      <c r="R106" s="24"/>
      <c r="S106" s="9"/>
      <c r="T106" s="24"/>
      <c r="U106" s="9"/>
      <c r="V106" s="24"/>
      <c r="W106" s="9"/>
      <c r="X106" s="24"/>
      <c r="Y106" s="9"/>
      <c r="Z106" s="24"/>
      <c r="AA106" s="9"/>
      <c r="AB106" s="24"/>
      <c r="AC106" s="9"/>
      <c r="AD106" s="24"/>
      <c r="AE106" s="9"/>
      <c r="AF106" s="24"/>
      <c r="AG106" s="9"/>
      <c r="AH106" s="24"/>
      <c r="AI106" s="9"/>
      <c r="AJ106" s="24"/>
      <c r="AK106" s="9"/>
      <c r="AL106" s="24"/>
      <c r="AM106" s="9"/>
      <c r="AN106" s="24"/>
      <c r="AO106" s="9"/>
      <c r="AP106" s="24"/>
      <c r="AQ106" s="9"/>
      <c r="AR106" s="24"/>
      <c r="AS106" s="25"/>
      <c r="AT106" s="25"/>
      <c r="AU106" s="25"/>
      <c r="AV106" s="26"/>
      <c r="AW106" s="26"/>
      <c r="AX106" s="26"/>
      <c r="AY106" s="26"/>
      <c r="AZ106" s="26"/>
      <c r="BA106" s="26"/>
      <c r="BB106" s="26"/>
      <c r="BC106" s="26"/>
      <c r="BD106" s="27"/>
    </row>
    <row r="107" spans="1:56" ht="15" customHeight="1">
      <c r="A107" s="28"/>
      <c r="B107" s="28"/>
      <c r="C107" s="28"/>
      <c r="D107" s="28"/>
      <c r="E107" s="28"/>
      <c r="F107" s="29"/>
      <c r="G107" s="28"/>
      <c r="H107" s="29"/>
      <c r="I107" s="28"/>
      <c r="J107" s="29"/>
      <c r="K107" s="28"/>
      <c r="L107" s="29"/>
      <c r="M107" s="28"/>
      <c r="N107" s="29"/>
      <c r="O107" s="28"/>
      <c r="P107" s="29"/>
      <c r="Q107" s="28"/>
      <c r="R107" s="29"/>
      <c r="S107" s="28"/>
      <c r="T107" s="29"/>
      <c r="U107" s="28"/>
      <c r="V107" s="29"/>
      <c r="W107" s="28"/>
      <c r="X107" s="29"/>
      <c r="Y107" s="28"/>
      <c r="Z107" s="29"/>
      <c r="AA107" s="28"/>
      <c r="AB107" s="29"/>
      <c r="AC107" s="28"/>
      <c r="AD107" s="29"/>
      <c r="AE107" s="28"/>
      <c r="AF107" s="29"/>
      <c r="AG107" s="28"/>
      <c r="AH107" s="29"/>
      <c r="AI107" s="28"/>
      <c r="AJ107" s="29"/>
      <c r="AK107" s="28"/>
      <c r="AL107" s="29"/>
      <c r="AM107" s="28"/>
      <c r="AN107" s="29"/>
      <c r="AO107" s="28"/>
      <c r="AP107" s="29"/>
      <c r="AQ107" s="28"/>
      <c r="AR107" s="29"/>
      <c r="AS107" s="25"/>
      <c r="AT107" s="25"/>
      <c r="AU107" s="25"/>
      <c r="AV107" s="26"/>
      <c r="AW107" s="26"/>
      <c r="AX107" s="26"/>
      <c r="AY107" s="26"/>
      <c r="AZ107" s="26"/>
      <c r="BA107" s="26"/>
      <c r="BB107" s="26"/>
      <c r="BC107" s="26"/>
      <c r="BD107" s="27"/>
    </row>
    <row r="108" spans="1:56" ht="15" customHeight="1">
      <c r="A108" s="9"/>
      <c r="B108" s="9"/>
      <c r="C108" s="9"/>
      <c r="D108" s="9"/>
      <c r="E108" s="9"/>
      <c r="F108" s="24"/>
      <c r="G108" s="9"/>
      <c r="H108" s="24"/>
      <c r="I108" s="9"/>
      <c r="J108" s="24"/>
      <c r="K108" s="9"/>
      <c r="L108" s="24"/>
      <c r="M108" s="9"/>
      <c r="N108" s="24"/>
      <c r="O108" s="9"/>
      <c r="P108" s="24"/>
      <c r="Q108" s="9"/>
      <c r="R108" s="24"/>
      <c r="S108" s="9"/>
      <c r="T108" s="24"/>
      <c r="U108" s="9"/>
      <c r="V108" s="24"/>
      <c r="W108" s="9"/>
      <c r="X108" s="24"/>
      <c r="Y108" s="9"/>
      <c r="Z108" s="24"/>
      <c r="AA108" s="9"/>
      <c r="AB108" s="24"/>
      <c r="AC108" s="9"/>
      <c r="AD108" s="24"/>
      <c r="AE108" s="9"/>
      <c r="AF108" s="24"/>
      <c r="AG108" s="9"/>
      <c r="AH108" s="24"/>
      <c r="AI108" s="9"/>
      <c r="AJ108" s="24"/>
      <c r="AK108" s="9"/>
      <c r="AL108" s="24"/>
      <c r="AM108" s="9"/>
      <c r="AN108" s="24"/>
      <c r="AO108" s="9"/>
      <c r="AP108" s="24"/>
      <c r="AQ108" s="9"/>
      <c r="AR108" s="24"/>
      <c r="AS108" s="25"/>
      <c r="AT108" s="25"/>
      <c r="AU108" s="25"/>
      <c r="AV108" s="26"/>
      <c r="AW108" s="26"/>
      <c r="AX108" s="26"/>
      <c r="AY108" s="26"/>
      <c r="AZ108" s="26"/>
      <c r="BA108" s="26"/>
      <c r="BB108" s="26"/>
      <c r="BC108" s="26"/>
      <c r="BD108" s="27"/>
    </row>
    <row r="109" spans="1:56" ht="15" customHeight="1">
      <c r="A109" s="28"/>
      <c r="B109" s="28"/>
      <c r="C109" s="28"/>
      <c r="D109" s="28"/>
      <c r="E109" s="28"/>
      <c r="F109" s="29"/>
      <c r="G109" s="28"/>
      <c r="H109" s="29"/>
      <c r="I109" s="28"/>
      <c r="J109" s="29"/>
      <c r="K109" s="28"/>
      <c r="L109" s="29"/>
      <c r="M109" s="28"/>
      <c r="N109" s="29"/>
      <c r="O109" s="28"/>
      <c r="P109" s="29"/>
      <c r="Q109" s="28"/>
      <c r="R109" s="29"/>
      <c r="S109" s="28"/>
      <c r="T109" s="29"/>
      <c r="U109" s="28"/>
      <c r="V109" s="29"/>
      <c r="W109" s="28"/>
      <c r="X109" s="29"/>
      <c r="Y109" s="28"/>
      <c r="Z109" s="29"/>
      <c r="AA109" s="28"/>
      <c r="AB109" s="29"/>
      <c r="AC109" s="28"/>
      <c r="AD109" s="29"/>
      <c r="AE109" s="28"/>
      <c r="AF109" s="29"/>
      <c r="AG109" s="28"/>
      <c r="AH109" s="29"/>
      <c r="AI109" s="28"/>
      <c r="AJ109" s="29"/>
      <c r="AK109" s="28"/>
      <c r="AL109" s="29"/>
      <c r="AM109" s="28"/>
      <c r="AN109" s="29"/>
      <c r="AO109" s="28"/>
      <c r="AP109" s="29"/>
      <c r="AQ109" s="28"/>
      <c r="AR109" s="29"/>
      <c r="AS109" s="25"/>
      <c r="AT109" s="25"/>
      <c r="AU109" s="25"/>
      <c r="AV109" s="26"/>
      <c r="AW109" s="26"/>
      <c r="AX109" s="26"/>
      <c r="AY109" s="26"/>
      <c r="AZ109" s="26"/>
      <c r="BA109" s="26"/>
      <c r="BB109" s="26"/>
      <c r="BC109" s="26"/>
      <c r="BD109" s="27"/>
    </row>
    <row r="110" spans="1:56" ht="15" customHeight="1">
      <c r="A110" s="9"/>
      <c r="B110" s="9"/>
      <c r="C110" s="9"/>
      <c r="D110" s="9"/>
      <c r="E110" s="9"/>
      <c r="F110" s="24"/>
      <c r="G110" s="9"/>
      <c r="H110" s="24"/>
      <c r="I110" s="9"/>
      <c r="J110" s="24"/>
      <c r="K110" s="9"/>
      <c r="L110" s="24"/>
      <c r="M110" s="9"/>
      <c r="N110" s="24"/>
      <c r="O110" s="9"/>
      <c r="P110" s="24"/>
      <c r="Q110" s="9"/>
      <c r="R110" s="24"/>
      <c r="S110" s="9"/>
      <c r="T110" s="24"/>
      <c r="U110" s="9"/>
      <c r="V110" s="24"/>
      <c r="W110" s="9"/>
      <c r="X110" s="24"/>
      <c r="Y110" s="9"/>
      <c r="Z110" s="24"/>
      <c r="AA110" s="9"/>
      <c r="AB110" s="24"/>
      <c r="AC110" s="9"/>
      <c r="AD110" s="24"/>
      <c r="AE110" s="9"/>
      <c r="AF110" s="24"/>
      <c r="AG110" s="9"/>
      <c r="AH110" s="24"/>
      <c r="AI110" s="9"/>
      <c r="AJ110" s="24"/>
      <c r="AK110" s="9"/>
      <c r="AL110" s="24"/>
      <c r="AM110" s="9"/>
      <c r="AN110" s="24"/>
      <c r="AO110" s="9"/>
      <c r="AP110" s="24"/>
      <c r="AQ110" s="9"/>
      <c r="AR110" s="24"/>
      <c r="AS110" s="25"/>
      <c r="AT110" s="25"/>
      <c r="AU110" s="25"/>
      <c r="AV110" s="26"/>
      <c r="AW110" s="26"/>
      <c r="AX110" s="26"/>
      <c r="AY110" s="26"/>
      <c r="AZ110" s="26"/>
      <c r="BA110" s="26"/>
      <c r="BB110" s="26"/>
      <c r="BC110" s="26"/>
      <c r="BD110" s="27"/>
    </row>
    <row r="111" spans="1:56" ht="15" customHeight="1">
      <c r="A111" s="28"/>
      <c r="B111" s="28"/>
      <c r="C111" s="28"/>
      <c r="D111" s="28"/>
      <c r="E111" s="28"/>
      <c r="F111" s="29"/>
      <c r="G111" s="28"/>
      <c r="H111" s="29"/>
      <c r="I111" s="28"/>
      <c r="J111" s="29"/>
      <c r="K111" s="28"/>
      <c r="L111" s="29"/>
      <c r="M111" s="28"/>
      <c r="N111" s="29"/>
      <c r="O111" s="28"/>
      <c r="P111" s="29"/>
      <c r="Q111" s="28"/>
      <c r="R111" s="29"/>
      <c r="S111" s="28"/>
      <c r="T111" s="29"/>
      <c r="U111" s="28"/>
      <c r="V111" s="29"/>
      <c r="W111" s="28"/>
      <c r="X111" s="29"/>
      <c r="Y111" s="28"/>
      <c r="Z111" s="29"/>
      <c r="AA111" s="28"/>
      <c r="AB111" s="29"/>
      <c r="AC111" s="28"/>
      <c r="AD111" s="29"/>
      <c r="AE111" s="28"/>
      <c r="AF111" s="29"/>
      <c r="AG111" s="28"/>
      <c r="AH111" s="29"/>
      <c r="AI111" s="28"/>
      <c r="AJ111" s="29"/>
      <c r="AK111" s="28"/>
      <c r="AL111" s="29"/>
      <c r="AM111" s="28"/>
      <c r="AN111" s="29"/>
      <c r="AO111" s="28"/>
      <c r="AP111" s="29"/>
      <c r="AQ111" s="28"/>
      <c r="AR111" s="29"/>
      <c r="AS111" s="25"/>
      <c r="AT111" s="25"/>
      <c r="AU111" s="25"/>
      <c r="AV111" s="26"/>
      <c r="AW111" s="26"/>
      <c r="AX111" s="26"/>
      <c r="AY111" s="26"/>
      <c r="AZ111" s="26"/>
      <c r="BA111" s="26"/>
      <c r="BB111" s="26"/>
      <c r="BC111" s="26"/>
      <c r="BD111" s="27"/>
    </row>
    <row r="112" spans="1:56" ht="15" customHeight="1">
      <c r="A112" s="9"/>
      <c r="B112" s="9"/>
      <c r="C112" s="9"/>
      <c r="D112" s="9"/>
      <c r="E112" s="9"/>
      <c r="F112" s="24"/>
      <c r="G112" s="9"/>
      <c r="H112" s="24"/>
      <c r="I112" s="9"/>
      <c r="J112" s="24"/>
      <c r="K112" s="9"/>
      <c r="L112" s="24"/>
      <c r="M112" s="9"/>
      <c r="N112" s="24"/>
      <c r="O112" s="9"/>
      <c r="P112" s="24"/>
      <c r="Q112" s="9"/>
      <c r="R112" s="24"/>
      <c r="S112" s="9"/>
      <c r="T112" s="24"/>
      <c r="U112" s="9"/>
      <c r="V112" s="24"/>
      <c r="W112" s="9"/>
      <c r="X112" s="24"/>
      <c r="Y112" s="9"/>
      <c r="Z112" s="24"/>
      <c r="AA112" s="9"/>
      <c r="AB112" s="24"/>
      <c r="AC112" s="9"/>
      <c r="AD112" s="24"/>
      <c r="AE112" s="9"/>
      <c r="AF112" s="24"/>
      <c r="AG112" s="9"/>
      <c r="AH112" s="24"/>
      <c r="AI112" s="9"/>
      <c r="AJ112" s="24"/>
      <c r="AK112" s="9"/>
      <c r="AL112" s="24"/>
      <c r="AM112" s="9"/>
      <c r="AN112" s="24"/>
      <c r="AO112" s="9"/>
      <c r="AP112" s="24"/>
      <c r="AQ112" s="9"/>
      <c r="AR112" s="24"/>
      <c r="AS112" s="25"/>
      <c r="AT112" s="25"/>
      <c r="AU112" s="25"/>
      <c r="AV112" s="26"/>
      <c r="AW112" s="26"/>
      <c r="AX112" s="26"/>
      <c r="AY112" s="26"/>
      <c r="AZ112" s="26"/>
      <c r="BA112" s="26"/>
      <c r="BB112" s="26"/>
      <c r="BC112" s="26"/>
      <c r="BD112" s="27"/>
    </row>
    <row r="113" spans="1:56" ht="15" customHeight="1">
      <c r="A113" s="28"/>
      <c r="B113" s="28"/>
      <c r="C113" s="28"/>
      <c r="D113" s="28"/>
      <c r="E113" s="28"/>
      <c r="F113" s="29"/>
      <c r="G113" s="28"/>
      <c r="H113" s="29"/>
      <c r="I113" s="28"/>
      <c r="J113" s="29"/>
      <c r="K113" s="28"/>
      <c r="L113" s="29"/>
      <c r="M113" s="28"/>
      <c r="N113" s="29"/>
      <c r="O113" s="28"/>
      <c r="P113" s="29"/>
      <c r="Q113" s="28"/>
      <c r="R113" s="29"/>
      <c r="S113" s="28"/>
      <c r="T113" s="29"/>
      <c r="U113" s="28"/>
      <c r="V113" s="29"/>
      <c r="W113" s="28"/>
      <c r="X113" s="29"/>
      <c r="Y113" s="28"/>
      <c r="Z113" s="29"/>
      <c r="AA113" s="28"/>
      <c r="AB113" s="29"/>
      <c r="AC113" s="28"/>
      <c r="AD113" s="29"/>
      <c r="AE113" s="28"/>
      <c r="AF113" s="29"/>
      <c r="AG113" s="28"/>
      <c r="AH113" s="29"/>
      <c r="AI113" s="28"/>
      <c r="AJ113" s="29"/>
      <c r="AK113" s="28"/>
      <c r="AL113" s="29"/>
      <c r="AM113" s="28"/>
      <c r="AN113" s="29"/>
      <c r="AO113" s="28"/>
      <c r="AP113" s="29"/>
      <c r="AQ113" s="28"/>
      <c r="AR113" s="29"/>
      <c r="AS113" s="25"/>
      <c r="AT113" s="25"/>
      <c r="AU113" s="25"/>
      <c r="AV113" s="26"/>
      <c r="AW113" s="26"/>
      <c r="AX113" s="26"/>
      <c r="AY113" s="26"/>
      <c r="AZ113" s="26"/>
      <c r="BA113" s="26"/>
      <c r="BB113" s="26"/>
      <c r="BC113" s="26"/>
      <c r="BD113" s="27"/>
    </row>
    <row r="114" spans="1:56" ht="15" customHeight="1">
      <c r="A114" s="9"/>
      <c r="B114" s="9"/>
      <c r="C114" s="9"/>
      <c r="D114" s="9"/>
      <c r="E114" s="9"/>
      <c r="F114" s="24"/>
      <c r="G114" s="9"/>
      <c r="H114" s="24"/>
      <c r="I114" s="9"/>
      <c r="J114" s="24"/>
      <c r="K114" s="9"/>
      <c r="L114" s="24"/>
      <c r="M114" s="9"/>
      <c r="N114" s="24"/>
      <c r="O114" s="9"/>
      <c r="P114" s="24"/>
      <c r="Q114" s="9"/>
      <c r="R114" s="24"/>
      <c r="S114" s="9"/>
      <c r="T114" s="24"/>
      <c r="U114" s="9"/>
      <c r="V114" s="24"/>
      <c r="W114" s="9"/>
      <c r="X114" s="24"/>
      <c r="Y114" s="9"/>
      <c r="Z114" s="24"/>
      <c r="AA114" s="9"/>
      <c r="AB114" s="24"/>
      <c r="AC114" s="9"/>
      <c r="AD114" s="24"/>
      <c r="AE114" s="9"/>
      <c r="AF114" s="24"/>
      <c r="AG114" s="9"/>
      <c r="AH114" s="24"/>
      <c r="AI114" s="9"/>
      <c r="AJ114" s="24"/>
      <c r="AK114" s="9"/>
      <c r="AL114" s="24"/>
      <c r="AM114" s="9"/>
      <c r="AN114" s="24"/>
      <c r="AO114" s="9"/>
      <c r="AP114" s="24"/>
      <c r="AQ114" s="9"/>
      <c r="AR114" s="24"/>
      <c r="AS114" s="25"/>
      <c r="AT114" s="25"/>
      <c r="AU114" s="25"/>
      <c r="AV114" s="26"/>
      <c r="AW114" s="26"/>
      <c r="AX114" s="26"/>
      <c r="AY114" s="26"/>
      <c r="AZ114" s="26"/>
      <c r="BA114" s="26"/>
      <c r="BB114" s="26"/>
      <c r="BC114" s="26"/>
      <c r="BD114" s="27"/>
    </row>
    <row r="115" spans="1:56" ht="15" customHeight="1">
      <c r="A115" s="28"/>
      <c r="B115" s="28"/>
      <c r="C115" s="28"/>
      <c r="D115" s="28"/>
      <c r="E115" s="28"/>
      <c r="F115" s="29"/>
      <c r="G115" s="28"/>
      <c r="H115" s="29"/>
      <c r="I115" s="28"/>
      <c r="J115" s="29"/>
      <c r="K115" s="28"/>
      <c r="L115" s="29"/>
      <c r="M115" s="28"/>
      <c r="N115" s="29"/>
      <c r="O115" s="28"/>
      <c r="P115" s="29"/>
      <c r="Q115" s="28"/>
      <c r="R115" s="29"/>
      <c r="S115" s="28"/>
      <c r="T115" s="29"/>
      <c r="U115" s="28"/>
      <c r="V115" s="29"/>
      <c r="W115" s="28"/>
      <c r="X115" s="29"/>
      <c r="Y115" s="28"/>
      <c r="Z115" s="29"/>
      <c r="AA115" s="28"/>
      <c r="AB115" s="29"/>
      <c r="AC115" s="28"/>
      <c r="AD115" s="29"/>
      <c r="AE115" s="28"/>
      <c r="AF115" s="29"/>
      <c r="AG115" s="28"/>
      <c r="AH115" s="29"/>
      <c r="AI115" s="28"/>
      <c r="AJ115" s="29"/>
      <c r="AK115" s="28"/>
      <c r="AL115" s="29"/>
      <c r="AM115" s="28"/>
      <c r="AN115" s="29"/>
      <c r="AO115" s="28"/>
      <c r="AP115" s="29"/>
      <c r="AQ115" s="28"/>
      <c r="AR115" s="29"/>
      <c r="AS115" s="25"/>
      <c r="AT115" s="25"/>
      <c r="AU115" s="25"/>
      <c r="AV115" s="26"/>
      <c r="AW115" s="26"/>
      <c r="AX115" s="26"/>
      <c r="AY115" s="26"/>
      <c r="AZ115" s="26"/>
      <c r="BA115" s="26"/>
      <c r="BB115" s="26"/>
      <c r="BC115" s="26"/>
      <c r="BD115" s="27"/>
    </row>
    <row r="116" spans="1:56" ht="15" customHeight="1">
      <c r="A116" s="9"/>
      <c r="B116" s="9"/>
      <c r="C116" s="9"/>
      <c r="D116" s="9"/>
      <c r="E116" s="9"/>
      <c r="F116" s="24"/>
      <c r="G116" s="9"/>
      <c r="H116" s="24"/>
      <c r="I116" s="9"/>
      <c r="J116" s="24"/>
      <c r="K116" s="9"/>
      <c r="L116" s="24"/>
      <c r="M116" s="9"/>
      <c r="N116" s="24"/>
      <c r="O116" s="9"/>
      <c r="P116" s="24"/>
      <c r="Q116" s="9"/>
      <c r="R116" s="24"/>
      <c r="S116" s="9"/>
      <c r="T116" s="24"/>
      <c r="U116" s="9"/>
      <c r="V116" s="24"/>
      <c r="W116" s="9"/>
      <c r="X116" s="24"/>
      <c r="Y116" s="9"/>
      <c r="Z116" s="24"/>
      <c r="AA116" s="9"/>
      <c r="AB116" s="24"/>
      <c r="AC116" s="9"/>
      <c r="AD116" s="24"/>
      <c r="AE116" s="9"/>
      <c r="AF116" s="24"/>
      <c r="AG116" s="9"/>
      <c r="AH116" s="24"/>
      <c r="AI116" s="9"/>
      <c r="AJ116" s="24"/>
      <c r="AK116" s="9"/>
      <c r="AL116" s="24"/>
      <c r="AM116" s="9"/>
      <c r="AN116" s="24"/>
      <c r="AO116" s="9"/>
      <c r="AP116" s="24"/>
      <c r="AQ116" s="9"/>
      <c r="AR116" s="24"/>
      <c r="AS116" s="25"/>
      <c r="AT116" s="25"/>
      <c r="AU116" s="25"/>
      <c r="AV116" s="26"/>
      <c r="AW116" s="26"/>
      <c r="AX116" s="26"/>
      <c r="AY116" s="26"/>
      <c r="AZ116" s="26"/>
      <c r="BA116" s="26"/>
      <c r="BB116" s="26"/>
      <c r="BC116" s="26"/>
      <c r="BD116" s="27"/>
    </row>
    <row r="117" spans="1:56" ht="15" customHeight="1">
      <c r="A117" s="28"/>
      <c r="B117" s="28"/>
      <c r="C117" s="28"/>
      <c r="D117" s="28"/>
      <c r="E117" s="28"/>
      <c r="F117" s="29"/>
      <c r="G117" s="28"/>
      <c r="H117" s="29"/>
      <c r="I117" s="28"/>
      <c r="J117" s="29"/>
      <c r="K117" s="28"/>
      <c r="L117" s="29"/>
      <c r="M117" s="28"/>
      <c r="N117" s="29"/>
      <c r="O117" s="28"/>
      <c r="P117" s="29"/>
      <c r="Q117" s="28"/>
      <c r="R117" s="29"/>
      <c r="S117" s="28"/>
      <c r="T117" s="29"/>
      <c r="U117" s="28"/>
      <c r="V117" s="29"/>
      <c r="W117" s="28"/>
      <c r="X117" s="29"/>
      <c r="Y117" s="28"/>
      <c r="Z117" s="29"/>
      <c r="AA117" s="28"/>
      <c r="AB117" s="29"/>
      <c r="AC117" s="28"/>
      <c r="AD117" s="29"/>
      <c r="AE117" s="28"/>
      <c r="AF117" s="29"/>
      <c r="AG117" s="28"/>
      <c r="AH117" s="29"/>
      <c r="AI117" s="28"/>
      <c r="AJ117" s="29"/>
      <c r="AK117" s="28"/>
      <c r="AL117" s="29"/>
      <c r="AM117" s="28"/>
      <c r="AN117" s="29"/>
      <c r="AO117" s="28"/>
      <c r="AP117" s="29"/>
      <c r="AQ117" s="28"/>
      <c r="AR117" s="29"/>
      <c r="AS117" s="25"/>
      <c r="AT117" s="25"/>
      <c r="AU117" s="25"/>
      <c r="AV117" s="26"/>
      <c r="AW117" s="26"/>
      <c r="AX117" s="26"/>
      <c r="AY117" s="26"/>
      <c r="AZ117" s="26"/>
      <c r="BA117" s="26"/>
      <c r="BB117" s="26"/>
      <c r="BC117" s="26"/>
      <c r="BD117" s="27"/>
    </row>
    <row r="118" spans="1:56" ht="15" customHeight="1">
      <c r="A118" s="9"/>
      <c r="B118" s="9"/>
      <c r="C118" s="9"/>
      <c r="D118" s="9"/>
      <c r="E118" s="9"/>
      <c r="F118" s="24"/>
      <c r="G118" s="9"/>
      <c r="H118" s="24"/>
      <c r="I118" s="9"/>
      <c r="J118" s="24"/>
      <c r="K118" s="9"/>
      <c r="L118" s="24"/>
      <c r="M118" s="9"/>
      <c r="N118" s="24"/>
      <c r="O118" s="9"/>
      <c r="P118" s="24"/>
      <c r="Q118" s="9"/>
      <c r="R118" s="24"/>
      <c r="S118" s="9"/>
      <c r="T118" s="24"/>
      <c r="U118" s="9"/>
      <c r="V118" s="24"/>
      <c r="W118" s="9"/>
      <c r="X118" s="24"/>
      <c r="Y118" s="9"/>
      <c r="Z118" s="24"/>
      <c r="AA118" s="9"/>
      <c r="AB118" s="24"/>
      <c r="AC118" s="9"/>
      <c r="AD118" s="24"/>
      <c r="AE118" s="9"/>
      <c r="AF118" s="24"/>
      <c r="AG118" s="9"/>
      <c r="AH118" s="24"/>
      <c r="AI118" s="9"/>
      <c r="AJ118" s="24"/>
      <c r="AK118" s="9"/>
      <c r="AL118" s="24"/>
      <c r="AM118" s="9"/>
      <c r="AN118" s="24"/>
      <c r="AO118" s="9"/>
      <c r="AP118" s="24"/>
      <c r="AQ118" s="9"/>
      <c r="AR118" s="24"/>
      <c r="AS118" s="25"/>
      <c r="AT118" s="25"/>
      <c r="AU118" s="25"/>
      <c r="AV118" s="26"/>
      <c r="AW118" s="26"/>
      <c r="AX118" s="26"/>
      <c r="AY118" s="26"/>
      <c r="AZ118" s="26"/>
      <c r="BA118" s="26"/>
      <c r="BB118" s="26"/>
      <c r="BC118" s="26"/>
      <c r="BD118" s="27"/>
    </row>
    <row r="119" spans="1:56" ht="15" customHeight="1">
      <c r="A119" s="28"/>
      <c r="B119" s="28"/>
      <c r="C119" s="28"/>
      <c r="D119" s="28"/>
      <c r="E119" s="28"/>
      <c r="F119" s="29"/>
      <c r="G119" s="28"/>
      <c r="H119" s="29"/>
      <c r="I119" s="28"/>
      <c r="J119" s="29"/>
      <c r="K119" s="28"/>
      <c r="L119" s="29"/>
      <c r="M119" s="28"/>
      <c r="N119" s="29"/>
      <c r="O119" s="28"/>
      <c r="P119" s="29"/>
      <c r="Q119" s="28"/>
      <c r="R119" s="29"/>
      <c r="S119" s="28"/>
      <c r="T119" s="29"/>
      <c r="U119" s="28"/>
      <c r="V119" s="29"/>
      <c r="W119" s="28"/>
      <c r="X119" s="29"/>
      <c r="Y119" s="28"/>
      <c r="Z119" s="29"/>
      <c r="AA119" s="28"/>
      <c r="AB119" s="29"/>
      <c r="AC119" s="28"/>
      <c r="AD119" s="29"/>
      <c r="AE119" s="28"/>
      <c r="AF119" s="29"/>
      <c r="AG119" s="28"/>
      <c r="AH119" s="29"/>
      <c r="AI119" s="28"/>
      <c r="AJ119" s="29"/>
      <c r="AK119" s="28"/>
      <c r="AL119" s="29"/>
      <c r="AM119" s="28"/>
      <c r="AN119" s="29"/>
      <c r="AO119" s="28"/>
      <c r="AP119" s="29"/>
      <c r="AQ119" s="28"/>
      <c r="AR119" s="29"/>
      <c r="AS119" s="25"/>
      <c r="AT119" s="25"/>
      <c r="AU119" s="25"/>
      <c r="AV119" s="26"/>
      <c r="AW119" s="26"/>
      <c r="AX119" s="26"/>
      <c r="AY119" s="26"/>
      <c r="AZ119" s="26"/>
      <c r="BA119" s="26"/>
      <c r="BB119" s="26"/>
      <c r="BC119" s="26"/>
      <c r="BD119" s="27"/>
    </row>
    <row r="120" spans="1:56" ht="15" customHeight="1">
      <c r="A120" s="9"/>
      <c r="B120" s="9"/>
      <c r="C120" s="9"/>
      <c r="D120" s="9"/>
      <c r="E120" s="9"/>
      <c r="F120" s="24"/>
      <c r="G120" s="9"/>
      <c r="H120" s="24"/>
      <c r="I120" s="9"/>
      <c r="J120" s="24"/>
      <c r="K120" s="9"/>
      <c r="L120" s="24"/>
      <c r="M120" s="9"/>
      <c r="N120" s="24"/>
      <c r="O120" s="9"/>
      <c r="P120" s="24"/>
      <c r="Q120" s="9"/>
      <c r="R120" s="24"/>
      <c r="S120" s="9"/>
      <c r="T120" s="24"/>
      <c r="U120" s="9"/>
      <c r="V120" s="24"/>
      <c r="W120" s="9"/>
      <c r="X120" s="24"/>
      <c r="Y120" s="9"/>
      <c r="Z120" s="24"/>
      <c r="AA120" s="9"/>
      <c r="AB120" s="24"/>
      <c r="AC120" s="9"/>
      <c r="AD120" s="24"/>
      <c r="AE120" s="9"/>
      <c r="AF120" s="24"/>
      <c r="AG120" s="9"/>
      <c r="AH120" s="24"/>
      <c r="AI120" s="9"/>
      <c r="AJ120" s="24"/>
      <c r="AK120" s="9"/>
      <c r="AL120" s="24"/>
      <c r="AM120" s="9"/>
      <c r="AN120" s="24"/>
      <c r="AO120" s="9"/>
      <c r="AP120" s="24"/>
      <c r="AQ120" s="9"/>
      <c r="AR120" s="24"/>
      <c r="AS120" s="25"/>
      <c r="AT120" s="25"/>
      <c r="AU120" s="25"/>
      <c r="AV120" s="26"/>
      <c r="AW120" s="26"/>
      <c r="AX120" s="26"/>
      <c r="AY120" s="26"/>
      <c r="AZ120" s="26"/>
      <c r="BA120" s="26"/>
      <c r="BB120" s="26"/>
      <c r="BC120" s="26"/>
      <c r="BD120" s="27"/>
    </row>
    <row r="121" spans="1:56" ht="15" customHeight="1">
      <c r="A121" s="28"/>
      <c r="B121" s="28"/>
      <c r="C121" s="28"/>
      <c r="D121" s="28"/>
      <c r="E121" s="28"/>
      <c r="F121" s="29"/>
      <c r="G121" s="28"/>
      <c r="H121" s="29"/>
      <c r="I121" s="28"/>
      <c r="J121" s="29"/>
      <c r="K121" s="28"/>
      <c r="L121" s="29"/>
      <c r="M121" s="28"/>
      <c r="N121" s="29"/>
      <c r="O121" s="28"/>
      <c r="P121" s="29"/>
      <c r="Q121" s="28"/>
      <c r="R121" s="29"/>
      <c r="S121" s="28"/>
      <c r="T121" s="29"/>
      <c r="U121" s="28"/>
      <c r="V121" s="29"/>
      <c r="W121" s="28"/>
      <c r="X121" s="29"/>
      <c r="Y121" s="28"/>
      <c r="Z121" s="29"/>
      <c r="AA121" s="28"/>
      <c r="AB121" s="29"/>
      <c r="AC121" s="28"/>
      <c r="AD121" s="29"/>
      <c r="AE121" s="28"/>
      <c r="AF121" s="29"/>
      <c r="AG121" s="28"/>
      <c r="AH121" s="29"/>
      <c r="AI121" s="28"/>
      <c r="AJ121" s="29"/>
      <c r="AK121" s="28"/>
      <c r="AL121" s="29"/>
      <c r="AM121" s="28"/>
      <c r="AN121" s="29"/>
      <c r="AO121" s="28"/>
      <c r="AP121" s="29"/>
      <c r="AQ121" s="28"/>
      <c r="AR121" s="29"/>
      <c r="AS121" s="25"/>
      <c r="AT121" s="25"/>
      <c r="AU121" s="25"/>
      <c r="AV121" s="26"/>
      <c r="AW121" s="26"/>
      <c r="AX121" s="26"/>
      <c r="AY121" s="26"/>
      <c r="AZ121" s="26"/>
      <c r="BA121" s="26"/>
      <c r="BB121" s="26"/>
      <c r="BC121" s="26"/>
      <c r="BD121" s="27"/>
    </row>
    <row r="122" spans="1:56" ht="15" customHeight="1">
      <c r="A122" s="9"/>
      <c r="B122" s="9"/>
      <c r="C122" s="9"/>
      <c r="D122" s="9"/>
      <c r="E122" s="9"/>
      <c r="F122" s="24"/>
      <c r="G122" s="9"/>
      <c r="H122" s="24"/>
      <c r="I122" s="9"/>
      <c r="J122" s="24"/>
      <c r="K122" s="9"/>
      <c r="L122" s="24"/>
      <c r="M122" s="9"/>
      <c r="N122" s="24"/>
      <c r="O122" s="9"/>
      <c r="P122" s="24"/>
      <c r="Q122" s="9"/>
      <c r="R122" s="24"/>
      <c r="S122" s="9"/>
      <c r="T122" s="24"/>
      <c r="U122" s="9"/>
      <c r="V122" s="24"/>
      <c r="W122" s="9"/>
      <c r="X122" s="24"/>
      <c r="Y122" s="9"/>
      <c r="Z122" s="24"/>
      <c r="AA122" s="9"/>
      <c r="AB122" s="24"/>
      <c r="AC122" s="9"/>
      <c r="AD122" s="24"/>
      <c r="AE122" s="9"/>
      <c r="AF122" s="24"/>
      <c r="AG122" s="9"/>
      <c r="AH122" s="24"/>
      <c r="AI122" s="9"/>
      <c r="AJ122" s="24"/>
      <c r="AK122" s="9"/>
      <c r="AL122" s="24"/>
      <c r="AM122" s="9"/>
      <c r="AN122" s="24"/>
      <c r="AO122" s="9"/>
      <c r="AP122" s="24"/>
      <c r="AQ122" s="9"/>
      <c r="AR122" s="24"/>
      <c r="AS122" s="25"/>
      <c r="AT122" s="25"/>
      <c r="AU122" s="25"/>
      <c r="AV122" s="26"/>
      <c r="AW122" s="26"/>
      <c r="AX122" s="26"/>
      <c r="AY122" s="26"/>
      <c r="AZ122" s="26"/>
      <c r="BA122" s="26"/>
      <c r="BB122" s="26"/>
      <c r="BC122" s="26"/>
      <c r="BD122" s="27"/>
    </row>
    <row r="123" spans="1:56" ht="15" customHeight="1">
      <c r="A123" s="28"/>
      <c r="B123" s="28"/>
      <c r="C123" s="28"/>
      <c r="D123" s="28"/>
      <c r="E123" s="28"/>
      <c r="F123" s="29"/>
      <c r="G123" s="28"/>
      <c r="H123" s="29"/>
      <c r="I123" s="28"/>
      <c r="J123" s="29"/>
      <c r="K123" s="28"/>
      <c r="L123" s="29"/>
      <c r="M123" s="28"/>
      <c r="N123" s="29"/>
      <c r="O123" s="28"/>
      <c r="P123" s="29"/>
      <c r="Q123" s="28"/>
      <c r="R123" s="29"/>
      <c r="S123" s="28"/>
      <c r="T123" s="29"/>
      <c r="U123" s="28"/>
      <c r="V123" s="29"/>
      <c r="W123" s="28"/>
      <c r="X123" s="29"/>
      <c r="Y123" s="28"/>
      <c r="Z123" s="29"/>
      <c r="AA123" s="28"/>
      <c r="AB123" s="29"/>
      <c r="AC123" s="28"/>
      <c r="AD123" s="29"/>
      <c r="AE123" s="28"/>
      <c r="AF123" s="29"/>
      <c r="AG123" s="28"/>
      <c r="AH123" s="29"/>
      <c r="AI123" s="28"/>
      <c r="AJ123" s="29"/>
      <c r="AK123" s="28"/>
      <c r="AL123" s="29"/>
      <c r="AM123" s="28"/>
      <c r="AN123" s="29"/>
      <c r="AO123" s="28"/>
      <c r="AP123" s="29"/>
      <c r="AQ123" s="28"/>
      <c r="AR123" s="29"/>
      <c r="AS123" s="25"/>
      <c r="AT123" s="25"/>
      <c r="AU123" s="25"/>
      <c r="AV123" s="26"/>
      <c r="AW123" s="26"/>
      <c r="AX123" s="26"/>
      <c r="AY123" s="26"/>
      <c r="AZ123" s="26"/>
      <c r="BA123" s="26"/>
      <c r="BB123" s="26"/>
      <c r="BC123" s="26"/>
      <c r="BD123" s="27"/>
    </row>
    <row r="124" spans="1:56" ht="15" customHeight="1">
      <c r="A124" s="9"/>
      <c r="B124" s="9"/>
      <c r="C124" s="9"/>
      <c r="D124" s="9"/>
      <c r="E124" s="9"/>
      <c r="F124" s="24"/>
      <c r="G124" s="9"/>
      <c r="H124" s="24"/>
      <c r="I124" s="9"/>
      <c r="J124" s="24"/>
      <c r="K124" s="9"/>
      <c r="L124" s="24"/>
      <c r="M124" s="9"/>
      <c r="N124" s="24"/>
      <c r="O124" s="9"/>
      <c r="P124" s="24"/>
      <c r="Q124" s="9"/>
      <c r="R124" s="24"/>
      <c r="S124" s="9"/>
      <c r="T124" s="24"/>
      <c r="U124" s="9"/>
      <c r="V124" s="24"/>
      <c r="W124" s="9"/>
      <c r="X124" s="24"/>
      <c r="Y124" s="9"/>
      <c r="Z124" s="24"/>
      <c r="AA124" s="9"/>
      <c r="AB124" s="24"/>
      <c r="AC124" s="9"/>
      <c r="AD124" s="24"/>
      <c r="AE124" s="9"/>
      <c r="AF124" s="24"/>
      <c r="AG124" s="9"/>
      <c r="AH124" s="24"/>
      <c r="AI124" s="9"/>
      <c r="AJ124" s="24"/>
      <c r="AK124" s="9"/>
      <c r="AL124" s="24"/>
      <c r="AM124" s="9"/>
      <c r="AN124" s="24"/>
      <c r="AO124" s="9"/>
      <c r="AP124" s="24"/>
      <c r="AQ124" s="9"/>
      <c r="AR124" s="24"/>
      <c r="AS124" s="25"/>
      <c r="AT124" s="25"/>
      <c r="AU124" s="25"/>
      <c r="AV124" s="26"/>
      <c r="AW124" s="26"/>
      <c r="AX124" s="26"/>
      <c r="AY124" s="26"/>
      <c r="AZ124" s="26"/>
      <c r="BA124" s="26"/>
      <c r="BB124" s="26"/>
      <c r="BC124" s="26"/>
      <c r="BD124" s="27"/>
    </row>
    <row r="125" spans="1:56" ht="15" customHeight="1">
      <c r="A125" s="28"/>
      <c r="B125" s="28"/>
      <c r="C125" s="28"/>
      <c r="D125" s="28"/>
      <c r="E125" s="28"/>
      <c r="F125" s="29"/>
      <c r="G125" s="28"/>
      <c r="H125" s="29"/>
      <c r="I125" s="28"/>
      <c r="J125" s="29"/>
      <c r="K125" s="28"/>
      <c r="L125" s="29"/>
      <c r="M125" s="28"/>
      <c r="N125" s="29"/>
      <c r="O125" s="28"/>
      <c r="P125" s="29"/>
      <c r="Q125" s="28"/>
      <c r="R125" s="29"/>
      <c r="S125" s="28"/>
      <c r="T125" s="29"/>
      <c r="U125" s="28"/>
      <c r="V125" s="29"/>
      <c r="W125" s="28"/>
      <c r="X125" s="29"/>
      <c r="Y125" s="28"/>
      <c r="Z125" s="29"/>
      <c r="AA125" s="28"/>
      <c r="AB125" s="29"/>
      <c r="AC125" s="28"/>
      <c r="AD125" s="29"/>
      <c r="AE125" s="28"/>
      <c r="AF125" s="29"/>
      <c r="AG125" s="28"/>
      <c r="AH125" s="29"/>
      <c r="AI125" s="28"/>
      <c r="AJ125" s="29"/>
      <c r="AK125" s="28"/>
      <c r="AL125" s="29"/>
      <c r="AM125" s="28"/>
      <c r="AN125" s="29"/>
      <c r="AO125" s="28"/>
      <c r="AP125" s="29"/>
      <c r="AQ125" s="28"/>
      <c r="AR125" s="29"/>
      <c r="AS125" s="25"/>
      <c r="AT125" s="25"/>
      <c r="AU125" s="25"/>
      <c r="AV125" s="26"/>
      <c r="AW125" s="26"/>
      <c r="AX125" s="26"/>
      <c r="AY125" s="26"/>
      <c r="AZ125" s="26"/>
      <c r="BA125" s="26"/>
      <c r="BB125" s="26"/>
      <c r="BC125" s="26"/>
      <c r="BD125" s="27"/>
    </row>
    <row r="126" spans="1:56" ht="15" customHeight="1">
      <c r="A126" s="9"/>
      <c r="B126" s="9"/>
      <c r="C126" s="9"/>
      <c r="D126" s="9"/>
      <c r="E126" s="9"/>
      <c r="F126" s="24"/>
      <c r="G126" s="9"/>
      <c r="H126" s="24"/>
      <c r="I126" s="9"/>
      <c r="J126" s="24"/>
      <c r="K126" s="9"/>
      <c r="L126" s="24"/>
      <c r="M126" s="9"/>
      <c r="N126" s="24"/>
      <c r="O126" s="9"/>
      <c r="P126" s="24"/>
      <c r="Q126" s="9"/>
      <c r="R126" s="24"/>
      <c r="S126" s="9"/>
      <c r="T126" s="24"/>
      <c r="U126" s="9"/>
      <c r="V126" s="24"/>
      <c r="W126" s="9"/>
      <c r="X126" s="24"/>
      <c r="Y126" s="9"/>
      <c r="Z126" s="24"/>
      <c r="AA126" s="9"/>
      <c r="AB126" s="24"/>
      <c r="AC126" s="9"/>
      <c r="AD126" s="24"/>
      <c r="AE126" s="9"/>
      <c r="AF126" s="24"/>
      <c r="AG126" s="9"/>
      <c r="AH126" s="24"/>
      <c r="AI126" s="9"/>
      <c r="AJ126" s="24"/>
      <c r="AK126" s="9"/>
      <c r="AL126" s="24"/>
      <c r="AM126" s="9"/>
      <c r="AN126" s="24"/>
      <c r="AO126" s="9"/>
      <c r="AP126" s="24"/>
      <c r="AQ126" s="9"/>
      <c r="AR126" s="24"/>
      <c r="AS126" s="25"/>
      <c r="AT126" s="25"/>
      <c r="AU126" s="25"/>
      <c r="AV126" s="26"/>
      <c r="AW126" s="26"/>
      <c r="AX126" s="26"/>
      <c r="AY126" s="26"/>
      <c r="AZ126" s="26"/>
      <c r="BA126" s="26"/>
      <c r="BB126" s="26"/>
      <c r="BC126" s="26"/>
      <c r="BD126" s="27"/>
    </row>
    <row r="127" spans="1:56" ht="15" customHeight="1">
      <c r="A127" s="28"/>
      <c r="B127" s="28"/>
      <c r="C127" s="28"/>
      <c r="D127" s="28"/>
      <c r="E127" s="28"/>
      <c r="F127" s="29"/>
      <c r="G127" s="28"/>
      <c r="H127" s="29"/>
      <c r="I127" s="28"/>
      <c r="J127" s="29"/>
      <c r="K127" s="28"/>
      <c r="L127" s="29"/>
      <c r="M127" s="28"/>
      <c r="N127" s="29"/>
      <c r="O127" s="28"/>
      <c r="P127" s="29"/>
      <c r="Q127" s="28"/>
      <c r="R127" s="29"/>
      <c r="S127" s="28"/>
      <c r="T127" s="29"/>
      <c r="U127" s="28"/>
      <c r="V127" s="29"/>
      <c r="W127" s="28"/>
      <c r="X127" s="29"/>
      <c r="Y127" s="28"/>
      <c r="Z127" s="29"/>
      <c r="AA127" s="28"/>
      <c r="AB127" s="29"/>
      <c r="AC127" s="28"/>
      <c r="AD127" s="29"/>
      <c r="AE127" s="28"/>
      <c r="AF127" s="29"/>
      <c r="AG127" s="28"/>
      <c r="AH127" s="29"/>
      <c r="AI127" s="28"/>
      <c r="AJ127" s="29"/>
      <c r="AK127" s="28"/>
      <c r="AL127" s="29"/>
      <c r="AM127" s="28"/>
      <c r="AN127" s="29"/>
      <c r="AO127" s="28"/>
      <c r="AP127" s="29"/>
      <c r="AQ127" s="28"/>
      <c r="AR127" s="29"/>
      <c r="AS127" s="25"/>
      <c r="AT127" s="25"/>
      <c r="AU127" s="25"/>
      <c r="AV127" s="26"/>
      <c r="AW127" s="26"/>
      <c r="AX127" s="26"/>
      <c r="AY127" s="26"/>
      <c r="AZ127" s="26"/>
      <c r="BA127" s="26"/>
      <c r="BB127" s="26"/>
      <c r="BC127" s="26"/>
      <c r="BD127" s="27"/>
    </row>
    <row r="128" spans="1:56" ht="15" customHeight="1">
      <c r="A128" s="9"/>
      <c r="B128" s="9"/>
      <c r="C128" s="9"/>
      <c r="D128" s="9"/>
      <c r="E128" s="9"/>
      <c r="F128" s="24"/>
      <c r="G128" s="9"/>
      <c r="H128" s="24"/>
      <c r="I128" s="9"/>
      <c r="J128" s="24"/>
      <c r="K128" s="9"/>
      <c r="L128" s="24"/>
      <c r="M128" s="9"/>
      <c r="N128" s="24"/>
      <c r="O128" s="9"/>
      <c r="P128" s="24"/>
      <c r="Q128" s="9"/>
      <c r="R128" s="24"/>
      <c r="S128" s="9"/>
      <c r="T128" s="24"/>
      <c r="U128" s="9"/>
      <c r="V128" s="24"/>
      <c r="W128" s="9"/>
      <c r="X128" s="24"/>
      <c r="Y128" s="9"/>
      <c r="Z128" s="24"/>
      <c r="AA128" s="9"/>
      <c r="AB128" s="24"/>
      <c r="AC128" s="9"/>
      <c r="AD128" s="24"/>
      <c r="AE128" s="9"/>
      <c r="AF128" s="24"/>
      <c r="AG128" s="9"/>
      <c r="AH128" s="24"/>
      <c r="AI128" s="9"/>
      <c r="AJ128" s="24"/>
      <c r="AK128" s="9"/>
      <c r="AL128" s="24"/>
      <c r="AM128" s="9"/>
      <c r="AN128" s="24"/>
      <c r="AO128" s="9"/>
      <c r="AP128" s="24"/>
      <c r="AQ128" s="9"/>
      <c r="AR128" s="24"/>
      <c r="AS128" s="25"/>
      <c r="AT128" s="25"/>
      <c r="AU128" s="25"/>
      <c r="AV128" s="26"/>
      <c r="AW128" s="26"/>
      <c r="AX128" s="26"/>
      <c r="AY128" s="26"/>
      <c r="AZ128" s="26"/>
      <c r="BA128" s="26"/>
      <c r="BB128" s="26"/>
      <c r="BC128" s="26"/>
      <c r="BD128" s="27"/>
    </row>
    <row r="129" spans="1:56" ht="15" customHeight="1">
      <c r="A129" s="28"/>
      <c r="B129" s="28"/>
      <c r="C129" s="28"/>
      <c r="D129" s="28"/>
      <c r="E129" s="28"/>
      <c r="F129" s="29"/>
      <c r="G129" s="28"/>
      <c r="H129" s="29"/>
      <c r="I129" s="28"/>
      <c r="J129" s="29"/>
      <c r="K129" s="28"/>
      <c r="L129" s="29"/>
      <c r="M129" s="28"/>
      <c r="N129" s="29"/>
      <c r="O129" s="28"/>
      <c r="P129" s="29"/>
      <c r="Q129" s="28"/>
      <c r="R129" s="29"/>
      <c r="S129" s="28"/>
      <c r="T129" s="29"/>
      <c r="U129" s="28"/>
      <c r="V129" s="29"/>
      <c r="W129" s="28"/>
      <c r="X129" s="29"/>
      <c r="Y129" s="28"/>
      <c r="Z129" s="29"/>
      <c r="AA129" s="28"/>
      <c r="AB129" s="29"/>
      <c r="AC129" s="28"/>
      <c r="AD129" s="29"/>
      <c r="AE129" s="28"/>
      <c r="AF129" s="29"/>
      <c r="AG129" s="28"/>
      <c r="AH129" s="29"/>
      <c r="AI129" s="28"/>
      <c r="AJ129" s="29"/>
      <c r="AK129" s="28"/>
      <c r="AL129" s="29"/>
      <c r="AM129" s="28"/>
      <c r="AN129" s="29"/>
      <c r="AO129" s="28"/>
      <c r="AP129" s="29"/>
      <c r="AQ129" s="28"/>
      <c r="AR129" s="29"/>
      <c r="AS129" s="25"/>
      <c r="AT129" s="25"/>
      <c r="AU129" s="25"/>
      <c r="AV129" s="26"/>
      <c r="AW129" s="26"/>
      <c r="AX129" s="26"/>
      <c r="AY129" s="26"/>
      <c r="AZ129" s="26"/>
      <c r="BA129" s="26"/>
      <c r="BB129" s="26"/>
      <c r="BC129" s="26"/>
      <c r="BD129" s="27"/>
    </row>
    <row r="130" spans="1:56" ht="15" customHeight="1">
      <c r="A130" s="9"/>
      <c r="B130" s="9"/>
      <c r="C130" s="9"/>
      <c r="D130" s="9"/>
      <c r="E130" s="9"/>
      <c r="F130" s="24"/>
      <c r="G130" s="9"/>
      <c r="H130" s="24"/>
      <c r="I130" s="9"/>
      <c r="J130" s="24"/>
      <c r="K130" s="9"/>
      <c r="L130" s="24"/>
      <c r="M130" s="9"/>
      <c r="N130" s="24"/>
      <c r="O130" s="9"/>
      <c r="P130" s="24"/>
      <c r="Q130" s="9"/>
      <c r="R130" s="24"/>
      <c r="S130" s="9"/>
      <c r="T130" s="24"/>
      <c r="U130" s="9"/>
      <c r="V130" s="24"/>
      <c r="W130" s="9"/>
      <c r="X130" s="24"/>
      <c r="Y130" s="9"/>
      <c r="Z130" s="24"/>
      <c r="AA130" s="9"/>
      <c r="AB130" s="24"/>
      <c r="AC130" s="9"/>
      <c r="AD130" s="24"/>
      <c r="AE130" s="9"/>
      <c r="AF130" s="24"/>
      <c r="AG130" s="9"/>
      <c r="AH130" s="24"/>
      <c r="AI130" s="9"/>
      <c r="AJ130" s="24"/>
      <c r="AK130" s="9"/>
      <c r="AL130" s="24"/>
      <c r="AM130" s="9"/>
      <c r="AN130" s="24"/>
      <c r="AO130" s="9"/>
      <c r="AP130" s="24"/>
      <c r="AQ130" s="9"/>
      <c r="AR130" s="24"/>
      <c r="AS130" s="25"/>
      <c r="AT130" s="25"/>
      <c r="AU130" s="25"/>
      <c r="AV130" s="26"/>
      <c r="AW130" s="26"/>
      <c r="AX130" s="26"/>
      <c r="AY130" s="26"/>
      <c r="AZ130" s="26"/>
      <c r="BA130" s="26"/>
      <c r="BB130" s="26"/>
      <c r="BC130" s="26"/>
      <c r="BD130" s="27"/>
    </row>
    <row r="131" spans="1:56" ht="15" customHeight="1">
      <c r="A131" s="28"/>
      <c r="B131" s="28"/>
      <c r="C131" s="28"/>
      <c r="D131" s="28"/>
      <c r="E131" s="28"/>
      <c r="F131" s="29"/>
      <c r="G131" s="28"/>
      <c r="H131" s="29"/>
      <c r="I131" s="28"/>
      <c r="J131" s="29"/>
      <c r="K131" s="28"/>
      <c r="L131" s="29"/>
      <c r="M131" s="28"/>
      <c r="N131" s="29"/>
      <c r="O131" s="28"/>
      <c r="P131" s="29"/>
      <c r="Q131" s="28"/>
      <c r="R131" s="29"/>
      <c r="S131" s="28"/>
      <c r="T131" s="29"/>
      <c r="U131" s="28"/>
      <c r="V131" s="29"/>
      <c r="W131" s="28"/>
      <c r="X131" s="29"/>
      <c r="Y131" s="28"/>
      <c r="Z131" s="29"/>
      <c r="AA131" s="28"/>
      <c r="AB131" s="29"/>
      <c r="AC131" s="28"/>
      <c r="AD131" s="29"/>
      <c r="AE131" s="28"/>
      <c r="AF131" s="29"/>
      <c r="AG131" s="28"/>
      <c r="AH131" s="29"/>
      <c r="AI131" s="28"/>
      <c r="AJ131" s="29"/>
      <c r="AK131" s="28"/>
      <c r="AL131" s="29"/>
      <c r="AM131" s="28"/>
      <c r="AN131" s="29"/>
      <c r="AO131" s="28"/>
      <c r="AP131" s="29"/>
      <c r="AQ131" s="28"/>
      <c r="AR131" s="29"/>
      <c r="AS131" s="25"/>
      <c r="AT131" s="25"/>
      <c r="AU131" s="25"/>
      <c r="AV131" s="26"/>
      <c r="AW131" s="26"/>
      <c r="AX131" s="26"/>
      <c r="AY131" s="26"/>
      <c r="AZ131" s="26"/>
      <c r="BA131" s="26"/>
      <c r="BB131" s="26"/>
      <c r="BC131" s="26"/>
      <c r="BD131" s="27"/>
    </row>
    <row r="132" spans="1:56" ht="15" customHeight="1">
      <c r="A132" s="9"/>
      <c r="B132" s="9"/>
      <c r="C132" s="9"/>
      <c r="D132" s="9"/>
      <c r="E132" s="9"/>
      <c r="F132" s="24"/>
      <c r="G132" s="9"/>
      <c r="H132" s="24"/>
      <c r="I132" s="9"/>
      <c r="J132" s="24"/>
      <c r="K132" s="9"/>
      <c r="L132" s="24"/>
      <c r="M132" s="9"/>
      <c r="N132" s="24"/>
      <c r="O132" s="9"/>
      <c r="P132" s="24"/>
      <c r="Q132" s="9"/>
      <c r="R132" s="24"/>
      <c r="S132" s="9"/>
      <c r="T132" s="24"/>
      <c r="U132" s="9"/>
      <c r="V132" s="24"/>
      <c r="W132" s="9"/>
      <c r="X132" s="24"/>
      <c r="Y132" s="9"/>
      <c r="Z132" s="24"/>
      <c r="AA132" s="9"/>
      <c r="AB132" s="24"/>
      <c r="AC132" s="9"/>
      <c r="AD132" s="24"/>
      <c r="AE132" s="9"/>
      <c r="AF132" s="24"/>
      <c r="AG132" s="9"/>
      <c r="AH132" s="24"/>
      <c r="AI132" s="9"/>
      <c r="AJ132" s="24"/>
      <c r="AK132" s="9"/>
      <c r="AL132" s="24"/>
      <c r="AM132" s="9"/>
      <c r="AN132" s="24"/>
      <c r="AO132" s="9"/>
      <c r="AP132" s="24"/>
      <c r="AQ132" s="9"/>
      <c r="AR132" s="24"/>
      <c r="AS132" s="25"/>
      <c r="AT132" s="25"/>
      <c r="AU132" s="25"/>
      <c r="AV132" s="26"/>
      <c r="AW132" s="26"/>
      <c r="AX132" s="26"/>
      <c r="AY132" s="26"/>
      <c r="AZ132" s="26"/>
      <c r="BA132" s="26"/>
      <c r="BB132" s="26"/>
      <c r="BC132" s="26"/>
      <c r="BD132" s="27"/>
    </row>
    <row r="133" spans="1:56" ht="15" customHeight="1">
      <c r="A133" s="28"/>
      <c r="B133" s="28"/>
      <c r="C133" s="28"/>
      <c r="D133" s="28"/>
      <c r="E133" s="28"/>
      <c r="F133" s="29"/>
      <c r="G133" s="28"/>
      <c r="H133" s="29"/>
      <c r="I133" s="28"/>
      <c r="J133" s="29"/>
      <c r="K133" s="28"/>
      <c r="L133" s="29"/>
      <c r="M133" s="28"/>
      <c r="N133" s="29"/>
      <c r="O133" s="28"/>
      <c r="P133" s="29"/>
      <c r="Q133" s="28"/>
      <c r="R133" s="29"/>
      <c r="S133" s="28"/>
      <c r="T133" s="29"/>
      <c r="U133" s="28"/>
      <c r="V133" s="29"/>
      <c r="W133" s="28"/>
      <c r="X133" s="29"/>
      <c r="Y133" s="28"/>
      <c r="Z133" s="29"/>
      <c r="AA133" s="28"/>
      <c r="AB133" s="29"/>
      <c r="AC133" s="28"/>
      <c r="AD133" s="29"/>
      <c r="AE133" s="28"/>
      <c r="AF133" s="29"/>
      <c r="AG133" s="28"/>
      <c r="AH133" s="29"/>
      <c r="AI133" s="28"/>
      <c r="AJ133" s="29"/>
      <c r="AK133" s="28"/>
      <c r="AL133" s="29"/>
      <c r="AM133" s="28"/>
      <c r="AN133" s="29"/>
      <c r="AO133" s="28"/>
      <c r="AP133" s="29"/>
      <c r="AQ133" s="28"/>
      <c r="AR133" s="29"/>
      <c r="AS133" s="25"/>
      <c r="AT133" s="25"/>
      <c r="AU133" s="25"/>
      <c r="AV133" s="26"/>
      <c r="AW133" s="26"/>
      <c r="AX133" s="26"/>
      <c r="AY133" s="26"/>
      <c r="AZ133" s="26"/>
      <c r="BA133" s="26"/>
      <c r="BB133" s="26"/>
      <c r="BC133" s="26"/>
      <c r="BD133" s="27"/>
    </row>
    <row r="134" spans="1:56" ht="15" customHeight="1">
      <c r="A134" s="9"/>
      <c r="B134" s="9"/>
      <c r="C134" s="9"/>
      <c r="D134" s="9"/>
      <c r="E134" s="9"/>
      <c r="F134" s="24"/>
      <c r="G134" s="9"/>
      <c r="H134" s="24"/>
      <c r="I134" s="9"/>
      <c r="J134" s="24"/>
      <c r="K134" s="9"/>
      <c r="L134" s="24"/>
      <c r="M134" s="9"/>
      <c r="N134" s="24"/>
      <c r="O134" s="9"/>
      <c r="P134" s="24"/>
      <c r="Q134" s="9"/>
      <c r="R134" s="24"/>
      <c r="S134" s="9"/>
      <c r="T134" s="24"/>
      <c r="U134" s="9"/>
      <c r="V134" s="24"/>
      <c r="W134" s="9"/>
      <c r="X134" s="24"/>
      <c r="Y134" s="9"/>
      <c r="Z134" s="24"/>
      <c r="AA134" s="9"/>
      <c r="AB134" s="24"/>
      <c r="AC134" s="9"/>
      <c r="AD134" s="24"/>
      <c r="AE134" s="9"/>
      <c r="AF134" s="24"/>
      <c r="AG134" s="9"/>
      <c r="AH134" s="24"/>
      <c r="AI134" s="9"/>
      <c r="AJ134" s="24"/>
      <c r="AK134" s="9"/>
      <c r="AL134" s="24"/>
      <c r="AM134" s="9"/>
      <c r="AN134" s="24"/>
      <c r="AO134" s="9"/>
      <c r="AP134" s="24"/>
      <c r="AQ134" s="9"/>
      <c r="AR134" s="24"/>
      <c r="AS134" s="25"/>
      <c r="AT134" s="25"/>
      <c r="AU134" s="25"/>
      <c r="AV134" s="26"/>
      <c r="AW134" s="26"/>
      <c r="AX134" s="26"/>
      <c r="AY134" s="26"/>
      <c r="AZ134" s="26"/>
      <c r="BA134" s="26"/>
      <c r="BB134" s="26"/>
      <c r="BC134" s="26"/>
      <c r="BD134" s="27"/>
    </row>
    <row r="135" spans="1:56" ht="15" customHeight="1">
      <c r="A135" s="28"/>
      <c r="B135" s="28"/>
      <c r="C135" s="28"/>
      <c r="D135" s="28"/>
      <c r="E135" s="28"/>
      <c r="F135" s="29"/>
      <c r="G135" s="28"/>
      <c r="H135" s="29"/>
      <c r="I135" s="28"/>
      <c r="J135" s="29"/>
      <c r="K135" s="28"/>
      <c r="L135" s="29"/>
      <c r="M135" s="28"/>
      <c r="N135" s="29"/>
      <c r="O135" s="28"/>
      <c r="P135" s="29"/>
      <c r="Q135" s="28"/>
      <c r="R135" s="29"/>
      <c r="S135" s="28"/>
      <c r="T135" s="29"/>
      <c r="U135" s="28"/>
      <c r="V135" s="29"/>
      <c r="W135" s="28"/>
      <c r="X135" s="29"/>
      <c r="Y135" s="28"/>
      <c r="Z135" s="29"/>
      <c r="AA135" s="28"/>
      <c r="AB135" s="29"/>
      <c r="AC135" s="28"/>
      <c r="AD135" s="29"/>
      <c r="AE135" s="28"/>
      <c r="AF135" s="29"/>
      <c r="AG135" s="28"/>
      <c r="AH135" s="29"/>
      <c r="AI135" s="28"/>
      <c r="AJ135" s="29"/>
      <c r="AK135" s="28"/>
      <c r="AL135" s="29"/>
      <c r="AM135" s="28"/>
      <c r="AN135" s="29"/>
      <c r="AO135" s="28"/>
      <c r="AP135" s="29"/>
      <c r="AQ135" s="28"/>
      <c r="AR135" s="29"/>
      <c r="AS135" s="25"/>
      <c r="AT135" s="25"/>
      <c r="AU135" s="25"/>
      <c r="AV135" s="26"/>
      <c r="AW135" s="26"/>
      <c r="AX135" s="26"/>
      <c r="AY135" s="26"/>
      <c r="AZ135" s="26"/>
      <c r="BA135" s="26"/>
      <c r="BB135" s="26"/>
      <c r="BC135" s="26"/>
      <c r="BD135" s="27"/>
    </row>
    <row r="136" spans="1:56" ht="15" customHeight="1">
      <c r="A136" s="9"/>
      <c r="B136" s="9"/>
      <c r="C136" s="9"/>
      <c r="D136" s="9"/>
      <c r="E136" s="9"/>
      <c r="F136" s="24"/>
      <c r="G136" s="9"/>
      <c r="H136" s="24"/>
      <c r="I136" s="9"/>
      <c r="J136" s="24"/>
      <c r="K136" s="9"/>
      <c r="L136" s="24"/>
      <c r="M136" s="9"/>
      <c r="N136" s="24"/>
      <c r="O136" s="9"/>
      <c r="P136" s="24"/>
      <c r="Q136" s="9"/>
      <c r="R136" s="24"/>
      <c r="S136" s="9"/>
      <c r="T136" s="24"/>
      <c r="U136" s="9"/>
      <c r="V136" s="24"/>
      <c r="W136" s="9"/>
      <c r="X136" s="24"/>
      <c r="Y136" s="9"/>
      <c r="Z136" s="24"/>
      <c r="AA136" s="9"/>
      <c r="AB136" s="24"/>
      <c r="AC136" s="9"/>
      <c r="AD136" s="24"/>
      <c r="AE136" s="9"/>
      <c r="AF136" s="24"/>
      <c r="AG136" s="9"/>
      <c r="AH136" s="24"/>
      <c r="AI136" s="9"/>
      <c r="AJ136" s="24"/>
      <c r="AK136" s="9"/>
      <c r="AL136" s="24"/>
      <c r="AM136" s="9"/>
      <c r="AN136" s="24"/>
      <c r="AO136" s="9"/>
      <c r="AP136" s="24"/>
      <c r="AQ136" s="9"/>
      <c r="AR136" s="24"/>
      <c r="AS136" s="25"/>
      <c r="AT136" s="25"/>
      <c r="AU136" s="25"/>
      <c r="AV136" s="26"/>
      <c r="AW136" s="26"/>
      <c r="AX136" s="26"/>
      <c r="AY136" s="26"/>
      <c r="AZ136" s="26"/>
      <c r="BA136" s="26"/>
      <c r="BB136" s="26"/>
      <c r="BC136" s="26"/>
      <c r="BD136" s="27"/>
    </row>
    <row r="137" spans="1:56" ht="15" customHeight="1">
      <c r="A137" s="28"/>
      <c r="B137" s="28"/>
      <c r="C137" s="28"/>
      <c r="D137" s="28"/>
      <c r="E137" s="28"/>
      <c r="F137" s="29"/>
      <c r="G137" s="28"/>
      <c r="H137" s="29"/>
      <c r="I137" s="28"/>
      <c r="J137" s="29"/>
      <c r="K137" s="28"/>
      <c r="L137" s="29"/>
      <c r="M137" s="28"/>
      <c r="N137" s="29"/>
      <c r="O137" s="28"/>
      <c r="P137" s="29"/>
      <c r="Q137" s="28"/>
      <c r="R137" s="29"/>
      <c r="S137" s="28"/>
      <c r="T137" s="29"/>
      <c r="U137" s="28"/>
      <c r="V137" s="29"/>
      <c r="W137" s="28"/>
      <c r="X137" s="29"/>
      <c r="Y137" s="28"/>
      <c r="Z137" s="29"/>
      <c r="AA137" s="28"/>
      <c r="AB137" s="29"/>
      <c r="AC137" s="28"/>
      <c r="AD137" s="29"/>
      <c r="AE137" s="28"/>
      <c r="AF137" s="29"/>
      <c r="AG137" s="28"/>
      <c r="AH137" s="29"/>
      <c r="AI137" s="28"/>
      <c r="AJ137" s="29"/>
      <c r="AK137" s="28"/>
      <c r="AL137" s="29"/>
      <c r="AM137" s="28"/>
      <c r="AN137" s="29"/>
      <c r="AO137" s="28"/>
      <c r="AP137" s="29"/>
      <c r="AQ137" s="28"/>
      <c r="AR137" s="29"/>
      <c r="AS137" s="25"/>
      <c r="AT137" s="25"/>
      <c r="AU137" s="25"/>
      <c r="AV137" s="26"/>
      <c r="AW137" s="26"/>
      <c r="AX137" s="26"/>
      <c r="AY137" s="26"/>
      <c r="AZ137" s="26"/>
      <c r="BA137" s="26"/>
      <c r="BB137" s="26"/>
      <c r="BC137" s="26"/>
      <c r="BD137" s="27"/>
    </row>
    <row r="138" spans="1:56" ht="15" customHeight="1">
      <c r="A138" s="9"/>
      <c r="B138" s="9"/>
      <c r="C138" s="9"/>
      <c r="D138" s="9"/>
      <c r="E138" s="9"/>
      <c r="F138" s="24"/>
      <c r="G138" s="9"/>
      <c r="H138" s="24"/>
      <c r="I138" s="9"/>
      <c r="J138" s="24"/>
      <c r="K138" s="9"/>
      <c r="L138" s="24"/>
      <c r="M138" s="9"/>
      <c r="N138" s="24"/>
      <c r="O138" s="9"/>
      <c r="P138" s="24"/>
      <c r="Q138" s="9"/>
      <c r="R138" s="24"/>
      <c r="S138" s="9"/>
      <c r="T138" s="24"/>
      <c r="U138" s="9"/>
      <c r="V138" s="24"/>
      <c r="W138" s="9"/>
      <c r="X138" s="24"/>
      <c r="Y138" s="9"/>
      <c r="Z138" s="24"/>
      <c r="AA138" s="9"/>
      <c r="AB138" s="24"/>
      <c r="AC138" s="9"/>
      <c r="AD138" s="24"/>
      <c r="AE138" s="9"/>
      <c r="AF138" s="24"/>
      <c r="AG138" s="9"/>
      <c r="AH138" s="24"/>
      <c r="AI138" s="9"/>
      <c r="AJ138" s="24"/>
      <c r="AK138" s="9"/>
      <c r="AL138" s="24"/>
      <c r="AM138" s="9"/>
      <c r="AN138" s="24"/>
      <c r="AO138" s="9"/>
      <c r="AP138" s="24"/>
      <c r="AQ138" s="9"/>
      <c r="AR138" s="24"/>
      <c r="AS138" s="25"/>
      <c r="AT138" s="25"/>
      <c r="AU138" s="25"/>
      <c r="AV138" s="26"/>
      <c r="AW138" s="26"/>
      <c r="AX138" s="26"/>
      <c r="AY138" s="26"/>
      <c r="AZ138" s="26"/>
      <c r="BA138" s="26"/>
      <c r="BB138" s="26"/>
      <c r="BC138" s="26"/>
      <c r="BD138" s="27"/>
    </row>
    <row r="139" spans="1:56" ht="15" customHeight="1">
      <c r="A139" s="28"/>
      <c r="B139" s="28"/>
      <c r="C139" s="28"/>
      <c r="D139" s="28"/>
      <c r="E139" s="28"/>
      <c r="F139" s="29"/>
      <c r="G139" s="28"/>
      <c r="H139" s="29"/>
      <c r="I139" s="28"/>
      <c r="J139" s="29"/>
      <c r="K139" s="28"/>
      <c r="L139" s="29"/>
      <c r="M139" s="28"/>
      <c r="N139" s="29"/>
      <c r="O139" s="28"/>
      <c r="P139" s="29"/>
      <c r="Q139" s="28"/>
      <c r="R139" s="29"/>
      <c r="S139" s="28"/>
      <c r="T139" s="29"/>
      <c r="U139" s="28"/>
      <c r="V139" s="29"/>
      <c r="W139" s="28"/>
      <c r="X139" s="29"/>
      <c r="Y139" s="28"/>
      <c r="Z139" s="29"/>
      <c r="AA139" s="28"/>
      <c r="AB139" s="29"/>
      <c r="AC139" s="28"/>
      <c r="AD139" s="29"/>
      <c r="AE139" s="28"/>
      <c r="AF139" s="29"/>
      <c r="AG139" s="28"/>
      <c r="AH139" s="29"/>
      <c r="AI139" s="28"/>
      <c r="AJ139" s="29"/>
      <c r="AK139" s="28"/>
      <c r="AL139" s="29"/>
      <c r="AM139" s="28"/>
      <c r="AN139" s="29"/>
      <c r="AO139" s="28"/>
      <c r="AP139" s="29"/>
      <c r="AQ139" s="28"/>
      <c r="AR139" s="29"/>
      <c r="AS139" s="25"/>
      <c r="AT139" s="25"/>
      <c r="AU139" s="25"/>
      <c r="AV139" s="26"/>
      <c r="AW139" s="26"/>
      <c r="AX139" s="26"/>
      <c r="AY139" s="26"/>
      <c r="AZ139" s="26"/>
      <c r="BA139" s="26"/>
      <c r="BB139" s="26"/>
      <c r="BC139" s="26"/>
      <c r="BD139" s="27"/>
    </row>
    <row r="140" spans="1:56" ht="15" customHeight="1">
      <c r="A140" s="9"/>
      <c r="B140" s="9"/>
      <c r="C140" s="9"/>
      <c r="D140" s="9"/>
      <c r="E140" s="9"/>
      <c r="F140" s="24"/>
      <c r="G140" s="9"/>
      <c r="H140" s="24"/>
      <c r="I140" s="9"/>
      <c r="J140" s="24"/>
      <c r="K140" s="9"/>
      <c r="L140" s="24"/>
      <c r="M140" s="9"/>
      <c r="N140" s="24"/>
      <c r="O140" s="9"/>
      <c r="P140" s="24"/>
      <c r="Q140" s="9"/>
      <c r="R140" s="24"/>
      <c r="S140" s="9"/>
      <c r="T140" s="24"/>
      <c r="U140" s="9"/>
      <c r="V140" s="24"/>
      <c r="W140" s="9"/>
      <c r="X140" s="24"/>
      <c r="Y140" s="9"/>
      <c r="Z140" s="24"/>
      <c r="AA140" s="9"/>
      <c r="AB140" s="24"/>
      <c r="AC140" s="9"/>
      <c r="AD140" s="24"/>
      <c r="AE140" s="9"/>
      <c r="AF140" s="24"/>
      <c r="AG140" s="9"/>
      <c r="AH140" s="24"/>
      <c r="AI140" s="9"/>
      <c r="AJ140" s="24"/>
      <c r="AK140" s="9"/>
      <c r="AL140" s="24"/>
      <c r="AM140" s="9"/>
      <c r="AN140" s="24"/>
      <c r="AO140" s="9"/>
      <c r="AP140" s="24"/>
      <c r="AQ140" s="9"/>
      <c r="AR140" s="24"/>
      <c r="AS140" s="25"/>
      <c r="AT140" s="25"/>
      <c r="AU140" s="25"/>
      <c r="AV140" s="26"/>
      <c r="AW140" s="26"/>
      <c r="AX140" s="26"/>
      <c r="AY140" s="26"/>
      <c r="AZ140" s="26"/>
      <c r="BA140" s="26"/>
      <c r="BB140" s="26"/>
      <c r="BC140" s="26"/>
      <c r="BD140" s="27"/>
    </row>
    <row r="141" spans="1:56" ht="15" customHeight="1">
      <c r="A141" s="28"/>
      <c r="B141" s="28"/>
      <c r="C141" s="28"/>
      <c r="D141" s="28"/>
      <c r="E141" s="28"/>
      <c r="F141" s="29"/>
      <c r="G141" s="28"/>
      <c r="H141" s="29"/>
      <c r="I141" s="28"/>
      <c r="J141" s="29"/>
      <c r="K141" s="28"/>
      <c r="L141" s="29"/>
      <c r="M141" s="28"/>
      <c r="N141" s="29"/>
      <c r="O141" s="28"/>
      <c r="P141" s="29"/>
      <c r="Q141" s="28"/>
      <c r="R141" s="29"/>
      <c r="S141" s="28"/>
      <c r="T141" s="29"/>
      <c r="U141" s="28"/>
      <c r="V141" s="29"/>
      <c r="W141" s="28"/>
      <c r="X141" s="29"/>
      <c r="Y141" s="28"/>
      <c r="Z141" s="29"/>
      <c r="AA141" s="28"/>
      <c r="AB141" s="29"/>
      <c r="AC141" s="28"/>
      <c r="AD141" s="29"/>
      <c r="AE141" s="28"/>
      <c r="AF141" s="29"/>
      <c r="AG141" s="28"/>
      <c r="AH141" s="29"/>
      <c r="AI141" s="28"/>
      <c r="AJ141" s="29"/>
      <c r="AK141" s="28"/>
      <c r="AL141" s="29"/>
      <c r="AM141" s="28"/>
      <c r="AN141" s="29"/>
      <c r="AO141" s="28"/>
      <c r="AP141" s="29"/>
      <c r="AQ141" s="28"/>
      <c r="AR141" s="29"/>
      <c r="AS141" s="25"/>
      <c r="AT141" s="25"/>
      <c r="AU141" s="25"/>
      <c r="AV141" s="26"/>
      <c r="AW141" s="26"/>
      <c r="AX141" s="26"/>
      <c r="AY141" s="26"/>
      <c r="AZ141" s="26"/>
      <c r="BA141" s="26"/>
      <c r="BB141" s="26"/>
      <c r="BC141" s="26"/>
      <c r="BD141" s="27"/>
    </row>
    <row r="142" spans="1:56" ht="15" customHeight="1">
      <c r="A142" s="9"/>
      <c r="B142" s="9"/>
      <c r="C142" s="9"/>
      <c r="D142" s="9"/>
      <c r="E142" s="9"/>
      <c r="F142" s="24"/>
      <c r="G142" s="9"/>
      <c r="H142" s="24"/>
      <c r="I142" s="9"/>
      <c r="J142" s="24"/>
      <c r="K142" s="9"/>
      <c r="L142" s="24"/>
      <c r="M142" s="9"/>
      <c r="N142" s="24"/>
      <c r="O142" s="9"/>
      <c r="P142" s="24"/>
      <c r="Q142" s="9"/>
      <c r="R142" s="24"/>
      <c r="S142" s="9"/>
      <c r="T142" s="24"/>
      <c r="U142" s="9"/>
      <c r="V142" s="24"/>
      <c r="W142" s="9"/>
      <c r="X142" s="24"/>
      <c r="Y142" s="9"/>
      <c r="Z142" s="24"/>
      <c r="AA142" s="9"/>
      <c r="AB142" s="24"/>
      <c r="AC142" s="9"/>
      <c r="AD142" s="24"/>
      <c r="AE142" s="9"/>
      <c r="AF142" s="24"/>
      <c r="AG142" s="9"/>
      <c r="AH142" s="24"/>
      <c r="AI142" s="9"/>
      <c r="AJ142" s="24"/>
      <c r="AK142" s="9"/>
      <c r="AL142" s="24"/>
      <c r="AM142" s="9"/>
      <c r="AN142" s="24"/>
      <c r="AO142" s="9"/>
      <c r="AP142" s="24"/>
      <c r="AQ142" s="9"/>
      <c r="AR142" s="24"/>
      <c r="AS142" s="25"/>
      <c r="AT142" s="25"/>
      <c r="AU142" s="25"/>
      <c r="AV142" s="26"/>
      <c r="AW142" s="26"/>
      <c r="AX142" s="26"/>
      <c r="AY142" s="26"/>
      <c r="AZ142" s="26"/>
      <c r="BA142" s="26"/>
      <c r="BB142" s="26"/>
      <c r="BC142" s="26"/>
      <c r="BD142" s="27"/>
    </row>
    <row r="143" spans="1:56" ht="15" customHeight="1">
      <c r="A143" s="28"/>
      <c r="B143" s="28"/>
      <c r="C143" s="28"/>
      <c r="D143" s="28"/>
      <c r="E143" s="28"/>
      <c r="F143" s="29"/>
      <c r="G143" s="28"/>
      <c r="H143" s="29"/>
      <c r="I143" s="28"/>
      <c r="J143" s="29"/>
      <c r="K143" s="28"/>
      <c r="L143" s="29"/>
      <c r="M143" s="28"/>
      <c r="N143" s="29"/>
      <c r="O143" s="28"/>
      <c r="P143" s="29"/>
      <c r="Q143" s="28"/>
      <c r="R143" s="29"/>
      <c r="S143" s="28"/>
      <c r="T143" s="29"/>
      <c r="U143" s="28"/>
      <c r="V143" s="29"/>
      <c r="W143" s="28"/>
      <c r="X143" s="29"/>
      <c r="Y143" s="28"/>
      <c r="Z143" s="29"/>
      <c r="AA143" s="28"/>
      <c r="AB143" s="29"/>
      <c r="AC143" s="28"/>
      <c r="AD143" s="29"/>
      <c r="AE143" s="28"/>
      <c r="AF143" s="29"/>
      <c r="AG143" s="28"/>
      <c r="AH143" s="29"/>
      <c r="AI143" s="28"/>
      <c r="AJ143" s="29"/>
      <c r="AK143" s="28"/>
      <c r="AL143" s="29"/>
      <c r="AM143" s="28"/>
      <c r="AN143" s="29"/>
      <c r="AO143" s="28"/>
      <c r="AP143" s="29"/>
      <c r="AQ143" s="28"/>
      <c r="AR143" s="29"/>
      <c r="AS143" s="25"/>
      <c r="AT143" s="25"/>
      <c r="AU143" s="25"/>
      <c r="AV143" s="26"/>
      <c r="AW143" s="26"/>
      <c r="AX143" s="26"/>
      <c r="AY143" s="26"/>
      <c r="AZ143" s="26"/>
      <c r="BA143" s="26"/>
      <c r="BB143" s="26"/>
      <c r="BC143" s="26"/>
      <c r="BD143" s="27"/>
    </row>
    <row r="144" spans="1:56" ht="15" customHeight="1">
      <c r="A144" s="9"/>
      <c r="B144" s="9"/>
      <c r="C144" s="9"/>
      <c r="D144" s="9"/>
      <c r="E144" s="9"/>
      <c r="F144" s="24"/>
      <c r="G144" s="9"/>
      <c r="H144" s="24"/>
      <c r="I144" s="9"/>
      <c r="J144" s="24"/>
      <c r="K144" s="9"/>
      <c r="L144" s="24"/>
      <c r="M144" s="9"/>
      <c r="N144" s="24"/>
      <c r="O144" s="9"/>
      <c r="P144" s="24"/>
      <c r="Q144" s="9"/>
      <c r="R144" s="24"/>
      <c r="S144" s="9"/>
      <c r="T144" s="24"/>
      <c r="U144" s="9"/>
      <c r="V144" s="24"/>
      <c r="W144" s="9"/>
      <c r="X144" s="24"/>
      <c r="Y144" s="9"/>
      <c r="Z144" s="24"/>
      <c r="AA144" s="9"/>
      <c r="AB144" s="24"/>
      <c r="AC144" s="9"/>
      <c r="AD144" s="24"/>
      <c r="AE144" s="9"/>
      <c r="AF144" s="24"/>
      <c r="AG144" s="9"/>
      <c r="AH144" s="24"/>
      <c r="AI144" s="9"/>
      <c r="AJ144" s="24"/>
      <c r="AK144" s="9"/>
      <c r="AL144" s="24"/>
      <c r="AM144" s="9"/>
      <c r="AN144" s="24"/>
      <c r="AO144" s="9"/>
      <c r="AP144" s="24"/>
      <c r="AQ144" s="9"/>
      <c r="AR144" s="24"/>
      <c r="AS144" s="25"/>
      <c r="AT144" s="25"/>
      <c r="AU144" s="25"/>
      <c r="AV144" s="26"/>
      <c r="AW144" s="26"/>
      <c r="AX144" s="26"/>
      <c r="AY144" s="26"/>
      <c r="AZ144" s="26"/>
      <c r="BA144" s="26"/>
      <c r="BB144" s="26"/>
      <c r="BC144" s="26"/>
      <c r="BD144" s="27"/>
    </row>
    <row r="145" spans="1:56" ht="15" customHeight="1">
      <c r="A145" s="28"/>
      <c r="B145" s="28"/>
      <c r="C145" s="28"/>
      <c r="D145" s="28"/>
      <c r="E145" s="28"/>
      <c r="F145" s="29"/>
      <c r="G145" s="28"/>
      <c r="H145" s="29"/>
      <c r="I145" s="28"/>
      <c r="J145" s="29"/>
      <c r="K145" s="28"/>
      <c r="L145" s="29"/>
      <c r="M145" s="28"/>
      <c r="N145" s="29"/>
      <c r="O145" s="28"/>
      <c r="P145" s="29"/>
      <c r="Q145" s="28"/>
      <c r="R145" s="29"/>
      <c r="S145" s="28"/>
      <c r="T145" s="29"/>
      <c r="U145" s="28"/>
      <c r="V145" s="29"/>
      <c r="W145" s="28"/>
      <c r="X145" s="29"/>
      <c r="Y145" s="28"/>
      <c r="Z145" s="29"/>
      <c r="AA145" s="28"/>
      <c r="AB145" s="29"/>
      <c r="AC145" s="28"/>
      <c r="AD145" s="29"/>
      <c r="AE145" s="28"/>
      <c r="AF145" s="29"/>
      <c r="AG145" s="28"/>
      <c r="AH145" s="29"/>
      <c r="AI145" s="28"/>
      <c r="AJ145" s="29"/>
      <c r="AK145" s="28"/>
      <c r="AL145" s="29"/>
      <c r="AM145" s="28"/>
      <c r="AN145" s="29"/>
      <c r="AO145" s="28"/>
      <c r="AP145" s="29"/>
      <c r="AQ145" s="28"/>
      <c r="AR145" s="29"/>
      <c r="AS145" s="25"/>
      <c r="AT145" s="25"/>
      <c r="AU145" s="25"/>
      <c r="AV145" s="26"/>
      <c r="AW145" s="26"/>
      <c r="AX145" s="26"/>
      <c r="AY145" s="26"/>
      <c r="AZ145" s="26"/>
      <c r="BA145" s="26"/>
      <c r="BB145" s="26"/>
      <c r="BC145" s="26"/>
      <c r="BD145" s="27"/>
    </row>
    <row r="146" spans="1:56" ht="15" customHeight="1">
      <c r="A146" s="9"/>
      <c r="B146" s="9"/>
      <c r="C146" s="9"/>
      <c r="D146" s="9"/>
      <c r="E146" s="9"/>
      <c r="F146" s="24"/>
      <c r="G146" s="9"/>
      <c r="H146" s="24"/>
      <c r="I146" s="9"/>
      <c r="J146" s="24"/>
      <c r="K146" s="9"/>
      <c r="L146" s="24"/>
      <c r="M146" s="9"/>
      <c r="N146" s="24"/>
      <c r="O146" s="9"/>
      <c r="P146" s="24"/>
      <c r="Q146" s="9"/>
      <c r="R146" s="24"/>
      <c r="S146" s="9"/>
      <c r="T146" s="24"/>
      <c r="U146" s="9"/>
      <c r="V146" s="24"/>
      <c r="W146" s="9"/>
      <c r="X146" s="24"/>
      <c r="Y146" s="9"/>
      <c r="Z146" s="24"/>
      <c r="AA146" s="9"/>
      <c r="AB146" s="24"/>
      <c r="AC146" s="9"/>
      <c r="AD146" s="24"/>
      <c r="AE146" s="9"/>
      <c r="AF146" s="24"/>
      <c r="AG146" s="9"/>
      <c r="AH146" s="24"/>
      <c r="AI146" s="9"/>
      <c r="AJ146" s="24"/>
      <c r="AK146" s="9"/>
      <c r="AL146" s="24"/>
      <c r="AM146" s="9"/>
      <c r="AN146" s="24"/>
      <c r="AO146" s="9"/>
      <c r="AP146" s="24"/>
      <c r="AQ146" s="9"/>
      <c r="AR146" s="24"/>
      <c r="AS146" s="25"/>
      <c r="AT146" s="25"/>
      <c r="AU146" s="25"/>
      <c r="AV146" s="26"/>
      <c r="AW146" s="26"/>
      <c r="AX146" s="26"/>
      <c r="AY146" s="26"/>
      <c r="AZ146" s="26"/>
      <c r="BA146" s="26"/>
      <c r="BB146" s="26"/>
      <c r="BC146" s="26"/>
      <c r="BD146" s="27"/>
    </row>
    <row r="147" spans="1:56" ht="15" customHeight="1">
      <c r="A147" s="28"/>
      <c r="B147" s="28"/>
      <c r="C147" s="28"/>
      <c r="D147" s="28"/>
      <c r="E147" s="28"/>
      <c r="F147" s="29"/>
      <c r="G147" s="28"/>
      <c r="H147" s="29"/>
      <c r="I147" s="28"/>
      <c r="J147" s="29"/>
      <c r="K147" s="28"/>
      <c r="L147" s="29"/>
      <c r="M147" s="28"/>
      <c r="N147" s="29"/>
      <c r="O147" s="28"/>
      <c r="P147" s="29"/>
      <c r="Q147" s="28"/>
      <c r="R147" s="29"/>
      <c r="S147" s="28"/>
      <c r="T147" s="29"/>
      <c r="U147" s="28"/>
      <c r="V147" s="29"/>
      <c r="W147" s="28"/>
      <c r="X147" s="29"/>
      <c r="Y147" s="28"/>
      <c r="Z147" s="29"/>
      <c r="AA147" s="28"/>
      <c r="AB147" s="29"/>
      <c r="AC147" s="28"/>
      <c r="AD147" s="29"/>
      <c r="AE147" s="28"/>
      <c r="AF147" s="29"/>
      <c r="AG147" s="28"/>
      <c r="AH147" s="29"/>
      <c r="AI147" s="28"/>
      <c r="AJ147" s="29"/>
      <c r="AK147" s="28"/>
      <c r="AL147" s="29"/>
      <c r="AM147" s="28"/>
      <c r="AN147" s="29"/>
      <c r="AO147" s="28"/>
      <c r="AP147" s="29"/>
      <c r="AQ147" s="28"/>
      <c r="AR147" s="29"/>
      <c r="AS147" s="25"/>
      <c r="AT147" s="25"/>
      <c r="AU147" s="25"/>
      <c r="AV147" s="26"/>
      <c r="AW147" s="26"/>
      <c r="AX147" s="26"/>
      <c r="AY147" s="26"/>
      <c r="AZ147" s="26"/>
      <c r="BA147" s="26"/>
      <c r="BB147" s="26"/>
      <c r="BC147" s="26"/>
      <c r="BD147" s="27"/>
    </row>
    <row r="148" spans="1:56" ht="15" customHeight="1">
      <c r="A148" s="9"/>
      <c r="B148" s="9"/>
      <c r="C148" s="9"/>
      <c r="D148" s="9"/>
      <c r="E148" s="9"/>
      <c r="F148" s="24"/>
      <c r="G148" s="9"/>
      <c r="H148" s="24"/>
      <c r="I148" s="9"/>
      <c r="J148" s="24"/>
      <c r="K148" s="9"/>
      <c r="L148" s="24"/>
      <c r="M148" s="9"/>
      <c r="N148" s="24"/>
      <c r="O148" s="9"/>
      <c r="P148" s="24"/>
      <c r="Q148" s="9"/>
      <c r="R148" s="24"/>
      <c r="S148" s="9"/>
      <c r="T148" s="24"/>
      <c r="U148" s="9"/>
      <c r="V148" s="24"/>
      <c r="W148" s="9"/>
      <c r="X148" s="24"/>
      <c r="Y148" s="9"/>
      <c r="Z148" s="24"/>
      <c r="AA148" s="9"/>
      <c r="AB148" s="24"/>
      <c r="AC148" s="9"/>
      <c r="AD148" s="24"/>
      <c r="AE148" s="9"/>
      <c r="AF148" s="24"/>
      <c r="AG148" s="9"/>
      <c r="AH148" s="24"/>
      <c r="AI148" s="9"/>
      <c r="AJ148" s="24"/>
      <c r="AK148" s="9"/>
      <c r="AL148" s="24"/>
      <c r="AM148" s="9"/>
      <c r="AN148" s="24"/>
      <c r="AO148" s="9"/>
      <c r="AP148" s="24"/>
      <c r="AQ148" s="9"/>
      <c r="AR148" s="24"/>
      <c r="AS148" s="25"/>
      <c r="AT148" s="25"/>
      <c r="AU148" s="25"/>
      <c r="AV148" s="26"/>
      <c r="AW148" s="26"/>
      <c r="AX148" s="26"/>
      <c r="AY148" s="26"/>
      <c r="AZ148" s="26"/>
      <c r="BA148" s="26"/>
      <c r="BB148" s="26"/>
      <c r="BC148" s="26"/>
      <c r="BD148" s="27"/>
    </row>
    <row r="149" spans="1:56" ht="15" customHeight="1">
      <c r="A149" s="28"/>
      <c r="B149" s="28"/>
      <c r="C149" s="28"/>
      <c r="D149" s="28"/>
      <c r="E149" s="28"/>
      <c r="F149" s="29"/>
      <c r="G149" s="28"/>
      <c r="H149" s="29"/>
      <c r="I149" s="28"/>
      <c r="J149" s="29"/>
      <c r="K149" s="28"/>
      <c r="L149" s="29"/>
      <c r="M149" s="28"/>
      <c r="N149" s="29"/>
      <c r="O149" s="28"/>
      <c r="P149" s="29"/>
      <c r="Q149" s="28"/>
      <c r="R149" s="29"/>
      <c r="S149" s="28"/>
      <c r="T149" s="29"/>
      <c r="U149" s="28"/>
      <c r="V149" s="29"/>
      <c r="W149" s="28"/>
      <c r="X149" s="29"/>
      <c r="Y149" s="28"/>
      <c r="Z149" s="29"/>
      <c r="AA149" s="28"/>
      <c r="AB149" s="29"/>
      <c r="AC149" s="28"/>
      <c r="AD149" s="29"/>
      <c r="AE149" s="28"/>
      <c r="AF149" s="29"/>
      <c r="AG149" s="28"/>
      <c r="AH149" s="29"/>
      <c r="AI149" s="28"/>
      <c r="AJ149" s="29"/>
      <c r="AK149" s="28"/>
      <c r="AL149" s="29"/>
      <c r="AM149" s="28"/>
      <c r="AN149" s="29"/>
      <c r="AO149" s="28"/>
      <c r="AP149" s="29"/>
      <c r="AQ149" s="28"/>
      <c r="AR149" s="29"/>
      <c r="AS149" s="25"/>
      <c r="AT149" s="25"/>
      <c r="AU149" s="25"/>
      <c r="AV149" s="26"/>
      <c r="AW149" s="26"/>
      <c r="AX149" s="26"/>
      <c r="AY149" s="26"/>
      <c r="AZ149" s="26"/>
      <c r="BA149" s="26"/>
      <c r="BB149" s="26"/>
      <c r="BC149" s="26"/>
      <c r="BD149" s="27"/>
    </row>
    <row r="150" spans="1:56" ht="15" customHeight="1">
      <c r="A150" s="9"/>
      <c r="B150" s="9"/>
      <c r="C150" s="9"/>
      <c r="D150" s="9"/>
      <c r="E150" s="9"/>
      <c r="F150" s="24"/>
      <c r="G150" s="9"/>
      <c r="H150" s="24"/>
      <c r="I150" s="9"/>
      <c r="J150" s="24"/>
      <c r="K150" s="9"/>
      <c r="L150" s="24"/>
      <c r="M150" s="9"/>
      <c r="N150" s="24"/>
      <c r="O150" s="9"/>
      <c r="P150" s="24"/>
      <c r="Q150" s="9"/>
      <c r="R150" s="24"/>
      <c r="S150" s="9"/>
      <c r="T150" s="24"/>
      <c r="U150" s="9"/>
      <c r="V150" s="24"/>
      <c r="W150" s="9"/>
      <c r="X150" s="24"/>
      <c r="Y150" s="9"/>
      <c r="Z150" s="24"/>
      <c r="AA150" s="9"/>
      <c r="AB150" s="24"/>
      <c r="AC150" s="9"/>
      <c r="AD150" s="24"/>
      <c r="AE150" s="9"/>
      <c r="AF150" s="24"/>
      <c r="AG150" s="9"/>
      <c r="AH150" s="24"/>
      <c r="AI150" s="9"/>
      <c r="AJ150" s="24"/>
      <c r="AK150" s="9"/>
      <c r="AL150" s="24"/>
      <c r="AM150" s="9"/>
      <c r="AN150" s="24"/>
      <c r="AO150" s="9"/>
      <c r="AP150" s="24"/>
      <c r="AQ150" s="9"/>
      <c r="AR150" s="24"/>
      <c r="AS150" s="25"/>
      <c r="AT150" s="25"/>
      <c r="AU150" s="25"/>
      <c r="AV150" s="26"/>
      <c r="AW150" s="26"/>
      <c r="AX150" s="26"/>
      <c r="AY150" s="26"/>
      <c r="AZ150" s="26"/>
      <c r="BA150" s="26"/>
      <c r="BB150" s="26"/>
      <c r="BC150" s="26"/>
      <c r="BD150" s="27"/>
    </row>
    <row r="151" spans="1:56" ht="15" customHeight="1">
      <c r="A151" s="28"/>
      <c r="B151" s="28"/>
      <c r="C151" s="28"/>
      <c r="D151" s="28"/>
      <c r="E151" s="28"/>
      <c r="F151" s="29"/>
      <c r="G151" s="28"/>
      <c r="H151" s="29"/>
      <c r="I151" s="28"/>
      <c r="J151" s="29"/>
      <c r="K151" s="28"/>
      <c r="L151" s="29"/>
      <c r="M151" s="28"/>
      <c r="N151" s="29"/>
      <c r="O151" s="28"/>
      <c r="P151" s="29"/>
      <c r="Q151" s="28"/>
      <c r="R151" s="29"/>
      <c r="S151" s="28"/>
      <c r="T151" s="29"/>
      <c r="U151" s="28"/>
      <c r="V151" s="29"/>
      <c r="W151" s="28"/>
      <c r="X151" s="29"/>
      <c r="Y151" s="28"/>
      <c r="Z151" s="29"/>
      <c r="AA151" s="28"/>
      <c r="AB151" s="29"/>
      <c r="AC151" s="28"/>
      <c r="AD151" s="29"/>
      <c r="AE151" s="28"/>
      <c r="AF151" s="29"/>
      <c r="AG151" s="28"/>
      <c r="AH151" s="29"/>
      <c r="AI151" s="28"/>
      <c r="AJ151" s="29"/>
      <c r="AK151" s="28"/>
      <c r="AL151" s="29"/>
      <c r="AM151" s="28"/>
      <c r="AN151" s="29"/>
      <c r="AO151" s="28"/>
      <c r="AP151" s="29"/>
      <c r="AQ151" s="28"/>
      <c r="AR151" s="29"/>
      <c r="AS151" s="25"/>
      <c r="AT151" s="25"/>
      <c r="AU151" s="25"/>
      <c r="AV151" s="26"/>
      <c r="AW151" s="26"/>
      <c r="AX151" s="26"/>
      <c r="AY151" s="26"/>
      <c r="AZ151" s="26"/>
      <c r="BA151" s="26"/>
      <c r="BB151" s="26"/>
      <c r="BC151" s="26"/>
      <c r="BD151" s="27"/>
    </row>
    <row r="152" spans="1:56" ht="15" customHeight="1">
      <c r="A152" s="9"/>
      <c r="B152" s="9"/>
      <c r="C152" s="9"/>
      <c r="D152" s="9"/>
      <c r="E152" s="9"/>
      <c r="F152" s="24"/>
      <c r="G152" s="9"/>
      <c r="H152" s="24"/>
      <c r="I152" s="9"/>
      <c r="J152" s="24"/>
      <c r="K152" s="9"/>
      <c r="L152" s="24"/>
      <c r="M152" s="9"/>
      <c r="N152" s="24"/>
      <c r="O152" s="9"/>
      <c r="P152" s="24"/>
      <c r="Q152" s="9"/>
      <c r="R152" s="24"/>
      <c r="S152" s="9"/>
      <c r="T152" s="24"/>
      <c r="U152" s="9"/>
      <c r="V152" s="24"/>
      <c r="W152" s="9"/>
      <c r="X152" s="24"/>
      <c r="Y152" s="9"/>
      <c r="Z152" s="24"/>
      <c r="AA152" s="9"/>
      <c r="AB152" s="24"/>
      <c r="AC152" s="9"/>
      <c r="AD152" s="24"/>
      <c r="AE152" s="9"/>
      <c r="AF152" s="24"/>
      <c r="AG152" s="9"/>
      <c r="AH152" s="24"/>
      <c r="AI152" s="9"/>
      <c r="AJ152" s="24"/>
      <c r="AK152" s="9"/>
      <c r="AL152" s="24"/>
      <c r="AM152" s="9"/>
      <c r="AN152" s="24"/>
      <c r="AO152" s="9"/>
      <c r="AP152" s="24"/>
      <c r="AQ152" s="9"/>
      <c r="AR152" s="24"/>
      <c r="AS152" s="25"/>
      <c r="AT152" s="25"/>
      <c r="AU152" s="25"/>
      <c r="AV152" s="26"/>
      <c r="AW152" s="26"/>
      <c r="AX152" s="26"/>
      <c r="AY152" s="26"/>
      <c r="AZ152" s="26"/>
      <c r="BA152" s="26"/>
      <c r="BB152" s="26"/>
      <c r="BC152" s="26"/>
      <c r="BD152" s="27"/>
    </row>
    <row r="153" spans="1:56" ht="15" customHeight="1">
      <c r="A153" s="28"/>
      <c r="B153" s="28"/>
      <c r="C153" s="28"/>
      <c r="D153" s="28"/>
      <c r="E153" s="28"/>
      <c r="F153" s="29"/>
      <c r="G153" s="28"/>
      <c r="H153" s="29"/>
      <c r="I153" s="28"/>
      <c r="J153" s="29"/>
      <c r="K153" s="28"/>
      <c r="L153" s="29"/>
      <c r="M153" s="28"/>
      <c r="N153" s="29"/>
      <c r="O153" s="28"/>
      <c r="P153" s="29"/>
      <c r="Q153" s="28"/>
      <c r="R153" s="29"/>
      <c r="S153" s="28"/>
      <c r="T153" s="29"/>
      <c r="U153" s="28"/>
      <c r="V153" s="29"/>
      <c r="W153" s="28"/>
      <c r="X153" s="29"/>
      <c r="Y153" s="28"/>
      <c r="Z153" s="29"/>
      <c r="AA153" s="28"/>
      <c r="AB153" s="29"/>
      <c r="AC153" s="28"/>
      <c r="AD153" s="29"/>
      <c r="AE153" s="28"/>
      <c r="AF153" s="29"/>
      <c r="AG153" s="28"/>
      <c r="AH153" s="29"/>
      <c r="AI153" s="28"/>
      <c r="AJ153" s="29"/>
      <c r="AK153" s="28"/>
      <c r="AL153" s="29"/>
      <c r="AM153" s="28"/>
      <c r="AN153" s="29"/>
      <c r="AO153" s="28"/>
      <c r="AP153" s="29"/>
      <c r="AQ153" s="28"/>
      <c r="AR153" s="29"/>
      <c r="AS153" s="25"/>
      <c r="AT153" s="25"/>
      <c r="AU153" s="25"/>
      <c r="AV153" s="26"/>
      <c r="AW153" s="26"/>
      <c r="AX153" s="26"/>
      <c r="AY153" s="26"/>
      <c r="AZ153" s="26"/>
      <c r="BA153" s="26"/>
      <c r="BB153" s="26"/>
      <c r="BC153" s="26"/>
      <c r="BD153" s="27"/>
    </row>
    <row r="154" spans="1:56" ht="15" customHeight="1">
      <c r="A154" s="9"/>
      <c r="B154" s="9"/>
      <c r="C154" s="9"/>
      <c r="D154" s="9"/>
      <c r="E154" s="9"/>
      <c r="F154" s="24"/>
      <c r="G154" s="9"/>
      <c r="H154" s="24"/>
      <c r="I154" s="9"/>
      <c r="J154" s="24"/>
      <c r="K154" s="9"/>
      <c r="L154" s="24"/>
      <c r="M154" s="9"/>
      <c r="N154" s="24"/>
      <c r="O154" s="9"/>
      <c r="P154" s="24"/>
      <c r="Q154" s="9"/>
      <c r="R154" s="24"/>
      <c r="S154" s="9"/>
      <c r="T154" s="24"/>
      <c r="U154" s="9"/>
      <c r="V154" s="24"/>
      <c r="W154" s="9"/>
      <c r="X154" s="24"/>
      <c r="Y154" s="9"/>
      <c r="Z154" s="24"/>
      <c r="AA154" s="9"/>
      <c r="AB154" s="24"/>
      <c r="AC154" s="9"/>
      <c r="AD154" s="24"/>
      <c r="AE154" s="9"/>
      <c r="AF154" s="24"/>
      <c r="AG154" s="9"/>
      <c r="AH154" s="24"/>
      <c r="AI154" s="9"/>
      <c r="AJ154" s="24"/>
      <c r="AK154" s="9"/>
      <c r="AL154" s="24"/>
      <c r="AM154" s="9"/>
      <c r="AN154" s="24"/>
      <c r="AO154" s="9"/>
      <c r="AP154" s="24"/>
      <c r="AQ154" s="9"/>
      <c r="AR154" s="24"/>
      <c r="AS154" s="25"/>
      <c r="AT154" s="25"/>
      <c r="AU154" s="25"/>
      <c r="AV154" s="26"/>
      <c r="AW154" s="26"/>
      <c r="AX154" s="26"/>
      <c r="AY154" s="26"/>
      <c r="AZ154" s="26"/>
      <c r="BA154" s="26"/>
      <c r="BB154" s="26"/>
      <c r="BC154" s="26"/>
      <c r="BD154" s="27"/>
    </row>
    <row r="155" spans="1:56" ht="15" customHeight="1">
      <c r="A155" s="28"/>
      <c r="B155" s="28"/>
      <c r="C155" s="28"/>
      <c r="D155" s="28"/>
      <c r="E155" s="28"/>
      <c r="F155" s="29"/>
      <c r="G155" s="28"/>
      <c r="H155" s="29"/>
      <c r="I155" s="28"/>
      <c r="J155" s="29"/>
      <c r="K155" s="28"/>
      <c r="L155" s="29"/>
      <c r="M155" s="28"/>
      <c r="N155" s="29"/>
      <c r="O155" s="28"/>
      <c r="P155" s="29"/>
      <c r="Q155" s="28"/>
      <c r="R155" s="29"/>
      <c r="S155" s="28"/>
      <c r="T155" s="29"/>
      <c r="U155" s="28"/>
      <c r="V155" s="29"/>
      <c r="W155" s="28"/>
      <c r="X155" s="29"/>
      <c r="Y155" s="28"/>
      <c r="Z155" s="29"/>
      <c r="AA155" s="28"/>
      <c r="AB155" s="29"/>
      <c r="AC155" s="28"/>
      <c r="AD155" s="29"/>
      <c r="AE155" s="28"/>
      <c r="AF155" s="29"/>
      <c r="AG155" s="28"/>
      <c r="AH155" s="29"/>
      <c r="AI155" s="28"/>
      <c r="AJ155" s="29"/>
      <c r="AK155" s="28"/>
      <c r="AL155" s="29"/>
      <c r="AM155" s="28"/>
      <c r="AN155" s="29"/>
      <c r="AO155" s="28"/>
      <c r="AP155" s="29"/>
      <c r="AQ155" s="28"/>
      <c r="AR155" s="29"/>
      <c r="AS155" s="25"/>
      <c r="AT155" s="25"/>
      <c r="AU155" s="25"/>
      <c r="AV155" s="26"/>
      <c r="AW155" s="26"/>
      <c r="AX155" s="26"/>
      <c r="AY155" s="26"/>
      <c r="AZ155" s="26"/>
      <c r="BA155" s="26"/>
      <c r="BB155" s="26"/>
      <c r="BC155" s="26"/>
      <c r="BD155" s="27"/>
    </row>
    <row r="156" spans="1:56" ht="15" customHeight="1">
      <c r="A156" s="9"/>
      <c r="B156" s="9"/>
      <c r="C156" s="9"/>
      <c r="D156" s="9"/>
      <c r="E156" s="9"/>
      <c r="F156" s="24"/>
      <c r="G156" s="9"/>
      <c r="H156" s="24"/>
      <c r="I156" s="9"/>
      <c r="J156" s="24"/>
      <c r="K156" s="9"/>
      <c r="L156" s="24"/>
      <c r="M156" s="9"/>
      <c r="N156" s="24"/>
      <c r="O156" s="9"/>
      <c r="P156" s="24"/>
      <c r="Q156" s="9"/>
      <c r="R156" s="24"/>
      <c r="S156" s="9"/>
      <c r="T156" s="24"/>
      <c r="U156" s="9"/>
      <c r="V156" s="24"/>
      <c r="W156" s="9"/>
      <c r="X156" s="24"/>
      <c r="Y156" s="9"/>
      <c r="Z156" s="24"/>
      <c r="AA156" s="9"/>
      <c r="AB156" s="24"/>
      <c r="AC156" s="9"/>
      <c r="AD156" s="24"/>
      <c r="AE156" s="9"/>
      <c r="AF156" s="24"/>
      <c r="AG156" s="9"/>
      <c r="AH156" s="24"/>
      <c r="AI156" s="9"/>
      <c r="AJ156" s="24"/>
      <c r="AK156" s="9"/>
      <c r="AL156" s="24"/>
      <c r="AM156" s="9"/>
      <c r="AN156" s="24"/>
      <c r="AO156" s="9"/>
      <c r="AP156" s="24"/>
      <c r="AQ156" s="9"/>
      <c r="AR156" s="24"/>
      <c r="AS156" s="25"/>
      <c r="AT156" s="25"/>
      <c r="AU156" s="25"/>
      <c r="AV156" s="26"/>
      <c r="AW156" s="26"/>
      <c r="AX156" s="26"/>
      <c r="AY156" s="26"/>
      <c r="AZ156" s="26"/>
      <c r="BA156" s="26"/>
      <c r="BB156" s="26"/>
      <c r="BC156" s="26"/>
      <c r="BD156" s="27"/>
    </row>
    <row r="157" spans="1:56" ht="15" customHeight="1">
      <c r="A157" s="28"/>
      <c r="B157" s="28"/>
      <c r="C157" s="28"/>
      <c r="D157" s="28"/>
      <c r="E157" s="28"/>
      <c r="F157" s="29"/>
      <c r="G157" s="28"/>
      <c r="H157" s="29"/>
      <c r="I157" s="28"/>
      <c r="J157" s="29"/>
      <c r="K157" s="28"/>
      <c r="L157" s="29"/>
      <c r="M157" s="28"/>
      <c r="N157" s="29"/>
      <c r="O157" s="28"/>
      <c r="P157" s="29"/>
      <c r="Q157" s="28"/>
      <c r="R157" s="29"/>
      <c r="S157" s="28"/>
      <c r="T157" s="29"/>
      <c r="U157" s="28"/>
      <c r="V157" s="29"/>
      <c r="W157" s="28"/>
      <c r="X157" s="29"/>
      <c r="Y157" s="28"/>
      <c r="Z157" s="29"/>
      <c r="AA157" s="28"/>
      <c r="AB157" s="29"/>
      <c r="AC157" s="28"/>
      <c r="AD157" s="29"/>
      <c r="AE157" s="28"/>
      <c r="AF157" s="29"/>
      <c r="AG157" s="28"/>
      <c r="AH157" s="29"/>
      <c r="AI157" s="28"/>
      <c r="AJ157" s="29"/>
      <c r="AK157" s="28"/>
      <c r="AL157" s="29"/>
      <c r="AM157" s="28"/>
      <c r="AN157" s="29"/>
      <c r="AO157" s="28"/>
      <c r="AP157" s="29"/>
      <c r="AQ157" s="28"/>
      <c r="AR157" s="29"/>
      <c r="AS157" s="25"/>
      <c r="AT157" s="25"/>
      <c r="AU157" s="25"/>
      <c r="AV157" s="26"/>
      <c r="AW157" s="26"/>
      <c r="AX157" s="26"/>
      <c r="AY157" s="26"/>
      <c r="AZ157" s="26"/>
      <c r="BA157" s="26"/>
      <c r="BB157" s="26"/>
      <c r="BC157" s="26"/>
      <c r="BD157" s="27"/>
    </row>
    <row r="158" spans="1:56" ht="15" customHeight="1">
      <c r="A158" s="9"/>
      <c r="B158" s="9"/>
      <c r="C158" s="9"/>
      <c r="D158" s="9"/>
      <c r="E158" s="9"/>
      <c r="F158" s="24"/>
      <c r="G158" s="9"/>
      <c r="H158" s="24"/>
      <c r="I158" s="9"/>
      <c r="J158" s="24"/>
      <c r="K158" s="9"/>
      <c r="L158" s="24"/>
      <c r="M158" s="9"/>
      <c r="N158" s="24"/>
      <c r="O158" s="9"/>
      <c r="P158" s="24"/>
      <c r="Q158" s="9"/>
      <c r="R158" s="24"/>
      <c r="S158" s="9"/>
      <c r="T158" s="24"/>
      <c r="U158" s="9"/>
      <c r="V158" s="24"/>
      <c r="W158" s="9"/>
      <c r="X158" s="24"/>
      <c r="Y158" s="9"/>
      <c r="Z158" s="24"/>
      <c r="AA158" s="9"/>
      <c r="AB158" s="24"/>
      <c r="AC158" s="9"/>
      <c r="AD158" s="24"/>
      <c r="AE158" s="9"/>
      <c r="AF158" s="24"/>
      <c r="AG158" s="9"/>
      <c r="AH158" s="24"/>
      <c r="AI158" s="9"/>
      <c r="AJ158" s="24"/>
      <c r="AK158" s="9"/>
      <c r="AL158" s="24"/>
      <c r="AM158" s="9"/>
      <c r="AN158" s="24"/>
      <c r="AO158" s="9"/>
      <c r="AP158" s="24"/>
      <c r="AQ158" s="9"/>
      <c r="AR158" s="24"/>
      <c r="AS158" s="25"/>
      <c r="AT158" s="25"/>
      <c r="AU158" s="25"/>
      <c r="AV158" s="26"/>
      <c r="AW158" s="26"/>
      <c r="AX158" s="26"/>
      <c r="AY158" s="26"/>
      <c r="AZ158" s="26"/>
      <c r="BA158" s="26"/>
      <c r="BB158" s="26"/>
      <c r="BC158" s="26"/>
      <c r="BD158" s="27"/>
    </row>
    <row r="159" spans="1:56" ht="15" customHeight="1">
      <c r="A159" s="28"/>
      <c r="B159" s="28"/>
      <c r="C159" s="28"/>
      <c r="D159" s="28"/>
      <c r="E159" s="28"/>
      <c r="F159" s="29"/>
      <c r="G159" s="28"/>
      <c r="H159" s="29"/>
      <c r="I159" s="28"/>
      <c r="J159" s="29"/>
      <c r="K159" s="28"/>
      <c r="L159" s="29"/>
      <c r="M159" s="28"/>
      <c r="N159" s="29"/>
      <c r="O159" s="28"/>
      <c r="P159" s="29"/>
      <c r="Q159" s="28"/>
      <c r="R159" s="29"/>
      <c r="S159" s="28"/>
      <c r="T159" s="29"/>
      <c r="U159" s="28"/>
      <c r="V159" s="29"/>
      <c r="W159" s="28"/>
      <c r="X159" s="29"/>
      <c r="Y159" s="28"/>
      <c r="Z159" s="29"/>
      <c r="AA159" s="28"/>
      <c r="AB159" s="29"/>
      <c r="AC159" s="28"/>
      <c r="AD159" s="29"/>
      <c r="AE159" s="28"/>
      <c r="AF159" s="29"/>
      <c r="AG159" s="28"/>
      <c r="AH159" s="29"/>
      <c r="AI159" s="28"/>
      <c r="AJ159" s="29"/>
      <c r="AK159" s="28"/>
      <c r="AL159" s="29"/>
      <c r="AM159" s="28"/>
      <c r="AN159" s="29"/>
      <c r="AO159" s="28"/>
      <c r="AP159" s="29"/>
      <c r="AQ159" s="28"/>
      <c r="AR159" s="29"/>
      <c r="AS159" s="25"/>
      <c r="AT159" s="25"/>
      <c r="AU159" s="25"/>
      <c r="AV159" s="26"/>
      <c r="AW159" s="26"/>
      <c r="AX159" s="26"/>
      <c r="AY159" s="26"/>
      <c r="AZ159" s="26"/>
      <c r="BA159" s="26"/>
      <c r="BB159" s="26"/>
      <c r="BC159" s="26"/>
      <c r="BD159" s="27"/>
    </row>
    <row r="160" spans="1:56" ht="15" customHeight="1">
      <c r="A160" s="9"/>
      <c r="B160" s="9"/>
      <c r="C160" s="9"/>
      <c r="D160" s="9"/>
      <c r="E160" s="9"/>
      <c r="F160" s="24"/>
      <c r="G160" s="9"/>
      <c r="H160" s="24"/>
      <c r="I160" s="9"/>
      <c r="J160" s="24"/>
      <c r="K160" s="9"/>
      <c r="L160" s="24"/>
      <c r="M160" s="9"/>
      <c r="N160" s="24"/>
      <c r="O160" s="9"/>
      <c r="P160" s="24"/>
      <c r="Q160" s="9"/>
      <c r="R160" s="24"/>
      <c r="S160" s="9"/>
      <c r="T160" s="24"/>
      <c r="U160" s="9"/>
      <c r="V160" s="24"/>
      <c r="W160" s="9"/>
      <c r="X160" s="24"/>
      <c r="Y160" s="9"/>
      <c r="Z160" s="24"/>
      <c r="AA160" s="9"/>
      <c r="AB160" s="24"/>
      <c r="AC160" s="9"/>
      <c r="AD160" s="24"/>
      <c r="AE160" s="9"/>
      <c r="AF160" s="24"/>
      <c r="AG160" s="9"/>
      <c r="AH160" s="24"/>
      <c r="AI160" s="9"/>
      <c r="AJ160" s="24"/>
      <c r="AK160" s="9"/>
      <c r="AL160" s="24"/>
      <c r="AM160" s="9"/>
      <c r="AN160" s="24"/>
      <c r="AO160" s="9"/>
      <c r="AP160" s="24"/>
      <c r="AQ160" s="9"/>
      <c r="AR160" s="24"/>
      <c r="AS160" s="25"/>
      <c r="AT160" s="25"/>
      <c r="AU160" s="25"/>
      <c r="AV160" s="26"/>
      <c r="AW160" s="26"/>
      <c r="AX160" s="26"/>
      <c r="AY160" s="26"/>
      <c r="AZ160" s="26"/>
      <c r="BA160" s="26"/>
      <c r="BB160" s="26"/>
      <c r="BC160" s="26"/>
      <c r="BD160" s="27"/>
    </row>
    <row r="161" spans="1:56" ht="15" customHeight="1">
      <c r="A161" s="28"/>
      <c r="B161" s="28"/>
      <c r="C161" s="28"/>
      <c r="D161" s="28"/>
      <c r="E161" s="28"/>
      <c r="F161" s="29"/>
      <c r="G161" s="28"/>
      <c r="H161" s="29"/>
      <c r="I161" s="28"/>
      <c r="J161" s="29"/>
      <c r="K161" s="28"/>
      <c r="L161" s="29"/>
      <c r="M161" s="28"/>
      <c r="N161" s="29"/>
      <c r="O161" s="28"/>
      <c r="P161" s="29"/>
      <c r="Q161" s="28"/>
      <c r="R161" s="29"/>
      <c r="S161" s="28"/>
      <c r="T161" s="29"/>
      <c r="U161" s="28"/>
      <c r="V161" s="29"/>
      <c r="W161" s="28"/>
      <c r="X161" s="29"/>
      <c r="Y161" s="28"/>
      <c r="Z161" s="29"/>
      <c r="AA161" s="28"/>
      <c r="AB161" s="29"/>
      <c r="AC161" s="28"/>
      <c r="AD161" s="29"/>
      <c r="AE161" s="28"/>
      <c r="AF161" s="29"/>
      <c r="AG161" s="28"/>
      <c r="AH161" s="29"/>
      <c r="AI161" s="28"/>
      <c r="AJ161" s="29"/>
      <c r="AK161" s="28"/>
      <c r="AL161" s="29"/>
      <c r="AM161" s="28"/>
      <c r="AN161" s="29"/>
      <c r="AO161" s="28"/>
      <c r="AP161" s="29"/>
      <c r="AQ161" s="28"/>
      <c r="AR161" s="29"/>
      <c r="AS161" s="25"/>
      <c r="AT161" s="25"/>
      <c r="AU161" s="25"/>
      <c r="AV161" s="26"/>
      <c r="AW161" s="26"/>
      <c r="AX161" s="26"/>
      <c r="AY161" s="26"/>
      <c r="AZ161" s="26"/>
      <c r="BA161" s="26"/>
      <c r="BB161" s="26"/>
      <c r="BC161" s="26"/>
      <c r="BD161" s="27"/>
    </row>
    <row r="162" spans="1:56" ht="15" customHeight="1">
      <c r="A162" s="9"/>
      <c r="B162" s="9"/>
      <c r="C162" s="9"/>
      <c r="D162" s="9"/>
      <c r="E162" s="9"/>
      <c r="F162" s="24"/>
      <c r="G162" s="9"/>
      <c r="H162" s="24"/>
      <c r="I162" s="9"/>
      <c r="J162" s="24"/>
      <c r="K162" s="9"/>
      <c r="L162" s="24"/>
      <c r="M162" s="9"/>
      <c r="N162" s="24"/>
      <c r="O162" s="9"/>
      <c r="P162" s="24"/>
      <c r="Q162" s="9"/>
      <c r="R162" s="24"/>
      <c r="S162" s="9"/>
      <c r="T162" s="24"/>
      <c r="U162" s="9"/>
      <c r="V162" s="24"/>
      <c r="W162" s="9"/>
      <c r="X162" s="24"/>
      <c r="Y162" s="9"/>
      <c r="Z162" s="24"/>
      <c r="AA162" s="9"/>
      <c r="AB162" s="24"/>
      <c r="AC162" s="9"/>
      <c r="AD162" s="24"/>
      <c r="AE162" s="9"/>
      <c r="AF162" s="24"/>
      <c r="AG162" s="9"/>
      <c r="AH162" s="24"/>
      <c r="AI162" s="9"/>
      <c r="AJ162" s="24"/>
      <c r="AK162" s="9"/>
      <c r="AL162" s="24"/>
      <c r="AM162" s="9"/>
      <c r="AN162" s="24"/>
      <c r="AO162" s="9"/>
      <c r="AP162" s="24"/>
      <c r="AQ162" s="9"/>
      <c r="AR162" s="24"/>
      <c r="AS162" s="25"/>
      <c r="AT162" s="25"/>
      <c r="AU162" s="25"/>
      <c r="AV162" s="26"/>
      <c r="AW162" s="26"/>
      <c r="AX162" s="26"/>
      <c r="AY162" s="26"/>
      <c r="AZ162" s="26"/>
      <c r="BA162" s="26"/>
      <c r="BB162" s="26"/>
      <c r="BC162" s="26"/>
      <c r="BD162" s="27"/>
    </row>
    <row r="163" spans="1:56" ht="15" customHeight="1">
      <c r="A163" s="28"/>
      <c r="B163" s="28"/>
      <c r="C163" s="28"/>
      <c r="D163" s="28"/>
      <c r="E163" s="28"/>
      <c r="F163" s="29"/>
      <c r="G163" s="28"/>
      <c r="H163" s="29"/>
      <c r="I163" s="28"/>
      <c r="J163" s="29"/>
      <c r="K163" s="28"/>
      <c r="L163" s="29"/>
      <c r="M163" s="28"/>
      <c r="N163" s="29"/>
      <c r="O163" s="28"/>
      <c r="P163" s="29"/>
      <c r="Q163" s="28"/>
      <c r="R163" s="29"/>
      <c r="S163" s="28"/>
      <c r="T163" s="29"/>
      <c r="U163" s="28"/>
      <c r="V163" s="29"/>
      <c r="W163" s="28"/>
      <c r="X163" s="29"/>
      <c r="Y163" s="28"/>
      <c r="Z163" s="29"/>
      <c r="AA163" s="28"/>
      <c r="AB163" s="29"/>
      <c r="AC163" s="28"/>
      <c r="AD163" s="29"/>
      <c r="AE163" s="28"/>
      <c r="AF163" s="29"/>
      <c r="AG163" s="28"/>
      <c r="AH163" s="29"/>
      <c r="AI163" s="28"/>
      <c r="AJ163" s="29"/>
      <c r="AK163" s="28"/>
      <c r="AL163" s="29"/>
      <c r="AM163" s="28"/>
      <c r="AN163" s="29"/>
      <c r="AO163" s="28"/>
      <c r="AP163" s="29"/>
      <c r="AQ163" s="28"/>
      <c r="AR163" s="29"/>
      <c r="AS163" s="25"/>
      <c r="AT163" s="25"/>
      <c r="AU163" s="25"/>
      <c r="AV163" s="26"/>
      <c r="AW163" s="26"/>
      <c r="AX163" s="26"/>
      <c r="AY163" s="26"/>
      <c r="AZ163" s="26"/>
      <c r="BA163" s="26"/>
      <c r="BB163" s="26"/>
      <c r="BC163" s="26"/>
      <c r="BD163" s="27"/>
    </row>
    <row r="164" spans="1:56" ht="15" customHeight="1">
      <c r="A164" s="9"/>
      <c r="B164" s="9"/>
      <c r="C164" s="9"/>
      <c r="D164" s="9"/>
      <c r="E164" s="9"/>
      <c r="F164" s="24"/>
      <c r="G164" s="9"/>
      <c r="H164" s="24"/>
      <c r="I164" s="9"/>
      <c r="J164" s="24"/>
      <c r="K164" s="9"/>
      <c r="L164" s="24"/>
      <c r="M164" s="9"/>
      <c r="N164" s="24"/>
      <c r="O164" s="9"/>
      <c r="P164" s="24"/>
      <c r="Q164" s="9"/>
      <c r="R164" s="24"/>
      <c r="S164" s="9"/>
      <c r="T164" s="24"/>
      <c r="U164" s="9"/>
      <c r="V164" s="24"/>
      <c r="W164" s="9"/>
      <c r="X164" s="24"/>
      <c r="Y164" s="9"/>
      <c r="Z164" s="24"/>
      <c r="AA164" s="9"/>
      <c r="AB164" s="24"/>
      <c r="AC164" s="9"/>
      <c r="AD164" s="24"/>
      <c r="AE164" s="9"/>
      <c r="AF164" s="24"/>
      <c r="AG164" s="9"/>
      <c r="AH164" s="24"/>
      <c r="AI164" s="9"/>
      <c r="AJ164" s="24"/>
      <c r="AK164" s="9"/>
      <c r="AL164" s="24"/>
      <c r="AM164" s="9"/>
      <c r="AN164" s="24"/>
      <c r="AO164" s="9"/>
      <c r="AP164" s="24"/>
      <c r="AQ164" s="9"/>
      <c r="AR164" s="24"/>
      <c r="AS164" s="25"/>
      <c r="AT164" s="25"/>
      <c r="AU164" s="25"/>
      <c r="AV164" s="26"/>
      <c r="AW164" s="26"/>
      <c r="AX164" s="26"/>
      <c r="AY164" s="26"/>
      <c r="AZ164" s="26"/>
      <c r="BA164" s="26"/>
      <c r="BB164" s="26"/>
      <c r="BC164" s="26"/>
      <c r="BD164" s="27"/>
    </row>
    <row r="165" spans="1:56" ht="15" customHeight="1">
      <c r="A165" s="28"/>
      <c r="B165" s="28"/>
      <c r="C165" s="28"/>
      <c r="D165" s="28"/>
      <c r="E165" s="28"/>
      <c r="F165" s="29"/>
      <c r="G165" s="28"/>
      <c r="H165" s="29"/>
      <c r="I165" s="28"/>
      <c r="J165" s="29"/>
      <c r="K165" s="28"/>
      <c r="L165" s="29"/>
      <c r="M165" s="28"/>
      <c r="N165" s="29"/>
      <c r="O165" s="28"/>
      <c r="P165" s="29"/>
      <c r="Q165" s="28"/>
      <c r="R165" s="29"/>
      <c r="S165" s="28"/>
      <c r="T165" s="29"/>
      <c r="U165" s="28"/>
      <c r="V165" s="29"/>
      <c r="W165" s="28"/>
      <c r="X165" s="29"/>
      <c r="Y165" s="28"/>
      <c r="Z165" s="29"/>
      <c r="AA165" s="28"/>
      <c r="AB165" s="29"/>
      <c r="AC165" s="28"/>
      <c r="AD165" s="29"/>
      <c r="AE165" s="28"/>
      <c r="AF165" s="29"/>
      <c r="AG165" s="28"/>
      <c r="AH165" s="29"/>
      <c r="AI165" s="28"/>
      <c r="AJ165" s="29"/>
      <c r="AK165" s="28"/>
      <c r="AL165" s="29"/>
      <c r="AM165" s="28"/>
      <c r="AN165" s="29"/>
      <c r="AO165" s="28"/>
      <c r="AP165" s="29"/>
      <c r="AQ165" s="28"/>
      <c r="AR165" s="29"/>
      <c r="AS165" s="25"/>
      <c r="AT165" s="25"/>
      <c r="AU165" s="25"/>
      <c r="AV165" s="26"/>
      <c r="AW165" s="26"/>
      <c r="AX165" s="26"/>
      <c r="AY165" s="26"/>
      <c r="AZ165" s="26"/>
      <c r="BA165" s="26"/>
      <c r="BB165" s="26"/>
      <c r="BC165" s="26"/>
      <c r="BD165" s="27"/>
    </row>
    <row r="166" spans="1:56" ht="15" customHeight="1">
      <c r="A166" s="9"/>
      <c r="B166" s="9"/>
      <c r="C166" s="9"/>
      <c r="D166" s="9"/>
      <c r="E166" s="9"/>
      <c r="F166" s="24"/>
      <c r="G166" s="9"/>
      <c r="H166" s="24"/>
      <c r="I166" s="9"/>
      <c r="J166" s="24"/>
      <c r="K166" s="9"/>
      <c r="L166" s="24"/>
      <c r="M166" s="9"/>
      <c r="N166" s="24"/>
      <c r="O166" s="9"/>
      <c r="P166" s="24"/>
      <c r="Q166" s="9"/>
      <c r="R166" s="24"/>
      <c r="S166" s="9"/>
      <c r="T166" s="24"/>
      <c r="U166" s="9"/>
      <c r="V166" s="24"/>
      <c r="W166" s="9"/>
      <c r="X166" s="24"/>
      <c r="Y166" s="9"/>
      <c r="Z166" s="24"/>
      <c r="AA166" s="9"/>
      <c r="AB166" s="24"/>
      <c r="AC166" s="9"/>
      <c r="AD166" s="24"/>
      <c r="AE166" s="9"/>
      <c r="AF166" s="24"/>
      <c r="AG166" s="9"/>
      <c r="AH166" s="24"/>
      <c r="AI166" s="9"/>
      <c r="AJ166" s="24"/>
      <c r="AK166" s="9"/>
      <c r="AL166" s="24"/>
      <c r="AM166" s="9"/>
      <c r="AN166" s="24"/>
      <c r="AO166" s="9"/>
      <c r="AP166" s="24"/>
      <c r="AQ166" s="9"/>
      <c r="AR166" s="24"/>
      <c r="AS166" s="25"/>
      <c r="AT166" s="25"/>
      <c r="AU166" s="25"/>
      <c r="AV166" s="26"/>
      <c r="AW166" s="26"/>
      <c r="AX166" s="26"/>
      <c r="AY166" s="26"/>
      <c r="AZ166" s="26"/>
      <c r="BA166" s="26"/>
      <c r="BB166" s="26"/>
      <c r="BC166" s="26"/>
      <c r="BD166" s="27"/>
    </row>
    <row r="167" spans="1:56" ht="15" customHeight="1">
      <c r="A167" s="28"/>
      <c r="B167" s="28"/>
      <c r="C167" s="28"/>
      <c r="D167" s="28"/>
      <c r="E167" s="28"/>
      <c r="F167" s="29"/>
      <c r="G167" s="28"/>
      <c r="H167" s="29"/>
      <c r="I167" s="28"/>
      <c r="J167" s="29"/>
      <c r="K167" s="28"/>
      <c r="L167" s="29"/>
      <c r="M167" s="28"/>
      <c r="N167" s="29"/>
      <c r="O167" s="28"/>
      <c r="P167" s="29"/>
      <c r="Q167" s="28"/>
      <c r="R167" s="29"/>
      <c r="S167" s="28"/>
      <c r="T167" s="29"/>
      <c r="U167" s="28"/>
      <c r="V167" s="29"/>
      <c r="W167" s="28"/>
      <c r="X167" s="29"/>
      <c r="Y167" s="28"/>
      <c r="Z167" s="29"/>
      <c r="AA167" s="28"/>
      <c r="AB167" s="29"/>
      <c r="AC167" s="28"/>
      <c r="AD167" s="29"/>
      <c r="AE167" s="28"/>
      <c r="AF167" s="29"/>
      <c r="AG167" s="28"/>
      <c r="AH167" s="29"/>
      <c r="AI167" s="28"/>
      <c r="AJ167" s="29"/>
      <c r="AK167" s="28"/>
      <c r="AL167" s="29"/>
      <c r="AM167" s="28"/>
      <c r="AN167" s="29"/>
      <c r="AO167" s="28"/>
      <c r="AP167" s="29"/>
      <c r="AQ167" s="28"/>
      <c r="AR167" s="29"/>
      <c r="AS167" s="25"/>
      <c r="AT167" s="25"/>
      <c r="AU167" s="25"/>
      <c r="AV167" s="26"/>
      <c r="AW167" s="26"/>
      <c r="AX167" s="26"/>
      <c r="AY167" s="26"/>
      <c r="AZ167" s="26"/>
      <c r="BA167" s="26"/>
      <c r="BB167" s="26"/>
      <c r="BC167" s="26"/>
      <c r="BD167" s="27"/>
    </row>
    <row r="168" spans="1:56" ht="15" customHeight="1">
      <c r="A168" s="9"/>
      <c r="B168" s="9"/>
      <c r="C168" s="9"/>
      <c r="D168" s="9"/>
      <c r="E168" s="9"/>
      <c r="F168" s="24"/>
      <c r="G168" s="9"/>
      <c r="H168" s="24"/>
      <c r="I168" s="9"/>
      <c r="J168" s="24"/>
      <c r="K168" s="9"/>
      <c r="L168" s="24"/>
      <c r="M168" s="9"/>
      <c r="N168" s="24"/>
      <c r="O168" s="9"/>
      <c r="P168" s="24"/>
      <c r="Q168" s="9"/>
      <c r="R168" s="24"/>
      <c r="S168" s="9"/>
      <c r="T168" s="24"/>
      <c r="U168" s="9"/>
      <c r="V168" s="24"/>
      <c r="W168" s="9"/>
      <c r="X168" s="24"/>
      <c r="Y168" s="9"/>
      <c r="Z168" s="24"/>
      <c r="AA168" s="9"/>
      <c r="AB168" s="24"/>
      <c r="AC168" s="9"/>
      <c r="AD168" s="24"/>
      <c r="AE168" s="9"/>
      <c r="AF168" s="24"/>
      <c r="AG168" s="9"/>
      <c r="AH168" s="24"/>
      <c r="AI168" s="9"/>
      <c r="AJ168" s="24"/>
      <c r="AK168" s="9"/>
      <c r="AL168" s="24"/>
      <c r="AM168" s="9"/>
      <c r="AN168" s="24"/>
      <c r="AO168" s="9"/>
      <c r="AP168" s="24"/>
      <c r="AQ168" s="9"/>
      <c r="AR168" s="24"/>
      <c r="AS168" s="25"/>
      <c r="AT168" s="25"/>
      <c r="AU168" s="25"/>
      <c r="AV168" s="26"/>
      <c r="AW168" s="26"/>
      <c r="AX168" s="26"/>
      <c r="AY168" s="26"/>
      <c r="AZ168" s="26"/>
      <c r="BA168" s="26"/>
      <c r="BB168" s="26"/>
      <c r="BC168" s="26"/>
      <c r="BD168" s="27"/>
    </row>
    <row r="169" spans="1:56" ht="15" customHeight="1">
      <c r="A169" s="28"/>
      <c r="B169" s="28"/>
      <c r="C169" s="28"/>
      <c r="D169" s="28"/>
      <c r="E169" s="28"/>
      <c r="F169" s="29"/>
      <c r="G169" s="28"/>
      <c r="H169" s="29"/>
      <c r="I169" s="28"/>
      <c r="J169" s="29"/>
      <c r="K169" s="28"/>
      <c r="L169" s="29"/>
      <c r="M169" s="28"/>
      <c r="N169" s="29"/>
      <c r="O169" s="28"/>
      <c r="P169" s="29"/>
      <c r="Q169" s="28"/>
      <c r="R169" s="29"/>
      <c r="S169" s="28"/>
      <c r="T169" s="29"/>
      <c r="U169" s="28"/>
      <c r="V169" s="29"/>
      <c r="W169" s="28"/>
      <c r="X169" s="29"/>
      <c r="Y169" s="28"/>
      <c r="Z169" s="29"/>
      <c r="AA169" s="28"/>
      <c r="AB169" s="29"/>
      <c r="AC169" s="28"/>
      <c r="AD169" s="29"/>
      <c r="AE169" s="28"/>
      <c r="AF169" s="29"/>
      <c r="AG169" s="28"/>
      <c r="AH169" s="29"/>
      <c r="AI169" s="28"/>
      <c r="AJ169" s="29"/>
      <c r="AK169" s="28"/>
      <c r="AL169" s="29"/>
      <c r="AM169" s="28"/>
      <c r="AN169" s="29"/>
      <c r="AO169" s="28"/>
      <c r="AP169" s="29"/>
      <c r="AQ169" s="28"/>
      <c r="AR169" s="29"/>
      <c r="AS169" s="25"/>
      <c r="AT169" s="25"/>
      <c r="AU169" s="25"/>
      <c r="AV169" s="26"/>
      <c r="AW169" s="26"/>
      <c r="AX169" s="26"/>
      <c r="AY169" s="26"/>
      <c r="AZ169" s="26"/>
      <c r="BA169" s="26"/>
      <c r="BB169" s="26"/>
      <c r="BC169" s="26"/>
      <c r="BD169" s="27"/>
    </row>
    <row r="170" spans="1:56" ht="15" customHeight="1">
      <c r="A170" s="9"/>
      <c r="B170" s="9"/>
      <c r="C170" s="9"/>
      <c r="D170" s="9"/>
      <c r="E170" s="9"/>
      <c r="F170" s="24"/>
      <c r="G170" s="9"/>
      <c r="H170" s="24"/>
      <c r="I170" s="9"/>
      <c r="J170" s="24"/>
      <c r="K170" s="9"/>
      <c r="L170" s="24"/>
      <c r="M170" s="9"/>
      <c r="N170" s="24"/>
      <c r="O170" s="9"/>
      <c r="P170" s="24"/>
      <c r="Q170" s="9"/>
      <c r="R170" s="24"/>
      <c r="S170" s="9"/>
      <c r="T170" s="24"/>
      <c r="U170" s="9"/>
      <c r="V170" s="24"/>
      <c r="W170" s="9"/>
      <c r="X170" s="24"/>
      <c r="Y170" s="9"/>
      <c r="Z170" s="24"/>
      <c r="AA170" s="9"/>
      <c r="AB170" s="24"/>
      <c r="AC170" s="9"/>
      <c r="AD170" s="24"/>
      <c r="AE170" s="9"/>
      <c r="AF170" s="24"/>
      <c r="AG170" s="9"/>
      <c r="AH170" s="24"/>
      <c r="AI170" s="9"/>
      <c r="AJ170" s="24"/>
      <c r="AK170" s="9"/>
      <c r="AL170" s="24"/>
      <c r="AM170" s="9"/>
      <c r="AN170" s="24"/>
      <c r="AO170" s="9"/>
      <c r="AP170" s="24"/>
      <c r="AQ170" s="9"/>
      <c r="AR170" s="24"/>
      <c r="AS170" s="25"/>
      <c r="AT170" s="25"/>
      <c r="AU170" s="25"/>
      <c r="AV170" s="26"/>
      <c r="AW170" s="26"/>
      <c r="AX170" s="26"/>
      <c r="AY170" s="26"/>
      <c r="AZ170" s="26"/>
      <c r="BA170" s="26"/>
      <c r="BB170" s="26"/>
      <c r="BC170" s="26"/>
      <c r="BD170" s="27"/>
    </row>
    <row r="171" spans="1:56" ht="15" customHeight="1">
      <c r="A171" s="28"/>
      <c r="B171" s="28"/>
      <c r="C171" s="28"/>
      <c r="D171" s="28"/>
      <c r="E171" s="28"/>
      <c r="F171" s="29"/>
      <c r="G171" s="28"/>
      <c r="H171" s="29"/>
      <c r="I171" s="28"/>
      <c r="J171" s="29"/>
      <c r="K171" s="28"/>
      <c r="L171" s="29"/>
      <c r="M171" s="28"/>
      <c r="N171" s="29"/>
      <c r="O171" s="28"/>
      <c r="P171" s="29"/>
      <c r="Q171" s="28"/>
      <c r="R171" s="29"/>
      <c r="S171" s="28"/>
      <c r="T171" s="29"/>
      <c r="U171" s="28"/>
      <c r="V171" s="29"/>
      <c r="W171" s="28"/>
      <c r="X171" s="29"/>
      <c r="Y171" s="28"/>
      <c r="Z171" s="29"/>
      <c r="AA171" s="28"/>
      <c r="AB171" s="29"/>
      <c r="AC171" s="28"/>
      <c r="AD171" s="29"/>
      <c r="AE171" s="28"/>
      <c r="AF171" s="29"/>
      <c r="AG171" s="28"/>
      <c r="AH171" s="29"/>
      <c r="AI171" s="28"/>
      <c r="AJ171" s="29"/>
      <c r="AK171" s="28"/>
      <c r="AL171" s="29"/>
      <c r="AM171" s="28"/>
      <c r="AN171" s="29"/>
      <c r="AO171" s="28"/>
      <c r="AP171" s="29"/>
      <c r="AQ171" s="28"/>
      <c r="AR171" s="29"/>
      <c r="AS171" s="25"/>
      <c r="AT171" s="25"/>
      <c r="AU171" s="25"/>
      <c r="AV171" s="26"/>
      <c r="AW171" s="26"/>
      <c r="AX171" s="26"/>
      <c r="AY171" s="26"/>
      <c r="AZ171" s="26"/>
      <c r="BA171" s="26"/>
      <c r="BB171" s="26"/>
      <c r="BC171" s="26"/>
      <c r="BD171" s="27"/>
    </row>
    <row r="172" spans="1:56" ht="15" customHeight="1">
      <c r="A172" s="9"/>
      <c r="B172" s="9"/>
      <c r="C172" s="9"/>
      <c r="D172" s="9"/>
      <c r="E172" s="9"/>
      <c r="F172" s="24"/>
      <c r="G172" s="9"/>
      <c r="H172" s="24"/>
      <c r="I172" s="9"/>
      <c r="J172" s="24"/>
      <c r="K172" s="9"/>
      <c r="L172" s="24"/>
      <c r="M172" s="9"/>
      <c r="N172" s="24"/>
      <c r="O172" s="9"/>
      <c r="P172" s="24"/>
      <c r="Q172" s="9"/>
      <c r="R172" s="24"/>
      <c r="S172" s="9"/>
      <c r="T172" s="24"/>
      <c r="U172" s="9"/>
      <c r="V172" s="24"/>
      <c r="W172" s="9"/>
      <c r="X172" s="24"/>
      <c r="Y172" s="9"/>
      <c r="Z172" s="24"/>
      <c r="AA172" s="9"/>
      <c r="AB172" s="24"/>
      <c r="AC172" s="9"/>
      <c r="AD172" s="24"/>
      <c r="AE172" s="9"/>
      <c r="AF172" s="24"/>
      <c r="AG172" s="9"/>
      <c r="AH172" s="24"/>
      <c r="AI172" s="9"/>
      <c r="AJ172" s="24"/>
      <c r="AK172" s="9"/>
      <c r="AL172" s="24"/>
      <c r="AM172" s="9"/>
      <c r="AN172" s="24"/>
      <c r="AO172" s="9"/>
      <c r="AP172" s="24"/>
      <c r="AQ172" s="9"/>
      <c r="AR172" s="24"/>
      <c r="AS172" s="25"/>
      <c r="AT172" s="25"/>
      <c r="AU172" s="25"/>
      <c r="AV172" s="26"/>
      <c r="AW172" s="26"/>
      <c r="AX172" s="26"/>
      <c r="AY172" s="26"/>
      <c r="AZ172" s="26"/>
      <c r="BA172" s="26"/>
      <c r="BB172" s="26"/>
      <c r="BC172" s="26"/>
      <c r="BD172" s="27"/>
    </row>
    <row r="173" spans="1:56" ht="15" customHeight="1">
      <c r="A173" s="28"/>
      <c r="B173" s="28"/>
      <c r="C173" s="28"/>
      <c r="D173" s="28"/>
      <c r="E173" s="28"/>
      <c r="F173" s="29"/>
      <c r="G173" s="28"/>
      <c r="H173" s="29"/>
      <c r="I173" s="28"/>
      <c r="J173" s="29"/>
      <c r="K173" s="28"/>
      <c r="L173" s="29"/>
      <c r="M173" s="28"/>
      <c r="N173" s="29"/>
      <c r="O173" s="28"/>
      <c r="P173" s="29"/>
      <c r="Q173" s="28"/>
      <c r="R173" s="29"/>
      <c r="S173" s="28"/>
      <c r="T173" s="29"/>
      <c r="U173" s="28"/>
      <c r="V173" s="29"/>
      <c r="W173" s="28"/>
      <c r="X173" s="29"/>
      <c r="Y173" s="28"/>
      <c r="Z173" s="29"/>
      <c r="AA173" s="28"/>
      <c r="AB173" s="29"/>
      <c r="AC173" s="28"/>
      <c r="AD173" s="29"/>
      <c r="AE173" s="28"/>
      <c r="AF173" s="29"/>
      <c r="AG173" s="28"/>
      <c r="AH173" s="29"/>
      <c r="AI173" s="28"/>
      <c r="AJ173" s="29"/>
      <c r="AK173" s="28"/>
      <c r="AL173" s="29"/>
      <c r="AM173" s="28"/>
      <c r="AN173" s="29"/>
      <c r="AO173" s="28"/>
      <c r="AP173" s="29"/>
      <c r="AQ173" s="28"/>
      <c r="AR173" s="29"/>
      <c r="AS173" s="25"/>
      <c r="AT173" s="25"/>
      <c r="AU173" s="25"/>
      <c r="AV173" s="26"/>
      <c r="AW173" s="26"/>
      <c r="AX173" s="26"/>
      <c r="AY173" s="26"/>
      <c r="AZ173" s="26"/>
      <c r="BA173" s="26"/>
      <c r="BB173" s="26"/>
      <c r="BC173" s="26"/>
      <c r="BD173" s="27"/>
    </row>
    <row r="174" spans="1:56" ht="15" customHeight="1">
      <c r="A174" s="9"/>
      <c r="B174" s="9"/>
      <c r="C174" s="9"/>
      <c r="D174" s="9"/>
      <c r="E174" s="9"/>
      <c r="F174" s="24"/>
      <c r="G174" s="9"/>
      <c r="H174" s="24"/>
      <c r="I174" s="9"/>
      <c r="J174" s="24"/>
      <c r="K174" s="9"/>
      <c r="L174" s="24"/>
      <c r="M174" s="9"/>
      <c r="N174" s="24"/>
      <c r="O174" s="9"/>
      <c r="P174" s="24"/>
      <c r="Q174" s="9"/>
      <c r="R174" s="24"/>
      <c r="S174" s="9"/>
      <c r="T174" s="24"/>
      <c r="U174" s="9"/>
      <c r="V174" s="24"/>
      <c r="W174" s="9"/>
      <c r="X174" s="24"/>
      <c r="Y174" s="9"/>
      <c r="Z174" s="24"/>
      <c r="AA174" s="9"/>
      <c r="AB174" s="24"/>
      <c r="AC174" s="9"/>
      <c r="AD174" s="24"/>
      <c r="AE174" s="9"/>
      <c r="AF174" s="24"/>
      <c r="AG174" s="9"/>
      <c r="AH174" s="24"/>
      <c r="AI174" s="9"/>
      <c r="AJ174" s="24"/>
      <c r="AK174" s="9"/>
      <c r="AL174" s="24"/>
      <c r="AM174" s="9"/>
      <c r="AN174" s="24"/>
      <c r="AO174" s="9"/>
      <c r="AP174" s="24"/>
      <c r="AQ174" s="9"/>
      <c r="AR174" s="24"/>
      <c r="AS174" s="25"/>
      <c r="AT174" s="25"/>
      <c r="AU174" s="25"/>
      <c r="AV174" s="26"/>
      <c r="AW174" s="26"/>
      <c r="AX174" s="26"/>
      <c r="AY174" s="26"/>
      <c r="AZ174" s="26"/>
      <c r="BA174" s="26"/>
      <c r="BB174" s="26"/>
      <c r="BC174" s="26"/>
      <c r="BD174" s="27"/>
    </row>
    <row r="175" spans="1:56" ht="15" customHeight="1">
      <c r="A175" s="28"/>
      <c r="B175" s="28"/>
      <c r="C175" s="28"/>
      <c r="D175" s="28"/>
      <c r="E175" s="28"/>
      <c r="F175" s="29"/>
      <c r="G175" s="28"/>
      <c r="H175" s="29"/>
      <c r="I175" s="28"/>
      <c r="J175" s="29"/>
      <c r="K175" s="28"/>
      <c r="L175" s="29"/>
      <c r="M175" s="28"/>
      <c r="N175" s="29"/>
      <c r="O175" s="28"/>
      <c r="P175" s="29"/>
      <c r="Q175" s="28"/>
      <c r="R175" s="29"/>
      <c r="S175" s="28"/>
      <c r="T175" s="29"/>
      <c r="U175" s="28"/>
      <c r="V175" s="29"/>
      <c r="W175" s="28"/>
      <c r="X175" s="29"/>
      <c r="Y175" s="28"/>
      <c r="Z175" s="29"/>
      <c r="AA175" s="28"/>
      <c r="AB175" s="29"/>
      <c r="AC175" s="28"/>
      <c r="AD175" s="29"/>
      <c r="AE175" s="28"/>
      <c r="AF175" s="29"/>
      <c r="AG175" s="28"/>
      <c r="AH175" s="29"/>
      <c r="AI175" s="28"/>
      <c r="AJ175" s="29"/>
      <c r="AK175" s="28"/>
      <c r="AL175" s="29"/>
      <c r="AM175" s="28"/>
      <c r="AN175" s="29"/>
      <c r="AO175" s="28"/>
      <c r="AP175" s="29"/>
      <c r="AQ175" s="28"/>
      <c r="AR175" s="29"/>
      <c r="AS175" s="25"/>
      <c r="AT175" s="25"/>
      <c r="AU175" s="25"/>
      <c r="AV175" s="26"/>
      <c r="AW175" s="26"/>
      <c r="AX175" s="26"/>
      <c r="AY175" s="26"/>
      <c r="AZ175" s="26"/>
      <c r="BA175" s="26"/>
      <c r="BB175" s="26"/>
      <c r="BC175" s="26"/>
      <c r="BD175" s="27"/>
    </row>
    <row r="176" spans="1:56" ht="15" customHeight="1">
      <c r="A176" s="9"/>
      <c r="B176" s="9"/>
      <c r="C176" s="9"/>
      <c r="D176" s="9"/>
      <c r="E176" s="9"/>
      <c r="F176" s="24"/>
      <c r="G176" s="9"/>
      <c r="H176" s="24"/>
      <c r="I176" s="9"/>
      <c r="J176" s="24"/>
      <c r="K176" s="9"/>
      <c r="L176" s="24"/>
      <c r="M176" s="9"/>
      <c r="N176" s="24"/>
      <c r="O176" s="9"/>
      <c r="P176" s="24"/>
      <c r="Q176" s="9"/>
      <c r="R176" s="24"/>
      <c r="S176" s="9"/>
      <c r="T176" s="24"/>
      <c r="U176" s="9"/>
      <c r="V176" s="24"/>
      <c r="W176" s="9"/>
      <c r="X176" s="24"/>
      <c r="Y176" s="9"/>
      <c r="Z176" s="24"/>
      <c r="AA176" s="9"/>
      <c r="AB176" s="24"/>
      <c r="AC176" s="9"/>
      <c r="AD176" s="24"/>
      <c r="AE176" s="9"/>
      <c r="AF176" s="24"/>
      <c r="AG176" s="9"/>
      <c r="AH176" s="24"/>
      <c r="AI176" s="9"/>
      <c r="AJ176" s="24"/>
      <c r="AK176" s="9"/>
      <c r="AL176" s="24"/>
      <c r="AM176" s="9"/>
      <c r="AN176" s="24"/>
      <c r="AO176" s="9"/>
      <c r="AP176" s="24"/>
      <c r="AQ176" s="9"/>
      <c r="AR176" s="24"/>
      <c r="AS176" s="25"/>
      <c r="AT176" s="25"/>
      <c r="AU176" s="25"/>
      <c r="AV176" s="26"/>
      <c r="AW176" s="26"/>
      <c r="AX176" s="26"/>
      <c r="AY176" s="26"/>
      <c r="AZ176" s="26"/>
      <c r="BA176" s="26"/>
      <c r="BB176" s="26"/>
      <c r="BC176" s="26"/>
      <c r="BD176" s="27"/>
    </row>
    <row r="177" spans="1:56" ht="15" customHeight="1">
      <c r="A177" s="28"/>
      <c r="B177" s="28"/>
      <c r="C177" s="28"/>
      <c r="D177" s="28"/>
      <c r="E177" s="28"/>
      <c r="F177" s="29"/>
      <c r="G177" s="28"/>
      <c r="H177" s="29"/>
      <c r="I177" s="28"/>
      <c r="J177" s="29"/>
      <c r="K177" s="28"/>
      <c r="L177" s="29"/>
      <c r="M177" s="28"/>
      <c r="N177" s="29"/>
      <c r="O177" s="28"/>
      <c r="P177" s="29"/>
      <c r="Q177" s="28"/>
      <c r="R177" s="29"/>
      <c r="S177" s="28"/>
      <c r="T177" s="29"/>
      <c r="U177" s="28"/>
      <c r="V177" s="29"/>
      <c r="W177" s="28"/>
      <c r="X177" s="29"/>
      <c r="Y177" s="28"/>
      <c r="Z177" s="29"/>
      <c r="AA177" s="28"/>
      <c r="AB177" s="29"/>
      <c r="AC177" s="28"/>
      <c r="AD177" s="29"/>
      <c r="AE177" s="28"/>
      <c r="AF177" s="29"/>
      <c r="AG177" s="28"/>
      <c r="AH177" s="29"/>
      <c r="AI177" s="28"/>
      <c r="AJ177" s="29"/>
      <c r="AK177" s="28"/>
      <c r="AL177" s="29"/>
      <c r="AM177" s="28"/>
      <c r="AN177" s="29"/>
      <c r="AO177" s="28"/>
      <c r="AP177" s="29"/>
      <c r="AQ177" s="28"/>
      <c r="AR177" s="29"/>
      <c r="AS177" s="25"/>
      <c r="AT177" s="25"/>
      <c r="AU177" s="25"/>
      <c r="AV177" s="26"/>
      <c r="AW177" s="26"/>
      <c r="AX177" s="26"/>
      <c r="AY177" s="26"/>
      <c r="AZ177" s="26"/>
      <c r="BA177" s="26"/>
      <c r="BB177" s="26"/>
      <c r="BC177" s="26"/>
      <c r="BD177" s="27"/>
    </row>
    <row r="178" spans="1:56" ht="15" customHeight="1">
      <c r="A178" s="9"/>
      <c r="B178" s="9"/>
      <c r="C178" s="9"/>
      <c r="D178" s="9"/>
      <c r="E178" s="9"/>
      <c r="F178" s="24"/>
      <c r="G178" s="9"/>
      <c r="H178" s="24"/>
      <c r="I178" s="9"/>
      <c r="J178" s="24"/>
      <c r="K178" s="9"/>
      <c r="L178" s="24"/>
      <c r="M178" s="9"/>
      <c r="N178" s="24"/>
      <c r="O178" s="9"/>
      <c r="P178" s="24"/>
      <c r="Q178" s="9"/>
      <c r="R178" s="24"/>
      <c r="S178" s="9"/>
      <c r="T178" s="24"/>
      <c r="U178" s="9"/>
      <c r="V178" s="24"/>
      <c r="W178" s="9"/>
      <c r="X178" s="24"/>
      <c r="Y178" s="9"/>
      <c r="Z178" s="24"/>
      <c r="AA178" s="9"/>
      <c r="AB178" s="24"/>
      <c r="AC178" s="9"/>
      <c r="AD178" s="24"/>
      <c r="AE178" s="9"/>
      <c r="AF178" s="24"/>
      <c r="AG178" s="9"/>
      <c r="AH178" s="24"/>
      <c r="AI178" s="9"/>
      <c r="AJ178" s="24"/>
      <c r="AK178" s="9"/>
      <c r="AL178" s="24"/>
      <c r="AM178" s="9"/>
      <c r="AN178" s="24"/>
      <c r="AO178" s="9"/>
      <c r="AP178" s="24"/>
      <c r="AQ178" s="9"/>
      <c r="AR178" s="24"/>
      <c r="AS178" s="25"/>
      <c r="AT178" s="25"/>
      <c r="AU178" s="25"/>
      <c r="AV178" s="26"/>
      <c r="AW178" s="26"/>
      <c r="AX178" s="26"/>
      <c r="AY178" s="26"/>
      <c r="AZ178" s="26"/>
      <c r="BA178" s="26"/>
      <c r="BB178" s="26"/>
      <c r="BC178" s="26"/>
      <c r="BD178" s="27"/>
    </row>
    <row r="179" spans="1:56" ht="15" customHeight="1">
      <c r="A179" s="28"/>
      <c r="B179" s="28"/>
      <c r="C179" s="28"/>
      <c r="D179" s="28"/>
      <c r="E179" s="28"/>
      <c r="F179" s="29"/>
      <c r="G179" s="28"/>
      <c r="H179" s="29"/>
      <c r="I179" s="28"/>
      <c r="J179" s="29"/>
      <c r="K179" s="28"/>
      <c r="L179" s="29"/>
      <c r="M179" s="28"/>
      <c r="N179" s="29"/>
      <c r="O179" s="28"/>
      <c r="P179" s="29"/>
      <c r="Q179" s="28"/>
      <c r="R179" s="29"/>
      <c r="S179" s="28"/>
      <c r="T179" s="29"/>
      <c r="U179" s="28"/>
      <c r="V179" s="29"/>
      <c r="W179" s="28"/>
      <c r="X179" s="29"/>
      <c r="Y179" s="28"/>
      <c r="Z179" s="29"/>
      <c r="AA179" s="28"/>
      <c r="AB179" s="29"/>
      <c r="AC179" s="28"/>
      <c r="AD179" s="29"/>
      <c r="AE179" s="28"/>
      <c r="AF179" s="29"/>
      <c r="AG179" s="28"/>
      <c r="AH179" s="29"/>
      <c r="AI179" s="28"/>
      <c r="AJ179" s="29"/>
      <c r="AK179" s="28"/>
      <c r="AL179" s="29"/>
      <c r="AM179" s="28"/>
      <c r="AN179" s="29"/>
      <c r="AO179" s="28"/>
      <c r="AP179" s="29"/>
      <c r="AQ179" s="28"/>
      <c r="AR179" s="29"/>
      <c r="AS179" s="25"/>
      <c r="AT179" s="25"/>
      <c r="AU179" s="25"/>
      <c r="AV179" s="26"/>
      <c r="AW179" s="26"/>
      <c r="AX179" s="26"/>
      <c r="AY179" s="26"/>
      <c r="AZ179" s="26"/>
      <c r="BA179" s="26"/>
      <c r="BB179" s="26"/>
      <c r="BC179" s="26"/>
      <c r="BD179" s="27"/>
    </row>
    <row r="180" spans="1:56" ht="15" customHeight="1">
      <c r="A180" s="9"/>
      <c r="B180" s="9"/>
      <c r="C180" s="9"/>
      <c r="D180" s="9"/>
      <c r="E180" s="9"/>
      <c r="F180" s="24"/>
      <c r="G180" s="9"/>
      <c r="H180" s="24"/>
      <c r="I180" s="9"/>
      <c r="J180" s="24"/>
      <c r="K180" s="9"/>
      <c r="L180" s="24"/>
      <c r="M180" s="9"/>
      <c r="N180" s="24"/>
      <c r="O180" s="9"/>
      <c r="P180" s="24"/>
      <c r="Q180" s="9"/>
      <c r="R180" s="24"/>
      <c r="S180" s="9"/>
      <c r="T180" s="24"/>
      <c r="U180" s="9"/>
      <c r="V180" s="24"/>
      <c r="W180" s="9"/>
      <c r="X180" s="24"/>
      <c r="Y180" s="9"/>
      <c r="Z180" s="24"/>
      <c r="AA180" s="9"/>
      <c r="AB180" s="24"/>
      <c r="AC180" s="9"/>
      <c r="AD180" s="24"/>
      <c r="AE180" s="9"/>
      <c r="AF180" s="24"/>
      <c r="AG180" s="9"/>
      <c r="AH180" s="24"/>
      <c r="AI180" s="9"/>
      <c r="AJ180" s="24"/>
      <c r="AK180" s="9"/>
      <c r="AL180" s="24"/>
      <c r="AM180" s="9"/>
      <c r="AN180" s="24"/>
      <c r="AO180" s="9"/>
      <c r="AP180" s="24"/>
      <c r="AQ180" s="9"/>
      <c r="AR180" s="24"/>
      <c r="AS180" s="25"/>
      <c r="AT180" s="25"/>
      <c r="AU180" s="25"/>
      <c r="AV180" s="26"/>
      <c r="AW180" s="26"/>
      <c r="AX180" s="26"/>
      <c r="AY180" s="26"/>
      <c r="AZ180" s="26"/>
      <c r="BA180" s="26"/>
      <c r="BB180" s="26"/>
      <c r="BC180" s="26"/>
      <c r="BD180" s="27"/>
    </row>
    <row r="181" spans="1:56" ht="15" customHeight="1">
      <c r="A181" s="28"/>
      <c r="B181" s="28"/>
      <c r="C181" s="28"/>
      <c r="D181" s="28"/>
      <c r="E181" s="28"/>
      <c r="F181" s="29"/>
      <c r="G181" s="28"/>
      <c r="H181" s="29"/>
      <c r="I181" s="28"/>
      <c r="J181" s="29"/>
      <c r="K181" s="28"/>
      <c r="L181" s="29"/>
      <c r="M181" s="28"/>
      <c r="N181" s="29"/>
      <c r="O181" s="28"/>
      <c r="P181" s="29"/>
      <c r="Q181" s="28"/>
      <c r="R181" s="29"/>
      <c r="S181" s="28"/>
      <c r="T181" s="29"/>
      <c r="U181" s="28"/>
      <c r="V181" s="29"/>
      <c r="W181" s="28"/>
      <c r="X181" s="29"/>
      <c r="Y181" s="28"/>
      <c r="Z181" s="29"/>
      <c r="AA181" s="28"/>
      <c r="AB181" s="29"/>
      <c r="AC181" s="28"/>
      <c r="AD181" s="29"/>
      <c r="AE181" s="28"/>
      <c r="AF181" s="29"/>
      <c r="AG181" s="28"/>
      <c r="AH181" s="29"/>
      <c r="AI181" s="28"/>
      <c r="AJ181" s="29"/>
      <c r="AK181" s="28"/>
      <c r="AL181" s="29"/>
      <c r="AM181" s="28"/>
      <c r="AN181" s="29"/>
      <c r="AO181" s="28"/>
      <c r="AP181" s="29"/>
      <c r="AQ181" s="28"/>
      <c r="AR181" s="29"/>
      <c r="AS181" s="25"/>
      <c r="AT181" s="25"/>
      <c r="AU181" s="25"/>
      <c r="AV181" s="26"/>
      <c r="AW181" s="26"/>
      <c r="AX181" s="26"/>
      <c r="AY181" s="26"/>
      <c r="AZ181" s="26"/>
      <c r="BA181" s="26"/>
      <c r="BB181" s="26"/>
      <c r="BC181" s="26"/>
      <c r="BD181" s="27"/>
    </row>
    <row r="182" spans="1:56" ht="15" customHeight="1">
      <c r="A182" s="9"/>
      <c r="B182" s="9"/>
      <c r="C182" s="9"/>
      <c r="D182" s="9"/>
      <c r="E182" s="9"/>
      <c r="F182" s="24"/>
      <c r="G182" s="9"/>
      <c r="H182" s="24"/>
      <c r="I182" s="9"/>
      <c r="J182" s="24"/>
      <c r="K182" s="9"/>
      <c r="L182" s="24"/>
      <c r="M182" s="9"/>
      <c r="N182" s="24"/>
      <c r="O182" s="9"/>
      <c r="P182" s="24"/>
      <c r="Q182" s="9"/>
      <c r="R182" s="24"/>
      <c r="S182" s="9"/>
      <c r="T182" s="24"/>
      <c r="U182" s="9"/>
      <c r="V182" s="24"/>
      <c r="W182" s="9"/>
      <c r="X182" s="24"/>
      <c r="Y182" s="9"/>
      <c r="Z182" s="24"/>
      <c r="AA182" s="9"/>
      <c r="AB182" s="24"/>
      <c r="AC182" s="9"/>
      <c r="AD182" s="24"/>
      <c r="AE182" s="9"/>
      <c r="AF182" s="24"/>
      <c r="AG182" s="9"/>
      <c r="AH182" s="24"/>
      <c r="AI182" s="9"/>
      <c r="AJ182" s="24"/>
      <c r="AK182" s="9"/>
      <c r="AL182" s="24"/>
      <c r="AM182" s="9"/>
      <c r="AN182" s="24"/>
      <c r="AO182" s="9"/>
      <c r="AP182" s="24"/>
      <c r="AQ182" s="9"/>
      <c r="AR182" s="24"/>
      <c r="AS182" s="25"/>
      <c r="AT182" s="25"/>
      <c r="AU182" s="25"/>
      <c r="AV182" s="26"/>
      <c r="AW182" s="26"/>
      <c r="AX182" s="26"/>
      <c r="AY182" s="26"/>
      <c r="AZ182" s="26"/>
      <c r="BA182" s="26"/>
      <c r="BB182" s="26"/>
      <c r="BC182" s="26"/>
      <c r="BD182" s="27"/>
    </row>
    <row r="183" spans="1:56" ht="15" customHeight="1">
      <c r="A183" s="28"/>
      <c r="B183" s="28"/>
      <c r="C183" s="28"/>
      <c r="D183" s="28"/>
      <c r="E183" s="28"/>
      <c r="F183" s="29"/>
      <c r="G183" s="28"/>
      <c r="H183" s="29"/>
      <c r="I183" s="28"/>
      <c r="J183" s="29"/>
      <c r="K183" s="28"/>
      <c r="L183" s="29"/>
      <c r="M183" s="28"/>
      <c r="N183" s="29"/>
      <c r="O183" s="28"/>
      <c r="P183" s="29"/>
      <c r="Q183" s="28"/>
      <c r="R183" s="29"/>
      <c r="S183" s="28"/>
      <c r="T183" s="29"/>
      <c r="U183" s="28"/>
      <c r="V183" s="29"/>
      <c r="W183" s="28"/>
      <c r="X183" s="29"/>
      <c r="Y183" s="28"/>
      <c r="Z183" s="29"/>
      <c r="AA183" s="28"/>
      <c r="AB183" s="29"/>
      <c r="AC183" s="28"/>
      <c r="AD183" s="29"/>
      <c r="AE183" s="28"/>
      <c r="AF183" s="29"/>
      <c r="AG183" s="28"/>
      <c r="AH183" s="29"/>
      <c r="AI183" s="28"/>
      <c r="AJ183" s="29"/>
      <c r="AK183" s="28"/>
      <c r="AL183" s="29"/>
      <c r="AM183" s="28"/>
      <c r="AN183" s="29"/>
      <c r="AO183" s="28"/>
      <c r="AP183" s="29"/>
      <c r="AQ183" s="28"/>
      <c r="AR183" s="29"/>
      <c r="AS183" s="25"/>
      <c r="AT183" s="25"/>
      <c r="AU183" s="25"/>
      <c r="AV183" s="26"/>
      <c r="AW183" s="26"/>
      <c r="AX183" s="26"/>
      <c r="AY183" s="26"/>
      <c r="AZ183" s="26"/>
      <c r="BA183" s="26"/>
      <c r="BB183" s="26"/>
      <c r="BC183" s="26"/>
      <c r="BD183" s="27"/>
    </row>
    <row r="184" spans="1:56" ht="15" customHeight="1">
      <c r="A184" s="9"/>
      <c r="B184" s="9"/>
      <c r="C184" s="9"/>
      <c r="D184" s="9"/>
      <c r="E184" s="9"/>
      <c r="F184" s="24"/>
      <c r="G184" s="9"/>
      <c r="H184" s="24"/>
      <c r="I184" s="9"/>
      <c r="J184" s="24"/>
      <c r="K184" s="9"/>
      <c r="L184" s="24"/>
      <c r="M184" s="9"/>
      <c r="N184" s="24"/>
      <c r="O184" s="9"/>
      <c r="P184" s="24"/>
      <c r="Q184" s="9"/>
      <c r="R184" s="24"/>
      <c r="S184" s="9"/>
      <c r="T184" s="24"/>
      <c r="U184" s="9"/>
      <c r="V184" s="24"/>
      <c r="W184" s="9"/>
      <c r="X184" s="24"/>
      <c r="Y184" s="9"/>
      <c r="Z184" s="24"/>
      <c r="AA184" s="9"/>
      <c r="AB184" s="24"/>
      <c r="AC184" s="9"/>
      <c r="AD184" s="24"/>
      <c r="AE184" s="9"/>
      <c r="AF184" s="24"/>
      <c r="AG184" s="9"/>
      <c r="AH184" s="24"/>
      <c r="AI184" s="9"/>
      <c r="AJ184" s="24"/>
      <c r="AK184" s="9"/>
      <c r="AL184" s="24"/>
      <c r="AM184" s="9"/>
      <c r="AN184" s="24"/>
      <c r="AO184" s="9"/>
      <c r="AP184" s="24"/>
      <c r="AQ184" s="9"/>
      <c r="AR184" s="24"/>
      <c r="AS184" s="25"/>
      <c r="AT184" s="25"/>
      <c r="AU184" s="25"/>
      <c r="AV184" s="26"/>
      <c r="AW184" s="26"/>
      <c r="AX184" s="26"/>
      <c r="AY184" s="26"/>
      <c r="AZ184" s="26"/>
      <c r="BA184" s="26"/>
      <c r="BB184" s="26"/>
      <c r="BC184" s="26"/>
      <c r="BD184" s="27"/>
    </row>
    <row r="185" spans="1:56" ht="15" customHeight="1">
      <c r="A185" s="28"/>
      <c r="B185" s="28"/>
      <c r="C185" s="28"/>
      <c r="D185" s="28"/>
      <c r="E185" s="28"/>
      <c r="F185" s="29"/>
      <c r="G185" s="28"/>
      <c r="H185" s="29"/>
      <c r="I185" s="28"/>
      <c r="J185" s="29"/>
      <c r="K185" s="28"/>
      <c r="L185" s="29"/>
      <c r="M185" s="28"/>
      <c r="N185" s="29"/>
      <c r="O185" s="28"/>
      <c r="P185" s="29"/>
      <c r="Q185" s="28"/>
      <c r="R185" s="29"/>
      <c r="S185" s="28"/>
      <c r="T185" s="29"/>
      <c r="U185" s="28"/>
      <c r="V185" s="29"/>
      <c r="W185" s="28"/>
      <c r="X185" s="29"/>
      <c r="Y185" s="28"/>
      <c r="Z185" s="29"/>
      <c r="AA185" s="28"/>
      <c r="AB185" s="29"/>
      <c r="AC185" s="28"/>
      <c r="AD185" s="29"/>
      <c r="AE185" s="28"/>
      <c r="AF185" s="29"/>
      <c r="AG185" s="28"/>
      <c r="AH185" s="29"/>
      <c r="AI185" s="28"/>
      <c r="AJ185" s="29"/>
      <c r="AK185" s="28"/>
      <c r="AL185" s="29"/>
      <c r="AM185" s="28"/>
      <c r="AN185" s="29"/>
      <c r="AO185" s="28"/>
      <c r="AP185" s="29"/>
      <c r="AQ185" s="28"/>
      <c r="AR185" s="29"/>
      <c r="AS185" s="25"/>
      <c r="AT185" s="25"/>
      <c r="AU185" s="25"/>
      <c r="AV185" s="26"/>
      <c r="AW185" s="26"/>
      <c r="AX185" s="26"/>
      <c r="AY185" s="26"/>
      <c r="AZ185" s="26"/>
      <c r="BA185" s="26"/>
      <c r="BB185" s="26"/>
      <c r="BC185" s="26"/>
      <c r="BD185" s="27"/>
    </row>
    <row r="186" spans="1:56" ht="15" customHeight="1">
      <c r="A186" s="9"/>
      <c r="B186" s="9"/>
      <c r="C186" s="9"/>
      <c r="D186" s="9"/>
      <c r="E186" s="9"/>
      <c r="F186" s="24"/>
      <c r="G186" s="9"/>
      <c r="H186" s="24"/>
      <c r="I186" s="9"/>
      <c r="J186" s="24"/>
      <c r="K186" s="9"/>
      <c r="L186" s="24"/>
      <c r="M186" s="9"/>
      <c r="N186" s="24"/>
      <c r="O186" s="9"/>
      <c r="P186" s="24"/>
      <c r="Q186" s="9"/>
      <c r="R186" s="24"/>
      <c r="S186" s="9"/>
      <c r="T186" s="24"/>
      <c r="U186" s="9"/>
      <c r="V186" s="24"/>
      <c r="W186" s="9"/>
      <c r="X186" s="24"/>
      <c r="Y186" s="9"/>
      <c r="Z186" s="24"/>
      <c r="AA186" s="9"/>
      <c r="AB186" s="24"/>
      <c r="AC186" s="9"/>
      <c r="AD186" s="24"/>
      <c r="AE186" s="9"/>
      <c r="AF186" s="24"/>
      <c r="AG186" s="9"/>
      <c r="AH186" s="24"/>
      <c r="AI186" s="9"/>
      <c r="AJ186" s="24"/>
      <c r="AK186" s="9"/>
      <c r="AL186" s="24"/>
      <c r="AM186" s="9"/>
      <c r="AN186" s="24"/>
      <c r="AO186" s="9"/>
      <c r="AP186" s="24"/>
      <c r="AQ186" s="9"/>
      <c r="AR186" s="24"/>
      <c r="AS186" s="25"/>
      <c r="AT186" s="25"/>
      <c r="AU186" s="25"/>
      <c r="AV186" s="26"/>
      <c r="AW186" s="26"/>
      <c r="AX186" s="26"/>
      <c r="AY186" s="26"/>
      <c r="AZ186" s="26"/>
      <c r="BA186" s="26"/>
      <c r="BB186" s="26"/>
      <c r="BC186" s="26"/>
      <c r="BD186" s="27"/>
    </row>
    <row r="187" spans="1:56" ht="15" customHeight="1">
      <c r="A187" s="28"/>
      <c r="B187" s="28"/>
      <c r="C187" s="28"/>
      <c r="D187" s="28"/>
      <c r="E187" s="28"/>
      <c r="F187" s="29"/>
      <c r="G187" s="28"/>
      <c r="H187" s="29"/>
      <c r="I187" s="28"/>
      <c r="J187" s="29"/>
      <c r="K187" s="28"/>
      <c r="L187" s="29"/>
      <c r="M187" s="28"/>
      <c r="N187" s="29"/>
      <c r="O187" s="28"/>
      <c r="P187" s="29"/>
      <c r="Q187" s="28"/>
      <c r="R187" s="29"/>
      <c r="S187" s="28"/>
      <c r="T187" s="29"/>
      <c r="U187" s="28"/>
      <c r="V187" s="29"/>
      <c r="W187" s="28"/>
      <c r="X187" s="29"/>
      <c r="Y187" s="28"/>
      <c r="Z187" s="29"/>
      <c r="AA187" s="28"/>
      <c r="AB187" s="29"/>
      <c r="AC187" s="28"/>
      <c r="AD187" s="29"/>
      <c r="AE187" s="28"/>
      <c r="AF187" s="29"/>
      <c r="AG187" s="28"/>
      <c r="AH187" s="29"/>
      <c r="AI187" s="28"/>
      <c r="AJ187" s="29"/>
      <c r="AK187" s="28"/>
      <c r="AL187" s="29"/>
      <c r="AM187" s="28"/>
      <c r="AN187" s="29"/>
      <c r="AO187" s="28"/>
      <c r="AP187" s="29"/>
      <c r="AQ187" s="28"/>
      <c r="AR187" s="29"/>
      <c r="AS187" s="25"/>
      <c r="AT187" s="25"/>
      <c r="AU187" s="25"/>
      <c r="AV187" s="26"/>
      <c r="AW187" s="26"/>
      <c r="AX187" s="26"/>
      <c r="AY187" s="26"/>
      <c r="AZ187" s="26"/>
      <c r="BA187" s="26"/>
      <c r="BB187" s="26"/>
      <c r="BC187" s="26"/>
      <c r="BD187" s="27"/>
    </row>
    <row r="188" spans="1:56" ht="15" customHeight="1">
      <c r="A188" s="9"/>
      <c r="B188" s="9"/>
      <c r="C188" s="9"/>
      <c r="D188" s="9"/>
      <c r="E188" s="9"/>
      <c r="F188" s="24"/>
      <c r="G188" s="9"/>
      <c r="H188" s="24"/>
      <c r="I188" s="9"/>
      <c r="J188" s="24"/>
      <c r="K188" s="9"/>
      <c r="L188" s="24"/>
      <c r="M188" s="9"/>
      <c r="N188" s="24"/>
      <c r="O188" s="9"/>
      <c r="P188" s="24"/>
      <c r="Q188" s="9"/>
      <c r="R188" s="24"/>
      <c r="S188" s="9"/>
      <c r="T188" s="24"/>
      <c r="U188" s="9"/>
      <c r="V188" s="24"/>
      <c r="W188" s="9"/>
      <c r="X188" s="24"/>
      <c r="Y188" s="9"/>
      <c r="Z188" s="24"/>
      <c r="AA188" s="9"/>
      <c r="AB188" s="24"/>
      <c r="AC188" s="9"/>
      <c r="AD188" s="24"/>
      <c r="AE188" s="9"/>
      <c r="AF188" s="24"/>
      <c r="AG188" s="9"/>
      <c r="AH188" s="24"/>
      <c r="AI188" s="9"/>
      <c r="AJ188" s="24"/>
      <c r="AK188" s="9"/>
      <c r="AL188" s="24"/>
      <c r="AM188" s="9"/>
      <c r="AN188" s="24"/>
      <c r="AO188" s="9"/>
      <c r="AP188" s="24"/>
      <c r="AQ188" s="9"/>
      <c r="AR188" s="24"/>
      <c r="AS188" s="25"/>
      <c r="AT188" s="25"/>
      <c r="AU188" s="25"/>
      <c r="AV188" s="26"/>
      <c r="AW188" s="26"/>
      <c r="AX188" s="26"/>
      <c r="AY188" s="26"/>
      <c r="AZ188" s="26"/>
      <c r="BA188" s="26"/>
      <c r="BB188" s="26"/>
      <c r="BC188" s="26"/>
      <c r="BD188" s="27"/>
    </row>
    <row r="189" spans="1:56" ht="15" customHeight="1">
      <c r="A189" s="28"/>
      <c r="B189" s="28"/>
      <c r="C189" s="28"/>
      <c r="D189" s="28"/>
      <c r="E189" s="28"/>
      <c r="F189" s="29"/>
      <c r="G189" s="28"/>
      <c r="H189" s="29"/>
      <c r="I189" s="28"/>
      <c r="J189" s="29"/>
      <c r="K189" s="28"/>
      <c r="L189" s="29"/>
      <c r="M189" s="28"/>
      <c r="N189" s="29"/>
      <c r="O189" s="28"/>
      <c r="P189" s="29"/>
      <c r="Q189" s="28"/>
      <c r="R189" s="29"/>
      <c r="S189" s="28"/>
      <c r="T189" s="29"/>
      <c r="U189" s="28"/>
      <c r="V189" s="29"/>
      <c r="W189" s="28"/>
      <c r="X189" s="29"/>
      <c r="Y189" s="28"/>
      <c r="Z189" s="29"/>
      <c r="AA189" s="28"/>
      <c r="AB189" s="29"/>
      <c r="AC189" s="28"/>
      <c r="AD189" s="29"/>
      <c r="AE189" s="28"/>
      <c r="AF189" s="29"/>
      <c r="AG189" s="28"/>
      <c r="AH189" s="29"/>
      <c r="AI189" s="28"/>
      <c r="AJ189" s="29"/>
      <c r="AK189" s="28"/>
      <c r="AL189" s="29"/>
      <c r="AM189" s="28"/>
      <c r="AN189" s="29"/>
      <c r="AO189" s="28"/>
      <c r="AP189" s="29"/>
      <c r="AQ189" s="28"/>
      <c r="AR189" s="29"/>
      <c r="AS189" s="25"/>
      <c r="AT189" s="25"/>
      <c r="AU189" s="25"/>
      <c r="AV189" s="26"/>
      <c r="AW189" s="26"/>
      <c r="AX189" s="26"/>
      <c r="AY189" s="26"/>
      <c r="AZ189" s="26"/>
      <c r="BA189" s="26"/>
      <c r="BB189" s="26"/>
      <c r="BC189" s="26"/>
      <c r="BD189" s="27"/>
    </row>
    <row r="190" spans="1:56" ht="15" customHeight="1">
      <c r="A190" s="9"/>
      <c r="B190" s="9"/>
      <c r="C190" s="9"/>
      <c r="D190" s="9"/>
      <c r="E190" s="9"/>
      <c r="F190" s="24"/>
      <c r="G190" s="9"/>
      <c r="H190" s="24"/>
      <c r="I190" s="9"/>
      <c r="J190" s="24"/>
      <c r="K190" s="9"/>
      <c r="L190" s="24"/>
      <c r="M190" s="9"/>
      <c r="N190" s="24"/>
      <c r="O190" s="9"/>
      <c r="P190" s="24"/>
      <c r="Q190" s="9"/>
      <c r="R190" s="24"/>
      <c r="S190" s="9"/>
      <c r="T190" s="24"/>
      <c r="U190" s="9"/>
      <c r="V190" s="24"/>
      <c r="W190" s="9"/>
      <c r="X190" s="24"/>
      <c r="Y190" s="9"/>
      <c r="Z190" s="24"/>
      <c r="AA190" s="9"/>
      <c r="AB190" s="24"/>
      <c r="AC190" s="9"/>
      <c r="AD190" s="24"/>
      <c r="AE190" s="9"/>
      <c r="AF190" s="24"/>
      <c r="AG190" s="9"/>
      <c r="AH190" s="24"/>
      <c r="AI190" s="9"/>
      <c r="AJ190" s="24"/>
      <c r="AK190" s="9"/>
      <c r="AL190" s="24"/>
      <c r="AM190" s="9"/>
      <c r="AN190" s="24"/>
      <c r="AO190" s="9"/>
      <c r="AP190" s="24"/>
      <c r="AQ190" s="9"/>
      <c r="AR190" s="24"/>
      <c r="AS190" s="25"/>
      <c r="AT190" s="25"/>
      <c r="AU190" s="25"/>
      <c r="AV190" s="26"/>
      <c r="AW190" s="26"/>
      <c r="AX190" s="26"/>
      <c r="AY190" s="26"/>
      <c r="AZ190" s="26"/>
      <c r="BA190" s="26"/>
      <c r="BB190" s="26"/>
      <c r="BC190" s="26"/>
      <c r="BD190" s="27"/>
    </row>
    <row r="191" spans="1:56" ht="15" customHeight="1">
      <c r="A191" s="28"/>
      <c r="B191" s="28"/>
      <c r="C191" s="28"/>
      <c r="D191" s="28"/>
      <c r="E191" s="28"/>
      <c r="F191" s="29"/>
      <c r="G191" s="28"/>
      <c r="H191" s="29"/>
      <c r="I191" s="28"/>
      <c r="J191" s="29"/>
      <c r="K191" s="28"/>
      <c r="L191" s="29"/>
      <c r="M191" s="28"/>
      <c r="N191" s="29"/>
      <c r="O191" s="28"/>
      <c r="P191" s="29"/>
      <c r="Q191" s="28"/>
      <c r="R191" s="29"/>
      <c r="S191" s="28"/>
      <c r="T191" s="29"/>
      <c r="U191" s="28"/>
      <c r="V191" s="29"/>
      <c r="W191" s="28"/>
      <c r="X191" s="29"/>
      <c r="Y191" s="28"/>
      <c r="Z191" s="29"/>
      <c r="AA191" s="28"/>
      <c r="AB191" s="29"/>
      <c r="AC191" s="28"/>
      <c r="AD191" s="29"/>
      <c r="AE191" s="28"/>
      <c r="AF191" s="29"/>
      <c r="AG191" s="28"/>
      <c r="AH191" s="29"/>
      <c r="AI191" s="28"/>
      <c r="AJ191" s="29"/>
      <c r="AK191" s="28"/>
      <c r="AL191" s="29"/>
      <c r="AM191" s="28"/>
      <c r="AN191" s="29"/>
      <c r="AO191" s="28"/>
      <c r="AP191" s="29"/>
      <c r="AQ191" s="28"/>
      <c r="AR191" s="29"/>
      <c r="AS191" s="25"/>
      <c r="AT191" s="25"/>
      <c r="AU191" s="25"/>
      <c r="AV191" s="26"/>
      <c r="AW191" s="26"/>
      <c r="AX191" s="26"/>
      <c r="AY191" s="26"/>
      <c r="AZ191" s="26"/>
      <c r="BA191" s="26"/>
      <c r="BB191" s="26"/>
      <c r="BC191" s="26"/>
      <c r="BD191" s="27"/>
    </row>
    <row r="192" spans="1:56" ht="15" customHeight="1">
      <c r="A192" s="9"/>
      <c r="B192" s="9"/>
      <c r="C192" s="9"/>
      <c r="D192" s="9"/>
      <c r="E192" s="9"/>
      <c r="F192" s="24"/>
      <c r="G192" s="9"/>
      <c r="H192" s="24"/>
      <c r="I192" s="9"/>
      <c r="J192" s="24"/>
      <c r="K192" s="9"/>
      <c r="L192" s="24"/>
      <c r="M192" s="9"/>
      <c r="N192" s="24"/>
      <c r="O192" s="9"/>
      <c r="P192" s="24"/>
      <c r="Q192" s="9"/>
      <c r="R192" s="24"/>
      <c r="S192" s="9"/>
      <c r="T192" s="24"/>
      <c r="U192" s="9"/>
      <c r="V192" s="24"/>
      <c r="W192" s="9"/>
      <c r="X192" s="24"/>
      <c r="Y192" s="9"/>
      <c r="Z192" s="24"/>
      <c r="AA192" s="9"/>
      <c r="AB192" s="24"/>
      <c r="AC192" s="9"/>
      <c r="AD192" s="24"/>
      <c r="AE192" s="9"/>
      <c r="AF192" s="24"/>
      <c r="AG192" s="9"/>
      <c r="AH192" s="24"/>
      <c r="AI192" s="9"/>
      <c r="AJ192" s="24"/>
      <c r="AK192" s="9"/>
      <c r="AL192" s="24"/>
      <c r="AM192" s="9"/>
      <c r="AN192" s="24"/>
      <c r="AO192" s="9"/>
      <c r="AP192" s="24"/>
      <c r="AQ192" s="9"/>
      <c r="AR192" s="24"/>
      <c r="AS192" s="25"/>
      <c r="AT192" s="25"/>
      <c r="AU192" s="25"/>
      <c r="AV192" s="26"/>
      <c r="AW192" s="26"/>
      <c r="AX192" s="26"/>
      <c r="AY192" s="26"/>
      <c r="AZ192" s="26"/>
      <c r="BA192" s="26"/>
      <c r="BB192" s="26"/>
      <c r="BC192" s="26"/>
      <c r="BD192" s="27"/>
    </row>
    <row r="193" spans="1:56" ht="15" customHeight="1">
      <c r="A193" s="28"/>
      <c r="B193" s="28"/>
      <c r="C193" s="28"/>
      <c r="D193" s="28"/>
      <c r="E193" s="28"/>
      <c r="F193" s="29"/>
      <c r="G193" s="28"/>
      <c r="H193" s="29"/>
      <c r="I193" s="28"/>
      <c r="J193" s="29"/>
      <c r="K193" s="28"/>
      <c r="L193" s="29"/>
      <c r="M193" s="28"/>
      <c r="N193" s="29"/>
      <c r="O193" s="28"/>
      <c r="P193" s="29"/>
      <c r="Q193" s="28"/>
      <c r="R193" s="29"/>
      <c r="S193" s="28"/>
      <c r="T193" s="29"/>
      <c r="U193" s="28"/>
      <c r="V193" s="29"/>
      <c r="W193" s="28"/>
      <c r="X193" s="29"/>
      <c r="Y193" s="28"/>
      <c r="Z193" s="29"/>
      <c r="AA193" s="28"/>
      <c r="AB193" s="29"/>
      <c r="AC193" s="28"/>
      <c r="AD193" s="29"/>
      <c r="AE193" s="28"/>
      <c r="AF193" s="29"/>
      <c r="AG193" s="28"/>
      <c r="AH193" s="29"/>
      <c r="AI193" s="28"/>
      <c r="AJ193" s="29"/>
      <c r="AK193" s="28"/>
      <c r="AL193" s="29"/>
      <c r="AM193" s="28"/>
      <c r="AN193" s="29"/>
      <c r="AO193" s="28"/>
      <c r="AP193" s="29"/>
      <c r="AQ193" s="28"/>
      <c r="AR193" s="29"/>
      <c r="AS193" s="25"/>
      <c r="AT193" s="25"/>
      <c r="AU193" s="25"/>
      <c r="AV193" s="26"/>
      <c r="AW193" s="26"/>
      <c r="AX193" s="26"/>
      <c r="AY193" s="26"/>
      <c r="AZ193" s="26"/>
      <c r="BA193" s="26"/>
      <c r="BB193" s="26"/>
      <c r="BC193" s="26"/>
      <c r="BD193" s="27"/>
    </row>
    <row r="194" spans="1:56" ht="15" customHeight="1">
      <c r="A194" s="9"/>
      <c r="B194" s="9"/>
      <c r="C194" s="9"/>
      <c r="D194" s="9"/>
      <c r="E194" s="9"/>
      <c r="F194" s="24"/>
      <c r="G194" s="9"/>
      <c r="H194" s="24"/>
      <c r="I194" s="9"/>
      <c r="J194" s="24"/>
      <c r="K194" s="9"/>
      <c r="L194" s="24"/>
      <c r="M194" s="9"/>
      <c r="N194" s="24"/>
      <c r="O194" s="9"/>
      <c r="P194" s="24"/>
      <c r="Q194" s="9"/>
      <c r="R194" s="24"/>
      <c r="S194" s="9"/>
      <c r="T194" s="24"/>
      <c r="U194" s="9"/>
      <c r="V194" s="24"/>
      <c r="W194" s="9"/>
      <c r="X194" s="24"/>
      <c r="Y194" s="9"/>
      <c r="Z194" s="24"/>
      <c r="AA194" s="9"/>
      <c r="AB194" s="24"/>
      <c r="AC194" s="9"/>
      <c r="AD194" s="24"/>
      <c r="AE194" s="9"/>
      <c r="AF194" s="24"/>
      <c r="AG194" s="9"/>
      <c r="AH194" s="24"/>
      <c r="AI194" s="9"/>
      <c r="AJ194" s="24"/>
      <c r="AK194" s="9"/>
      <c r="AL194" s="24"/>
      <c r="AM194" s="9"/>
      <c r="AN194" s="24"/>
      <c r="AO194" s="9"/>
      <c r="AP194" s="24"/>
      <c r="AQ194" s="9"/>
      <c r="AR194" s="24"/>
      <c r="AS194" s="25"/>
      <c r="AT194" s="25"/>
      <c r="AU194" s="25"/>
      <c r="AV194" s="26"/>
      <c r="AW194" s="26"/>
      <c r="AX194" s="26"/>
      <c r="AY194" s="26"/>
      <c r="AZ194" s="26"/>
      <c r="BA194" s="26"/>
      <c r="BB194" s="26"/>
      <c r="BC194" s="26"/>
      <c r="BD194" s="27"/>
    </row>
    <row r="195" spans="1:56" ht="15" customHeight="1">
      <c r="A195" s="28"/>
      <c r="B195" s="28"/>
      <c r="C195" s="28"/>
      <c r="D195" s="28"/>
      <c r="E195" s="28"/>
      <c r="F195" s="29"/>
      <c r="G195" s="28"/>
      <c r="H195" s="29"/>
      <c r="I195" s="28"/>
      <c r="J195" s="29"/>
      <c r="K195" s="28"/>
      <c r="L195" s="29"/>
      <c r="M195" s="28"/>
      <c r="N195" s="29"/>
      <c r="O195" s="28"/>
      <c r="P195" s="29"/>
      <c r="Q195" s="28"/>
      <c r="R195" s="29"/>
      <c r="S195" s="28"/>
      <c r="T195" s="29"/>
      <c r="U195" s="28"/>
      <c r="V195" s="29"/>
      <c r="W195" s="28"/>
      <c r="X195" s="29"/>
      <c r="Y195" s="28"/>
      <c r="Z195" s="29"/>
      <c r="AA195" s="28"/>
      <c r="AB195" s="29"/>
      <c r="AC195" s="28"/>
      <c r="AD195" s="29"/>
      <c r="AE195" s="28"/>
      <c r="AF195" s="29"/>
      <c r="AG195" s="28"/>
      <c r="AH195" s="29"/>
      <c r="AI195" s="28"/>
      <c r="AJ195" s="29"/>
      <c r="AK195" s="28"/>
      <c r="AL195" s="29"/>
      <c r="AM195" s="28"/>
      <c r="AN195" s="29"/>
      <c r="AO195" s="28"/>
      <c r="AP195" s="29"/>
      <c r="AQ195" s="28"/>
      <c r="AR195" s="29"/>
      <c r="AS195" s="25"/>
      <c r="AT195" s="25"/>
      <c r="AU195" s="25"/>
      <c r="AV195" s="26"/>
      <c r="AW195" s="26"/>
      <c r="AX195" s="26"/>
      <c r="AY195" s="26"/>
      <c r="AZ195" s="26"/>
      <c r="BA195" s="26"/>
      <c r="BB195" s="26"/>
      <c r="BC195" s="26"/>
      <c r="BD195" s="27"/>
    </row>
    <row r="196" spans="1:56" ht="15" customHeight="1">
      <c r="A196" s="9"/>
      <c r="B196" s="9"/>
      <c r="C196" s="9"/>
      <c r="D196" s="9"/>
      <c r="E196" s="9"/>
      <c r="F196" s="24"/>
      <c r="G196" s="9"/>
      <c r="H196" s="24"/>
      <c r="I196" s="9"/>
      <c r="J196" s="24"/>
      <c r="K196" s="9"/>
      <c r="L196" s="24"/>
      <c r="M196" s="9"/>
      <c r="N196" s="24"/>
      <c r="O196" s="9"/>
      <c r="P196" s="24"/>
      <c r="Q196" s="9"/>
      <c r="R196" s="24"/>
      <c r="S196" s="9"/>
      <c r="T196" s="24"/>
      <c r="U196" s="9"/>
      <c r="V196" s="24"/>
      <c r="W196" s="9"/>
      <c r="X196" s="24"/>
      <c r="Y196" s="9"/>
      <c r="Z196" s="24"/>
      <c r="AA196" s="9"/>
      <c r="AB196" s="24"/>
      <c r="AC196" s="9"/>
      <c r="AD196" s="24"/>
      <c r="AE196" s="9"/>
      <c r="AF196" s="24"/>
      <c r="AG196" s="9"/>
      <c r="AH196" s="24"/>
      <c r="AI196" s="9"/>
      <c r="AJ196" s="24"/>
      <c r="AK196" s="9"/>
      <c r="AL196" s="24"/>
      <c r="AM196" s="9"/>
      <c r="AN196" s="24"/>
      <c r="AO196" s="9"/>
      <c r="AP196" s="24"/>
      <c r="AQ196" s="9"/>
      <c r="AR196" s="24"/>
      <c r="AS196" s="25"/>
      <c r="AT196" s="25"/>
      <c r="AU196" s="25"/>
      <c r="AV196" s="26"/>
      <c r="AW196" s="26"/>
      <c r="AX196" s="26"/>
      <c r="AY196" s="26"/>
      <c r="AZ196" s="26"/>
      <c r="BA196" s="26"/>
      <c r="BB196" s="26"/>
      <c r="BC196" s="26"/>
      <c r="BD196" s="27"/>
    </row>
    <row r="197" spans="1:56" ht="15" customHeight="1">
      <c r="A197" s="28"/>
      <c r="B197" s="28"/>
      <c r="C197" s="28"/>
      <c r="D197" s="28"/>
      <c r="E197" s="28"/>
      <c r="F197" s="29"/>
      <c r="G197" s="28"/>
      <c r="H197" s="29"/>
      <c r="I197" s="28"/>
      <c r="J197" s="29"/>
      <c r="K197" s="28"/>
      <c r="L197" s="29"/>
      <c r="M197" s="28"/>
      <c r="N197" s="29"/>
      <c r="O197" s="28"/>
      <c r="P197" s="29"/>
      <c r="Q197" s="28"/>
      <c r="R197" s="29"/>
      <c r="S197" s="28"/>
      <c r="T197" s="29"/>
      <c r="U197" s="28"/>
      <c r="V197" s="29"/>
      <c r="W197" s="28"/>
      <c r="X197" s="29"/>
      <c r="Y197" s="28"/>
      <c r="Z197" s="29"/>
      <c r="AA197" s="28"/>
      <c r="AB197" s="29"/>
      <c r="AC197" s="28"/>
      <c r="AD197" s="29"/>
      <c r="AE197" s="28"/>
      <c r="AF197" s="29"/>
      <c r="AG197" s="28"/>
      <c r="AH197" s="29"/>
      <c r="AI197" s="28"/>
      <c r="AJ197" s="29"/>
      <c r="AK197" s="28"/>
      <c r="AL197" s="29"/>
      <c r="AM197" s="28"/>
      <c r="AN197" s="29"/>
      <c r="AO197" s="28"/>
      <c r="AP197" s="29"/>
      <c r="AQ197" s="28"/>
      <c r="AR197" s="29"/>
      <c r="AS197" s="25"/>
      <c r="AT197" s="25"/>
      <c r="AU197" s="25"/>
      <c r="AV197" s="26"/>
      <c r="AW197" s="26"/>
      <c r="AX197" s="26"/>
      <c r="AY197" s="26"/>
      <c r="AZ197" s="26"/>
      <c r="BA197" s="26"/>
      <c r="BB197" s="26"/>
      <c r="BC197" s="26"/>
      <c r="BD197" s="27"/>
    </row>
    <row r="198" spans="1:56" ht="15" customHeight="1">
      <c r="A198" s="9"/>
      <c r="B198" s="9"/>
      <c r="C198" s="9"/>
      <c r="D198" s="9"/>
      <c r="E198" s="9"/>
      <c r="F198" s="24"/>
      <c r="G198" s="9"/>
      <c r="H198" s="24"/>
      <c r="I198" s="9"/>
      <c r="J198" s="24"/>
      <c r="K198" s="9"/>
      <c r="L198" s="24"/>
      <c r="M198" s="9"/>
      <c r="N198" s="24"/>
      <c r="O198" s="9"/>
      <c r="P198" s="24"/>
      <c r="Q198" s="9"/>
      <c r="R198" s="24"/>
      <c r="S198" s="9"/>
      <c r="T198" s="24"/>
      <c r="U198" s="9"/>
      <c r="V198" s="24"/>
      <c r="W198" s="9"/>
      <c r="X198" s="24"/>
      <c r="Y198" s="9"/>
      <c r="Z198" s="24"/>
      <c r="AA198" s="9"/>
      <c r="AB198" s="24"/>
      <c r="AC198" s="9"/>
      <c r="AD198" s="24"/>
      <c r="AE198" s="9"/>
      <c r="AF198" s="24"/>
      <c r="AG198" s="9"/>
      <c r="AH198" s="24"/>
      <c r="AI198" s="9"/>
      <c r="AJ198" s="24"/>
      <c r="AK198" s="9"/>
      <c r="AL198" s="24"/>
      <c r="AM198" s="9"/>
      <c r="AN198" s="24"/>
      <c r="AO198" s="9"/>
      <c r="AP198" s="24"/>
      <c r="AQ198" s="9"/>
      <c r="AR198" s="24"/>
      <c r="AS198" s="25"/>
      <c r="AT198" s="25"/>
      <c r="AU198" s="25"/>
      <c r="AV198" s="26"/>
      <c r="AW198" s="26"/>
      <c r="AX198" s="26"/>
      <c r="AY198" s="26"/>
      <c r="AZ198" s="26"/>
      <c r="BA198" s="26"/>
      <c r="BB198" s="26"/>
      <c r="BC198" s="26"/>
      <c r="BD198" s="27"/>
    </row>
    <row r="199" spans="1:56" ht="15" customHeight="1">
      <c r="A199" s="28"/>
      <c r="B199" s="28"/>
      <c r="C199" s="28"/>
      <c r="D199" s="28"/>
      <c r="E199" s="28"/>
      <c r="F199" s="29"/>
      <c r="G199" s="28"/>
      <c r="H199" s="29"/>
      <c r="I199" s="28"/>
      <c r="J199" s="29"/>
      <c r="K199" s="28"/>
      <c r="L199" s="29"/>
      <c r="M199" s="28"/>
      <c r="N199" s="29"/>
      <c r="O199" s="28"/>
      <c r="P199" s="29"/>
      <c r="Q199" s="28"/>
      <c r="R199" s="29"/>
      <c r="S199" s="28"/>
      <c r="T199" s="29"/>
      <c r="U199" s="28"/>
      <c r="V199" s="29"/>
      <c r="W199" s="28"/>
      <c r="X199" s="29"/>
      <c r="Y199" s="28"/>
      <c r="Z199" s="29"/>
      <c r="AA199" s="28"/>
      <c r="AB199" s="29"/>
      <c r="AC199" s="28"/>
      <c r="AD199" s="29"/>
      <c r="AE199" s="28"/>
      <c r="AF199" s="29"/>
      <c r="AG199" s="28"/>
      <c r="AH199" s="29"/>
      <c r="AI199" s="28"/>
      <c r="AJ199" s="29"/>
      <c r="AK199" s="28"/>
      <c r="AL199" s="29"/>
      <c r="AM199" s="28"/>
      <c r="AN199" s="29"/>
      <c r="AO199" s="28"/>
      <c r="AP199" s="29"/>
      <c r="AQ199" s="28"/>
      <c r="AR199" s="29"/>
      <c r="AS199" s="25"/>
      <c r="AT199" s="25"/>
      <c r="AU199" s="25"/>
      <c r="AV199" s="26"/>
      <c r="AW199" s="26"/>
      <c r="AX199" s="26"/>
      <c r="AY199" s="26"/>
      <c r="AZ199" s="26"/>
      <c r="BA199" s="26"/>
      <c r="BB199" s="26"/>
      <c r="BC199" s="26"/>
      <c r="BD199" s="27"/>
    </row>
    <row r="200" spans="1:56" ht="15" customHeight="1">
      <c r="A200" s="9"/>
      <c r="B200" s="9"/>
      <c r="C200" s="9"/>
      <c r="D200" s="9"/>
      <c r="E200" s="9"/>
      <c r="F200" s="24"/>
      <c r="G200" s="9"/>
      <c r="H200" s="24"/>
      <c r="I200" s="9"/>
      <c r="J200" s="24"/>
      <c r="K200" s="9"/>
      <c r="L200" s="24"/>
      <c r="M200" s="9"/>
      <c r="N200" s="24"/>
      <c r="O200" s="9"/>
      <c r="P200" s="24"/>
      <c r="Q200" s="9"/>
      <c r="R200" s="24"/>
      <c r="S200" s="9"/>
      <c r="T200" s="24"/>
      <c r="U200" s="9"/>
      <c r="V200" s="24"/>
      <c r="W200" s="9"/>
      <c r="X200" s="24"/>
      <c r="Y200" s="9"/>
      <c r="Z200" s="24"/>
      <c r="AA200" s="9"/>
      <c r="AB200" s="24"/>
      <c r="AC200" s="9"/>
      <c r="AD200" s="24"/>
      <c r="AE200" s="9"/>
      <c r="AF200" s="24"/>
      <c r="AG200" s="9"/>
      <c r="AH200" s="24"/>
      <c r="AI200" s="9"/>
      <c r="AJ200" s="24"/>
      <c r="AK200" s="9"/>
      <c r="AL200" s="24"/>
      <c r="AM200" s="9"/>
      <c r="AN200" s="24"/>
      <c r="AO200" s="9"/>
      <c r="AP200" s="24"/>
      <c r="AQ200" s="9"/>
      <c r="AR200" s="24"/>
      <c r="AS200" s="25"/>
      <c r="AT200" s="25"/>
      <c r="AU200" s="25"/>
      <c r="AV200" s="26"/>
      <c r="AW200" s="26"/>
      <c r="AX200" s="26"/>
      <c r="AY200" s="26"/>
      <c r="AZ200" s="26"/>
      <c r="BA200" s="26"/>
      <c r="BB200" s="26"/>
      <c r="BC200" s="26"/>
      <c r="BD200" s="27"/>
    </row>
    <row r="201" spans="1:56" ht="15" customHeight="1">
      <c r="A201" s="28"/>
      <c r="B201" s="28"/>
      <c r="C201" s="28"/>
      <c r="D201" s="28"/>
      <c r="E201" s="28"/>
      <c r="F201" s="29"/>
      <c r="G201" s="28"/>
      <c r="H201" s="29"/>
      <c r="I201" s="28"/>
      <c r="J201" s="29"/>
      <c r="K201" s="28"/>
      <c r="L201" s="29"/>
      <c r="M201" s="28"/>
      <c r="N201" s="29"/>
      <c r="O201" s="28"/>
      <c r="P201" s="29"/>
      <c r="Q201" s="28"/>
      <c r="R201" s="29"/>
      <c r="S201" s="28"/>
      <c r="T201" s="29"/>
      <c r="U201" s="28"/>
      <c r="V201" s="29"/>
      <c r="W201" s="28"/>
      <c r="X201" s="29"/>
      <c r="Y201" s="28"/>
      <c r="Z201" s="29"/>
      <c r="AA201" s="28"/>
      <c r="AB201" s="29"/>
      <c r="AC201" s="28"/>
      <c r="AD201" s="29"/>
      <c r="AE201" s="28"/>
      <c r="AF201" s="29"/>
      <c r="AG201" s="28"/>
      <c r="AH201" s="29"/>
      <c r="AI201" s="28"/>
      <c r="AJ201" s="29"/>
      <c r="AK201" s="28"/>
      <c r="AL201" s="29"/>
      <c r="AM201" s="28"/>
      <c r="AN201" s="29"/>
      <c r="AO201" s="28"/>
      <c r="AP201" s="29"/>
      <c r="AQ201" s="28"/>
      <c r="AR201" s="29"/>
      <c r="AS201" s="25"/>
      <c r="AT201" s="25"/>
      <c r="AU201" s="25"/>
      <c r="AV201" s="26"/>
      <c r="AW201" s="26"/>
      <c r="AX201" s="26"/>
      <c r="AY201" s="26"/>
      <c r="AZ201" s="26"/>
      <c r="BA201" s="26"/>
      <c r="BB201" s="26"/>
      <c r="BC201" s="26"/>
      <c r="BD201" s="27"/>
    </row>
    <row r="202" spans="1:56" ht="15" customHeight="1">
      <c r="A202" s="9"/>
      <c r="B202" s="9"/>
      <c r="C202" s="9"/>
      <c r="D202" s="9"/>
      <c r="E202" s="9"/>
      <c r="F202" s="24"/>
      <c r="G202" s="9"/>
      <c r="H202" s="24"/>
      <c r="I202" s="9"/>
      <c r="J202" s="24"/>
      <c r="K202" s="9"/>
      <c r="L202" s="24"/>
      <c r="M202" s="9"/>
      <c r="N202" s="24"/>
      <c r="O202" s="9"/>
      <c r="P202" s="24"/>
      <c r="Q202" s="9"/>
      <c r="R202" s="24"/>
      <c r="S202" s="9"/>
      <c r="T202" s="24"/>
      <c r="U202" s="9"/>
      <c r="V202" s="24"/>
      <c r="W202" s="9"/>
      <c r="X202" s="24"/>
      <c r="Y202" s="9"/>
      <c r="Z202" s="24"/>
      <c r="AA202" s="9"/>
      <c r="AB202" s="24"/>
      <c r="AC202" s="9"/>
      <c r="AD202" s="24"/>
      <c r="AE202" s="9"/>
      <c r="AF202" s="24"/>
      <c r="AG202" s="9"/>
      <c r="AH202" s="24"/>
      <c r="AI202" s="9"/>
      <c r="AJ202" s="24"/>
      <c r="AK202" s="9"/>
      <c r="AL202" s="24"/>
      <c r="AM202" s="9"/>
      <c r="AN202" s="24"/>
      <c r="AO202" s="9"/>
      <c r="AP202" s="24"/>
      <c r="AQ202" s="9"/>
      <c r="AR202" s="24"/>
      <c r="AS202" s="25"/>
      <c r="AT202" s="25"/>
      <c r="AU202" s="25"/>
      <c r="AV202" s="26"/>
      <c r="AW202" s="26"/>
      <c r="AX202" s="26"/>
      <c r="AY202" s="26"/>
      <c r="AZ202" s="26"/>
      <c r="BA202" s="26"/>
      <c r="BB202" s="26"/>
      <c r="BC202" s="26"/>
      <c r="BD202" s="27"/>
    </row>
    <row r="203" spans="1:56" ht="15" customHeight="1">
      <c r="A203" s="28"/>
      <c r="B203" s="28"/>
      <c r="C203" s="28"/>
      <c r="D203" s="28"/>
      <c r="E203" s="28"/>
      <c r="F203" s="29"/>
      <c r="G203" s="28"/>
      <c r="H203" s="29"/>
      <c r="I203" s="28"/>
      <c r="J203" s="29"/>
      <c r="K203" s="28"/>
      <c r="L203" s="29"/>
      <c r="M203" s="28"/>
      <c r="N203" s="29"/>
      <c r="O203" s="28"/>
      <c r="P203" s="29"/>
      <c r="Q203" s="28"/>
      <c r="R203" s="29"/>
      <c r="S203" s="28"/>
      <c r="T203" s="29"/>
      <c r="U203" s="28"/>
      <c r="V203" s="29"/>
      <c r="W203" s="28"/>
      <c r="X203" s="29"/>
      <c r="Y203" s="28"/>
      <c r="Z203" s="29"/>
      <c r="AA203" s="28"/>
      <c r="AB203" s="29"/>
      <c r="AC203" s="28"/>
      <c r="AD203" s="29"/>
      <c r="AE203" s="28"/>
      <c r="AF203" s="29"/>
      <c r="AG203" s="28"/>
      <c r="AH203" s="29"/>
      <c r="AI203" s="28"/>
      <c r="AJ203" s="29"/>
      <c r="AK203" s="28"/>
      <c r="AL203" s="29"/>
      <c r="AM203" s="28"/>
      <c r="AN203" s="29"/>
      <c r="AO203" s="28"/>
      <c r="AP203" s="29"/>
      <c r="AQ203" s="28"/>
      <c r="AR203" s="29"/>
      <c r="AS203" s="25"/>
      <c r="AT203" s="25"/>
      <c r="AU203" s="25"/>
      <c r="AV203" s="26"/>
      <c r="AW203" s="26"/>
      <c r="AX203" s="26"/>
      <c r="AY203" s="26"/>
      <c r="AZ203" s="26"/>
      <c r="BA203" s="26"/>
      <c r="BB203" s="26"/>
      <c r="BC203" s="26"/>
      <c r="BD203" s="27"/>
    </row>
    <row r="204" spans="1:56" ht="15" customHeight="1">
      <c r="A204" s="9"/>
      <c r="B204" s="9"/>
      <c r="C204" s="9"/>
      <c r="D204" s="9"/>
      <c r="E204" s="9"/>
      <c r="F204" s="24"/>
      <c r="G204" s="9"/>
      <c r="H204" s="24"/>
      <c r="I204" s="9"/>
      <c r="J204" s="24"/>
      <c r="K204" s="9"/>
      <c r="L204" s="24"/>
      <c r="M204" s="9"/>
      <c r="N204" s="24"/>
      <c r="O204" s="9"/>
      <c r="P204" s="24"/>
      <c r="Q204" s="9"/>
      <c r="R204" s="24"/>
      <c r="S204" s="9"/>
      <c r="T204" s="24"/>
      <c r="U204" s="9"/>
      <c r="V204" s="24"/>
      <c r="W204" s="9"/>
      <c r="X204" s="24"/>
      <c r="Y204" s="9"/>
      <c r="Z204" s="24"/>
      <c r="AA204" s="9"/>
      <c r="AB204" s="24"/>
      <c r="AC204" s="9"/>
      <c r="AD204" s="24"/>
      <c r="AE204" s="9"/>
      <c r="AF204" s="24"/>
      <c r="AG204" s="9"/>
      <c r="AH204" s="24"/>
      <c r="AI204" s="9"/>
      <c r="AJ204" s="24"/>
      <c r="AK204" s="9"/>
      <c r="AL204" s="24"/>
      <c r="AM204" s="9"/>
      <c r="AN204" s="24"/>
      <c r="AO204" s="9"/>
      <c r="AP204" s="24"/>
      <c r="AQ204" s="9"/>
      <c r="AR204" s="24"/>
      <c r="AS204" s="25"/>
      <c r="AT204" s="25"/>
      <c r="AU204" s="25"/>
      <c r="AV204" s="26"/>
      <c r="AW204" s="26"/>
      <c r="AX204" s="26"/>
      <c r="AY204" s="26"/>
      <c r="AZ204" s="26"/>
      <c r="BA204" s="26"/>
      <c r="BB204" s="26"/>
      <c r="BC204" s="26"/>
      <c r="BD204" s="27"/>
    </row>
    <row r="205" spans="1:56" ht="15" customHeight="1">
      <c r="A205" s="28"/>
      <c r="B205" s="28"/>
      <c r="C205" s="28"/>
      <c r="D205" s="28"/>
      <c r="E205" s="28"/>
      <c r="F205" s="29"/>
      <c r="G205" s="28"/>
      <c r="H205" s="29"/>
      <c r="I205" s="28"/>
      <c r="J205" s="29"/>
      <c r="K205" s="28"/>
      <c r="L205" s="29"/>
      <c r="M205" s="28"/>
      <c r="N205" s="29"/>
      <c r="O205" s="28"/>
      <c r="P205" s="29"/>
      <c r="Q205" s="28"/>
      <c r="R205" s="29"/>
      <c r="S205" s="28"/>
      <c r="T205" s="29"/>
      <c r="U205" s="28"/>
      <c r="V205" s="29"/>
      <c r="W205" s="28"/>
      <c r="X205" s="29"/>
      <c r="Y205" s="28"/>
      <c r="Z205" s="29"/>
      <c r="AA205" s="28"/>
      <c r="AB205" s="29"/>
      <c r="AC205" s="28"/>
      <c r="AD205" s="29"/>
      <c r="AE205" s="28"/>
      <c r="AF205" s="29"/>
      <c r="AG205" s="28"/>
      <c r="AH205" s="29"/>
      <c r="AI205" s="28"/>
      <c r="AJ205" s="29"/>
      <c r="AK205" s="28"/>
      <c r="AL205" s="29"/>
      <c r="AM205" s="28"/>
      <c r="AN205" s="29"/>
      <c r="AO205" s="28"/>
      <c r="AP205" s="29"/>
      <c r="AQ205" s="28"/>
      <c r="AR205" s="29"/>
      <c r="AS205" s="25"/>
      <c r="AT205" s="25"/>
      <c r="AU205" s="25"/>
      <c r="AV205" s="26"/>
      <c r="AW205" s="26"/>
      <c r="AX205" s="26"/>
      <c r="AY205" s="26"/>
      <c r="AZ205" s="26"/>
      <c r="BA205" s="26"/>
      <c r="BB205" s="26"/>
      <c r="BC205" s="26"/>
      <c r="BD205" s="27"/>
    </row>
    <row r="206" spans="1:56" ht="15" customHeight="1">
      <c r="A206" s="9"/>
      <c r="B206" s="9"/>
      <c r="C206" s="9"/>
      <c r="D206" s="9"/>
      <c r="E206" s="9"/>
      <c r="F206" s="24"/>
      <c r="G206" s="9"/>
      <c r="H206" s="24"/>
      <c r="I206" s="9"/>
      <c r="J206" s="24"/>
      <c r="K206" s="9"/>
      <c r="L206" s="24"/>
      <c r="M206" s="9"/>
      <c r="N206" s="24"/>
      <c r="O206" s="9"/>
      <c r="P206" s="24"/>
      <c r="Q206" s="9"/>
      <c r="R206" s="24"/>
      <c r="S206" s="9"/>
      <c r="T206" s="24"/>
      <c r="U206" s="9"/>
      <c r="V206" s="24"/>
      <c r="W206" s="9"/>
      <c r="X206" s="24"/>
      <c r="Y206" s="9"/>
      <c r="Z206" s="24"/>
      <c r="AA206" s="9"/>
      <c r="AB206" s="24"/>
      <c r="AC206" s="9"/>
      <c r="AD206" s="24"/>
      <c r="AE206" s="9"/>
      <c r="AF206" s="24"/>
      <c r="AG206" s="9"/>
      <c r="AH206" s="24"/>
      <c r="AI206" s="9"/>
      <c r="AJ206" s="24"/>
      <c r="AK206" s="9"/>
      <c r="AL206" s="24"/>
      <c r="AM206" s="9"/>
      <c r="AN206" s="24"/>
      <c r="AO206" s="9"/>
      <c r="AP206" s="24"/>
      <c r="AQ206" s="9"/>
      <c r="AR206" s="24"/>
      <c r="AS206" s="25"/>
      <c r="AT206" s="25"/>
      <c r="AU206" s="25"/>
      <c r="AV206" s="26"/>
      <c r="AW206" s="26"/>
      <c r="AX206" s="26"/>
      <c r="AY206" s="26"/>
      <c r="AZ206" s="26"/>
      <c r="BA206" s="26"/>
      <c r="BB206" s="26"/>
      <c r="BC206" s="26"/>
      <c r="BD206" s="27"/>
    </row>
    <row r="207" spans="1:56" ht="15" customHeight="1">
      <c r="A207" s="28"/>
      <c r="B207" s="28"/>
      <c r="C207" s="28"/>
      <c r="D207" s="28"/>
      <c r="E207" s="28"/>
      <c r="F207" s="29"/>
      <c r="G207" s="28"/>
      <c r="H207" s="29"/>
      <c r="I207" s="28"/>
      <c r="J207" s="29"/>
      <c r="K207" s="28"/>
      <c r="L207" s="29"/>
      <c r="M207" s="28"/>
      <c r="N207" s="29"/>
      <c r="O207" s="28"/>
      <c r="P207" s="29"/>
      <c r="Q207" s="28"/>
      <c r="R207" s="29"/>
      <c r="S207" s="28"/>
      <c r="T207" s="29"/>
      <c r="U207" s="28"/>
      <c r="V207" s="29"/>
      <c r="W207" s="28"/>
      <c r="X207" s="29"/>
      <c r="Y207" s="28"/>
      <c r="Z207" s="29"/>
      <c r="AA207" s="28"/>
      <c r="AB207" s="29"/>
      <c r="AC207" s="28"/>
      <c r="AD207" s="29"/>
      <c r="AE207" s="28"/>
      <c r="AF207" s="29"/>
      <c r="AG207" s="28"/>
      <c r="AH207" s="29"/>
      <c r="AI207" s="28"/>
      <c r="AJ207" s="29"/>
      <c r="AK207" s="28"/>
      <c r="AL207" s="29"/>
      <c r="AM207" s="28"/>
      <c r="AN207" s="29"/>
      <c r="AO207" s="28"/>
      <c r="AP207" s="29"/>
      <c r="AQ207" s="28"/>
      <c r="AR207" s="29"/>
      <c r="AS207" s="25"/>
      <c r="AT207" s="25"/>
      <c r="AU207" s="25"/>
      <c r="AV207" s="26"/>
      <c r="AW207" s="26"/>
      <c r="AX207" s="26"/>
      <c r="AY207" s="26"/>
      <c r="AZ207" s="26"/>
      <c r="BA207" s="26"/>
      <c r="BB207" s="26"/>
      <c r="BC207" s="26"/>
      <c r="BD207" s="27"/>
    </row>
    <row r="208" spans="1:56" ht="15" customHeight="1">
      <c r="A208" s="9"/>
      <c r="B208" s="9"/>
      <c r="C208" s="9"/>
      <c r="D208" s="9"/>
      <c r="E208" s="9"/>
      <c r="F208" s="24"/>
      <c r="G208" s="9"/>
      <c r="H208" s="24"/>
      <c r="I208" s="9"/>
      <c r="J208" s="24"/>
      <c r="K208" s="9"/>
      <c r="L208" s="24"/>
      <c r="M208" s="9"/>
      <c r="N208" s="24"/>
      <c r="O208" s="9"/>
      <c r="P208" s="24"/>
      <c r="Q208" s="9"/>
      <c r="R208" s="24"/>
      <c r="S208" s="9"/>
      <c r="T208" s="24"/>
      <c r="U208" s="9"/>
      <c r="V208" s="24"/>
      <c r="W208" s="9"/>
      <c r="X208" s="24"/>
      <c r="Y208" s="9"/>
      <c r="Z208" s="24"/>
      <c r="AA208" s="9"/>
      <c r="AB208" s="24"/>
      <c r="AC208" s="9"/>
      <c r="AD208" s="24"/>
      <c r="AE208" s="9"/>
      <c r="AF208" s="24"/>
      <c r="AG208" s="9"/>
      <c r="AH208" s="24"/>
      <c r="AI208" s="9"/>
      <c r="AJ208" s="24"/>
      <c r="AK208" s="9"/>
      <c r="AL208" s="24"/>
      <c r="AM208" s="9"/>
      <c r="AN208" s="24"/>
      <c r="AO208" s="9"/>
      <c r="AP208" s="24"/>
      <c r="AQ208" s="9"/>
      <c r="AR208" s="24"/>
      <c r="AS208" s="25"/>
      <c r="AT208" s="25"/>
      <c r="AU208" s="25"/>
      <c r="AV208" s="26"/>
      <c r="AW208" s="26"/>
      <c r="AX208" s="26"/>
      <c r="AY208" s="26"/>
      <c r="AZ208" s="26"/>
      <c r="BA208" s="26"/>
      <c r="BB208" s="26"/>
      <c r="BC208" s="26"/>
      <c r="BD208" s="27"/>
    </row>
    <row r="209" spans="1:56" ht="15" customHeight="1">
      <c r="A209" s="28"/>
      <c r="B209" s="28"/>
      <c r="C209" s="28"/>
      <c r="D209" s="28"/>
      <c r="E209" s="28"/>
      <c r="F209" s="29"/>
      <c r="G209" s="28"/>
      <c r="H209" s="29"/>
      <c r="I209" s="28"/>
      <c r="J209" s="29"/>
      <c r="K209" s="28"/>
      <c r="L209" s="29"/>
      <c r="M209" s="28"/>
      <c r="N209" s="29"/>
      <c r="O209" s="28"/>
      <c r="P209" s="29"/>
      <c r="Q209" s="28"/>
      <c r="R209" s="29"/>
      <c r="S209" s="28"/>
      <c r="T209" s="29"/>
      <c r="U209" s="28"/>
      <c r="V209" s="29"/>
      <c r="W209" s="28"/>
      <c r="X209" s="29"/>
      <c r="Y209" s="28"/>
      <c r="Z209" s="29"/>
      <c r="AA209" s="28"/>
      <c r="AB209" s="29"/>
      <c r="AC209" s="28"/>
      <c r="AD209" s="29"/>
      <c r="AE209" s="28"/>
      <c r="AF209" s="29"/>
      <c r="AG209" s="28"/>
      <c r="AH209" s="29"/>
      <c r="AI209" s="28"/>
      <c r="AJ209" s="29"/>
      <c r="AK209" s="28"/>
      <c r="AL209" s="29"/>
      <c r="AM209" s="28"/>
      <c r="AN209" s="29"/>
      <c r="AO209" s="28"/>
      <c r="AP209" s="29"/>
      <c r="AQ209" s="28"/>
      <c r="AR209" s="29"/>
      <c r="AS209" s="25"/>
      <c r="AT209" s="25"/>
      <c r="AU209" s="25"/>
      <c r="AV209" s="26"/>
      <c r="AW209" s="26"/>
      <c r="AX209" s="26"/>
      <c r="AY209" s="26"/>
      <c r="AZ209" s="26"/>
      <c r="BA209" s="26"/>
      <c r="BB209" s="26"/>
      <c r="BC209" s="26"/>
      <c r="BD209" s="27"/>
    </row>
    <row r="210" spans="1:56" ht="15" customHeight="1">
      <c r="A210" s="9"/>
      <c r="B210" s="9"/>
      <c r="C210" s="9"/>
      <c r="D210" s="9"/>
      <c r="E210" s="9"/>
      <c r="F210" s="24"/>
      <c r="G210" s="9"/>
      <c r="H210" s="24"/>
      <c r="I210" s="9"/>
      <c r="J210" s="24"/>
      <c r="K210" s="9"/>
      <c r="L210" s="24"/>
      <c r="M210" s="9"/>
      <c r="N210" s="24"/>
      <c r="O210" s="9"/>
      <c r="P210" s="24"/>
      <c r="Q210" s="9"/>
      <c r="R210" s="24"/>
      <c r="S210" s="9"/>
      <c r="T210" s="24"/>
      <c r="U210" s="9"/>
      <c r="V210" s="24"/>
      <c r="W210" s="9"/>
      <c r="X210" s="24"/>
      <c r="Y210" s="9"/>
      <c r="Z210" s="24"/>
      <c r="AA210" s="9"/>
      <c r="AB210" s="24"/>
      <c r="AC210" s="9"/>
      <c r="AD210" s="24"/>
      <c r="AE210" s="9"/>
      <c r="AF210" s="24"/>
      <c r="AG210" s="9"/>
      <c r="AH210" s="24"/>
      <c r="AI210" s="9"/>
      <c r="AJ210" s="24"/>
      <c r="AK210" s="9"/>
      <c r="AL210" s="24"/>
      <c r="AM210" s="9"/>
      <c r="AN210" s="24"/>
      <c r="AO210" s="9"/>
      <c r="AP210" s="24"/>
      <c r="AQ210" s="9"/>
      <c r="AR210" s="24"/>
      <c r="AS210" s="25"/>
      <c r="AT210" s="25"/>
      <c r="AU210" s="25"/>
      <c r="AV210" s="26"/>
      <c r="AW210" s="26"/>
      <c r="AX210" s="26"/>
      <c r="AY210" s="26"/>
      <c r="AZ210" s="26"/>
      <c r="BA210" s="26"/>
      <c r="BB210" s="26"/>
      <c r="BC210" s="26"/>
      <c r="BD210" s="27"/>
    </row>
    <row r="211" spans="1:56" ht="15" customHeight="1">
      <c r="A211" s="28"/>
      <c r="B211" s="28"/>
      <c r="C211" s="28"/>
      <c r="D211" s="28"/>
      <c r="E211" s="28"/>
      <c r="F211" s="29"/>
      <c r="G211" s="28"/>
      <c r="H211" s="29"/>
      <c r="I211" s="28"/>
      <c r="J211" s="29"/>
      <c r="K211" s="28"/>
      <c r="L211" s="29"/>
      <c r="M211" s="28"/>
      <c r="N211" s="29"/>
      <c r="O211" s="28"/>
      <c r="P211" s="29"/>
      <c r="Q211" s="28"/>
      <c r="R211" s="29"/>
      <c r="S211" s="28"/>
      <c r="T211" s="29"/>
      <c r="U211" s="28"/>
      <c r="V211" s="29"/>
      <c r="W211" s="28"/>
      <c r="X211" s="29"/>
      <c r="Y211" s="28"/>
      <c r="Z211" s="29"/>
      <c r="AA211" s="28"/>
      <c r="AB211" s="29"/>
      <c r="AC211" s="28"/>
      <c r="AD211" s="29"/>
      <c r="AE211" s="28"/>
      <c r="AF211" s="29"/>
      <c r="AG211" s="28"/>
      <c r="AH211" s="29"/>
      <c r="AI211" s="28"/>
      <c r="AJ211" s="29"/>
      <c r="AK211" s="28"/>
      <c r="AL211" s="29"/>
      <c r="AM211" s="28"/>
      <c r="AN211" s="29"/>
      <c r="AO211" s="28"/>
      <c r="AP211" s="29"/>
      <c r="AQ211" s="28"/>
      <c r="AR211" s="29"/>
      <c r="AS211" s="25"/>
      <c r="AT211" s="25"/>
      <c r="AU211" s="25"/>
      <c r="AV211" s="26"/>
      <c r="AW211" s="26"/>
      <c r="AX211" s="26"/>
      <c r="AY211" s="26"/>
      <c r="AZ211" s="26"/>
      <c r="BA211" s="26"/>
      <c r="BB211" s="26"/>
      <c r="BC211" s="26"/>
      <c r="BD211" s="27"/>
    </row>
    <row r="212" spans="1:56" ht="15" customHeight="1">
      <c r="A212" s="9"/>
      <c r="B212" s="9"/>
      <c r="C212" s="9"/>
      <c r="D212" s="9"/>
      <c r="E212" s="9"/>
      <c r="F212" s="24"/>
      <c r="G212" s="9"/>
      <c r="H212" s="24"/>
      <c r="I212" s="9"/>
      <c r="J212" s="24"/>
      <c r="K212" s="9"/>
      <c r="L212" s="24"/>
      <c r="M212" s="9"/>
      <c r="N212" s="24"/>
      <c r="O212" s="9"/>
      <c r="P212" s="24"/>
      <c r="Q212" s="9"/>
      <c r="R212" s="24"/>
      <c r="S212" s="9"/>
      <c r="T212" s="24"/>
      <c r="U212" s="9"/>
      <c r="V212" s="24"/>
      <c r="W212" s="9"/>
      <c r="X212" s="24"/>
      <c r="Y212" s="9"/>
      <c r="Z212" s="24"/>
      <c r="AA212" s="9"/>
      <c r="AB212" s="24"/>
      <c r="AC212" s="9"/>
      <c r="AD212" s="24"/>
      <c r="AE212" s="9"/>
      <c r="AF212" s="24"/>
      <c r="AG212" s="9"/>
      <c r="AH212" s="24"/>
      <c r="AI212" s="9"/>
      <c r="AJ212" s="24"/>
      <c r="AK212" s="9"/>
      <c r="AL212" s="24"/>
      <c r="AM212" s="9"/>
      <c r="AN212" s="24"/>
      <c r="AO212" s="9"/>
      <c r="AP212" s="24"/>
      <c r="AQ212" s="9"/>
      <c r="AR212" s="24"/>
      <c r="AS212" s="25"/>
      <c r="AT212" s="25"/>
      <c r="AU212" s="25"/>
      <c r="AV212" s="26"/>
      <c r="AW212" s="26"/>
      <c r="AX212" s="26"/>
      <c r="AY212" s="26"/>
      <c r="AZ212" s="26"/>
      <c r="BA212" s="26"/>
      <c r="BB212" s="26"/>
      <c r="BC212" s="26"/>
      <c r="BD212" s="27"/>
    </row>
    <row r="213" spans="1:56" ht="15" customHeight="1">
      <c r="A213" s="28"/>
      <c r="B213" s="28"/>
      <c r="C213" s="28"/>
      <c r="D213" s="28"/>
      <c r="E213" s="28"/>
      <c r="F213" s="29"/>
      <c r="G213" s="28"/>
      <c r="H213" s="29"/>
      <c r="I213" s="28"/>
      <c r="J213" s="29"/>
      <c r="K213" s="28"/>
      <c r="L213" s="29"/>
      <c r="M213" s="28"/>
      <c r="N213" s="29"/>
      <c r="O213" s="28"/>
      <c r="P213" s="29"/>
      <c r="Q213" s="28"/>
      <c r="R213" s="29"/>
      <c r="S213" s="28"/>
      <c r="T213" s="29"/>
      <c r="U213" s="28"/>
      <c r="V213" s="29"/>
      <c r="W213" s="28"/>
      <c r="X213" s="29"/>
      <c r="Y213" s="28"/>
      <c r="Z213" s="29"/>
      <c r="AA213" s="28"/>
      <c r="AB213" s="29"/>
      <c r="AC213" s="28"/>
      <c r="AD213" s="29"/>
      <c r="AE213" s="28"/>
      <c r="AF213" s="29"/>
      <c r="AG213" s="28"/>
      <c r="AH213" s="29"/>
      <c r="AI213" s="28"/>
      <c r="AJ213" s="29"/>
      <c r="AK213" s="28"/>
      <c r="AL213" s="29"/>
      <c r="AM213" s="28"/>
      <c r="AN213" s="29"/>
      <c r="AO213" s="28"/>
      <c r="AP213" s="29"/>
      <c r="AQ213" s="28"/>
      <c r="AR213" s="29"/>
      <c r="AS213" s="25"/>
      <c r="AT213" s="25"/>
      <c r="AU213" s="25"/>
      <c r="AV213" s="26"/>
      <c r="AW213" s="26"/>
      <c r="AX213" s="26"/>
      <c r="AY213" s="26"/>
      <c r="AZ213" s="26"/>
      <c r="BA213" s="26"/>
      <c r="BB213" s="26"/>
      <c r="BC213" s="26"/>
      <c r="BD213" s="27"/>
    </row>
    <row r="214" spans="1:56" ht="15" customHeight="1">
      <c r="A214" s="9"/>
      <c r="B214" s="9"/>
      <c r="C214" s="9"/>
      <c r="D214" s="9"/>
      <c r="E214" s="9"/>
      <c r="F214" s="24"/>
      <c r="G214" s="9"/>
      <c r="H214" s="24"/>
      <c r="I214" s="9"/>
      <c r="J214" s="24"/>
      <c r="K214" s="9"/>
      <c r="L214" s="24"/>
      <c r="M214" s="9"/>
      <c r="N214" s="24"/>
      <c r="O214" s="9"/>
      <c r="P214" s="24"/>
      <c r="Q214" s="9"/>
      <c r="R214" s="24"/>
      <c r="S214" s="9"/>
      <c r="T214" s="24"/>
      <c r="U214" s="9"/>
      <c r="V214" s="24"/>
      <c r="W214" s="9"/>
      <c r="X214" s="24"/>
      <c r="Y214" s="9"/>
      <c r="Z214" s="24"/>
      <c r="AA214" s="9"/>
      <c r="AB214" s="24"/>
      <c r="AC214" s="9"/>
      <c r="AD214" s="24"/>
      <c r="AE214" s="9"/>
      <c r="AF214" s="24"/>
      <c r="AG214" s="9"/>
      <c r="AH214" s="24"/>
      <c r="AI214" s="9"/>
      <c r="AJ214" s="24"/>
      <c r="AK214" s="9"/>
      <c r="AL214" s="24"/>
      <c r="AM214" s="9"/>
      <c r="AN214" s="24"/>
      <c r="AO214" s="9"/>
      <c r="AP214" s="24"/>
      <c r="AQ214" s="9"/>
      <c r="AR214" s="24"/>
      <c r="AS214" s="25"/>
      <c r="AT214" s="25"/>
      <c r="AU214" s="25"/>
      <c r="AV214" s="26"/>
      <c r="AW214" s="26"/>
      <c r="AX214" s="26"/>
      <c r="AY214" s="26"/>
      <c r="AZ214" s="26"/>
      <c r="BA214" s="26"/>
      <c r="BB214" s="26"/>
      <c r="BC214" s="26"/>
      <c r="BD214" s="27"/>
    </row>
    <row r="215" spans="1:56" ht="15" customHeight="1">
      <c r="A215" s="28"/>
      <c r="B215" s="28"/>
      <c r="C215" s="28"/>
      <c r="D215" s="28"/>
      <c r="E215" s="28"/>
      <c r="F215" s="29"/>
      <c r="G215" s="28"/>
      <c r="H215" s="29"/>
      <c r="I215" s="28"/>
      <c r="J215" s="29"/>
      <c r="K215" s="28"/>
      <c r="L215" s="29"/>
      <c r="M215" s="28"/>
      <c r="N215" s="29"/>
      <c r="O215" s="28"/>
      <c r="P215" s="29"/>
      <c r="Q215" s="28"/>
      <c r="R215" s="29"/>
      <c r="S215" s="28"/>
      <c r="T215" s="29"/>
      <c r="U215" s="28"/>
      <c r="V215" s="29"/>
      <c r="W215" s="28"/>
      <c r="X215" s="29"/>
      <c r="Y215" s="28"/>
      <c r="Z215" s="29"/>
      <c r="AA215" s="28"/>
      <c r="AB215" s="29"/>
      <c r="AC215" s="28"/>
      <c r="AD215" s="29"/>
      <c r="AE215" s="28"/>
      <c r="AF215" s="29"/>
      <c r="AG215" s="28"/>
      <c r="AH215" s="29"/>
      <c r="AI215" s="28"/>
      <c r="AJ215" s="29"/>
      <c r="AK215" s="28"/>
      <c r="AL215" s="29"/>
      <c r="AM215" s="28"/>
      <c r="AN215" s="29"/>
      <c r="AO215" s="28"/>
      <c r="AP215" s="29"/>
      <c r="AQ215" s="28"/>
      <c r="AR215" s="29"/>
      <c r="AS215" s="25"/>
      <c r="AT215" s="25"/>
      <c r="AU215" s="25"/>
      <c r="AV215" s="26"/>
      <c r="AW215" s="26"/>
      <c r="AX215" s="26"/>
      <c r="AY215" s="26"/>
      <c r="AZ215" s="26"/>
      <c r="BA215" s="26"/>
      <c r="BB215" s="26"/>
      <c r="BC215" s="26"/>
      <c r="BD215" s="27"/>
    </row>
    <row r="216" spans="1:56" ht="15" customHeight="1">
      <c r="A216" s="9"/>
      <c r="B216" s="9"/>
      <c r="C216" s="9"/>
      <c r="D216" s="9"/>
      <c r="E216" s="9"/>
      <c r="F216" s="24"/>
      <c r="G216" s="9"/>
      <c r="H216" s="24"/>
      <c r="I216" s="9"/>
      <c r="J216" s="24"/>
      <c r="K216" s="9"/>
      <c r="L216" s="24"/>
      <c r="M216" s="9"/>
      <c r="N216" s="24"/>
      <c r="O216" s="9"/>
      <c r="P216" s="24"/>
      <c r="Q216" s="9"/>
      <c r="R216" s="24"/>
      <c r="S216" s="9"/>
      <c r="T216" s="24"/>
      <c r="U216" s="9"/>
      <c r="V216" s="24"/>
      <c r="W216" s="9"/>
      <c r="X216" s="24"/>
      <c r="Y216" s="9"/>
      <c r="Z216" s="24"/>
      <c r="AA216" s="9"/>
      <c r="AB216" s="24"/>
      <c r="AC216" s="9"/>
      <c r="AD216" s="24"/>
      <c r="AE216" s="9"/>
      <c r="AF216" s="24"/>
      <c r="AG216" s="9"/>
      <c r="AH216" s="24"/>
      <c r="AI216" s="9"/>
      <c r="AJ216" s="24"/>
      <c r="AK216" s="9"/>
      <c r="AL216" s="24"/>
      <c r="AM216" s="9"/>
      <c r="AN216" s="24"/>
      <c r="AO216" s="9"/>
      <c r="AP216" s="24"/>
      <c r="AQ216" s="9"/>
      <c r="AR216" s="24"/>
      <c r="AS216" s="25"/>
      <c r="AT216" s="25"/>
      <c r="AU216" s="25"/>
      <c r="AV216" s="26"/>
      <c r="AW216" s="26"/>
      <c r="AX216" s="26"/>
      <c r="AY216" s="26"/>
      <c r="AZ216" s="26"/>
      <c r="BA216" s="26"/>
      <c r="BB216" s="26"/>
      <c r="BC216" s="26"/>
      <c r="BD216" s="27"/>
    </row>
    <row r="217" spans="1:56" ht="15" customHeight="1">
      <c r="A217" s="28"/>
      <c r="B217" s="28"/>
      <c r="C217" s="28"/>
      <c r="D217" s="28"/>
      <c r="E217" s="28"/>
      <c r="F217" s="29"/>
      <c r="G217" s="28"/>
      <c r="H217" s="29"/>
      <c r="I217" s="28"/>
      <c r="J217" s="29"/>
      <c r="K217" s="28"/>
      <c r="L217" s="29"/>
      <c r="M217" s="28"/>
      <c r="N217" s="29"/>
      <c r="O217" s="28"/>
      <c r="P217" s="29"/>
      <c r="Q217" s="28"/>
      <c r="R217" s="29"/>
      <c r="S217" s="28"/>
      <c r="T217" s="29"/>
      <c r="U217" s="28"/>
      <c r="V217" s="29"/>
      <c r="W217" s="28"/>
      <c r="X217" s="29"/>
      <c r="Y217" s="28"/>
      <c r="Z217" s="29"/>
      <c r="AA217" s="28"/>
      <c r="AB217" s="29"/>
      <c r="AC217" s="28"/>
      <c r="AD217" s="29"/>
      <c r="AE217" s="28"/>
      <c r="AF217" s="29"/>
      <c r="AG217" s="28"/>
      <c r="AH217" s="29"/>
      <c r="AI217" s="28"/>
      <c r="AJ217" s="29"/>
      <c r="AK217" s="28"/>
      <c r="AL217" s="29"/>
      <c r="AM217" s="28"/>
      <c r="AN217" s="29"/>
      <c r="AO217" s="28"/>
      <c r="AP217" s="29"/>
      <c r="AQ217" s="28"/>
      <c r="AR217" s="29"/>
      <c r="AS217" s="25"/>
      <c r="AT217" s="25"/>
      <c r="AU217" s="25"/>
      <c r="AV217" s="26"/>
      <c r="AW217" s="26"/>
      <c r="AX217" s="26"/>
      <c r="AY217" s="26"/>
      <c r="AZ217" s="26"/>
      <c r="BA217" s="26"/>
      <c r="BB217" s="26"/>
      <c r="BC217" s="26"/>
      <c r="BD217" s="27"/>
    </row>
    <row r="218" spans="1:56" ht="15" customHeight="1">
      <c r="A218" s="9"/>
      <c r="B218" s="9"/>
      <c r="C218" s="9"/>
      <c r="D218" s="9"/>
      <c r="E218" s="9"/>
      <c r="F218" s="24"/>
      <c r="G218" s="9"/>
      <c r="H218" s="24"/>
      <c r="I218" s="9"/>
      <c r="J218" s="24"/>
      <c r="K218" s="9"/>
      <c r="L218" s="24"/>
      <c r="M218" s="9"/>
      <c r="N218" s="24"/>
      <c r="O218" s="9"/>
      <c r="P218" s="24"/>
      <c r="Q218" s="9"/>
      <c r="R218" s="24"/>
      <c r="S218" s="9"/>
      <c r="T218" s="24"/>
      <c r="U218" s="9"/>
      <c r="V218" s="24"/>
      <c r="W218" s="9"/>
      <c r="X218" s="24"/>
      <c r="Y218" s="9"/>
      <c r="Z218" s="24"/>
      <c r="AA218" s="9"/>
      <c r="AB218" s="24"/>
      <c r="AC218" s="9"/>
      <c r="AD218" s="24"/>
      <c r="AE218" s="9"/>
      <c r="AF218" s="24"/>
      <c r="AG218" s="9"/>
      <c r="AH218" s="24"/>
      <c r="AI218" s="9"/>
      <c r="AJ218" s="24"/>
      <c r="AK218" s="9"/>
      <c r="AL218" s="24"/>
      <c r="AM218" s="9"/>
      <c r="AN218" s="24"/>
      <c r="AO218" s="9"/>
      <c r="AP218" s="24"/>
      <c r="AQ218" s="9"/>
      <c r="AR218" s="24"/>
      <c r="AS218" s="25"/>
      <c r="AT218" s="25"/>
      <c r="AU218" s="25"/>
      <c r="AV218" s="26"/>
      <c r="AW218" s="26"/>
      <c r="AX218" s="26"/>
      <c r="AY218" s="26"/>
      <c r="AZ218" s="26"/>
      <c r="BA218" s="26"/>
      <c r="BB218" s="26"/>
      <c r="BC218" s="26"/>
      <c r="BD218" s="27"/>
    </row>
    <row r="219" spans="1:56" ht="15" customHeight="1">
      <c r="A219" s="28"/>
      <c r="B219" s="28"/>
      <c r="C219" s="28"/>
      <c r="D219" s="28"/>
      <c r="E219" s="28"/>
      <c r="F219" s="29"/>
      <c r="G219" s="28"/>
      <c r="H219" s="29"/>
      <c r="I219" s="28"/>
      <c r="J219" s="29"/>
      <c r="K219" s="28"/>
      <c r="L219" s="29"/>
      <c r="M219" s="28"/>
      <c r="N219" s="29"/>
      <c r="O219" s="28"/>
      <c r="P219" s="29"/>
      <c r="Q219" s="28"/>
      <c r="R219" s="29"/>
      <c r="S219" s="28"/>
      <c r="T219" s="29"/>
      <c r="U219" s="28"/>
      <c r="V219" s="29"/>
      <c r="W219" s="28"/>
      <c r="X219" s="29"/>
      <c r="Y219" s="28"/>
      <c r="Z219" s="29"/>
      <c r="AA219" s="28"/>
      <c r="AB219" s="29"/>
      <c r="AC219" s="28"/>
      <c r="AD219" s="29"/>
      <c r="AE219" s="28"/>
      <c r="AF219" s="29"/>
      <c r="AG219" s="28"/>
      <c r="AH219" s="29"/>
      <c r="AI219" s="28"/>
      <c r="AJ219" s="29"/>
      <c r="AK219" s="28"/>
      <c r="AL219" s="29"/>
      <c r="AM219" s="28"/>
      <c r="AN219" s="29"/>
      <c r="AO219" s="28"/>
      <c r="AP219" s="29"/>
      <c r="AQ219" s="28"/>
      <c r="AR219" s="29"/>
      <c r="AS219" s="25"/>
      <c r="AT219" s="25"/>
      <c r="AU219" s="25"/>
      <c r="AV219" s="26"/>
      <c r="AW219" s="26"/>
      <c r="AX219" s="26"/>
      <c r="AY219" s="26"/>
      <c r="AZ219" s="26"/>
      <c r="BA219" s="26"/>
      <c r="BB219" s="26"/>
      <c r="BC219" s="26"/>
      <c r="BD219" s="27"/>
    </row>
    <row r="220" spans="1:56" ht="15" customHeight="1">
      <c r="A220" s="9"/>
      <c r="B220" s="9"/>
      <c r="C220" s="9"/>
      <c r="D220" s="9"/>
      <c r="E220" s="9"/>
      <c r="F220" s="24"/>
      <c r="G220" s="9"/>
      <c r="H220" s="24"/>
      <c r="I220" s="9"/>
      <c r="J220" s="24"/>
      <c r="K220" s="9"/>
      <c r="L220" s="24"/>
      <c r="M220" s="9"/>
      <c r="N220" s="24"/>
      <c r="O220" s="9"/>
      <c r="P220" s="24"/>
      <c r="Q220" s="9"/>
      <c r="R220" s="24"/>
      <c r="S220" s="9"/>
      <c r="T220" s="24"/>
      <c r="U220" s="9"/>
      <c r="V220" s="24"/>
      <c r="W220" s="9"/>
      <c r="X220" s="24"/>
      <c r="Y220" s="9"/>
      <c r="Z220" s="24"/>
      <c r="AA220" s="9"/>
      <c r="AB220" s="24"/>
      <c r="AC220" s="9"/>
      <c r="AD220" s="24"/>
      <c r="AE220" s="9"/>
      <c r="AF220" s="24"/>
      <c r="AG220" s="9"/>
      <c r="AH220" s="24"/>
      <c r="AI220" s="9"/>
      <c r="AJ220" s="24"/>
      <c r="AK220" s="9"/>
      <c r="AL220" s="24"/>
      <c r="AM220" s="9"/>
      <c r="AN220" s="24"/>
      <c r="AO220" s="9"/>
      <c r="AP220" s="24"/>
      <c r="AQ220" s="9"/>
      <c r="AR220" s="24"/>
      <c r="AS220" s="25"/>
      <c r="AT220" s="25"/>
      <c r="AU220" s="25"/>
      <c r="AV220" s="26"/>
      <c r="AW220" s="26"/>
      <c r="AX220" s="26"/>
      <c r="AY220" s="26"/>
      <c r="AZ220" s="26"/>
      <c r="BA220" s="26"/>
      <c r="BB220" s="26"/>
      <c r="BC220" s="26"/>
      <c r="BD220" s="27"/>
    </row>
    <row r="221" spans="1:56" ht="15" customHeight="1">
      <c r="A221" s="28"/>
      <c r="B221" s="28"/>
      <c r="C221" s="28"/>
      <c r="D221" s="28"/>
      <c r="E221" s="28"/>
      <c r="F221" s="29"/>
      <c r="G221" s="28"/>
      <c r="H221" s="29"/>
      <c r="I221" s="28"/>
      <c r="J221" s="29"/>
      <c r="K221" s="28"/>
      <c r="L221" s="29"/>
      <c r="M221" s="28"/>
      <c r="N221" s="29"/>
      <c r="O221" s="28"/>
      <c r="P221" s="29"/>
      <c r="Q221" s="28"/>
      <c r="R221" s="29"/>
      <c r="S221" s="28"/>
      <c r="T221" s="29"/>
      <c r="U221" s="28"/>
      <c r="V221" s="29"/>
      <c r="W221" s="28"/>
      <c r="X221" s="29"/>
      <c r="Y221" s="28"/>
      <c r="Z221" s="29"/>
      <c r="AA221" s="28"/>
      <c r="AB221" s="29"/>
      <c r="AC221" s="28"/>
      <c r="AD221" s="29"/>
      <c r="AE221" s="28"/>
      <c r="AF221" s="29"/>
      <c r="AG221" s="28"/>
      <c r="AH221" s="29"/>
      <c r="AI221" s="28"/>
      <c r="AJ221" s="29"/>
      <c r="AK221" s="28"/>
      <c r="AL221" s="29"/>
      <c r="AM221" s="28"/>
      <c r="AN221" s="29"/>
      <c r="AO221" s="28"/>
      <c r="AP221" s="29"/>
      <c r="AQ221" s="28"/>
      <c r="AR221" s="29"/>
      <c r="AS221" s="25"/>
      <c r="AT221" s="25"/>
      <c r="AU221" s="25"/>
      <c r="AV221" s="26"/>
      <c r="AW221" s="26"/>
      <c r="AX221" s="26"/>
      <c r="AY221" s="26"/>
      <c r="AZ221" s="26"/>
      <c r="BA221" s="26"/>
      <c r="BB221" s="26"/>
      <c r="BC221" s="26"/>
      <c r="BD221" s="27"/>
    </row>
    <row r="222" spans="1:56" ht="15" customHeight="1">
      <c r="A222" s="9"/>
      <c r="B222" s="9"/>
      <c r="C222" s="9"/>
      <c r="D222" s="9"/>
      <c r="E222" s="9"/>
      <c r="F222" s="24"/>
      <c r="G222" s="9"/>
      <c r="H222" s="24"/>
      <c r="I222" s="9"/>
      <c r="J222" s="24"/>
      <c r="K222" s="9"/>
      <c r="L222" s="24"/>
      <c r="M222" s="9"/>
      <c r="N222" s="24"/>
      <c r="O222" s="9"/>
      <c r="P222" s="24"/>
      <c r="Q222" s="9"/>
      <c r="R222" s="24"/>
      <c r="S222" s="9"/>
      <c r="T222" s="24"/>
      <c r="U222" s="9"/>
      <c r="V222" s="24"/>
      <c r="W222" s="9"/>
      <c r="X222" s="24"/>
      <c r="Y222" s="9"/>
      <c r="Z222" s="24"/>
      <c r="AA222" s="9"/>
      <c r="AB222" s="24"/>
      <c r="AC222" s="9"/>
      <c r="AD222" s="24"/>
      <c r="AE222" s="9"/>
      <c r="AF222" s="24"/>
      <c r="AG222" s="9"/>
      <c r="AH222" s="24"/>
      <c r="AI222" s="9"/>
      <c r="AJ222" s="24"/>
      <c r="AK222" s="9"/>
      <c r="AL222" s="24"/>
      <c r="AM222" s="9"/>
      <c r="AN222" s="24"/>
      <c r="AO222" s="9"/>
      <c r="AP222" s="24"/>
      <c r="AQ222" s="9"/>
      <c r="AR222" s="24"/>
      <c r="AS222" s="25"/>
      <c r="AT222" s="25"/>
      <c r="AU222" s="25"/>
      <c r="AV222" s="26"/>
      <c r="AW222" s="26"/>
      <c r="AX222" s="26"/>
      <c r="AY222" s="26"/>
      <c r="AZ222" s="26"/>
      <c r="BA222" s="26"/>
      <c r="BB222" s="26"/>
      <c r="BC222" s="26"/>
      <c r="BD222" s="27"/>
    </row>
    <row r="223" spans="1:56" ht="15" customHeight="1">
      <c r="A223" s="28"/>
      <c r="B223" s="28"/>
      <c r="C223" s="28"/>
      <c r="D223" s="28"/>
      <c r="E223" s="28"/>
      <c r="F223" s="29"/>
      <c r="G223" s="28"/>
      <c r="H223" s="29"/>
      <c r="I223" s="28"/>
      <c r="J223" s="29"/>
      <c r="K223" s="28"/>
      <c r="L223" s="29"/>
      <c r="M223" s="28"/>
      <c r="N223" s="29"/>
      <c r="O223" s="28"/>
      <c r="P223" s="29"/>
      <c r="Q223" s="28"/>
      <c r="R223" s="29"/>
      <c r="S223" s="28"/>
      <c r="T223" s="29"/>
      <c r="U223" s="28"/>
      <c r="V223" s="29"/>
      <c r="W223" s="28"/>
      <c r="X223" s="29"/>
      <c r="Y223" s="28"/>
      <c r="Z223" s="29"/>
      <c r="AA223" s="28"/>
      <c r="AB223" s="29"/>
      <c r="AC223" s="28"/>
      <c r="AD223" s="29"/>
      <c r="AE223" s="28"/>
      <c r="AF223" s="29"/>
      <c r="AG223" s="28"/>
      <c r="AH223" s="29"/>
      <c r="AI223" s="28"/>
      <c r="AJ223" s="29"/>
      <c r="AK223" s="28"/>
      <c r="AL223" s="29"/>
      <c r="AM223" s="28"/>
      <c r="AN223" s="29"/>
      <c r="AO223" s="28"/>
      <c r="AP223" s="29"/>
      <c r="AQ223" s="28"/>
      <c r="AR223" s="29"/>
      <c r="AS223" s="25"/>
      <c r="AT223" s="25"/>
      <c r="AU223" s="25"/>
      <c r="AV223" s="26"/>
      <c r="AW223" s="26"/>
      <c r="AX223" s="26"/>
      <c r="AY223" s="26"/>
      <c r="AZ223" s="26"/>
      <c r="BA223" s="26"/>
      <c r="BB223" s="26"/>
      <c r="BC223" s="26"/>
      <c r="BD223" s="27"/>
    </row>
    <row r="224" spans="1:56" ht="15" customHeight="1">
      <c r="A224" s="9"/>
      <c r="B224" s="9"/>
      <c r="C224" s="9"/>
      <c r="D224" s="9"/>
      <c r="E224" s="9"/>
      <c r="F224" s="24"/>
      <c r="G224" s="9"/>
      <c r="H224" s="24"/>
      <c r="I224" s="9"/>
      <c r="J224" s="24"/>
      <c r="K224" s="9"/>
      <c r="L224" s="24"/>
      <c r="M224" s="9"/>
      <c r="N224" s="24"/>
      <c r="O224" s="9"/>
      <c r="P224" s="24"/>
      <c r="Q224" s="9"/>
      <c r="R224" s="24"/>
      <c r="S224" s="9"/>
      <c r="T224" s="24"/>
      <c r="U224" s="9"/>
      <c r="V224" s="24"/>
      <c r="W224" s="9"/>
      <c r="X224" s="24"/>
      <c r="Y224" s="9"/>
      <c r="Z224" s="24"/>
      <c r="AA224" s="9"/>
      <c r="AB224" s="24"/>
      <c r="AC224" s="9"/>
      <c r="AD224" s="24"/>
      <c r="AE224" s="9"/>
      <c r="AF224" s="24"/>
      <c r="AG224" s="9"/>
      <c r="AH224" s="24"/>
      <c r="AI224" s="9"/>
      <c r="AJ224" s="24"/>
      <c r="AK224" s="9"/>
      <c r="AL224" s="24"/>
      <c r="AM224" s="9"/>
      <c r="AN224" s="24"/>
      <c r="AO224" s="9"/>
      <c r="AP224" s="24"/>
      <c r="AQ224" s="9"/>
      <c r="AR224" s="24"/>
      <c r="AS224" s="25"/>
      <c r="AT224" s="25"/>
      <c r="AU224" s="25"/>
      <c r="AV224" s="26"/>
      <c r="AW224" s="26"/>
      <c r="AX224" s="26"/>
      <c r="AY224" s="26"/>
      <c r="AZ224" s="26"/>
      <c r="BA224" s="26"/>
      <c r="BB224" s="26"/>
      <c r="BC224" s="26"/>
      <c r="BD224" s="27"/>
    </row>
    <row r="225" spans="1:56" ht="15" customHeight="1">
      <c r="A225" s="28"/>
      <c r="B225" s="28"/>
      <c r="C225" s="28"/>
      <c r="D225" s="28"/>
      <c r="E225" s="28"/>
      <c r="F225" s="29"/>
      <c r="G225" s="28"/>
      <c r="H225" s="29"/>
      <c r="I225" s="28"/>
      <c r="J225" s="29"/>
      <c r="K225" s="28"/>
      <c r="L225" s="29"/>
      <c r="M225" s="28"/>
      <c r="N225" s="29"/>
      <c r="O225" s="28"/>
      <c r="P225" s="29"/>
      <c r="Q225" s="28"/>
      <c r="R225" s="29"/>
      <c r="S225" s="28"/>
      <c r="T225" s="29"/>
      <c r="U225" s="28"/>
      <c r="V225" s="29"/>
      <c r="W225" s="28"/>
      <c r="X225" s="29"/>
      <c r="Y225" s="28"/>
      <c r="Z225" s="29"/>
      <c r="AA225" s="28"/>
      <c r="AB225" s="29"/>
      <c r="AC225" s="28"/>
      <c r="AD225" s="29"/>
      <c r="AE225" s="28"/>
      <c r="AF225" s="29"/>
      <c r="AG225" s="28"/>
      <c r="AH225" s="29"/>
      <c r="AI225" s="28"/>
      <c r="AJ225" s="29"/>
      <c r="AK225" s="28"/>
      <c r="AL225" s="29"/>
      <c r="AM225" s="28"/>
      <c r="AN225" s="29"/>
      <c r="AO225" s="28"/>
      <c r="AP225" s="29"/>
      <c r="AQ225" s="28"/>
      <c r="AR225" s="29"/>
      <c r="AS225" s="25"/>
      <c r="AT225" s="25"/>
      <c r="AU225" s="25"/>
      <c r="AV225" s="26"/>
      <c r="AW225" s="26"/>
      <c r="AX225" s="26"/>
      <c r="AY225" s="26"/>
      <c r="AZ225" s="26"/>
      <c r="BA225" s="26"/>
      <c r="BB225" s="26"/>
      <c r="BC225" s="26"/>
      <c r="BD225" s="27"/>
    </row>
    <row r="226" spans="1:56" ht="15" customHeight="1">
      <c r="A226" s="9"/>
      <c r="B226" s="9"/>
      <c r="C226" s="9"/>
      <c r="D226" s="9"/>
      <c r="E226" s="9"/>
      <c r="F226" s="24"/>
      <c r="G226" s="9"/>
      <c r="H226" s="24"/>
      <c r="I226" s="9"/>
      <c r="J226" s="24"/>
      <c r="K226" s="9"/>
      <c r="L226" s="24"/>
      <c r="M226" s="9"/>
      <c r="N226" s="24"/>
      <c r="O226" s="9"/>
      <c r="P226" s="24"/>
      <c r="Q226" s="9"/>
      <c r="R226" s="24"/>
      <c r="S226" s="9"/>
      <c r="T226" s="24"/>
      <c r="U226" s="9"/>
      <c r="V226" s="24"/>
      <c r="W226" s="9"/>
      <c r="X226" s="24"/>
      <c r="Y226" s="9"/>
      <c r="Z226" s="24"/>
      <c r="AA226" s="9"/>
      <c r="AB226" s="24"/>
      <c r="AC226" s="9"/>
      <c r="AD226" s="24"/>
      <c r="AE226" s="9"/>
      <c r="AF226" s="24"/>
      <c r="AG226" s="9"/>
      <c r="AH226" s="24"/>
      <c r="AI226" s="9"/>
      <c r="AJ226" s="24"/>
      <c r="AK226" s="9"/>
      <c r="AL226" s="24"/>
      <c r="AM226" s="9"/>
      <c r="AN226" s="24"/>
      <c r="AO226" s="9"/>
      <c r="AP226" s="24"/>
      <c r="AQ226" s="9"/>
      <c r="AR226" s="24"/>
      <c r="AS226" s="25"/>
      <c r="AT226" s="25"/>
      <c r="AU226" s="25"/>
      <c r="AV226" s="26"/>
      <c r="AW226" s="26"/>
      <c r="AX226" s="26"/>
      <c r="AY226" s="26"/>
      <c r="AZ226" s="26"/>
      <c r="BA226" s="26"/>
      <c r="BB226" s="26"/>
      <c r="BC226" s="26"/>
      <c r="BD226" s="27"/>
    </row>
    <row r="227" spans="1:56" ht="15" customHeight="1">
      <c r="A227" s="28"/>
      <c r="B227" s="28"/>
      <c r="C227" s="28"/>
      <c r="D227" s="28"/>
      <c r="E227" s="28"/>
      <c r="F227" s="29"/>
      <c r="G227" s="28"/>
      <c r="H227" s="29"/>
      <c r="I227" s="28"/>
      <c r="J227" s="29"/>
      <c r="K227" s="28"/>
      <c r="L227" s="29"/>
      <c r="M227" s="28"/>
      <c r="N227" s="29"/>
      <c r="O227" s="28"/>
      <c r="P227" s="29"/>
      <c r="Q227" s="28"/>
      <c r="R227" s="29"/>
      <c r="S227" s="28"/>
      <c r="T227" s="29"/>
      <c r="U227" s="28"/>
      <c r="V227" s="29"/>
      <c r="W227" s="28"/>
      <c r="X227" s="29"/>
      <c r="Y227" s="28"/>
      <c r="Z227" s="29"/>
      <c r="AA227" s="28"/>
      <c r="AB227" s="29"/>
      <c r="AC227" s="28"/>
      <c r="AD227" s="29"/>
      <c r="AE227" s="28"/>
      <c r="AF227" s="29"/>
      <c r="AG227" s="28"/>
      <c r="AH227" s="29"/>
      <c r="AI227" s="28"/>
      <c r="AJ227" s="29"/>
      <c r="AK227" s="28"/>
      <c r="AL227" s="29"/>
      <c r="AM227" s="28"/>
      <c r="AN227" s="29"/>
      <c r="AO227" s="28"/>
      <c r="AP227" s="29"/>
      <c r="AQ227" s="28"/>
      <c r="AR227" s="29"/>
      <c r="AS227" s="25"/>
      <c r="AT227" s="25"/>
      <c r="AU227" s="25"/>
      <c r="AV227" s="26"/>
      <c r="AW227" s="26"/>
      <c r="AX227" s="26"/>
      <c r="AY227" s="26"/>
      <c r="AZ227" s="26"/>
      <c r="BA227" s="26"/>
      <c r="BB227" s="26"/>
      <c r="BC227" s="26"/>
      <c r="BD227" s="27"/>
    </row>
    <row r="228" spans="1:56" ht="15" customHeight="1">
      <c r="A228" s="9"/>
      <c r="B228" s="9"/>
      <c r="C228" s="9"/>
      <c r="D228" s="9"/>
      <c r="E228" s="9"/>
      <c r="F228" s="24"/>
      <c r="G228" s="9"/>
      <c r="H228" s="24"/>
      <c r="I228" s="9"/>
      <c r="J228" s="24"/>
      <c r="K228" s="9"/>
      <c r="L228" s="24"/>
      <c r="M228" s="9"/>
      <c r="N228" s="24"/>
      <c r="O228" s="9"/>
      <c r="P228" s="24"/>
      <c r="Q228" s="9"/>
      <c r="R228" s="24"/>
      <c r="S228" s="9"/>
      <c r="T228" s="24"/>
      <c r="U228" s="9"/>
      <c r="V228" s="24"/>
      <c r="W228" s="9"/>
      <c r="X228" s="24"/>
      <c r="Y228" s="9"/>
      <c r="Z228" s="24"/>
      <c r="AA228" s="9"/>
      <c r="AB228" s="24"/>
      <c r="AC228" s="9"/>
      <c r="AD228" s="24"/>
      <c r="AE228" s="9"/>
      <c r="AF228" s="24"/>
      <c r="AG228" s="9"/>
      <c r="AH228" s="24"/>
      <c r="AI228" s="9"/>
      <c r="AJ228" s="24"/>
      <c r="AK228" s="9"/>
      <c r="AL228" s="24"/>
      <c r="AM228" s="9"/>
      <c r="AN228" s="24"/>
      <c r="AO228" s="9"/>
      <c r="AP228" s="24"/>
      <c r="AQ228" s="9"/>
      <c r="AR228" s="24"/>
      <c r="AS228" s="25"/>
      <c r="AT228" s="25"/>
      <c r="AU228" s="25"/>
      <c r="AV228" s="26"/>
      <c r="AW228" s="26"/>
      <c r="AX228" s="26"/>
      <c r="AY228" s="26"/>
      <c r="AZ228" s="26"/>
      <c r="BA228" s="26"/>
      <c r="BB228" s="26"/>
      <c r="BC228" s="26"/>
      <c r="BD228" s="27"/>
    </row>
    <row r="229" spans="1:56" ht="15" customHeight="1">
      <c r="A229" s="28"/>
      <c r="B229" s="28"/>
      <c r="C229" s="28"/>
      <c r="D229" s="28"/>
      <c r="E229" s="28"/>
      <c r="F229" s="29"/>
      <c r="G229" s="28"/>
      <c r="H229" s="29"/>
      <c r="I229" s="28"/>
      <c r="J229" s="29"/>
      <c r="K229" s="28"/>
      <c r="L229" s="29"/>
      <c r="M229" s="28"/>
      <c r="N229" s="29"/>
      <c r="O229" s="28"/>
      <c r="P229" s="29"/>
      <c r="Q229" s="28"/>
      <c r="R229" s="29"/>
      <c r="S229" s="28"/>
      <c r="T229" s="29"/>
      <c r="U229" s="28"/>
      <c r="V229" s="29"/>
      <c r="W229" s="28"/>
      <c r="X229" s="29"/>
      <c r="Y229" s="28"/>
      <c r="Z229" s="29"/>
      <c r="AA229" s="28"/>
      <c r="AB229" s="29"/>
      <c r="AC229" s="28"/>
      <c r="AD229" s="29"/>
      <c r="AE229" s="28"/>
      <c r="AF229" s="29"/>
      <c r="AG229" s="28"/>
      <c r="AH229" s="29"/>
      <c r="AI229" s="28"/>
      <c r="AJ229" s="29"/>
      <c r="AK229" s="28"/>
      <c r="AL229" s="29"/>
      <c r="AM229" s="28"/>
      <c r="AN229" s="29"/>
      <c r="AO229" s="28"/>
      <c r="AP229" s="29"/>
      <c r="AQ229" s="28"/>
      <c r="AR229" s="29"/>
      <c r="AS229" s="25"/>
      <c r="AT229" s="25"/>
      <c r="AU229" s="25"/>
      <c r="AV229" s="26"/>
      <c r="AW229" s="26"/>
      <c r="AX229" s="26"/>
      <c r="AY229" s="26"/>
      <c r="AZ229" s="26"/>
      <c r="BA229" s="26"/>
      <c r="BB229" s="26"/>
      <c r="BC229" s="26"/>
      <c r="BD229" s="27"/>
    </row>
    <row r="230" spans="1:56" ht="15" customHeight="1">
      <c r="A230" s="9"/>
      <c r="B230" s="9"/>
      <c r="C230" s="9"/>
      <c r="D230" s="9"/>
      <c r="E230" s="9"/>
      <c r="F230" s="24"/>
      <c r="G230" s="9"/>
      <c r="H230" s="24"/>
      <c r="I230" s="9"/>
      <c r="J230" s="24"/>
      <c r="K230" s="9"/>
      <c r="L230" s="24"/>
      <c r="M230" s="9"/>
      <c r="N230" s="24"/>
      <c r="O230" s="9"/>
      <c r="P230" s="24"/>
      <c r="Q230" s="9"/>
      <c r="R230" s="24"/>
      <c r="S230" s="9"/>
      <c r="T230" s="24"/>
      <c r="U230" s="9"/>
      <c r="V230" s="24"/>
      <c r="W230" s="9"/>
      <c r="X230" s="24"/>
      <c r="Y230" s="9"/>
      <c r="Z230" s="24"/>
      <c r="AA230" s="9"/>
      <c r="AB230" s="24"/>
      <c r="AC230" s="9"/>
      <c r="AD230" s="24"/>
      <c r="AE230" s="9"/>
      <c r="AF230" s="24"/>
      <c r="AG230" s="9"/>
      <c r="AH230" s="24"/>
      <c r="AI230" s="9"/>
      <c r="AJ230" s="24"/>
      <c r="AK230" s="9"/>
      <c r="AL230" s="24"/>
      <c r="AM230" s="9"/>
      <c r="AN230" s="24"/>
      <c r="AO230" s="9"/>
      <c r="AP230" s="24"/>
      <c r="AQ230" s="9"/>
      <c r="AR230" s="24"/>
      <c r="AS230" s="25"/>
      <c r="AT230" s="25"/>
      <c r="AU230" s="25"/>
      <c r="AV230" s="26"/>
      <c r="AW230" s="26"/>
      <c r="AX230" s="26"/>
      <c r="AY230" s="26"/>
      <c r="AZ230" s="26"/>
      <c r="BA230" s="26"/>
      <c r="BB230" s="26"/>
      <c r="BC230" s="26"/>
      <c r="BD230" s="27"/>
    </row>
    <row r="231" spans="1:56" ht="15" customHeight="1">
      <c r="A231" s="28"/>
      <c r="B231" s="28"/>
      <c r="C231" s="28"/>
      <c r="D231" s="28"/>
      <c r="E231" s="28"/>
      <c r="F231" s="29"/>
      <c r="G231" s="28"/>
      <c r="H231" s="29"/>
      <c r="I231" s="28"/>
      <c r="J231" s="29"/>
      <c r="K231" s="28"/>
      <c r="L231" s="29"/>
      <c r="M231" s="28"/>
      <c r="N231" s="29"/>
      <c r="O231" s="28"/>
      <c r="P231" s="29"/>
      <c r="Q231" s="28"/>
      <c r="R231" s="29"/>
      <c r="S231" s="28"/>
      <c r="T231" s="29"/>
      <c r="U231" s="28"/>
      <c r="V231" s="29"/>
      <c r="W231" s="28"/>
      <c r="X231" s="29"/>
      <c r="Y231" s="28"/>
      <c r="Z231" s="29"/>
      <c r="AA231" s="28"/>
      <c r="AB231" s="29"/>
      <c r="AC231" s="28"/>
      <c r="AD231" s="29"/>
      <c r="AE231" s="28"/>
      <c r="AF231" s="29"/>
      <c r="AG231" s="28"/>
      <c r="AH231" s="29"/>
      <c r="AI231" s="28"/>
      <c r="AJ231" s="29"/>
      <c r="AK231" s="28"/>
      <c r="AL231" s="29"/>
      <c r="AM231" s="28"/>
      <c r="AN231" s="29"/>
      <c r="AO231" s="28"/>
      <c r="AP231" s="29"/>
      <c r="AQ231" s="28"/>
      <c r="AR231" s="29"/>
      <c r="AS231" s="25"/>
      <c r="AT231" s="25"/>
      <c r="AU231" s="25"/>
      <c r="AV231" s="26"/>
      <c r="AW231" s="26"/>
      <c r="AX231" s="26"/>
      <c r="AY231" s="26"/>
      <c r="AZ231" s="26"/>
      <c r="BA231" s="26"/>
      <c r="BB231" s="26"/>
      <c r="BC231" s="26"/>
      <c r="BD231" s="27"/>
    </row>
    <row r="232" spans="1:56" ht="15" customHeight="1">
      <c r="A232" s="9"/>
      <c r="B232" s="9"/>
      <c r="C232" s="9"/>
      <c r="D232" s="9"/>
      <c r="E232" s="9"/>
      <c r="F232" s="24"/>
      <c r="G232" s="9"/>
      <c r="H232" s="24"/>
      <c r="I232" s="9"/>
      <c r="J232" s="24"/>
      <c r="K232" s="9"/>
      <c r="L232" s="24"/>
      <c r="M232" s="9"/>
      <c r="N232" s="24"/>
      <c r="O232" s="9"/>
      <c r="P232" s="24"/>
      <c r="Q232" s="9"/>
      <c r="R232" s="24"/>
      <c r="S232" s="9"/>
      <c r="T232" s="24"/>
      <c r="U232" s="9"/>
      <c r="V232" s="24"/>
      <c r="W232" s="9"/>
      <c r="X232" s="24"/>
      <c r="Y232" s="9"/>
      <c r="Z232" s="24"/>
      <c r="AA232" s="9"/>
      <c r="AB232" s="24"/>
      <c r="AC232" s="9"/>
      <c r="AD232" s="24"/>
      <c r="AE232" s="9"/>
      <c r="AF232" s="24"/>
      <c r="AG232" s="9"/>
      <c r="AH232" s="24"/>
      <c r="AI232" s="9"/>
      <c r="AJ232" s="24"/>
      <c r="AK232" s="9"/>
      <c r="AL232" s="24"/>
      <c r="AM232" s="9"/>
      <c r="AN232" s="24"/>
      <c r="AO232" s="9"/>
      <c r="AP232" s="24"/>
      <c r="AQ232" s="9"/>
      <c r="AR232" s="24"/>
      <c r="AS232" s="25"/>
      <c r="AT232" s="25"/>
      <c r="AU232" s="25"/>
      <c r="AV232" s="26"/>
      <c r="AW232" s="26"/>
      <c r="AX232" s="26"/>
      <c r="AY232" s="26"/>
      <c r="AZ232" s="26"/>
      <c r="BA232" s="26"/>
      <c r="BB232" s="26"/>
      <c r="BC232" s="26"/>
      <c r="BD232" s="27"/>
    </row>
    <row r="233" spans="1:56" ht="15" customHeight="1">
      <c r="A233" s="28"/>
      <c r="B233" s="28"/>
      <c r="C233" s="28"/>
      <c r="D233" s="28"/>
      <c r="E233" s="28"/>
      <c r="F233" s="29"/>
      <c r="G233" s="28"/>
      <c r="H233" s="29"/>
      <c r="I233" s="28"/>
      <c r="J233" s="29"/>
      <c r="K233" s="28"/>
      <c r="L233" s="29"/>
      <c r="M233" s="28"/>
      <c r="N233" s="29"/>
      <c r="O233" s="28"/>
      <c r="P233" s="29"/>
      <c r="Q233" s="28"/>
      <c r="R233" s="29"/>
      <c r="S233" s="28"/>
      <c r="T233" s="29"/>
      <c r="U233" s="28"/>
      <c r="V233" s="29"/>
      <c r="W233" s="28"/>
      <c r="X233" s="29"/>
      <c r="Y233" s="28"/>
      <c r="Z233" s="29"/>
      <c r="AA233" s="28"/>
      <c r="AB233" s="29"/>
      <c r="AC233" s="28"/>
      <c r="AD233" s="29"/>
      <c r="AE233" s="28"/>
      <c r="AF233" s="29"/>
      <c r="AG233" s="28"/>
      <c r="AH233" s="29"/>
      <c r="AI233" s="28"/>
      <c r="AJ233" s="29"/>
      <c r="AK233" s="28"/>
      <c r="AL233" s="29"/>
      <c r="AM233" s="28"/>
      <c r="AN233" s="29"/>
      <c r="AO233" s="28"/>
      <c r="AP233" s="29"/>
      <c r="AQ233" s="28"/>
      <c r="AR233" s="29"/>
      <c r="AS233" s="25"/>
      <c r="AT233" s="25"/>
      <c r="AU233" s="25"/>
      <c r="AV233" s="26"/>
      <c r="AW233" s="26"/>
      <c r="AX233" s="26"/>
      <c r="AY233" s="26"/>
      <c r="AZ233" s="26"/>
      <c r="BA233" s="26"/>
      <c r="BB233" s="26"/>
      <c r="BC233" s="26"/>
      <c r="BD233" s="27"/>
    </row>
    <row r="234" spans="1:56" ht="15" customHeight="1">
      <c r="A234" s="9"/>
      <c r="B234" s="9"/>
      <c r="C234" s="9"/>
      <c r="D234" s="9"/>
      <c r="E234" s="9"/>
      <c r="F234" s="24"/>
      <c r="G234" s="9"/>
      <c r="H234" s="24"/>
      <c r="I234" s="9"/>
      <c r="J234" s="24"/>
      <c r="K234" s="9"/>
      <c r="L234" s="24"/>
      <c r="M234" s="9"/>
      <c r="N234" s="24"/>
      <c r="O234" s="9"/>
      <c r="P234" s="24"/>
      <c r="Q234" s="9"/>
      <c r="R234" s="24"/>
      <c r="S234" s="9"/>
      <c r="T234" s="24"/>
      <c r="U234" s="9"/>
      <c r="V234" s="24"/>
      <c r="W234" s="9"/>
      <c r="X234" s="24"/>
      <c r="Y234" s="9"/>
      <c r="Z234" s="24"/>
      <c r="AA234" s="9"/>
      <c r="AB234" s="24"/>
      <c r="AC234" s="9"/>
      <c r="AD234" s="24"/>
      <c r="AE234" s="9"/>
      <c r="AF234" s="24"/>
      <c r="AG234" s="9"/>
      <c r="AH234" s="24"/>
      <c r="AI234" s="9"/>
      <c r="AJ234" s="24"/>
      <c r="AK234" s="9"/>
      <c r="AL234" s="24"/>
      <c r="AM234" s="9"/>
      <c r="AN234" s="24"/>
      <c r="AO234" s="9"/>
      <c r="AP234" s="24"/>
      <c r="AQ234" s="9"/>
      <c r="AR234" s="24"/>
      <c r="AS234" s="25"/>
      <c r="AT234" s="25"/>
      <c r="AU234" s="25"/>
      <c r="AV234" s="26"/>
      <c r="AW234" s="26"/>
      <c r="AX234" s="26"/>
      <c r="AY234" s="26"/>
      <c r="AZ234" s="26"/>
      <c r="BA234" s="26"/>
      <c r="BB234" s="26"/>
      <c r="BC234" s="26"/>
      <c r="BD234" s="27"/>
    </row>
    <row r="235" spans="1:56" ht="15" customHeight="1">
      <c r="A235" s="28"/>
      <c r="B235" s="28"/>
      <c r="C235" s="28"/>
      <c r="D235" s="28"/>
      <c r="E235" s="28"/>
      <c r="F235" s="29"/>
      <c r="G235" s="28"/>
      <c r="H235" s="29"/>
      <c r="I235" s="28"/>
      <c r="J235" s="29"/>
      <c r="K235" s="28"/>
      <c r="L235" s="29"/>
      <c r="M235" s="28"/>
      <c r="N235" s="29"/>
      <c r="O235" s="28"/>
      <c r="P235" s="29"/>
      <c r="Q235" s="28"/>
      <c r="R235" s="29"/>
      <c r="S235" s="28"/>
      <c r="T235" s="29"/>
      <c r="U235" s="28"/>
      <c r="V235" s="29"/>
      <c r="W235" s="28"/>
      <c r="X235" s="29"/>
      <c r="Y235" s="28"/>
      <c r="Z235" s="29"/>
      <c r="AA235" s="28"/>
      <c r="AB235" s="29"/>
      <c r="AC235" s="28"/>
      <c r="AD235" s="29"/>
      <c r="AE235" s="28"/>
      <c r="AF235" s="29"/>
      <c r="AG235" s="28"/>
      <c r="AH235" s="29"/>
      <c r="AI235" s="28"/>
      <c r="AJ235" s="29"/>
      <c r="AK235" s="28"/>
      <c r="AL235" s="29"/>
      <c r="AM235" s="28"/>
      <c r="AN235" s="29"/>
      <c r="AO235" s="28"/>
      <c r="AP235" s="29"/>
      <c r="AQ235" s="28"/>
      <c r="AR235" s="29"/>
      <c r="AS235" s="25"/>
      <c r="AT235" s="25"/>
      <c r="AU235" s="25"/>
      <c r="AV235" s="26"/>
      <c r="AW235" s="26"/>
      <c r="AX235" s="26"/>
      <c r="AY235" s="26"/>
      <c r="AZ235" s="26"/>
      <c r="BA235" s="26"/>
      <c r="BB235" s="26"/>
      <c r="BC235" s="26"/>
      <c r="BD235" s="27"/>
    </row>
    <row r="236" spans="1:56" ht="15" customHeight="1">
      <c r="A236" s="9"/>
      <c r="B236" s="9"/>
      <c r="C236" s="9"/>
      <c r="D236" s="9"/>
      <c r="E236" s="9"/>
      <c r="F236" s="24"/>
      <c r="G236" s="9"/>
      <c r="H236" s="24"/>
      <c r="I236" s="9"/>
      <c r="J236" s="24"/>
      <c r="K236" s="9"/>
      <c r="L236" s="24"/>
      <c r="M236" s="9"/>
      <c r="N236" s="24"/>
      <c r="O236" s="9"/>
      <c r="P236" s="24"/>
      <c r="Q236" s="9"/>
      <c r="R236" s="24"/>
      <c r="S236" s="9"/>
      <c r="T236" s="24"/>
      <c r="U236" s="9"/>
      <c r="V236" s="24"/>
      <c r="W236" s="9"/>
      <c r="X236" s="24"/>
      <c r="Y236" s="9"/>
      <c r="Z236" s="24"/>
      <c r="AA236" s="9"/>
      <c r="AB236" s="24"/>
      <c r="AC236" s="9"/>
      <c r="AD236" s="24"/>
      <c r="AE236" s="9"/>
      <c r="AF236" s="24"/>
      <c r="AG236" s="9"/>
      <c r="AH236" s="24"/>
      <c r="AI236" s="9"/>
      <c r="AJ236" s="24"/>
      <c r="AK236" s="9"/>
      <c r="AL236" s="24"/>
      <c r="AM236" s="9"/>
      <c r="AN236" s="24"/>
      <c r="AO236" s="9"/>
      <c r="AP236" s="24"/>
      <c r="AQ236" s="9"/>
      <c r="AR236" s="24"/>
      <c r="AS236" s="25"/>
      <c r="AT236" s="25"/>
      <c r="AU236" s="25"/>
      <c r="AV236" s="26"/>
      <c r="AW236" s="26"/>
      <c r="AX236" s="26"/>
      <c r="AY236" s="26"/>
      <c r="AZ236" s="26"/>
      <c r="BA236" s="26"/>
      <c r="BB236" s="26"/>
      <c r="BC236" s="26"/>
      <c r="BD236" s="27"/>
    </row>
    <row r="237" spans="1:56" ht="15" customHeight="1">
      <c r="A237" s="28"/>
      <c r="B237" s="28"/>
      <c r="C237" s="28"/>
      <c r="D237" s="28"/>
      <c r="E237" s="28"/>
      <c r="F237" s="29"/>
      <c r="G237" s="28"/>
      <c r="H237" s="29"/>
      <c r="I237" s="28"/>
      <c r="J237" s="29"/>
      <c r="K237" s="28"/>
      <c r="L237" s="29"/>
      <c r="M237" s="28"/>
      <c r="N237" s="29"/>
      <c r="O237" s="28"/>
      <c r="P237" s="29"/>
      <c r="Q237" s="28"/>
      <c r="R237" s="29"/>
      <c r="S237" s="28"/>
      <c r="T237" s="29"/>
      <c r="U237" s="28"/>
      <c r="V237" s="29"/>
      <c r="W237" s="28"/>
      <c r="X237" s="29"/>
      <c r="Y237" s="28"/>
      <c r="Z237" s="29"/>
      <c r="AA237" s="28"/>
      <c r="AB237" s="29"/>
      <c r="AC237" s="28"/>
      <c r="AD237" s="29"/>
      <c r="AE237" s="28"/>
      <c r="AF237" s="29"/>
      <c r="AG237" s="28"/>
      <c r="AH237" s="29"/>
      <c r="AI237" s="28"/>
      <c r="AJ237" s="29"/>
      <c r="AK237" s="28"/>
      <c r="AL237" s="29"/>
      <c r="AM237" s="28"/>
      <c r="AN237" s="29"/>
      <c r="AO237" s="28"/>
      <c r="AP237" s="29"/>
      <c r="AQ237" s="28"/>
      <c r="AR237" s="29"/>
      <c r="AS237" s="25"/>
      <c r="AT237" s="25"/>
      <c r="AU237" s="25"/>
      <c r="AV237" s="26"/>
      <c r="AW237" s="26"/>
      <c r="AX237" s="26"/>
      <c r="AY237" s="26"/>
      <c r="AZ237" s="26"/>
      <c r="BA237" s="26"/>
      <c r="BB237" s="26"/>
      <c r="BC237" s="26"/>
      <c r="BD237" s="27"/>
    </row>
    <row r="238" spans="1:56" ht="15" customHeight="1">
      <c r="A238" s="9"/>
      <c r="B238" s="9"/>
      <c r="C238" s="9"/>
      <c r="D238" s="9"/>
      <c r="E238" s="9"/>
      <c r="F238" s="24"/>
      <c r="G238" s="9"/>
      <c r="H238" s="24"/>
      <c r="I238" s="9"/>
      <c r="J238" s="24"/>
      <c r="K238" s="9"/>
      <c r="L238" s="24"/>
      <c r="M238" s="9"/>
      <c r="N238" s="24"/>
      <c r="O238" s="9"/>
      <c r="P238" s="24"/>
      <c r="Q238" s="9"/>
      <c r="R238" s="24"/>
      <c r="S238" s="9"/>
      <c r="T238" s="24"/>
      <c r="U238" s="9"/>
      <c r="V238" s="24"/>
      <c r="W238" s="9"/>
      <c r="X238" s="24"/>
      <c r="Y238" s="9"/>
      <c r="Z238" s="24"/>
      <c r="AA238" s="9"/>
      <c r="AB238" s="24"/>
      <c r="AC238" s="9"/>
      <c r="AD238" s="24"/>
      <c r="AE238" s="9"/>
      <c r="AF238" s="24"/>
      <c r="AG238" s="9"/>
      <c r="AH238" s="24"/>
      <c r="AI238" s="9"/>
      <c r="AJ238" s="24"/>
      <c r="AK238" s="9"/>
      <c r="AL238" s="24"/>
      <c r="AM238" s="9"/>
      <c r="AN238" s="24"/>
      <c r="AO238" s="9"/>
      <c r="AP238" s="24"/>
      <c r="AQ238" s="9"/>
      <c r="AR238" s="24"/>
      <c r="AS238" s="25"/>
      <c r="AT238" s="25"/>
      <c r="AU238" s="25"/>
      <c r="AV238" s="26"/>
      <c r="AW238" s="26"/>
      <c r="AX238" s="26"/>
      <c r="AY238" s="26"/>
      <c r="AZ238" s="26"/>
      <c r="BA238" s="26"/>
      <c r="BB238" s="26"/>
      <c r="BC238" s="26"/>
      <c r="BD238" s="27"/>
    </row>
    <row r="239" spans="1:56" ht="15" customHeight="1">
      <c r="A239" s="28"/>
      <c r="B239" s="28"/>
      <c r="C239" s="28"/>
      <c r="D239" s="28"/>
      <c r="E239" s="28"/>
      <c r="F239" s="29"/>
      <c r="G239" s="28"/>
      <c r="H239" s="29"/>
      <c r="I239" s="28"/>
      <c r="J239" s="29"/>
      <c r="K239" s="28"/>
      <c r="L239" s="29"/>
      <c r="M239" s="28"/>
      <c r="N239" s="29"/>
      <c r="O239" s="28"/>
      <c r="P239" s="29"/>
      <c r="Q239" s="28"/>
      <c r="R239" s="29"/>
      <c r="S239" s="28"/>
      <c r="T239" s="29"/>
      <c r="U239" s="28"/>
      <c r="V239" s="29"/>
      <c r="W239" s="28"/>
      <c r="X239" s="29"/>
      <c r="Y239" s="28"/>
      <c r="Z239" s="29"/>
      <c r="AA239" s="28"/>
      <c r="AB239" s="29"/>
      <c r="AC239" s="28"/>
      <c r="AD239" s="29"/>
      <c r="AE239" s="28"/>
      <c r="AF239" s="29"/>
      <c r="AG239" s="28"/>
      <c r="AH239" s="29"/>
      <c r="AI239" s="28"/>
      <c r="AJ239" s="29"/>
      <c r="AK239" s="28"/>
      <c r="AL239" s="29"/>
      <c r="AM239" s="28"/>
      <c r="AN239" s="29"/>
      <c r="AO239" s="28"/>
      <c r="AP239" s="29"/>
      <c r="AQ239" s="28"/>
      <c r="AR239" s="29"/>
      <c r="AS239" s="25"/>
      <c r="AT239" s="25"/>
      <c r="AU239" s="25"/>
      <c r="AV239" s="26"/>
      <c r="AW239" s="26"/>
      <c r="AX239" s="26"/>
      <c r="AY239" s="26"/>
      <c r="AZ239" s="26"/>
      <c r="BA239" s="26"/>
      <c r="BB239" s="26"/>
      <c r="BC239" s="26"/>
      <c r="BD239" s="27"/>
    </row>
    <row r="240" spans="1:56" ht="15" customHeight="1">
      <c r="A240" s="9"/>
      <c r="B240" s="9"/>
      <c r="C240" s="9"/>
      <c r="D240" s="9"/>
      <c r="E240" s="9"/>
      <c r="F240" s="24"/>
      <c r="G240" s="9"/>
      <c r="H240" s="24"/>
      <c r="I240" s="9"/>
      <c r="J240" s="24"/>
      <c r="K240" s="9"/>
      <c r="L240" s="24"/>
      <c r="M240" s="9"/>
      <c r="N240" s="24"/>
      <c r="O240" s="9"/>
      <c r="P240" s="24"/>
      <c r="Q240" s="9"/>
      <c r="R240" s="24"/>
      <c r="S240" s="9"/>
      <c r="T240" s="24"/>
      <c r="U240" s="9"/>
      <c r="V240" s="24"/>
      <c r="W240" s="9"/>
      <c r="X240" s="24"/>
      <c r="Y240" s="9"/>
      <c r="Z240" s="24"/>
      <c r="AA240" s="9"/>
      <c r="AB240" s="24"/>
      <c r="AC240" s="9"/>
      <c r="AD240" s="24"/>
      <c r="AE240" s="9"/>
      <c r="AF240" s="24"/>
      <c r="AG240" s="9"/>
      <c r="AH240" s="24"/>
      <c r="AI240" s="9"/>
      <c r="AJ240" s="24"/>
      <c r="AK240" s="9"/>
      <c r="AL240" s="24"/>
      <c r="AM240" s="9"/>
      <c r="AN240" s="24"/>
      <c r="AO240" s="9"/>
      <c r="AP240" s="24"/>
      <c r="AQ240" s="9"/>
      <c r="AR240" s="24"/>
      <c r="AS240" s="25"/>
      <c r="AT240" s="25"/>
      <c r="AU240" s="25"/>
      <c r="AV240" s="26"/>
      <c r="AW240" s="26"/>
      <c r="AX240" s="26"/>
      <c r="AY240" s="26"/>
      <c r="AZ240" s="26"/>
      <c r="BA240" s="26"/>
      <c r="BB240" s="26"/>
      <c r="BC240" s="26"/>
      <c r="BD240" s="27"/>
    </row>
    <row r="241" spans="1:56" ht="15" customHeight="1">
      <c r="A241" s="28"/>
      <c r="B241" s="28"/>
      <c r="C241" s="28"/>
      <c r="D241" s="28"/>
      <c r="E241" s="28"/>
      <c r="F241" s="29"/>
      <c r="G241" s="28"/>
      <c r="H241" s="29"/>
      <c r="I241" s="28"/>
      <c r="J241" s="29"/>
      <c r="K241" s="28"/>
      <c r="L241" s="29"/>
      <c r="M241" s="28"/>
      <c r="N241" s="29"/>
      <c r="O241" s="28"/>
      <c r="P241" s="29"/>
      <c r="Q241" s="28"/>
      <c r="R241" s="29"/>
      <c r="S241" s="28"/>
      <c r="T241" s="29"/>
      <c r="U241" s="28"/>
      <c r="V241" s="29"/>
      <c r="W241" s="28"/>
      <c r="X241" s="29"/>
      <c r="Y241" s="28"/>
      <c r="Z241" s="29"/>
      <c r="AA241" s="28"/>
      <c r="AB241" s="29"/>
      <c r="AC241" s="28"/>
      <c r="AD241" s="29"/>
      <c r="AE241" s="28"/>
      <c r="AF241" s="29"/>
      <c r="AG241" s="28"/>
      <c r="AH241" s="29"/>
      <c r="AI241" s="28"/>
      <c r="AJ241" s="29"/>
      <c r="AK241" s="28"/>
      <c r="AL241" s="29"/>
      <c r="AM241" s="28"/>
      <c r="AN241" s="29"/>
      <c r="AO241" s="28"/>
      <c r="AP241" s="29"/>
      <c r="AQ241" s="28"/>
      <c r="AR241" s="29"/>
      <c r="AS241" s="25"/>
      <c r="AT241" s="25"/>
      <c r="AU241" s="25"/>
      <c r="AV241" s="26"/>
      <c r="AW241" s="26"/>
      <c r="AX241" s="26"/>
      <c r="AY241" s="26"/>
      <c r="AZ241" s="26"/>
      <c r="BA241" s="26"/>
      <c r="BB241" s="26"/>
      <c r="BC241" s="26"/>
      <c r="BD241" s="27"/>
    </row>
    <row r="242" spans="1:56" ht="15" customHeight="1">
      <c r="A242" s="9"/>
      <c r="B242" s="9"/>
      <c r="C242" s="9"/>
      <c r="D242" s="9"/>
      <c r="E242" s="9"/>
      <c r="F242" s="24"/>
      <c r="G242" s="9"/>
      <c r="H242" s="24"/>
      <c r="I242" s="9"/>
      <c r="J242" s="24"/>
      <c r="K242" s="9"/>
      <c r="L242" s="24"/>
      <c r="M242" s="9"/>
      <c r="N242" s="24"/>
      <c r="O242" s="9"/>
      <c r="P242" s="24"/>
      <c r="Q242" s="9"/>
      <c r="R242" s="24"/>
      <c r="S242" s="9"/>
      <c r="T242" s="24"/>
      <c r="U242" s="9"/>
      <c r="V242" s="24"/>
      <c r="W242" s="9"/>
      <c r="X242" s="24"/>
      <c r="Y242" s="9"/>
      <c r="Z242" s="24"/>
      <c r="AA242" s="9"/>
      <c r="AB242" s="24"/>
      <c r="AC242" s="9"/>
      <c r="AD242" s="24"/>
      <c r="AE242" s="9"/>
      <c r="AF242" s="24"/>
      <c r="AG242" s="9"/>
      <c r="AH242" s="24"/>
      <c r="AI242" s="9"/>
      <c r="AJ242" s="24"/>
      <c r="AK242" s="9"/>
      <c r="AL242" s="24"/>
      <c r="AM242" s="9"/>
      <c r="AN242" s="24"/>
      <c r="AO242" s="9"/>
      <c r="AP242" s="24"/>
      <c r="AQ242" s="9"/>
      <c r="AR242" s="24"/>
      <c r="AS242" s="25"/>
      <c r="AT242" s="25"/>
      <c r="AU242" s="25"/>
      <c r="AV242" s="26"/>
      <c r="AW242" s="26"/>
      <c r="AX242" s="26"/>
      <c r="AY242" s="26"/>
      <c r="AZ242" s="26"/>
      <c r="BA242" s="26"/>
      <c r="BB242" s="26"/>
      <c r="BC242" s="26"/>
      <c r="BD242" s="27"/>
    </row>
    <row r="243" spans="1:56" ht="15" customHeight="1">
      <c r="A243" s="28"/>
      <c r="B243" s="28"/>
      <c r="C243" s="28"/>
      <c r="D243" s="28"/>
      <c r="E243" s="28"/>
      <c r="F243" s="29"/>
      <c r="G243" s="28"/>
      <c r="H243" s="29"/>
      <c r="I243" s="28"/>
      <c r="J243" s="29"/>
      <c r="K243" s="28"/>
      <c r="L243" s="29"/>
      <c r="M243" s="28"/>
      <c r="N243" s="29"/>
      <c r="O243" s="28"/>
      <c r="P243" s="29"/>
      <c r="Q243" s="28"/>
      <c r="R243" s="29"/>
      <c r="S243" s="28"/>
      <c r="T243" s="29"/>
      <c r="U243" s="28"/>
      <c r="V243" s="29"/>
      <c r="W243" s="28"/>
      <c r="X243" s="29"/>
      <c r="Y243" s="28"/>
      <c r="Z243" s="29"/>
      <c r="AA243" s="28"/>
      <c r="AB243" s="29"/>
      <c r="AC243" s="28"/>
      <c r="AD243" s="29"/>
      <c r="AE243" s="28"/>
      <c r="AF243" s="29"/>
      <c r="AG243" s="28"/>
      <c r="AH243" s="29"/>
      <c r="AI243" s="28"/>
      <c r="AJ243" s="29"/>
      <c r="AK243" s="28"/>
      <c r="AL243" s="29"/>
      <c r="AM243" s="28"/>
      <c r="AN243" s="29"/>
      <c r="AO243" s="28"/>
      <c r="AP243" s="29"/>
      <c r="AQ243" s="28"/>
      <c r="AR243" s="29"/>
      <c r="AS243" s="25"/>
      <c r="AT243" s="25"/>
      <c r="AU243" s="25"/>
      <c r="AV243" s="26"/>
      <c r="AW243" s="26"/>
      <c r="AX243" s="26"/>
      <c r="AY243" s="26"/>
      <c r="AZ243" s="26"/>
      <c r="BA243" s="26"/>
      <c r="BB243" s="26"/>
      <c r="BC243" s="26"/>
      <c r="BD243" s="27"/>
    </row>
    <row r="244" spans="1:56" ht="15" customHeight="1">
      <c r="A244" s="9"/>
      <c r="B244" s="9"/>
      <c r="C244" s="9"/>
      <c r="D244" s="9"/>
      <c r="E244" s="9"/>
      <c r="F244" s="24"/>
      <c r="G244" s="9"/>
      <c r="H244" s="24"/>
      <c r="I244" s="9"/>
      <c r="J244" s="24"/>
      <c r="K244" s="9"/>
      <c r="L244" s="24"/>
      <c r="M244" s="9"/>
      <c r="N244" s="24"/>
      <c r="O244" s="9"/>
      <c r="P244" s="24"/>
      <c r="Q244" s="9"/>
      <c r="R244" s="24"/>
      <c r="S244" s="9"/>
      <c r="T244" s="24"/>
      <c r="U244" s="9"/>
      <c r="V244" s="24"/>
      <c r="W244" s="9"/>
      <c r="X244" s="24"/>
      <c r="Y244" s="9"/>
      <c r="Z244" s="24"/>
      <c r="AA244" s="9"/>
      <c r="AB244" s="24"/>
      <c r="AC244" s="9"/>
      <c r="AD244" s="24"/>
      <c r="AE244" s="9"/>
      <c r="AF244" s="24"/>
      <c r="AG244" s="9"/>
      <c r="AH244" s="24"/>
      <c r="AI244" s="9"/>
      <c r="AJ244" s="24"/>
      <c r="AK244" s="9"/>
      <c r="AL244" s="24"/>
      <c r="AM244" s="9"/>
      <c r="AN244" s="24"/>
      <c r="AO244" s="9"/>
      <c r="AP244" s="24"/>
      <c r="AQ244" s="9"/>
      <c r="AR244" s="24"/>
      <c r="AS244" s="25"/>
      <c r="AT244" s="25"/>
      <c r="AU244" s="25"/>
      <c r="AV244" s="26"/>
      <c r="AW244" s="26"/>
      <c r="AX244" s="26"/>
      <c r="AY244" s="26"/>
      <c r="AZ244" s="26"/>
      <c r="BA244" s="26"/>
      <c r="BB244" s="26"/>
      <c r="BC244" s="26"/>
      <c r="BD244" s="27"/>
    </row>
    <row r="245" spans="1:56" ht="15" customHeight="1">
      <c r="A245" s="28"/>
      <c r="B245" s="28"/>
      <c r="C245" s="28"/>
      <c r="D245" s="28"/>
      <c r="E245" s="28"/>
      <c r="F245" s="29"/>
      <c r="G245" s="28"/>
      <c r="H245" s="29"/>
      <c r="I245" s="28"/>
      <c r="J245" s="29"/>
      <c r="K245" s="28"/>
      <c r="L245" s="29"/>
      <c r="M245" s="28"/>
      <c r="N245" s="29"/>
      <c r="O245" s="28"/>
      <c r="P245" s="29"/>
      <c r="Q245" s="28"/>
      <c r="R245" s="29"/>
      <c r="S245" s="28"/>
      <c r="T245" s="29"/>
      <c r="U245" s="28"/>
      <c r="V245" s="29"/>
      <c r="W245" s="28"/>
      <c r="X245" s="29"/>
      <c r="Y245" s="28"/>
      <c r="Z245" s="29"/>
      <c r="AA245" s="28"/>
      <c r="AB245" s="29"/>
      <c r="AC245" s="28"/>
      <c r="AD245" s="29"/>
      <c r="AE245" s="28"/>
      <c r="AF245" s="29"/>
      <c r="AG245" s="28"/>
      <c r="AH245" s="29"/>
      <c r="AI245" s="28"/>
      <c r="AJ245" s="29"/>
      <c r="AK245" s="28"/>
      <c r="AL245" s="29"/>
      <c r="AM245" s="28"/>
      <c r="AN245" s="29"/>
      <c r="AO245" s="28"/>
      <c r="AP245" s="29"/>
      <c r="AQ245" s="28"/>
      <c r="AR245" s="29"/>
      <c r="AS245" s="25"/>
      <c r="AT245" s="25"/>
      <c r="AU245" s="25"/>
      <c r="AV245" s="26"/>
      <c r="AW245" s="26"/>
      <c r="AX245" s="26"/>
      <c r="AY245" s="26"/>
      <c r="AZ245" s="26"/>
      <c r="BA245" s="26"/>
      <c r="BB245" s="26"/>
      <c r="BC245" s="26"/>
      <c r="BD245" s="27"/>
    </row>
    <row r="246" spans="1:56" ht="15" customHeight="1">
      <c r="A246" s="9"/>
      <c r="B246" s="9"/>
      <c r="C246" s="9"/>
      <c r="D246" s="9"/>
      <c r="E246" s="9"/>
      <c r="F246" s="24"/>
      <c r="G246" s="9"/>
      <c r="H246" s="24"/>
      <c r="I246" s="9"/>
      <c r="J246" s="24"/>
      <c r="K246" s="9"/>
      <c r="L246" s="24"/>
      <c r="M246" s="9"/>
      <c r="N246" s="24"/>
      <c r="O246" s="9"/>
      <c r="P246" s="24"/>
      <c r="Q246" s="9"/>
      <c r="R246" s="24"/>
      <c r="S246" s="9"/>
      <c r="T246" s="24"/>
      <c r="U246" s="9"/>
      <c r="V246" s="24"/>
      <c r="W246" s="9"/>
      <c r="X246" s="24"/>
      <c r="Y246" s="9"/>
      <c r="Z246" s="24"/>
      <c r="AA246" s="9"/>
      <c r="AB246" s="24"/>
      <c r="AC246" s="9"/>
      <c r="AD246" s="24"/>
      <c r="AE246" s="9"/>
      <c r="AF246" s="24"/>
      <c r="AG246" s="9"/>
      <c r="AH246" s="24"/>
      <c r="AI246" s="9"/>
      <c r="AJ246" s="24"/>
      <c r="AK246" s="9"/>
      <c r="AL246" s="24"/>
      <c r="AM246" s="9"/>
      <c r="AN246" s="24"/>
      <c r="AO246" s="9"/>
      <c r="AP246" s="24"/>
      <c r="AQ246" s="9"/>
      <c r="AR246" s="24"/>
      <c r="AS246" s="25"/>
      <c r="AT246" s="25"/>
      <c r="AU246" s="25"/>
      <c r="AV246" s="26"/>
      <c r="AW246" s="26"/>
      <c r="AX246" s="26"/>
      <c r="AY246" s="26"/>
      <c r="AZ246" s="26"/>
      <c r="BA246" s="26"/>
      <c r="BB246" s="26"/>
      <c r="BC246" s="26"/>
      <c r="BD246" s="27"/>
    </row>
    <row r="247" spans="1:56" ht="15" customHeight="1">
      <c r="A247" s="28"/>
      <c r="B247" s="28"/>
      <c r="C247" s="28"/>
      <c r="D247" s="28"/>
      <c r="E247" s="28"/>
      <c r="F247" s="29"/>
      <c r="G247" s="28"/>
      <c r="H247" s="29"/>
      <c r="I247" s="28"/>
      <c r="J247" s="29"/>
      <c r="K247" s="28"/>
      <c r="L247" s="29"/>
      <c r="M247" s="28"/>
      <c r="N247" s="29"/>
      <c r="O247" s="28"/>
      <c r="P247" s="29"/>
      <c r="Q247" s="28"/>
      <c r="R247" s="29"/>
      <c r="S247" s="28"/>
      <c r="T247" s="29"/>
      <c r="U247" s="28"/>
      <c r="V247" s="29"/>
      <c r="W247" s="28"/>
      <c r="X247" s="29"/>
      <c r="Y247" s="28"/>
      <c r="Z247" s="29"/>
      <c r="AA247" s="28"/>
      <c r="AB247" s="29"/>
      <c r="AC247" s="28"/>
      <c r="AD247" s="29"/>
      <c r="AE247" s="28"/>
      <c r="AF247" s="29"/>
      <c r="AG247" s="28"/>
      <c r="AH247" s="29"/>
      <c r="AI247" s="28"/>
      <c r="AJ247" s="29"/>
      <c r="AK247" s="28"/>
      <c r="AL247" s="29"/>
      <c r="AM247" s="28"/>
      <c r="AN247" s="29"/>
      <c r="AO247" s="28"/>
      <c r="AP247" s="29"/>
      <c r="AQ247" s="28"/>
      <c r="AR247" s="29"/>
      <c r="AS247" s="25"/>
      <c r="AT247" s="25"/>
      <c r="AU247" s="25"/>
      <c r="AV247" s="26"/>
      <c r="AW247" s="26"/>
      <c r="AX247" s="26"/>
      <c r="AY247" s="26"/>
      <c r="AZ247" s="26"/>
      <c r="BA247" s="26"/>
      <c r="BB247" s="26"/>
      <c r="BC247" s="26"/>
      <c r="BD247" s="27"/>
    </row>
    <row r="248" spans="1:56" ht="15" customHeight="1">
      <c r="A248" s="9"/>
      <c r="B248" s="9"/>
      <c r="C248" s="9"/>
      <c r="D248" s="9"/>
      <c r="E248" s="9"/>
      <c r="F248" s="24"/>
      <c r="G248" s="9"/>
      <c r="H248" s="24"/>
      <c r="I248" s="9"/>
      <c r="J248" s="24"/>
      <c r="K248" s="9"/>
      <c r="L248" s="24"/>
      <c r="M248" s="9"/>
      <c r="N248" s="24"/>
      <c r="O248" s="9"/>
      <c r="P248" s="24"/>
      <c r="Q248" s="9"/>
      <c r="R248" s="24"/>
      <c r="S248" s="9"/>
      <c r="T248" s="24"/>
      <c r="U248" s="9"/>
      <c r="V248" s="24"/>
      <c r="W248" s="9"/>
      <c r="X248" s="24"/>
      <c r="Y248" s="9"/>
      <c r="Z248" s="24"/>
      <c r="AA248" s="9"/>
      <c r="AB248" s="24"/>
      <c r="AC248" s="9"/>
      <c r="AD248" s="24"/>
      <c r="AE248" s="9"/>
      <c r="AF248" s="24"/>
      <c r="AG248" s="9"/>
      <c r="AH248" s="24"/>
      <c r="AI248" s="9"/>
      <c r="AJ248" s="24"/>
      <c r="AK248" s="9"/>
      <c r="AL248" s="24"/>
      <c r="AM248" s="9"/>
      <c r="AN248" s="24"/>
      <c r="AO248" s="9"/>
      <c r="AP248" s="24"/>
      <c r="AQ248" s="9"/>
      <c r="AR248" s="24"/>
      <c r="AS248" s="25"/>
      <c r="AT248" s="25"/>
      <c r="AU248" s="25"/>
      <c r="AV248" s="26"/>
      <c r="AW248" s="26"/>
      <c r="AX248" s="26"/>
      <c r="AY248" s="26"/>
      <c r="AZ248" s="26"/>
      <c r="BA248" s="26"/>
      <c r="BB248" s="26"/>
      <c r="BC248" s="26"/>
      <c r="BD248" s="27"/>
    </row>
    <row r="249" spans="1:56" ht="15" customHeight="1">
      <c r="A249" s="28"/>
      <c r="B249" s="28"/>
      <c r="C249" s="28"/>
      <c r="D249" s="28"/>
      <c r="E249" s="28"/>
      <c r="F249" s="29"/>
      <c r="G249" s="28"/>
      <c r="H249" s="29"/>
      <c r="I249" s="28"/>
      <c r="J249" s="29"/>
      <c r="K249" s="28"/>
      <c r="L249" s="29"/>
      <c r="M249" s="28"/>
      <c r="N249" s="29"/>
      <c r="O249" s="28"/>
      <c r="P249" s="29"/>
      <c r="Q249" s="28"/>
      <c r="R249" s="29"/>
      <c r="S249" s="28"/>
      <c r="T249" s="29"/>
      <c r="U249" s="28"/>
      <c r="V249" s="29"/>
      <c r="W249" s="28"/>
      <c r="X249" s="29"/>
      <c r="Y249" s="28"/>
      <c r="Z249" s="29"/>
      <c r="AA249" s="28"/>
      <c r="AB249" s="29"/>
      <c r="AC249" s="28"/>
      <c r="AD249" s="29"/>
      <c r="AE249" s="28"/>
      <c r="AF249" s="29"/>
      <c r="AG249" s="28"/>
      <c r="AH249" s="29"/>
      <c r="AI249" s="28"/>
      <c r="AJ249" s="29"/>
      <c r="AK249" s="28"/>
      <c r="AL249" s="29"/>
      <c r="AM249" s="28"/>
      <c r="AN249" s="29"/>
      <c r="AO249" s="28"/>
      <c r="AP249" s="29"/>
      <c r="AQ249" s="28"/>
      <c r="AR249" s="29"/>
      <c r="AS249" s="25"/>
      <c r="AT249" s="25"/>
      <c r="AU249" s="25"/>
      <c r="AV249" s="26"/>
      <c r="AW249" s="26"/>
      <c r="AX249" s="26"/>
      <c r="AY249" s="26"/>
      <c r="AZ249" s="26"/>
      <c r="BA249" s="26"/>
      <c r="BB249" s="26"/>
      <c r="BC249" s="26"/>
      <c r="BD249" s="27"/>
    </row>
    <row r="250" spans="1:56" ht="15" customHeight="1">
      <c r="A250" s="9"/>
      <c r="B250" s="9"/>
      <c r="C250" s="9"/>
      <c r="D250" s="9"/>
      <c r="E250" s="9"/>
      <c r="F250" s="24"/>
      <c r="G250" s="9"/>
      <c r="H250" s="24"/>
      <c r="I250" s="9"/>
      <c r="J250" s="24"/>
      <c r="K250" s="9"/>
      <c r="L250" s="24"/>
      <c r="M250" s="9"/>
      <c r="N250" s="24"/>
      <c r="O250" s="9"/>
      <c r="P250" s="24"/>
      <c r="Q250" s="9"/>
      <c r="R250" s="24"/>
      <c r="S250" s="9"/>
      <c r="T250" s="24"/>
      <c r="U250" s="9"/>
      <c r="V250" s="24"/>
      <c r="W250" s="9"/>
      <c r="X250" s="24"/>
      <c r="Y250" s="9"/>
      <c r="Z250" s="24"/>
      <c r="AA250" s="9"/>
      <c r="AB250" s="24"/>
      <c r="AC250" s="9"/>
      <c r="AD250" s="24"/>
      <c r="AE250" s="9"/>
      <c r="AF250" s="24"/>
      <c r="AG250" s="9"/>
      <c r="AH250" s="24"/>
      <c r="AI250" s="9"/>
      <c r="AJ250" s="24"/>
      <c r="AK250" s="9"/>
      <c r="AL250" s="24"/>
      <c r="AM250" s="9"/>
      <c r="AN250" s="24"/>
      <c r="AO250" s="9"/>
      <c r="AP250" s="24"/>
      <c r="AQ250" s="9"/>
      <c r="AR250" s="24"/>
      <c r="AS250" s="25"/>
      <c r="AT250" s="25"/>
      <c r="AU250" s="25"/>
      <c r="AV250" s="26"/>
      <c r="AW250" s="26"/>
      <c r="AX250" s="26"/>
      <c r="AY250" s="26"/>
      <c r="AZ250" s="26"/>
      <c r="BA250" s="26"/>
      <c r="BB250" s="26"/>
      <c r="BC250" s="26"/>
      <c r="BD250" s="27"/>
    </row>
    <row r="251" spans="1:56" ht="15" customHeight="1">
      <c r="A251" s="28"/>
      <c r="B251" s="28"/>
      <c r="C251" s="28"/>
      <c r="D251" s="28"/>
      <c r="E251" s="28"/>
      <c r="F251" s="29"/>
      <c r="G251" s="28"/>
      <c r="H251" s="29"/>
      <c r="I251" s="28"/>
      <c r="J251" s="29"/>
      <c r="K251" s="28"/>
      <c r="L251" s="29"/>
      <c r="M251" s="28"/>
      <c r="N251" s="29"/>
      <c r="O251" s="28"/>
      <c r="P251" s="29"/>
      <c r="Q251" s="28"/>
      <c r="R251" s="29"/>
      <c r="S251" s="28"/>
      <c r="T251" s="29"/>
      <c r="U251" s="28"/>
      <c r="V251" s="29"/>
      <c r="W251" s="28"/>
      <c r="X251" s="29"/>
      <c r="Y251" s="28"/>
      <c r="Z251" s="29"/>
      <c r="AA251" s="28"/>
      <c r="AB251" s="29"/>
      <c r="AC251" s="28"/>
      <c r="AD251" s="29"/>
      <c r="AE251" s="28"/>
      <c r="AF251" s="29"/>
      <c r="AG251" s="28"/>
      <c r="AH251" s="29"/>
      <c r="AI251" s="28"/>
      <c r="AJ251" s="29"/>
      <c r="AK251" s="28"/>
      <c r="AL251" s="29"/>
      <c r="AM251" s="28"/>
      <c r="AN251" s="29"/>
      <c r="AO251" s="28"/>
      <c r="AP251" s="29"/>
      <c r="AQ251" s="28"/>
      <c r="AR251" s="29"/>
      <c r="AS251" s="25"/>
      <c r="AT251" s="25"/>
      <c r="AU251" s="25"/>
      <c r="AV251" s="26"/>
      <c r="AW251" s="26"/>
      <c r="AX251" s="26"/>
      <c r="AY251" s="26"/>
      <c r="AZ251" s="26"/>
      <c r="BA251" s="26"/>
      <c r="BB251" s="26"/>
      <c r="BC251" s="26"/>
      <c r="BD251" s="27"/>
    </row>
    <row r="252" spans="1:56" ht="15" customHeight="1">
      <c r="A252" s="9"/>
      <c r="B252" s="9"/>
      <c r="C252" s="9"/>
      <c r="D252" s="9"/>
      <c r="E252" s="9"/>
      <c r="F252" s="24"/>
      <c r="G252" s="9"/>
      <c r="H252" s="24"/>
      <c r="I252" s="9"/>
      <c r="J252" s="24"/>
      <c r="K252" s="9"/>
      <c r="L252" s="24"/>
      <c r="M252" s="9"/>
      <c r="N252" s="24"/>
      <c r="O252" s="9"/>
      <c r="P252" s="24"/>
      <c r="Q252" s="9"/>
      <c r="R252" s="24"/>
      <c r="S252" s="9"/>
      <c r="T252" s="24"/>
      <c r="U252" s="9"/>
      <c r="V252" s="24"/>
      <c r="W252" s="9"/>
      <c r="X252" s="24"/>
      <c r="Y252" s="9"/>
      <c r="Z252" s="24"/>
      <c r="AA252" s="9"/>
      <c r="AB252" s="24"/>
      <c r="AC252" s="9"/>
      <c r="AD252" s="24"/>
      <c r="AE252" s="9"/>
      <c r="AF252" s="24"/>
      <c r="AG252" s="9"/>
      <c r="AH252" s="24"/>
      <c r="AI252" s="9"/>
      <c r="AJ252" s="24"/>
      <c r="AK252" s="9"/>
      <c r="AL252" s="24"/>
      <c r="AM252" s="9"/>
      <c r="AN252" s="24"/>
      <c r="AO252" s="9"/>
      <c r="AP252" s="24"/>
      <c r="AQ252" s="9"/>
      <c r="AR252" s="24"/>
      <c r="AS252" s="25"/>
      <c r="AT252" s="25"/>
      <c r="AU252" s="25"/>
      <c r="AV252" s="26"/>
      <c r="AW252" s="26"/>
      <c r="AX252" s="26"/>
      <c r="AY252" s="26"/>
      <c r="AZ252" s="26"/>
      <c r="BA252" s="26"/>
      <c r="BB252" s="26"/>
      <c r="BC252" s="26"/>
      <c r="BD252" s="27"/>
    </row>
    <row r="253" spans="1:56" ht="15" customHeight="1">
      <c r="A253" s="28"/>
      <c r="B253" s="28"/>
      <c r="C253" s="28"/>
      <c r="D253" s="28"/>
      <c r="E253" s="28"/>
      <c r="F253" s="29"/>
      <c r="G253" s="28"/>
      <c r="H253" s="29"/>
      <c r="I253" s="28"/>
      <c r="J253" s="29"/>
      <c r="K253" s="28"/>
      <c r="L253" s="29"/>
      <c r="M253" s="28"/>
      <c r="N253" s="29"/>
      <c r="O253" s="28"/>
      <c r="P253" s="29"/>
      <c r="Q253" s="28"/>
      <c r="R253" s="29"/>
      <c r="S253" s="28"/>
      <c r="T253" s="29"/>
      <c r="U253" s="28"/>
      <c r="V253" s="29"/>
      <c r="W253" s="28"/>
      <c r="X253" s="29"/>
      <c r="Y253" s="28"/>
      <c r="Z253" s="29"/>
      <c r="AA253" s="28"/>
      <c r="AB253" s="29"/>
      <c r="AC253" s="28"/>
      <c r="AD253" s="29"/>
      <c r="AE253" s="28"/>
      <c r="AF253" s="29"/>
      <c r="AG253" s="28"/>
      <c r="AH253" s="29"/>
      <c r="AI253" s="28"/>
      <c r="AJ253" s="29"/>
      <c r="AK253" s="28"/>
      <c r="AL253" s="29"/>
      <c r="AM253" s="28"/>
      <c r="AN253" s="29"/>
      <c r="AO253" s="28"/>
      <c r="AP253" s="29"/>
      <c r="AQ253" s="28"/>
      <c r="AR253" s="29"/>
      <c r="AS253" s="25"/>
      <c r="AT253" s="25"/>
      <c r="AU253" s="25"/>
      <c r="AV253" s="26"/>
      <c r="AW253" s="26"/>
      <c r="AX253" s="26"/>
      <c r="AY253" s="26"/>
      <c r="AZ253" s="26"/>
      <c r="BA253" s="26"/>
      <c r="BB253" s="26"/>
      <c r="BC253" s="26"/>
      <c r="BD253" s="27"/>
    </row>
    <row r="254" spans="1:56" ht="15" customHeight="1">
      <c r="A254" s="9"/>
      <c r="B254" s="9"/>
      <c r="C254" s="9"/>
      <c r="D254" s="9"/>
      <c r="E254" s="9"/>
      <c r="F254" s="24"/>
      <c r="G254" s="9"/>
      <c r="H254" s="24"/>
      <c r="I254" s="9"/>
      <c r="J254" s="24"/>
      <c r="K254" s="9"/>
      <c r="L254" s="24"/>
      <c r="M254" s="9"/>
      <c r="N254" s="24"/>
      <c r="O254" s="9"/>
      <c r="P254" s="24"/>
      <c r="Q254" s="9"/>
      <c r="R254" s="24"/>
      <c r="S254" s="9"/>
      <c r="T254" s="24"/>
      <c r="U254" s="9"/>
      <c r="V254" s="24"/>
      <c r="W254" s="9"/>
      <c r="X254" s="24"/>
      <c r="Y254" s="9"/>
      <c r="Z254" s="24"/>
      <c r="AA254" s="9"/>
      <c r="AB254" s="24"/>
      <c r="AC254" s="9"/>
      <c r="AD254" s="24"/>
      <c r="AE254" s="9"/>
      <c r="AF254" s="24"/>
      <c r="AG254" s="9"/>
      <c r="AH254" s="24"/>
      <c r="AI254" s="9"/>
      <c r="AJ254" s="24"/>
      <c r="AK254" s="9"/>
      <c r="AL254" s="24"/>
      <c r="AM254" s="9"/>
      <c r="AN254" s="24"/>
      <c r="AO254" s="9"/>
      <c r="AP254" s="24"/>
      <c r="AQ254" s="9"/>
      <c r="AR254" s="24"/>
      <c r="AS254" s="25"/>
      <c r="AT254" s="25"/>
      <c r="AU254" s="25"/>
      <c r="AV254" s="26"/>
      <c r="AW254" s="26"/>
      <c r="AX254" s="26"/>
      <c r="AY254" s="26"/>
      <c r="AZ254" s="26"/>
      <c r="BA254" s="26"/>
      <c r="BB254" s="26"/>
      <c r="BC254" s="26"/>
      <c r="BD254" s="27"/>
    </row>
    <row r="255" spans="1:56" ht="15" customHeight="1">
      <c r="A255" s="28"/>
      <c r="B255" s="28"/>
      <c r="C255" s="28"/>
      <c r="D255" s="28"/>
      <c r="E255" s="28"/>
      <c r="F255" s="29"/>
      <c r="G255" s="28"/>
      <c r="H255" s="29"/>
      <c r="I255" s="28"/>
      <c r="J255" s="29"/>
      <c r="K255" s="28"/>
      <c r="L255" s="29"/>
      <c r="M255" s="28"/>
      <c r="N255" s="29"/>
      <c r="O255" s="28"/>
      <c r="P255" s="29"/>
      <c r="Q255" s="28"/>
      <c r="R255" s="29"/>
      <c r="S255" s="28"/>
      <c r="T255" s="29"/>
      <c r="U255" s="28"/>
      <c r="V255" s="29"/>
      <c r="W255" s="28"/>
      <c r="X255" s="29"/>
      <c r="Y255" s="28"/>
      <c r="Z255" s="29"/>
      <c r="AA255" s="28"/>
      <c r="AB255" s="29"/>
      <c r="AC255" s="28"/>
      <c r="AD255" s="29"/>
      <c r="AE255" s="28"/>
      <c r="AF255" s="29"/>
      <c r="AG255" s="28"/>
      <c r="AH255" s="29"/>
      <c r="AI255" s="28"/>
      <c r="AJ255" s="29"/>
      <c r="AK255" s="28"/>
      <c r="AL255" s="29"/>
      <c r="AM255" s="28"/>
      <c r="AN255" s="29"/>
      <c r="AO255" s="28"/>
      <c r="AP255" s="29"/>
      <c r="AQ255" s="28"/>
      <c r="AR255" s="29"/>
      <c r="AS255" s="25"/>
      <c r="AT255" s="25"/>
      <c r="AU255" s="25"/>
      <c r="AV255" s="26"/>
      <c r="AW255" s="26"/>
      <c r="AX255" s="26"/>
      <c r="AY255" s="26"/>
      <c r="AZ255" s="26"/>
      <c r="BA255" s="26"/>
      <c r="BB255" s="26"/>
      <c r="BC255" s="26"/>
      <c r="BD255" s="27"/>
    </row>
    <row r="256" spans="1:56" ht="15" customHeight="1">
      <c r="A256" s="9"/>
      <c r="B256" s="9"/>
      <c r="C256" s="9"/>
      <c r="D256" s="9"/>
      <c r="E256" s="9"/>
      <c r="F256" s="24"/>
      <c r="G256" s="9"/>
      <c r="H256" s="24"/>
      <c r="I256" s="9"/>
      <c r="J256" s="24"/>
      <c r="K256" s="9"/>
      <c r="L256" s="24"/>
      <c r="M256" s="9"/>
      <c r="N256" s="24"/>
      <c r="O256" s="9"/>
      <c r="P256" s="24"/>
      <c r="Q256" s="9"/>
      <c r="R256" s="24"/>
      <c r="S256" s="9"/>
      <c r="T256" s="24"/>
      <c r="U256" s="9"/>
      <c r="V256" s="24"/>
      <c r="W256" s="9"/>
      <c r="X256" s="24"/>
      <c r="Y256" s="9"/>
      <c r="Z256" s="24"/>
      <c r="AA256" s="9"/>
      <c r="AB256" s="24"/>
      <c r="AC256" s="9"/>
      <c r="AD256" s="24"/>
      <c r="AE256" s="9"/>
      <c r="AF256" s="24"/>
      <c r="AG256" s="9"/>
      <c r="AH256" s="24"/>
      <c r="AI256" s="9"/>
      <c r="AJ256" s="24"/>
      <c r="AK256" s="9"/>
      <c r="AL256" s="24"/>
      <c r="AM256" s="9"/>
      <c r="AN256" s="24"/>
      <c r="AO256" s="9"/>
      <c r="AP256" s="24"/>
      <c r="AQ256" s="9"/>
      <c r="AR256" s="24"/>
      <c r="AS256" s="25"/>
      <c r="AT256" s="25"/>
      <c r="AU256" s="25"/>
      <c r="AV256" s="26"/>
      <c r="AW256" s="26"/>
      <c r="AX256" s="26"/>
      <c r="AY256" s="26"/>
      <c r="AZ256" s="26"/>
      <c r="BA256" s="26"/>
      <c r="BB256" s="26"/>
      <c r="BC256" s="26"/>
      <c r="BD256" s="27"/>
    </row>
    <row r="257" spans="1:56" ht="15" customHeight="1">
      <c r="A257" s="28"/>
      <c r="B257" s="28"/>
      <c r="C257" s="28"/>
      <c r="D257" s="28"/>
      <c r="E257" s="28"/>
      <c r="F257" s="29"/>
      <c r="G257" s="28"/>
      <c r="H257" s="29"/>
      <c r="I257" s="28"/>
      <c r="J257" s="29"/>
      <c r="K257" s="28"/>
      <c r="L257" s="29"/>
      <c r="M257" s="28"/>
      <c r="N257" s="29"/>
      <c r="O257" s="28"/>
      <c r="P257" s="29"/>
      <c r="Q257" s="28"/>
      <c r="R257" s="29"/>
      <c r="S257" s="28"/>
      <c r="T257" s="29"/>
      <c r="U257" s="28"/>
      <c r="V257" s="29"/>
      <c r="W257" s="28"/>
      <c r="X257" s="29"/>
      <c r="Y257" s="28"/>
      <c r="Z257" s="29"/>
      <c r="AA257" s="28"/>
      <c r="AB257" s="29"/>
      <c r="AC257" s="28"/>
      <c r="AD257" s="29"/>
      <c r="AE257" s="28"/>
      <c r="AF257" s="29"/>
      <c r="AG257" s="28"/>
      <c r="AH257" s="29"/>
      <c r="AI257" s="28"/>
      <c r="AJ257" s="29"/>
      <c r="AK257" s="28"/>
      <c r="AL257" s="29"/>
      <c r="AM257" s="28"/>
      <c r="AN257" s="29"/>
      <c r="AO257" s="28"/>
      <c r="AP257" s="29"/>
      <c r="AQ257" s="28"/>
      <c r="AR257" s="29"/>
      <c r="AS257" s="25"/>
      <c r="AT257" s="25"/>
      <c r="AU257" s="25"/>
      <c r="AV257" s="26"/>
      <c r="AW257" s="26"/>
      <c r="AX257" s="26"/>
      <c r="AY257" s="26"/>
      <c r="AZ257" s="26"/>
      <c r="BA257" s="26"/>
      <c r="BB257" s="26"/>
      <c r="BC257" s="26"/>
      <c r="BD257" s="27"/>
    </row>
    <row r="258" spans="1:56" ht="15" customHeight="1">
      <c r="A258" s="9"/>
      <c r="B258" s="9"/>
      <c r="C258" s="9"/>
      <c r="D258" s="9"/>
      <c r="E258" s="9"/>
      <c r="F258" s="24"/>
      <c r="G258" s="9"/>
      <c r="H258" s="24"/>
      <c r="I258" s="9"/>
      <c r="J258" s="24"/>
      <c r="K258" s="9"/>
      <c r="L258" s="24"/>
      <c r="M258" s="9"/>
      <c r="N258" s="24"/>
      <c r="O258" s="9"/>
      <c r="P258" s="24"/>
      <c r="Q258" s="9"/>
      <c r="R258" s="24"/>
      <c r="S258" s="9"/>
      <c r="T258" s="24"/>
      <c r="U258" s="9"/>
      <c r="V258" s="24"/>
      <c r="W258" s="9"/>
      <c r="X258" s="24"/>
      <c r="Y258" s="9"/>
      <c r="Z258" s="24"/>
      <c r="AA258" s="9"/>
      <c r="AB258" s="24"/>
      <c r="AC258" s="9"/>
      <c r="AD258" s="24"/>
      <c r="AE258" s="9"/>
      <c r="AF258" s="24"/>
      <c r="AG258" s="9"/>
      <c r="AH258" s="24"/>
      <c r="AI258" s="9"/>
      <c r="AJ258" s="24"/>
      <c r="AK258" s="9"/>
      <c r="AL258" s="24"/>
      <c r="AM258" s="9"/>
      <c r="AN258" s="24"/>
      <c r="AO258" s="9"/>
      <c r="AP258" s="24"/>
      <c r="AQ258" s="9"/>
      <c r="AR258" s="24"/>
      <c r="AS258" s="25"/>
      <c r="AT258" s="25"/>
      <c r="AU258" s="25"/>
      <c r="AV258" s="26"/>
      <c r="AW258" s="26"/>
      <c r="AX258" s="26"/>
      <c r="AY258" s="26"/>
      <c r="AZ258" s="26"/>
      <c r="BA258" s="26"/>
      <c r="BB258" s="26"/>
      <c r="BC258" s="26"/>
      <c r="BD258" s="27"/>
    </row>
    <row r="259" spans="1:56" ht="15" customHeight="1">
      <c r="A259" s="28"/>
      <c r="B259" s="28"/>
      <c r="C259" s="28"/>
      <c r="D259" s="28"/>
      <c r="E259" s="28"/>
      <c r="F259" s="29"/>
      <c r="G259" s="28"/>
      <c r="H259" s="29"/>
      <c r="I259" s="28"/>
      <c r="J259" s="29"/>
      <c r="K259" s="28"/>
      <c r="L259" s="29"/>
      <c r="M259" s="28"/>
      <c r="N259" s="29"/>
      <c r="O259" s="28"/>
      <c r="P259" s="29"/>
      <c r="Q259" s="28"/>
      <c r="R259" s="29"/>
      <c r="S259" s="28"/>
      <c r="T259" s="29"/>
      <c r="U259" s="28"/>
      <c r="V259" s="29"/>
      <c r="W259" s="28"/>
      <c r="X259" s="29"/>
      <c r="Y259" s="28"/>
      <c r="Z259" s="29"/>
      <c r="AA259" s="28"/>
      <c r="AB259" s="29"/>
      <c r="AC259" s="28"/>
      <c r="AD259" s="29"/>
      <c r="AE259" s="28"/>
      <c r="AF259" s="29"/>
      <c r="AG259" s="28"/>
      <c r="AH259" s="29"/>
      <c r="AI259" s="28"/>
      <c r="AJ259" s="29"/>
      <c r="AK259" s="28"/>
      <c r="AL259" s="29"/>
      <c r="AM259" s="28"/>
      <c r="AN259" s="29"/>
      <c r="AO259" s="28"/>
      <c r="AP259" s="29"/>
      <c r="AQ259" s="28"/>
      <c r="AR259" s="29"/>
      <c r="AS259" s="25"/>
      <c r="AT259" s="25"/>
      <c r="AU259" s="25"/>
      <c r="AV259" s="26"/>
      <c r="AW259" s="26"/>
      <c r="AX259" s="26"/>
      <c r="AY259" s="26"/>
      <c r="AZ259" s="26"/>
      <c r="BA259" s="26"/>
      <c r="BB259" s="26"/>
      <c r="BC259" s="26"/>
      <c r="BD259" s="27"/>
    </row>
    <row r="260" spans="1:56" ht="15" customHeight="1">
      <c r="A260" s="9"/>
      <c r="B260" s="9"/>
      <c r="C260" s="9"/>
      <c r="D260" s="9"/>
      <c r="E260" s="9"/>
      <c r="F260" s="24"/>
      <c r="G260" s="9"/>
      <c r="H260" s="24"/>
      <c r="I260" s="9"/>
      <c r="J260" s="24"/>
      <c r="K260" s="9"/>
      <c r="L260" s="24"/>
      <c r="M260" s="9"/>
      <c r="N260" s="24"/>
      <c r="O260" s="9"/>
      <c r="P260" s="24"/>
      <c r="Q260" s="9"/>
      <c r="R260" s="24"/>
      <c r="S260" s="9"/>
      <c r="T260" s="24"/>
      <c r="U260" s="9"/>
      <c r="V260" s="24"/>
      <c r="W260" s="9"/>
      <c r="X260" s="24"/>
      <c r="Y260" s="9"/>
      <c r="Z260" s="24"/>
      <c r="AA260" s="9"/>
      <c r="AB260" s="24"/>
      <c r="AC260" s="9"/>
      <c r="AD260" s="24"/>
      <c r="AE260" s="9"/>
      <c r="AF260" s="24"/>
      <c r="AG260" s="9"/>
      <c r="AH260" s="24"/>
      <c r="AI260" s="9"/>
      <c r="AJ260" s="24"/>
      <c r="AK260" s="9"/>
      <c r="AL260" s="24"/>
      <c r="AM260" s="9"/>
      <c r="AN260" s="24"/>
      <c r="AO260" s="9"/>
      <c r="AP260" s="24"/>
      <c r="AQ260" s="9"/>
      <c r="AR260" s="24"/>
      <c r="AS260" s="25"/>
      <c r="AT260" s="25"/>
      <c r="AU260" s="25"/>
      <c r="AV260" s="26"/>
      <c r="AW260" s="26"/>
      <c r="AX260" s="26"/>
      <c r="AY260" s="26"/>
      <c r="AZ260" s="26"/>
      <c r="BA260" s="26"/>
      <c r="BB260" s="26"/>
      <c r="BC260" s="26"/>
      <c r="BD260" s="27"/>
    </row>
    <row r="261" spans="1:56" ht="15" customHeight="1">
      <c r="A261" s="28"/>
      <c r="B261" s="28"/>
      <c r="C261" s="28"/>
      <c r="D261" s="28"/>
      <c r="E261" s="28"/>
      <c r="F261" s="29"/>
      <c r="G261" s="28"/>
      <c r="H261" s="29"/>
      <c r="I261" s="28"/>
      <c r="J261" s="29"/>
      <c r="K261" s="28"/>
      <c r="L261" s="29"/>
      <c r="M261" s="28"/>
      <c r="N261" s="29"/>
      <c r="O261" s="28"/>
      <c r="P261" s="29"/>
      <c r="Q261" s="28"/>
      <c r="R261" s="29"/>
      <c r="S261" s="28"/>
      <c r="T261" s="29"/>
      <c r="U261" s="28"/>
      <c r="V261" s="29"/>
      <c r="W261" s="28"/>
      <c r="X261" s="29"/>
      <c r="Y261" s="28"/>
      <c r="Z261" s="29"/>
      <c r="AA261" s="28"/>
      <c r="AB261" s="29"/>
      <c r="AC261" s="28"/>
      <c r="AD261" s="29"/>
      <c r="AE261" s="28"/>
      <c r="AF261" s="29"/>
      <c r="AG261" s="28"/>
      <c r="AH261" s="29"/>
      <c r="AI261" s="28"/>
      <c r="AJ261" s="29"/>
      <c r="AK261" s="28"/>
      <c r="AL261" s="29"/>
      <c r="AM261" s="28"/>
      <c r="AN261" s="29"/>
      <c r="AO261" s="28"/>
      <c r="AP261" s="29"/>
      <c r="AQ261" s="28"/>
      <c r="AR261" s="29"/>
      <c r="AS261" s="25"/>
      <c r="AT261" s="25"/>
      <c r="AU261" s="25"/>
      <c r="AV261" s="26"/>
      <c r="AW261" s="26"/>
      <c r="AX261" s="26"/>
      <c r="AY261" s="26"/>
      <c r="AZ261" s="26"/>
      <c r="BA261" s="26"/>
      <c r="BB261" s="26"/>
      <c r="BC261" s="26"/>
      <c r="BD261" s="27"/>
    </row>
    <row r="262" spans="1:56" ht="15" customHeight="1">
      <c r="A262" s="9"/>
      <c r="B262" s="9"/>
      <c r="C262" s="9"/>
      <c r="D262" s="9"/>
      <c r="E262" s="9"/>
      <c r="F262" s="24"/>
      <c r="G262" s="9"/>
      <c r="H262" s="24"/>
      <c r="I262" s="9"/>
      <c r="J262" s="24"/>
      <c r="K262" s="9"/>
      <c r="L262" s="24"/>
      <c r="M262" s="9"/>
      <c r="N262" s="24"/>
      <c r="O262" s="9"/>
      <c r="P262" s="24"/>
      <c r="Q262" s="9"/>
      <c r="R262" s="24"/>
      <c r="S262" s="9"/>
      <c r="T262" s="24"/>
      <c r="U262" s="9"/>
      <c r="V262" s="24"/>
      <c r="W262" s="9"/>
      <c r="X262" s="24"/>
      <c r="Y262" s="9"/>
      <c r="Z262" s="24"/>
      <c r="AA262" s="9"/>
      <c r="AB262" s="24"/>
      <c r="AC262" s="9"/>
      <c r="AD262" s="24"/>
      <c r="AE262" s="9"/>
      <c r="AF262" s="24"/>
      <c r="AG262" s="9"/>
      <c r="AH262" s="24"/>
      <c r="AI262" s="9"/>
      <c r="AJ262" s="24"/>
      <c r="AK262" s="9"/>
      <c r="AL262" s="24"/>
      <c r="AM262" s="9"/>
      <c r="AN262" s="24"/>
      <c r="AO262" s="9"/>
      <c r="AP262" s="24"/>
      <c r="AQ262" s="9"/>
      <c r="AR262" s="24"/>
      <c r="AS262" s="25"/>
      <c r="AT262" s="25"/>
      <c r="AU262" s="25"/>
      <c r="AV262" s="26"/>
      <c r="AW262" s="26"/>
      <c r="AX262" s="26"/>
      <c r="AY262" s="26"/>
      <c r="AZ262" s="26"/>
      <c r="BA262" s="26"/>
      <c r="BB262" s="26"/>
      <c r="BC262" s="26"/>
      <c r="BD262" s="27"/>
    </row>
    <row r="263" spans="1:56" ht="15" customHeight="1">
      <c r="A263" s="28"/>
      <c r="B263" s="28"/>
      <c r="C263" s="28"/>
      <c r="D263" s="28"/>
      <c r="E263" s="28"/>
      <c r="F263" s="29"/>
      <c r="G263" s="28"/>
      <c r="H263" s="29"/>
      <c r="I263" s="28"/>
      <c r="J263" s="29"/>
      <c r="K263" s="28"/>
      <c r="L263" s="29"/>
      <c r="M263" s="28"/>
      <c r="N263" s="29"/>
      <c r="O263" s="28"/>
      <c r="P263" s="29"/>
      <c r="Q263" s="28"/>
      <c r="R263" s="29"/>
      <c r="S263" s="28"/>
      <c r="T263" s="29"/>
      <c r="U263" s="28"/>
      <c r="V263" s="29"/>
      <c r="W263" s="28"/>
      <c r="X263" s="29"/>
      <c r="Y263" s="28"/>
      <c r="Z263" s="29"/>
      <c r="AA263" s="28"/>
      <c r="AB263" s="29"/>
      <c r="AC263" s="28"/>
      <c r="AD263" s="29"/>
      <c r="AE263" s="28"/>
      <c r="AF263" s="29"/>
      <c r="AG263" s="28"/>
      <c r="AH263" s="29"/>
      <c r="AI263" s="28"/>
      <c r="AJ263" s="29"/>
      <c r="AK263" s="28"/>
      <c r="AL263" s="29"/>
      <c r="AM263" s="28"/>
      <c r="AN263" s="29"/>
      <c r="AO263" s="28"/>
      <c r="AP263" s="29"/>
      <c r="AQ263" s="28"/>
      <c r="AR263" s="29"/>
      <c r="AS263" s="25"/>
      <c r="AT263" s="25"/>
      <c r="AU263" s="25"/>
      <c r="AV263" s="26"/>
      <c r="AW263" s="26"/>
      <c r="AX263" s="26"/>
      <c r="AY263" s="26"/>
      <c r="AZ263" s="26"/>
      <c r="BA263" s="26"/>
      <c r="BB263" s="26"/>
      <c r="BC263" s="26"/>
      <c r="BD263" s="27"/>
    </row>
    <row r="264" spans="1:56" ht="15" customHeight="1">
      <c r="A264" s="9"/>
      <c r="B264" s="9"/>
      <c r="C264" s="9"/>
      <c r="D264" s="9"/>
      <c r="E264" s="9"/>
      <c r="F264" s="24"/>
      <c r="G264" s="9"/>
      <c r="H264" s="24"/>
      <c r="I264" s="9"/>
      <c r="J264" s="24"/>
      <c r="K264" s="9"/>
      <c r="L264" s="24"/>
      <c r="M264" s="9"/>
      <c r="N264" s="24"/>
      <c r="O264" s="9"/>
      <c r="P264" s="24"/>
      <c r="Q264" s="9"/>
      <c r="R264" s="24"/>
      <c r="S264" s="9"/>
      <c r="T264" s="24"/>
      <c r="U264" s="9"/>
      <c r="V264" s="24"/>
      <c r="W264" s="9"/>
      <c r="X264" s="24"/>
      <c r="Y264" s="9"/>
      <c r="Z264" s="24"/>
      <c r="AA264" s="9"/>
      <c r="AB264" s="24"/>
      <c r="AC264" s="9"/>
      <c r="AD264" s="24"/>
      <c r="AE264" s="9"/>
      <c r="AF264" s="24"/>
      <c r="AG264" s="9"/>
      <c r="AH264" s="24"/>
      <c r="AI264" s="9"/>
      <c r="AJ264" s="24"/>
      <c r="AK264" s="9"/>
      <c r="AL264" s="24"/>
      <c r="AM264" s="9"/>
      <c r="AN264" s="24"/>
      <c r="AO264" s="9"/>
      <c r="AP264" s="24"/>
      <c r="AQ264" s="9"/>
      <c r="AR264" s="24"/>
      <c r="AS264" s="25"/>
      <c r="AT264" s="25"/>
      <c r="AU264" s="25"/>
      <c r="AV264" s="26"/>
      <c r="AW264" s="26"/>
      <c r="AX264" s="26"/>
      <c r="AY264" s="26"/>
      <c r="AZ264" s="26"/>
      <c r="BA264" s="26"/>
      <c r="BB264" s="26"/>
      <c r="BC264" s="26"/>
      <c r="BD264" s="27"/>
    </row>
    <row r="265" spans="1:56" ht="15" customHeight="1">
      <c r="A265" s="28"/>
      <c r="B265" s="28"/>
      <c r="C265" s="28"/>
      <c r="D265" s="28"/>
      <c r="E265" s="28"/>
      <c r="F265" s="29"/>
      <c r="G265" s="28"/>
      <c r="H265" s="29"/>
      <c r="I265" s="28"/>
      <c r="J265" s="29"/>
      <c r="K265" s="28"/>
      <c r="L265" s="29"/>
      <c r="M265" s="28"/>
      <c r="N265" s="29"/>
      <c r="O265" s="28"/>
      <c r="P265" s="29"/>
      <c r="Q265" s="28"/>
      <c r="R265" s="29"/>
      <c r="S265" s="28"/>
      <c r="T265" s="29"/>
      <c r="U265" s="28"/>
      <c r="V265" s="29"/>
      <c r="W265" s="28"/>
      <c r="X265" s="29"/>
      <c r="Y265" s="28"/>
      <c r="Z265" s="29"/>
      <c r="AA265" s="28"/>
      <c r="AB265" s="29"/>
      <c r="AC265" s="28"/>
      <c r="AD265" s="29"/>
      <c r="AE265" s="28"/>
      <c r="AF265" s="29"/>
      <c r="AG265" s="28"/>
      <c r="AH265" s="29"/>
      <c r="AI265" s="28"/>
      <c r="AJ265" s="29"/>
      <c r="AK265" s="28"/>
      <c r="AL265" s="29"/>
      <c r="AM265" s="28"/>
      <c r="AN265" s="29"/>
      <c r="AO265" s="28"/>
      <c r="AP265" s="29"/>
      <c r="AQ265" s="28"/>
      <c r="AR265" s="29"/>
      <c r="AS265" s="25"/>
      <c r="AT265" s="25"/>
      <c r="AU265" s="25"/>
      <c r="AV265" s="26"/>
      <c r="AW265" s="26"/>
      <c r="AX265" s="26"/>
      <c r="AY265" s="26"/>
      <c r="AZ265" s="26"/>
      <c r="BA265" s="26"/>
      <c r="BB265" s="26"/>
      <c r="BC265" s="26"/>
      <c r="BD265" s="27"/>
    </row>
    <row r="266" spans="1:56" ht="15" customHeight="1">
      <c r="A266" s="9"/>
      <c r="B266" s="9"/>
      <c r="C266" s="9"/>
      <c r="D266" s="9"/>
      <c r="E266" s="9"/>
      <c r="F266" s="24"/>
      <c r="G266" s="9"/>
      <c r="H266" s="24"/>
      <c r="I266" s="9"/>
      <c r="J266" s="24"/>
      <c r="K266" s="9"/>
      <c r="L266" s="24"/>
      <c r="M266" s="9"/>
      <c r="N266" s="24"/>
      <c r="O266" s="9"/>
      <c r="P266" s="24"/>
      <c r="Q266" s="9"/>
      <c r="R266" s="24"/>
      <c r="S266" s="9"/>
      <c r="T266" s="24"/>
      <c r="U266" s="9"/>
      <c r="V266" s="24"/>
      <c r="W266" s="9"/>
      <c r="X266" s="24"/>
      <c r="Y266" s="9"/>
      <c r="Z266" s="24"/>
      <c r="AA266" s="9"/>
      <c r="AB266" s="24"/>
      <c r="AC266" s="9"/>
      <c r="AD266" s="24"/>
      <c r="AE266" s="9"/>
      <c r="AF266" s="24"/>
      <c r="AG266" s="9"/>
      <c r="AH266" s="24"/>
      <c r="AI266" s="9"/>
      <c r="AJ266" s="24"/>
      <c r="AK266" s="9"/>
      <c r="AL266" s="24"/>
      <c r="AM266" s="9"/>
      <c r="AN266" s="24"/>
      <c r="AO266" s="9"/>
      <c r="AP266" s="24"/>
      <c r="AQ266" s="9"/>
      <c r="AR266" s="24"/>
      <c r="AS266" s="25"/>
      <c r="AT266" s="25"/>
      <c r="AU266" s="25"/>
      <c r="AV266" s="26"/>
      <c r="AW266" s="26"/>
      <c r="AX266" s="26"/>
      <c r="AY266" s="26"/>
      <c r="AZ266" s="26"/>
      <c r="BA266" s="26"/>
      <c r="BB266" s="26"/>
      <c r="BC266" s="26"/>
      <c r="BD266" s="27"/>
    </row>
    <row r="267" spans="1:56" ht="15" customHeight="1">
      <c r="A267" s="28"/>
      <c r="B267" s="28"/>
      <c r="C267" s="28"/>
      <c r="D267" s="28"/>
      <c r="E267" s="28"/>
      <c r="F267" s="29"/>
      <c r="G267" s="28"/>
      <c r="H267" s="29"/>
      <c r="I267" s="28"/>
      <c r="J267" s="29"/>
      <c r="K267" s="28"/>
      <c r="L267" s="29"/>
      <c r="M267" s="28"/>
      <c r="N267" s="29"/>
      <c r="O267" s="28"/>
      <c r="P267" s="29"/>
      <c r="Q267" s="28"/>
      <c r="R267" s="29"/>
      <c r="S267" s="28"/>
      <c r="T267" s="29"/>
      <c r="U267" s="28"/>
      <c r="V267" s="29"/>
      <c r="W267" s="28"/>
      <c r="X267" s="29"/>
      <c r="Y267" s="28"/>
      <c r="Z267" s="29"/>
      <c r="AA267" s="28"/>
      <c r="AB267" s="29"/>
      <c r="AC267" s="28"/>
      <c r="AD267" s="29"/>
      <c r="AE267" s="28"/>
      <c r="AF267" s="29"/>
      <c r="AG267" s="28"/>
      <c r="AH267" s="29"/>
      <c r="AI267" s="28"/>
      <c r="AJ267" s="29"/>
      <c r="AK267" s="28"/>
      <c r="AL267" s="29"/>
      <c r="AM267" s="28"/>
      <c r="AN267" s="29"/>
      <c r="AO267" s="28"/>
      <c r="AP267" s="29"/>
      <c r="AQ267" s="28"/>
      <c r="AR267" s="29"/>
      <c r="AS267" s="25"/>
      <c r="AT267" s="25"/>
      <c r="AU267" s="25"/>
      <c r="AV267" s="26"/>
      <c r="AW267" s="26"/>
      <c r="AX267" s="26"/>
      <c r="AY267" s="26"/>
      <c r="AZ267" s="26"/>
      <c r="BA267" s="26"/>
      <c r="BB267" s="26"/>
      <c r="BC267" s="26"/>
      <c r="BD267" s="27"/>
    </row>
    <row r="268" spans="1:56" ht="15" customHeight="1">
      <c r="A268" s="9"/>
      <c r="B268" s="9"/>
      <c r="C268" s="9"/>
      <c r="D268" s="9"/>
      <c r="E268" s="9"/>
      <c r="F268" s="24"/>
      <c r="G268" s="9"/>
      <c r="H268" s="24"/>
      <c r="I268" s="9"/>
      <c r="J268" s="24"/>
      <c r="K268" s="9"/>
      <c r="L268" s="24"/>
      <c r="M268" s="9"/>
      <c r="N268" s="24"/>
      <c r="O268" s="9"/>
      <c r="P268" s="24"/>
      <c r="Q268" s="9"/>
      <c r="R268" s="24"/>
      <c r="S268" s="9"/>
      <c r="T268" s="24"/>
      <c r="U268" s="9"/>
      <c r="V268" s="24"/>
      <c r="W268" s="9"/>
      <c r="X268" s="24"/>
      <c r="Y268" s="9"/>
      <c r="Z268" s="24"/>
      <c r="AA268" s="9"/>
      <c r="AB268" s="24"/>
      <c r="AC268" s="9"/>
      <c r="AD268" s="24"/>
      <c r="AE268" s="9"/>
      <c r="AF268" s="24"/>
      <c r="AG268" s="9"/>
      <c r="AH268" s="24"/>
      <c r="AI268" s="9"/>
      <c r="AJ268" s="24"/>
      <c r="AK268" s="9"/>
      <c r="AL268" s="24"/>
      <c r="AM268" s="9"/>
      <c r="AN268" s="24"/>
      <c r="AO268" s="9"/>
      <c r="AP268" s="24"/>
      <c r="AQ268" s="9"/>
      <c r="AR268" s="24"/>
      <c r="AS268" s="25"/>
      <c r="AT268" s="25"/>
      <c r="AU268" s="25"/>
      <c r="AV268" s="26"/>
      <c r="AW268" s="26"/>
      <c r="AX268" s="26"/>
      <c r="AY268" s="26"/>
      <c r="AZ268" s="26"/>
      <c r="BA268" s="26"/>
      <c r="BB268" s="26"/>
      <c r="BC268" s="26"/>
      <c r="BD268" s="27"/>
    </row>
    <row r="269" spans="1:56" ht="15" customHeight="1">
      <c r="A269" s="28"/>
      <c r="B269" s="28"/>
      <c r="C269" s="28"/>
      <c r="D269" s="28"/>
      <c r="E269" s="28"/>
      <c r="F269" s="29"/>
      <c r="G269" s="28"/>
      <c r="H269" s="29"/>
      <c r="I269" s="28"/>
      <c r="J269" s="29"/>
      <c r="K269" s="28"/>
      <c r="L269" s="29"/>
      <c r="M269" s="28"/>
      <c r="N269" s="29"/>
      <c r="O269" s="28"/>
      <c r="P269" s="29"/>
      <c r="Q269" s="28"/>
      <c r="R269" s="29"/>
      <c r="S269" s="28"/>
      <c r="T269" s="29"/>
      <c r="U269" s="28"/>
      <c r="V269" s="29"/>
      <c r="W269" s="28"/>
      <c r="X269" s="29"/>
      <c r="Y269" s="28"/>
      <c r="Z269" s="29"/>
      <c r="AA269" s="28"/>
      <c r="AB269" s="29"/>
      <c r="AC269" s="28"/>
      <c r="AD269" s="29"/>
      <c r="AE269" s="28"/>
      <c r="AF269" s="29"/>
      <c r="AG269" s="28"/>
      <c r="AH269" s="29"/>
      <c r="AI269" s="28"/>
      <c r="AJ269" s="29"/>
      <c r="AK269" s="28"/>
      <c r="AL269" s="29"/>
      <c r="AM269" s="28"/>
      <c r="AN269" s="29"/>
      <c r="AO269" s="28"/>
      <c r="AP269" s="29"/>
      <c r="AQ269" s="28"/>
      <c r="AR269" s="29"/>
      <c r="AS269" s="25"/>
      <c r="AT269" s="25"/>
      <c r="AU269" s="25"/>
      <c r="AV269" s="26"/>
      <c r="AW269" s="26"/>
      <c r="AX269" s="26"/>
      <c r="AY269" s="26"/>
      <c r="AZ269" s="26"/>
      <c r="BA269" s="26"/>
      <c r="BB269" s="26"/>
      <c r="BC269" s="26"/>
      <c r="BD269" s="27"/>
    </row>
    <row r="270" spans="1:56" ht="15" customHeight="1">
      <c r="A270" s="9"/>
      <c r="B270" s="9"/>
      <c r="C270" s="9"/>
      <c r="D270" s="9"/>
      <c r="E270" s="9"/>
      <c r="F270" s="24"/>
      <c r="G270" s="9"/>
      <c r="H270" s="24"/>
      <c r="I270" s="9"/>
      <c r="J270" s="24"/>
      <c r="K270" s="9"/>
      <c r="L270" s="24"/>
      <c r="M270" s="9"/>
      <c r="N270" s="24"/>
      <c r="O270" s="9"/>
      <c r="P270" s="24"/>
      <c r="Q270" s="9"/>
      <c r="R270" s="24"/>
      <c r="S270" s="9"/>
      <c r="T270" s="24"/>
      <c r="U270" s="9"/>
      <c r="V270" s="24"/>
      <c r="W270" s="9"/>
      <c r="X270" s="24"/>
      <c r="Y270" s="9"/>
      <c r="Z270" s="24"/>
      <c r="AA270" s="9"/>
      <c r="AB270" s="24"/>
      <c r="AC270" s="9"/>
      <c r="AD270" s="24"/>
      <c r="AE270" s="9"/>
      <c r="AF270" s="24"/>
      <c r="AG270" s="9"/>
      <c r="AH270" s="24"/>
      <c r="AI270" s="9"/>
      <c r="AJ270" s="24"/>
      <c r="AK270" s="9"/>
      <c r="AL270" s="24"/>
      <c r="AM270" s="9"/>
      <c r="AN270" s="24"/>
      <c r="AO270" s="9"/>
      <c r="AP270" s="24"/>
      <c r="AQ270" s="9"/>
      <c r="AR270" s="24"/>
      <c r="AS270" s="25"/>
      <c r="AT270" s="25"/>
      <c r="AU270" s="25"/>
      <c r="AV270" s="26"/>
      <c r="AW270" s="26"/>
      <c r="AX270" s="26"/>
      <c r="AY270" s="26"/>
      <c r="AZ270" s="26"/>
      <c r="BA270" s="26"/>
      <c r="BB270" s="26"/>
      <c r="BC270" s="26"/>
      <c r="BD270" s="27"/>
    </row>
    <row r="271" spans="1:56" ht="15" customHeight="1">
      <c r="A271" s="28"/>
      <c r="B271" s="28"/>
      <c r="C271" s="28"/>
      <c r="D271" s="28"/>
      <c r="E271" s="28"/>
      <c r="F271" s="29"/>
      <c r="G271" s="28"/>
      <c r="H271" s="29"/>
      <c r="I271" s="28"/>
      <c r="J271" s="29"/>
      <c r="K271" s="28"/>
      <c r="L271" s="29"/>
      <c r="M271" s="28"/>
      <c r="N271" s="29"/>
      <c r="O271" s="28"/>
      <c r="P271" s="29"/>
      <c r="Q271" s="28"/>
      <c r="R271" s="29"/>
      <c r="S271" s="28"/>
      <c r="T271" s="29"/>
      <c r="U271" s="28"/>
      <c r="V271" s="29"/>
      <c r="W271" s="28"/>
      <c r="X271" s="29"/>
      <c r="Y271" s="28"/>
      <c r="Z271" s="29"/>
      <c r="AA271" s="28"/>
      <c r="AB271" s="29"/>
      <c r="AC271" s="28"/>
      <c r="AD271" s="29"/>
      <c r="AE271" s="28"/>
      <c r="AF271" s="29"/>
      <c r="AG271" s="28"/>
      <c r="AH271" s="29"/>
      <c r="AI271" s="28"/>
      <c r="AJ271" s="29"/>
      <c r="AK271" s="28"/>
      <c r="AL271" s="29"/>
      <c r="AM271" s="28"/>
      <c r="AN271" s="29"/>
      <c r="AO271" s="28"/>
      <c r="AP271" s="29"/>
      <c r="AQ271" s="28"/>
      <c r="AR271" s="29"/>
      <c r="AS271" s="25"/>
      <c r="AT271" s="25"/>
      <c r="AU271" s="25"/>
      <c r="AV271" s="26"/>
      <c r="AW271" s="26"/>
      <c r="AX271" s="26"/>
      <c r="AY271" s="26"/>
      <c r="AZ271" s="26"/>
      <c r="BA271" s="26"/>
      <c r="BB271" s="26"/>
      <c r="BC271" s="26"/>
      <c r="BD271" s="27"/>
    </row>
    <row r="272" spans="1:56" ht="15" customHeight="1">
      <c r="A272" s="9"/>
      <c r="B272" s="9"/>
      <c r="C272" s="9"/>
      <c r="D272" s="9"/>
      <c r="E272" s="9"/>
      <c r="F272" s="24"/>
      <c r="G272" s="9"/>
      <c r="H272" s="24"/>
      <c r="I272" s="9"/>
      <c r="J272" s="24"/>
      <c r="K272" s="9"/>
      <c r="L272" s="24"/>
      <c r="M272" s="9"/>
      <c r="N272" s="24"/>
      <c r="O272" s="9"/>
      <c r="P272" s="24"/>
      <c r="Q272" s="9"/>
      <c r="R272" s="24"/>
      <c r="S272" s="9"/>
      <c r="T272" s="24"/>
      <c r="U272" s="9"/>
      <c r="V272" s="24"/>
      <c r="W272" s="9"/>
      <c r="X272" s="24"/>
      <c r="Y272" s="9"/>
      <c r="Z272" s="24"/>
      <c r="AA272" s="9"/>
      <c r="AB272" s="24"/>
      <c r="AC272" s="9"/>
      <c r="AD272" s="24"/>
      <c r="AE272" s="9"/>
      <c r="AF272" s="24"/>
      <c r="AG272" s="9"/>
      <c r="AH272" s="24"/>
      <c r="AI272" s="9"/>
      <c r="AJ272" s="24"/>
      <c r="AK272" s="9"/>
      <c r="AL272" s="24"/>
      <c r="AM272" s="9"/>
      <c r="AN272" s="24"/>
      <c r="AO272" s="9"/>
      <c r="AP272" s="24"/>
      <c r="AQ272" s="9"/>
      <c r="AR272" s="24"/>
      <c r="AS272" s="25"/>
      <c r="AT272" s="25"/>
      <c r="AU272" s="25"/>
      <c r="AV272" s="26"/>
      <c r="AW272" s="26"/>
      <c r="AX272" s="26"/>
      <c r="AY272" s="26"/>
      <c r="AZ272" s="26"/>
      <c r="BA272" s="26"/>
      <c r="BB272" s="26"/>
      <c r="BC272" s="26"/>
      <c r="BD272" s="27"/>
    </row>
    <row r="273" spans="1:56" ht="15" customHeight="1">
      <c r="A273" s="28"/>
      <c r="B273" s="28"/>
      <c r="C273" s="28"/>
      <c r="D273" s="28"/>
      <c r="E273" s="28"/>
      <c r="F273" s="29"/>
      <c r="G273" s="28"/>
      <c r="H273" s="29"/>
      <c r="I273" s="28"/>
      <c r="J273" s="29"/>
      <c r="K273" s="28"/>
      <c r="L273" s="29"/>
      <c r="M273" s="28"/>
      <c r="N273" s="29"/>
      <c r="O273" s="28"/>
      <c r="P273" s="29"/>
      <c r="Q273" s="28"/>
      <c r="R273" s="29"/>
      <c r="S273" s="28"/>
      <c r="T273" s="29"/>
      <c r="U273" s="28"/>
      <c r="V273" s="29"/>
      <c r="W273" s="28"/>
      <c r="X273" s="29"/>
      <c r="Y273" s="28"/>
      <c r="Z273" s="29"/>
      <c r="AA273" s="28"/>
      <c r="AB273" s="29"/>
      <c r="AC273" s="28"/>
      <c r="AD273" s="29"/>
      <c r="AE273" s="28"/>
      <c r="AF273" s="29"/>
      <c r="AG273" s="28"/>
      <c r="AH273" s="29"/>
      <c r="AI273" s="28"/>
      <c r="AJ273" s="29"/>
      <c r="AK273" s="28"/>
      <c r="AL273" s="29"/>
      <c r="AM273" s="28"/>
      <c r="AN273" s="29"/>
      <c r="AO273" s="28"/>
      <c r="AP273" s="29"/>
      <c r="AQ273" s="28"/>
      <c r="AR273" s="29"/>
      <c r="AS273" s="25"/>
      <c r="AT273" s="25"/>
      <c r="AU273" s="25"/>
      <c r="AV273" s="26"/>
      <c r="AW273" s="26"/>
      <c r="AX273" s="26"/>
      <c r="AY273" s="26"/>
      <c r="AZ273" s="26"/>
      <c r="BA273" s="26"/>
      <c r="BB273" s="26"/>
      <c r="BC273" s="26"/>
      <c r="BD273" s="27"/>
    </row>
    <row r="274" spans="1:56" ht="15" customHeight="1">
      <c r="A274" s="9"/>
      <c r="B274" s="9"/>
      <c r="C274" s="9"/>
      <c r="D274" s="9"/>
      <c r="E274" s="9"/>
      <c r="F274" s="24"/>
      <c r="G274" s="9"/>
      <c r="H274" s="24"/>
      <c r="I274" s="9"/>
      <c r="J274" s="24"/>
      <c r="K274" s="9"/>
      <c r="L274" s="24"/>
      <c r="M274" s="9"/>
      <c r="N274" s="24"/>
      <c r="O274" s="9"/>
      <c r="P274" s="24"/>
      <c r="Q274" s="9"/>
      <c r="R274" s="24"/>
      <c r="S274" s="9"/>
      <c r="T274" s="24"/>
      <c r="U274" s="9"/>
      <c r="V274" s="24"/>
      <c r="W274" s="9"/>
      <c r="X274" s="24"/>
      <c r="Y274" s="9"/>
      <c r="Z274" s="24"/>
      <c r="AA274" s="9"/>
      <c r="AB274" s="24"/>
      <c r="AC274" s="9"/>
      <c r="AD274" s="24"/>
      <c r="AE274" s="9"/>
      <c r="AF274" s="24"/>
      <c r="AG274" s="9"/>
      <c r="AH274" s="24"/>
      <c r="AI274" s="9"/>
      <c r="AJ274" s="24"/>
      <c r="AK274" s="9"/>
      <c r="AL274" s="24"/>
      <c r="AM274" s="9"/>
      <c r="AN274" s="24"/>
      <c r="AO274" s="9"/>
      <c r="AP274" s="24"/>
      <c r="AQ274" s="9"/>
      <c r="AR274" s="24"/>
      <c r="AS274" s="25"/>
      <c r="AT274" s="25"/>
      <c r="AU274" s="25"/>
      <c r="AV274" s="26"/>
      <c r="AW274" s="26"/>
      <c r="AX274" s="26"/>
      <c r="AY274" s="26"/>
      <c r="AZ274" s="26"/>
      <c r="BA274" s="26"/>
      <c r="BB274" s="26"/>
      <c r="BC274" s="26"/>
      <c r="BD274" s="27"/>
    </row>
    <row r="275" spans="1:56" ht="15" customHeight="1">
      <c r="A275" s="28"/>
      <c r="B275" s="28"/>
      <c r="C275" s="28"/>
      <c r="D275" s="28"/>
      <c r="E275" s="28"/>
      <c r="F275" s="29"/>
      <c r="G275" s="28"/>
      <c r="H275" s="29"/>
      <c r="I275" s="28"/>
      <c r="J275" s="29"/>
      <c r="K275" s="28"/>
      <c r="L275" s="29"/>
      <c r="M275" s="28"/>
      <c r="N275" s="29"/>
      <c r="O275" s="28"/>
      <c r="P275" s="29"/>
      <c r="Q275" s="28"/>
      <c r="R275" s="29"/>
      <c r="S275" s="28"/>
      <c r="T275" s="29"/>
      <c r="U275" s="28"/>
      <c r="V275" s="29"/>
      <c r="W275" s="28"/>
      <c r="X275" s="29"/>
      <c r="Y275" s="28"/>
      <c r="Z275" s="29"/>
      <c r="AA275" s="28"/>
      <c r="AB275" s="29"/>
      <c r="AC275" s="28"/>
      <c r="AD275" s="29"/>
      <c r="AE275" s="28"/>
      <c r="AF275" s="29"/>
      <c r="AG275" s="28"/>
      <c r="AH275" s="29"/>
      <c r="AI275" s="28"/>
      <c r="AJ275" s="29"/>
      <c r="AK275" s="28"/>
      <c r="AL275" s="29"/>
      <c r="AM275" s="28"/>
      <c r="AN275" s="29"/>
      <c r="AO275" s="28"/>
      <c r="AP275" s="29"/>
      <c r="AQ275" s="28"/>
      <c r="AR275" s="29"/>
      <c r="AS275" s="25"/>
      <c r="AT275" s="25"/>
      <c r="AU275" s="25"/>
      <c r="AV275" s="26"/>
      <c r="AW275" s="26"/>
      <c r="AX275" s="26"/>
      <c r="AY275" s="26"/>
      <c r="AZ275" s="26"/>
      <c r="BA275" s="26"/>
      <c r="BB275" s="26"/>
      <c r="BC275" s="26"/>
      <c r="BD275" s="27"/>
    </row>
    <row r="276" spans="1:56" ht="15" customHeight="1">
      <c r="A276" s="9"/>
      <c r="B276" s="9"/>
      <c r="C276" s="9"/>
      <c r="D276" s="9"/>
      <c r="E276" s="9"/>
      <c r="F276" s="24"/>
      <c r="G276" s="9"/>
      <c r="H276" s="24"/>
      <c r="I276" s="9"/>
      <c r="J276" s="24"/>
      <c r="K276" s="9"/>
      <c r="L276" s="24"/>
      <c r="M276" s="9"/>
      <c r="N276" s="24"/>
      <c r="O276" s="9"/>
      <c r="P276" s="24"/>
      <c r="Q276" s="9"/>
      <c r="R276" s="24"/>
      <c r="S276" s="9"/>
      <c r="T276" s="24"/>
      <c r="U276" s="9"/>
      <c r="V276" s="24"/>
      <c r="W276" s="9"/>
      <c r="X276" s="24"/>
      <c r="Y276" s="9"/>
      <c r="Z276" s="24"/>
      <c r="AA276" s="9"/>
      <c r="AB276" s="24"/>
      <c r="AC276" s="9"/>
      <c r="AD276" s="24"/>
      <c r="AE276" s="9"/>
      <c r="AF276" s="24"/>
      <c r="AG276" s="9"/>
      <c r="AH276" s="24"/>
      <c r="AI276" s="9"/>
      <c r="AJ276" s="24"/>
      <c r="AK276" s="9"/>
      <c r="AL276" s="24"/>
      <c r="AM276" s="9"/>
      <c r="AN276" s="24"/>
      <c r="AO276" s="9"/>
      <c r="AP276" s="24"/>
      <c r="AQ276" s="9"/>
      <c r="AR276" s="24"/>
      <c r="AS276" s="25"/>
      <c r="AT276" s="25"/>
      <c r="AU276" s="25"/>
      <c r="AV276" s="26"/>
      <c r="AW276" s="26"/>
      <c r="AX276" s="26"/>
      <c r="AY276" s="26"/>
      <c r="AZ276" s="26"/>
      <c r="BA276" s="26"/>
      <c r="BB276" s="26"/>
      <c r="BC276" s="26"/>
      <c r="BD276" s="27"/>
    </row>
    <row r="277" spans="1:56" ht="15" customHeight="1">
      <c r="A277" s="28"/>
      <c r="B277" s="28"/>
      <c r="C277" s="28"/>
      <c r="D277" s="28"/>
      <c r="E277" s="28"/>
      <c r="F277" s="29"/>
      <c r="G277" s="28"/>
      <c r="H277" s="29"/>
      <c r="I277" s="28"/>
      <c r="J277" s="29"/>
      <c r="K277" s="28"/>
      <c r="L277" s="29"/>
      <c r="M277" s="28"/>
      <c r="N277" s="29"/>
      <c r="O277" s="28"/>
      <c r="P277" s="29"/>
      <c r="Q277" s="28"/>
      <c r="R277" s="29"/>
      <c r="S277" s="28"/>
      <c r="T277" s="29"/>
      <c r="U277" s="28"/>
      <c r="V277" s="29"/>
      <c r="W277" s="28"/>
      <c r="X277" s="29"/>
      <c r="Y277" s="28"/>
      <c r="Z277" s="29"/>
      <c r="AA277" s="28"/>
      <c r="AB277" s="29"/>
      <c r="AC277" s="28"/>
      <c r="AD277" s="29"/>
      <c r="AE277" s="28"/>
      <c r="AF277" s="29"/>
      <c r="AG277" s="28"/>
      <c r="AH277" s="29"/>
      <c r="AI277" s="28"/>
      <c r="AJ277" s="29"/>
      <c r="AK277" s="28"/>
      <c r="AL277" s="29"/>
      <c r="AM277" s="28"/>
      <c r="AN277" s="29"/>
      <c r="AO277" s="28"/>
      <c r="AP277" s="29"/>
      <c r="AQ277" s="28"/>
      <c r="AR277" s="29"/>
      <c r="AS277" s="25"/>
      <c r="AT277" s="25"/>
      <c r="AU277" s="25"/>
      <c r="AV277" s="26"/>
      <c r="AW277" s="26"/>
      <c r="AX277" s="26"/>
      <c r="AY277" s="26"/>
      <c r="AZ277" s="26"/>
      <c r="BA277" s="26"/>
      <c r="BB277" s="26"/>
      <c r="BC277" s="26"/>
      <c r="BD277" s="27"/>
    </row>
    <row r="278" spans="1:56" ht="15" customHeight="1">
      <c r="A278" s="9"/>
      <c r="B278" s="9"/>
      <c r="C278" s="9"/>
      <c r="D278" s="9"/>
      <c r="E278" s="9"/>
      <c r="F278" s="24"/>
      <c r="G278" s="9"/>
      <c r="H278" s="24"/>
      <c r="I278" s="9"/>
      <c r="J278" s="24"/>
      <c r="K278" s="9"/>
      <c r="L278" s="24"/>
      <c r="M278" s="9"/>
      <c r="N278" s="24"/>
      <c r="O278" s="9"/>
      <c r="P278" s="24"/>
      <c r="Q278" s="9"/>
      <c r="R278" s="24"/>
      <c r="S278" s="9"/>
      <c r="T278" s="24"/>
      <c r="U278" s="9"/>
      <c r="V278" s="24"/>
      <c r="W278" s="9"/>
      <c r="X278" s="24"/>
      <c r="Y278" s="9"/>
      <c r="Z278" s="24"/>
      <c r="AA278" s="9"/>
      <c r="AB278" s="24"/>
      <c r="AC278" s="9"/>
      <c r="AD278" s="24"/>
      <c r="AE278" s="9"/>
      <c r="AF278" s="24"/>
      <c r="AG278" s="9"/>
      <c r="AH278" s="24"/>
      <c r="AI278" s="9"/>
      <c r="AJ278" s="24"/>
      <c r="AK278" s="9"/>
      <c r="AL278" s="24"/>
      <c r="AM278" s="9"/>
      <c r="AN278" s="24"/>
      <c r="AO278" s="9"/>
      <c r="AP278" s="24"/>
      <c r="AQ278" s="9"/>
      <c r="AR278" s="24"/>
      <c r="AS278" s="25"/>
      <c r="AT278" s="25"/>
      <c r="AU278" s="25"/>
      <c r="AV278" s="26"/>
      <c r="AW278" s="26"/>
      <c r="AX278" s="26"/>
      <c r="AY278" s="26"/>
      <c r="AZ278" s="26"/>
      <c r="BA278" s="26"/>
      <c r="BB278" s="26"/>
      <c r="BC278" s="26"/>
      <c r="BD278" s="27"/>
    </row>
    <row r="279" spans="1:56" ht="15" customHeight="1">
      <c r="A279" s="28"/>
      <c r="B279" s="28"/>
      <c r="C279" s="28"/>
      <c r="D279" s="28"/>
      <c r="E279" s="28"/>
      <c r="F279" s="29"/>
      <c r="G279" s="28"/>
      <c r="H279" s="29"/>
      <c r="I279" s="28"/>
      <c r="J279" s="29"/>
      <c r="K279" s="28"/>
      <c r="L279" s="29"/>
      <c r="M279" s="28"/>
      <c r="N279" s="29"/>
      <c r="O279" s="28"/>
      <c r="P279" s="29"/>
      <c r="Q279" s="28"/>
      <c r="R279" s="29"/>
      <c r="S279" s="28"/>
      <c r="T279" s="29"/>
      <c r="U279" s="28"/>
      <c r="V279" s="29"/>
      <c r="W279" s="28"/>
      <c r="X279" s="29"/>
      <c r="Y279" s="28"/>
      <c r="Z279" s="29"/>
      <c r="AA279" s="28"/>
      <c r="AB279" s="29"/>
      <c r="AC279" s="28"/>
      <c r="AD279" s="29"/>
      <c r="AE279" s="28"/>
      <c r="AF279" s="29"/>
      <c r="AG279" s="28"/>
      <c r="AH279" s="29"/>
      <c r="AI279" s="28"/>
      <c r="AJ279" s="29"/>
      <c r="AK279" s="28"/>
      <c r="AL279" s="29"/>
      <c r="AM279" s="28"/>
      <c r="AN279" s="29"/>
      <c r="AO279" s="28"/>
      <c r="AP279" s="29"/>
      <c r="AQ279" s="28"/>
      <c r="AR279" s="29"/>
      <c r="AS279" s="25"/>
      <c r="AT279" s="25"/>
      <c r="AU279" s="25"/>
      <c r="AV279" s="26"/>
      <c r="AW279" s="26"/>
      <c r="AX279" s="26"/>
      <c r="AY279" s="26"/>
      <c r="AZ279" s="26"/>
      <c r="BA279" s="26"/>
      <c r="BB279" s="26"/>
      <c r="BC279" s="26"/>
      <c r="BD279" s="27"/>
    </row>
    <row r="280" spans="1:56" ht="15" customHeight="1">
      <c r="A280" s="9"/>
      <c r="B280" s="9"/>
      <c r="C280" s="9"/>
      <c r="D280" s="9"/>
      <c r="E280" s="9"/>
      <c r="F280" s="24"/>
      <c r="G280" s="9"/>
      <c r="H280" s="24"/>
      <c r="I280" s="9"/>
      <c r="J280" s="24"/>
      <c r="K280" s="9"/>
      <c r="L280" s="24"/>
      <c r="M280" s="9"/>
      <c r="N280" s="24"/>
      <c r="O280" s="9"/>
      <c r="P280" s="24"/>
      <c r="Q280" s="9"/>
      <c r="R280" s="24"/>
      <c r="S280" s="9"/>
      <c r="T280" s="24"/>
      <c r="U280" s="9"/>
      <c r="V280" s="24"/>
      <c r="W280" s="9"/>
      <c r="X280" s="24"/>
      <c r="Y280" s="9"/>
      <c r="Z280" s="24"/>
      <c r="AA280" s="9"/>
      <c r="AB280" s="24"/>
      <c r="AC280" s="9"/>
      <c r="AD280" s="24"/>
      <c r="AE280" s="9"/>
      <c r="AF280" s="24"/>
      <c r="AG280" s="9"/>
      <c r="AH280" s="24"/>
      <c r="AI280" s="9"/>
      <c r="AJ280" s="24"/>
      <c r="AK280" s="9"/>
      <c r="AL280" s="24"/>
      <c r="AM280" s="9"/>
      <c r="AN280" s="24"/>
      <c r="AO280" s="9"/>
      <c r="AP280" s="24"/>
      <c r="AQ280" s="9"/>
      <c r="AR280" s="24"/>
      <c r="AS280" s="25"/>
      <c r="AT280" s="25"/>
      <c r="AU280" s="25"/>
      <c r="AV280" s="26"/>
      <c r="AW280" s="26"/>
      <c r="AX280" s="26"/>
      <c r="AY280" s="26"/>
      <c r="AZ280" s="26"/>
      <c r="BA280" s="26"/>
      <c r="BB280" s="26"/>
      <c r="BC280" s="26"/>
      <c r="BD280" s="27"/>
    </row>
    <row r="281" spans="1:56" ht="15" customHeight="1">
      <c r="A281" s="28"/>
      <c r="B281" s="28"/>
      <c r="C281" s="28"/>
      <c r="D281" s="28"/>
      <c r="E281" s="28"/>
      <c r="F281" s="29"/>
      <c r="G281" s="28"/>
      <c r="H281" s="29"/>
      <c r="I281" s="28"/>
      <c r="J281" s="29"/>
      <c r="K281" s="28"/>
      <c r="L281" s="29"/>
      <c r="M281" s="28"/>
      <c r="N281" s="29"/>
      <c r="O281" s="28"/>
      <c r="P281" s="29"/>
      <c r="Q281" s="28"/>
      <c r="R281" s="29"/>
      <c r="S281" s="28"/>
      <c r="T281" s="29"/>
      <c r="U281" s="28"/>
      <c r="V281" s="29"/>
      <c r="W281" s="28"/>
      <c r="X281" s="29"/>
      <c r="Y281" s="28"/>
      <c r="Z281" s="29"/>
      <c r="AA281" s="28"/>
      <c r="AB281" s="29"/>
      <c r="AC281" s="28"/>
      <c r="AD281" s="29"/>
      <c r="AE281" s="28"/>
      <c r="AF281" s="29"/>
      <c r="AG281" s="28"/>
      <c r="AH281" s="29"/>
      <c r="AI281" s="28"/>
      <c r="AJ281" s="29"/>
      <c r="AK281" s="28"/>
      <c r="AL281" s="29"/>
      <c r="AM281" s="28"/>
      <c r="AN281" s="29"/>
      <c r="AO281" s="28"/>
      <c r="AP281" s="29"/>
      <c r="AQ281" s="28"/>
      <c r="AR281" s="29"/>
      <c r="AS281" s="25"/>
      <c r="AT281" s="25"/>
      <c r="AU281" s="25"/>
      <c r="AV281" s="26"/>
      <c r="AW281" s="26"/>
      <c r="AX281" s="26"/>
      <c r="AY281" s="26"/>
      <c r="AZ281" s="26"/>
      <c r="BA281" s="26"/>
      <c r="BB281" s="26"/>
      <c r="BC281" s="26"/>
      <c r="BD281" s="27"/>
    </row>
    <row r="282" spans="1:56" ht="15" customHeight="1">
      <c r="A282" s="9"/>
      <c r="B282" s="9"/>
      <c r="C282" s="9"/>
      <c r="D282" s="9"/>
      <c r="E282" s="9"/>
      <c r="F282" s="24"/>
      <c r="G282" s="9"/>
      <c r="H282" s="24"/>
      <c r="I282" s="9"/>
      <c r="J282" s="24"/>
      <c r="K282" s="9"/>
      <c r="L282" s="24"/>
      <c r="M282" s="9"/>
      <c r="N282" s="24"/>
      <c r="O282" s="9"/>
      <c r="P282" s="24"/>
      <c r="Q282" s="9"/>
      <c r="R282" s="24"/>
      <c r="S282" s="9"/>
      <c r="T282" s="24"/>
      <c r="U282" s="9"/>
      <c r="V282" s="24"/>
      <c r="W282" s="9"/>
      <c r="X282" s="24"/>
      <c r="Y282" s="9"/>
      <c r="Z282" s="24"/>
      <c r="AA282" s="9"/>
      <c r="AB282" s="24"/>
      <c r="AC282" s="9"/>
      <c r="AD282" s="24"/>
      <c r="AE282" s="9"/>
      <c r="AF282" s="24"/>
      <c r="AG282" s="9"/>
      <c r="AH282" s="24"/>
      <c r="AI282" s="9"/>
      <c r="AJ282" s="24"/>
      <c r="AK282" s="9"/>
      <c r="AL282" s="24"/>
      <c r="AM282" s="9"/>
      <c r="AN282" s="24"/>
      <c r="AO282" s="9"/>
      <c r="AP282" s="24"/>
      <c r="AQ282" s="9"/>
      <c r="AR282" s="24"/>
      <c r="AS282" s="25"/>
      <c r="AT282" s="25"/>
      <c r="AU282" s="25"/>
      <c r="AV282" s="26"/>
      <c r="AW282" s="26"/>
      <c r="AX282" s="26"/>
      <c r="AY282" s="26"/>
      <c r="AZ282" s="26"/>
      <c r="BA282" s="26"/>
      <c r="BB282" s="26"/>
      <c r="BC282" s="26"/>
      <c r="BD282" s="27"/>
    </row>
    <row r="283" spans="1:56" ht="15" customHeight="1">
      <c r="A283" s="28"/>
      <c r="B283" s="28"/>
      <c r="C283" s="28"/>
      <c r="D283" s="28"/>
      <c r="E283" s="28"/>
      <c r="F283" s="29"/>
      <c r="G283" s="28"/>
      <c r="H283" s="29"/>
      <c r="I283" s="28"/>
      <c r="J283" s="29"/>
      <c r="K283" s="28"/>
      <c r="L283" s="29"/>
      <c r="M283" s="28"/>
      <c r="N283" s="29"/>
      <c r="O283" s="28"/>
      <c r="P283" s="29"/>
      <c r="Q283" s="28"/>
      <c r="R283" s="29"/>
      <c r="S283" s="28"/>
      <c r="T283" s="29"/>
      <c r="U283" s="28"/>
      <c r="V283" s="29"/>
      <c r="W283" s="28"/>
      <c r="X283" s="29"/>
      <c r="Y283" s="28"/>
      <c r="Z283" s="29"/>
      <c r="AA283" s="28"/>
      <c r="AB283" s="29"/>
      <c r="AC283" s="28"/>
      <c r="AD283" s="29"/>
      <c r="AE283" s="28"/>
      <c r="AF283" s="29"/>
      <c r="AG283" s="28"/>
      <c r="AH283" s="29"/>
      <c r="AI283" s="28"/>
      <c r="AJ283" s="29"/>
      <c r="AK283" s="28"/>
      <c r="AL283" s="29"/>
      <c r="AM283" s="28"/>
      <c r="AN283" s="29"/>
      <c r="AO283" s="28"/>
      <c r="AP283" s="29"/>
      <c r="AQ283" s="28"/>
      <c r="AR283" s="29"/>
      <c r="AS283" s="25"/>
      <c r="AT283" s="25"/>
      <c r="AU283" s="25"/>
      <c r="AV283" s="26"/>
      <c r="AW283" s="26"/>
      <c r="AX283" s="26"/>
      <c r="AY283" s="26"/>
      <c r="AZ283" s="26"/>
      <c r="BA283" s="26"/>
      <c r="BB283" s="26"/>
      <c r="BC283" s="26"/>
      <c r="BD283" s="27"/>
    </row>
    <row r="284" spans="1:56" ht="15" customHeight="1">
      <c r="A284" s="9"/>
      <c r="B284" s="9"/>
      <c r="C284" s="9"/>
      <c r="D284" s="9"/>
      <c r="E284" s="9"/>
      <c r="F284" s="24"/>
      <c r="G284" s="9"/>
      <c r="H284" s="24"/>
      <c r="I284" s="9"/>
      <c r="J284" s="24"/>
      <c r="K284" s="9"/>
      <c r="L284" s="24"/>
      <c r="M284" s="9"/>
      <c r="N284" s="24"/>
      <c r="O284" s="9"/>
      <c r="P284" s="24"/>
      <c r="Q284" s="9"/>
      <c r="R284" s="24"/>
      <c r="S284" s="9"/>
      <c r="T284" s="24"/>
      <c r="U284" s="9"/>
      <c r="V284" s="24"/>
      <c r="W284" s="9"/>
      <c r="X284" s="24"/>
      <c r="Y284" s="9"/>
      <c r="Z284" s="24"/>
      <c r="AA284" s="9"/>
      <c r="AB284" s="24"/>
      <c r="AC284" s="9"/>
      <c r="AD284" s="24"/>
      <c r="AE284" s="9"/>
      <c r="AF284" s="24"/>
      <c r="AG284" s="9"/>
      <c r="AH284" s="24"/>
      <c r="AI284" s="9"/>
      <c r="AJ284" s="24"/>
      <c r="AK284" s="9"/>
      <c r="AL284" s="24"/>
      <c r="AM284" s="9"/>
      <c r="AN284" s="24"/>
      <c r="AO284" s="9"/>
      <c r="AP284" s="24"/>
      <c r="AQ284" s="9"/>
      <c r="AR284" s="24"/>
      <c r="AS284" s="25"/>
      <c r="AT284" s="25"/>
      <c r="AU284" s="25"/>
      <c r="AV284" s="26"/>
      <c r="AW284" s="26"/>
      <c r="AX284" s="26"/>
      <c r="AY284" s="26"/>
      <c r="AZ284" s="26"/>
      <c r="BA284" s="26"/>
      <c r="BB284" s="26"/>
      <c r="BC284" s="26"/>
      <c r="BD284" s="27"/>
    </row>
    <row r="285" spans="1:56" ht="15" customHeight="1">
      <c r="A285" s="28"/>
      <c r="B285" s="28"/>
      <c r="C285" s="28"/>
      <c r="D285" s="28"/>
      <c r="E285" s="28"/>
      <c r="F285" s="29"/>
      <c r="G285" s="28"/>
      <c r="H285" s="29"/>
      <c r="I285" s="28"/>
      <c r="J285" s="29"/>
      <c r="K285" s="28"/>
      <c r="L285" s="29"/>
      <c r="M285" s="28"/>
      <c r="N285" s="29"/>
      <c r="O285" s="28"/>
      <c r="P285" s="29"/>
      <c r="Q285" s="28"/>
      <c r="R285" s="29"/>
      <c r="S285" s="28"/>
      <c r="T285" s="29"/>
      <c r="U285" s="28"/>
      <c r="V285" s="29"/>
      <c r="W285" s="28"/>
      <c r="X285" s="29"/>
      <c r="Y285" s="28"/>
      <c r="Z285" s="29"/>
      <c r="AA285" s="28"/>
      <c r="AB285" s="29"/>
      <c r="AC285" s="28"/>
      <c r="AD285" s="29"/>
      <c r="AE285" s="28"/>
      <c r="AF285" s="29"/>
      <c r="AG285" s="28"/>
      <c r="AH285" s="29"/>
      <c r="AI285" s="28"/>
      <c r="AJ285" s="29"/>
      <c r="AK285" s="28"/>
      <c r="AL285" s="29"/>
      <c r="AM285" s="28"/>
      <c r="AN285" s="29"/>
      <c r="AO285" s="28"/>
      <c r="AP285" s="29"/>
      <c r="AQ285" s="28"/>
      <c r="AR285" s="29"/>
      <c r="AS285" s="25"/>
      <c r="AT285" s="25"/>
      <c r="AU285" s="25"/>
      <c r="AV285" s="26"/>
      <c r="AW285" s="26"/>
      <c r="AX285" s="26"/>
      <c r="AY285" s="26"/>
      <c r="AZ285" s="26"/>
      <c r="BA285" s="26"/>
      <c r="BB285" s="26"/>
      <c r="BC285" s="26"/>
      <c r="BD285" s="27"/>
    </row>
    <row r="286" spans="1:56" ht="15" customHeight="1">
      <c r="A286" s="9"/>
      <c r="B286" s="9"/>
      <c r="C286" s="9"/>
      <c r="D286" s="9"/>
      <c r="E286" s="9"/>
      <c r="F286" s="24"/>
      <c r="G286" s="9"/>
      <c r="H286" s="24"/>
      <c r="I286" s="9"/>
      <c r="J286" s="24"/>
      <c r="K286" s="9"/>
      <c r="L286" s="24"/>
      <c r="M286" s="9"/>
      <c r="N286" s="24"/>
      <c r="O286" s="9"/>
      <c r="P286" s="24"/>
      <c r="Q286" s="9"/>
      <c r="R286" s="24"/>
      <c r="S286" s="9"/>
      <c r="T286" s="24"/>
      <c r="U286" s="9"/>
      <c r="V286" s="24"/>
      <c r="W286" s="9"/>
      <c r="X286" s="24"/>
      <c r="Y286" s="9"/>
      <c r="Z286" s="24"/>
      <c r="AA286" s="9"/>
      <c r="AB286" s="24"/>
      <c r="AC286" s="9"/>
      <c r="AD286" s="24"/>
      <c r="AE286" s="9"/>
      <c r="AF286" s="24"/>
      <c r="AG286" s="9"/>
      <c r="AH286" s="24"/>
      <c r="AI286" s="9"/>
      <c r="AJ286" s="24"/>
      <c r="AK286" s="9"/>
      <c r="AL286" s="24"/>
      <c r="AM286" s="9"/>
      <c r="AN286" s="24"/>
      <c r="AO286" s="9"/>
      <c r="AP286" s="24"/>
      <c r="AQ286" s="9"/>
      <c r="AR286" s="24"/>
      <c r="AS286" s="25"/>
      <c r="AT286" s="25"/>
      <c r="AU286" s="25"/>
      <c r="AV286" s="26"/>
      <c r="AW286" s="26"/>
      <c r="AX286" s="26"/>
      <c r="AY286" s="26"/>
      <c r="AZ286" s="26"/>
      <c r="BA286" s="26"/>
      <c r="BB286" s="26"/>
      <c r="BC286" s="26"/>
      <c r="BD286" s="27"/>
    </row>
    <row r="287" spans="1:56" ht="15" customHeight="1">
      <c r="A287" s="28"/>
      <c r="B287" s="28"/>
      <c r="C287" s="28"/>
      <c r="D287" s="28"/>
      <c r="E287" s="28"/>
      <c r="F287" s="29"/>
      <c r="G287" s="28"/>
      <c r="H287" s="29"/>
      <c r="I287" s="28"/>
      <c r="J287" s="29"/>
      <c r="K287" s="28"/>
      <c r="L287" s="29"/>
      <c r="M287" s="28"/>
      <c r="N287" s="29"/>
      <c r="O287" s="28"/>
      <c r="P287" s="29"/>
      <c r="Q287" s="28"/>
      <c r="R287" s="29"/>
      <c r="S287" s="28"/>
      <c r="T287" s="29"/>
      <c r="U287" s="28"/>
      <c r="V287" s="29"/>
      <c r="W287" s="28"/>
      <c r="X287" s="29"/>
      <c r="Y287" s="28"/>
      <c r="Z287" s="29"/>
      <c r="AA287" s="28"/>
      <c r="AB287" s="29"/>
      <c r="AC287" s="28"/>
      <c r="AD287" s="29"/>
      <c r="AE287" s="28"/>
      <c r="AF287" s="29"/>
      <c r="AG287" s="28"/>
      <c r="AH287" s="29"/>
      <c r="AI287" s="28"/>
      <c r="AJ287" s="29"/>
      <c r="AK287" s="28"/>
      <c r="AL287" s="29"/>
      <c r="AM287" s="28"/>
      <c r="AN287" s="29"/>
      <c r="AO287" s="28"/>
      <c r="AP287" s="29"/>
      <c r="AQ287" s="28"/>
      <c r="AR287" s="29"/>
      <c r="AS287" s="25"/>
      <c r="AT287" s="25"/>
      <c r="AU287" s="25"/>
      <c r="AV287" s="26"/>
      <c r="AW287" s="26"/>
      <c r="AX287" s="26"/>
      <c r="AY287" s="26"/>
      <c r="AZ287" s="26"/>
      <c r="BA287" s="26"/>
      <c r="BB287" s="26"/>
      <c r="BC287" s="26"/>
      <c r="BD287" s="27"/>
    </row>
    <row r="288" spans="1:56" ht="15" customHeight="1">
      <c r="A288" s="9"/>
      <c r="B288" s="9"/>
      <c r="C288" s="9"/>
      <c r="D288" s="9"/>
      <c r="E288" s="9"/>
      <c r="F288" s="24"/>
      <c r="G288" s="9"/>
      <c r="H288" s="24"/>
      <c r="I288" s="9"/>
      <c r="J288" s="24"/>
      <c r="K288" s="9"/>
      <c r="L288" s="24"/>
      <c r="M288" s="9"/>
      <c r="N288" s="24"/>
      <c r="O288" s="9"/>
      <c r="P288" s="24"/>
      <c r="Q288" s="9"/>
      <c r="R288" s="24"/>
      <c r="S288" s="9"/>
      <c r="T288" s="24"/>
      <c r="U288" s="9"/>
      <c r="V288" s="24"/>
      <c r="W288" s="9"/>
      <c r="X288" s="24"/>
      <c r="Y288" s="9"/>
      <c r="Z288" s="24"/>
      <c r="AA288" s="9"/>
      <c r="AB288" s="24"/>
      <c r="AC288" s="9"/>
      <c r="AD288" s="24"/>
      <c r="AE288" s="9"/>
      <c r="AF288" s="24"/>
      <c r="AG288" s="9"/>
      <c r="AH288" s="24"/>
      <c r="AI288" s="9"/>
      <c r="AJ288" s="24"/>
      <c r="AK288" s="9"/>
      <c r="AL288" s="24"/>
      <c r="AM288" s="9"/>
      <c r="AN288" s="24"/>
      <c r="AO288" s="9"/>
      <c r="AP288" s="24"/>
      <c r="AQ288" s="9"/>
      <c r="AR288" s="24"/>
      <c r="AS288" s="25"/>
      <c r="AT288" s="25"/>
      <c r="AU288" s="25"/>
      <c r="AV288" s="26"/>
      <c r="AW288" s="26"/>
      <c r="AX288" s="26"/>
      <c r="AY288" s="26"/>
      <c r="AZ288" s="26"/>
      <c r="BA288" s="26"/>
      <c r="BB288" s="26"/>
      <c r="BC288" s="26"/>
      <c r="BD288" s="27"/>
    </row>
    <row r="289" spans="1:56" ht="15" customHeight="1">
      <c r="A289" s="28"/>
      <c r="B289" s="28"/>
      <c r="C289" s="28"/>
      <c r="D289" s="28"/>
      <c r="E289" s="28"/>
      <c r="F289" s="29"/>
      <c r="G289" s="28"/>
      <c r="H289" s="29"/>
      <c r="I289" s="28"/>
      <c r="J289" s="29"/>
      <c r="K289" s="28"/>
      <c r="L289" s="29"/>
      <c r="M289" s="28"/>
      <c r="N289" s="29"/>
      <c r="O289" s="28"/>
      <c r="P289" s="29"/>
      <c r="Q289" s="28"/>
      <c r="R289" s="29"/>
      <c r="S289" s="28"/>
      <c r="T289" s="29"/>
      <c r="U289" s="28"/>
      <c r="V289" s="29"/>
      <c r="W289" s="28"/>
      <c r="X289" s="29"/>
      <c r="Y289" s="28"/>
      <c r="Z289" s="29"/>
      <c r="AA289" s="28"/>
      <c r="AB289" s="29"/>
      <c r="AC289" s="28"/>
      <c r="AD289" s="29"/>
      <c r="AE289" s="28"/>
      <c r="AF289" s="29"/>
      <c r="AG289" s="28"/>
      <c r="AH289" s="29"/>
      <c r="AI289" s="28"/>
      <c r="AJ289" s="29"/>
      <c r="AK289" s="28"/>
      <c r="AL289" s="29"/>
      <c r="AM289" s="28"/>
      <c r="AN289" s="29"/>
      <c r="AO289" s="28"/>
      <c r="AP289" s="29"/>
      <c r="AQ289" s="28"/>
      <c r="AR289" s="29"/>
      <c r="AS289" s="25"/>
      <c r="AT289" s="25"/>
      <c r="AU289" s="25"/>
      <c r="AV289" s="26"/>
      <c r="AW289" s="26"/>
      <c r="AX289" s="26"/>
      <c r="AY289" s="26"/>
      <c r="AZ289" s="26"/>
      <c r="BA289" s="26"/>
      <c r="BB289" s="26"/>
      <c r="BC289" s="26"/>
      <c r="BD289" s="27"/>
    </row>
    <row r="290" spans="1:56" ht="15" customHeight="1">
      <c r="A290" s="9"/>
      <c r="B290" s="9"/>
      <c r="C290" s="9"/>
      <c r="D290" s="9"/>
      <c r="E290" s="9"/>
      <c r="F290" s="24"/>
      <c r="G290" s="9"/>
      <c r="H290" s="24"/>
      <c r="I290" s="9"/>
      <c r="J290" s="24"/>
      <c r="K290" s="9"/>
      <c r="L290" s="24"/>
      <c r="M290" s="9"/>
      <c r="N290" s="24"/>
      <c r="O290" s="9"/>
      <c r="P290" s="24"/>
      <c r="Q290" s="9"/>
      <c r="R290" s="24"/>
      <c r="S290" s="9"/>
      <c r="T290" s="24"/>
      <c r="U290" s="9"/>
      <c r="V290" s="24"/>
      <c r="W290" s="9"/>
      <c r="X290" s="24"/>
      <c r="Y290" s="9"/>
      <c r="Z290" s="24"/>
      <c r="AA290" s="9"/>
      <c r="AB290" s="24"/>
      <c r="AC290" s="9"/>
      <c r="AD290" s="24"/>
      <c r="AE290" s="9"/>
      <c r="AF290" s="24"/>
      <c r="AG290" s="9"/>
      <c r="AH290" s="24"/>
      <c r="AI290" s="9"/>
      <c r="AJ290" s="24"/>
      <c r="AK290" s="9"/>
      <c r="AL290" s="24"/>
      <c r="AM290" s="9"/>
      <c r="AN290" s="24"/>
      <c r="AO290" s="9"/>
      <c r="AP290" s="24"/>
      <c r="AQ290" s="9"/>
      <c r="AR290" s="24"/>
      <c r="AS290" s="25"/>
      <c r="AT290" s="25"/>
      <c r="AU290" s="25"/>
      <c r="AV290" s="26"/>
      <c r="AW290" s="26"/>
      <c r="AX290" s="26"/>
      <c r="AY290" s="26"/>
      <c r="AZ290" s="26"/>
      <c r="BA290" s="26"/>
      <c r="BB290" s="26"/>
      <c r="BC290" s="26"/>
      <c r="BD290" s="27"/>
    </row>
    <row r="291" spans="1:56" ht="15" customHeight="1">
      <c r="A291" s="28"/>
      <c r="B291" s="28"/>
      <c r="C291" s="28"/>
      <c r="D291" s="28"/>
      <c r="E291" s="28"/>
      <c r="F291" s="29"/>
      <c r="G291" s="28"/>
      <c r="H291" s="29"/>
      <c r="I291" s="28"/>
      <c r="J291" s="29"/>
      <c r="K291" s="28"/>
      <c r="L291" s="29"/>
      <c r="M291" s="28"/>
      <c r="N291" s="29"/>
      <c r="O291" s="28"/>
      <c r="P291" s="29"/>
      <c r="Q291" s="28"/>
      <c r="R291" s="29"/>
      <c r="S291" s="28"/>
      <c r="T291" s="29"/>
      <c r="U291" s="28"/>
      <c r="V291" s="29"/>
      <c r="W291" s="28"/>
      <c r="X291" s="29"/>
      <c r="Y291" s="28"/>
      <c r="Z291" s="29"/>
      <c r="AA291" s="28"/>
      <c r="AB291" s="29"/>
      <c r="AC291" s="28"/>
      <c r="AD291" s="29"/>
      <c r="AE291" s="28"/>
      <c r="AF291" s="29"/>
      <c r="AG291" s="28"/>
      <c r="AH291" s="29"/>
      <c r="AI291" s="28"/>
      <c r="AJ291" s="29"/>
      <c r="AK291" s="28"/>
      <c r="AL291" s="29"/>
      <c r="AM291" s="28"/>
      <c r="AN291" s="29"/>
      <c r="AO291" s="28"/>
      <c r="AP291" s="29"/>
      <c r="AQ291" s="28"/>
      <c r="AR291" s="29"/>
      <c r="AS291" s="25"/>
      <c r="AT291" s="25"/>
      <c r="AU291" s="25"/>
      <c r="AV291" s="26"/>
      <c r="AW291" s="26"/>
      <c r="AX291" s="26"/>
      <c r="AY291" s="26"/>
      <c r="AZ291" s="26"/>
      <c r="BA291" s="26"/>
      <c r="BB291" s="26"/>
      <c r="BC291" s="26"/>
      <c r="BD291" s="27"/>
    </row>
    <row r="292" spans="1:56" ht="15" customHeight="1">
      <c r="A292" s="9"/>
      <c r="B292" s="9"/>
      <c r="C292" s="9"/>
      <c r="D292" s="9"/>
      <c r="E292" s="9"/>
      <c r="F292" s="24"/>
      <c r="G292" s="9"/>
      <c r="H292" s="24"/>
      <c r="I292" s="9"/>
      <c r="J292" s="24"/>
      <c r="K292" s="9"/>
      <c r="L292" s="24"/>
      <c r="M292" s="9"/>
      <c r="N292" s="24"/>
      <c r="O292" s="9"/>
      <c r="P292" s="24"/>
      <c r="Q292" s="9"/>
      <c r="R292" s="24"/>
      <c r="S292" s="9"/>
      <c r="T292" s="24"/>
      <c r="U292" s="9"/>
      <c r="V292" s="24"/>
      <c r="W292" s="9"/>
      <c r="X292" s="24"/>
      <c r="Y292" s="9"/>
      <c r="Z292" s="24"/>
      <c r="AA292" s="9"/>
      <c r="AB292" s="24"/>
      <c r="AC292" s="9"/>
      <c r="AD292" s="24"/>
      <c r="AE292" s="9"/>
      <c r="AF292" s="24"/>
      <c r="AG292" s="9"/>
      <c r="AH292" s="24"/>
      <c r="AI292" s="9"/>
      <c r="AJ292" s="24"/>
      <c r="AK292" s="9"/>
      <c r="AL292" s="24"/>
      <c r="AM292" s="9"/>
      <c r="AN292" s="24"/>
      <c r="AO292" s="9"/>
      <c r="AP292" s="24"/>
      <c r="AQ292" s="9"/>
      <c r="AR292" s="24"/>
      <c r="AS292" s="25"/>
      <c r="AT292" s="25"/>
      <c r="AU292" s="25"/>
      <c r="AV292" s="26"/>
      <c r="AW292" s="26"/>
      <c r="AX292" s="26"/>
      <c r="AY292" s="26"/>
      <c r="AZ292" s="26"/>
      <c r="BA292" s="26"/>
      <c r="BB292" s="26"/>
      <c r="BC292" s="26"/>
      <c r="BD292" s="27"/>
    </row>
    <row r="293" spans="1:56" ht="15" customHeight="1">
      <c r="A293" s="28"/>
      <c r="B293" s="28"/>
      <c r="C293" s="28"/>
      <c r="D293" s="28"/>
      <c r="E293" s="28"/>
      <c r="F293" s="29"/>
      <c r="G293" s="28"/>
      <c r="H293" s="29"/>
      <c r="I293" s="28"/>
      <c r="J293" s="29"/>
      <c r="K293" s="28"/>
      <c r="L293" s="29"/>
      <c r="M293" s="28"/>
      <c r="N293" s="29"/>
      <c r="O293" s="28"/>
      <c r="P293" s="29"/>
      <c r="Q293" s="28"/>
      <c r="R293" s="29"/>
      <c r="S293" s="28"/>
      <c r="T293" s="29"/>
      <c r="U293" s="28"/>
      <c r="V293" s="29"/>
      <c r="W293" s="28"/>
      <c r="X293" s="29"/>
      <c r="Y293" s="28"/>
      <c r="Z293" s="29"/>
      <c r="AA293" s="28"/>
      <c r="AB293" s="29"/>
      <c r="AC293" s="28"/>
      <c r="AD293" s="29"/>
      <c r="AE293" s="28"/>
      <c r="AF293" s="29"/>
      <c r="AG293" s="28"/>
      <c r="AH293" s="29"/>
      <c r="AI293" s="28"/>
      <c r="AJ293" s="29"/>
      <c r="AK293" s="28"/>
      <c r="AL293" s="29"/>
      <c r="AM293" s="28"/>
      <c r="AN293" s="29"/>
      <c r="AO293" s="28"/>
      <c r="AP293" s="29"/>
      <c r="AQ293" s="28"/>
      <c r="AR293" s="29"/>
      <c r="AS293" s="25"/>
      <c r="AT293" s="25"/>
      <c r="AU293" s="25"/>
      <c r="AV293" s="26"/>
      <c r="AW293" s="26"/>
      <c r="AX293" s="26"/>
      <c r="AY293" s="26"/>
      <c r="AZ293" s="26"/>
      <c r="BA293" s="26"/>
      <c r="BB293" s="26"/>
      <c r="BC293" s="26"/>
      <c r="BD293" s="27"/>
    </row>
    <row r="294" spans="1:56" ht="15" customHeight="1">
      <c r="A294" s="9"/>
      <c r="B294" s="9"/>
      <c r="C294" s="9"/>
      <c r="D294" s="9"/>
      <c r="E294" s="9"/>
      <c r="F294" s="24"/>
      <c r="G294" s="9"/>
      <c r="H294" s="24"/>
      <c r="I294" s="9"/>
      <c r="J294" s="24"/>
      <c r="K294" s="9"/>
      <c r="L294" s="24"/>
      <c r="M294" s="9"/>
      <c r="N294" s="24"/>
      <c r="O294" s="9"/>
      <c r="P294" s="24"/>
      <c r="Q294" s="9"/>
      <c r="R294" s="24"/>
      <c r="S294" s="9"/>
      <c r="T294" s="24"/>
      <c r="U294" s="9"/>
      <c r="V294" s="24"/>
      <c r="W294" s="9"/>
      <c r="X294" s="24"/>
      <c r="Y294" s="9"/>
      <c r="Z294" s="24"/>
      <c r="AA294" s="9"/>
      <c r="AB294" s="24"/>
      <c r="AC294" s="9"/>
      <c r="AD294" s="24"/>
      <c r="AE294" s="9"/>
      <c r="AF294" s="24"/>
      <c r="AG294" s="9"/>
      <c r="AH294" s="24"/>
      <c r="AI294" s="9"/>
      <c r="AJ294" s="24"/>
      <c r="AK294" s="9"/>
      <c r="AL294" s="24"/>
      <c r="AM294" s="9"/>
      <c r="AN294" s="24"/>
      <c r="AO294" s="9"/>
      <c r="AP294" s="24"/>
      <c r="AQ294" s="9"/>
      <c r="AR294" s="24"/>
      <c r="AS294" s="25"/>
      <c r="AT294" s="25"/>
      <c r="AU294" s="25"/>
      <c r="AV294" s="26"/>
      <c r="AW294" s="26"/>
      <c r="AX294" s="26"/>
      <c r="AY294" s="26"/>
      <c r="AZ294" s="26"/>
      <c r="BA294" s="26"/>
      <c r="BB294" s="26"/>
      <c r="BC294" s="26"/>
      <c r="BD294" s="27"/>
    </row>
    <row r="295" spans="1:56" ht="15" customHeight="1">
      <c r="A295" s="28"/>
      <c r="B295" s="28"/>
      <c r="C295" s="28"/>
      <c r="D295" s="28"/>
      <c r="E295" s="28"/>
      <c r="F295" s="29"/>
      <c r="G295" s="28"/>
      <c r="H295" s="29"/>
      <c r="I295" s="28"/>
      <c r="J295" s="29"/>
      <c r="K295" s="28"/>
      <c r="L295" s="29"/>
      <c r="M295" s="28"/>
      <c r="N295" s="29"/>
      <c r="O295" s="28"/>
      <c r="P295" s="29"/>
      <c r="Q295" s="28"/>
      <c r="R295" s="29"/>
      <c r="S295" s="28"/>
      <c r="T295" s="29"/>
      <c r="U295" s="28"/>
      <c r="V295" s="29"/>
      <c r="W295" s="28"/>
      <c r="X295" s="29"/>
      <c r="Y295" s="28"/>
      <c r="Z295" s="29"/>
      <c r="AA295" s="28"/>
      <c r="AB295" s="29"/>
      <c r="AC295" s="28"/>
      <c r="AD295" s="29"/>
      <c r="AE295" s="28"/>
      <c r="AF295" s="29"/>
      <c r="AG295" s="28"/>
      <c r="AH295" s="29"/>
      <c r="AI295" s="28"/>
      <c r="AJ295" s="29"/>
      <c r="AK295" s="28"/>
      <c r="AL295" s="29"/>
      <c r="AM295" s="28"/>
      <c r="AN295" s="29"/>
      <c r="AO295" s="28"/>
      <c r="AP295" s="29"/>
      <c r="AQ295" s="28"/>
      <c r="AR295" s="29"/>
      <c r="AS295" s="25"/>
      <c r="AT295" s="25"/>
      <c r="AU295" s="25"/>
      <c r="AV295" s="26"/>
      <c r="AW295" s="26"/>
      <c r="AX295" s="26"/>
      <c r="AY295" s="26"/>
      <c r="AZ295" s="26"/>
      <c r="BA295" s="26"/>
      <c r="BB295" s="26"/>
      <c r="BC295" s="26"/>
      <c r="BD295" s="27"/>
    </row>
    <row r="296" spans="1:56" ht="15" customHeight="1">
      <c r="A296" s="9"/>
      <c r="B296" s="9"/>
      <c r="C296" s="9"/>
      <c r="D296" s="9"/>
      <c r="E296" s="9"/>
      <c r="F296" s="24"/>
      <c r="G296" s="9"/>
      <c r="H296" s="24"/>
      <c r="I296" s="9"/>
      <c r="J296" s="24"/>
      <c r="K296" s="9"/>
      <c r="L296" s="24"/>
      <c r="M296" s="9"/>
      <c r="N296" s="24"/>
      <c r="O296" s="9"/>
      <c r="P296" s="24"/>
      <c r="Q296" s="9"/>
      <c r="R296" s="24"/>
      <c r="S296" s="9"/>
      <c r="T296" s="24"/>
      <c r="U296" s="9"/>
      <c r="V296" s="24"/>
      <c r="W296" s="9"/>
      <c r="X296" s="24"/>
      <c r="Y296" s="9"/>
      <c r="Z296" s="24"/>
      <c r="AA296" s="9"/>
      <c r="AB296" s="24"/>
      <c r="AC296" s="9"/>
      <c r="AD296" s="24"/>
      <c r="AE296" s="9"/>
      <c r="AF296" s="24"/>
      <c r="AG296" s="9"/>
      <c r="AH296" s="24"/>
      <c r="AI296" s="9"/>
      <c r="AJ296" s="24"/>
      <c r="AK296" s="9"/>
      <c r="AL296" s="24"/>
      <c r="AM296" s="9"/>
      <c r="AN296" s="24"/>
      <c r="AO296" s="9"/>
      <c r="AP296" s="24"/>
      <c r="AQ296" s="9"/>
      <c r="AR296" s="24"/>
      <c r="AS296" s="25"/>
      <c r="AT296" s="25"/>
      <c r="AU296" s="25"/>
      <c r="AV296" s="26"/>
      <c r="AW296" s="26"/>
      <c r="AX296" s="26"/>
      <c r="AY296" s="26"/>
      <c r="AZ296" s="26"/>
      <c r="BA296" s="26"/>
      <c r="BB296" s="26"/>
      <c r="BC296" s="26"/>
      <c r="BD296" s="27"/>
    </row>
    <row r="297" spans="1:56" ht="15" customHeight="1">
      <c r="A297" s="28"/>
      <c r="B297" s="28"/>
      <c r="C297" s="28"/>
      <c r="D297" s="28"/>
      <c r="E297" s="28"/>
      <c r="F297" s="29"/>
      <c r="G297" s="28"/>
      <c r="H297" s="29"/>
      <c r="I297" s="28"/>
      <c r="J297" s="29"/>
      <c r="K297" s="28"/>
      <c r="L297" s="29"/>
      <c r="M297" s="28"/>
      <c r="N297" s="29"/>
      <c r="O297" s="28"/>
      <c r="P297" s="29"/>
      <c r="Q297" s="28"/>
      <c r="R297" s="29"/>
      <c r="S297" s="28"/>
      <c r="T297" s="29"/>
      <c r="U297" s="28"/>
      <c r="V297" s="29"/>
      <c r="W297" s="28"/>
      <c r="X297" s="29"/>
      <c r="Y297" s="28"/>
      <c r="Z297" s="29"/>
      <c r="AA297" s="28"/>
      <c r="AB297" s="29"/>
      <c r="AC297" s="28"/>
      <c r="AD297" s="29"/>
      <c r="AE297" s="28"/>
      <c r="AF297" s="29"/>
      <c r="AG297" s="28"/>
      <c r="AH297" s="29"/>
      <c r="AI297" s="28"/>
      <c r="AJ297" s="29"/>
      <c r="AK297" s="28"/>
      <c r="AL297" s="29"/>
      <c r="AM297" s="28"/>
      <c r="AN297" s="29"/>
      <c r="AO297" s="28"/>
      <c r="AP297" s="29"/>
      <c r="AQ297" s="28"/>
      <c r="AR297" s="29"/>
      <c r="AS297" s="25"/>
      <c r="AT297" s="25"/>
      <c r="AU297" s="25"/>
      <c r="AV297" s="26"/>
      <c r="AW297" s="26"/>
      <c r="AX297" s="26"/>
      <c r="AY297" s="26"/>
      <c r="AZ297" s="26"/>
      <c r="BA297" s="26"/>
      <c r="BB297" s="26"/>
      <c r="BC297" s="26"/>
      <c r="BD297" s="27"/>
    </row>
    <row r="298" spans="1:56" ht="15" customHeight="1">
      <c r="A298" s="9"/>
      <c r="B298" s="9"/>
      <c r="C298" s="9"/>
      <c r="D298" s="9"/>
      <c r="E298" s="9"/>
      <c r="F298" s="24"/>
      <c r="G298" s="9"/>
      <c r="H298" s="24"/>
      <c r="I298" s="9"/>
      <c r="J298" s="24"/>
      <c r="K298" s="9"/>
      <c r="L298" s="24"/>
      <c r="M298" s="9"/>
      <c r="N298" s="24"/>
      <c r="O298" s="9"/>
      <c r="P298" s="24"/>
      <c r="Q298" s="9"/>
      <c r="R298" s="24"/>
      <c r="S298" s="9"/>
      <c r="T298" s="24"/>
      <c r="U298" s="9"/>
      <c r="V298" s="24"/>
      <c r="W298" s="9"/>
      <c r="X298" s="24"/>
      <c r="Y298" s="9"/>
      <c r="Z298" s="24"/>
      <c r="AA298" s="9"/>
      <c r="AB298" s="24"/>
      <c r="AC298" s="9"/>
      <c r="AD298" s="24"/>
      <c r="AE298" s="9"/>
      <c r="AF298" s="24"/>
      <c r="AG298" s="9"/>
      <c r="AH298" s="24"/>
      <c r="AI298" s="9"/>
      <c r="AJ298" s="24"/>
      <c r="AK298" s="9"/>
      <c r="AL298" s="24"/>
      <c r="AM298" s="9"/>
      <c r="AN298" s="24"/>
      <c r="AO298" s="9"/>
      <c r="AP298" s="24"/>
      <c r="AQ298" s="9"/>
      <c r="AR298" s="24"/>
      <c r="AS298" s="25"/>
      <c r="AT298" s="25"/>
      <c r="AU298" s="25"/>
      <c r="AV298" s="26"/>
      <c r="AW298" s="26"/>
      <c r="AX298" s="26"/>
      <c r="AY298" s="26"/>
      <c r="AZ298" s="26"/>
      <c r="BA298" s="26"/>
      <c r="BB298" s="26"/>
      <c r="BC298" s="26"/>
      <c r="BD298" s="27"/>
    </row>
    <row r="299" spans="1:56" ht="15" customHeight="1">
      <c r="A299" s="28"/>
      <c r="B299" s="28"/>
      <c r="C299" s="28"/>
      <c r="D299" s="28"/>
      <c r="E299" s="28"/>
      <c r="F299" s="29"/>
      <c r="G299" s="28"/>
      <c r="H299" s="29"/>
      <c r="I299" s="28"/>
      <c r="J299" s="29"/>
      <c r="K299" s="28"/>
      <c r="L299" s="29"/>
      <c r="M299" s="28"/>
      <c r="N299" s="29"/>
      <c r="O299" s="28"/>
      <c r="P299" s="29"/>
      <c r="Q299" s="28"/>
      <c r="R299" s="29"/>
      <c r="S299" s="28"/>
      <c r="T299" s="29"/>
      <c r="U299" s="28"/>
      <c r="V299" s="29"/>
      <c r="W299" s="28"/>
      <c r="X299" s="29"/>
      <c r="Y299" s="28"/>
      <c r="Z299" s="29"/>
      <c r="AA299" s="28"/>
      <c r="AB299" s="29"/>
      <c r="AC299" s="28"/>
      <c r="AD299" s="29"/>
      <c r="AE299" s="28"/>
      <c r="AF299" s="29"/>
      <c r="AG299" s="28"/>
      <c r="AH299" s="29"/>
      <c r="AI299" s="28"/>
      <c r="AJ299" s="29"/>
      <c r="AK299" s="28"/>
      <c r="AL299" s="29"/>
      <c r="AM299" s="28"/>
      <c r="AN299" s="29"/>
      <c r="AO299" s="28"/>
      <c r="AP299" s="29"/>
      <c r="AQ299" s="28"/>
      <c r="AR299" s="29"/>
      <c r="AS299" s="25"/>
      <c r="AT299" s="25"/>
      <c r="AU299" s="25"/>
      <c r="AV299" s="26"/>
      <c r="AW299" s="26"/>
      <c r="AX299" s="26"/>
      <c r="AY299" s="26"/>
      <c r="AZ299" s="26"/>
      <c r="BA299" s="26"/>
      <c r="BB299" s="26"/>
      <c r="BC299" s="26"/>
      <c r="BD299" s="27"/>
    </row>
    <row r="300" spans="1:56" ht="15" customHeight="1">
      <c r="A300" s="9"/>
      <c r="B300" s="9"/>
      <c r="C300" s="9"/>
      <c r="D300" s="9"/>
      <c r="E300" s="9"/>
      <c r="F300" s="24"/>
      <c r="G300" s="9"/>
      <c r="H300" s="24"/>
      <c r="I300" s="9"/>
      <c r="J300" s="24"/>
      <c r="K300" s="9"/>
      <c r="L300" s="24"/>
      <c r="M300" s="9"/>
      <c r="N300" s="24"/>
      <c r="O300" s="9"/>
      <c r="P300" s="24"/>
      <c r="Q300" s="9"/>
      <c r="R300" s="24"/>
      <c r="S300" s="9"/>
      <c r="T300" s="24"/>
      <c r="U300" s="9"/>
      <c r="V300" s="24"/>
      <c r="W300" s="9"/>
      <c r="X300" s="24"/>
      <c r="Y300" s="9"/>
      <c r="Z300" s="24"/>
      <c r="AA300" s="9"/>
      <c r="AB300" s="24"/>
      <c r="AC300" s="9"/>
      <c r="AD300" s="24"/>
      <c r="AE300" s="9"/>
      <c r="AF300" s="24"/>
      <c r="AG300" s="9"/>
      <c r="AH300" s="24"/>
      <c r="AI300" s="9"/>
      <c r="AJ300" s="24"/>
      <c r="AK300" s="9"/>
      <c r="AL300" s="24"/>
      <c r="AM300" s="9"/>
      <c r="AN300" s="24"/>
      <c r="AO300" s="9"/>
      <c r="AP300" s="24"/>
      <c r="AQ300" s="9"/>
      <c r="AR300" s="24"/>
      <c r="AS300" s="25"/>
      <c r="AT300" s="25"/>
      <c r="AU300" s="25"/>
      <c r="AV300" s="26"/>
      <c r="AW300" s="26"/>
      <c r="AX300" s="26"/>
      <c r="AY300" s="26"/>
      <c r="AZ300" s="26"/>
      <c r="BA300" s="26"/>
      <c r="BB300" s="26"/>
      <c r="BC300" s="26"/>
      <c r="BD300" s="27"/>
    </row>
    <row r="301" spans="1:56" ht="15" customHeight="1">
      <c r="A301" s="28"/>
      <c r="B301" s="28"/>
      <c r="C301" s="28"/>
      <c r="D301" s="28"/>
      <c r="E301" s="28"/>
      <c r="F301" s="29"/>
      <c r="G301" s="28"/>
      <c r="H301" s="29"/>
      <c r="I301" s="28"/>
      <c r="J301" s="29"/>
      <c r="K301" s="28"/>
      <c r="L301" s="29"/>
      <c r="M301" s="28"/>
      <c r="N301" s="29"/>
      <c r="O301" s="28"/>
      <c r="P301" s="29"/>
      <c r="Q301" s="28"/>
      <c r="R301" s="29"/>
      <c r="S301" s="28"/>
      <c r="T301" s="29"/>
      <c r="U301" s="28"/>
      <c r="V301" s="29"/>
      <c r="W301" s="28"/>
      <c r="X301" s="29"/>
      <c r="Y301" s="28"/>
      <c r="Z301" s="29"/>
      <c r="AA301" s="28"/>
      <c r="AB301" s="29"/>
      <c r="AC301" s="28"/>
      <c r="AD301" s="29"/>
      <c r="AE301" s="28"/>
      <c r="AF301" s="29"/>
      <c r="AG301" s="28"/>
      <c r="AH301" s="29"/>
      <c r="AI301" s="28"/>
      <c r="AJ301" s="29"/>
      <c r="AK301" s="28"/>
      <c r="AL301" s="29"/>
      <c r="AM301" s="28"/>
      <c r="AN301" s="29"/>
      <c r="AO301" s="28"/>
      <c r="AP301" s="29"/>
      <c r="AQ301" s="28"/>
      <c r="AR301" s="29"/>
      <c r="AS301" s="25"/>
      <c r="AT301" s="25"/>
      <c r="AU301" s="25"/>
      <c r="AV301" s="26"/>
      <c r="AW301" s="26"/>
      <c r="AX301" s="26"/>
      <c r="AY301" s="26"/>
      <c r="AZ301" s="26"/>
      <c r="BA301" s="26"/>
      <c r="BB301" s="26"/>
      <c r="BC301" s="26"/>
      <c r="BD301" s="27"/>
    </row>
    <row r="302" spans="1:56" ht="15" customHeight="1">
      <c r="A302" s="9"/>
      <c r="B302" s="9"/>
      <c r="C302" s="9"/>
      <c r="D302" s="9"/>
      <c r="E302" s="9"/>
      <c r="F302" s="24"/>
      <c r="G302" s="9"/>
      <c r="H302" s="24"/>
      <c r="I302" s="9"/>
      <c r="J302" s="24"/>
      <c r="K302" s="9"/>
      <c r="L302" s="24"/>
      <c r="M302" s="9"/>
      <c r="N302" s="24"/>
      <c r="O302" s="9"/>
      <c r="P302" s="24"/>
      <c r="Q302" s="9"/>
      <c r="R302" s="24"/>
      <c r="S302" s="9"/>
      <c r="T302" s="24"/>
      <c r="U302" s="9"/>
      <c r="V302" s="24"/>
      <c r="W302" s="9"/>
      <c r="X302" s="24"/>
      <c r="Y302" s="9"/>
      <c r="Z302" s="24"/>
      <c r="AA302" s="9"/>
      <c r="AB302" s="24"/>
      <c r="AC302" s="9"/>
      <c r="AD302" s="24"/>
      <c r="AE302" s="9"/>
      <c r="AF302" s="24"/>
      <c r="AG302" s="9"/>
      <c r="AH302" s="24"/>
      <c r="AI302" s="9"/>
      <c r="AJ302" s="24"/>
      <c r="AK302" s="9"/>
      <c r="AL302" s="24"/>
      <c r="AM302" s="9"/>
      <c r="AN302" s="24"/>
      <c r="AO302" s="9"/>
      <c r="AP302" s="24"/>
      <c r="AQ302" s="9"/>
      <c r="AR302" s="24"/>
      <c r="AS302" s="25"/>
      <c r="AT302" s="25"/>
      <c r="AU302" s="25"/>
      <c r="AV302" s="26"/>
      <c r="AW302" s="26"/>
      <c r="AX302" s="26"/>
      <c r="AY302" s="26"/>
      <c r="AZ302" s="26"/>
      <c r="BA302" s="26"/>
      <c r="BB302" s="26"/>
      <c r="BC302" s="26"/>
      <c r="BD302" s="27"/>
    </row>
    <row r="303" spans="1:56" ht="15" customHeight="1">
      <c r="A303" s="28"/>
      <c r="B303" s="28"/>
      <c r="C303" s="28"/>
      <c r="D303" s="28"/>
      <c r="E303" s="28"/>
      <c r="F303" s="29"/>
      <c r="G303" s="28"/>
      <c r="H303" s="29"/>
      <c r="I303" s="28"/>
      <c r="J303" s="29"/>
      <c r="K303" s="28"/>
      <c r="L303" s="29"/>
      <c r="M303" s="28"/>
      <c r="N303" s="29"/>
      <c r="O303" s="28"/>
      <c r="P303" s="29"/>
      <c r="Q303" s="28"/>
      <c r="R303" s="29"/>
      <c r="S303" s="28"/>
      <c r="T303" s="29"/>
      <c r="U303" s="28"/>
      <c r="V303" s="29"/>
      <c r="W303" s="28"/>
      <c r="X303" s="29"/>
      <c r="Y303" s="28"/>
      <c r="Z303" s="29"/>
      <c r="AA303" s="28"/>
      <c r="AB303" s="29"/>
      <c r="AC303" s="28"/>
      <c r="AD303" s="29"/>
      <c r="AE303" s="28"/>
      <c r="AF303" s="29"/>
      <c r="AG303" s="28"/>
      <c r="AH303" s="29"/>
      <c r="AI303" s="28"/>
      <c r="AJ303" s="29"/>
      <c r="AK303" s="28"/>
      <c r="AL303" s="29"/>
      <c r="AM303" s="28"/>
      <c r="AN303" s="29"/>
      <c r="AO303" s="28"/>
      <c r="AP303" s="29"/>
      <c r="AQ303" s="28"/>
      <c r="AR303" s="29"/>
      <c r="AS303" s="25"/>
      <c r="AT303" s="25"/>
      <c r="AU303" s="25"/>
      <c r="AV303" s="26"/>
      <c r="AW303" s="26"/>
      <c r="AX303" s="26"/>
      <c r="AY303" s="26"/>
      <c r="AZ303" s="26"/>
      <c r="BA303" s="26"/>
      <c r="BB303" s="26"/>
      <c r="BC303" s="26"/>
      <c r="BD303" s="27"/>
    </row>
    <row r="304" spans="1:56" ht="15" customHeight="1">
      <c r="A304" s="9"/>
      <c r="B304" s="9"/>
      <c r="C304" s="9"/>
      <c r="D304" s="9"/>
      <c r="E304" s="9"/>
      <c r="F304" s="24"/>
      <c r="G304" s="9"/>
      <c r="H304" s="24"/>
      <c r="I304" s="9"/>
      <c r="J304" s="24"/>
      <c r="K304" s="9"/>
      <c r="L304" s="24"/>
      <c r="M304" s="9"/>
      <c r="N304" s="24"/>
      <c r="O304" s="9"/>
      <c r="P304" s="24"/>
      <c r="Q304" s="9"/>
      <c r="R304" s="24"/>
      <c r="S304" s="9"/>
      <c r="T304" s="24"/>
      <c r="U304" s="9"/>
      <c r="V304" s="24"/>
      <c r="W304" s="9"/>
      <c r="X304" s="24"/>
      <c r="Y304" s="9"/>
      <c r="Z304" s="24"/>
      <c r="AA304" s="9"/>
      <c r="AB304" s="24"/>
      <c r="AC304" s="9"/>
      <c r="AD304" s="24"/>
      <c r="AE304" s="9"/>
      <c r="AF304" s="24"/>
      <c r="AG304" s="9"/>
      <c r="AH304" s="24"/>
      <c r="AI304" s="9"/>
      <c r="AJ304" s="24"/>
      <c r="AK304" s="9"/>
      <c r="AL304" s="24"/>
      <c r="AM304" s="9"/>
      <c r="AN304" s="24"/>
      <c r="AO304" s="9"/>
      <c r="AP304" s="24"/>
      <c r="AQ304" s="9"/>
      <c r="AR304" s="24"/>
      <c r="AS304" s="25"/>
      <c r="AT304" s="25"/>
      <c r="AU304" s="25"/>
      <c r="AV304" s="26"/>
      <c r="AW304" s="26"/>
      <c r="AX304" s="26"/>
      <c r="AY304" s="26"/>
      <c r="AZ304" s="26"/>
      <c r="BA304" s="26"/>
      <c r="BB304" s="26"/>
      <c r="BC304" s="26"/>
      <c r="BD304" s="27"/>
    </row>
    <row r="305" spans="1:56" ht="15" customHeight="1">
      <c r="A305" s="28"/>
      <c r="B305" s="28"/>
      <c r="C305" s="28"/>
      <c r="D305" s="28"/>
      <c r="E305" s="28"/>
      <c r="F305" s="29"/>
      <c r="G305" s="28"/>
      <c r="H305" s="29"/>
      <c r="I305" s="28"/>
      <c r="J305" s="29"/>
      <c r="K305" s="28"/>
      <c r="L305" s="29"/>
      <c r="M305" s="28"/>
      <c r="N305" s="29"/>
      <c r="O305" s="28"/>
      <c r="P305" s="29"/>
      <c r="Q305" s="28"/>
      <c r="R305" s="29"/>
      <c r="S305" s="28"/>
      <c r="T305" s="29"/>
      <c r="U305" s="28"/>
      <c r="V305" s="29"/>
      <c r="W305" s="28"/>
      <c r="X305" s="29"/>
      <c r="Y305" s="28"/>
      <c r="Z305" s="29"/>
      <c r="AA305" s="28"/>
      <c r="AB305" s="29"/>
      <c r="AC305" s="28"/>
      <c r="AD305" s="29"/>
      <c r="AE305" s="28"/>
      <c r="AF305" s="29"/>
      <c r="AG305" s="28"/>
      <c r="AH305" s="29"/>
      <c r="AI305" s="28"/>
      <c r="AJ305" s="29"/>
      <c r="AK305" s="28"/>
      <c r="AL305" s="29"/>
      <c r="AM305" s="28"/>
      <c r="AN305" s="29"/>
      <c r="AO305" s="28"/>
      <c r="AP305" s="29"/>
      <c r="AQ305" s="28"/>
      <c r="AR305" s="29"/>
      <c r="AS305" s="25"/>
      <c r="AT305" s="25"/>
      <c r="AU305" s="25"/>
      <c r="AV305" s="26"/>
      <c r="AW305" s="26"/>
      <c r="AX305" s="26"/>
      <c r="AY305" s="26"/>
      <c r="AZ305" s="26"/>
      <c r="BA305" s="26"/>
      <c r="BB305" s="26"/>
      <c r="BC305" s="26"/>
      <c r="BD305" s="27"/>
    </row>
    <row r="306" spans="1:56" ht="15" customHeight="1">
      <c r="A306" s="9"/>
      <c r="B306" s="9"/>
      <c r="C306" s="9"/>
      <c r="D306" s="9"/>
      <c r="E306" s="9"/>
      <c r="F306" s="24"/>
      <c r="G306" s="9"/>
      <c r="H306" s="24"/>
      <c r="I306" s="9"/>
      <c r="J306" s="24"/>
      <c r="K306" s="9"/>
      <c r="L306" s="24"/>
      <c r="M306" s="9"/>
      <c r="N306" s="24"/>
      <c r="O306" s="9"/>
      <c r="P306" s="24"/>
      <c r="Q306" s="9"/>
      <c r="R306" s="24"/>
      <c r="S306" s="9"/>
      <c r="T306" s="24"/>
      <c r="U306" s="9"/>
      <c r="V306" s="24"/>
      <c r="W306" s="9"/>
      <c r="X306" s="24"/>
      <c r="Y306" s="9"/>
      <c r="Z306" s="24"/>
      <c r="AA306" s="9"/>
      <c r="AB306" s="24"/>
      <c r="AC306" s="9"/>
      <c r="AD306" s="24"/>
      <c r="AE306" s="9"/>
      <c r="AF306" s="24"/>
      <c r="AG306" s="9"/>
      <c r="AH306" s="24"/>
      <c r="AI306" s="9"/>
      <c r="AJ306" s="24"/>
      <c r="AK306" s="9"/>
      <c r="AL306" s="24"/>
      <c r="AM306" s="9"/>
      <c r="AN306" s="24"/>
      <c r="AO306" s="9"/>
      <c r="AP306" s="24"/>
      <c r="AQ306" s="9"/>
      <c r="AR306" s="24"/>
      <c r="AS306" s="25"/>
      <c r="AT306" s="25"/>
      <c r="AU306" s="25"/>
      <c r="AV306" s="26"/>
      <c r="AW306" s="26"/>
      <c r="AX306" s="26"/>
      <c r="AY306" s="26"/>
      <c r="AZ306" s="26"/>
      <c r="BA306" s="26"/>
      <c r="BB306" s="26"/>
      <c r="BC306" s="26"/>
      <c r="BD306" s="27"/>
    </row>
    <row r="307" spans="1:56" ht="15" customHeight="1">
      <c r="A307" s="28"/>
      <c r="B307" s="28"/>
      <c r="C307" s="28"/>
      <c r="D307" s="28"/>
      <c r="E307" s="28"/>
      <c r="F307" s="29"/>
      <c r="G307" s="28"/>
      <c r="H307" s="29"/>
      <c r="I307" s="28"/>
      <c r="J307" s="29"/>
      <c r="K307" s="28"/>
      <c r="L307" s="29"/>
      <c r="M307" s="28"/>
      <c r="N307" s="29"/>
      <c r="O307" s="28"/>
      <c r="P307" s="29"/>
      <c r="Q307" s="28"/>
      <c r="R307" s="29"/>
      <c r="S307" s="28"/>
      <c r="T307" s="29"/>
      <c r="U307" s="28"/>
      <c r="V307" s="29"/>
      <c r="W307" s="28"/>
      <c r="X307" s="29"/>
      <c r="Y307" s="28"/>
      <c r="Z307" s="29"/>
      <c r="AA307" s="28"/>
      <c r="AB307" s="29"/>
      <c r="AC307" s="28"/>
      <c r="AD307" s="29"/>
      <c r="AE307" s="28"/>
      <c r="AF307" s="29"/>
      <c r="AG307" s="28"/>
      <c r="AH307" s="29"/>
      <c r="AI307" s="28"/>
      <c r="AJ307" s="29"/>
      <c r="AK307" s="28"/>
      <c r="AL307" s="29"/>
      <c r="AM307" s="28"/>
      <c r="AN307" s="29"/>
      <c r="AO307" s="28"/>
      <c r="AP307" s="29"/>
      <c r="AQ307" s="28"/>
      <c r="AR307" s="29"/>
      <c r="AS307" s="25"/>
      <c r="AT307" s="25"/>
      <c r="AU307" s="25"/>
      <c r="AV307" s="26"/>
      <c r="AW307" s="26"/>
      <c r="AX307" s="26"/>
      <c r="AY307" s="26"/>
      <c r="AZ307" s="26"/>
      <c r="BA307" s="26"/>
      <c r="BB307" s="26"/>
      <c r="BC307" s="26"/>
      <c r="BD307" s="27"/>
    </row>
    <row r="308" spans="1:56" ht="15" customHeight="1">
      <c r="A308" s="9"/>
      <c r="B308" s="9"/>
      <c r="C308" s="9"/>
      <c r="D308" s="9"/>
      <c r="E308" s="9"/>
      <c r="F308" s="24"/>
      <c r="G308" s="9"/>
      <c r="H308" s="24"/>
      <c r="I308" s="9"/>
      <c r="J308" s="24"/>
      <c r="K308" s="9"/>
      <c r="L308" s="24"/>
      <c r="M308" s="9"/>
      <c r="N308" s="24"/>
      <c r="O308" s="9"/>
      <c r="P308" s="24"/>
      <c r="Q308" s="9"/>
      <c r="R308" s="24"/>
      <c r="S308" s="9"/>
      <c r="T308" s="24"/>
      <c r="U308" s="9"/>
      <c r="V308" s="24"/>
      <c r="W308" s="9"/>
      <c r="X308" s="24"/>
      <c r="Y308" s="9"/>
      <c r="Z308" s="24"/>
      <c r="AA308" s="9"/>
      <c r="AB308" s="24"/>
      <c r="AC308" s="9"/>
      <c r="AD308" s="24"/>
      <c r="AE308" s="9"/>
      <c r="AF308" s="24"/>
      <c r="AG308" s="9"/>
      <c r="AH308" s="24"/>
      <c r="AI308" s="9"/>
      <c r="AJ308" s="24"/>
      <c r="AK308" s="9"/>
      <c r="AL308" s="24"/>
      <c r="AM308" s="9"/>
      <c r="AN308" s="24"/>
      <c r="AO308" s="9"/>
      <c r="AP308" s="24"/>
      <c r="AQ308" s="9"/>
      <c r="AR308" s="24"/>
      <c r="AS308" s="25"/>
      <c r="AT308" s="25"/>
      <c r="AU308" s="25"/>
      <c r="AV308" s="26"/>
      <c r="AW308" s="26"/>
      <c r="AX308" s="26"/>
      <c r="AY308" s="26"/>
      <c r="AZ308" s="26"/>
      <c r="BA308" s="26"/>
      <c r="BB308" s="26"/>
      <c r="BC308" s="26"/>
      <c r="BD308" s="27"/>
    </row>
    <row r="309" spans="1:56" ht="15" customHeight="1">
      <c r="A309" s="28"/>
      <c r="B309" s="28"/>
      <c r="C309" s="28"/>
      <c r="D309" s="28"/>
      <c r="E309" s="28"/>
      <c r="F309" s="29"/>
      <c r="G309" s="28"/>
      <c r="H309" s="29"/>
      <c r="I309" s="28"/>
      <c r="J309" s="29"/>
      <c r="K309" s="28"/>
      <c r="L309" s="29"/>
      <c r="M309" s="28"/>
      <c r="N309" s="29"/>
      <c r="O309" s="28"/>
      <c r="P309" s="29"/>
      <c r="Q309" s="28"/>
      <c r="R309" s="29"/>
      <c r="S309" s="28"/>
      <c r="T309" s="29"/>
      <c r="U309" s="28"/>
      <c r="V309" s="29"/>
      <c r="W309" s="28"/>
      <c r="X309" s="29"/>
      <c r="Y309" s="28"/>
      <c r="Z309" s="29"/>
      <c r="AA309" s="28"/>
      <c r="AB309" s="29"/>
      <c r="AC309" s="28"/>
      <c r="AD309" s="29"/>
      <c r="AE309" s="28"/>
      <c r="AF309" s="29"/>
      <c r="AG309" s="28"/>
      <c r="AH309" s="29"/>
      <c r="AI309" s="28"/>
      <c r="AJ309" s="29"/>
      <c r="AK309" s="28"/>
      <c r="AL309" s="29"/>
      <c r="AM309" s="28"/>
      <c r="AN309" s="29"/>
      <c r="AO309" s="28"/>
      <c r="AP309" s="29"/>
      <c r="AQ309" s="28"/>
      <c r="AR309" s="29"/>
      <c r="AS309" s="25"/>
      <c r="AT309" s="25"/>
      <c r="AU309" s="25"/>
      <c r="AV309" s="26"/>
      <c r="AW309" s="26"/>
      <c r="AX309" s="26"/>
      <c r="AY309" s="26"/>
      <c r="AZ309" s="26"/>
      <c r="BA309" s="26"/>
      <c r="BB309" s="26"/>
      <c r="BC309" s="26"/>
      <c r="BD309" s="27"/>
    </row>
    <row r="310" spans="1:56" ht="15" customHeight="1">
      <c r="A310" s="9"/>
      <c r="B310" s="9"/>
      <c r="C310" s="9"/>
      <c r="D310" s="9"/>
      <c r="E310" s="9"/>
      <c r="F310" s="24"/>
      <c r="G310" s="9"/>
      <c r="H310" s="24"/>
      <c r="I310" s="9"/>
      <c r="J310" s="24"/>
      <c r="K310" s="9"/>
      <c r="L310" s="24"/>
      <c r="M310" s="9"/>
      <c r="N310" s="24"/>
      <c r="O310" s="9"/>
      <c r="P310" s="24"/>
      <c r="Q310" s="9"/>
      <c r="R310" s="24"/>
      <c r="S310" s="9"/>
      <c r="T310" s="24"/>
      <c r="U310" s="9"/>
      <c r="V310" s="24"/>
      <c r="W310" s="9"/>
      <c r="X310" s="24"/>
      <c r="Y310" s="9"/>
      <c r="Z310" s="24"/>
      <c r="AA310" s="9"/>
      <c r="AB310" s="24"/>
      <c r="AC310" s="9"/>
      <c r="AD310" s="24"/>
      <c r="AE310" s="9"/>
      <c r="AF310" s="24"/>
      <c r="AG310" s="9"/>
      <c r="AH310" s="24"/>
      <c r="AI310" s="9"/>
      <c r="AJ310" s="24"/>
      <c r="AK310" s="9"/>
      <c r="AL310" s="24"/>
      <c r="AM310" s="9"/>
      <c r="AN310" s="24"/>
      <c r="AO310" s="9"/>
      <c r="AP310" s="24"/>
      <c r="AQ310" s="9"/>
      <c r="AR310" s="24"/>
      <c r="AS310" s="25"/>
      <c r="AT310" s="25"/>
      <c r="AU310" s="25"/>
      <c r="AV310" s="26"/>
      <c r="AW310" s="26"/>
      <c r="AX310" s="26"/>
      <c r="AY310" s="26"/>
      <c r="AZ310" s="26"/>
      <c r="BA310" s="26"/>
      <c r="BB310" s="26"/>
      <c r="BC310" s="26"/>
      <c r="BD310" s="27"/>
    </row>
    <row r="311" spans="1:56" ht="15" customHeight="1">
      <c r="A311" s="28"/>
      <c r="B311" s="28"/>
      <c r="C311" s="28"/>
      <c r="D311" s="28"/>
      <c r="E311" s="28"/>
      <c r="F311" s="29"/>
      <c r="G311" s="28"/>
      <c r="H311" s="29"/>
      <c r="I311" s="28"/>
      <c r="J311" s="29"/>
      <c r="K311" s="28"/>
      <c r="L311" s="29"/>
      <c r="M311" s="28"/>
      <c r="N311" s="29"/>
      <c r="O311" s="28"/>
      <c r="P311" s="29"/>
      <c r="Q311" s="28"/>
      <c r="R311" s="29"/>
      <c r="S311" s="28"/>
      <c r="T311" s="29"/>
      <c r="U311" s="28"/>
      <c r="V311" s="29"/>
      <c r="W311" s="28"/>
      <c r="X311" s="29"/>
      <c r="Y311" s="28"/>
      <c r="Z311" s="29"/>
      <c r="AA311" s="28"/>
      <c r="AB311" s="29"/>
      <c r="AC311" s="28"/>
      <c r="AD311" s="29"/>
      <c r="AE311" s="28"/>
      <c r="AF311" s="29"/>
      <c r="AG311" s="28"/>
      <c r="AH311" s="29"/>
      <c r="AI311" s="28"/>
      <c r="AJ311" s="29"/>
      <c r="AK311" s="28"/>
      <c r="AL311" s="29"/>
      <c r="AM311" s="28"/>
      <c r="AN311" s="29"/>
      <c r="AO311" s="28"/>
      <c r="AP311" s="29"/>
      <c r="AQ311" s="28"/>
      <c r="AR311" s="29"/>
      <c r="AS311" s="25"/>
      <c r="AT311" s="25"/>
      <c r="AU311" s="25"/>
      <c r="AV311" s="26"/>
      <c r="AW311" s="26"/>
      <c r="AX311" s="26"/>
      <c r="AY311" s="26"/>
      <c r="AZ311" s="26"/>
      <c r="BA311" s="26"/>
      <c r="BB311" s="26"/>
      <c r="BC311" s="26"/>
      <c r="BD311" s="27"/>
    </row>
    <row r="312" spans="1:56" ht="15" customHeight="1">
      <c r="A312" s="9"/>
      <c r="B312" s="9"/>
      <c r="C312" s="9"/>
      <c r="D312" s="9"/>
      <c r="E312" s="9"/>
      <c r="F312" s="24"/>
      <c r="G312" s="9"/>
      <c r="H312" s="24"/>
      <c r="I312" s="9"/>
      <c r="J312" s="24"/>
      <c r="K312" s="9"/>
      <c r="L312" s="24"/>
      <c r="M312" s="9"/>
      <c r="N312" s="24"/>
      <c r="O312" s="9"/>
      <c r="P312" s="24"/>
      <c r="Q312" s="9"/>
      <c r="R312" s="24"/>
      <c r="S312" s="9"/>
      <c r="T312" s="24"/>
      <c r="U312" s="9"/>
      <c r="V312" s="24"/>
      <c r="W312" s="9"/>
      <c r="X312" s="24"/>
      <c r="Y312" s="9"/>
      <c r="Z312" s="24"/>
      <c r="AA312" s="9"/>
      <c r="AB312" s="24"/>
      <c r="AC312" s="9"/>
      <c r="AD312" s="24"/>
      <c r="AE312" s="9"/>
      <c r="AF312" s="24"/>
      <c r="AG312" s="9"/>
      <c r="AH312" s="24"/>
      <c r="AI312" s="9"/>
      <c r="AJ312" s="24"/>
      <c r="AK312" s="9"/>
      <c r="AL312" s="24"/>
      <c r="AM312" s="9"/>
      <c r="AN312" s="24"/>
      <c r="AO312" s="9"/>
      <c r="AP312" s="24"/>
      <c r="AQ312" s="9"/>
      <c r="AR312" s="24"/>
      <c r="AS312" s="25"/>
      <c r="AT312" s="25"/>
      <c r="AU312" s="25"/>
      <c r="AV312" s="26"/>
      <c r="AW312" s="26"/>
      <c r="AX312" s="26"/>
      <c r="AY312" s="26"/>
      <c r="AZ312" s="26"/>
      <c r="BA312" s="26"/>
      <c r="BB312" s="26"/>
      <c r="BC312" s="26"/>
      <c r="BD312" s="27"/>
    </row>
    <row r="313" spans="1:56" ht="15" customHeight="1">
      <c r="A313" s="28"/>
      <c r="B313" s="28"/>
      <c r="C313" s="28"/>
      <c r="D313" s="28"/>
      <c r="E313" s="28"/>
      <c r="F313" s="29"/>
      <c r="G313" s="28"/>
      <c r="H313" s="29"/>
      <c r="I313" s="28"/>
      <c r="J313" s="29"/>
      <c r="K313" s="28"/>
      <c r="L313" s="29"/>
      <c r="M313" s="28"/>
      <c r="N313" s="29"/>
      <c r="O313" s="28"/>
      <c r="P313" s="29"/>
      <c r="Q313" s="28"/>
      <c r="R313" s="29"/>
      <c r="S313" s="28"/>
      <c r="T313" s="29"/>
      <c r="U313" s="28"/>
      <c r="V313" s="29"/>
      <c r="W313" s="28"/>
      <c r="X313" s="29"/>
      <c r="Y313" s="28"/>
      <c r="Z313" s="29"/>
      <c r="AA313" s="28"/>
      <c r="AB313" s="29"/>
      <c r="AC313" s="28"/>
      <c r="AD313" s="29"/>
      <c r="AE313" s="28"/>
      <c r="AF313" s="29"/>
      <c r="AG313" s="28"/>
      <c r="AH313" s="29"/>
      <c r="AI313" s="28"/>
      <c r="AJ313" s="29"/>
      <c r="AK313" s="28"/>
      <c r="AL313" s="29"/>
      <c r="AM313" s="28"/>
      <c r="AN313" s="29"/>
      <c r="AO313" s="28"/>
      <c r="AP313" s="29"/>
      <c r="AQ313" s="28"/>
      <c r="AR313" s="29"/>
      <c r="AS313" s="25"/>
      <c r="AT313" s="25"/>
      <c r="AU313" s="25"/>
      <c r="AV313" s="26"/>
      <c r="AW313" s="26"/>
      <c r="AX313" s="26"/>
      <c r="AY313" s="26"/>
      <c r="AZ313" s="26"/>
      <c r="BA313" s="26"/>
      <c r="BB313" s="26"/>
      <c r="BC313" s="26"/>
      <c r="BD313" s="27"/>
    </row>
    <row r="314" spans="1:56" ht="15" customHeight="1">
      <c r="A314" s="9"/>
      <c r="B314" s="9"/>
      <c r="C314" s="9"/>
      <c r="D314" s="9"/>
      <c r="E314" s="9"/>
      <c r="F314" s="24"/>
      <c r="G314" s="9"/>
      <c r="H314" s="24"/>
      <c r="I314" s="9"/>
      <c r="J314" s="24"/>
      <c r="K314" s="9"/>
      <c r="L314" s="24"/>
      <c r="M314" s="9"/>
      <c r="N314" s="24"/>
      <c r="O314" s="9"/>
      <c r="P314" s="24"/>
      <c r="Q314" s="9"/>
      <c r="R314" s="24"/>
      <c r="S314" s="9"/>
      <c r="T314" s="24"/>
      <c r="U314" s="9"/>
      <c r="V314" s="24"/>
      <c r="W314" s="9"/>
      <c r="X314" s="24"/>
      <c r="Y314" s="9"/>
      <c r="Z314" s="24"/>
      <c r="AA314" s="9"/>
      <c r="AB314" s="24"/>
      <c r="AC314" s="9"/>
      <c r="AD314" s="24"/>
      <c r="AE314" s="9"/>
      <c r="AF314" s="24"/>
      <c r="AG314" s="9"/>
      <c r="AH314" s="24"/>
      <c r="AI314" s="9"/>
      <c r="AJ314" s="24"/>
      <c r="AK314" s="9"/>
      <c r="AL314" s="24"/>
      <c r="AM314" s="9"/>
      <c r="AN314" s="24"/>
      <c r="AO314" s="9"/>
      <c r="AP314" s="24"/>
      <c r="AQ314" s="9"/>
      <c r="AR314" s="24"/>
      <c r="AS314" s="25"/>
      <c r="AT314" s="25"/>
      <c r="AU314" s="25"/>
      <c r="AV314" s="26"/>
      <c r="AW314" s="26"/>
      <c r="AX314" s="26"/>
      <c r="AY314" s="26"/>
      <c r="AZ314" s="26"/>
      <c r="BA314" s="26"/>
      <c r="BB314" s="26"/>
      <c r="BC314" s="26"/>
      <c r="BD314" s="27"/>
    </row>
    <row r="315" spans="1:56" ht="15" customHeight="1">
      <c r="A315" s="28"/>
      <c r="B315" s="28"/>
      <c r="C315" s="28"/>
      <c r="D315" s="28"/>
      <c r="E315" s="28"/>
      <c r="F315" s="29"/>
      <c r="G315" s="28"/>
      <c r="H315" s="29"/>
      <c r="I315" s="28"/>
      <c r="J315" s="29"/>
      <c r="K315" s="28"/>
      <c r="L315" s="29"/>
      <c r="M315" s="28"/>
      <c r="N315" s="29"/>
      <c r="O315" s="28"/>
      <c r="P315" s="29"/>
      <c r="Q315" s="28"/>
      <c r="R315" s="29"/>
      <c r="S315" s="28"/>
      <c r="T315" s="29"/>
      <c r="U315" s="28"/>
      <c r="V315" s="29"/>
      <c r="W315" s="28"/>
      <c r="X315" s="29"/>
      <c r="Y315" s="28"/>
      <c r="Z315" s="29"/>
      <c r="AA315" s="28"/>
      <c r="AB315" s="29"/>
      <c r="AC315" s="28"/>
      <c r="AD315" s="29"/>
      <c r="AE315" s="28"/>
      <c r="AF315" s="29"/>
      <c r="AG315" s="28"/>
      <c r="AH315" s="29"/>
      <c r="AI315" s="28"/>
      <c r="AJ315" s="29"/>
      <c r="AK315" s="28"/>
      <c r="AL315" s="29"/>
      <c r="AM315" s="28"/>
      <c r="AN315" s="29"/>
      <c r="AO315" s="28"/>
      <c r="AP315" s="29"/>
      <c r="AQ315" s="28"/>
      <c r="AR315" s="29"/>
      <c r="AS315" s="25"/>
      <c r="AT315" s="25"/>
      <c r="AU315" s="25"/>
      <c r="AV315" s="26"/>
      <c r="AW315" s="26"/>
      <c r="AX315" s="26"/>
      <c r="AY315" s="26"/>
      <c r="AZ315" s="26"/>
      <c r="BA315" s="26"/>
      <c r="BB315" s="26"/>
      <c r="BC315" s="26"/>
      <c r="BD315" s="27"/>
    </row>
    <row r="316" spans="1:56" ht="15" customHeight="1">
      <c r="A316" s="9"/>
      <c r="B316" s="9"/>
      <c r="C316" s="9"/>
      <c r="D316" s="9"/>
      <c r="E316" s="9"/>
      <c r="F316" s="24"/>
      <c r="G316" s="9"/>
      <c r="H316" s="24"/>
      <c r="I316" s="9"/>
      <c r="J316" s="24"/>
      <c r="K316" s="9"/>
      <c r="L316" s="24"/>
      <c r="M316" s="9"/>
      <c r="N316" s="24"/>
      <c r="O316" s="9"/>
      <c r="P316" s="24"/>
      <c r="Q316" s="9"/>
      <c r="R316" s="24"/>
      <c r="S316" s="9"/>
      <c r="T316" s="24"/>
      <c r="U316" s="9"/>
      <c r="V316" s="24"/>
      <c r="W316" s="9"/>
      <c r="X316" s="24"/>
      <c r="Y316" s="9"/>
      <c r="Z316" s="24"/>
      <c r="AA316" s="9"/>
      <c r="AB316" s="24"/>
      <c r="AC316" s="9"/>
      <c r="AD316" s="24"/>
      <c r="AE316" s="9"/>
      <c r="AF316" s="24"/>
      <c r="AG316" s="9"/>
      <c r="AH316" s="24"/>
      <c r="AI316" s="9"/>
      <c r="AJ316" s="24"/>
      <c r="AK316" s="9"/>
      <c r="AL316" s="24"/>
      <c r="AM316" s="9"/>
      <c r="AN316" s="24"/>
      <c r="AO316" s="9"/>
      <c r="AP316" s="24"/>
      <c r="AQ316" s="9"/>
      <c r="AR316" s="24"/>
      <c r="AS316" s="25"/>
      <c r="AT316" s="25"/>
      <c r="AU316" s="25"/>
      <c r="AV316" s="26"/>
      <c r="AW316" s="26"/>
      <c r="AX316" s="26"/>
      <c r="AY316" s="26"/>
      <c r="AZ316" s="26"/>
      <c r="BA316" s="26"/>
      <c r="BB316" s="26"/>
      <c r="BC316" s="26"/>
      <c r="BD316" s="27"/>
    </row>
    <row r="317" spans="1:56" ht="15" customHeight="1">
      <c r="A317" s="28"/>
      <c r="B317" s="28"/>
      <c r="C317" s="28"/>
      <c r="D317" s="28"/>
      <c r="E317" s="28"/>
      <c r="F317" s="29"/>
      <c r="G317" s="28"/>
      <c r="H317" s="29"/>
      <c r="I317" s="28"/>
      <c r="J317" s="29"/>
      <c r="K317" s="28"/>
      <c r="L317" s="29"/>
      <c r="M317" s="28"/>
      <c r="N317" s="29"/>
      <c r="O317" s="28"/>
      <c r="P317" s="29"/>
      <c r="Q317" s="28"/>
      <c r="R317" s="29"/>
      <c r="S317" s="28"/>
      <c r="T317" s="29"/>
      <c r="U317" s="28"/>
      <c r="V317" s="29"/>
      <c r="W317" s="28"/>
      <c r="X317" s="29"/>
      <c r="Y317" s="28"/>
      <c r="Z317" s="29"/>
      <c r="AA317" s="28"/>
      <c r="AB317" s="29"/>
      <c r="AC317" s="28"/>
      <c r="AD317" s="29"/>
      <c r="AE317" s="28"/>
      <c r="AF317" s="29"/>
      <c r="AG317" s="28"/>
      <c r="AH317" s="29"/>
      <c r="AI317" s="28"/>
      <c r="AJ317" s="29"/>
      <c r="AK317" s="28"/>
      <c r="AL317" s="29"/>
      <c r="AM317" s="28"/>
      <c r="AN317" s="29"/>
      <c r="AO317" s="28"/>
      <c r="AP317" s="29"/>
      <c r="AQ317" s="28"/>
      <c r="AR317" s="29"/>
      <c r="AS317" s="25"/>
      <c r="AT317" s="25"/>
      <c r="AU317" s="25"/>
      <c r="AV317" s="26"/>
      <c r="AW317" s="26"/>
      <c r="AX317" s="26"/>
      <c r="AY317" s="26"/>
      <c r="AZ317" s="26"/>
      <c r="BA317" s="26"/>
      <c r="BB317" s="26"/>
      <c r="BC317" s="26"/>
      <c r="BD317" s="27"/>
    </row>
    <row r="318" spans="1:56" ht="15" customHeight="1">
      <c r="A318" s="9"/>
      <c r="B318" s="9"/>
      <c r="C318" s="9"/>
      <c r="D318" s="9"/>
      <c r="E318" s="9"/>
      <c r="F318" s="24"/>
      <c r="G318" s="9"/>
      <c r="H318" s="24"/>
      <c r="I318" s="9"/>
      <c r="J318" s="24"/>
      <c r="K318" s="9"/>
      <c r="L318" s="24"/>
      <c r="M318" s="9"/>
      <c r="N318" s="24"/>
      <c r="O318" s="9"/>
      <c r="P318" s="24"/>
      <c r="Q318" s="9"/>
      <c r="R318" s="24"/>
      <c r="S318" s="9"/>
      <c r="T318" s="24"/>
      <c r="U318" s="9"/>
      <c r="V318" s="24"/>
      <c r="W318" s="9"/>
      <c r="X318" s="24"/>
      <c r="Y318" s="9"/>
      <c r="Z318" s="24"/>
      <c r="AA318" s="9"/>
      <c r="AB318" s="24"/>
      <c r="AC318" s="9"/>
      <c r="AD318" s="24"/>
      <c r="AE318" s="9"/>
      <c r="AF318" s="24"/>
      <c r="AG318" s="9"/>
      <c r="AH318" s="24"/>
      <c r="AI318" s="9"/>
      <c r="AJ318" s="24"/>
      <c r="AK318" s="9"/>
      <c r="AL318" s="24"/>
      <c r="AM318" s="9"/>
      <c r="AN318" s="24"/>
      <c r="AO318" s="9"/>
      <c r="AP318" s="24"/>
      <c r="AQ318" s="9"/>
      <c r="AR318" s="24"/>
      <c r="AS318" s="25"/>
      <c r="AT318" s="25"/>
      <c r="AU318" s="25"/>
      <c r="AV318" s="26"/>
      <c r="AW318" s="26"/>
      <c r="AX318" s="26"/>
      <c r="AY318" s="26"/>
      <c r="AZ318" s="26"/>
      <c r="BA318" s="26"/>
      <c r="BB318" s="26"/>
      <c r="BC318" s="26"/>
      <c r="BD318" s="27"/>
    </row>
    <row r="319" spans="1:56" ht="15" customHeight="1">
      <c r="A319" s="28"/>
      <c r="B319" s="28"/>
      <c r="C319" s="28"/>
      <c r="D319" s="28"/>
      <c r="E319" s="28"/>
      <c r="F319" s="29"/>
      <c r="G319" s="28"/>
      <c r="H319" s="29"/>
      <c r="I319" s="28"/>
      <c r="J319" s="29"/>
      <c r="K319" s="28"/>
      <c r="L319" s="29"/>
      <c r="M319" s="28"/>
      <c r="N319" s="29"/>
      <c r="O319" s="28"/>
      <c r="P319" s="29"/>
      <c r="Q319" s="28"/>
      <c r="R319" s="29"/>
      <c r="S319" s="28"/>
      <c r="T319" s="29"/>
      <c r="U319" s="28"/>
      <c r="V319" s="29"/>
      <c r="W319" s="28"/>
      <c r="X319" s="29"/>
      <c r="Y319" s="28"/>
      <c r="Z319" s="29"/>
      <c r="AA319" s="28"/>
      <c r="AB319" s="29"/>
      <c r="AC319" s="28"/>
      <c r="AD319" s="29"/>
      <c r="AE319" s="28"/>
      <c r="AF319" s="29"/>
      <c r="AG319" s="28"/>
      <c r="AH319" s="29"/>
      <c r="AI319" s="28"/>
      <c r="AJ319" s="29"/>
      <c r="AK319" s="28"/>
      <c r="AL319" s="29"/>
      <c r="AM319" s="28"/>
      <c r="AN319" s="29"/>
      <c r="AO319" s="28"/>
      <c r="AP319" s="29"/>
      <c r="AQ319" s="28"/>
      <c r="AR319" s="29"/>
      <c r="AS319" s="25"/>
      <c r="AT319" s="25"/>
      <c r="AU319" s="25"/>
      <c r="AV319" s="26"/>
      <c r="AW319" s="26"/>
      <c r="AX319" s="26"/>
      <c r="AY319" s="26"/>
      <c r="AZ319" s="26"/>
      <c r="BA319" s="26"/>
      <c r="BB319" s="26"/>
      <c r="BC319" s="26"/>
      <c r="BD319" s="27"/>
    </row>
    <row r="320" spans="1:56" ht="15" customHeight="1">
      <c r="A320" s="9"/>
      <c r="B320" s="9"/>
      <c r="C320" s="9"/>
      <c r="D320" s="9"/>
      <c r="E320" s="9"/>
      <c r="F320" s="24"/>
      <c r="G320" s="9"/>
      <c r="H320" s="24"/>
      <c r="I320" s="9"/>
      <c r="J320" s="24"/>
      <c r="K320" s="9"/>
      <c r="L320" s="24"/>
      <c r="M320" s="9"/>
      <c r="N320" s="24"/>
      <c r="O320" s="9"/>
      <c r="P320" s="24"/>
      <c r="Q320" s="9"/>
      <c r="R320" s="24"/>
      <c r="S320" s="9"/>
      <c r="T320" s="24"/>
      <c r="U320" s="9"/>
      <c r="V320" s="24"/>
      <c r="W320" s="9"/>
      <c r="X320" s="24"/>
      <c r="Y320" s="9"/>
      <c r="Z320" s="24"/>
      <c r="AA320" s="9"/>
      <c r="AB320" s="24"/>
      <c r="AC320" s="9"/>
      <c r="AD320" s="24"/>
      <c r="AE320" s="9"/>
      <c r="AF320" s="24"/>
      <c r="AG320" s="9"/>
      <c r="AH320" s="24"/>
      <c r="AI320" s="9"/>
      <c r="AJ320" s="24"/>
      <c r="AK320" s="9"/>
      <c r="AL320" s="24"/>
      <c r="AM320" s="9"/>
      <c r="AN320" s="24"/>
      <c r="AO320" s="9"/>
      <c r="AP320" s="24"/>
      <c r="AQ320" s="9"/>
      <c r="AR320" s="24"/>
      <c r="AS320" s="25"/>
      <c r="AT320" s="25"/>
      <c r="AU320" s="25"/>
      <c r="AV320" s="26"/>
      <c r="AW320" s="26"/>
      <c r="AX320" s="26"/>
      <c r="AY320" s="26"/>
      <c r="AZ320" s="26"/>
      <c r="BA320" s="26"/>
      <c r="BB320" s="26"/>
      <c r="BC320" s="26"/>
      <c r="BD320" s="27"/>
    </row>
    <row r="321" spans="1:56" ht="15" customHeight="1">
      <c r="A321" s="28"/>
      <c r="B321" s="28"/>
      <c r="C321" s="28"/>
      <c r="D321" s="28"/>
      <c r="E321" s="28"/>
      <c r="F321" s="29"/>
      <c r="G321" s="28"/>
      <c r="H321" s="29"/>
      <c r="I321" s="28"/>
      <c r="J321" s="29"/>
      <c r="K321" s="28"/>
      <c r="L321" s="29"/>
      <c r="M321" s="28"/>
      <c r="N321" s="29"/>
      <c r="O321" s="28"/>
      <c r="P321" s="29"/>
      <c r="Q321" s="28"/>
      <c r="R321" s="29"/>
      <c r="S321" s="28"/>
      <c r="T321" s="29"/>
      <c r="U321" s="28"/>
      <c r="V321" s="29"/>
      <c r="W321" s="28"/>
      <c r="X321" s="29"/>
      <c r="Y321" s="28"/>
      <c r="Z321" s="29"/>
      <c r="AA321" s="28"/>
      <c r="AB321" s="29"/>
      <c r="AC321" s="28"/>
      <c r="AD321" s="29"/>
      <c r="AE321" s="28"/>
      <c r="AF321" s="29"/>
      <c r="AG321" s="28"/>
      <c r="AH321" s="29"/>
      <c r="AI321" s="28"/>
      <c r="AJ321" s="29"/>
      <c r="AK321" s="28"/>
      <c r="AL321" s="29"/>
      <c r="AM321" s="28"/>
      <c r="AN321" s="29"/>
      <c r="AO321" s="28"/>
      <c r="AP321" s="29"/>
      <c r="AQ321" s="28"/>
      <c r="AR321" s="29"/>
      <c r="AS321" s="25"/>
      <c r="AT321" s="25"/>
      <c r="AU321" s="25"/>
      <c r="AV321" s="26"/>
      <c r="AW321" s="26"/>
      <c r="AX321" s="26"/>
      <c r="AY321" s="26"/>
      <c r="AZ321" s="26"/>
      <c r="BA321" s="26"/>
      <c r="BB321" s="26"/>
      <c r="BC321" s="26"/>
      <c r="BD321" s="27"/>
    </row>
    <row r="322" spans="1:56" ht="15" customHeight="1">
      <c r="A322" s="9"/>
      <c r="B322" s="9"/>
      <c r="C322" s="9"/>
      <c r="D322" s="9"/>
      <c r="E322" s="9"/>
      <c r="F322" s="24"/>
      <c r="G322" s="9"/>
      <c r="H322" s="24"/>
      <c r="I322" s="9"/>
      <c r="J322" s="24"/>
      <c r="K322" s="9"/>
      <c r="L322" s="24"/>
      <c r="M322" s="9"/>
      <c r="N322" s="24"/>
      <c r="O322" s="9"/>
      <c r="P322" s="24"/>
      <c r="Q322" s="9"/>
      <c r="R322" s="24"/>
      <c r="S322" s="9"/>
      <c r="T322" s="24"/>
      <c r="U322" s="9"/>
      <c r="V322" s="24"/>
      <c r="W322" s="9"/>
      <c r="X322" s="24"/>
      <c r="Y322" s="9"/>
      <c r="Z322" s="24"/>
      <c r="AA322" s="9"/>
      <c r="AB322" s="24"/>
      <c r="AC322" s="9"/>
      <c r="AD322" s="24"/>
      <c r="AE322" s="9"/>
      <c r="AF322" s="24"/>
      <c r="AG322" s="9"/>
      <c r="AH322" s="24"/>
      <c r="AI322" s="9"/>
      <c r="AJ322" s="24"/>
      <c r="AK322" s="9"/>
      <c r="AL322" s="24"/>
      <c r="AM322" s="9"/>
      <c r="AN322" s="24"/>
      <c r="AO322" s="9"/>
      <c r="AP322" s="24"/>
      <c r="AQ322" s="9"/>
      <c r="AR322" s="24"/>
      <c r="AS322" s="25"/>
      <c r="AT322" s="25"/>
      <c r="AU322" s="25"/>
      <c r="AV322" s="26"/>
      <c r="AW322" s="26"/>
      <c r="AX322" s="26"/>
      <c r="AY322" s="26"/>
      <c r="AZ322" s="26"/>
      <c r="BA322" s="26"/>
      <c r="BB322" s="26"/>
      <c r="BC322" s="26"/>
      <c r="BD322" s="27"/>
    </row>
    <row r="323" spans="1:56" ht="15" customHeight="1">
      <c r="A323" s="28"/>
      <c r="B323" s="28"/>
      <c r="C323" s="28"/>
      <c r="D323" s="28"/>
      <c r="E323" s="28"/>
      <c r="F323" s="29"/>
      <c r="G323" s="28"/>
      <c r="H323" s="29"/>
      <c r="I323" s="28"/>
      <c r="J323" s="29"/>
      <c r="K323" s="28"/>
      <c r="L323" s="29"/>
      <c r="M323" s="28"/>
      <c r="N323" s="29"/>
      <c r="O323" s="28"/>
      <c r="P323" s="29"/>
      <c r="Q323" s="28"/>
      <c r="R323" s="29"/>
      <c r="S323" s="28"/>
      <c r="T323" s="29"/>
      <c r="U323" s="28"/>
      <c r="V323" s="29"/>
      <c r="W323" s="28"/>
      <c r="X323" s="29"/>
      <c r="Y323" s="28"/>
      <c r="Z323" s="29"/>
      <c r="AA323" s="28"/>
      <c r="AB323" s="29"/>
      <c r="AC323" s="28"/>
      <c r="AD323" s="29"/>
      <c r="AE323" s="28"/>
      <c r="AF323" s="29"/>
      <c r="AG323" s="28"/>
      <c r="AH323" s="29"/>
      <c r="AI323" s="28"/>
      <c r="AJ323" s="29"/>
      <c r="AK323" s="28"/>
      <c r="AL323" s="29"/>
      <c r="AM323" s="28"/>
      <c r="AN323" s="29"/>
      <c r="AO323" s="28"/>
      <c r="AP323" s="29"/>
      <c r="AQ323" s="28"/>
      <c r="AR323" s="29"/>
      <c r="AS323" s="25"/>
      <c r="AT323" s="25"/>
      <c r="AU323" s="25"/>
      <c r="AV323" s="26"/>
      <c r="AW323" s="26"/>
      <c r="AX323" s="26"/>
      <c r="AY323" s="26"/>
      <c r="AZ323" s="26"/>
      <c r="BA323" s="26"/>
      <c r="BB323" s="26"/>
      <c r="BC323" s="26"/>
      <c r="BD323" s="27"/>
    </row>
    <row r="324" spans="1:56" ht="15" customHeight="1">
      <c r="A324" s="9"/>
      <c r="B324" s="9"/>
      <c r="C324" s="9"/>
      <c r="D324" s="9"/>
      <c r="E324" s="9"/>
      <c r="F324" s="24"/>
      <c r="G324" s="9"/>
      <c r="H324" s="24"/>
      <c r="I324" s="9"/>
      <c r="J324" s="24"/>
      <c r="K324" s="9"/>
      <c r="L324" s="24"/>
      <c r="M324" s="9"/>
      <c r="N324" s="24"/>
      <c r="O324" s="9"/>
      <c r="P324" s="24"/>
      <c r="Q324" s="9"/>
      <c r="R324" s="24"/>
      <c r="S324" s="9"/>
      <c r="T324" s="24"/>
      <c r="U324" s="9"/>
      <c r="V324" s="24"/>
      <c r="W324" s="9"/>
      <c r="X324" s="24"/>
      <c r="Y324" s="9"/>
      <c r="Z324" s="24"/>
      <c r="AA324" s="9"/>
      <c r="AB324" s="24"/>
      <c r="AC324" s="9"/>
      <c r="AD324" s="24"/>
      <c r="AE324" s="9"/>
      <c r="AF324" s="24"/>
      <c r="AG324" s="9"/>
      <c r="AH324" s="24"/>
      <c r="AI324" s="9"/>
      <c r="AJ324" s="24"/>
      <c r="AK324" s="9"/>
      <c r="AL324" s="24"/>
      <c r="AM324" s="9"/>
      <c r="AN324" s="24"/>
      <c r="AO324" s="9"/>
      <c r="AP324" s="24"/>
      <c r="AQ324" s="9"/>
      <c r="AR324" s="24"/>
      <c r="AS324" s="25"/>
      <c r="AT324" s="25"/>
      <c r="AU324" s="25"/>
      <c r="AV324" s="26"/>
      <c r="AW324" s="26"/>
      <c r="AX324" s="26"/>
      <c r="AY324" s="26"/>
      <c r="AZ324" s="26"/>
      <c r="BA324" s="26"/>
      <c r="BB324" s="26"/>
      <c r="BC324" s="26"/>
      <c r="BD324" s="27"/>
    </row>
    <row r="325" spans="1:56" ht="15" customHeight="1">
      <c r="A325" s="28"/>
      <c r="B325" s="28"/>
      <c r="C325" s="28"/>
      <c r="D325" s="28"/>
      <c r="E325" s="28"/>
      <c r="F325" s="29"/>
      <c r="G325" s="28"/>
      <c r="H325" s="29"/>
      <c r="I325" s="28"/>
      <c r="J325" s="29"/>
      <c r="K325" s="28"/>
      <c r="L325" s="29"/>
      <c r="M325" s="28"/>
      <c r="N325" s="29"/>
      <c r="O325" s="28"/>
      <c r="P325" s="29"/>
      <c r="Q325" s="28"/>
      <c r="R325" s="29"/>
      <c r="S325" s="28"/>
      <c r="T325" s="29"/>
      <c r="U325" s="28"/>
      <c r="V325" s="29"/>
      <c r="W325" s="28"/>
      <c r="X325" s="29"/>
      <c r="Y325" s="28"/>
      <c r="Z325" s="29"/>
      <c r="AA325" s="28"/>
      <c r="AB325" s="29"/>
      <c r="AC325" s="28"/>
      <c r="AD325" s="29"/>
      <c r="AE325" s="28"/>
      <c r="AF325" s="29"/>
      <c r="AG325" s="28"/>
      <c r="AH325" s="29"/>
      <c r="AI325" s="28"/>
      <c r="AJ325" s="29"/>
      <c r="AK325" s="28"/>
      <c r="AL325" s="29"/>
      <c r="AM325" s="28"/>
      <c r="AN325" s="29"/>
      <c r="AO325" s="28"/>
      <c r="AP325" s="29"/>
      <c r="AQ325" s="28"/>
      <c r="AR325" s="29"/>
      <c r="AS325" s="25"/>
      <c r="AT325" s="25"/>
      <c r="AU325" s="25"/>
      <c r="AV325" s="26"/>
      <c r="AW325" s="26"/>
      <c r="AX325" s="26"/>
      <c r="AY325" s="26"/>
      <c r="AZ325" s="26"/>
      <c r="BA325" s="26"/>
      <c r="BB325" s="26"/>
      <c r="BC325" s="26"/>
      <c r="BD325" s="27"/>
    </row>
    <row r="326" spans="1:56" ht="15" customHeight="1">
      <c r="A326" s="9"/>
      <c r="B326" s="9"/>
      <c r="C326" s="9"/>
      <c r="D326" s="9"/>
      <c r="E326" s="9"/>
      <c r="F326" s="24"/>
      <c r="G326" s="9"/>
      <c r="H326" s="24"/>
      <c r="I326" s="9"/>
      <c r="J326" s="24"/>
      <c r="K326" s="9"/>
      <c r="L326" s="24"/>
      <c r="M326" s="9"/>
      <c r="N326" s="24"/>
      <c r="O326" s="9"/>
      <c r="P326" s="24"/>
      <c r="Q326" s="9"/>
      <c r="R326" s="24"/>
      <c r="S326" s="9"/>
      <c r="T326" s="24"/>
      <c r="U326" s="9"/>
      <c r="V326" s="24"/>
      <c r="W326" s="9"/>
      <c r="X326" s="24"/>
      <c r="Y326" s="9"/>
      <c r="Z326" s="24"/>
      <c r="AA326" s="9"/>
      <c r="AB326" s="24"/>
      <c r="AC326" s="9"/>
      <c r="AD326" s="24"/>
      <c r="AE326" s="9"/>
      <c r="AF326" s="24"/>
      <c r="AG326" s="9"/>
      <c r="AH326" s="24"/>
      <c r="AI326" s="9"/>
      <c r="AJ326" s="24"/>
      <c r="AK326" s="9"/>
      <c r="AL326" s="24"/>
      <c r="AM326" s="9"/>
      <c r="AN326" s="24"/>
      <c r="AO326" s="9"/>
      <c r="AP326" s="24"/>
      <c r="AQ326" s="9"/>
      <c r="AR326" s="24"/>
      <c r="AS326" s="25"/>
      <c r="AT326" s="25"/>
      <c r="AU326" s="25"/>
      <c r="AV326" s="26"/>
      <c r="AW326" s="26"/>
      <c r="AX326" s="26"/>
      <c r="AY326" s="26"/>
      <c r="AZ326" s="26"/>
      <c r="BA326" s="26"/>
      <c r="BB326" s="26"/>
      <c r="BC326" s="26"/>
      <c r="BD326" s="27"/>
    </row>
    <row r="327" spans="1:56" ht="15" customHeight="1">
      <c r="A327" s="28"/>
      <c r="B327" s="28"/>
      <c r="C327" s="28"/>
      <c r="D327" s="28"/>
      <c r="E327" s="28"/>
      <c r="F327" s="29"/>
      <c r="G327" s="28"/>
      <c r="H327" s="29"/>
      <c r="I327" s="28"/>
      <c r="J327" s="29"/>
      <c r="K327" s="28"/>
      <c r="L327" s="29"/>
      <c r="M327" s="28"/>
      <c r="N327" s="29"/>
      <c r="O327" s="28"/>
      <c r="P327" s="29"/>
      <c r="Q327" s="28"/>
      <c r="R327" s="29"/>
      <c r="S327" s="28"/>
      <c r="T327" s="29"/>
      <c r="U327" s="28"/>
      <c r="V327" s="29"/>
      <c r="W327" s="28"/>
      <c r="X327" s="29"/>
      <c r="Y327" s="28"/>
      <c r="Z327" s="29"/>
      <c r="AA327" s="28"/>
      <c r="AB327" s="29"/>
      <c r="AC327" s="28"/>
      <c r="AD327" s="29"/>
      <c r="AE327" s="28"/>
      <c r="AF327" s="29"/>
      <c r="AG327" s="28"/>
      <c r="AH327" s="29"/>
      <c r="AI327" s="28"/>
      <c r="AJ327" s="29"/>
      <c r="AK327" s="28"/>
      <c r="AL327" s="29"/>
      <c r="AM327" s="28"/>
      <c r="AN327" s="29"/>
      <c r="AO327" s="28"/>
      <c r="AP327" s="29"/>
      <c r="AQ327" s="28"/>
      <c r="AR327" s="29"/>
      <c r="AS327" s="25"/>
      <c r="AT327" s="25"/>
      <c r="AU327" s="25"/>
      <c r="AV327" s="26"/>
      <c r="AW327" s="26"/>
      <c r="AX327" s="26"/>
      <c r="AY327" s="26"/>
      <c r="AZ327" s="26"/>
      <c r="BA327" s="26"/>
      <c r="BB327" s="26"/>
      <c r="BC327" s="26"/>
      <c r="BD327" s="27"/>
    </row>
    <row r="328" spans="1:56" ht="15" customHeight="1">
      <c r="A328" s="9"/>
      <c r="B328" s="9"/>
      <c r="C328" s="9"/>
      <c r="D328" s="9"/>
      <c r="E328" s="9"/>
      <c r="F328" s="24"/>
      <c r="G328" s="9"/>
      <c r="H328" s="24"/>
      <c r="I328" s="9"/>
      <c r="J328" s="24"/>
      <c r="K328" s="9"/>
      <c r="L328" s="24"/>
      <c r="M328" s="9"/>
      <c r="N328" s="24"/>
      <c r="O328" s="9"/>
      <c r="P328" s="24"/>
      <c r="Q328" s="9"/>
      <c r="R328" s="24"/>
      <c r="S328" s="9"/>
      <c r="T328" s="24"/>
      <c r="U328" s="9"/>
      <c r="V328" s="24"/>
      <c r="W328" s="9"/>
      <c r="X328" s="24"/>
      <c r="Y328" s="9"/>
      <c r="Z328" s="24"/>
      <c r="AA328" s="9"/>
      <c r="AB328" s="24"/>
      <c r="AC328" s="9"/>
      <c r="AD328" s="24"/>
      <c r="AE328" s="9"/>
      <c r="AF328" s="24"/>
      <c r="AG328" s="9"/>
      <c r="AH328" s="24"/>
      <c r="AI328" s="9"/>
      <c r="AJ328" s="24"/>
      <c r="AK328" s="9"/>
      <c r="AL328" s="24"/>
      <c r="AM328" s="9"/>
      <c r="AN328" s="24"/>
      <c r="AO328" s="9"/>
      <c r="AP328" s="24"/>
      <c r="AQ328" s="9"/>
      <c r="AR328" s="24"/>
      <c r="AS328" s="25"/>
      <c r="AT328" s="25"/>
      <c r="AU328" s="25"/>
      <c r="AV328" s="26"/>
      <c r="AW328" s="26"/>
      <c r="AX328" s="26"/>
      <c r="AY328" s="26"/>
      <c r="AZ328" s="26"/>
      <c r="BA328" s="26"/>
      <c r="BB328" s="26"/>
      <c r="BC328" s="26"/>
      <c r="BD328" s="27"/>
    </row>
    <row r="329" spans="1:56" ht="15" customHeight="1">
      <c r="A329" s="28"/>
      <c r="B329" s="28"/>
      <c r="C329" s="28"/>
      <c r="D329" s="28"/>
      <c r="E329" s="28"/>
      <c r="F329" s="29"/>
      <c r="G329" s="28"/>
      <c r="H329" s="29"/>
      <c r="I329" s="28"/>
      <c r="J329" s="29"/>
      <c r="K329" s="28"/>
      <c r="L329" s="29"/>
      <c r="M329" s="28"/>
      <c r="N329" s="29"/>
      <c r="O329" s="28"/>
      <c r="P329" s="29"/>
      <c r="Q329" s="28"/>
      <c r="R329" s="29"/>
      <c r="S329" s="28"/>
      <c r="T329" s="29"/>
      <c r="U329" s="28"/>
      <c r="V329" s="29"/>
      <c r="W329" s="28"/>
      <c r="X329" s="29"/>
      <c r="Y329" s="28"/>
      <c r="Z329" s="29"/>
      <c r="AA329" s="28"/>
      <c r="AB329" s="29"/>
      <c r="AC329" s="28"/>
      <c r="AD329" s="29"/>
      <c r="AE329" s="28"/>
      <c r="AF329" s="29"/>
      <c r="AG329" s="28"/>
      <c r="AH329" s="29"/>
      <c r="AI329" s="28"/>
      <c r="AJ329" s="29"/>
      <c r="AK329" s="28"/>
      <c r="AL329" s="29"/>
      <c r="AM329" s="28"/>
      <c r="AN329" s="29"/>
      <c r="AO329" s="28"/>
      <c r="AP329" s="29"/>
      <c r="AQ329" s="28"/>
      <c r="AR329" s="29"/>
      <c r="AS329" s="25"/>
      <c r="AT329" s="25"/>
      <c r="AU329" s="25"/>
      <c r="AV329" s="26"/>
      <c r="AW329" s="26"/>
      <c r="AX329" s="26"/>
      <c r="AY329" s="26"/>
      <c r="AZ329" s="26"/>
      <c r="BA329" s="26"/>
      <c r="BB329" s="26"/>
      <c r="BC329" s="26"/>
      <c r="BD329" s="27"/>
    </row>
    <row r="330" spans="1:56" ht="15" customHeight="1">
      <c r="A330" s="9"/>
      <c r="B330" s="9"/>
      <c r="C330" s="9"/>
      <c r="D330" s="9"/>
      <c r="E330" s="9"/>
      <c r="F330" s="24"/>
      <c r="G330" s="9"/>
      <c r="H330" s="24"/>
      <c r="I330" s="9"/>
      <c r="J330" s="24"/>
      <c r="K330" s="9"/>
      <c r="L330" s="24"/>
      <c r="M330" s="9"/>
      <c r="N330" s="24"/>
      <c r="O330" s="9"/>
      <c r="P330" s="24"/>
      <c r="Q330" s="9"/>
      <c r="R330" s="24"/>
      <c r="S330" s="9"/>
      <c r="T330" s="24"/>
      <c r="U330" s="9"/>
      <c r="V330" s="24"/>
      <c r="W330" s="9"/>
      <c r="X330" s="24"/>
      <c r="Y330" s="9"/>
      <c r="Z330" s="24"/>
      <c r="AA330" s="9"/>
      <c r="AB330" s="24"/>
      <c r="AC330" s="9"/>
      <c r="AD330" s="24"/>
      <c r="AE330" s="9"/>
      <c r="AF330" s="24"/>
      <c r="AG330" s="9"/>
      <c r="AH330" s="24"/>
      <c r="AI330" s="9"/>
      <c r="AJ330" s="24"/>
      <c r="AK330" s="9"/>
      <c r="AL330" s="24"/>
      <c r="AM330" s="9"/>
      <c r="AN330" s="24"/>
      <c r="AO330" s="9"/>
      <c r="AP330" s="24"/>
      <c r="AQ330" s="9"/>
      <c r="AR330" s="24"/>
      <c r="AS330" s="25"/>
      <c r="AT330" s="25"/>
      <c r="AU330" s="25"/>
      <c r="AV330" s="26"/>
      <c r="AW330" s="26"/>
      <c r="AX330" s="26"/>
      <c r="AY330" s="26"/>
      <c r="AZ330" s="26"/>
      <c r="BA330" s="26"/>
      <c r="BB330" s="26"/>
      <c r="BC330" s="26"/>
      <c r="BD330" s="27"/>
    </row>
    <row r="331" spans="1:56" ht="15" customHeight="1">
      <c r="A331" s="28"/>
      <c r="B331" s="28"/>
      <c r="C331" s="28"/>
      <c r="D331" s="28"/>
      <c r="E331" s="28"/>
      <c r="F331" s="29"/>
      <c r="G331" s="28"/>
      <c r="H331" s="29"/>
      <c r="I331" s="28"/>
      <c r="J331" s="29"/>
      <c r="K331" s="28"/>
      <c r="L331" s="29"/>
      <c r="M331" s="28"/>
      <c r="N331" s="29"/>
      <c r="O331" s="28"/>
      <c r="P331" s="29"/>
      <c r="Q331" s="28"/>
      <c r="R331" s="29"/>
      <c r="S331" s="28"/>
      <c r="T331" s="29"/>
      <c r="U331" s="28"/>
      <c r="V331" s="29"/>
      <c r="W331" s="28"/>
      <c r="X331" s="29"/>
      <c r="Y331" s="28"/>
      <c r="Z331" s="29"/>
      <c r="AA331" s="28"/>
      <c r="AB331" s="29"/>
      <c r="AC331" s="28"/>
      <c r="AD331" s="29"/>
      <c r="AE331" s="28"/>
      <c r="AF331" s="29"/>
      <c r="AG331" s="28"/>
      <c r="AH331" s="29"/>
      <c r="AI331" s="28"/>
      <c r="AJ331" s="29"/>
      <c r="AK331" s="28"/>
      <c r="AL331" s="29"/>
      <c r="AM331" s="28"/>
      <c r="AN331" s="29"/>
      <c r="AO331" s="28"/>
      <c r="AP331" s="29"/>
      <c r="AQ331" s="28"/>
      <c r="AR331" s="29"/>
      <c r="AS331" s="25"/>
      <c r="AT331" s="25"/>
      <c r="AU331" s="25"/>
      <c r="AV331" s="26"/>
      <c r="AW331" s="26"/>
      <c r="AX331" s="26"/>
      <c r="AY331" s="26"/>
      <c r="AZ331" s="26"/>
      <c r="BA331" s="26"/>
      <c r="BB331" s="26"/>
      <c r="BC331" s="26"/>
      <c r="BD331" s="27"/>
    </row>
    <row r="332" spans="1:56" ht="15" customHeight="1">
      <c r="A332" s="9"/>
      <c r="B332" s="9"/>
      <c r="C332" s="9"/>
      <c r="D332" s="9"/>
      <c r="E332" s="9"/>
      <c r="F332" s="24"/>
      <c r="G332" s="9"/>
      <c r="H332" s="24"/>
      <c r="I332" s="9"/>
      <c r="J332" s="24"/>
      <c r="K332" s="9"/>
      <c r="L332" s="24"/>
      <c r="M332" s="9"/>
      <c r="N332" s="24"/>
      <c r="O332" s="9"/>
      <c r="P332" s="24"/>
      <c r="Q332" s="9"/>
      <c r="R332" s="24"/>
      <c r="S332" s="9"/>
      <c r="T332" s="24"/>
      <c r="U332" s="9"/>
      <c r="V332" s="24"/>
      <c r="W332" s="9"/>
      <c r="X332" s="24"/>
      <c r="Y332" s="9"/>
      <c r="Z332" s="24"/>
      <c r="AA332" s="9"/>
      <c r="AB332" s="24"/>
      <c r="AC332" s="9"/>
      <c r="AD332" s="24"/>
      <c r="AE332" s="9"/>
      <c r="AF332" s="24"/>
      <c r="AG332" s="9"/>
      <c r="AH332" s="24"/>
      <c r="AI332" s="9"/>
      <c r="AJ332" s="24"/>
      <c r="AK332" s="9"/>
      <c r="AL332" s="24"/>
      <c r="AM332" s="9"/>
      <c r="AN332" s="24"/>
      <c r="AO332" s="9"/>
      <c r="AP332" s="24"/>
      <c r="AQ332" s="9"/>
      <c r="AR332" s="24"/>
      <c r="AS332" s="25"/>
      <c r="AT332" s="25"/>
      <c r="AU332" s="25"/>
      <c r="AV332" s="26"/>
      <c r="AW332" s="26"/>
      <c r="AX332" s="26"/>
      <c r="AY332" s="26"/>
      <c r="AZ332" s="26"/>
      <c r="BA332" s="26"/>
      <c r="BB332" s="26"/>
      <c r="BC332" s="26"/>
      <c r="BD332" s="27"/>
    </row>
    <row r="333" spans="1:56" ht="15" customHeight="1">
      <c r="A333" s="28"/>
      <c r="B333" s="28"/>
      <c r="C333" s="28"/>
      <c r="D333" s="28"/>
      <c r="E333" s="28"/>
      <c r="F333" s="29"/>
      <c r="G333" s="28"/>
      <c r="H333" s="29"/>
      <c r="I333" s="28"/>
      <c r="J333" s="29"/>
      <c r="K333" s="28"/>
      <c r="L333" s="29"/>
      <c r="M333" s="28"/>
      <c r="N333" s="29"/>
      <c r="O333" s="28"/>
      <c r="P333" s="29"/>
      <c r="Q333" s="28"/>
      <c r="R333" s="29"/>
      <c r="S333" s="28"/>
      <c r="T333" s="29"/>
      <c r="U333" s="28"/>
      <c r="V333" s="29"/>
      <c r="W333" s="28"/>
      <c r="X333" s="29"/>
      <c r="Y333" s="28"/>
      <c r="Z333" s="29"/>
      <c r="AA333" s="28"/>
      <c r="AB333" s="29"/>
      <c r="AC333" s="28"/>
      <c r="AD333" s="29"/>
      <c r="AE333" s="28"/>
      <c r="AF333" s="29"/>
      <c r="AG333" s="28"/>
      <c r="AH333" s="29"/>
      <c r="AI333" s="28"/>
      <c r="AJ333" s="29"/>
      <c r="AK333" s="28"/>
      <c r="AL333" s="29"/>
      <c r="AM333" s="28"/>
      <c r="AN333" s="29"/>
      <c r="AO333" s="28"/>
      <c r="AP333" s="29"/>
      <c r="AQ333" s="28"/>
      <c r="AR333" s="29"/>
      <c r="AS333" s="25"/>
      <c r="AT333" s="25"/>
      <c r="AU333" s="25"/>
      <c r="AV333" s="26"/>
      <c r="AW333" s="26"/>
      <c r="AX333" s="26"/>
      <c r="AY333" s="26"/>
      <c r="AZ333" s="26"/>
      <c r="BA333" s="26"/>
      <c r="BB333" s="26"/>
      <c r="BC333" s="26"/>
      <c r="BD333" s="27"/>
    </row>
    <row r="334" spans="1:56" ht="15" customHeight="1">
      <c r="A334" s="9"/>
      <c r="B334" s="9"/>
      <c r="C334" s="9"/>
      <c r="D334" s="9"/>
      <c r="E334" s="9"/>
      <c r="F334" s="24"/>
      <c r="G334" s="9"/>
      <c r="H334" s="24"/>
      <c r="I334" s="9"/>
      <c r="J334" s="24"/>
      <c r="K334" s="9"/>
      <c r="L334" s="24"/>
      <c r="M334" s="9"/>
      <c r="N334" s="24"/>
      <c r="O334" s="9"/>
      <c r="P334" s="24"/>
      <c r="Q334" s="9"/>
      <c r="R334" s="24"/>
      <c r="S334" s="9"/>
      <c r="T334" s="24"/>
      <c r="U334" s="9"/>
      <c r="V334" s="24"/>
      <c r="W334" s="9"/>
      <c r="X334" s="24"/>
      <c r="Y334" s="9"/>
      <c r="Z334" s="24"/>
      <c r="AA334" s="9"/>
      <c r="AB334" s="24"/>
      <c r="AC334" s="9"/>
      <c r="AD334" s="24"/>
      <c r="AE334" s="9"/>
      <c r="AF334" s="24"/>
      <c r="AG334" s="9"/>
      <c r="AH334" s="24"/>
      <c r="AI334" s="9"/>
      <c r="AJ334" s="24"/>
      <c r="AK334" s="9"/>
      <c r="AL334" s="24"/>
      <c r="AM334" s="9"/>
      <c r="AN334" s="24"/>
      <c r="AO334" s="9"/>
      <c r="AP334" s="24"/>
      <c r="AQ334" s="9"/>
      <c r="AR334" s="24"/>
      <c r="AS334" s="25"/>
      <c r="AT334" s="25"/>
      <c r="AU334" s="25"/>
      <c r="AV334" s="26"/>
      <c r="AW334" s="26"/>
      <c r="AX334" s="26"/>
      <c r="AY334" s="26"/>
      <c r="AZ334" s="26"/>
      <c r="BA334" s="26"/>
      <c r="BB334" s="26"/>
      <c r="BC334" s="26"/>
      <c r="BD334" s="27"/>
    </row>
    <row r="335" spans="1:56" ht="15" customHeight="1">
      <c r="A335" s="28"/>
      <c r="B335" s="28"/>
      <c r="C335" s="28"/>
      <c r="D335" s="28"/>
      <c r="E335" s="28"/>
      <c r="F335" s="29"/>
      <c r="G335" s="28"/>
      <c r="H335" s="29"/>
      <c r="I335" s="28"/>
      <c r="J335" s="29"/>
      <c r="K335" s="28"/>
      <c r="L335" s="29"/>
      <c r="M335" s="28"/>
      <c r="N335" s="29"/>
      <c r="O335" s="28"/>
      <c r="P335" s="29"/>
      <c r="Q335" s="28"/>
      <c r="R335" s="29"/>
      <c r="S335" s="28"/>
      <c r="T335" s="29"/>
      <c r="U335" s="28"/>
      <c r="V335" s="29"/>
      <c r="W335" s="28"/>
      <c r="X335" s="29"/>
      <c r="Y335" s="28"/>
      <c r="Z335" s="29"/>
      <c r="AA335" s="28"/>
      <c r="AB335" s="29"/>
      <c r="AC335" s="28"/>
      <c r="AD335" s="29"/>
      <c r="AE335" s="28"/>
      <c r="AF335" s="29"/>
      <c r="AG335" s="28"/>
      <c r="AH335" s="29"/>
      <c r="AI335" s="28"/>
      <c r="AJ335" s="29"/>
      <c r="AK335" s="28"/>
      <c r="AL335" s="29"/>
      <c r="AM335" s="28"/>
      <c r="AN335" s="29"/>
      <c r="AO335" s="28"/>
      <c r="AP335" s="29"/>
      <c r="AQ335" s="28"/>
      <c r="AR335" s="29"/>
      <c r="AS335" s="25"/>
      <c r="AT335" s="25"/>
      <c r="AU335" s="25"/>
      <c r="AV335" s="26"/>
      <c r="AW335" s="26"/>
      <c r="AX335" s="26"/>
      <c r="AY335" s="26"/>
      <c r="AZ335" s="26"/>
      <c r="BA335" s="26"/>
      <c r="BB335" s="26"/>
      <c r="BC335" s="26"/>
      <c r="BD335" s="27"/>
    </row>
    <row r="336" spans="1:56" ht="15" customHeight="1">
      <c r="A336" s="9"/>
      <c r="B336" s="9"/>
      <c r="C336" s="9"/>
      <c r="D336" s="9"/>
      <c r="E336" s="9"/>
      <c r="F336" s="24"/>
      <c r="G336" s="9"/>
      <c r="H336" s="24"/>
      <c r="I336" s="9"/>
      <c r="J336" s="24"/>
      <c r="K336" s="9"/>
      <c r="L336" s="24"/>
      <c r="M336" s="9"/>
      <c r="N336" s="24"/>
      <c r="O336" s="9"/>
      <c r="P336" s="24"/>
      <c r="Q336" s="9"/>
      <c r="R336" s="24"/>
      <c r="S336" s="9"/>
      <c r="T336" s="24"/>
      <c r="U336" s="9"/>
      <c r="V336" s="24"/>
      <c r="W336" s="9"/>
      <c r="X336" s="24"/>
      <c r="Y336" s="9"/>
      <c r="Z336" s="24"/>
      <c r="AA336" s="9"/>
      <c r="AB336" s="24"/>
      <c r="AC336" s="9"/>
      <c r="AD336" s="24"/>
      <c r="AE336" s="9"/>
      <c r="AF336" s="24"/>
      <c r="AG336" s="9"/>
      <c r="AH336" s="24"/>
      <c r="AI336" s="9"/>
      <c r="AJ336" s="24"/>
      <c r="AK336" s="9"/>
      <c r="AL336" s="24"/>
      <c r="AM336" s="9"/>
      <c r="AN336" s="24"/>
      <c r="AO336" s="9"/>
      <c r="AP336" s="24"/>
      <c r="AQ336" s="9"/>
      <c r="AR336" s="24"/>
      <c r="AS336" s="25"/>
      <c r="AT336" s="25"/>
      <c r="AU336" s="25"/>
      <c r="AV336" s="26"/>
      <c r="AW336" s="26"/>
      <c r="AX336" s="26"/>
      <c r="AY336" s="26"/>
      <c r="AZ336" s="26"/>
      <c r="BA336" s="26"/>
      <c r="BB336" s="26"/>
      <c r="BC336" s="26"/>
      <c r="BD336" s="27"/>
    </row>
    <row r="337" spans="1:56" ht="15" customHeight="1">
      <c r="A337" s="28"/>
      <c r="B337" s="28"/>
      <c r="C337" s="28"/>
      <c r="D337" s="28"/>
      <c r="E337" s="28"/>
      <c r="F337" s="29"/>
      <c r="G337" s="28"/>
      <c r="H337" s="29"/>
      <c r="I337" s="28"/>
      <c r="J337" s="29"/>
      <c r="K337" s="28"/>
      <c r="L337" s="29"/>
      <c r="M337" s="28"/>
      <c r="N337" s="29"/>
      <c r="O337" s="28"/>
      <c r="P337" s="29"/>
      <c r="Q337" s="28"/>
      <c r="R337" s="29"/>
      <c r="S337" s="28"/>
      <c r="T337" s="29"/>
      <c r="U337" s="28"/>
      <c r="V337" s="29"/>
      <c r="W337" s="28"/>
      <c r="X337" s="29"/>
      <c r="Y337" s="28"/>
      <c r="Z337" s="29"/>
      <c r="AA337" s="28"/>
      <c r="AB337" s="29"/>
      <c r="AC337" s="28"/>
      <c r="AD337" s="29"/>
      <c r="AE337" s="28"/>
      <c r="AF337" s="29"/>
      <c r="AG337" s="28"/>
      <c r="AH337" s="29"/>
      <c r="AI337" s="28"/>
      <c r="AJ337" s="29"/>
      <c r="AK337" s="28"/>
      <c r="AL337" s="29"/>
      <c r="AM337" s="28"/>
      <c r="AN337" s="29"/>
      <c r="AO337" s="28"/>
      <c r="AP337" s="29"/>
      <c r="AQ337" s="28"/>
      <c r="AR337" s="29"/>
      <c r="AS337" s="25"/>
      <c r="AT337" s="25"/>
      <c r="AU337" s="25"/>
      <c r="AV337" s="26"/>
      <c r="AW337" s="26"/>
      <c r="AX337" s="26"/>
      <c r="AY337" s="26"/>
      <c r="AZ337" s="26"/>
      <c r="BA337" s="26"/>
      <c r="BB337" s="26"/>
      <c r="BC337" s="26"/>
      <c r="BD337" s="27"/>
    </row>
    <row r="338" spans="1:56" ht="15" customHeight="1">
      <c r="A338" s="9"/>
      <c r="B338" s="9"/>
      <c r="C338" s="9"/>
      <c r="D338" s="9"/>
      <c r="E338" s="9"/>
      <c r="F338" s="24"/>
      <c r="G338" s="9"/>
      <c r="H338" s="24"/>
      <c r="I338" s="9"/>
      <c r="J338" s="24"/>
      <c r="K338" s="9"/>
      <c r="L338" s="24"/>
      <c r="M338" s="9"/>
      <c r="N338" s="24"/>
      <c r="O338" s="9"/>
      <c r="P338" s="24"/>
      <c r="Q338" s="9"/>
      <c r="R338" s="24"/>
      <c r="S338" s="9"/>
      <c r="T338" s="24"/>
      <c r="U338" s="9"/>
      <c r="V338" s="24"/>
      <c r="W338" s="9"/>
      <c r="X338" s="24"/>
      <c r="Y338" s="9"/>
      <c r="Z338" s="24"/>
      <c r="AA338" s="9"/>
      <c r="AB338" s="24"/>
      <c r="AC338" s="9"/>
      <c r="AD338" s="24"/>
      <c r="AE338" s="9"/>
      <c r="AF338" s="24"/>
      <c r="AG338" s="9"/>
      <c r="AH338" s="24"/>
      <c r="AI338" s="9"/>
      <c r="AJ338" s="24"/>
      <c r="AK338" s="9"/>
      <c r="AL338" s="24"/>
      <c r="AM338" s="9"/>
      <c r="AN338" s="24"/>
      <c r="AO338" s="9"/>
      <c r="AP338" s="24"/>
      <c r="AQ338" s="9"/>
      <c r="AR338" s="24"/>
      <c r="AS338" s="25"/>
      <c r="AT338" s="25"/>
      <c r="AU338" s="25"/>
      <c r="AV338" s="26"/>
      <c r="AW338" s="26"/>
      <c r="AX338" s="26"/>
      <c r="AY338" s="26"/>
      <c r="AZ338" s="26"/>
      <c r="BA338" s="26"/>
      <c r="BB338" s="26"/>
      <c r="BC338" s="26"/>
      <c r="BD338" s="27"/>
    </row>
    <row r="339" spans="1:56" ht="15" customHeight="1">
      <c r="A339" s="28"/>
      <c r="B339" s="28"/>
      <c r="C339" s="28"/>
      <c r="D339" s="28"/>
      <c r="E339" s="28"/>
      <c r="F339" s="29"/>
      <c r="G339" s="28"/>
      <c r="H339" s="29"/>
      <c r="I339" s="28"/>
      <c r="J339" s="29"/>
      <c r="K339" s="28"/>
      <c r="L339" s="29"/>
      <c r="M339" s="28"/>
      <c r="N339" s="29"/>
      <c r="O339" s="28"/>
      <c r="P339" s="29"/>
      <c r="Q339" s="28"/>
      <c r="R339" s="29"/>
      <c r="S339" s="28"/>
      <c r="T339" s="29"/>
      <c r="U339" s="28"/>
      <c r="V339" s="29"/>
      <c r="W339" s="28"/>
      <c r="X339" s="29"/>
      <c r="Y339" s="28"/>
      <c r="Z339" s="29"/>
      <c r="AA339" s="28"/>
      <c r="AB339" s="29"/>
      <c r="AC339" s="28"/>
      <c r="AD339" s="29"/>
      <c r="AE339" s="28"/>
      <c r="AF339" s="29"/>
      <c r="AG339" s="28"/>
      <c r="AH339" s="29"/>
      <c r="AI339" s="28"/>
      <c r="AJ339" s="29"/>
      <c r="AK339" s="28"/>
      <c r="AL339" s="29"/>
      <c r="AM339" s="28"/>
      <c r="AN339" s="29"/>
      <c r="AO339" s="28"/>
      <c r="AP339" s="29"/>
      <c r="AQ339" s="28"/>
      <c r="AR339" s="29"/>
      <c r="AS339" s="25"/>
      <c r="AT339" s="25"/>
      <c r="AU339" s="25"/>
      <c r="AV339" s="26"/>
      <c r="AW339" s="26"/>
      <c r="AX339" s="26"/>
      <c r="AY339" s="26"/>
      <c r="AZ339" s="26"/>
      <c r="BA339" s="26"/>
      <c r="BB339" s="26"/>
      <c r="BC339" s="26"/>
      <c r="BD339" s="27"/>
    </row>
    <row r="340" spans="1:56" ht="15" customHeight="1">
      <c r="A340" s="9"/>
      <c r="B340" s="9"/>
      <c r="C340" s="9"/>
      <c r="D340" s="9"/>
      <c r="E340" s="9"/>
      <c r="F340" s="24"/>
      <c r="G340" s="9"/>
      <c r="H340" s="24"/>
      <c r="I340" s="9"/>
      <c r="J340" s="24"/>
      <c r="K340" s="9"/>
      <c r="L340" s="24"/>
      <c r="M340" s="9"/>
      <c r="N340" s="24"/>
      <c r="O340" s="9"/>
      <c r="P340" s="24"/>
      <c r="Q340" s="9"/>
      <c r="R340" s="24"/>
      <c r="S340" s="9"/>
      <c r="T340" s="24"/>
      <c r="U340" s="9"/>
      <c r="V340" s="24"/>
      <c r="W340" s="9"/>
      <c r="X340" s="24"/>
      <c r="Y340" s="9"/>
      <c r="Z340" s="24"/>
      <c r="AA340" s="9"/>
      <c r="AB340" s="24"/>
      <c r="AC340" s="9"/>
      <c r="AD340" s="24"/>
      <c r="AE340" s="9"/>
      <c r="AF340" s="24"/>
      <c r="AG340" s="9"/>
      <c r="AH340" s="24"/>
      <c r="AI340" s="9"/>
      <c r="AJ340" s="24"/>
      <c r="AK340" s="9"/>
      <c r="AL340" s="24"/>
      <c r="AM340" s="9"/>
      <c r="AN340" s="24"/>
      <c r="AO340" s="9"/>
      <c r="AP340" s="24"/>
      <c r="AQ340" s="9"/>
      <c r="AR340" s="24"/>
      <c r="AS340" s="25"/>
      <c r="AT340" s="25"/>
      <c r="AU340" s="25"/>
      <c r="AV340" s="26"/>
      <c r="AW340" s="26"/>
      <c r="AX340" s="26"/>
      <c r="AY340" s="26"/>
      <c r="AZ340" s="26"/>
      <c r="BA340" s="26"/>
      <c r="BB340" s="26"/>
      <c r="BC340" s="26"/>
      <c r="BD340" s="27"/>
    </row>
    <row r="341" spans="1:56" ht="15" customHeight="1">
      <c r="A341" s="28"/>
      <c r="B341" s="28"/>
      <c r="C341" s="28"/>
      <c r="D341" s="28"/>
      <c r="E341" s="28"/>
      <c r="F341" s="29"/>
      <c r="G341" s="28"/>
      <c r="H341" s="29"/>
      <c r="I341" s="28"/>
      <c r="J341" s="29"/>
      <c r="K341" s="28"/>
      <c r="L341" s="29"/>
      <c r="M341" s="28"/>
      <c r="N341" s="29"/>
      <c r="O341" s="28"/>
      <c r="P341" s="29"/>
      <c r="Q341" s="28"/>
      <c r="R341" s="29"/>
      <c r="S341" s="28"/>
      <c r="T341" s="29"/>
      <c r="U341" s="28"/>
      <c r="V341" s="29"/>
      <c r="W341" s="28"/>
      <c r="X341" s="29"/>
      <c r="Y341" s="28"/>
      <c r="Z341" s="29"/>
      <c r="AA341" s="28"/>
      <c r="AB341" s="29"/>
      <c r="AC341" s="28"/>
      <c r="AD341" s="29"/>
      <c r="AE341" s="28"/>
      <c r="AF341" s="29"/>
      <c r="AG341" s="28"/>
      <c r="AH341" s="29"/>
      <c r="AI341" s="28"/>
      <c r="AJ341" s="29"/>
      <c r="AK341" s="28"/>
      <c r="AL341" s="29"/>
      <c r="AM341" s="28"/>
      <c r="AN341" s="29"/>
      <c r="AO341" s="28"/>
      <c r="AP341" s="29"/>
      <c r="AQ341" s="28"/>
      <c r="AR341" s="29"/>
      <c r="AS341" s="25"/>
      <c r="AT341" s="25"/>
      <c r="AU341" s="25"/>
      <c r="AV341" s="26"/>
      <c r="AW341" s="26"/>
      <c r="AX341" s="26"/>
      <c r="AY341" s="26"/>
      <c r="AZ341" s="26"/>
      <c r="BA341" s="26"/>
      <c r="BB341" s="26"/>
      <c r="BC341" s="26"/>
      <c r="BD341" s="27"/>
    </row>
    <row r="342" spans="1:56" ht="15" customHeight="1">
      <c r="A342" s="9"/>
      <c r="B342" s="9"/>
      <c r="C342" s="9"/>
      <c r="D342" s="9"/>
      <c r="E342" s="9"/>
      <c r="F342" s="24"/>
      <c r="G342" s="9"/>
      <c r="H342" s="24"/>
      <c r="I342" s="9"/>
      <c r="J342" s="24"/>
      <c r="K342" s="9"/>
      <c r="L342" s="24"/>
      <c r="M342" s="9"/>
      <c r="N342" s="24"/>
      <c r="O342" s="9"/>
      <c r="P342" s="24"/>
      <c r="Q342" s="9"/>
      <c r="R342" s="24"/>
      <c r="S342" s="9"/>
      <c r="T342" s="24"/>
      <c r="U342" s="9"/>
      <c r="V342" s="24"/>
      <c r="W342" s="9"/>
      <c r="X342" s="24"/>
      <c r="Y342" s="9"/>
      <c r="Z342" s="24"/>
      <c r="AA342" s="9"/>
      <c r="AB342" s="24"/>
      <c r="AC342" s="9"/>
      <c r="AD342" s="24"/>
      <c r="AE342" s="9"/>
      <c r="AF342" s="24"/>
      <c r="AG342" s="9"/>
      <c r="AH342" s="24"/>
      <c r="AI342" s="9"/>
      <c r="AJ342" s="24"/>
      <c r="AK342" s="9"/>
      <c r="AL342" s="24"/>
      <c r="AM342" s="9"/>
      <c r="AN342" s="24"/>
      <c r="AO342" s="9"/>
      <c r="AP342" s="24"/>
      <c r="AQ342" s="9"/>
      <c r="AR342" s="24"/>
      <c r="AS342" s="25"/>
      <c r="AT342" s="25"/>
      <c r="AU342" s="25"/>
      <c r="AV342" s="26"/>
      <c r="AW342" s="26"/>
      <c r="AX342" s="26"/>
      <c r="AY342" s="26"/>
      <c r="AZ342" s="26"/>
      <c r="BA342" s="26"/>
      <c r="BB342" s="26"/>
      <c r="BC342" s="26"/>
      <c r="BD342" s="27"/>
    </row>
    <row r="343" spans="1:56" ht="15" customHeight="1">
      <c r="A343" s="28"/>
      <c r="B343" s="28"/>
      <c r="C343" s="28"/>
      <c r="D343" s="28"/>
      <c r="E343" s="28"/>
      <c r="F343" s="29"/>
      <c r="G343" s="28"/>
      <c r="H343" s="29"/>
      <c r="I343" s="28"/>
      <c r="J343" s="29"/>
      <c r="K343" s="28"/>
      <c r="L343" s="29"/>
      <c r="M343" s="28"/>
      <c r="N343" s="29"/>
      <c r="O343" s="28"/>
      <c r="P343" s="29"/>
      <c r="Q343" s="28"/>
      <c r="R343" s="29"/>
      <c r="S343" s="28"/>
      <c r="T343" s="29"/>
      <c r="U343" s="28"/>
      <c r="V343" s="29"/>
      <c r="W343" s="28"/>
      <c r="X343" s="29"/>
      <c r="Y343" s="28"/>
      <c r="Z343" s="29"/>
      <c r="AA343" s="28"/>
      <c r="AB343" s="29"/>
      <c r="AC343" s="28"/>
      <c r="AD343" s="29"/>
      <c r="AE343" s="28"/>
      <c r="AF343" s="29"/>
      <c r="AG343" s="28"/>
      <c r="AH343" s="29"/>
      <c r="AI343" s="28"/>
      <c r="AJ343" s="29"/>
      <c r="AK343" s="28"/>
      <c r="AL343" s="29"/>
      <c r="AM343" s="28"/>
      <c r="AN343" s="29"/>
      <c r="AO343" s="28"/>
      <c r="AP343" s="29"/>
      <c r="AQ343" s="28"/>
      <c r="AR343" s="29"/>
      <c r="AS343" s="25"/>
      <c r="AT343" s="25"/>
      <c r="AU343" s="25"/>
      <c r="AV343" s="26"/>
      <c r="AW343" s="26"/>
      <c r="AX343" s="26"/>
      <c r="AY343" s="26"/>
      <c r="AZ343" s="26"/>
      <c r="BA343" s="26"/>
      <c r="BB343" s="26"/>
      <c r="BC343" s="26"/>
      <c r="BD343" s="27"/>
    </row>
    <row r="344" spans="1:56" ht="15" customHeight="1">
      <c r="A344" s="9"/>
      <c r="B344" s="9"/>
      <c r="C344" s="9"/>
      <c r="D344" s="9"/>
      <c r="E344" s="9"/>
      <c r="F344" s="24"/>
      <c r="G344" s="9"/>
      <c r="H344" s="24"/>
      <c r="I344" s="9"/>
      <c r="J344" s="24"/>
      <c r="K344" s="9"/>
      <c r="L344" s="24"/>
      <c r="M344" s="9"/>
      <c r="N344" s="24"/>
      <c r="O344" s="9"/>
      <c r="P344" s="24"/>
      <c r="Q344" s="9"/>
      <c r="R344" s="24"/>
      <c r="S344" s="9"/>
      <c r="T344" s="24"/>
      <c r="U344" s="9"/>
      <c r="V344" s="24"/>
      <c r="W344" s="9"/>
      <c r="X344" s="24"/>
      <c r="Y344" s="9"/>
      <c r="Z344" s="24"/>
      <c r="AA344" s="9"/>
      <c r="AB344" s="24"/>
      <c r="AC344" s="9"/>
      <c r="AD344" s="24"/>
      <c r="AE344" s="9"/>
      <c r="AF344" s="24"/>
      <c r="AG344" s="9"/>
      <c r="AH344" s="24"/>
      <c r="AI344" s="9"/>
      <c r="AJ344" s="24"/>
      <c r="AK344" s="9"/>
      <c r="AL344" s="24"/>
      <c r="AM344" s="9"/>
      <c r="AN344" s="24"/>
      <c r="AO344" s="9"/>
      <c r="AP344" s="24"/>
      <c r="AQ344" s="9"/>
      <c r="AR344" s="24"/>
      <c r="AS344" s="25"/>
      <c r="AT344" s="25"/>
      <c r="AU344" s="25"/>
      <c r="AV344" s="26"/>
      <c r="AW344" s="26"/>
      <c r="AX344" s="26"/>
      <c r="AY344" s="26"/>
      <c r="AZ344" s="26"/>
      <c r="BA344" s="26"/>
      <c r="BB344" s="26"/>
      <c r="BC344" s="26"/>
      <c r="BD344" s="27"/>
    </row>
    <row r="345" spans="1:56" ht="15" customHeight="1">
      <c r="A345" s="28"/>
      <c r="B345" s="28"/>
      <c r="C345" s="28"/>
      <c r="D345" s="28"/>
      <c r="E345" s="28"/>
      <c r="F345" s="29"/>
      <c r="G345" s="28"/>
      <c r="H345" s="29"/>
      <c r="I345" s="28"/>
      <c r="J345" s="29"/>
      <c r="K345" s="28"/>
      <c r="L345" s="29"/>
      <c r="M345" s="28"/>
      <c r="N345" s="29"/>
      <c r="O345" s="28"/>
      <c r="P345" s="29"/>
      <c r="Q345" s="28"/>
      <c r="R345" s="29"/>
      <c r="S345" s="28"/>
      <c r="T345" s="29"/>
      <c r="U345" s="28"/>
      <c r="V345" s="29"/>
      <c r="W345" s="28"/>
      <c r="X345" s="29"/>
      <c r="Y345" s="28"/>
      <c r="Z345" s="29"/>
      <c r="AA345" s="28"/>
      <c r="AB345" s="29"/>
      <c r="AC345" s="28"/>
      <c r="AD345" s="29"/>
      <c r="AE345" s="28"/>
      <c r="AF345" s="29"/>
      <c r="AG345" s="28"/>
      <c r="AH345" s="29"/>
      <c r="AI345" s="28"/>
      <c r="AJ345" s="29"/>
      <c r="AK345" s="28"/>
      <c r="AL345" s="29"/>
      <c r="AM345" s="28"/>
      <c r="AN345" s="29"/>
      <c r="AO345" s="28"/>
      <c r="AP345" s="29"/>
      <c r="AQ345" s="28"/>
      <c r="AR345" s="29"/>
      <c r="AS345" s="25"/>
      <c r="AT345" s="25"/>
      <c r="AU345" s="25"/>
      <c r="AV345" s="26"/>
      <c r="AW345" s="26"/>
      <c r="AX345" s="26"/>
      <c r="AY345" s="26"/>
      <c r="AZ345" s="26"/>
      <c r="BA345" s="26"/>
      <c r="BB345" s="26"/>
      <c r="BC345" s="26"/>
      <c r="BD345" s="27"/>
    </row>
    <row r="346" spans="1:56" ht="15" customHeight="1">
      <c r="A346" s="9"/>
      <c r="B346" s="9"/>
      <c r="C346" s="9"/>
      <c r="D346" s="9"/>
      <c r="E346" s="9"/>
      <c r="F346" s="24"/>
      <c r="G346" s="9"/>
      <c r="H346" s="24"/>
      <c r="I346" s="9"/>
      <c r="J346" s="24"/>
      <c r="K346" s="9"/>
      <c r="L346" s="24"/>
      <c r="M346" s="9"/>
      <c r="N346" s="24"/>
      <c r="O346" s="9"/>
      <c r="P346" s="24"/>
      <c r="Q346" s="9"/>
      <c r="R346" s="24"/>
      <c r="S346" s="9"/>
      <c r="T346" s="24"/>
      <c r="U346" s="9"/>
      <c r="V346" s="24"/>
      <c r="W346" s="9"/>
      <c r="X346" s="24"/>
      <c r="Y346" s="9"/>
      <c r="Z346" s="24"/>
      <c r="AA346" s="9"/>
      <c r="AB346" s="24"/>
      <c r="AC346" s="9"/>
      <c r="AD346" s="24"/>
      <c r="AE346" s="9"/>
      <c r="AF346" s="24"/>
      <c r="AG346" s="9"/>
      <c r="AH346" s="24"/>
      <c r="AI346" s="9"/>
      <c r="AJ346" s="24"/>
      <c r="AK346" s="9"/>
      <c r="AL346" s="24"/>
      <c r="AM346" s="9"/>
      <c r="AN346" s="24"/>
      <c r="AO346" s="9"/>
      <c r="AP346" s="24"/>
      <c r="AQ346" s="9"/>
      <c r="AR346" s="24"/>
      <c r="AS346" s="25"/>
      <c r="AT346" s="25"/>
      <c r="AU346" s="25"/>
      <c r="AV346" s="26"/>
      <c r="AW346" s="26"/>
      <c r="AX346" s="26"/>
      <c r="AY346" s="26"/>
      <c r="AZ346" s="26"/>
      <c r="BA346" s="26"/>
      <c r="BB346" s="26"/>
      <c r="BC346" s="26"/>
      <c r="BD346" s="27"/>
    </row>
    <row r="347" spans="1:56" ht="15" customHeight="1">
      <c r="A347" s="28"/>
      <c r="B347" s="28"/>
      <c r="C347" s="28"/>
      <c r="D347" s="28"/>
      <c r="E347" s="28"/>
      <c r="F347" s="29"/>
      <c r="G347" s="28"/>
      <c r="H347" s="29"/>
      <c r="I347" s="28"/>
      <c r="J347" s="29"/>
      <c r="K347" s="28"/>
      <c r="L347" s="29"/>
      <c r="M347" s="28"/>
      <c r="N347" s="29"/>
      <c r="O347" s="28"/>
      <c r="P347" s="29"/>
      <c r="Q347" s="28"/>
      <c r="R347" s="29"/>
      <c r="S347" s="28"/>
      <c r="T347" s="29"/>
      <c r="U347" s="28"/>
      <c r="V347" s="29"/>
      <c r="W347" s="28"/>
      <c r="X347" s="29"/>
      <c r="Y347" s="28"/>
      <c r="Z347" s="29"/>
      <c r="AA347" s="28"/>
      <c r="AB347" s="29"/>
      <c r="AC347" s="28"/>
      <c r="AD347" s="29"/>
      <c r="AE347" s="28"/>
      <c r="AF347" s="29"/>
      <c r="AG347" s="28"/>
      <c r="AH347" s="29"/>
      <c r="AI347" s="28"/>
      <c r="AJ347" s="29"/>
      <c r="AK347" s="28"/>
      <c r="AL347" s="29"/>
      <c r="AM347" s="28"/>
      <c r="AN347" s="29"/>
      <c r="AO347" s="28"/>
      <c r="AP347" s="29"/>
      <c r="AQ347" s="28"/>
      <c r="AR347" s="29"/>
      <c r="AS347" s="25"/>
      <c r="AT347" s="25"/>
      <c r="AU347" s="25"/>
      <c r="AV347" s="26"/>
      <c r="AW347" s="26"/>
      <c r="AX347" s="26"/>
      <c r="AY347" s="26"/>
      <c r="AZ347" s="26"/>
      <c r="BA347" s="26"/>
      <c r="BB347" s="26"/>
      <c r="BC347" s="26"/>
      <c r="BD347" s="27"/>
    </row>
    <row r="348" spans="1:56" ht="15" customHeight="1">
      <c r="A348" s="9"/>
      <c r="B348" s="9"/>
      <c r="C348" s="9"/>
      <c r="D348" s="9"/>
      <c r="E348" s="9"/>
      <c r="F348" s="24"/>
      <c r="G348" s="9"/>
      <c r="H348" s="24"/>
      <c r="I348" s="9"/>
      <c r="J348" s="24"/>
      <c r="K348" s="9"/>
      <c r="L348" s="24"/>
      <c r="M348" s="9"/>
      <c r="N348" s="24"/>
      <c r="O348" s="9"/>
      <c r="P348" s="24"/>
      <c r="Q348" s="9"/>
      <c r="R348" s="24"/>
      <c r="S348" s="9"/>
      <c r="T348" s="24"/>
      <c r="U348" s="9"/>
      <c r="V348" s="24"/>
      <c r="W348" s="9"/>
      <c r="X348" s="24"/>
      <c r="Y348" s="9"/>
      <c r="Z348" s="24"/>
      <c r="AA348" s="9"/>
      <c r="AB348" s="24"/>
      <c r="AC348" s="9"/>
      <c r="AD348" s="24"/>
      <c r="AE348" s="9"/>
      <c r="AF348" s="24"/>
      <c r="AG348" s="9"/>
      <c r="AH348" s="24"/>
      <c r="AI348" s="9"/>
      <c r="AJ348" s="24"/>
      <c r="AK348" s="9"/>
      <c r="AL348" s="24"/>
      <c r="AM348" s="9"/>
      <c r="AN348" s="24"/>
      <c r="AO348" s="9"/>
      <c r="AP348" s="24"/>
      <c r="AQ348" s="9"/>
      <c r="AR348" s="24"/>
      <c r="AS348" s="25"/>
      <c r="AT348" s="25"/>
      <c r="AU348" s="25"/>
      <c r="AV348" s="26"/>
      <c r="AW348" s="26"/>
      <c r="AX348" s="26"/>
      <c r="AY348" s="26"/>
      <c r="AZ348" s="26"/>
      <c r="BA348" s="26"/>
      <c r="BB348" s="26"/>
      <c r="BC348" s="26"/>
      <c r="BD348" s="27"/>
    </row>
    <row r="349" spans="1:56" ht="15" customHeight="1">
      <c r="A349" s="28"/>
      <c r="B349" s="28"/>
      <c r="C349" s="28"/>
      <c r="D349" s="28"/>
      <c r="E349" s="28"/>
      <c r="F349" s="29"/>
      <c r="G349" s="28"/>
      <c r="H349" s="29"/>
      <c r="I349" s="28"/>
      <c r="J349" s="29"/>
      <c r="K349" s="28"/>
      <c r="L349" s="29"/>
      <c r="M349" s="28"/>
      <c r="N349" s="29"/>
      <c r="O349" s="28"/>
      <c r="P349" s="29"/>
      <c r="Q349" s="28"/>
      <c r="R349" s="29"/>
      <c r="S349" s="28"/>
      <c r="T349" s="29"/>
      <c r="U349" s="28"/>
      <c r="V349" s="29"/>
      <c r="W349" s="28"/>
      <c r="X349" s="29"/>
      <c r="Y349" s="28"/>
      <c r="Z349" s="29"/>
      <c r="AA349" s="28"/>
      <c r="AB349" s="29"/>
      <c r="AC349" s="28"/>
      <c r="AD349" s="29"/>
      <c r="AE349" s="28"/>
      <c r="AF349" s="29"/>
      <c r="AG349" s="28"/>
      <c r="AH349" s="29"/>
      <c r="AI349" s="28"/>
      <c r="AJ349" s="29"/>
      <c r="AK349" s="28"/>
      <c r="AL349" s="29"/>
      <c r="AM349" s="28"/>
      <c r="AN349" s="29"/>
      <c r="AO349" s="28"/>
      <c r="AP349" s="29"/>
      <c r="AQ349" s="28"/>
      <c r="AR349" s="29"/>
      <c r="AS349" s="25"/>
      <c r="AT349" s="25"/>
      <c r="AU349" s="25"/>
      <c r="AV349" s="26"/>
      <c r="AW349" s="26"/>
      <c r="AX349" s="26"/>
      <c r="AY349" s="26"/>
      <c r="AZ349" s="26"/>
      <c r="BA349" s="26"/>
      <c r="BB349" s="26"/>
      <c r="BC349" s="26"/>
      <c r="BD349" s="27"/>
    </row>
    <row r="350" spans="1:56" ht="15" customHeight="1">
      <c r="A350" s="9"/>
      <c r="B350" s="9"/>
      <c r="C350" s="9"/>
      <c r="D350" s="9"/>
      <c r="E350" s="9"/>
      <c r="F350" s="24"/>
      <c r="G350" s="9"/>
      <c r="H350" s="24"/>
      <c r="I350" s="9"/>
      <c r="J350" s="24"/>
      <c r="K350" s="9"/>
      <c r="L350" s="24"/>
      <c r="M350" s="9"/>
      <c r="N350" s="24"/>
      <c r="O350" s="9"/>
      <c r="P350" s="24"/>
      <c r="Q350" s="9"/>
      <c r="R350" s="24"/>
      <c r="S350" s="9"/>
      <c r="T350" s="24"/>
      <c r="U350" s="9"/>
      <c r="V350" s="24"/>
      <c r="W350" s="9"/>
      <c r="X350" s="24"/>
      <c r="Y350" s="9"/>
      <c r="Z350" s="24"/>
      <c r="AA350" s="9"/>
      <c r="AB350" s="24"/>
      <c r="AC350" s="9"/>
      <c r="AD350" s="24"/>
      <c r="AE350" s="9"/>
      <c r="AF350" s="24"/>
      <c r="AG350" s="9"/>
      <c r="AH350" s="24"/>
      <c r="AI350" s="9"/>
      <c r="AJ350" s="24"/>
      <c r="AK350" s="9"/>
      <c r="AL350" s="24"/>
      <c r="AM350" s="9"/>
      <c r="AN350" s="24"/>
      <c r="AO350" s="9"/>
      <c r="AP350" s="24"/>
      <c r="AQ350" s="9"/>
      <c r="AR350" s="24"/>
      <c r="AS350" s="25"/>
      <c r="AT350" s="25"/>
      <c r="AU350" s="25"/>
      <c r="AV350" s="26"/>
      <c r="AW350" s="26"/>
      <c r="AX350" s="26"/>
      <c r="AY350" s="26"/>
      <c r="AZ350" s="26"/>
      <c r="BA350" s="26"/>
      <c r="BB350" s="26"/>
      <c r="BC350" s="26"/>
      <c r="BD350" s="27"/>
    </row>
    <row r="351" spans="1:56" ht="15" customHeight="1">
      <c r="A351" s="28"/>
      <c r="B351" s="28"/>
      <c r="C351" s="28"/>
      <c r="D351" s="28"/>
      <c r="E351" s="28"/>
      <c r="F351" s="29"/>
      <c r="G351" s="28"/>
      <c r="H351" s="29"/>
      <c r="I351" s="28"/>
      <c r="J351" s="29"/>
      <c r="K351" s="28"/>
      <c r="L351" s="29"/>
      <c r="M351" s="28"/>
      <c r="N351" s="29"/>
      <c r="O351" s="28"/>
      <c r="P351" s="29"/>
      <c r="Q351" s="28"/>
      <c r="R351" s="29"/>
      <c r="S351" s="28"/>
      <c r="T351" s="29"/>
      <c r="U351" s="28"/>
      <c r="V351" s="29"/>
      <c r="W351" s="28"/>
      <c r="X351" s="29"/>
      <c r="Y351" s="28"/>
      <c r="Z351" s="29"/>
      <c r="AA351" s="28"/>
      <c r="AB351" s="29"/>
      <c r="AC351" s="28"/>
      <c r="AD351" s="29"/>
      <c r="AE351" s="28"/>
      <c r="AF351" s="29"/>
      <c r="AG351" s="28"/>
      <c r="AH351" s="29"/>
      <c r="AI351" s="28"/>
      <c r="AJ351" s="29"/>
      <c r="AK351" s="28"/>
      <c r="AL351" s="29"/>
      <c r="AM351" s="28"/>
      <c r="AN351" s="29"/>
      <c r="AO351" s="28"/>
      <c r="AP351" s="29"/>
      <c r="AQ351" s="28"/>
      <c r="AR351" s="29"/>
      <c r="AS351" s="25"/>
      <c r="AT351" s="25"/>
      <c r="AU351" s="25"/>
      <c r="AV351" s="26"/>
      <c r="AW351" s="26"/>
      <c r="AX351" s="26"/>
      <c r="AY351" s="26"/>
      <c r="AZ351" s="26"/>
      <c r="BA351" s="26"/>
      <c r="BB351" s="26"/>
      <c r="BC351" s="26"/>
      <c r="BD351" s="27"/>
    </row>
    <row r="352" spans="1:56" ht="15" customHeight="1">
      <c r="A352" s="9"/>
      <c r="B352" s="9"/>
      <c r="C352" s="9"/>
      <c r="D352" s="9"/>
      <c r="E352" s="9"/>
      <c r="F352" s="24"/>
      <c r="G352" s="9"/>
      <c r="H352" s="24"/>
      <c r="I352" s="9"/>
      <c r="J352" s="24"/>
      <c r="K352" s="9"/>
      <c r="L352" s="24"/>
      <c r="M352" s="9"/>
      <c r="N352" s="24"/>
      <c r="O352" s="9"/>
      <c r="P352" s="24"/>
      <c r="Q352" s="9"/>
      <c r="R352" s="24"/>
      <c r="S352" s="9"/>
      <c r="T352" s="24"/>
      <c r="U352" s="9"/>
      <c r="V352" s="24"/>
      <c r="W352" s="9"/>
      <c r="X352" s="24"/>
      <c r="Y352" s="9"/>
      <c r="Z352" s="24"/>
      <c r="AA352" s="9"/>
      <c r="AB352" s="24"/>
      <c r="AC352" s="9"/>
      <c r="AD352" s="24"/>
      <c r="AE352" s="9"/>
      <c r="AF352" s="24"/>
      <c r="AG352" s="9"/>
      <c r="AH352" s="24"/>
      <c r="AI352" s="9"/>
      <c r="AJ352" s="24"/>
      <c r="AK352" s="9"/>
      <c r="AL352" s="24"/>
      <c r="AM352" s="9"/>
      <c r="AN352" s="24"/>
      <c r="AO352" s="9"/>
      <c r="AP352" s="24"/>
      <c r="AQ352" s="9"/>
      <c r="AR352" s="24"/>
      <c r="AS352" s="25"/>
      <c r="AT352" s="25"/>
      <c r="AU352" s="25"/>
      <c r="AV352" s="26"/>
      <c r="AW352" s="26"/>
      <c r="AX352" s="26"/>
      <c r="AY352" s="26"/>
      <c r="AZ352" s="26"/>
      <c r="BA352" s="26"/>
      <c r="BB352" s="26"/>
      <c r="BC352" s="26"/>
      <c r="BD352" s="27"/>
    </row>
    <row r="353" spans="1:56" ht="15" customHeight="1">
      <c r="A353" s="28"/>
      <c r="B353" s="28"/>
      <c r="C353" s="28"/>
      <c r="D353" s="28"/>
      <c r="E353" s="28"/>
      <c r="F353" s="29"/>
      <c r="G353" s="28"/>
      <c r="H353" s="29"/>
      <c r="I353" s="28"/>
      <c r="J353" s="29"/>
      <c r="K353" s="28"/>
      <c r="L353" s="29"/>
      <c r="M353" s="28"/>
      <c r="N353" s="29"/>
      <c r="O353" s="28"/>
      <c r="P353" s="29"/>
      <c r="Q353" s="28"/>
      <c r="R353" s="29"/>
      <c r="S353" s="28"/>
      <c r="T353" s="29"/>
      <c r="U353" s="28"/>
      <c r="V353" s="29"/>
      <c r="W353" s="28"/>
      <c r="X353" s="29"/>
      <c r="Y353" s="28"/>
      <c r="Z353" s="29"/>
      <c r="AA353" s="28"/>
      <c r="AB353" s="29"/>
      <c r="AC353" s="28"/>
      <c r="AD353" s="29"/>
      <c r="AE353" s="28"/>
      <c r="AF353" s="29"/>
      <c r="AG353" s="28"/>
      <c r="AH353" s="29"/>
      <c r="AI353" s="28"/>
      <c r="AJ353" s="29"/>
      <c r="AK353" s="28"/>
      <c r="AL353" s="29"/>
      <c r="AM353" s="28"/>
      <c r="AN353" s="29"/>
      <c r="AO353" s="28"/>
      <c r="AP353" s="29"/>
      <c r="AQ353" s="28"/>
      <c r="AR353" s="29"/>
      <c r="AS353" s="25"/>
      <c r="AT353" s="25"/>
      <c r="AU353" s="25"/>
      <c r="AV353" s="26"/>
      <c r="AW353" s="26"/>
      <c r="AX353" s="26"/>
      <c r="AY353" s="26"/>
      <c r="AZ353" s="26"/>
      <c r="BA353" s="26"/>
      <c r="BB353" s="26"/>
      <c r="BC353" s="26"/>
      <c r="BD353" s="27"/>
    </row>
    <row r="354" spans="1:56" ht="15" customHeight="1">
      <c r="A354" s="9"/>
      <c r="B354" s="9"/>
      <c r="C354" s="9"/>
      <c r="D354" s="9"/>
      <c r="E354" s="9"/>
      <c r="F354" s="24"/>
      <c r="G354" s="9"/>
      <c r="H354" s="24"/>
      <c r="I354" s="9"/>
      <c r="J354" s="24"/>
      <c r="K354" s="9"/>
      <c r="L354" s="24"/>
      <c r="M354" s="9"/>
      <c r="N354" s="24"/>
      <c r="O354" s="9"/>
      <c r="P354" s="24"/>
      <c r="Q354" s="9"/>
      <c r="R354" s="24"/>
      <c r="S354" s="9"/>
      <c r="T354" s="24"/>
      <c r="U354" s="9"/>
      <c r="V354" s="24"/>
      <c r="W354" s="9"/>
      <c r="X354" s="24"/>
      <c r="Y354" s="9"/>
      <c r="Z354" s="24"/>
      <c r="AA354" s="9"/>
      <c r="AB354" s="24"/>
      <c r="AC354" s="9"/>
      <c r="AD354" s="24"/>
      <c r="AE354" s="9"/>
      <c r="AF354" s="24"/>
      <c r="AG354" s="9"/>
      <c r="AH354" s="24"/>
      <c r="AI354" s="9"/>
      <c r="AJ354" s="24"/>
      <c r="AK354" s="9"/>
      <c r="AL354" s="24"/>
      <c r="AM354" s="9"/>
      <c r="AN354" s="24"/>
      <c r="AO354" s="9"/>
      <c r="AP354" s="24"/>
      <c r="AQ354" s="9"/>
      <c r="AR354" s="24"/>
      <c r="AS354" s="25"/>
      <c r="AT354" s="25"/>
      <c r="AU354" s="25"/>
      <c r="AV354" s="26"/>
      <c r="AW354" s="26"/>
      <c r="AX354" s="26"/>
      <c r="AY354" s="26"/>
      <c r="AZ354" s="26"/>
      <c r="BA354" s="26"/>
      <c r="BB354" s="26"/>
      <c r="BC354" s="26"/>
      <c r="BD354" s="27"/>
    </row>
    <row r="355" spans="1:56" ht="15" customHeight="1">
      <c r="A355" s="28"/>
      <c r="B355" s="28"/>
      <c r="C355" s="28"/>
      <c r="D355" s="28"/>
      <c r="E355" s="28"/>
      <c r="F355" s="29"/>
      <c r="G355" s="28"/>
      <c r="H355" s="29"/>
      <c r="I355" s="28"/>
      <c r="J355" s="29"/>
      <c r="K355" s="28"/>
      <c r="L355" s="29"/>
      <c r="M355" s="28"/>
      <c r="N355" s="29"/>
      <c r="O355" s="28"/>
      <c r="P355" s="29"/>
      <c r="Q355" s="28"/>
      <c r="R355" s="29"/>
      <c r="S355" s="28"/>
      <c r="T355" s="29"/>
      <c r="U355" s="28"/>
      <c r="V355" s="29"/>
      <c r="W355" s="28"/>
      <c r="X355" s="29"/>
      <c r="Y355" s="28"/>
      <c r="Z355" s="29"/>
      <c r="AA355" s="28"/>
      <c r="AB355" s="29"/>
      <c r="AC355" s="28"/>
      <c r="AD355" s="29"/>
      <c r="AE355" s="28"/>
      <c r="AF355" s="29"/>
      <c r="AG355" s="28"/>
      <c r="AH355" s="29"/>
      <c r="AI355" s="28"/>
      <c r="AJ355" s="29"/>
      <c r="AK355" s="28"/>
      <c r="AL355" s="29"/>
      <c r="AM355" s="28"/>
      <c r="AN355" s="29"/>
      <c r="AO355" s="28"/>
      <c r="AP355" s="29"/>
      <c r="AQ355" s="28"/>
      <c r="AR355" s="29"/>
      <c r="AS355" s="25"/>
      <c r="AT355" s="25"/>
      <c r="AU355" s="25"/>
      <c r="AV355" s="26"/>
      <c r="AW355" s="26"/>
      <c r="AX355" s="26"/>
      <c r="AY355" s="26"/>
      <c r="AZ355" s="26"/>
      <c r="BA355" s="26"/>
      <c r="BB355" s="26"/>
      <c r="BC355" s="26"/>
      <c r="BD355" s="27"/>
    </row>
    <row r="356" spans="1:56" ht="15" customHeight="1">
      <c r="A356" s="9"/>
      <c r="B356" s="9"/>
      <c r="C356" s="9"/>
      <c r="D356" s="9"/>
      <c r="E356" s="9"/>
      <c r="F356" s="24"/>
      <c r="G356" s="9"/>
      <c r="H356" s="24"/>
      <c r="I356" s="9"/>
      <c r="J356" s="24"/>
      <c r="K356" s="9"/>
      <c r="L356" s="24"/>
      <c r="M356" s="9"/>
      <c r="N356" s="24"/>
      <c r="O356" s="9"/>
      <c r="P356" s="24"/>
      <c r="Q356" s="9"/>
      <c r="R356" s="24"/>
      <c r="S356" s="9"/>
      <c r="T356" s="24"/>
      <c r="U356" s="9"/>
      <c r="V356" s="24"/>
      <c r="W356" s="9"/>
      <c r="X356" s="24"/>
      <c r="Y356" s="9"/>
      <c r="Z356" s="24"/>
      <c r="AA356" s="9"/>
      <c r="AB356" s="24"/>
      <c r="AC356" s="9"/>
      <c r="AD356" s="24"/>
      <c r="AE356" s="9"/>
      <c r="AF356" s="24"/>
      <c r="AG356" s="9"/>
      <c r="AH356" s="24"/>
      <c r="AI356" s="9"/>
      <c r="AJ356" s="24"/>
      <c r="AK356" s="9"/>
      <c r="AL356" s="24"/>
      <c r="AM356" s="9"/>
      <c r="AN356" s="24"/>
      <c r="AO356" s="9"/>
      <c r="AP356" s="24"/>
      <c r="AQ356" s="9"/>
      <c r="AR356" s="24"/>
      <c r="AS356" s="25"/>
      <c r="AT356" s="25"/>
      <c r="AU356" s="25"/>
      <c r="AV356" s="26"/>
      <c r="AW356" s="26"/>
      <c r="AX356" s="26"/>
      <c r="AY356" s="26"/>
      <c r="AZ356" s="26"/>
      <c r="BA356" s="26"/>
      <c r="BB356" s="26"/>
      <c r="BC356" s="26"/>
      <c r="BD356" s="27"/>
    </row>
    <row r="357" spans="1:56" ht="15" customHeight="1">
      <c r="A357" s="28"/>
      <c r="B357" s="28"/>
      <c r="C357" s="28"/>
      <c r="D357" s="28"/>
      <c r="E357" s="28"/>
      <c r="F357" s="29"/>
      <c r="G357" s="28"/>
      <c r="H357" s="29"/>
      <c r="I357" s="28"/>
      <c r="J357" s="29"/>
      <c r="K357" s="28"/>
      <c r="L357" s="29"/>
      <c r="M357" s="28"/>
      <c r="N357" s="29"/>
      <c r="O357" s="28"/>
      <c r="P357" s="29"/>
      <c r="Q357" s="28"/>
      <c r="R357" s="29"/>
      <c r="S357" s="28"/>
      <c r="T357" s="29"/>
      <c r="U357" s="28"/>
      <c r="V357" s="29"/>
      <c r="W357" s="28"/>
      <c r="X357" s="29"/>
      <c r="Y357" s="28"/>
      <c r="Z357" s="29"/>
      <c r="AA357" s="28"/>
      <c r="AB357" s="29"/>
      <c r="AC357" s="28"/>
      <c r="AD357" s="29"/>
      <c r="AE357" s="28"/>
      <c r="AF357" s="29"/>
      <c r="AG357" s="28"/>
      <c r="AH357" s="29"/>
      <c r="AI357" s="28"/>
      <c r="AJ357" s="29"/>
      <c r="AK357" s="28"/>
      <c r="AL357" s="29"/>
      <c r="AM357" s="28"/>
      <c r="AN357" s="29"/>
      <c r="AO357" s="28"/>
      <c r="AP357" s="29"/>
      <c r="AQ357" s="28"/>
      <c r="AR357" s="29"/>
      <c r="AS357" s="25"/>
      <c r="AT357" s="25"/>
      <c r="AU357" s="25"/>
      <c r="AV357" s="26"/>
      <c r="AW357" s="26"/>
      <c r="AX357" s="26"/>
      <c r="AY357" s="26"/>
      <c r="AZ357" s="26"/>
      <c r="BA357" s="26"/>
      <c r="BB357" s="26"/>
      <c r="BC357" s="26"/>
      <c r="BD357" s="27"/>
    </row>
    <row r="358" spans="1:56" ht="15" customHeight="1">
      <c r="A358" s="9"/>
      <c r="B358" s="9"/>
      <c r="C358" s="9"/>
      <c r="D358" s="9"/>
      <c r="E358" s="9"/>
      <c r="F358" s="24"/>
      <c r="G358" s="9"/>
      <c r="H358" s="24"/>
      <c r="I358" s="9"/>
      <c r="J358" s="24"/>
      <c r="K358" s="9"/>
      <c r="L358" s="24"/>
      <c r="M358" s="9"/>
      <c r="N358" s="24"/>
      <c r="O358" s="9"/>
      <c r="P358" s="24"/>
      <c r="Q358" s="9"/>
      <c r="R358" s="24"/>
      <c r="S358" s="9"/>
      <c r="T358" s="24"/>
      <c r="U358" s="9"/>
      <c r="V358" s="24"/>
      <c r="W358" s="9"/>
      <c r="X358" s="24"/>
      <c r="Y358" s="9"/>
      <c r="Z358" s="24"/>
      <c r="AA358" s="9"/>
      <c r="AB358" s="24"/>
      <c r="AC358" s="9"/>
      <c r="AD358" s="24"/>
      <c r="AE358" s="9"/>
      <c r="AF358" s="24"/>
      <c r="AG358" s="9"/>
      <c r="AH358" s="24"/>
      <c r="AI358" s="9"/>
      <c r="AJ358" s="24"/>
      <c r="AK358" s="9"/>
      <c r="AL358" s="24"/>
      <c r="AM358" s="9"/>
      <c r="AN358" s="24"/>
      <c r="AO358" s="9"/>
      <c r="AP358" s="24"/>
      <c r="AQ358" s="9"/>
      <c r="AR358" s="24"/>
      <c r="AS358" s="25"/>
      <c r="AT358" s="25"/>
      <c r="AU358" s="25"/>
      <c r="AV358" s="26"/>
      <c r="AW358" s="26"/>
      <c r="AX358" s="26"/>
      <c r="AY358" s="26"/>
      <c r="AZ358" s="26"/>
      <c r="BA358" s="26"/>
      <c r="BB358" s="26"/>
      <c r="BC358" s="26"/>
      <c r="BD358" s="27"/>
    </row>
    <row r="359" spans="1:56" ht="15" customHeight="1">
      <c r="A359" s="28"/>
      <c r="B359" s="28"/>
      <c r="C359" s="28"/>
      <c r="D359" s="28"/>
      <c r="E359" s="28"/>
      <c r="F359" s="29"/>
      <c r="G359" s="28"/>
      <c r="H359" s="29"/>
      <c r="I359" s="28"/>
      <c r="J359" s="29"/>
      <c r="K359" s="28"/>
      <c r="L359" s="29"/>
      <c r="M359" s="28"/>
      <c r="N359" s="29"/>
      <c r="O359" s="28"/>
      <c r="P359" s="29"/>
      <c r="Q359" s="28"/>
      <c r="R359" s="29"/>
      <c r="S359" s="28"/>
      <c r="T359" s="29"/>
      <c r="U359" s="28"/>
      <c r="V359" s="29"/>
      <c r="W359" s="28"/>
      <c r="X359" s="29"/>
      <c r="Y359" s="28"/>
      <c r="Z359" s="29"/>
      <c r="AA359" s="28"/>
      <c r="AB359" s="29"/>
      <c r="AC359" s="28"/>
      <c r="AD359" s="29"/>
      <c r="AE359" s="28"/>
      <c r="AF359" s="29"/>
      <c r="AG359" s="28"/>
      <c r="AH359" s="29"/>
      <c r="AI359" s="28"/>
      <c r="AJ359" s="29"/>
      <c r="AK359" s="28"/>
      <c r="AL359" s="29"/>
      <c r="AM359" s="28"/>
      <c r="AN359" s="29"/>
      <c r="AO359" s="28"/>
      <c r="AP359" s="29"/>
      <c r="AQ359" s="28"/>
      <c r="AR359" s="29"/>
      <c r="AS359" s="25"/>
      <c r="AT359" s="25"/>
      <c r="AU359" s="25"/>
      <c r="AV359" s="26"/>
      <c r="AW359" s="26"/>
      <c r="AX359" s="26"/>
      <c r="AY359" s="26"/>
      <c r="AZ359" s="26"/>
      <c r="BA359" s="26"/>
      <c r="BB359" s="26"/>
      <c r="BC359" s="26"/>
      <c r="BD359" s="27"/>
    </row>
    <row r="360" spans="1:56" ht="15" customHeight="1">
      <c r="A360" s="9"/>
      <c r="B360" s="9"/>
      <c r="C360" s="9"/>
      <c r="D360" s="9"/>
      <c r="E360" s="9"/>
      <c r="F360" s="24"/>
      <c r="G360" s="9"/>
      <c r="H360" s="24"/>
      <c r="I360" s="9"/>
      <c r="J360" s="24"/>
      <c r="K360" s="9"/>
      <c r="L360" s="24"/>
      <c r="M360" s="9"/>
      <c r="N360" s="24"/>
      <c r="O360" s="9"/>
      <c r="P360" s="24"/>
      <c r="Q360" s="9"/>
      <c r="R360" s="24"/>
      <c r="S360" s="9"/>
      <c r="T360" s="24"/>
      <c r="U360" s="9"/>
      <c r="V360" s="24"/>
      <c r="W360" s="9"/>
      <c r="X360" s="24"/>
      <c r="Y360" s="9"/>
      <c r="Z360" s="24"/>
      <c r="AA360" s="9"/>
      <c r="AB360" s="24"/>
      <c r="AC360" s="9"/>
      <c r="AD360" s="24"/>
      <c r="AE360" s="9"/>
      <c r="AF360" s="24"/>
      <c r="AG360" s="9"/>
      <c r="AH360" s="24"/>
      <c r="AI360" s="9"/>
      <c r="AJ360" s="24"/>
      <c r="AK360" s="9"/>
      <c r="AL360" s="24"/>
      <c r="AM360" s="9"/>
      <c r="AN360" s="24"/>
      <c r="AO360" s="9"/>
      <c r="AP360" s="24"/>
      <c r="AQ360" s="9"/>
      <c r="AR360" s="24"/>
      <c r="AS360" s="25"/>
      <c r="AT360" s="25"/>
      <c r="AU360" s="25"/>
      <c r="AV360" s="26"/>
      <c r="AW360" s="26"/>
      <c r="AX360" s="26"/>
      <c r="AY360" s="26"/>
      <c r="AZ360" s="26"/>
      <c r="BA360" s="26"/>
      <c r="BB360" s="26"/>
      <c r="BC360" s="26"/>
      <c r="BD360" s="27"/>
    </row>
    <row r="361" spans="1:56" ht="15" customHeight="1">
      <c r="A361" s="28"/>
      <c r="B361" s="28"/>
      <c r="C361" s="28"/>
      <c r="D361" s="28"/>
      <c r="E361" s="28"/>
      <c r="F361" s="29"/>
      <c r="G361" s="28"/>
      <c r="H361" s="29"/>
      <c r="I361" s="28"/>
      <c r="J361" s="29"/>
      <c r="K361" s="28"/>
      <c r="L361" s="29"/>
      <c r="M361" s="28"/>
      <c r="N361" s="29"/>
      <c r="O361" s="28"/>
      <c r="P361" s="29"/>
      <c r="Q361" s="28"/>
      <c r="R361" s="29"/>
      <c r="S361" s="28"/>
      <c r="T361" s="29"/>
      <c r="U361" s="28"/>
      <c r="V361" s="29"/>
      <c r="W361" s="28"/>
      <c r="X361" s="29"/>
      <c r="Y361" s="28"/>
      <c r="Z361" s="29"/>
      <c r="AA361" s="28"/>
      <c r="AB361" s="29"/>
      <c r="AC361" s="28"/>
      <c r="AD361" s="29"/>
      <c r="AE361" s="28"/>
      <c r="AF361" s="29"/>
      <c r="AG361" s="28"/>
      <c r="AH361" s="29"/>
      <c r="AI361" s="28"/>
      <c r="AJ361" s="29"/>
      <c r="AK361" s="28"/>
      <c r="AL361" s="29"/>
      <c r="AM361" s="28"/>
      <c r="AN361" s="29"/>
      <c r="AO361" s="28"/>
      <c r="AP361" s="29"/>
      <c r="AQ361" s="28"/>
      <c r="AR361" s="29"/>
      <c r="AS361" s="25"/>
      <c r="AT361" s="25"/>
      <c r="AU361" s="25"/>
      <c r="AV361" s="26"/>
      <c r="AW361" s="26"/>
      <c r="AX361" s="26"/>
      <c r="AY361" s="26"/>
      <c r="AZ361" s="26"/>
      <c r="BA361" s="26"/>
      <c r="BB361" s="26"/>
      <c r="BC361" s="26"/>
      <c r="BD361" s="27"/>
    </row>
    <row r="362" spans="1:56" ht="15" customHeight="1">
      <c r="A362" s="9"/>
      <c r="B362" s="9"/>
      <c r="C362" s="9"/>
      <c r="D362" s="9"/>
      <c r="E362" s="9"/>
      <c r="F362" s="24"/>
      <c r="G362" s="9"/>
      <c r="H362" s="24"/>
      <c r="I362" s="9"/>
      <c r="J362" s="24"/>
      <c r="K362" s="9"/>
      <c r="L362" s="24"/>
      <c r="M362" s="9"/>
      <c r="N362" s="24"/>
      <c r="O362" s="9"/>
      <c r="P362" s="24"/>
      <c r="Q362" s="9"/>
      <c r="R362" s="24"/>
      <c r="S362" s="9"/>
      <c r="T362" s="24"/>
      <c r="U362" s="9"/>
      <c r="V362" s="24"/>
      <c r="W362" s="9"/>
      <c r="X362" s="24"/>
      <c r="Y362" s="9"/>
      <c r="Z362" s="24"/>
      <c r="AA362" s="9"/>
      <c r="AB362" s="24"/>
      <c r="AC362" s="9"/>
      <c r="AD362" s="24"/>
      <c r="AE362" s="9"/>
      <c r="AF362" s="24"/>
      <c r="AG362" s="9"/>
      <c r="AH362" s="24"/>
      <c r="AI362" s="9"/>
      <c r="AJ362" s="24"/>
      <c r="AK362" s="9"/>
      <c r="AL362" s="24"/>
      <c r="AM362" s="9"/>
      <c r="AN362" s="24"/>
      <c r="AO362" s="9"/>
      <c r="AP362" s="24"/>
      <c r="AQ362" s="9"/>
      <c r="AR362" s="24"/>
      <c r="AS362" s="25"/>
      <c r="AT362" s="25"/>
      <c r="AU362" s="25"/>
      <c r="AV362" s="26"/>
      <c r="AW362" s="26"/>
      <c r="AX362" s="26"/>
      <c r="AY362" s="26"/>
      <c r="AZ362" s="26"/>
      <c r="BA362" s="26"/>
      <c r="BB362" s="26"/>
      <c r="BC362" s="26"/>
      <c r="BD362" s="27"/>
    </row>
    <row r="363" spans="1:56" ht="15" customHeight="1">
      <c r="A363" s="28"/>
      <c r="B363" s="28"/>
      <c r="C363" s="28"/>
      <c r="D363" s="28"/>
      <c r="E363" s="28"/>
      <c r="F363" s="29"/>
      <c r="G363" s="28"/>
      <c r="H363" s="29"/>
      <c r="I363" s="28"/>
      <c r="J363" s="29"/>
      <c r="K363" s="28"/>
      <c r="L363" s="29"/>
      <c r="M363" s="28"/>
      <c r="N363" s="29"/>
      <c r="O363" s="28"/>
      <c r="P363" s="29"/>
      <c r="Q363" s="28"/>
      <c r="R363" s="29"/>
      <c r="S363" s="28"/>
      <c r="T363" s="29"/>
      <c r="U363" s="28"/>
      <c r="V363" s="29"/>
      <c r="W363" s="28"/>
      <c r="X363" s="29"/>
      <c r="Y363" s="28"/>
      <c r="Z363" s="29"/>
      <c r="AA363" s="28"/>
      <c r="AB363" s="29"/>
      <c r="AC363" s="28"/>
      <c r="AD363" s="29"/>
      <c r="AE363" s="28"/>
      <c r="AF363" s="29"/>
      <c r="AG363" s="28"/>
      <c r="AH363" s="29"/>
      <c r="AI363" s="28"/>
      <c r="AJ363" s="29"/>
      <c r="AK363" s="28"/>
      <c r="AL363" s="29"/>
      <c r="AM363" s="28"/>
      <c r="AN363" s="29"/>
      <c r="AO363" s="28"/>
      <c r="AP363" s="29"/>
      <c r="AQ363" s="28"/>
      <c r="AR363" s="29"/>
      <c r="AS363" s="25"/>
      <c r="AT363" s="25"/>
      <c r="AU363" s="25"/>
      <c r="AV363" s="26"/>
      <c r="AW363" s="26"/>
      <c r="AX363" s="26"/>
      <c r="AY363" s="26"/>
      <c r="AZ363" s="26"/>
      <c r="BA363" s="26"/>
      <c r="BB363" s="26"/>
      <c r="BC363" s="26"/>
      <c r="BD363" s="27"/>
    </row>
    <row r="364" spans="1:56" ht="15" customHeight="1">
      <c r="A364" s="9"/>
      <c r="B364" s="9"/>
      <c r="C364" s="9"/>
      <c r="D364" s="9"/>
      <c r="E364" s="9"/>
      <c r="F364" s="24"/>
      <c r="G364" s="9"/>
      <c r="H364" s="24"/>
      <c r="I364" s="9"/>
      <c r="J364" s="24"/>
      <c r="K364" s="9"/>
      <c r="L364" s="24"/>
      <c r="M364" s="9"/>
      <c r="N364" s="24"/>
      <c r="O364" s="9"/>
      <c r="P364" s="24"/>
      <c r="Q364" s="9"/>
      <c r="R364" s="24"/>
      <c r="S364" s="9"/>
      <c r="T364" s="24"/>
      <c r="U364" s="9"/>
      <c r="V364" s="24"/>
      <c r="W364" s="9"/>
      <c r="X364" s="24"/>
      <c r="Y364" s="9"/>
      <c r="Z364" s="24"/>
      <c r="AA364" s="9"/>
      <c r="AB364" s="24"/>
      <c r="AC364" s="9"/>
      <c r="AD364" s="24"/>
      <c r="AE364" s="9"/>
      <c r="AF364" s="24"/>
      <c r="AG364" s="9"/>
      <c r="AH364" s="24"/>
      <c r="AI364" s="9"/>
      <c r="AJ364" s="24"/>
      <c r="AK364" s="9"/>
      <c r="AL364" s="24"/>
      <c r="AM364" s="9"/>
      <c r="AN364" s="24"/>
      <c r="AO364" s="9"/>
      <c r="AP364" s="24"/>
      <c r="AQ364" s="9"/>
      <c r="AR364" s="24"/>
      <c r="AS364" s="25"/>
      <c r="AT364" s="25"/>
      <c r="AU364" s="25"/>
      <c r="AV364" s="26"/>
      <c r="AW364" s="26"/>
      <c r="AX364" s="26"/>
      <c r="AY364" s="26"/>
      <c r="AZ364" s="26"/>
      <c r="BA364" s="26"/>
      <c r="BB364" s="26"/>
      <c r="BC364" s="26"/>
      <c r="BD364" s="27"/>
    </row>
    <row r="365" spans="1:56" ht="15" customHeight="1">
      <c r="A365" s="28"/>
      <c r="B365" s="28"/>
      <c r="C365" s="28"/>
      <c r="D365" s="28"/>
      <c r="E365" s="28"/>
      <c r="F365" s="29"/>
      <c r="G365" s="28"/>
      <c r="H365" s="29"/>
      <c r="I365" s="28"/>
      <c r="J365" s="29"/>
      <c r="K365" s="28"/>
      <c r="L365" s="29"/>
      <c r="M365" s="28"/>
      <c r="N365" s="29"/>
      <c r="O365" s="28"/>
      <c r="P365" s="29"/>
      <c r="Q365" s="28"/>
      <c r="R365" s="29"/>
      <c r="S365" s="28"/>
      <c r="T365" s="29"/>
      <c r="U365" s="28"/>
      <c r="V365" s="29"/>
      <c r="W365" s="28"/>
      <c r="X365" s="29"/>
      <c r="Y365" s="28"/>
      <c r="Z365" s="29"/>
      <c r="AA365" s="28"/>
      <c r="AB365" s="29"/>
      <c r="AC365" s="28"/>
      <c r="AD365" s="29"/>
      <c r="AE365" s="28"/>
      <c r="AF365" s="29"/>
      <c r="AG365" s="28"/>
      <c r="AH365" s="29"/>
      <c r="AI365" s="28"/>
      <c r="AJ365" s="29"/>
      <c r="AK365" s="28"/>
      <c r="AL365" s="29"/>
      <c r="AM365" s="28"/>
      <c r="AN365" s="29"/>
      <c r="AO365" s="28"/>
      <c r="AP365" s="29"/>
      <c r="AQ365" s="28"/>
      <c r="AR365" s="29"/>
      <c r="AS365" s="25"/>
      <c r="AT365" s="25"/>
      <c r="AU365" s="25"/>
      <c r="AV365" s="26"/>
      <c r="AW365" s="26"/>
      <c r="AX365" s="26"/>
      <c r="AY365" s="26"/>
      <c r="AZ365" s="26"/>
      <c r="BA365" s="26"/>
      <c r="BB365" s="26"/>
      <c r="BC365" s="26"/>
      <c r="BD365" s="27"/>
    </row>
    <row r="366" spans="1:56" ht="15" customHeight="1">
      <c r="A366" s="9"/>
      <c r="B366" s="9"/>
      <c r="C366" s="9"/>
      <c r="D366" s="9"/>
      <c r="E366" s="9"/>
      <c r="F366" s="24"/>
      <c r="G366" s="9"/>
      <c r="H366" s="24"/>
      <c r="I366" s="9"/>
      <c r="J366" s="24"/>
      <c r="K366" s="9"/>
      <c r="L366" s="24"/>
      <c r="M366" s="9"/>
      <c r="N366" s="24"/>
      <c r="O366" s="9"/>
      <c r="P366" s="24"/>
      <c r="Q366" s="9"/>
      <c r="R366" s="24"/>
      <c r="S366" s="9"/>
      <c r="T366" s="24"/>
      <c r="U366" s="9"/>
      <c r="V366" s="24"/>
      <c r="W366" s="9"/>
      <c r="X366" s="24"/>
      <c r="Y366" s="9"/>
      <c r="Z366" s="24"/>
      <c r="AA366" s="9"/>
      <c r="AB366" s="24"/>
      <c r="AC366" s="9"/>
      <c r="AD366" s="24"/>
      <c r="AE366" s="9"/>
      <c r="AF366" s="24"/>
      <c r="AG366" s="9"/>
      <c r="AH366" s="24"/>
      <c r="AI366" s="9"/>
      <c r="AJ366" s="24"/>
      <c r="AK366" s="9"/>
      <c r="AL366" s="24"/>
      <c r="AM366" s="9"/>
      <c r="AN366" s="24"/>
      <c r="AO366" s="9"/>
      <c r="AP366" s="24"/>
      <c r="AQ366" s="9"/>
      <c r="AR366" s="24"/>
      <c r="AS366" s="25"/>
      <c r="AT366" s="25"/>
      <c r="AU366" s="25"/>
      <c r="AV366" s="26"/>
      <c r="AW366" s="26"/>
      <c r="AX366" s="26"/>
      <c r="AY366" s="26"/>
      <c r="AZ366" s="26"/>
      <c r="BA366" s="26"/>
      <c r="BB366" s="26"/>
      <c r="BC366" s="26"/>
      <c r="BD366" s="27"/>
    </row>
    <row r="367" spans="1:56" ht="15" customHeight="1">
      <c r="A367" s="28"/>
      <c r="B367" s="28"/>
      <c r="C367" s="28"/>
      <c r="D367" s="28"/>
      <c r="E367" s="28"/>
      <c r="F367" s="29"/>
      <c r="G367" s="28"/>
      <c r="H367" s="29"/>
      <c r="I367" s="28"/>
      <c r="J367" s="29"/>
      <c r="K367" s="28"/>
      <c r="L367" s="29"/>
      <c r="M367" s="28"/>
      <c r="N367" s="29"/>
      <c r="O367" s="28"/>
      <c r="P367" s="29"/>
      <c r="Q367" s="28"/>
      <c r="R367" s="29"/>
      <c r="S367" s="28"/>
      <c r="T367" s="29"/>
      <c r="U367" s="28"/>
      <c r="V367" s="29"/>
      <c r="W367" s="28"/>
      <c r="X367" s="29"/>
      <c r="Y367" s="28"/>
      <c r="Z367" s="29"/>
      <c r="AA367" s="28"/>
      <c r="AB367" s="29"/>
      <c r="AC367" s="28"/>
      <c r="AD367" s="29"/>
      <c r="AE367" s="28"/>
      <c r="AF367" s="29"/>
      <c r="AG367" s="28"/>
      <c r="AH367" s="29"/>
      <c r="AI367" s="28"/>
      <c r="AJ367" s="29"/>
      <c r="AK367" s="28"/>
      <c r="AL367" s="29"/>
      <c r="AM367" s="28"/>
      <c r="AN367" s="29"/>
      <c r="AO367" s="28"/>
      <c r="AP367" s="29"/>
      <c r="AQ367" s="28"/>
      <c r="AR367" s="29"/>
      <c r="AS367" s="25"/>
      <c r="AT367" s="25"/>
      <c r="AU367" s="25"/>
      <c r="AV367" s="26"/>
      <c r="AW367" s="26"/>
      <c r="AX367" s="26"/>
      <c r="AY367" s="26"/>
      <c r="AZ367" s="26"/>
      <c r="BA367" s="26"/>
      <c r="BB367" s="26"/>
      <c r="BC367" s="26"/>
      <c r="BD367" s="27"/>
    </row>
    <row r="368" spans="1:56" ht="15" customHeight="1">
      <c r="A368" s="9"/>
      <c r="B368" s="9"/>
      <c r="C368" s="9"/>
      <c r="D368" s="9"/>
      <c r="E368" s="9"/>
      <c r="F368" s="24"/>
      <c r="G368" s="9"/>
      <c r="H368" s="24"/>
      <c r="I368" s="9"/>
      <c r="J368" s="24"/>
      <c r="K368" s="9"/>
      <c r="L368" s="24"/>
      <c r="M368" s="9"/>
      <c r="N368" s="24"/>
      <c r="O368" s="9"/>
      <c r="P368" s="24"/>
      <c r="Q368" s="9"/>
      <c r="R368" s="24"/>
      <c r="S368" s="9"/>
      <c r="T368" s="24"/>
      <c r="U368" s="9"/>
      <c r="V368" s="24"/>
      <c r="W368" s="9"/>
      <c r="X368" s="24"/>
      <c r="Y368" s="9"/>
      <c r="Z368" s="24"/>
      <c r="AA368" s="9"/>
      <c r="AB368" s="24"/>
      <c r="AC368" s="9"/>
      <c r="AD368" s="24"/>
      <c r="AE368" s="9"/>
      <c r="AF368" s="24"/>
      <c r="AG368" s="9"/>
      <c r="AH368" s="24"/>
      <c r="AI368" s="9"/>
      <c r="AJ368" s="24"/>
      <c r="AK368" s="9"/>
      <c r="AL368" s="24"/>
      <c r="AM368" s="9"/>
      <c r="AN368" s="24"/>
      <c r="AO368" s="9"/>
      <c r="AP368" s="24"/>
      <c r="AQ368" s="9"/>
      <c r="AR368" s="24"/>
      <c r="AS368" s="25"/>
      <c r="AT368" s="25"/>
      <c r="AU368" s="25"/>
      <c r="AV368" s="26"/>
      <c r="AW368" s="26"/>
      <c r="AX368" s="26"/>
      <c r="AY368" s="26"/>
      <c r="AZ368" s="26"/>
      <c r="BA368" s="26"/>
      <c r="BB368" s="26"/>
      <c r="BC368" s="26"/>
      <c r="BD368" s="27"/>
    </row>
    <row r="369" spans="1:56" ht="15" customHeight="1">
      <c r="A369" s="28"/>
      <c r="B369" s="28"/>
      <c r="C369" s="28"/>
      <c r="D369" s="28"/>
      <c r="E369" s="28"/>
      <c r="F369" s="29"/>
      <c r="G369" s="28"/>
      <c r="H369" s="29"/>
      <c r="I369" s="28"/>
      <c r="J369" s="29"/>
      <c r="K369" s="28"/>
      <c r="L369" s="29"/>
      <c r="M369" s="28"/>
      <c r="N369" s="29"/>
      <c r="O369" s="28"/>
      <c r="P369" s="29"/>
      <c r="Q369" s="28"/>
      <c r="R369" s="29"/>
      <c r="S369" s="28"/>
      <c r="T369" s="29"/>
      <c r="U369" s="28"/>
      <c r="V369" s="29"/>
      <c r="W369" s="28"/>
      <c r="X369" s="29"/>
      <c r="Y369" s="28"/>
      <c r="Z369" s="29"/>
      <c r="AA369" s="28"/>
      <c r="AB369" s="29"/>
      <c r="AC369" s="28"/>
      <c r="AD369" s="29"/>
      <c r="AE369" s="28"/>
      <c r="AF369" s="29"/>
      <c r="AG369" s="28"/>
      <c r="AH369" s="29"/>
      <c r="AI369" s="28"/>
      <c r="AJ369" s="29"/>
      <c r="AK369" s="28"/>
      <c r="AL369" s="29"/>
      <c r="AM369" s="28"/>
      <c r="AN369" s="29"/>
      <c r="AO369" s="28"/>
      <c r="AP369" s="29"/>
      <c r="AQ369" s="28"/>
      <c r="AR369" s="29"/>
      <c r="AS369" s="25"/>
      <c r="AT369" s="25"/>
      <c r="AU369" s="25"/>
      <c r="AV369" s="26"/>
      <c r="AW369" s="26"/>
      <c r="AX369" s="26"/>
      <c r="AY369" s="26"/>
      <c r="AZ369" s="26"/>
      <c r="BA369" s="26"/>
      <c r="BB369" s="26"/>
      <c r="BC369" s="26"/>
      <c r="BD369" s="27"/>
    </row>
    <row r="370" spans="1:56" ht="15" customHeight="1">
      <c r="A370" s="9"/>
      <c r="B370" s="9"/>
      <c r="C370" s="9"/>
      <c r="D370" s="9"/>
      <c r="E370" s="9"/>
      <c r="F370" s="24"/>
      <c r="G370" s="9"/>
      <c r="H370" s="24"/>
      <c r="I370" s="9"/>
      <c r="J370" s="24"/>
      <c r="K370" s="9"/>
      <c r="L370" s="24"/>
      <c r="M370" s="9"/>
      <c r="N370" s="24"/>
      <c r="O370" s="9"/>
      <c r="P370" s="24"/>
      <c r="Q370" s="9"/>
      <c r="R370" s="24"/>
      <c r="S370" s="9"/>
      <c r="T370" s="24"/>
      <c r="U370" s="9"/>
      <c r="V370" s="24"/>
      <c r="W370" s="9"/>
      <c r="X370" s="24"/>
      <c r="Y370" s="9"/>
      <c r="Z370" s="24"/>
      <c r="AA370" s="9"/>
      <c r="AB370" s="24"/>
      <c r="AC370" s="9"/>
      <c r="AD370" s="24"/>
      <c r="AE370" s="9"/>
      <c r="AF370" s="24"/>
      <c r="AG370" s="9"/>
      <c r="AH370" s="24"/>
      <c r="AI370" s="9"/>
      <c r="AJ370" s="24"/>
      <c r="AK370" s="9"/>
      <c r="AL370" s="24"/>
      <c r="AM370" s="9"/>
      <c r="AN370" s="24"/>
      <c r="AO370" s="9"/>
      <c r="AP370" s="24"/>
      <c r="AQ370" s="9"/>
      <c r="AR370" s="24"/>
      <c r="AS370" s="25"/>
      <c r="AT370" s="25"/>
      <c r="AU370" s="25"/>
      <c r="AV370" s="26"/>
      <c r="AW370" s="26"/>
      <c r="AX370" s="26"/>
      <c r="AY370" s="26"/>
      <c r="AZ370" s="26"/>
      <c r="BA370" s="26"/>
      <c r="BB370" s="26"/>
      <c r="BC370" s="26"/>
      <c r="BD370" s="27"/>
    </row>
    <row r="371" spans="1:56" ht="15" customHeight="1">
      <c r="A371" s="28"/>
      <c r="B371" s="28"/>
      <c r="C371" s="28"/>
      <c r="D371" s="28"/>
      <c r="E371" s="28"/>
      <c r="F371" s="29"/>
      <c r="G371" s="28"/>
      <c r="H371" s="29"/>
      <c r="I371" s="28"/>
      <c r="J371" s="29"/>
      <c r="K371" s="28"/>
      <c r="L371" s="29"/>
      <c r="M371" s="28"/>
      <c r="N371" s="29"/>
      <c r="O371" s="28"/>
      <c r="P371" s="29"/>
      <c r="Q371" s="28"/>
      <c r="R371" s="29"/>
      <c r="S371" s="28"/>
      <c r="T371" s="29"/>
      <c r="U371" s="28"/>
      <c r="V371" s="29"/>
      <c r="W371" s="28"/>
      <c r="X371" s="29"/>
      <c r="Y371" s="28"/>
      <c r="Z371" s="29"/>
      <c r="AA371" s="28"/>
      <c r="AB371" s="29"/>
      <c r="AC371" s="28"/>
      <c r="AD371" s="29"/>
      <c r="AE371" s="28"/>
      <c r="AF371" s="29"/>
      <c r="AG371" s="28"/>
      <c r="AH371" s="29"/>
      <c r="AI371" s="28"/>
      <c r="AJ371" s="29"/>
      <c r="AK371" s="28"/>
      <c r="AL371" s="29"/>
      <c r="AM371" s="28"/>
      <c r="AN371" s="29"/>
      <c r="AO371" s="28"/>
      <c r="AP371" s="29"/>
      <c r="AQ371" s="28"/>
      <c r="AR371" s="29"/>
      <c r="AS371" s="25"/>
      <c r="AT371" s="25"/>
      <c r="AU371" s="25"/>
      <c r="AV371" s="26"/>
      <c r="AW371" s="26"/>
      <c r="AX371" s="26"/>
      <c r="AY371" s="26"/>
      <c r="AZ371" s="26"/>
      <c r="BA371" s="26"/>
      <c r="BB371" s="26"/>
      <c r="BC371" s="26"/>
      <c r="BD371" s="27"/>
    </row>
    <row r="372" spans="1:56" ht="15" customHeight="1">
      <c r="A372" s="9"/>
      <c r="B372" s="9"/>
      <c r="C372" s="9"/>
      <c r="D372" s="9"/>
      <c r="E372" s="9"/>
      <c r="F372" s="24"/>
      <c r="G372" s="9"/>
      <c r="H372" s="24"/>
      <c r="I372" s="9"/>
      <c r="J372" s="24"/>
      <c r="K372" s="9"/>
      <c r="L372" s="24"/>
      <c r="M372" s="9"/>
      <c r="N372" s="24"/>
      <c r="O372" s="9"/>
      <c r="P372" s="24"/>
      <c r="Q372" s="9"/>
      <c r="R372" s="24"/>
      <c r="S372" s="9"/>
      <c r="T372" s="24"/>
      <c r="U372" s="9"/>
      <c r="V372" s="24"/>
      <c r="W372" s="9"/>
      <c r="X372" s="24"/>
      <c r="Y372" s="9"/>
      <c r="Z372" s="24"/>
      <c r="AA372" s="9"/>
      <c r="AB372" s="24"/>
      <c r="AC372" s="9"/>
      <c r="AD372" s="24"/>
      <c r="AE372" s="9"/>
      <c r="AF372" s="24"/>
      <c r="AG372" s="9"/>
      <c r="AH372" s="24"/>
      <c r="AI372" s="9"/>
      <c r="AJ372" s="24"/>
      <c r="AK372" s="9"/>
      <c r="AL372" s="24"/>
      <c r="AM372" s="9"/>
      <c r="AN372" s="24"/>
      <c r="AO372" s="9"/>
      <c r="AP372" s="24"/>
      <c r="AQ372" s="9"/>
      <c r="AR372" s="24"/>
      <c r="AS372" s="25"/>
      <c r="AT372" s="25"/>
      <c r="AU372" s="25"/>
      <c r="AV372" s="26"/>
      <c r="AW372" s="26"/>
      <c r="AX372" s="26"/>
      <c r="AY372" s="26"/>
      <c r="AZ372" s="26"/>
      <c r="BA372" s="26"/>
      <c r="BB372" s="26"/>
      <c r="BC372" s="26"/>
      <c r="BD372" s="27"/>
    </row>
    <row r="373" spans="1:56" ht="15" customHeight="1">
      <c r="A373" s="28"/>
      <c r="B373" s="28"/>
      <c r="C373" s="28"/>
      <c r="D373" s="28"/>
      <c r="E373" s="28"/>
      <c r="F373" s="29"/>
      <c r="G373" s="28"/>
      <c r="H373" s="29"/>
      <c r="I373" s="28"/>
      <c r="J373" s="29"/>
      <c r="K373" s="28"/>
      <c r="L373" s="29"/>
      <c r="M373" s="28"/>
      <c r="N373" s="29"/>
      <c r="O373" s="28"/>
      <c r="P373" s="29"/>
      <c r="Q373" s="28"/>
      <c r="R373" s="29"/>
      <c r="S373" s="28"/>
      <c r="T373" s="29"/>
      <c r="U373" s="28"/>
      <c r="V373" s="29"/>
      <c r="W373" s="28"/>
      <c r="X373" s="29"/>
      <c r="Y373" s="28"/>
      <c r="Z373" s="29"/>
      <c r="AA373" s="28"/>
      <c r="AB373" s="29"/>
      <c r="AC373" s="28"/>
      <c r="AD373" s="29"/>
      <c r="AE373" s="28"/>
      <c r="AF373" s="29"/>
      <c r="AG373" s="28"/>
      <c r="AH373" s="29"/>
      <c r="AI373" s="28"/>
      <c r="AJ373" s="29"/>
      <c r="AK373" s="28"/>
      <c r="AL373" s="29"/>
      <c r="AM373" s="28"/>
      <c r="AN373" s="29"/>
      <c r="AO373" s="28"/>
      <c r="AP373" s="29"/>
      <c r="AQ373" s="28"/>
      <c r="AR373" s="29"/>
      <c r="AS373" s="25"/>
      <c r="AT373" s="25"/>
      <c r="AU373" s="25"/>
      <c r="AV373" s="26"/>
      <c r="AW373" s="26"/>
      <c r="AX373" s="26"/>
      <c r="AY373" s="26"/>
      <c r="AZ373" s="26"/>
      <c r="BA373" s="26"/>
      <c r="BB373" s="26"/>
      <c r="BC373" s="26"/>
      <c r="BD373" s="27"/>
    </row>
    <row r="374" spans="1:56" ht="15" customHeight="1">
      <c r="A374" s="9"/>
      <c r="B374" s="9"/>
      <c r="C374" s="9"/>
      <c r="D374" s="9"/>
      <c r="E374" s="9"/>
      <c r="F374" s="24"/>
      <c r="G374" s="9"/>
      <c r="H374" s="24"/>
      <c r="I374" s="9"/>
      <c r="J374" s="24"/>
      <c r="K374" s="9"/>
      <c r="L374" s="24"/>
      <c r="M374" s="9"/>
      <c r="N374" s="24"/>
      <c r="O374" s="9"/>
      <c r="P374" s="24"/>
      <c r="Q374" s="9"/>
      <c r="R374" s="24"/>
      <c r="S374" s="9"/>
      <c r="T374" s="24"/>
      <c r="U374" s="9"/>
      <c r="V374" s="24"/>
      <c r="W374" s="9"/>
      <c r="X374" s="24"/>
      <c r="Y374" s="9"/>
      <c r="Z374" s="24"/>
      <c r="AA374" s="9"/>
      <c r="AB374" s="24"/>
      <c r="AC374" s="9"/>
      <c r="AD374" s="24"/>
      <c r="AE374" s="9"/>
      <c r="AF374" s="24"/>
      <c r="AG374" s="9"/>
      <c r="AH374" s="24"/>
      <c r="AI374" s="9"/>
      <c r="AJ374" s="24"/>
      <c r="AK374" s="9"/>
      <c r="AL374" s="24"/>
      <c r="AM374" s="9"/>
      <c r="AN374" s="24"/>
      <c r="AO374" s="9"/>
      <c r="AP374" s="24"/>
      <c r="AQ374" s="9"/>
      <c r="AR374" s="24"/>
      <c r="AS374" s="25"/>
      <c r="AT374" s="25"/>
      <c r="AU374" s="25"/>
      <c r="AV374" s="26"/>
      <c r="AW374" s="26"/>
      <c r="AX374" s="26"/>
      <c r="AY374" s="26"/>
      <c r="AZ374" s="26"/>
      <c r="BA374" s="26"/>
      <c r="BB374" s="26"/>
      <c r="BC374" s="26"/>
      <c r="BD374" s="27"/>
    </row>
    <row r="375" spans="1:56" ht="15" customHeight="1">
      <c r="A375" s="28"/>
      <c r="B375" s="28"/>
      <c r="C375" s="28"/>
      <c r="D375" s="28"/>
      <c r="E375" s="28"/>
      <c r="F375" s="29"/>
      <c r="G375" s="28"/>
      <c r="H375" s="29"/>
      <c r="I375" s="28"/>
      <c r="J375" s="29"/>
      <c r="K375" s="28"/>
      <c r="L375" s="29"/>
      <c r="M375" s="28"/>
      <c r="N375" s="29"/>
      <c r="O375" s="28"/>
      <c r="P375" s="29"/>
      <c r="Q375" s="28"/>
      <c r="R375" s="29"/>
      <c r="S375" s="28"/>
      <c r="T375" s="29"/>
      <c r="U375" s="28"/>
      <c r="V375" s="29"/>
      <c r="W375" s="28"/>
      <c r="X375" s="29"/>
      <c r="Y375" s="28"/>
      <c r="Z375" s="29"/>
      <c r="AA375" s="28"/>
      <c r="AB375" s="29"/>
      <c r="AC375" s="28"/>
      <c r="AD375" s="29"/>
      <c r="AE375" s="28"/>
      <c r="AF375" s="29"/>
      <c r="AG375" s="28"/>
      <c r="AH375" s="29"/>
      <c r="AI375" s="28"/>
      <c r="AJ375" s="29"/>
      <c r="AK375" s="28"/>
      <c r="AL375" s="29"/>
      <c r="AM375" s="28"/>
      <c r="AN375" s="29"/>
      <c r="AO375" s="28"/>
      <c r="AP375" s="29"/>
      <c r="AQ375" s="28"/>
      <c r="AR375" s="29"/>
      <c r="AS375" s="25"/>
      <c r="AT375" s="25"/>
      <c r="AU375" s="25"/>
      <c r="AV375" s="26"/>
      <c r="AW375" s="26"/>
      <c r="AX375" s="26"/>
      <c r="AY375" s="26"/>
      <c r="AZ375" s="26"/>
      <c r="BA375" s="26"/>
      <c r="BB375" s="26"/>
      <c r="BC375" s="26"/>
      <c r="BD375" s="27"/>
    </row>
    <row r="376" spans="1:56" ht="15" customHeight="1">
      <c r="A376" s="9"/>
      <c r="B376" s="9"/>
      <c r="C376" s="9"/>
      <c r="D376" s="9"/>
      <c r="E376" s="9"/>
      <c r="F376" s="24"/>
      <c r="G376" s="9"/>
      <c r="H376" s="24"/>
      <c r="I376" s="9"/>
      <c r="J376" s="24"/>
      <c r="K376" s="9"/>
      <c r="L376" s="24"/>
      <c r="M376" s="9"/>
      <c r="N376" s="24"/>
      <c r="O376" s="9"/>
      <c r="P376" s="24"/>
      <c r="Q376" s="9"/>
      <c r="R376" s="24"/>
      <c r="S376" s="9"/>
      <c r="T376" s="24"/>
      <c r="U376" s="9"/>
      <c r="V376" s="24"/>
      <c r="W376" s="9"/>
      <c r="X376" s="24"/>
      <c r="Y376" s="9"/>
      <c r="Z376" s="24"/>
      <c r="AA376" s="9"/>
      <c r="AB376" s="24"/>
      <c r="AC376" s="9"/>
      <c r="AD376" s="24"/>
      <c r="AE376" s="9"/>
      <c r="AF376" s="24"/>
      <c r="AG376" s="9"/>
      <c r="AH376" s="24"/>
      <c r="AI376" s="9"/>
      <c r="AJ376" s="24"/>
      <c r="AK376" s="9"/>
      <c r="AL376" s="24"/>
      <c r="AM376" s="9"/>
      <c r="AN376" s="24"/>
      <c r="AO376" s="9"/>
      <c r="AP376" s="24"/>
      <c r="AQ376" s="9"/>
      <c r="AR376" s="24"/>
      <c r="AS376" s="25"/>
      <c r="AT376" s="25"/>
      <c r="AU376" s="25"/>
      <c r="AV376" s="26"/>
      <c r="AW376" s="26"/>
      <c r="AX376" s="26"/>
      <c r="AY376" s="26"/>
      <c r="AZ376" s="26"/>
      <c r="BA376" s="26"/>
      <c r="BB376" s="26"/>
      <c r="BC376" s="26"/>
      <c r="BD376" s="27"/>
    </row>
    <row r="377" spans="1:56" ht="15" customHeight="1">
      <c r="A377" s="28"/>
      <c r="B377" s="28"/>
      <c r="C377" s="28"/>
      <c r="D377" s="28"/>
      <c r="E377" s="28"/>
      <c r="F377" s="29"/>
      <c r="G377" s="28"/>
      <c r="H377" s="29"/>
      <c r="I377" s="28"/>
      <c r="J377" s="29"/>
      <c r="K377" s="28"/>
      <c r="L377" s="29"/>
      <c r="M377" s="28"/>
      <c r="N377" s="29"/>
      <c r="O377" s="28"/>
      <c r="P377" s="29"/>
      <c r="Q377" s="28"/>
      <c r="R377" s="29"/>
      <c r="S377" s="28"/>
      <c r="T377" s="29"/>
      <c r="U377" s="28"/>
      <c r="V377" s="29"/>
      <c r="W377" s="28"/>
      <c r="X377" s="29"/>
      <c r="Y377" s="28"/>
      <c r="Z377" s="29"/>
      <c r="AA377" s="28"/>
      <c r="AB377" s="29"/>
      <c r="AC377" s="28"/>
      <c r="AD377" s="29"/>
      <c r="AE377" s="28"/>
      <c r="AF377" s="29"/>
      <c r="AG377" s="28"/>
      <c r="AH377" s="29"/>
      <c r="AI377" s="28"/>
      <c r="AJ377" s="29"/>
      <c r="AK377" s="28"/>
      <c r="AL377" s="29"/>
      <c r="AM377" s="28"/>
      <c r="AN377" s="29"/>
      <c r="AO377" s="28"/>
      <c r="AP377" s="29"/>
      <c r="AQ377" s="28"/>
      <c r="AR377" s="29"/>
      <c r="AS377" s="25"/>
      <c r="AT377" s="25"/>
      <c r="AU377" s="25"/>
      <c r="AV377" s="26"/>
      <c r="AW377" s="26"/>
      <c r="AX377" s="26"/>
      <c r="AY377" s="26"/>
      <c r="AZ377" s="26"/>
      <c r="BA377" s="26"/>
      <c r="BB377" s="26"/>
      <c r="BC377" s="26"/>
      <c r="BD377" s="27"/>
    </row>
    <row r="378" spans="1:56" ht="15" customHeight="1">
      <c r="A378" s="9"/>
      <c r="B378" s="9"/>
      <c r="C378" s="9"/>
      <c r="D378" s="9"/>
      <c r="E378" s="9"/>
      <c r="F378" s="24"/>
      <c r="G378" s="9"/>
      <c r="H378" s="24"/>
      <c r="I378" s="9"/>
      <c r="J378" s="24"/>
      <c r="K378" s="9"/>
      <c r="L378" s="24"/>
      <c r="M378" s="9"/>
      <c r="N378" s="24"/>
      <c r="O378" s="9"/>
      <c r="P378" s="24"/>
      <c r="Q378" s="9"/>
      <c r="R378" s="24"/>
      <c r="S378" s="9"/>
      <c r="T378" s="24"/>
      <c r="U378" s="9"/>
      <c r="V378" s="24"/>
      <c r="W378" s="9"/>
      <c r="X378" s="24"/>
      <c r="Y378" s="9"/>
      <c r="Z378" s="24"/>
      <c r="AA378" s="9"/>
      <c r="AB378" s="24"/>
      <c r="AC378" s="9"/>
      <c r="AD378" s="24"/>
      <c r="AE378" s="9"/>
      <c r="AF378" s="24"/>
      <c r="AG378" s="9"/>
      <c r="AH378" s="24"/>
      <c r="AI378" s="9"/>
      <c r="AJ378" s="24"/>
      <c r="AK378" s="9"/>
      <c r="AL378" s="24"/>
      <c r="AM378" s="9"/>
      <c r="AN378" s="24"/>
      <c r="AO378" s="9"/>
      <c r="AP378" s="24"/>
      <c r="AQ378" s="9"/>
      <c r="AR378" s="24"/>
      <c r="AS378" s="25"/>
      <c r="AT378" s="25"/>
      <c r="AU378" s="25"/>
      <c r="AV378" s="26"/>
      <c r="AW378" s="26"/>
      <c r="AX378" s="26"/>
      <c r="AY378" s="26"/>
      <c r="AZ378" s="26"/>
      <c r="BA378" s="26"/>
      <c r="BB378" s="26"/>
      <c r="BC378" s="26"/>
      <c r="BD378" s="27"/>
    </row>
    <row r="379" spans="1:56" ht="15" customHeight="1">
      <c r="A379" s="28"/>
      <c r="B379" s="28"/>
      <c r="C379" s="28"/>
      <c r="D379" s="28"/>
      <c r="E379" s="28"/>
      <c r="F379" s="29"/>
      <c r="G379" s="28"/>
      <c r="H379" s="29"/>
      <c r="I379" s="28"/>
      <c r="J379" s="29"/>
      <c r="K379" s="28"/>
      <c r="L379" s="29"/>
      <c r="M379" s="28"/>
      <c r="N379" s="29"/>
      <c r="O379" s="28"/>
      <c r="P379" s="29"/>
      <c r="Q379" s="28"/>
      <c r="R379" s="29"/>
      <c r="S379" s="28"/>
      <c r="T379" s="29"/>
      <c r="U379" s="28"/>
      <c r="V379" s="29"/>
      <c r="W379" s="28"/>
      <c r="X379" s="29"/>
      <c r="Y379" s="28"/>
      <c r="Z379" s="29"/>
      <c r="AA379" s="28"/>
      <c r="AB379" s="29"/>
      <c r="AC379" s="28"/>
      <c r="AD379" s="29"/>
      <c r="AE379" s="28"/>
      <c r="AF379" s="29"/>
      <c r="AG379" s="28"/>
      <c r="AH379" s="29"/>
      <c r="AI379" s="28"/>
      <c r="AJ379" s="29"/>
      <c r="AK379" s="28"/>
      <c r="AL379" s="29"/>
      <c r="AM379" s="28"/>
      <c r="AN379" s="29"/>
      <c r="AO379" s="28"/>
      <c r="AP379" s="29"/>
      <c r="AQ379" s="28"/>
      <c r="AR379" s="29"/>
      <c r="AS379" s="25"/>
      <c r="AT379" s="25"/>
      <c r="AU379" s="25"/>
      <c r="AV379" s="26"/>
      <c r="AW379" s="26"/>
      <c r="AX379" s="26"/>
      <c r="AY379" s="26"/>
      <c r="AZ379" s="26"/>
      <c r="BA379" s="26"/>
      <c r="BB379" s="26"/>
      <c r="BC379" s="26"/>
      <c r="BD379" s="27"/>
    </row>
    <row r="380" spans="1:56" ht="15" customHeight="1">
      <c r="A380" s="9"/>
      <c r="B380" s="9"/>
      <c r="C380" s="9"/>
      <c r="D380" s="9"/>
      <c r="E380" s="9"/>
      <c r="F380" s="24"/>
      <c r="G380" s="9"/>
      <c r="H380" s="24"/>
      <c r="I380" s="9"/>
      <c r="J380" s="24"/>
      <c r="K380" s="9"/>
      <c r="L380" s="24"/>
      <c r="M380" s="9"/>
      <c r="N380" s="24"/>
      <c r="O380" s="9"/>
      <c r="P380" s="24"/>
      <c r="Q380" s="9"/>
      <c r="R380" s="24"/>
      <c r="S380" s="9"/>
      <c r="T380" s="24"/>
      <c r="U380" s="9"/>
      <c r="V380" s="24"/>
      <c r="W380" s="9"/>
      <c r="X380" s="24"/>
      <c r="Y380" s="9"/>
      <c r="Z380" s="24"/>
      <c r="AA380" s="9"/>
      <c r="AB380" s="24"/>
      <c r="AC380" s="9"/>
      <c r="AD380" s="24"/>
      <c r="AE380" s="9"/>
      <c r="AF380" s="24"/>
      <c r="AG380" s="9"/>
      <c r="AH380" s="24"/>
      <c r="AI380" s="9"/>
      <c r="AJ380" s="24"/>
      <c r="AK380" s="9"/>
      <c r="AL380" s="24"/>
      <c r="AM380" s="9"/>
      <c r="AN380" s="24"/>
      <c r="AO380" s="9"/>
      <c r="AP380" s="24"/>
      <c r="AQ380" s="9"/>
      <c r="AR380" s="24"/>
      <c r="AS380" s="25"/>
      <c r="AT380" s="25"/>
      <c r="AU380" s="25"/>
      <c r="AV380" s="26"/>
      <c r="AW380" s="26"/>
      <c r="AX380" s="26"/>
      <c r="AY380" s="26"/>
      <c r="AZ380" s="26"/>
      <c r="BA380" s="26"/>
      <c r="BB380" s="26"/>
      <c r="BC380" s="26"/>
      <c r="BD380" s="27"/>
    </row>
    <row r="381" spans="1:56" ht="15" customHeight="1">
      <c r="A381" s="28"/>
      <c r="B381" s="28"/>
      <c r="C381" s="28"/>
      <c r="D381" s="28"/>
      <c r="E381" s="28"/>
      <c r="F381" s="29"/>
      <c r="G381" s="28"/>
      <c r="H381" s="29"/>
      <c r="I381" s="28"/>
      <c r="J381" s="29"/>
      <c r="K381" s="28"/>
      <c r="L381" s="29"/>
      <c r="M381" s="28"/>
      <c r="N381" s="29"/>
      <c r="O381" s="28"/>
      <c r="P381" s="29"/>
      <c r="Q381" s="28"/>
      <c r="R381" s="29"/>
      <c r="S381" s="28"/>
      <c r="T381" s="29"/>
      <c r="U381" s="28"/>
      <c r="V381" s="29"/>
      <c r="W381" s="28"/>
      <c r="X381" s="29"/>
      <c r="Y381" s="28"/>
      <c r="Z381" s="29"/>
      <c r="AA381" s="28"/>
      <c r="AB381" s="29"/>
      <c r="AC381" s="28"/>
      <c r="AD381" s="29"/>
      <c r="AE381" s="28"/>
      <c r="AF381" s="29"/>
      <c r="AG381" s="28"/>
      <c r="AH381" s="29"/>
      <c r="AI381" s="28"/>
      <c r="AJ381" s="29"/>
      <c r="AK381" s="28"/>
      <c r="AL381" s="29"/>
      <c r="AM381" s="28"/>
      <c r="AN381" s="29"/>
      <c r="AO381" s="28"/>
      <c r="AP381" s="29"/>
      <c r="AQ381" s="28"/>
      <c r="AR381" s="29"/>
      <c r="AS381" s="25"/>
      <c r="AT381" s="25"/>
      <c r="AU381" s="25"/>
      <c r="AV381" s="26"/>
      <c r="AW381" s="26"/>
      <c r="AX381" s="26"/>
      <c r="AY381" s="26"/>
      <c r="AZ381" s="26"/>
      <c r="BA381" s="26"/>
      <c r="BB381" s="26"/>
      <c r="BC381" s="26"/>
      <c r="BD381" s="27"/>
    </row>
    <row r="382" spans="1:56" ht="15" customHeight="1">
      <c r="A382" s="9"/>
      <c r="B382" s="9"/>
      <c r="C382" s="9"/>
      <c r="D382" s="9"/>
      <c r="E382" s="9"/>
      <c r="F382" s="24"/>
      <c r="G382" s="9"/>
      <c r="H382" s="24"/>
      <c r="I382" s="9"/>
      <c r="J382" s="24"/>
      <c r="K382" s="9"/>
      <c r="L382" s="24"/>
      <c r="M382" s="9"/>
      <c r="N382" s="24"/>
      <c r="O382" s="9"/>
      <c r="P382" s="24"/>
      <c r="Q382" s="9"/>
      <c r="R382" s="24"/>
      <c r="S382" s="9"/>
      <c r="T382" s="24"/>
      <c r="U382" s="9"/>
      <c r="V382" s="24"/>
      <c r="W382" s="9"/>
      <c r="X382" s="24"/>
      <c r="Y382" s="9"/>
      <c r="Z382" s="24"/>
      <c r="AA382" s="9"/>
      <c r="AB382" s="24"/>
      <c r="AC382" s="9"/>
      <c r="AD382" s="24"/>
      <c r="AE382" s="9"/>
      <c r="AF382" s="24"/>
      <c r="AG382" s="9"/>
      <c r="AH382" s="24"/>
      <c r="AI382" s="9"/>
      <c r="AJ382" s="24"/>
      <c r="AK382" s="9"/>
      <c r="AL382" s="24"/>
      <c r="AM382" s="9"/>
      <c r="AN382" s="24"/>
      <c r="AO382" s="9"/>
      <c r="AP382" s="24"/>
      <c r="AQ382" s="9"/>
      <c r="AR382" s="24"/>
      <c r="AS382" s="25"/>
      <c r="AT382" s="25"/>
      <c r="AU382" s="25"/>
      <c r="AV382" s="26"/>
      <c r="AW382" s="26"/>
      <c r="AX382" s="26"/>
      <c r="AY382" s="26"/>
      <c r="AZ382" s="26"/>
      <c r="BA382" s="26"/>
      <c r="BB382" s="26"/>
      <c r="BC382" s="26"/>
      <c r="BD382" s="27"/>
    </row>
    <row r="383" spans="1:56" ht="15" customHeight="1">
      <c r="A383" s="28"/>
      <c r="B383" s="28"/>
      <c r="C383" s="28"/>
      <c r="D383" s="28"/>
      <c r="E383" s="28"/>
      <c r="F383" s="29"/>
      <c r="G383" s="28"/>
      <c r="H383" s="29"/>
      <c r="I383" s="28"/>
      <c r="J383" s="29"/>
      <c r="K383" s="28"/>
      <c r="L383" s="29"/>
      <c r="M383" s="28"/>
      <c r="N383" s="29"/>
      <c r="O383" s="28"/>
      <c r="P383" s="29"/>
      <c r="Q383" s="28"/>
      <c r="R383" s="29"/>
      <c r="S383" s="28"/>
      <c r="T383" s="29"/>
      <c r="U383" s="28"/>
      <c r="V383" s="29"/>
      <c r="W383" s="28"/>
      <c r="X383" s="29"/>
      <c r="Y383" s="28"/>
      <c r="Z383" s="29"/>
      <c r="AA383" s="28"/>
      <c r="AB383" s="29"/>
      <c r="AC383" s="28"/>
      <c r="AD383" s="29"/>
      <c r="AE383" s="28"/>
      <c r="AF383" s="29"/>
      <c r="AG383" s="28"/>
      <c r="AH383" s="29"/>
      <c r="AI383" s="28"/>
      <c r="AJ383" s="29"/>
      <c r="AK383" s="28"/>
      <c r="AL383" s="29"/>
      <c r="AM383" s="28"/>
      <c r="AN383" s="29"/>
      <c r="AO383" s="28"/>
      <c r="AP383" s="29"/>
      <c r="AQ383" s="28"/>
      <c r="AR383" s="29"/>
      <c r="AS383" s="25"/>
      <c r="AT383" s="25"/>
      <c r="AU383" s="25"/>
      <c r="AV383" s="26"/>
      <c r="AW383" s="26"/>
      <c r="AX383" s="26"/>
      <c r="AY383" s="26"/>
      <c r="AZ383" s="26"/>
      <c r="BA383" s="26"/>
      <c r="BB383" s="26"/>
      <c r="BC383" s="26"/>
      <c r="BD383" s="27"/>
    </row>
    <row r="384" spans="1:56" ht="15" customHeight="1">
      <c r="A384" s="9"/>
      <c r="B384" s="9"/>
      <c r="C384" s="9"/>
      <c r="D384" s="9"/>
      <c r="E384" s="9"/>
      <c r="F384" s="24"/>
      <c r="G384" s="9"/>
      <c r="H384" s="24"/>
      <c r="I384" s="9"/>
      <c r="J384" s="24"/>
      <c r="K384" s="9"/>
      <c r="L384" s="24"/>
      <c r="M384" s="9"/>
      <c r="N384" s="24"/>
      <c r="O384" s="9"/>
      <c r="P384" s="24"/>
      <c r="Q384" s="9"/>
      <c r="R384" s="24"/>
      <c r="S384" s="9"/>
      <c r="T384" s="24"/>
      <c r="U384" s="9"/>
      <c r="V384" s="24"/>
      <c r="W384" s="9"/>
      <c r="X384" s="24"/>
      <c r="Y384" s="9"/>
      <c r="Z384" s="24"/>
      <c r="AA384" s="9"/>
      <c r="AB384" s="24"/>
      <c r="AC384" s="9"/>
      <c r="AD384" s="24"/>
      <c r="AE384" s="9"/>
      <c r="AF384" s="24"/>
      <c r="AG384" s="9"/>
      <c r="AH384" s="24"/>
      <c r="AI384" s="9"/>
      <c r="AJ384" s="24"/>
      <c r="AK384" s="9"/>
      <c r="AL384" s="24"/>
      <c r="AM384" s="9"/>
      <c r="AN384" s="24"/>
      <c r="AO384" s="9"/>
      <c r="AP384" s="24"/>
      <c r="AQ384" s="9"/>
      <c r="AR384" s="24"/>
      <c r="AS384" s="25"/>
      <c r="AT384" s="25"/>
      <c r="AU384" s="25"/>
      <c r="AV384" s="26"/>
      <c r="AW384" s="26"/>
      <c r="AX384" s="26"/>
      <c r="AY384" s="26"/>
      <c r="AZ384" s="26"/>
      <c r="BA384" s="26"/>
      <c r="BB384" s="26"/>
      <c r="BC384" s="26"/>
      <c r="BD384" s="27"/>
    </row>
    <row r="385" spans="1:56" ht="15" customHeight="1">
      <c r="A385" s="28"/>
      <c r="B385" s="28"/>
      <c r="C385" s="28"/>
      <c r="D385" s="28"/>
      <c r="E385" s="28"/>
      <c r="F385" s="29"/>
      <c r="G385" s="28"/>
      <c r="H385" s="29"/>
      <c r="I385" s="28"/>
      <c r="J385" s="29"/>
      <c r="K385" s="28"/>
      <c r="L385" s="29"/>
      <c r="M385" s="28"/>
      <c r="N385" s="29"/>
      <c r="O385" s="28"/>
      <c r="P385" s="29"/>
      <c r="Q385" s="28"/>
      <c r="R385" s="29"/>
      <c r="S385" s="28"/>
      <c r="T385" s="29"/>
      <c r="U385" s="28"/>
      <c r="V385" s="29"/>
      <c r="W385" s="28"/>
      <c r="X385" s="29"/>
      <c r="Y385" s="28"/>
      <c r="Z385" s="29"/>
      <c r="AA385" s="28"/>
      <c r="AB385" s="29"/>
      <c r="AC385" s="28"/>
      <c r="AD385" s="29"/>
      <c r="AE385" s="28"/>
      <c r="AF385" s="29"/>
      <c r="AG385" s="28"/>
      <c r="AH385" s="29"/>
      <c r="AI385" s="28"/>
      <c r="AJ385" s="29"/>
      <c r="AK385" s="28"/>
      <c r="AL385" s="29"/>
      <c r="AM385" s="28"/>
      <c r="AN385" s="29"/>
      <c r="AO385" s="28"/>
      <c r="AP385" s="29"/>
      <c r="AQ385" s="28"/>
      <c r="AR385" s="29"/>
      <c r="AS385" s="25"/>
      <c r="AT385" s="25"/>
      <c r="AU385" s="25"/>
      <c r="AV385" s="26"/>
      <c r="AW385" s="26"/>
      <c r="AX385" s="26"/>
      <c r="AY385" s="26"/>
      <c r="AZ385" s="26"/>
      <c r="BA385" s="26"/>
      <c r="BB385" s="26"/>
      <c r="BC385" s="26"/>
      <c r="BD385" s="27"/>
    </row>
    <row r="386" spans="1:56" ht="15" customHeight="1">
      <c r="A386" s="9"/>
      <c r="B386" s="9"/>
      <c r="C386" s="9"/>
      <c r="D386" s="9"/>
      <c r="E386" s="9"/>
      <c r="F386" s="24"/>
      <c r="G386" s="9"/>
      <c r="H386" s="24"/>
      <c r="I386" s="9"/>
      <c r="J386" s="24"/>
      <c r="K386" s="9"/>
      <c r="L386" s="24"/>
      <c r="M386" s="9"/>
      <c r="N386" s="24"/>
      <c r="O386" s="9"/>
      <c r="P386" s="24"/>
      <c r="Q386" s="9"/>
      <c r="R386" s="24"/>
      <c r="S386" s="9"/>
      <c r="T386" s="24"/>
      <c r="U386" s="9"/>
      <c r="V386" s="24"/>
      <c r="W386" s="9"/>
      <c r="X386" s="24"/>
      <c r="Y386" s="9"/>
      <c r="Z386" s="24"/>
      <c r="AA386" s="9"/>
      <c r="AB386" s="24"/>
      <c r="AC386" s="9"/>
      <c r="AD386" s="24"/>
      <c r="AE386" s="9"/>
      <c r="AF386" s="24"/>
      <c r="AG386" s="9"/>
      <c r="AH386" s="24"/>
      <c r="AI386" s="9"/>
      <c r="AJ386" s="24"/>
      <c r="AK386" s="9"/>
      <c r="AL386" s="24"/>
      <c r="AM386" s="9"/>
      <c r="AN386" s="24"/>
      <c r="AO386" s="9"/>
      <c r="AP386" s="24"/>
      <c r="AQ386" s="9"/>
      <c r="AR386" s="24"/>
      <c r="AS386" s="25"/>
      <c r="AT386" s="25"/>
      <c r="AU386" s="25"/>
      <c r="AV386" s="26"/>
      <c r="AW386" s="26"/>
      <c r="AX386" s="26"/>
      <c r="AY386" s="26"/>
      <c r="AZ386" s="26"/>
      <c r="BA386" s="26"/>
      <c r="BB386" s="26"/>
      <c r="BC386" s="26"/>
      <c r="BD386" s="27"/>
    </row>
    <row r="387" spans="1:56" ht="15" customHeight="1">
      <c r="A387" s="28"/>
      <c r="B387" s="28"/>
      <c r="C387" s="28"/>
      <c r="D387" s="28"/>
      <c r="E387" s="28"/>
      <c r="F387" s="29"/>
      <c r="G387" s="28"/>
      <c r="H387" s="29"/>
      <c r="I387" s="28"/>
      <c r="J387" s="29"/>
      <c r="K387" s="28"/>
      <c r="L387" s="29"/>
      <c r="M387" s="28"/>
      <c r="N387" s="29"/>
      <c r="O387" s="28"/>
      <c r="P387" s="29"/>
      <c r="Q387" s="28"/>
      <c r="R387" s="29"/>
      <c r="S387" s="28"/>
      <c r="T387" s="29"/>
      <c r="U387" s="28"/>
      <c r="V387" s="29"/>
      <c r="W387" s="28"/>
      <c r="X387" s="29"/>
      <c r="Y387" s="28"/>
      <c r="Z387" s="29"/>
      <c r="AA387" s="28"/>
      <c r="AB387" s="29"/>
      <c r="AC387" s="28"/>
      <c r="AD387" s="29"/>
      <c r="AE387" s="28"/>
      <c r="AF387" s="29"/>
      <c r="AG387" s="28"/>
      <c r="AH387" s="29"/>
      <c r="AI387" s="28"/>
      <c r="AJ387" s="29"/>
      <c r="AK387" s="28"/>
      <c r="AL387" s="29"/>
      <c r="AM387" s="28"/>
      <c r="AN387" s="29"/>
      <c r="AO387" s="28"/>
      <c r="AP387" s="29"/>
      <c r="AQ387" s="28"/>
      <c r="AR387" s="29"/>
      <c r="AS387" s="25"/>
      <c r="AT387" s="25"/>
      <c r="AU387" s="25"/>
      <c r="AV387" s="26"/>
      <c r="AW387" s="26"/>
      <c r="AX387" s="26"/>
      <c r="AY387" s="26"/>
      <c r="AZ387" s="26"/>
      <c r="BA387" s="26"/>
      <c r="BB387" s="26"/>
      <c r="BC387" s="26"/>
      <c r="BD387" s="27"/>
    </row>
    <row r="388" spans="1:56" ht="15" customHeight="1">
      <c r="A388" s="9"/>
      <c r="B388" s="9"/>
      <c r="C388" s="9"/>
      <c r="D388" s="9"/>
      <c r="E388" s="9"/>
      <c r="F388" s="24"/>
      <c r="G388" s="9"/>
      <c r="H388" s="24"/>
      <c r="I388" s="9"/>
      <c r="J388" s="24"/>
      <c r="K388" s="9"/>
      <c r="L388" s="24"/>
      <c r="M388" s="9"/>
      <c r="N388" s="24"/>
      <c r="O388" s="9"/>
      <c r="P388" s="24"/>
      <c r="Q388" s="9"/>
      <c r="R388" s="24"/>
      <c r="S388" s="9"/>
      <c r="T388" s="24"/>
      <c r="U388" s="9"/>
      <c r="V388" s="24"/>
      <c r="W388" s="9"/>
      <c r="X388" s="24"/>
      <c r="Y388" s="9"/>
      <c r="Z388" s="24"/>
      <c r="AA388" s="9"/>
      <c r="AB388" s="24"/>
      <c r="AC388" s="9"/>
      <c r="AD388" s="24"/>
      <c r="AE388" s="9"/>
      <c r="AF388" s="24"/>
      <c r="AG388" s="9"/>
      <c r="AH388" s="24"/>
      <c r="AI388" s="9"/>
      <c r="AJ388" s="24"/>
      <c r="AK388" s="9"/>
      <c r="AL388" s="24"/>
      <c r="AM388" s="9"/>
      <c r="AN388" s="24"/>
      <c r="AO388" s="9"/>
      <c r="AP388" s="24"/>
      <c r="AQ388" s="9"/>
      <c r="AR388" s="24"/>
      <c r="AS388" s="25"/>
      <c r="AT388" s="25"/>
      <c r="AU388" s="25"/>
      <c r="AV388" s="26"/>
      <c r="AW388" s="26"/>
      <c r="AX388" s="26"/>
      <c r="AY388" s="26"/>
      <c r="AZ388" s="26"/>
      <c r="BA388" s="26"/>
      <c r="BB388" s="26"/>
      <c r="BC388" s="26"/>
      <c r="BD388" s="27"/>
    </row>
    <row r="389" spans="1:56" ht="15" customHeight="1">
      <c r="A389" s="28"/>
      <c r="B389" s="28"/>
      <c r="C389" s="28"/>
      <c r="D389" s="28"/>
      <c r="E389" s="28"/>
      <c r="F389" s="29"/>
      <c r="G389" s="28"/>
      <c r="H389" s="29"/>
      <c r="I389" s="28"/>
      <c r="J389" s="29"/>
      <c r="K389" s="28"/>
      <c r="L389" s="29"/>
      <c r="M389" s="28"/>
      <c r="N389" s="29"/>
      <c r="O389" s="28"/>
      <c r="P389" s="29"/>
      <c r="Q389" s="28"/>
      <c r="R389" s="29"/>
      <c r="S389" s="28"/>
      <c r="T389" s="29"/>
      <c r="U389" s="28"/>
      <c r="V389" s="29"/>
      <c r="W389" s="28"/>
      <c r="X389" s="29"/>
      <c r="Y389" s="28"/>
      <c r="Z389" s="29"/>
      <c r="AA389" s="28"/>
      <c r="AB389" s="29"/>
      <c r="AC389" s="28"/>
      <c r="AD389" s="29"/>
      <c r="AE389" s="28"/>
      <c r="AF389" s="29"/>
      <c r="AG389" s="28"/>
      <c r="AH389" s="29"/>
      <c r="AI389" s="28"/>
      <c r="AJ389" s="29"/>
      <c r="AK389" s="28"/>
      <c r="AL389" s="29"/>
      <c r="AM389" s="28"/>
      <c r="AN389" s="29"/>
      <c r="AO389" s="28"/>
      <c r="AP389" s="29"/>
      <c r="AQ389" s="28"/>
      <c r="AR389" s="29"/>
      <c r="AS389" s="25"/>
      <c r="AT389" s="25"/>
      <c r="AU389" s="25"/>
      <c r="AV389" s="26"/>
      <c r="AW389" s="26"/>
      <c r="AX389" s="26"/>
      <c r="AY389" s="26"/>
      <c r="AZ389" s="26"/>
      <c r="BA389" s="26"/>
      <c r="BB389" s="26"/>
      <c r="BC389" s="26"/>
      <c r="BD389" s="27"/>
    </row>
    <row r="390" spans="1:56" ht="15" customHeight="1">
      <c r="A390" s="9"/>
      <c r="B390" s="9"/>
      <c r="C390" s="9"/>
      <c r="D390" s="9"/>
      <c r="E390" s="9"/>
      <c r="F390" s="24"/>
      <c r="G390" s="9"/>
      <c r="H390" s="24"/>
      <c r="I390" s="9"/>
      <c r="J390" s="24"/>
      <c r="K390" s="9"/>
      <c r="L390" s="24"/>
      <c r="M390" s="9"/>
      <c r="N390" s="24"/>
      <c r="O390" s="9"/>
      <c r="P390" s="24"/>
      <c r="Q390" s="9"/>
      <c r="R390" s="24"/>
      <c r="S390" s="9"/>
      <c r="T390" s="24"/>
      <c r="U390" s="9"/>
      <c r="V390" s="24"/>
      <c r="W390" s="9"/>
      <c r="X390" s="24"/>
      <c r="Y390" s="9"/>
      <c r="Z390" s="24"/>
      <c r="AA390" s="9"/>
      <c r="AB390" s="24"/>
      <c r="AC390" s="9"/>
      <c r="AD390" s="24"/>
      <c r="AE390" s="9"/>
      <c r="AF390" s="24"/>
      <c r="AG390" s="9"/>
      <c r="AH390" s="24"/>
      <c r="AI390" s="9"/>
      <c r="AJ390" s="24"/>
      <c r="AK390" s="9"/>
      <c r="AL390" s="24"/>
      <c r="AM390" s="9"/>
      <c r="AN390" s="24"/>
      <c r="AO390" s="9"/>
      <c r="AP390" s="24"/>
      <c r="AQ390" s="9"/>
      <c r="AR390" s="24"/>
      <c r="AS390" s="25"/>
      <c r="AT390" s="25"/>
      <c r="AU390" s="25"/>
      <c r="AV390" s="26"/>
      <c r="AW390" s="26"/>
      <c r="AX390" s="26"/>
      <c r="AY390" s="26"/>
      <c r="AZ390" s="26"/>
      <c r="BA390" s="26"/>
      <c r="BB390" s="26"/>
      <c r="BC390" s="26"/>
      <c r="BD390" s="27"/>
    </row>
    <row r="391" spans="1:56" ht="15" customHeight="1">
      <c r="A391" s="28"/>
      <c r="B391" s="28"/>
      <c r="C391" s="28"/>
      <c r="D391" s="28"/>
      <c r="E391" s="28"/>
      <c r="F391" s="29"/>
      <c r="G391" s="28"/>
      <c r="H391" s="29"/>
      <c r="I391" s="28"/>
      <c r="J391" s="29"/>
      <c r="K391" s="28"/>
      <c r="L391" s="29"/>
      <c r="M391" s="28"/>
      <c r="N391" s="29"/>
      <c r="O391" s="28"/>
      <c r="P391" s="29"/>
      <c r="Q391" s="28"/>
      <c r="R391" s="29"/>
      <c r="S391" s="28"/>
      <c r="T391" s="29"/>
      <c r="U391" s="28"/>
      <c r="V391" s="29"/>
      <c r="W391" s="28"/>
      <c r="X391" s="29"/>
      <c r="Y391" s="28"/>
      <c r="Z391" s="29"/>
      <c r="AA391" s="28"/>
      <c r="AB391" s="29"/>
      <c r="AC391" s="28"/>
      <c r="AD391" s="29"/>
      <c r="AE391" s="28"/>
      <c r="AF391" s="29"/>
      <c r="AG391" s="28"/>
      <c r="AH391" s="29"/>
      <c r="AI391" s="28"/>
      <c r="AJ391" s="29"/>
      <c r="AK391" s="28"/>
      <c r="AL391" s="29"/>
      <c r="AM391" s="28"/>
      <c r="AN391" s="29"/>
      <c r="AO391" s="28"/>
      <c r="AP391" s="29"/>
      <c r="AQ391" s="28"/>
      <c r="AR391" s="29"/>
      <c r="AS391" s="25"/>
      <c r="AT391" s="25"/>
      <c r="AU391" s="25"/>
      <c r="AV391" s="26"/>
      <c r="AW391" s="26"/>
      <c r="AX391" s="26"/>
      <c r="AY391" s="26"/>
      <c r="AZ391" s="26"/>
      <c r="BA391" s="26"/>
      <c r="BB391" s="26"/>
      <c r="BC391" s="26"/>
      <c r="BD391" s="27"/>
    </row>
    <row r="392" spans="1:56" ht="15" customHeight="1">
      <c r="A392" s="9"/>
      <c r="B392" s="9"/>
      <c r="C392" s="9"/>
      <c r="D392" s="9"/>
      <c r="E392" s="9"/>
      <c r="F392" s="24"/>
      <c r="G392" s="9"/>
      <c r="H392" s="24"/>
      <c r="I392" s="9"/>
      <c r="J392" s="24"/>
      <c r="K392" s="9"/>
      <c r="L392" s="24"/>
      <c r="M392" s="9"/>
      <c r="N392" s="24"/>
      <c r="O392" s="9"/>
      <c r="P392" s="24"/>
      <c r="Q392" s="9"/>
      <c r="R392" s="24"/>
      <c r="S392" s="9"/>
      <c r="T392" s="24"/>
      <c r="U392" s="9"/>
      <c r="V392" s="24"/>
      <c r="W392" s="9"/>
      <c r="X392" s="24"/>
      <c r="Y392" s="9"/>
      <c r="Z392" s="24"/>
      <c r="AA392" s="9"/>
      <c r="AB392" s="24"/>
      <c r="AC392" s="9"/>
      <c r="AD392" s="24"/>
      <c r="AE392" s="9"/>
      <c r="AF392" s="24"/>
      <c r="AG392" s="9"/>
      <c r="AH392" s="24"/>
      <c r="AI392" s="9"/>
      <c r="AJ392" s="24"/>
      <c r="AK392" s="9"/>
      <c r="AL392" s="24"/>
      <c r="AM392" s="9"/>
      <c r="AN392" s="24"/>
      <c r="AO392" s="9"/>
      <c r="AP392" s="24"/>
      <c r="AQ392" s="9"/>
      <c r="AR392" s="24"/>
      <c r="AS392" s="25"/>
      <c r="AT392" s="25"/>
      <c r="AU392" s="25"/>
      <c r="AV392" s="26"/>
      <c r="AW392" s="26"/>
      <c r="AX392" s="26"/>
      <c r="AY392" s="26"/>
      <c r="AZ392" s="26"/>
      <c r="BA392" s="26"/>
      <c r="BB392" s="26"/>
      <c r="BC392" s="26"/>
      <c r="BD392" s="27"/>
    </row>
    <row r="393" spans="1:56" ht="15" customHeight="1">
      <c r="A393" s="28"/>
      <c r="B393" s="28"/>
      <c r="C393" s="28"/>
      <c r="D393" s="28"/>
      <c r="E393" s="28"/>
      <c r="F393" s="29"/>
      <c r="G393" s="28"/>
      <c r="H393" s="29"/>
      <c r="I393" s="28"/>
      <c r="J393" s="29"/>
      <c r="K393" s="28"/>
      <c r="L393" s="29"/>
      <c r="M393" s="28"/>
      <c r="N393" s="29"/>
      <c r="O393" s="28"/>
      <c r="P393" s="29"/>
      <c r="Q393" s="28"/>
      <c r="R393" s="29"/>
      <c r="S393" s="28"/>
      <c r="T393" s="29"/>
      <c r="U393" s="28"/>
      <c r="V393" s="29"/>
      <c r="W393" s="28"/>
      <c r="X393" s="29"/>
      <c r="Y393" s="28"/>
      <c r="Z393" s="29"/>
      <c r="AA393" s="28"/>
      <c r="AB393" s="29"/>
      <c r="AC393" s="28"/>
      <c r="AD393" s="29"/>
      <c r="AE393" s="28"/>
      <c r="AF393" s="29"/>
      <c r="AG393" s="28"/>
      <c r="AH393" s="29"/>
      <c r="AI393" s="28"/>
      <c r="AJ393" s="29"/>
      <c r="AK393" s="28"/>
      <c r="AL393" s="29"/>
      <c r="AM393" s="28"/>
      <c r="AN393" s="29"/>
      <c r="AO393" s="28"/>
      <c r="AP393" s="29"/>
      <c r="AQ393" s="28"/>
      <c r="AR393" s="29"/>
      <c r="AS393" s="25"/>
      <c r="AT393" s="25"/>
      <c r="AU393" s="25"/>
      <c r="AV393" s="26"/>
      <c r="AW393" s="26"/>
      <c r="AX393" s="26"/>
      <c r="AY393" s="26"/>
      <c r="AZ393" s="26"/>
      <c r="BA393" s="26"/>
      <c r="BB393" s="26"/>
      <c r="BC393" s="26"/>
      <c r="BD393" s="27"/>
    </row>
    <row r="394" spans="1:56" ht="15" customHeight="1">
      <c r="A394" s="9"/>
      <c r="B394" s="9"/>
      <c r="C394" s="9"/>
      <c r="D394" s="9"/>
      <c r="E394" s="9"/>
      <c r="F394" s="24"/>
      <c r="G394" s="9"/>
      <c r="H394" s="24"/>
      <c r="I394" s="9"/>
      <c r="J394" s="24"/>
      <c r="K394" s="9"/>
      <c r="L394" s="24"/>
      <c r="M394" s="9"/>
      <c r="N394" s="24"/>
      <c r="O394" s="9"/>
      <c r="P394" s="24"/>
      <c r="Q394" s="9"/>
      <c r="R394" s="24"/>
      <c r="S394" s="9"/>
      <c r="T394" s="24"/>
      <c r="U394" s="9"/>
      <c r="V394" s="24"/>
      <c r="W394" s="9"/>
      <c r="X394" s="24"/>
      <c r="Y394" s="9"/>
      <c r="Z394" s="24"/>
      <c r="AA394" s="9"/>
      <c r="AB394" s="24"/>
      <c r="AC394" s="9"/>
      <c r="AD394" s="24"/>
      <c r="AE394" s="9"/>
      <c r="AF394" s="24"/>
      <c r="AG394" s="9"/>
      <c r="AH394" s="24"/>
      <c r="AI394" s="9"/>
      <c r="AJ394" s="24"/>
      <c r="AK394" s="9"/>
      <c r="AL394" s="24"/>
      <c r="AM394" s="9"/>
      <c r="AN394" s="24"/>
      <c r="AO394" s="9"/>
      <c r="AP394" s="24"/>
      <c r="AQ394" s="9"/>
      <c r="AR394" s="24"/>
      <c r="AS394" s="25"/>
      <c r="AT394" s="25"/>
      <c r="AU394" s="25"/>
      <c r="AV394" s="26"/>
      <c r="AW394" s="26"/>
      <c r="AX394" s="26"/>
      <c r="AY394" s="26"/>
      <c r="AZ394" s="26"/>
      <c r="BA394" s="26"/>
      <c r="BB394" s="26"/>
      <c r="BC394" s="26"/>
      <c r="BD394" s="27"/>
    </row>
    <row r="395" spans="1:56" ht="15" customHeight="1">
      <c r="A395" s="28"/>
      <c r="B395" s="28"/>
      <c r="C395" s="28"/>
      <c r="D395" s="28"/>
      <c r="E395" s="28"/>
      <c r="F395" s="29"/>
      <c r="G395" s="28"/>
      <c r="H395" s="29"/>
      <c r="I395" s="28"/>
      <c r="J395" s="29"/>
      <c r="K395" s="28"/>
      <c r="L395" s="29"/>
      <c r="M395" s="28"/>
      <c r="N395" s="29"/>
      <c r="O395" s="28"/>
      <c r="P395" s="29"/>
      <c r="Q395" s="28"/>
      <c r="R395" s="29"/>
      <c r="S395" s="28"/>
      <c r="T395" s="29"/>
      <c r="U395" s="28"/>
      <c r="V395" s="29"/>
      <c r="W395" s="28"/>
      <c r="X395" s="29"/>
      <c r="Y395" s="28"/>
      <c r="Z395" s="29"/>
      <c r="AA395" s="28"/>
      <c r="AB395" s="29"/>
      <c r="AC395" s="28"/>
      <c r="AD395" s="29"/>
      <c r="AE395" s="28"/>
      <c r="AF395" s="29"/>
      <c r="AG395" s="28"/>
      <c r="AH395" s="29"/>
      <c r="AI395" s="28"/>
      <c r="AJ395" s="29"/>
      <c r="AK395" s="28"/>
      <c r="AL395" s="29"/>
      <c r="AM395" s="28"/>
      <c r="AN395" s="29"/>
      <c r="AO395" s="28"/>
      <c r="AP395" s="29"/>
      <c r="AQ395" s="28"/>
      <c r="AR395" s="29"/>
      <c r="AS395" s="25"/>
      <c r="AT395" s="25"/>
      <c r="AU395" s="25"/>
      <c r="AV395" s="26"/>
      <c r="AW395" s="26"/>
      <c r="AX395" s="26"/>
      <c r="AY395" s="26"/>
      <c r="AZ395" s="26"/>
      <c r="BA395" s="26"/>
      <c r="BB395" s="26"/>
      <c r="BC395" s="26"/>
      <c r="BD395" s="27"/>
    </row>
    <row r="396" spans="1:56" ht="15" customHeight="1">
      <c r="A396" s="9"/>
      <c r="B396" s="9"/>
      <c r="C396" s="9"/>
      <c r="D396" s="9"/>
      <c r="E396" s="9"/>
      <c r="F396" s="24"/>
      <c r="G396" s="9"/>
      <c r="H396" s="24"/>
      <c r="I396" s="9"/>
      <c r="J396" s="24"/>
      <c r="K396" s="9"/>
      <c r="L396" s="24"/>
      <c r="M396" s="9"/>
      <c r="N396" s="24"/>
      <c r="O396" s="9"/>
      <c r="P396" s="24"/>
      <c r="Q396" s="9"/>
      <c r="R396" s="24"/>
      <c r="S396" s="9"/>
      <c r="T396" s="24"/>
      <c r="U396" s="9"/>
      <c r="V396" s="24"/>
      <c r="W396" s="9"/>
      <c r="X396" s="24"/>
      <c r="Y396" s="9"/>
      <c r="Z396" s="24"/>
      <c r="AA396" s="9"/>
      <c r="AB396" s="24"/>
      <c r="AC396" s="9"/>
      <c r="AD396" s="24"/>
      <c r="AE396" s="9"/>
      <c r="AF396" s="24"/>
      <c r="AG396" s="9"/>
      <c r="AH396" s="24"/>
      <c r="AI396" s="9"/>
      <c r="AJ396" s="24"/>
      <c r="AK396" s="9"/>
      <c r="AL396" s="24"/>
      <c r="AM396" s="9"/>
      <c r="AN396" s="24"/>
      <c r="AO396" s="9"/>
      <c r="AP396" s="24"/>
      <c r="AQ396" s="9"/>
      <c r="AR396" s="24"/>
      <c r="AS396" s="25"/>
      <c r="AT396" s="25"/>
      <c r="AU396" s="25"/>
      <c r="AV396" s="26"/>
      <c r="AW396" s="26"/>
      <c r="AX396" s="26"/>
      <c r="AY396" s="26"/>
      <c r="AZ396" s="26"/>
      <c r="BA396" s="26"/>
      <c r="BB396" s="26"/>
      <c r="BC396" s="26"/>
      <c r="BD396" s="27"/>
    </row>
    <row r="397" spans="1:56" ht="15" customHeight="1">
      <c r="A397" s="28"/>
      <c r="B397" s="28"/>
      <c r="C397" s="28"/>
      <c r="D397" s="28"/>
      <c r="E397" s="28"/>
      <c r="F397" s="29"/>
      <c r="G397" s="28"/>
      <c r="H397" s="29"/>
      <c r="I397" s="28"/>
      <c r="J397" s="29"/>
      <c r="K397" s="28"/>
      <c r="L397" s="29"/>
      <c r="M397" s="28"/>
      <c r="N397" s="29"/>
      <c r="O397" s="28"/>
      <c r="P397" s="29"/>
      <c r="Q397" s="28"/>
      <c r="R397" s="29"/>
      <c r="S397" s="28"/>
      <c r="T397" s="29"/>
      <c r="U397" s="28"/>
      <c r="V397" s="29"/>
      <c r="W397" s="28"/>
      <c r="X397" s="29"/>
      <c r="Y397" s="28"/>
      <c r="Z397" s="29"/>
      <c r="AA397" s="28"/>
      <c r="AB397" s="29"/>
      <c r="AC397" s="28"/>
      <c r="AD397" s="29"/>
      <c r="AE397" s="28"/>
      <c r="AF397" s="29"/>
      <c r="AG397" s="28"/>
      <c r="AH397" s="29"/>
      <c r="AI397" s="28"/>
      <c r="AJ397" s="29"/>
      <c r="AK397" s="28"/>
      <c r="AL397" s="29"/>
      <c r="AM397" s="28"/>
      <c r="AN397" s="29"/>
      <c r="AO397" s="28"/>
      <c r="AP397" s="29"/>
      <c r="AQ397" s="28"/>
      <c r="AR397" s="29"/>
      <c r="AS397" s="25"/>
      <c r="AT397" s="25"/>
      <c r="AU397" s="25"/>
      <c r="AV397" s="26"/>
      <c r="AW397" s="26"/>
      <c r="AX397" s="26"/>
      <c r="AY397" s="26"/>
      <c r="AZ397" s="26"/>
      <c r="BA397" s="26"/>
      <c r="BB397" s="26"/>
      <c r="BC397" s="26"/>
      <c r="BD397" s="27"/>
    </row>
    <row r="398" spans="1:56" ht="15" customHeight="1">
      <c r="A398" s="9"/>
      <c r="B398" s="9"/>
      <c r="C398" s="9"/>
      <c r="D398" s="9"/>
      <c r="E398" s="9"/>
      <c r="F398" s="24"/>
      <c r="G398" s="9"/>
      <c r="H398" s="24"/>
      <c r="I398" s="9"/>
      <c r="J398" s="24"/>
      <c r="K398" s="9"/>
      <c r="L398" s="24"/>
      <c r="M398" s="9"/>
      <c r="N398" s="24"/>
      <c r="O398" s="9"/>
      <c r="P398" s="24"/>
      <c r="Q398" s="9"/>
      <c r="R398" s="24"/>
      <c r="S398" s="9"/>
      <c r="T398" s="24"/>
      <c r="U398" s="9"/>
      <c r="V398" s="24"/>
      <c r="W398" s="9"/>
      <c r="X398" s="24"/>
      <c r="Y398" s="9"/>
      <c r="Z398" s="24"/>
      <c r="AA398" s="9"/>
      <c r="AB398" s="24"/>
      <c r="AC398" s="9"/>
      <c r="AD398" s="24"/>
      <c r="AE398" s="9"/>
      <c r="AF398" s="24"/>
      <c r="AG398" s="9"/>
      <c r="AH398" s="24"/>
      <c r="AI398" s="9"/>
      <c r="AJ398" s="24"/>
      <c r="AK398" s="9"/>
      <c r="AL398" s="24"/>
      <c r="AM398" s="9"/>
      <c r="AN398" s="24"/>
      <c r="AO398" s="9"/>
      <c r="AP398" s="24"/>
      <c r="AQ398" s="9"/>
      <c r="AR398" s="24"/>
      <c r="AS398" s="25"/>
      <c r="AT398" s="25"/>
      <c r="AU398" s="25"/>
      <c r="AV398" s="26"/>
      <c r="AW398" s="26"/>
      <c r="AX398" s="26"/>
      <c r="AY398" s="26"/>
      <c r="AZ398" s="26"/>
      <c r="BA398" s="26"/>
      <c r="BB398" s="26"/>
      <c r="BC398" s="26"/>
      <c r="BD398" s="27"/>
    </row>
    <row r="399" spans="1:56" ht="15" customHeight="1">
      <c r="A399" s="28"/>
      <c r="B399" s="28"/>
      <c r="C399" s="28"/>
      <c r="D399" s="28"/>
      <c r="E399" s="28"/>
      <c r="F399" s="29"/>
      <c r="G399" s="28"/>
      <c r="H399" s="29"/>
      <c r="I399" s="28"/>
      <c r="J399" s="29"/>
      <c r="K399" s="28"/>
      <c r="L399" s="29"/>
      <c r="M399" s="28"/>
      <c r="N399" s="29"/>
      <c r="O399" s="28"/>
      <c r="P399" s="29"/>
      <c r="Q399" s="28"/>
      <c r="R399" s="29"/>
      <c r="S399" s="28"/>
      <c r="T399" s="29"/>
      <c r="U399" s="28"/>
      <c r="V399" s="29"/>
      <c r="W399" s="28"/>
      <c r="X399" s="29"/>
      <c r="Y399" s="28"/>
      <c r="Z399" s="29"/>
      <c r="AA399" s="28"/>
      <c r="AB399" s="29"/>
      <c r="AC399" s="28"/>
      <c r="AD399" s="29"/>
      <c r="AE399" s="28"/>
      <c r="AF399" s="29"/>
      <c r="AG399" s="28"/>
      <c r="AH399" s="29"/>
      <c r="AI399" s="28"/>
      <c r="AJ399" s="29"/>
      <c r="AK399" s="28"/>
      <c r="AL399" s="29"/>
      <c r="AM399" s="28"/>
      <c r="AN399" s="29"/>
      <c r="AO399" s="28"/>
      <c r="AP399" s="29"/>
      <c r="AQ399" s="28"/>
      <c r="AR399" s="29"/>
      <c r="AS399" s="25"/>
      <c r="AT399" s="25"/>
      <c r="AU399" s="25"/>
      <c r="AV399" s="26"/>
      <c r="AW399" s="26"/>
      <c r="AX399" s="26"/>
      <c r="AY399" s="26"/>
      <c r="AZ399" s="26"/>
      <c r="BA399" s="26"/>
      <c r="BB399" s="26"/>
      <c r="BC399" s="26"/>
      <c r="BD399" s="27"/>
    </row>
    <row r="400" spans="1:56" ht="15" customHeight="1">
      <c r="A400" s="9"/>
      <c r="B400" s="9"/>
      <c r="C400" s="9"/>
      <c r="D400" s="9"/>
      <c r="E400" s="9"/>
      <c r="F400" s="24"/>
      <c r="G400" s="9"/>
      <c r="H400" s="24"/>
      <c r="I400" s="9"/>
      <c r="J400" s="24"/>
      <c r="K400" s="9"/>
      <c r="L400" s="24"/>
      <c r="M400" s="9"/>
      <c r="N400" s="24"/>
      <c r="O400" s="9"/>
      <c r="P400" s="24"/>
      <c r="Q400" s="9"/>
      <c r="R400" s="24"/>
      <c r="S400" s="9"/>
      <c r="T400" s="24"/>
      <c r="U400" s="9"/>
      <c r="V400" s="24"/>
      <c r="W400" s="9"/>
      <c r="X400" s="24"/>
      <c r="Y400" s="9"/>
      <c r="Z400" s="24"/>
      <c r="AA400" s="9"/>
      <c r="AB400" s="24"/>
      <c r="AC400" s="9"/>
      <c r="AD400" s="24"/>
      <c r="AE400" s="9"/>
      <c r="AF400" s="24"/>
      <c r="AG400" s="9"/>
      <c r="AH400" s="24"/>
      <c r="AI400" s="9"/>
      <c r="AJ400" s="24"/>
      <c r="AK400" s="9"/>
      <c r="AL400" s="24"/>
      <c r="AM400" s="9"/>
      <c r="AN400" s="24"/>
      <c r="AO400" s="9"/>
      <c r="AP400" s="24"/>
      <c r="AQ400" s="9"/>
      <c r="AR400" s="24"/>
      <c r="AS400" s="25"/>
      <c r="AT400" s="25"/>
      <c r="AU400" s="25"/>
      <c r="AV400" s="26"/>
      <c r="AW400" s="26"/>
      <c r="AX400" s="26"/>
      <c r="AY400" s="26"/>
      <c r="AZ400" s="26"/>
      <c r="BA400" s="26"/>
      <c r="BB400" s="26"/>
      <c r="BC400" s="26"/>
      <c r="BD400" s="27"/>
    </row>
    <row r="401" spans="1:56" ht="15" customHeight="1">
      <c r="A401" s="28"/>
      <c r="B401" s="28"/>
      <c r="C401" s="28"/>
      <c r="D401" s="28"/>
      <c r="E401" s="28"/>
      <c r="F401" s="29"/>
      <c r="G401" s="28"/>
      <c r="H401" s="29"/>
      <c r="I401" s="28"/>
      <c r="J401" s="29"/>
      <c r="K401" s="28"/>
      <c r="L401" s="29"/>
      <c r="M401" s="28"/>
      <c r="N401" s="29"/>
      <c r="O401" s="28"/>
      <c r="P401" s="29"/>
      <c r="Q401" s="28"/>
      <c r="R401" s="29"/>
      <c r="S401" s="28"/>
      <c r="T401" s="29"/>
      <c r="U401" s="28"/>
      <c r="V401" s="29"/>
      <c r="W401" s="28"/>
      <c r="X401" s="29"/>
      <c r="Y401" s="28"/>
      <c r="Z401" s="29"/>
      <c r="AA401" s="28"/>
      <c r="AB401" s="29"/>
      <c r="AC401" s="28"/>
      <c r="AD401" s="29"/>
      <c r="AE401" s="28"/>
      <c r="AF401" s="29"/>
      <c r="AG401" s="28"/>
      <c r="AH401" s="29"/>
      <c r="AI401" s="28"/>
      <c r="AJ401" s="29"/>
      <c r="AK401" s="28"/>
      <c r="AL401" s="29"/>
      <c r="AM401" s="28"/>
      <c r="AN401" s="29"/>
      <c r="AO401" s="28"/>
      <c r="AP401" s="29"/>
      <c r="AQ401" s="28"/>
      <c r="AR401" s="29"/>
      <c r="AS401" s="25"/>
      <c r="AT401" s="25"/>
      <c r="AU401" s="25"/>
      <c r="AV401" s="26"/>
      <c r="AW401" s="26"/>
      <c r="AX401" s="26"/>
      <c r="AY401" s="26"/>
      <c r="AZ401" s="26"/>
      <c r="BA401" s="26"/>
      <c r="BB401" s="26"/>
      <c r="BC401" s="26"/>
      <c r="BD401" s="27"/>
    </row>
    <row r="402" spans="1:56" ht="15" customHeight="1">
      <c r="A402" s="9"/>
      <c r="B402" s="9"/>
      <c r="C402" s="9"/>
      <c r="D402" s="9"/>
      <c r="E402" s="9"/>
      <c r="F402" s="24"/>
      <c r="G402" s="9"/>
      <c r="H402" s="24"/>
      <c r="I402" s="9"/>
      <c r="J402" s="24"/>
      <c r="K402" s="9"/>
      <c r="L402" s="24"/>
      <c r="M402" s="9"/>
      <c r="N402" s="24"/>
      <c r="O402" s="9"/>
      <c r="P402" s="24"/>
      <c r="Q402" s="9"/>
      <c r="R402" s="24"/>
      <c r="S402" s="9"/>
      <c r="T402" s="24"/>
      <c r="U402" s="9"/>
      <c r="V402" s="24"/>
      <c r="W402" s="9"/>
      <c r="X402" s="24"/>
      <c r="Y402" s="9"/>
      <c r="Z402" s="24"/>
      <c r="AA402" s="9"/>
      <c r="AB402" s="24"/>
      <c r="AC402" s="9"/>
      <c r="AD402" s="24"/>
      <c r="AE402" s="9"/>
      <c r="AF402" s="24"/>
      <c r="AG402" s="9"/>
      <c r="AH402" s="24"/>
      <c r="AI402" s="9"/>
      <c r="AJ402" s="24"/>
      <c r="AK402" s="9"/>
      <c r="AL402" s="24"/>
      <c r="AM402" s="9"/>
      <c r="AN402" s="24"/>
      <c r="AO402" s="9"/>
      <c r="AP402" s="24"/>
      <c r="AQ402" s="9"/>
      <c r="AR402" s="24"/>
      <c r="AS402" s="25"/>
      <c r="AT402" s="25"/>
      <c r="AU402" s="25"/>
      <c r="AV402" s="26"/>
      <c r="AW402" s="26"/>
      <c r="AX402" s="26"/>
      <c r="AY402" s="26"/>
      <c r="AZ402" s="26"/>
      <c r="BA402" s="26"/>
      <c r="BB402" s="26"/>
      <c r="BC402" s="26"/>
      <c r="BD402" s="27"/>
    </row>
    <row r="403" spans="1:56" ht="15" customHeight="1">
      <c r="A403" s="28"/>
      <c r="B403" s="28"/>
      <c r="C403" s="28"/>
      <c r="D403" s="28"/>
      <c r="E403" s="28"/>
      <c r="F403" s="29"/>
      <c r="G403" s="28"/>
      <c r="H403" s="29"/>
      <c r="I403" s="28"/>
      <c r="J403" s="29"/>
      <c r="K403" s="28"/>
      <c r="L403" s="29"/>
      <c r="M403" s="28"/>
      <c r="N403" s="29"/>
      <c r="O403" s="28"/>
      <c r="P403" s="29"/>
      <c r="Q403" s="28"/>
      <c r="R403" s="29"/>
      <c r="S403" s="28"/>
      <c r="T403" s="29"/>
      <c r="U403" s="28"/>
      <c r="V403" s="29"/>
      <c r="W403" s="28"/>
      <c r="X403" s="29"/>
      <c r="Y403" s="28"/>
      <c r="Z403" s="29"/>
      <c r="AA403" s="28"/>
      <c r="AB403" s="29"/>
      <c r="AC403" s="28"/>
      <c r="AD403" s="29"/>
      <c r="AE403" s="28"/>
      <c r="AF403" s="29"/>
      <c r="AG403" s="28"/>
      <c r="AH403" s="29"/>
      <c r="AI403" s="28"/>
      <c r="AJ403" s="29"/>
      <c r="AK403" s="28"/>
      <c r="AL403" s="29"/>
      <c r="AM403" s="28"/>
      <c r="AN403" s="29"/>
      <c r="AO403" s="28"/>
      <c r="AP403" s="29"/>
      <c r="AQ403" s="28"/>
      <c r="AR403" s="29"/>
      <c r="AS403" s="25"/>
      <c r="AT403" s="25"/>
      <c r="AU403" s="25"/>
      <c r="AV403" s="26"/>
      <c r="AW403" s="26"/>
      <c r="AX403" s="26"/>
      <c r="AY403" s="26"/>
      <c r="AZ403" s="26"/>
      <c r="BA403" s="26"/>
      <c r="BB403" s="26"/>
      <c r="BC403" s="26"/>
      <c r="BD403" s="27"/>
    </row>
    <row r="404" spans="1:56" ht="15" customHeight="1">
      <c r="A404" s="9"/>
      <c r="B404" s="9"/>
      <c r="C404" s="9"/>
      <c r="D404" s="9"/>
      <c r="E404" s="9"/>
      <c r="F404" s="24"/>
      <c r="G404" s="9"/>
      <c r="H404" s="24"/>
      <c r="I404" s="9"/>
      <c r="J404" s="24"/>
      <c r="K404" s="9"/>
      <c r="L404" s="24"/>
      <c r="M404" s="9"/>
      <c r="N404" s="24"/>
      <c r="O404" s="9"/>
      <c r="P404" s="24"/>
      <c r="Q404" s="9"/>
      <c r="R404" s="24"/>
      <c r="S404" s="9"/>
      <c r="T404" s="24"/>
      <c r="U404" s="9"/>
      <c r="V404" s="24"/>
      <c r="W404" s="9"/>
      <c r="X404" s="24"/>
      <c r="Y404" s="9"/>
      <c r="Z404" s="24"/>
      <c r="AA404" s="9"/>
      <c r="AB404" s="24"/>
      <c r="AC404" s="9"/>
      <c r="AD404" s="24"/>
      <c r="AE404" s="9"/>
      <c r="AF404" s="24"/>
      <c r="AG404" s="9"/>
      <c r="AH404" s="24"/>
      <c r="AI404" s="9"/>
      <c r="AJ404" s="24"/>
      <c r="AK404" s="9"/>
      <c r="AL404" s="24"/>
      <c r="AM404" s="9"/>
      <c r="AN404" s="24"/>
      <c r="AO404" s="9"/>
      <c r="AP404" s="24"/>
      <c r="AQ404" s="9"/>
      <c r="AR404" s="24"/>
      <c r="AS404" s="25"/>
      <c r="AT404" s="25"/>
      <c r="AU404" s="25"/>
      <c r="AV404" s="26"/>
      <c r="AW404" s="26"/>
      <c r="AX404" s="26"/>
      <c r="AY404" s="26"/>
      <c r="AZ404" s="26"/>
      <c r="BA404" s="26"/>
      <c r="BB404" s="26"/>
      <c r="BC404" s="26"/>
      <c r="BD404" s="27"/>
    </row>
    <row r="405" spans="1:56" ht="15" customHeight="1">
      <c r="A405" s="28"/>
      <c r="B405" s="28"/>
      <c r="C405" s="28"/>
      <c r="D405" s="28"/>
      <c r="E405" s="28"/>
      <c r="F405" s="29"/>
      <c r="G405" s="28"/>
      <c r="H405" s="29"/>
      <c r="I405" s="28"/>
      <c r="J405" s="29"/>
      <c r="K405" s="28"/>
      <c r="L405" s="29"/>
      <c r="M405" s="28"/>
      <c r="N405" s="29"/>
      <c r="O405" s="28"/>
      <c r="P405" s="29"/>
      <c r="Q405" s="28"/>
      <c r="R405" s="29"/>
      <c r="S405" s="28"/>
      <c r="T405" s="29"/>
      <c r="U405" s="28"/>
      <c r="V405" s="29"/>
      <c r="W405" s="28"/>
      <c r="X405" s="29"/>
      <c r="Y405" s="28"/>
      <c r="Z405" s="29"/>
      <c r="AA405" s="28"/>
      <c r="AB405" s="29"/>
      <c r="AC405" s="28"/>
      <c r="AD405" s="29"/>
      <c r="AE405" s="28"/>
      <c r="AF405" s="29"/>
      <c r="AG405" s="28"/>
      <c r="AH405" s="29"/>
      <c r="AI405" s="28"/>
      <c r="AJ405" s="29"/>
      <c r="AK405" s="28"/>
      <c r="AL405" s="29"/>
      <c r="AM405" s="28"/>
      <c r="AN405" s="29"/>
      <c r="AO405" s="28"/>
      <c r="AP405" s="29"/>
      <c r="AQ405" s="28"/>
      <c r="AR405" s="29"/>
      <c r="AS405" s="25"/>
      <c r="AT405" s="25"/>
      <c r="AU405" s="25"/>
      <c r="AV405" s="26"/>
      <c r="AW405" s="26"/>
      <c r="AX405" s="26"/>
      <c r="AY405" s="26"/>
      <c r="AZ405" s="26"/>
      <c r="BA405" s="26"/>
      <c r="BB405" s="26"/>
      <c r="BC405" s="26"/>
      <c r="BD405" s="27"/>
    </row>
    <row r="406" spans="1:56" ht="15" customHeight="1">
      <c r="A406" s="9"/>
      <c r="B406" s="9"/>
      <c r="C406" s="9"/>
      <c r="D406" s="9"/>
      <c r="E406" s="9"/>
      <c r="F406" s="24"/>
      <c r="G406" s="9"/>
      <c r="H406" s="24"/>
      <c r="I406" s="9"/>
      <c r="J406" s="24"/>
      <c r="K406" s="9"/>
      <c r="L406" s="24"/>
      <c r="M406" s="9"/>
      <c r="N406" s="24"/>
      <c r="O406" s="9"/>
      <c r="P406" s="24"/>
      <c r="Q406" s="9"/>
      <c r="R406" s="24"/>
      <c r="S406" s="9"/>
      <c r="T406" s="24"/>
      <c r="U406" s="9"/>
      <c r="V406" s="24"/>
      <c r="W406" s="9"/>
      <c r="X406" s="24"/>
      <c r="Y406" s="9"/>
      <c r="Z406" s="24"/>
      <c r="AA406" s="9"/>
      <c r="AB406" s="24"/>
      <c r="AC406" s="9"/>
      <c r="AD406" s="24"/>
      <c r="AE406" s="9"/>
      <c r="AF406" s="24"/>
      <c r="AG406" s="9"/>
      <c r="AH406" s="24"/>
      <c r="AI406" s="9"/>
      <c r="AJ406" s="24"/>
      <c r="AK406" s="9"/>
      <c r="AL406" s="24"/>
      <c r="AM406" s="9"/>
      <c r="AN406" s="24"/>
      <c r="AO406" s="9"/>
      <c r="AP406" s="24"/>
      <c r="AQ406" s="9"/>
      <c r="AR406" s="24"/>
      <c r="AS406" s="25"/>
      <c r="AT406" s="25"/>
      <c r="AU406" s="25"/>
      <c r="AV406" s="26"/>
      <c r="AW406" s="26"/>
      <c r="AX406" s="26"/>
      <c r="AY406" s="26"/>
      <c r="AZ406" s="26"/>
      <c r="BA406" s="26"/>
      <c r="BB406" s="26"/>
      <c r="BC406" s="26"/>
      <c r="BD406" s="27"/>
    </row>
    <row r="407" spans="1:56" ht="15" customHeight="1">
      <c r="A407" s="28"/>
      <c r="B407" s="28"/>
      <c r="C407" s="28"/>
      <c r="D407" s="28"/>
      <c r="E407" s="28"/>
      <c r="F407" s="29"/>
      <c r="G407" s="28"/>
      <c r="H407" s="29"/>
      <c r="I407" s="28"/>
      <c r="J407" s="29"/>
      <c r="K407" s="28"/>
      <c r="L407" s="29"/>
      <c r="M407" s="28"/>
      <c r="N407" s="29"/>
      <c r="O407" s="28"/>
      <c r="P407" s="29"/>
      <c r="Q407" s="28"/>
      <c r="R407" s="29"/>
      <c r="S407" s="28"/>
      <c r="T407" s="29"/>
      <c r="U407" s="28"/>
      <c r="V407" s="29"/>
      <c r="W407" s="28"/>
      <c r="X407" s="29"/>
      <c r="Y407" s="28"/>
      <c r="Z407" s="29"/>
      <c r="AA407" s="28"/>
      <c r="AB407" s="29"/>
      <c r="AC407" s="28"/>
      <c r="AD407" s="29"/>
      <c r="AE407" s="28"/>
      <c r="AF407" s="29"/>
      <c r="AG407" s="28"/>
      <c r="AH407" s="29"/>
      <c r="AI407" s="28"/>
      <c r="AJ407" s="29"/>
      <c r="AK407" s="28"/>
      <c r="AL407" s="29"/>
      <c r="AM407" s="28"/>
      <c r="AN407" s="29"/>
      <c r="AO407" s="28"/>
      <c r="AP407" s="29"/>
      <c r="AQ407" s="28"/>
      <c r="AR407" s="29"/>
      <c r="AS407" s="25"/>
      <c r="AT407" s="25"/>
      <c r="AU407" s="25"/>
      <c r="AV407" s="26"/>
      <c r="AW407" s="26"/>
      <c r="AX407" s="26"/>
      <c r="AY407" s="26"/>
      <c r="AZ407" s="26"/>
      <c r="BA407" s="26"/>
      <c r="BB407" s="26"/>
      <c r="BC407" s="26"/>
      <c r="BD407" s="27"/>
    </row>
    <row r="408" spans="1:56" ht="15" customHeight="1">
      <c r="A408" s="9"/>
      <c r="B408" s="9"/>
      <c r="C408" s="9"/>
      <c r="D408" s="9"/>
      <c r="E408" s="9"/>
      <c r="F408" s="24"/>
      <c r="G408" s="9"/>
      <c r="H408" s="24"/>
      <c r="I408" s="9"/>
      <c r="J408" s="24"/>
      <c r="K408" s="9"/>
      <c r="L408" s="24"/>
      <c r="M408" s="9"/>
      <c r="N408" s="24"/>
      <c r="O408" s="9"/>
      <c r="P408" s="24"/>
      <c r="Q408" s="9"/>
      <c r="R408" s="24"/>
      <c r="S408" s="9"/>
      <c r="T408" s="24"/>
      <c r="U408" s="9"/>
      <c r="V408" s="24"/>
      <c r="W408" s="9"/>
      <c r="X408" s="24"/>
      <c r="Y408" s="9"/>
      <c r="Z408" s="24"/>
      <c r="AA408" s="9"/>
      <c r="AB408" s="24"/>
      <c r="AC408" s="9"/>
      <c r="AD408" s="24"/>
      <c r="AE408" s="9"/>
      <c r="AF408" s="24"/>
      <c r="AG408" s="9"/>
      <c r="AH408" s="24"/>
      <c r="AI408" s="9"/>
      <c r="AJ408" s="24"/>
      <c r="AK408" s="9"/>
      <c r="AL408" s="24"/>
      <c r="AM408" s="9"/>
      <c r="AN408" s="24"/>
      <c r="AO408" s="9"/>
      <c r="AP408" s="24"/>
      <c r="AQ408" s="9"/>
      <c r="AR408" s="24"/>
      <c r="AS408" s="25"/>
      <c r="AT408" s="25"/>
      <c r="AU408" s="25"/>
      <c r="AV408" s="26"/>
      <c r="AW408" s="26"/>
      <c r="AX408" s="26"/>
      <c r="AY408" s="26"/>
      <c r="AZ408" s="26"/>
      <c r="BA408" s="26"/>
      <c r="BB408" s="26"/>
      <c r="BC408" s="26"/>
      <c r="BD408" s="27"/>
    </row>
    <row r="409" spans="1:56" ht="15" customHeight="1">
      <c r="A409" s="28"/>
      <c r="B409" s="28"/>
      <c r="C409" s="28"/>
      <c r="D409" s="28"/>
      <c r="E409" s="28"/>
      <c r="F409" s="29"/>
      <c r="G409" s="28"/>
      <c r="H409" s="29"/>
      <c r="I409" s="28"/>
      <c r="J409" s="29"/>
      <c r="K409" s="28"/>
      <c r="L409" s="29"/>
      <c r="M409" s="28"/>
      <c r="N409" s="29"/>
      <c r="O409" s="28"/>
      <c r="P409" s="29"/>
      <c r="Q409" s="28"/>
      <c r="R409" s="29"/>
      <c r="S409" s="28"/>
      <c r="T409" s="29"/>
      <c r="U409" s="28"/>
      <c r="V409" s="29"/>
      <c r="W409" s="28"/>
      <c r="X409" s="29"/>
      <c r="Y409" s="28"/>
      <c r="Z409" s="29"/>
      <c r="AA409" s="28"/>
      <c r="AB409" s="29"/>
      <c r="AC409" s="28"/>
      <c r="AD409" s="29"/>
      <c r="AE409" s="28"/>
      <c r="AF409" s="29"/>
      <c r="AG409" s="28"/>
      <c r="AH409" s="29"/>
      <c r="AI409" s="28"/>
      <c r="AJ409" s="29"/>
      <c r="AK409" s="28"/>
      <c r="AL409" s="29"/>
      <c r="AM409" s="28"/>
      <c r="AN409" s="29"/>
      <c r="AO409" s="28"/>
      <c r="AP409" s="29"/>
      <c r="AQ409" s="28"/>
      <c r="AR409" s="29"/>
      <c r="AS409" s="25"/>
      <c r="AT409" s="25"/>
      <c r="AU409" s="25"/>
      <c r="AV409" s="26"/>
      <c r="AW409" s="26"/>
      <c r="AX409" s="26"/>
      <c r="AY409" s="26"/>
      <c r="AZ409" s="26"/>
      <c r="BA409" s="26"/>
      <c r="BB409" s="26"/>
      <c r="BC409" s="26"/>
      <c r="BD409" s="27"/>
    </row>
    <row r="410" spans="1:56" ht="15" customHeight="1">
      <c r="A410" s="9"/>
      <c r="B410" s="9"/>
      <c r="C410" s="9"/>
      <c r="D410" s="9"/>
      <c r="E410" s="9"/>
      <c r="F410" s="24"/>
      <c r="G410" s="9"/>
      <c r="H410" s="24"/>
      <c r="I410" s="9"/>
      <c r="J410" s="24"/>
      <c r="K410" s="9"/>
      <c r="L410" s="24"/>
      <c r="M410" s="9"/>
      <c r="N410" s="24"/>
      <c r="O410" s="9"/>
      <c r="P410" s="24"/>
      <c r="Q410" s="9"/>
      <c r="R410" s="24"/>
      <c r="S410" s="9"/>
      <c r="T410" s="24"/>
      <c r="U410" s="9"/>
      <c r="V410" s="24"/>
      <c r="W410" s="9"/>
      <c r="X410" s="24"/>
      <c r="Y410" s="9"/>
      <c r="Z410" s="24"/>
      <c r="AA410" s="9"/>
      <c r="AB410" s="24"/>
      <c r="AC410" s="9"/>
      <c r="AD410" s="24"/>
      <c r="AE410" s="9"/>
      <c r="AF410" s="24"/>
      <c r="AG410" s="9"/>
      <c r="AH410" s="24"/>
      <c r="AI410" s="9"/>
      <c r="AJ410" s="24"/>
      <c r="AK410" s="9"/>
      <c r="AL410" s="24"/>
      <c r="AM410" s="9"/>
      <c r="AN410" s="24"/>
      <c r="AO410" s="9"/>
      <c r="AP410" s="24"/>
      <c r="AQ410" s="9"/>
      <c r="AR410" s="24"/>
      <c r="AS410" s="25"/>
      <c r="AT410" s="25"/>
      <c r="AU410" s="25"/>
      <c r="AV410" s="26"/>
      <c r="AW410" s="26"/>
      <c r="AX410" s="26"/>
      <c r="AY410" s="26"/>
      <c r="AZ410" s="26"/>
      <c r="BA410" s="26"/>
      <c r="BB410" s="26"/>
      <c r="BC410" s="26"/>
      <c r="BD410" s="27"/>
    </row>
    <row r="411" spans="1:56" ht="15" customHeight="1">
      <c r="A411" s="28"/>
      <c r="B411" s="28"/>
      <c r="C411" s="28"/>
      <c r="D411" s="28"/>
      <c r="E411" s="28"/>
      <c r="F411" s="29"/>
      <c r="G411" s="28"/>
      <c r="H411" s="29"/>
      <c r="I411" s="28"/>
      <c r="J411" s="29"/>
      <c r="K411" s="28"/>
      <c r="L411" s="29"/>
      <c r="M411" s="28"/>
      <c r="N411" s="29"/>
      <c r="O411" s="28"/>
      <c r="P411" s="29"/>
      <c r="Q411" s="28"/>
      <c r="R411" s="29"/>
      <c r="S411" s="28"/>
      <c r="T411" s="29"/>
      <c r="U411" s="28"/>
      <c r="V411" s="29"/>
      <c r="W411" s="28"/>
      <c r="X411" s="29"/>
      <c r="Y411" s="28"/>
      <c r="Z411" s="29"/>
      <c r="AA411" s="28"/>
      <c r="AB411" s="29"/>
      <c r="AC411" s="28"/>
      <c r="AD411" s="29"/>
      <c r="AE411" s="28"/>
      <c r="AF411" s="29"/>
      <c r="AG411" s="28"/>
      <c r="AH411" s="29"/>
      <c r="AI411" s="28"/>
      <c r="AJ411" s="29"/>
      <c r="AK411" s="28"/>
      <c r="AL411" s="29"/>
      <c r="AM411" s="28"/>
      <c r="AN411" s="29"/>
      <c r="AO411" s="28"/>
      <c r="AP411" s="29"/>
      <c r="AQ411" s="28"/>
      <c r="AR411" s="29"/>
      <c r="AS411" s="25"/>
      <c r="AT411" s="25"/>
      <c r="AU411" s="25"/>
      <c r="AV411" s="26"/>
      <c r="AW411" s="26"/>
      <c r="AX411" s="26"/>
      <c r="AY411" s="26"/>
      <c r="AZ411" s="26"/>
      <c r="BA411" s="26"/>
      <c r="BB411" s="26"/>
      <c r="BC411" s="26"/>
      <c r="BD411" s="27"/>
    </row>
    <row r="412" spans="1:56" ht="15" customHeight="1">
      <c r="A412" s="9"/>
      <c r="B412" s="9"/>
      <c r="C412" s="9"/>
      <c r="D412" s="9"/>
      <c r="E412" s="9"/>
      <c r="F412" s="24"/>
      <c r="G412" s="9"/>
      <c r="H412" s="24"/>
      <c r="I412" s="9"/>
      <c r="J412" s="24"/>
      <c r="K412" s="9"/>
      <c r="L412" s="24"/>
      <c r="M412" s="9"/>
      <c r="N412" s="24"/>
      <c r="O412" s="9"/>
      <c r="P412" s="24"/>
      <c r="Q412" s="9"/>
      <c r="R412" s="24"/>
      <c r="S412" s="9"/>
      <c r="T412" s="24"/>
      <c r="U412" s="9"/>
      <c r="V412" s="24"/>
      <c r="W412" s="9"/>
      <c r="X412" s="24"/>
      <c r="Y412" s="9"/>
      <c r="Z412" s="24"/>
      <c r="AA412" s="9"/>
      <c r="AB412" s="24"/>
      <c r="AC412" s="9"/>
      <c r="AD412" s="24"/>
      <c r="AE412" s="9"/>
      <c r="AF412" s="24"/>
      <c r="AG412" s="9"/>
      <c r="AH412" s="24"/>
      <c r="AI412" s="9"/>
      <c r="AJ412" s="24"/>
      <c r="AK412" s="9"/>
      <c r="AL412" s="24"/>
      <c r="AM412" s="9"/>
      <c r="AN412" s="24"/>
      <c r="AO412" s="9"/>
      <c r="AP412" s="24"/>
      <c r="AQ412" s="9"/>
      <c r="AR412" s="24"/>
      <c r="AS412" s="25"/>
      <c r="AT412" s="25"/>
      <c r="AU412" s="25"/>
      <c r="AV412" s="26"/>
      <c r="AW412" s="26"/>
      <c r="AX412" s="26"/>
      <c r="AY412" s="26"/>
      <c r="AZ412" s="26"/>
      <c r="BA412" s="26"/>
      <c r="BB412" s="26"/>
      <c r="BC412" s="26"/>
      <c r="BD412" s="27"/>
    </row>
    <row r="413" spans="1:56" ht="15" customHeight="1">
      <c r="A413" s="28"/>
      <c r="B413" s="28"/>
      <c r="C413" s="28"/>
      <c r="D413" s="28"/>
      <c r="E413" s="28"/>
      <c r="F413" s="29"/>
      <c r="G413" s="28"/>
      <c r="H413" s="29"/>
      <c r="I413" s="28"/>
      <c r="J413" s="29"/>
      <c r="K413" s="28"/>
      <c r="L413" s="29"/>
      <c r="M413" s="28"/>
      <c r="N413" s="29"/>
      <c r="O413" s="28"/>
      <c r="P413" s="29"/>
      <c r="Q413" s="28"/>
      <c r="R413" s="29"/>
      <c r="S413" s="28"/>
      <c r="T413" s="29"/>
      <c r="U413" s="28"/>
      <c r="V413" s="29"/>
      <c r="W413" s="28"/>
      <c r="X413" s="29"/>
      <c r="Y413" s="28"/>
      <c r="Z413" s="29"/>
      <c r="AA413" s="28"/>
      <c r="AB413" s="29"/>
      <c r="AC413" s="28"/>
      <c r="AD413" s="29"/>
      <c r="AE413" s="28"/>
      <c r="AF413" s="29"/>
      <c r="AG413" s="28"/>
      <c r="AH413" s="29"/>
      <c r="AI413" s="28"/>
      <c r="AJ413" s="29"/>
      <c r="AK413" s="28"/>
      <c r="AL413" s="29"/>
      <c r="AM413" s="28"/>
      <c r="AN413" s="29"/>
      <c r="AO413" s="28"/>
      <c r="AP413" s="29"/>
      <c r="AQ413" s="28"/>
      <c r="AR413" s="29"/>
      <c r="AS413" s="25"/>
      <c r="AT413" s="25"/>
      <c r="AU413" s="25"/>
      <c r="AV413" s="26"/>
      <c r="AW413" s="26"/>
      <c r="AX413" s="26"/>
      <c r="AY413" s="26"/>
      <c r="AZ413" s="26"/>
      <c r="BA413" s="26"/>
      <c r="BB413" s="26"/>
      <c r="BC413" s="26"/>
      <c r="BD413" s="27"/>
    </row>
    <row r="414" spans="1:56" ht="15" customHeight="1">
      <c r="A414" s="9"/>
      <c r="B414" s="9"/>
      <c r="C414" s="9"/>
      <c r="D414" s="9"/>
      <c r="E414" s="9"/>
      <c r="F414" s="24"/>
      <c r="G414" s="9"/>
      <c r="H414" s="24"/>
      <c r="I414" s="9"/>
      <c r="J414" s="24"/>
      <c r="K414" s="9"/>
      <c r="L414" s="24"/>
      <c r="M414" s="9"/>
      <c r="N414" s="24"/>
      <c r="O414" s="9"/>
      <c r="P414" s="24"/>
      <c r="Q414" s="9"/>
      <c r="R414" s="24"/>
      <c r="S414" s="9"/>
      <c r="T414" s="24"/>
      <c r="U414" s="9"/>
      <c r="V414" s="24"/>
      <c r="W414" s="9"/>
      <c r="X414" s="24"/>
      <c r="Y414" s="9"/>
      <c r="Z414" s="24"/>
      <c r="AA414" s="9"/>
      <c r="AB414" s="24"/>
      <c r="AC414" s="9"/>
      <c r="AD414" s="24"/>
      <c r="AE414" s="9"/>
      <c r="AF414" s="24"/>
      <c r="AG414" s="9"/>
      <c r="AH414" s="24"/>
      <c r="AI414" s="9"/>
      <c r="AJ414" s="24"/>
      <c r="AK414" s="9"/>
      <c r="AL414" s="24"/>
      <c r="AM414" s="9"/>
      <c r="AN414" s="24"/>
      <c r="AO414" s="9"/>
      <c r="AP414" s="24"/>
      <c r="AQ414" s="9"/>
      <c r="AR414" s="24"/>
      <c r="AS414" s="25"/>
      <c r="AT414" s="25"/>
      <c r="AU414" s="25"/>
      <c r="AV414" s="26"/>
      <c r="AW414" s="26"/>
      <c r="AX414" s="26"/>
      <c r="AY414" s="26"/>
      <c r="AZ414" s="26"/>
      <c r="BA414" s="26"/>
      <c r="BB414" s="26"/>
      <c r="BC414" s="26"/>
      <c r="BD414" s="27"/>
    </row>
    <row r="415" spans="1:56" ht="15" customHeight="1">
      <c r="A415" s="28"/>
      <c r="B415" s="28"/>
      <c r="C415" s="28"/>
      <c r="D415" s="28"/>
      <c r="E415" s="28"/>
      <c r="F415" s="29"/>
      <c r="G415" s="28"/>
      <c r="H415" s="29"/>
      <c r="I415" s="28"/>
      <c r="J415" s="29"/>
      <c r="K415" s="28"/>
      <c r="L415" s="29"/>
      <c r="M415" s="28"/>
      <c r="N415" s="29"/>
      <c r="O415" s="28"/>
      <c r="P415" s="29"/>
      <c r="Q415" s="28"/>
      <c r="R415" s="29"/>
      <c r="S415" s="28"/>
      <c r="T415" s="29"/>
      <c r="U415" s="28"/>
      <c r="V415" s="29"/>
      <c r="W415" s="28"/>
      <c r="X415" s="29"/>
      <c r="Y415" s="28"/>
      <c r="Z415" s="29"/>
      <c r="AA415" s="28"/>
      <c r="AB415" s="29"/>
      <c r="AC415" s="28"/>
      <c r="AD415" s="29"/>
      <c r="AE415" s="28"/>
      <c r="AF415" s="29"/>
      <c r="AG415" s="28"/>
      <c r="AH415" s="29"/>
      <c r="AI415" s="28"/>
      <c r="AJ415" s="29"/>
      <c r="AK415" s="28"/>
      <c r="AL415" s="29"/>
      <c r="AM415" s="28"/>
      <c r="AN415" s="29"/>
      <c r="AO415" s="28"/>
      <c r="AP415" s="29"/>
      <c r="AQ415" s="28"/>
      <c r="AR415" s="29"/>
      <c r="AS415" s="25"/>
      <c r="AT415" s="25"/>
      <c r="AU415" s="25"/>
      <c r="AV415" s="26"/>
      <c r="AW415" s="26"/>
      <c r="AX415" s="26"/>
      <c r="AY415" s="26"/>
      <c r="AZ415" s="26"/>
      <c r="BA415" s="26"/>
      <c r="BB415" s="26"/>
      <c r="BC415" s="26"/>
      <c r="BD415" s="27"/>
    </row>
    <row r="416" spans="1:56" ht="15" customHeight="1">
      <c r="A416" s="9"/>
      <c r="B416" s="9"/>
      <c r="C416" s="9"/>
      <c r="D416" s="9"/>
      <c r="E416" s="9"/>
      <c r="F416" s="24"/>
      <c r="G416" s="9"/>
      <c r="H416" s="24"/>
      <c r="I416" s="9"/>
      <c r="J416" s="24"/>
      <c r="K416" s="9"/>
      <c r="L416" s="24"/>
      <c r="M416" s="9"/>
      <c r="N416" s="24"/>
      <c r="O416" s="9"/>
      <c r="P416" s="24"/>
      <c r="Q416" s="9"/>
      <c r="R416" s="24"/>
      <c r="S416" s="9"/>
      <c r="T416" s="24"/>
      <c r="U416" s="9"/>
      <c r="V416" s="24"/>
      <c r="W416" s="9"/>
      <c r="X416" s="24"/>
      <c r="Y416" s="9"/>
      <c r="Z416" s="24"/>
      <c r="AA416" s="9"/>
      <c r="AB416" s="24"/>
      <c r="AC416" s="9"/>
      <c r="AD416" s="24"/>
      <c r="AE416" s="9"/>
      <c r="AF416" s="24"/>
      <c r="AG416" s="9"/>
      <c r="AH416" s="24"/>
      <c r="AI416" s="9"/>
      <c r="AJ416" s="24"/>
      <c r="AK416" s="9"/>
      <c r="AL416" s="24"/>
      <c r="AM416" s="9"/>
      <c r="AN416" s="24"/>
      <c r="AO416" s="9"/>
      <c r="AP416" s="24"/>
      <c r="AQ416" s="9"/>
      <c r="AR416" s="24"/>
      <c r="AS416" s="25"/>
      <c r="AT416" s="25"/>
      <c r="AU416" s="25"/>
      <c r="AV416" s="26"/>
      <c r="AW416" s="26"/>
      <c r="AX416" s="26"/>
      <c r="AY416" s="26"/>
      <c r="AZ416" s="26"/>
      <c r="BA416" s="26"/>
      <c r="BB416" s="26"/>
      <c r="BC416" s="26"/>
      <c r="BD416" s="27"/>
    </row>
    <row r="417" spans="1:56" ht="15" customHeight="1">
      <c r="A417" s="28"/>
      <c r="B417" s="28"/>
      <c r="C417" s="28"/>
      <c r="D417" s="28"/>
      <c r="E417" s="28"/>
      <c r="F417" s="29"/>
      <c r="G417" s="28"/>
      <c r="H417" s="29"/>
      <c r="I417" s="28"/>
      <c r="J417" s="29"/>
      <c r="K417" s="28"/>
      <c r="L417" s="29"/>
      <c r="M417" s="28"/>
      <c r="N417" s="29"/>
      <c r="O417" s="28"/>
      <c r="P417" s="29"/>
      <c r="Q417" s="28"/>
      <c r="R417" s="29"/>
      <c r="S417" s="28"/>
      <c r="T417" s="29"/>
      <c r="U417" s="28"/>
      <c r="V417" s="29"/>
      <c r="W417" s="28"/>
      <c r="X417" s="29"/>
      <c r="Y417" s="28"/>
      <c r="Z417" s="29"/>
      <c r="AA417" s="28"/>
      <c r="AB417" s="29"/>
      <c r="AC417" s="28"/>
      <c r="AD417" s="29"/>
      <c r="AE417" s="28"/>
      <c r="AF417" s="29"/>
      <c r="AG417" s="28"/>
      <c r="AH417" s="29"/>
      <c r="AI417" s="28"/>
      <c r="AJ417" s="29"/>
      <c r="AK417" s="28"/>
      <c r="AL417" s="29"/>
      <c r="AM417" s="28"/>
      <c r="AN417" s="29"/>
      <c r="AO417" s="28"/>
      <c r="AP417" s="29"/>
      <c r="AQ417" s="28"/>
      <c r="AR417" s="29"/>
      <c r="AS417" s="25"/>
      <c r="AT417" s="25"/>
      <c r="AU417" s="25"/>
      <c r="AV417" s="26"/>
      <c r="AW417" s="26"/>
      <c r="AX417" s="26"/>
      <c r="AY417" s="26"/>
      <c r="AZ417" s="26"/>
      <c r="BA417" s="26"/>
      <c r="BB417" s="26"/>
      <c r="BC417" s="26"/>
      <c r="BD417" s="27"/>
    </row>
    <row r="418" spans="1:56" ht="15" customHeight="1">
      <c r="A418" s="9"/>
      <c r="B418" s="9"/>
      <c r="C418" s="9"/>
      <c r="D418" s="9"/>
      <c r="E418" s="9"/>
      <c r="F418" s="24"/>
      <c r="G418" s="9"/>
      <c r="H418" s="24"/>
      <c r="I418" s="9"/>
      <c r="J418" s="24"/>
      <c r="K418" s="9"/>
      <c r="L418" s="24"/>
      <c r="M418" s="9"/>
      <c r="N418" s="24"/>
      <c r="O418" s="9"/>
      <c r="P418" s="24"/>
      <c r="Q418" s="9"/>
      <c r="R418" s="24"/>
      <c r="S418" s="9"/>
      <c r="T418" s="24"/>
      <c r="U418" s="9"/>
      <c r="V418" s="24"/>
      <c r="W418" s="9"/>
      <c r="X418" s="24"/>
      <c r="Y418" s="9"/>
      <c r="Z418" s="24"/>
      <c r="AA418" s="9"/>
      <c r="AB418" s="24"/>
      <c r="AC418" s="9"/>
      <c r="AD418" s="24"/>
      <c r="AE418" s="9"/>
      <c r="AF418" s="24"/>
      <c r="AG418" s="9"/>
      <c r="AH418" s="24"/>
      <c r="AI418" s="9"/>
      <c r="AJ418" s="24"/>
      <c r="AK418" s="9"/>
      <c r="AL418" s="24"/>
      <c r="AM418" s="9"/>
      <c r="AN418" s="24"/>
      <c r="AO418" s="9"/>
      <c r="AP418" s="24"/>
      <c r="AQ418" s="9"/>
      <c r="AR418" s="24"/>
      <c r="AS418" s="25"/>
      <c r="AT418" s="25"/>
      <c r="AU418" s="25"/>
      <c r="AV418" s="26"/>
      <c r="AW418" s="26"/>
      <c r="AX418" s="26"/>
      <c r="AY418" s="26"/>
      <c r="AZ418" s="26"/>
      <c r="BA418" s="26"/>
      <c r="BB418" s="26"/>
      <c r="BC418" s="26"/>
      <c r="BD418" s="27"/>
    </row>
    <row r="419" spans="1:56" ht="15" customHeight="1">
      <c r="A419" s="28"/>
      <c r="B419" s="28"/>
      <c r="C419" s="28"/>
      <c r="D419" s="28"/>
      <c r="E419" s="28"/>
      <c r="F419" s="29"/>
      <c r="G419" s="28"/>
      <c r="H419" s="29"/>
      <c r="I419" s="28"/>
      <c r="J419" s="29"/>
      <c r="K419" s="28"/>
      <c r="L419" s="29"/>
      <c r="M419" s="28"/>
      <c r="N419" s="29"/>
      <c r="O419" s="28"/>
      <c r="P419" s="29"/>
      <c r="Q419" s="28"/>
      <c r="R419" s="29"/>
      <c r="S419" s="28"/>
      <c r="T419" s="29"/>
      <c r="U419" s="28"/>
      <c r="V419" s="29"/>
      <c r="W419" s="28"/>
      <c r="X419" s="29"/>
      <c r="Y419" s="28"/>
      <c r="Z419" s="29"/>
      <c r="AA419" s="28"/>
      <c r="AB419" s="29"/>
      <c r="AC419" s="28"/>
      <c r="AD419" s="29"/>
      <c r="AE419" s="28"/>
      <c r="AF419" s="29"/>
      <c r="AG419" s="28"/>
      <c r="AH419" s="29"/>
      <c r="AI419" s="28"/>
      <c r="AJ419" s="29"/>
      <c r="AK419" s="28"/>
      <c r="AL419" s="29"/>
      <c r="AM419" s="28"/>
      <c r="AN419" s="29"/>
      <c r="AO419" s="28"/>
      <c r="AP419" s="29"/>
      <c r="AQ419" s="28"/>
      <c r="AR419" s="29"/>
      <c r="AS419" s="25"/>
      <c r="AT419" s="25"/>
      <c r="AU419" s="25"/>
      <c r="AV419" s="26"/>
      <c r="AW419" s="26"/>
      <c r="AX419" s="26"/>
      <c r="AY419" s="26"/>
      <c r="AZ419" s="26"/>
      <c r="BA419" s="26"/>
      <c r="BB419" s="26"/>
      <c r="BC419" s="26"/>
      <c r="BD419" s="27"/>
    </row>
    <row r="420" spans="1:56" ht="15" customHeight="1">
      <c r="A420" s="9"/>
      <c r="B420" s="9"/>
      <c r="C420" s="9"/>
      <c r="D420" s="9"/>
      <c r="E420" s="9"/>
      <c r="F420" s="24"/>
      <c r="G420" s="9"/>
      <c r="H420" s="24"/>
      <c r="I420" s="9"/>
      <c r="J420" s="24"/>
      <c r="K420" s="9"/>
      <c r="L420" s="24"/>
      <c r="M420" s="9"/>
      <c r="N420" s="24"/>
      <c r="O420" s="9"/>
      <c r="P420" s="24"/>
      <c r="Q420" s="9"/>
      <c r="R420" s="24"/>
      <c r="S420" s="9"/>
      <c r="T420" s="24"/>
      <c r="U420" s="9"/>
      <c r="V420" s="24"/>
      <c r="W420" s="9"/>
      <c r="X420" s="24"/>
      <c r="Y420" s="9"/>
      <c r="Z420" s="24"/>
      <c r="AA420" s="9"/>
      <c r="AB420" s="24"/>
      <c r="AC420" s="9"/>
      <c r="AD420" s="24"/>
      <c r="AE420" s="9"/>
      <c r="AF420" s="24"/>
      <c r="AG420" s="9"/>
      <c r="AH420" s="24"/>
      <c r="AI420" s="9"/>
      <c r="AJ420" s="24"/>
      <c r="AK420" s="9"/>
      <c r="AL420" s="24"/>
      <c r="AM420" s="9"/>
      <c r="AN420" s="24"/>
      <c r="AO420" s="9"/>
      <c r="AP420" s="24"/>
      <c r="AQ420" s="9"/>
      <c r="AR420" s="24"/>
      <c r="AS420" s="25"/>
      <c r="AT420" s="25"/>
      <c r="AU420" s="25"/>
      <c r="AV420" s="26"/>
      <c r="AW420" s="26"/>
      <c r="AX420" s="26"/>
      <c r="AY420" s="26"/>
      <c r="AZ420" s="26"/>
      <c r="BA420" s="26"/>
      <c r="BB420" s="26"/>
      <c r="BC420" s="26"/>
      <c r="BD420" s="27"/>
    </row>
    <row r="421" spans="1:56" ht="15" customHeight="1">
      <c r="A421" s="28"/>
      <c r="B421" s="28"/>
      <c r="C421" s="28"/>
      <c r="D421" s="28"/>
      <c r="E421" s="28"/>
      <c r="F421" s="29"/>
      <c r="G421" s="28"/>
      <c r="H421" s="29"/>
      <c r="I421" s="28"/>
      <c r="J421" s="29"/>
      <c r="K421" s="28"/>
      <c r="L421" s="29"/>
      <c r="M421" s="28"/>
      <c r="N421" s="29"/>
      <c r="O421" s="28"/>
      <c r="P421" s="29"/>
      <c r="Q421" s="28"/>
      <c r="R421" s="29"/>
      <c r="S421" s="28"/>
      <c r="T421" s="29"/>
      <c r="U421" s="28"/>
      <c r="V421" s="29"/>
      <c r="W421" s="28"/>
      <c r="X421" s="29"/>
      <c r="Y421" s="28"/>
      <c r="Z421" s="29"/>
      <c r="AA421" s="28"/>
      <c r="AB421" s="29"/>
      <c r="AC421" s="28"/>
      <c r="AD421" s="29"/>
      <c r="AE421" s="28"/>
      <c r="AF421" s="29"/>
      <c r="AG421" s="28"/>
      <c r="AH421" s="29"/>
      <c r="AI421" s="28"/>
      <c r="AJ421" s="29"/>
      <c r="AK421" s="28"/>
      <c r="AL421" s="29"/>
      <c r="AM421" s="28"/>
      <c r="AN421" s="29"/>
      <c r="AO421" s="28"/>
      <c r="AP421" s="29"/>
      <c r="AQ421" s="28"/>
      <c r="AR421" s="29"/>
      <c r="AS421" s="25"/>
      <c r="AT421" s="25"/>
      <c r="AU421" s="25"/>
      <c r="AV421" s="26"/>
      <c r="AW421" s="26"/>
      <c r="AX421" s="26"/>
      <c r="AY421" s="26"/>
      <c r="AZ421" s="26"/>
      <c r="BA421" s="26"/>
      <c r="BB421" s="26"/>
      <c r="BC421" s="26"/>
      <c r="BD421" s="27"/>
    </row>
    <row r="422" spans="1:56" ht="15" customHeight="1">
      <c r="A422" s="9"/>
      <c r="B422" s="9"/>
      <c r="C422" s="9"/>
      <c r="D422" s="9"/>
      <c r="E422" s="9"/>
      <c r="F422" s="24"/>
      <c r="G422" s="9"/>
      <c r="H422" s="24"/>
      <c r="I422" s="9"/>
      <c r="J422" s="24"/>
      <c r="K422" s="9"/>
      <c r="L422" s="24"/>
      <c r="M422" s="9"/>
      <c r="N422" s="24"/>
      <c r="O422" s="9"/>
      <c r="P422" s="24"/>
      <c r="Q422" s="9"/>
      <c r="R422" s="24"/>
      <c r="S422" s="9"/>
      <c r="T422" s="24"/>
      <c r="U422" s="9"/>
      <c r="V422" s="24"/>
      <c r="W422" s="9"/>
      <c r="X422" s="24"/>
      <c r="Y422" s="9"/>
      <c r="Z422" s="24"/>
      <c r="AA422" s="9"/>
      <c r="AB422" s="24"/>
      <c r="AC422" s="9"/>
      <c r="AD422" s="24"/>
      <c r="AE422" s="9"/>
      <c r="AF422" s="24"/>
      <c r="AG422" s="9"/>
      <c r="AH422" s="24"/>
      <c r="AI422" s="9"/>
      <c r="AJ422" s="24"/>
      <c r="AK422" s="9"/>
      <c r="AL422" s="24"/>
      <c r="AM422" s="9"/>
      <c r="AN422" s="24"/>
      <c r="AO422" s="9"/>
      <c r="AP422" s="24"/>
      <c r="AQ422" s="9"/>
      <c r="AR422" s="24"/>
      <c r="AS422" s="25"/>
      <c r="AT422" s="25"/>
      <c r="AU422" s="25"/>
      <c r="AV422" s="26"/>
      <c r="AW422" s="26"/>
      <c r="AX422" s="26"/>
      <c r="AY422" s="26"/>
      <c r="AZ422" s="26"/>
      <c r="BA422" s="26"/>
      <c r="BB422" s="26"/>
      <c r="BC422" s="26"/>
      <c r="BD422" s="27"/>
    </row>
    <row r="423" spans="1:56" ht="15" customHeight="1">
      <c r="A423" s="28"/>
      <c r="B423" s="28"/>
      <c r="C423" s="28"/>
      <c r="D423" s="28"/>
      <c r="E423" s="28"/>
      <c r="F423" s="29"/>
      <c r="G423" s="28"/>
      <c r="H423" s="29"/>
      <c r="I423" s="28"/>
      <c r="J423" s="29"/>
      <c r="K423" s="28"/>
      <c r="L423" s="29"/>
      <c r="M423" s="28"/>
      <c r="N423" s="29"/>
      <c r="O423" s="28"/>
      <c r="P423" s="29"/>
      <c r="Q423" s="28"/>
      <c r="R423" s="29"/>
      <c r="S423" s="28"/>
      <c r="T423" s="29"/>
      <c r="U423" s="28"/>
      <c r="V423" s="29"/>
      <c r="W423" s="28"/>
      <c r="X423" s="29"/>
      <c r="Y423" s="28"/>
      <c r="Z423" s="29"/>
      <c r="AA423" s="28"/>
      <c r="AB423" s="29"/>
      <c r="AC423" s="28"/>
      <c r="AD423" s="29"/>
      <c r="AE423" s="28"/>
      <c r="AF423" s="29"/>
      <c r="AG423" s="28"/>
      <c r="AH423" s="29"/>
      <c r="AI423" s="28"/>
      <c r="AJ423" s="29"/>
      <c r="AK423" s="28"/>
      <c r="AL423" s="29"/>
      <c r="AM423" s="28"/>
      <c r="AN423" s="29"/>
      <c r="AO423" s="28"/>
      <c r="AP423" s="29"/>
      <c r="AQ423" s="28"/>
      <c r="AR423" s="29"/>
      <c r="AS423" s="25"/>
      <c r="AT423" s="25"/>
      <c r="AU423" s="25"/>
      <c r="AV423" s="26"/>
      <c r="AW423" s="26"/>
      <c r="AX423" s="26"/>
      <c r="AY423" s="26"/>
      <c r="AZ423" s="26"/>
      <c r="BA423" s="26"/>
      <c r="BB423" s="26"/>
      <c r="BC423" s="26"/>
      <c r="BD423" s="27"/>
    </row>
    <row r="424" spans="1:56" ht="15" customHeight="1">
      <c r="A424" s="9"/>
      <c r="B424" s="9"/>
      <c r="C424" s="9"/>
      <c r="D424" s="9"/>
      <c r="E424" s="9"/>
      <c r="F424" s="24"/>
      <c r="G424" s="9"/>
      <c r="H424" s="24"/>
      <c r="I424" s="9"/>
      <c r="J424" s="24"/>
      <c r="K424" s="9"/>
      <c r="L424" s="24"/>
      <c r="M424" s="9"/>
      <c r="N424" s="24"/>
      <c r="O424" s="9"/>
      <c r="P424" s="24"/>
      <c r="Q424" s="9"/>
      <c r="R424" s="24"/>
      <c r="S424" s="9"/>
      <c r="T424" s="24"/>
      <c r="U424" s="9"/>
      <c r="V424" s="24"/>
      <c r="W424" s="9"/>
      <c r="X424" s="24"/>
      <c r="Y424" s="9"/>
      <c r="Z424" s="24"/>
      <c r="AA424" s="9"/>
      <c r="AB424" s="24"/>
      <c r="AC424" s="9"/>
      <c r="AD424" s="24"/>
      <c r="AE424" s="9"/>
      <c r="AF424" s="24"/>
      <c r="AG424" s="9"/>
      <c r="AH424" s="24"/>
      <c r="AI424" s="9"/>
      <c r="AJ424" s="24"/>
      <c r="AK424" s="9"/>
      <c r="AL424" s="24"/>
      <c r="AM424" s="9"/>
      <c r="AN424" s="24"/>
      <c r="AO424" s="9"/>
      <c r="AP424" s="24"/>
      <c r="AQ424" s="9"/>
      <c r="AR424" s="24"/>
      <c r="AS424" s="25"/>
      <c r="AT424" s="25"/>
      <c r="AU424" s="25"/>
      <c r="AV424" s="26"/>
      <c r="AW424" s="26"/>
      <c r="AX424" s="26"/>
      <c r="AY424" s="26"/>
      <c r="AZ424" s="26"/>
      <c r="BA424" s="26"/>
      <c r="BB424" s="26"/>
      <c r="BC424" s="26"/>
      <c r="BD424" s="27"/>
    </row>
    <row r="425" spans="1:56" ht="15" customHeight="1">
      <c r="A425" s="28"/>
      <c r="B425" s="28"/>
      <c r="C425" s="28"/>
      <c r="D425" s="28"/>
      <c r="E425" s="28"/>
      <c r="F425" s="29"/>
      <c r="G425" s="28"/>
      <c r="H425" s="29"/>
      <c r="I425" s="28"/>
      <c r="J425" s="29"/>
      <c r="K425" s="28"/>
      <c r="L425" s="29"/>
      <c r="M425" s="28"/>
      <c r="N425" s="29"/>
      <c r="O425" s="28"/>
      <c r="P425" s="29"/>
      <c r="Q425" s="28"/>
      <c r="R425" s="29"/>
      <c r="S425" s="28"/>
      <c r="T425" s="29"/>
      <c r="U425" s="28"/>
      <c r="V425" s="29"/>
      <c r="W425" s="28"/>
      <c r="X425" s="29"/>
      <c r="Y425" s="28"/>
      <c r="Z425" s="29"/>
      <c r="AA425" s="28"/>
      <c r="AB425" s="29"/>
      <c r="AC425" s="28"/>
      <c r="AD425" s="29"/>
      <c r="AE425" s="28"/>
      <c r="AF425" s="29"/>
      <c r="AG425" s="28"/>
      <c r="AH425" s="29"/>
      <c r="AI425" s="28"/>
      <c r="AJ425" s="29"/>
      <c r="AK425" s="28"/>
      <c r="AL425" s="29"/>
      <c r="AM425" s="28"/>
      <c r="AN425" s="29"/>
      <c r="AO425" s="28"/>
      <c r="AP425" s="29"/>
      <c r="AQ425" s="28"/>
      <c r="AR425" s="29"/>
      <c r="AS425" s="25"/>
      <c r="AT425" s="25"/>
      <c r="AU425" s="25"/>
      <c r="AV425" s="26"/>
      <c r="AW425" s="26"/>
      <c r="AX425" s="26"/>
      <c r="AY425" s="26"/>
      <c r="AZ425" s="26"/>
      <c r="BA425" s="26"/>
      <c r="BB425" s="26"/>
      <c r="BC425" s="26"/>
      <c r="BD425" s="27"/>
    </row>
    <row r="426" spans="1:56" ht="15" customHeight="1">
      <c r="A426" s="9"/>
      <c r="B426" s="9"/>
      <c r="C426" s="9"/>
      <c r="D426" s="9"/>
      <c r="E426" s="9"/>
      <c r="F426" s="24"/>
      <c r="G426" s="9"/>
      <c r="H426" s="24"/>
      <c r="I426" s="9"/>
      <c r="J426" s="24"/>
      <c r="K426" s="9"/>
      <c r="L426" s="24"/>
      <c r="M426" s="9"/>
      <c r="N426" s="24"/>
      <c r="O426" s="9"/>
      <c r="P426" s="24"/>
      <c r="Q426" s="9"/>
      <c r="R426" s="24"/>
      <c r="S426" s="9"/>
      <c r="T426" s="24"/>
      <c r="U426" s="9"/>
      <c r="V426" s="24"/>
      <c r="W426" s="9"/>
      <c r="X426" s="24"/>
      <c r="Y426" s="9"/>
      <c r="Z426" s="24"/>
      <c r="AA426" s="9"/>
      <c r="AB426" s="24"/>
      <c r="AC426" s="9"/>
      <c r="AD426" s="24"/>
      <c r="AE426" s="9"/>
      <c r="AF426" s="24"/>
      <c r="AG426" s="9"/>
      <c r="AH426" s="24"/>
      <c r="AI426" s="9"/>
      <c r="AJ426" s="24"/>
      <c r="AK426" s="9"/>
      <c r="AL426" s="24"/>
      <c r="AM426" s="9"/>
      <c r="AN426" s="24"/>
      <c r="AO426" s="9"/>
      <c r="AP426" s="24"/>
      <c r="AQ426" s="9"/>
      <c r="AR426" s="24"/>
      <c r="AS426" s="25"/>
      <c r="AT426" s="25"/>
      <c r="AU426" s="25"/>
      <c r="AV426" s="26"/>
      <c r="AW426" s="26"/>
      <c r="AX426" s="26"/>
      <c r="AY426" s="26"/>
      <c r="AZ426" s="26"/>
      <c r="BA426" s="26"/>
      <c r="BB426" s="26"/>
      <c r="BC426" s="26"/>
      <c r="BD426" s="27"/>
    </row>
    <row r="427" spans="1:56" ht="15" customHeight="1">
      <c r="A427" s="28"/>
      <c r="B427" s="28"/>
      <c r="C427" s="28"/>
      <c r="D427" s="28"/>
      <c r="E427" s="28"/>
      <c r="F427" s="29"/>
      <c r="G427" s="28"/>
      <c r="H427" s="29"/>
      <c r="I427" s="28"/>
      <c r="J427" s="29"/>
      <c r="K427" s="28"/>
      <c r="L427" s="29"/>
      <c r="M427" s="28"/>
      <c r="N427" s="29"/>
      <c r="O427" s="28"/>
      <c r="P427" s="29"/>
      <c r="Q427" s="28"/>
      <c r="R427" s="29"/>
      <c r="S427" s="28"/>
      <c r="T427" s="29"/>
      <c r="U427" s="28"/>
      <c r="V427" s="29"/>
      <c r="W427" s="28"/>
      <c r="X427" s="29"/>
      <c r="Y427" s="28"/>
      <c r="Z427" s="29"/>
      <c r="AA427" s="28"/>
      <c r="AB427" s="29"/>
      <c r="AC427" s="28"/>
      <c r="AD427" s="29"/>
      <c r="AE427" s="28"/>
      <c r="AF427" s="29"/>
      <c r="AG427" s="28"/>
      <c r="AH427" s="29"/>
      <c r="AI427" s="28"/>
      <c r="AJ427" s="29"/>
      <c r="AK427" s="28"/>
      <c r="AL427" s="29"/>
      <c r="AM427" s="28"/>
      <c r="AN427" s="29"/>
      <c r="AO427" s="28"/>
      <c r="AP427" s="29"/>
      <c r="AQ427" s="28"/>
      <c r="AR427" s="29"/>
      <c r="AS427" s="25"/>
      <c r="AT427" s="25"/>
      <c r="AU427" s="25"/>
      <c r="AV427" s="26"/>
      <c r="AW427" s="26"/>
      <c r="AX427" s="26"/>
      <c r="AY427" s="26"/>
      <c r="AZ427" s="26"/>
      <c r="BA427" s="26"/>
      <c r="BB427" s="26"/>
      <c r="BC427" s="26"/>
      <c r="BD427" s="27"/>
    </row>
    <row r="428" spans="1:56" ht="15" customHeight="1">
      <c r="A428" s="9"/>
      <c r="B428" s="9"/>
      <c r="C428" s="9"/>
      <c r="D428" s="9"/>
      <c r="E428" s="9"/>
      <c r="F428" s="24"/>
      <c r="G428" s="9"/>
      <c r="H428" s="24"/>
      <c r="I428" s="9"/>
      <c r="J428" s="24"/>
      <c r="K428" s="9"/>
      <c r="L428" s="24"/>
      <c r="M428" s="9"/>
      <c r="N428" s="24"/>
      <c r="O428" s="9"/>
      <c r="P428" s="24"/>
      <c r="Q428" s="9"/>
      <c r="R428" s="24"/>
      <c r="S428" s="9"/>
      <c r="T428" s="24"/>
      <c r="U428" s="9"/>
      <c r="V428" s="24"/>
      <c r="W428" s="9"/>
      <c r="X428" s="24"/>
      <c r="Y428" s="9"/>
      <c r="Z428" s="24"/>
      <c r="AA428" s="9"/>
      <c r="AB428" s="24"/>
      <c r="AC428" s="9"/>
      <c r="AD428" s="24"/>
      <c r="AE428" s="9"/>
      <c r="AF428" s="24"/>
      <c r="AG428" s="9"/>
      <c r="AH428" s="24"/>
      <c r="AI428" s="9"/>
      <c r="AJ428" s="24"/>
      <c r="AK428" s="9"/>
      <c r="AL428" s="24"/>
      <c r="AM428" s="9"/>
      <c r="AN428" s="24"/>
      <c r="AO428" s="9"/>
      <c r="AP428" s="24"/>
      <c r="AQ428" s="9"/>
      <c r="AR428" s="24"/>
      <c r="AS428" s="25"/>
      <c r="AT428" s="25"/>
      <c r="AU428" s="25"/>
      <c r="AV428" s="26"/>
      <c r="AW428" s="26"/>
      <c r="AX428" s="26"/>
      <c r="AY428" s="26"/>
      <c r="AZ428" s="26"/>
      <c r="BA428" s="26"/>
      <c r="BB428" s="26"/>
      <c r="BC428" s="26"/>
      <c r="BD428" s="27"/>
    </row>
    <row r="429" spans="1:56" ht="15" customHeight="1">
      <c r="A429" s="28"/>
      <c r="B429" s="28"/>
      <c r="C429" s="28"/>
      <c r="D429" s="28"/>
      <c r="E429" s="28"/>
      <c r="F429" s="29"/>
      <c r="G429" s="28"/>
      <c r="H429" s="29"/>
      <c r="I429" s="28"/>
      <c r="J429" s="29"/>
      <c r="K429" s="28"/>
      <c r="L429" s="29"/>
      <c r="M429" s="28"/>
      <c r="N429" s="29"/>
      <c r="O429" s="28"/>
      <c r="P429" s="29"/>
      <c r="Q429" s="28"/>
      <c r="R429" s="29"/>
      <c r="S429" s="28"/>
      <c r="T429" s="29"/>
      <c r="U429" s="28"/>
      <c r="V429" s="29"/>
      <c r="W429" s="28"/>
      <c r="X429" s="29"/>
      <c r="Y429" s="28"/>
      <c r="Z429" s="29"/>
      <c r="AA429" s="28"/>
      <c r="AB429" s="29"/>
      <c r="AC429" s="28"/>
      <c r="AD429" s="29"/>
      <c r="AE429" s="28"/>
      <c r="AF429" s="29"/>
      <c r="AG429" s="28"/>
      <c r="AH429" s="29"/>
      <c r="AI429" s="28"/>
      <c r="AJ429" s="29"/>
      <c r="AK429" s="28"/>
      <c r="AL429" s="29"/>
      <c r="AM429" s="28"/>
      <c r="AN429" s="29"/>
      <c r="AO429" s="28"/>
      <c r="AP429" s="29"/>
      <c r="AQ429" s="28"/>
      <c r="AR429" s="29"/>
      <c r="AS429" s="25"/>
      <c r="AT429" s="25"/>
      <c r="AU429" s="25"/>
      <c r="AV429" s="26"/>
      <c r="AW429" s="26"/>
      <c r="AX429" s="26"/>
      <c r="AY429" s="26"/>
      <c r="AZ429" s="26"/>
      <c r="BA429" s="26"/>
      <c r="BB429" s="26"/>
      <c r="BC429" s="26"/>
      <c r="BD429" s="27"/>
    </row>
    <row r="430" spans="1:56" ht="15" customHeight="1">
      <c r="A430" s="9"/>
      <c r="B430" s="9"/>
      <c r="C430" s="9"/>
      <c r="D430" s="9"/>
      <c r="E430" s="9"/>
      <c r="F430" s="24"/>
      <c r="G430" s="9"/>
      <c r="H430" s="24"/>
      <c r="I430" s="9"/>
      <c r="J430" s="24"/>
      <c r="K430" s="9"/>
      <c r="L430" s="24"/>
      <c r="M430" s="9"/>
      <c r="N430" s="24"/>
      <c r="O430" s="9"/>
      <c r="P430" s="24"/>
      <c r="Q430" s="9"/>
      <c r="R430" s="24"/>
      <c r="S430" s="9"/>
      <c r="T430" s="24"/>
      <c r="U430" s="9"/>
      <c r="V430" s="24"/>
      <c r="W430" s="9"/>
      <c r="X430" s="24"/>
      <c r="Y430" s="9"/>
      <c r="Z430" s="24"/>
      <c r="AA430" s="9"/>
      <c r="AB430" s="24"/>
      <c r="AC430" s="9"/>
      <c r="AD430" s="24"/>
      <c r="AE430" s="9"/>
      <c r="AF430" s="24"/>
      <c r="AG430" s="9"/>
      <c r="AH430" s="24"/>
      <c r="AI430" s="9"/>
      <c r="AJ430" s="24"/>
      <c r="AK430" s="9"/>
      <c r="AL430" s="24"/>
      <c r="AM430" s="9"/>
      <c r="AN430" s="24"/>
      <c r="AO430" s="9"/>
      <c r="AP430" s="24"/>
      <c r="AQ430" s="9"/>
      <c r="AR430" s="24"/>
      <c r="AS430" s="25"/>
      <c r="AT430" s="25"/>
      <c r="AU430" s="25"/>
      <c r="AV430" s="26"/>
      <c r="AW430" s="26"/>
      <c r="AX430" s="26"/>
      <c r="AY430" s="26"/>
      <c r="AZ430" s="26"/>
      <c r="BA430" s="26"/>
      <c r="BB430" s="26"/>
      <c r="BC430" s="26"/>
      <c r="BD430" s="27"/>
    </row>
    <row r="431" spans="1:56" ht="15" customHeight="1">
      <c r="A431" s="28"/>
      <c r="B431" s="28"/>
      <c r="C431" s="28"/>
      <c r="D431" s="28"/>
      <c r="E431" s="28"/>
      <c r="F431" s="29"/>
      <c r="G431" s="28"/>
      <c r="H431" s="29"/>
      <c r="I431" s="28"/>
      <c r="J431" s="29"/>
      <c r="K431" s="28"/>
      <c r="L431" s="29"/>
      <c r="M431" s="28"/>
      <c r="N431" s="29"/>
      <c r="O431" s="28"/>
      <c r="P431" s="29"/>
      <c r="Q431" s="28"/>
      <c r="R431" s="29"/>
      <c r="S431" s="28"/>
      <c r="T431" s="29"/>
      <c r="U431" s="28"/>
      <c r="V431" s="29"/>
      <c r="W431" s="28"/>
      <c r="X431" s="29"/>
      <c r="Y431" s="28"/>
      <c r="Z431" s="29"/>
      <c r="AA431" s="28"/>
      <c r="AB431" s="29"/>
      <c r="AC431" s="28"/>
      <c r="AD431" s="29"/>
      <c r="AE431" s="28"/>
      <c r="AF431" s="29"/>
      <c r="AG431" s="28"/>
      <c r="AH431" s="29"/>
      <c r="AI431" s="28"/>
      <c r="AJ431" s="29"/>
      <c r="AK431" s="28"/>
      <c r="AL431" s="29"/>
      <c r="AM431" s="28"/>
      <c r="AN431" s="29"/>
      <c r="AO431" s="28"/>
      <c r="AP431" s="29"/>
      <c r="AQ431" s="28"/>
      <c r="AR431" s="29"/>
      <c r="AS431" s="25"/>
      <c r="AT431" s="25"/>
      <c r="AU431" s="25"/>
      <c r="AV431" s="26"/>
      <c r="AW431" s="26"/>
      <c r="AX431" s="26"/>
      <c r="AY431" s="26"/>
      <c r="AZ431" s="26"/>
      <c r="BA431" s="26"/>
      <c r="BB431" s="26"/>
      <c r="BC431" s="26"/>
      <c r="BD431" s="27"/>
    </row>
    <row r="432" spans="1:56" ht="15" customHeight="1">
      <c r="A432" s="9"/>
      <c r="B432" s="9"/>
      <c r="C432" s="9"/>
      <c r="D432" s="9"/>
      <c r="E432" s="9"/>
      <c r="F432" s="24"/>
      <c r="G432" s="9"/>
      <c r="H432" s="24"/>
      <c r="I432" s="9"/>
      <c r="J432" s="24"/>
      <c r="K432" s="9"/>
      <c r="L432" s="24"/>
      <c r="M432" s="9"/>
      <c r="N432" s="24"/>
      <c r="O432" s="9"/>
      <c r="P432" s="24"/>
      <c r="Q432" s="9"/>
      <c r="R432" s="24"/>
      <c r="S432" s="9"/>
      <c r="T432" s="24"/>
      <c r="U432" s="9"/>
      <c r="V432" s="24"/>
      <c r="W432" s="9"/>
      <c r="X432" s="24"/>
      <c r="Y432" s="9"/>
      <c r="Z432" s="24"/>
      <c r="AA432" s="9"/>
      <c r="AB432" s="24"/>
      <c r="AC432" s="9"/>
      <c r="AD432" s="24"/>
      <c r="AE432" s="9"/>
      <c r="AF432" s="24"/>
      <c r="AG432" s="9"/>
      <c r="AH432" s="24"/>
      <c r="AI432" s="9"/>
      <c r="AJ432" s="24"/>
      <c r="AK432" s="9"/>
      <c r="AL432" s="24"/>
      <c r="AM432" s="9"/>
      <c r="AN432" s="24"/>
      <c r="AO432" s="9"/>
      <c r="AP432" s="24"/>
      <c r="AQ432" s="9"/>
      <c r="AR432" s="24"/>
      <c r="AS432" s="25"/>
      <c r="AT432" s="25"/>
      <c r="AU432" s="25"/>
      <c r="AV432" s="26"/>
      <c r="AW432" s="26"/>
      <c r="AX432" s="26"/>
      <c r="AY432" s="26"/>
      <c r="AZ432" s="26"/>
      <c r="BA432" s="26"/>
      <c r="BB432" s="26"/>
      <c r="BC432" s="26"/>
      <c r="BD432" s="27"/>
    </row>
    <row r="433" spans="1:56" ht="15" customHeight="1">
      <c r="A433" s="28"/>
      <c r="B433" s="28"/>
      <c r="C433" s="28"/>
      <c r="D433" s="28"/>
      <c r="E433" s="28"/>
      <c r="F433" s="29"/>
      <c r="G433" s="28"/>
      <c r="H433" s="29"/>
      <c r="I433" s="28"/>
      <c r="J433" s="29"/>
      <c r="K433" s="28"/>
      <c r="L433" s="29"/>
      <c r="M433" s="28"/>
      <c r="N433" s="29"/>
      <c r="O433" s="28"/>
      <c r="P433" s="29"/>
      <c r="Q433" s="28"/>
      <c r="R433" s="29"/>
      <c r="S433" s="28"/>
      <c r="T433" s="29"/>
      <c r="U433" s="28"/>
      <c r="V433" s="29"/>
      <c r="W433" s="28"/>
      <c r="X433" s="29"/>
      <c r="Y433" s="28"/>
      <c r="Z433" s="29"/>
      <c r="AA433" s="28"/>
      <c r="AB433" s="29"/>
      <c r="AC433" s="28"/>
      <c r="AD433" s="29"/>
      <c r="AE433" s="28"/>
      <c r="AF433" s="29"/>
      <c r="AG433" s="28"/>
      <c r="AH433" s="29"/>
      <c r="AI433" s="28"/>
      <c r="AJ433" s="29"/>
      <c r="AK433" s="28"/>
      <c r="AL433" s="29"/>
      <c r="AM433" s="28"/>
      <c r="AN433" s="29"/>
      <c r="AO433" s="28"/>
      <c r="AP433" s="29"/>
      <c r="AQ433" s="28"/>
      <c r="AR433" s="29"/>
      <c r="AS433" s="25"/>
      <c r="AT433" s="25"/>
      <c r="AU433" s="25"/>
      <c r="AV433" s="26"/>
      <c r="AW433" s="26"/>
      <c r="AX433" s="26"/>
      <c r="AY433" s="26"/>
      <c r="AZ433" s="26"/>
      <c r="BA433" s="26"/>
      <c r="BB433" s="26"/>
      <c r="BC433" s="26"/>
      <c r="BD433" s="27"/>
    </row>
    <row r="434" spans="1:56" ht="15" customHeight="1">
      <c r="A434" s="9"/>
      <c r="B434" s="9"/>
      <c r="C434" s="9"/>
      <c r="D434" s="9"/>
      <c r="E434" s="9"/>
      <c r="F434" s="24"/>
      <c r="G434" s="9"/>
      <c r="H434" s="24"/>
      <c r="I434" s="9"/>
      <c r="J434" s="24"/>
      <c r="K434" s="9"/>
      <c r="L434" s="24"/>
      <c r="M434" s="9"/>
      <c r="N434" s="24"/>
      <c r="O434" s="9"/>
      <c r="P434" s="24"/>
      <c r="Q434" s="9"/>
      <c r="R434" s="24"/>
      <c r="S434" s="9"/>
      <c r="T434" s="24"/>
      <c r="U434" s="9"/>
      <c r="V434" s="24"/>
      <c r="W434" s="9"/>
      <c r="X434" s="24"/>
      <c r="Y434" s="9"/>
      <c r="Z434" s="24"/>
      <c r="AA434" s="9"/>
      <c r="AB434" s="24"/>
      <c r="AC434" s="9"/>
      <c r="AD434" s="24"/>
      <c r="AE434" s="9"/>
      <c r="AF434" s="24"/>
      <c r="AG434" s="9"/>
      <c r="AH434" s="24"/>
      <c r="AI434" s="9"/>
      <c r="AJ434" s="24"/>
      <c r="AK434" s="9"/>
      <c r="AL434" s="24"/>
      <c r="AM434" s="9"/>
      <c r="AN434" s="24"/>
      <c r="AO434" s="9"/>
      <c r="AP434" s="24"/>
      <c r="AQ434" s="9"/>
      <c r="AR434" s="24"/>
      <c r="AS434" s="25"/>
      <c r="AT434" s="25"/>
      <c r="AU434" s="25"/>
      <c r="AV434" s="26"/>
      <c r="AW434" s="26"/>
      <c r="AX434" s="26"/>
      <c r="AY434" s="26"/>
      <c r="AZ434" s="26"/>
      <c r="BA434" s="26"/>
      <c r="BB434" s="26"/>
      <c r="BC434" s="26"/>
      <c r="BD434" s="27"/>
    </row>
    <row r="435" spans="1:56" ht="15" customHeight="1">
      <c r="A435" s="28"/>
      <c r="B435" s="28"/>
      <c r="C435" s="28"/>
      <c r="D435" s="28"/>
      <c r="E435" s="28"/>
      <c r="F435" s="29"/>
      <c r="G435" s="28"/>
      <c r="H435" s="29"/>
      <c r="I435" s="28"/>
      <c r="J435" s="29"/>
      <c r="K435" s="28"/>
      <c r="L435" s="29"/>
      <c r="M435" s="28"/>
      <c r="N435" s="29"/>
      <c r="O435" s="28"/>
      <c r="P435" s="29"/>
      <c r="Q435" s="28"/>
      <c r="R435" s="29"/>
      <c r="S435" s="28"/>
      <c r="T435" s="29"/>
      <c r="U435" s="28"/>
      <c r="V435" s="29"/>
      <c r="W435" s="28"/>
      <c r="X435" s="29"/>
      <c r="Y435" s="28"/>
      <c r="Z435" s="29"/>
      <c r="AA435" s="28"/>
      <c r="AB435" s="29"/>
      <c r="AC435" s="28"/>
      <c r="AD435" s="29"/>
      <c r="AE435" s="28"/>
      <c r="AF435" s="29"/>
      <c r="AG435" s="28"/>
      <c r="AH435" s="29"/>
      <c r="AI435" s="28"/>
      <c r="AJ435" s="29"/>
      <c r="AK435" s="28"/>
      <c r="AL435" s="29"/>
      <c r="AM435" s="28"/>
      <c r="AN435" s="29"/>
      <c r="AO435" s="28"/>
      <c r="AP435" s="29"/>
      <c r="AQ435" s="28"/>
      <c r="AR435" s="29"/>
      <c r="AS435" s="25"/>
      <c r="AT435" s="25"/>
      <c r="AU435" s="25"/>
      <c r="AV435" s="26"/>
      <c r="AW435" s="26"/>
      <c r="AX435" s="26"/>
      <c r="AY435" s="26"/>
      <c r="AZ435" s="26"/>
      <c r="BA435" s="26"/>
      <c r="BB435" s="26"/>
      <c r="BC435" s="26"/>
      <c r="BD435" s="27"/>
    </row>
    <row r="436" spans="1:56" ht="15" customHeight="1">
      <c r="A436" s="9"/>
      <c r="B436" s="9"/>
      <c r="C436" s="9"/>
      <c r="D436" s="9"/>
      <c r="E436" s="9"/>
      <c r="F436" s="24"/>
      <c r="G436" s="9"/>
      <c r="H436" s="24"/>
      <c r="I436" s="9"/>
      <c r="J436" s="24"/>
      <c r="K436" s="9"/>
      <c r="L436" s="24"/>
      <c r="M436" s="9"/>
      <c r="N436" s="24"/>
      <c r="O436" s="9"/>
      <c r="P436" s="24"/>
      <c r="Q436" s="9"/>
      <c r="R436" s="24"/>
      <c r="S436" s="9"/>
      <c r="T436" s="24"/>
      <c r="U436" s="9"/>
      <c r="V436" s="24"/>
      <c r="W436" s="9"/>
      <c r="X436" s="24"/>
      <c r="Y436" s="9"/>
      <c r="Z436" s="24"/>
      <c r="AA436" s="9"/>
      <c r="AB436" s="24"/>
      <c r="AC436" s="9"/>
      <c r="AD436" s="24"/>
      <c r="AE436" s="9"/>
      <c r="AF436" s="24"/>
      <c r="AG436" s="9"/>
      <c r="AH436" s="24"/>
      <c r="AI436" s="9"/>
      <c r="AJ436" s="24"/>
      <c r="AK436" s="9"/>
      <c r="AL436" s="24"/>
      <c r="AM436" s="9"/>
      <c r="AN436" s="24"/>
      <c r="AO436" s="9"/>
      <c r="AP436" s="24"/>
      <c r="AQ436" s="9"/>
      <c r="AR436" s="24"/>
      <c r="AS436" s="25"/>
      <c r="AT436" s="25"/>
      <c r="AU436" s="25"/>
      <c r="AV436" s="26"/>
      <c r="AW436" s="26"/>
      <c r="AX436" s="26"/>
      <c r="AY436" s="26"/>
      <c r="AZ436" s="26"/>
      <c r="BA436" s="26"/>
      <c r="BB436" s="26"/>
      <c r="BC436" s="26"/>
      <c r="BD436" s="27"/>
    </row>
    <row r="437" spans="1:56" ht="15" customHeight="1">
      <c r="A437" s="28"/>
      <c r="B437" s="28"/>
      <c r="C437" s="28"/>
      <c r="D437" s="28"/>
      <c r="E437" s="28"/>
      <c r="F437" s="29"/>
      <c r="G437" s="28"/>
      <c r="H437" s="29"/>
      <c r="I437" s="28"/>
      <c r="J437" s="29"/>
      <c r="K437" s="28"/>
      <c r="L437" s="29"/>
      <c r="M437" s="28"/>
      <c r="N437" s="29"/>
      <c r="O437" s="28"/>
      <c r="P437" s="29"/>
      <c r="Q437" s="28"/>
      <c r="R437" s="29"/>
      <c r="S437" s="28"/>
      <c r="T437" s="29"/>
      <c r="U437" s="28"/>
      <c r="V437" s="29"/>
      <c r="W437" s="28"/>
      <c r="X437" s="29"/>
      <c r="Y437" s="28"/>
      <c r="Z437" s="29"/>
      <c r="AA437" s="28"/>
      <c r="AB437" s="29"/>
      <c r="AC437" s="28"/>
      <c r="AD437" s="29"/>
      <c r="AE437" s="28"/>
      <c r="AF437" s="29"/>
      <c r="AG437" s="28"/>
      <c r="AH437" s="29"/>
      <c r="AI437" s="28"/>
      <c r="AJ437" s="29"/>
      <c r="AK437" s="28"/>
      <c r="AL437" s="29"/>
      <c r="AM437" s="28"/>
      <c r="AN437" s="29"/>
      <c r="AO437" s="28"/>
      <c r="AP437" s="29"/>
      <c r="AQ437" s="28"/>
      <c r="AR437" s="29"/>
      <c r="AS437" s="25"/>
      <c r="AT437" s="25"/>
      <c r="AU437" s="25"/>
      <c r="AV437" s="26"/>
      <c r="AW437" s="26"/>
      <c r="AX437" s="26"/>
      <c r="AY437" s="26"/>
      <c r="AZ437" s="26"/>
      <c r="BA437" s="26"/>
      <c r="BB437" s="26"/>
      <c r="BC437" s="26"/>
      <c r="BD437" s="27"/>
    </row>
    <row r="438" spans="1:56" ht="15" customHeight="1">
      <c r="A438" s="9"/>
      <c r="B438" s="9"/>
      <c r="C438" s="9"/>
      <c r="D438" s="9"/>
      <c r="E438" s="9"/>
      <c r="F438" s="24"/>
      <c r="G438" s="9"/>
      <c r="H438" s="24"/>
      <c r="I438" s="9"/>
      <c r="J438" s="24"/>
      <c r="K438" s="9"/>
      <c r="L438" s="24"/>
      <c r="M438" s="9"/>
      <c r="N438" s="24"/>
      <c r="O438" s="9"/>
      <c r="P438" s="24"/>
      <c r="Q438" s="9"/>
      <c r="R438" s="24"/>
      <c r="S438" s="9"/>
      <c r="T438" s="24"/>
      <c r="U438" s="9"/>
      <c r="V438" s="24"/>
      <c r="W438" s="9"/>
      <c r="X438" s="24"/>
      <c r="Y438" s="9"/>
      <c r="Z438" s="24"/>
      <c r="AA438" s="9"/>
      <c r="AB438" s="24"/>
      <c r="AC438" s="9"/>
      <c r="AD438" s="24"/>
      <c r="AE438" s="9"/>
      <c r="AF438" s="24"/>
      <c r="AG438" s="9"/>
      <c r="AH438" s="24"/>
      <c r="AI438" s="9"/>
      <c r="AJ438" s="24"/>
      <c r="AK438" s="9"/>
      <c r="AL438" s="24"/>
      <c r="AM438" s="9"/>
      <c r="AN438" s="24"/>
      <c r="AO438" s="9"/>
      <c r="AP438" s="24"/>
      <c r="AQ438" s="9"/>
      <c r="AR438" s="24"/>
      <c r="AS438" s="25"/>
      <c r="AT438" s="25"/>
      <c r="AU438" s="25"/>
      <c r="AV438" s="26"/>
      <c r="AW438" s="26"/>
      <c r="AX438" s="26"/>
      <c r="AY438" s="26"/>
      <c r="AZ438" s="26"/>
      <c r="BA438" s="26"/>
      <c r="BB438" s="26"/>
      <c r="BC438" s="26"/>
      <c r="BD438" s="27"/>
    </row>
    <row r="439" spans="1:56" ht="15" customHeight="1">
      <c r="A439" s="28"/>
      <c r="B439" s="28"/>
      <c r="C439" s="28"/>
      <c r="D439" s="28"/>
      <c r="E439" s="28"/>
      <c r="F439" s="29"/>
      <c r="G439" s="28"/>
      <c r="H439" s="29"/>
      <c r="I439" s="28"/>
      <c r="J439" s="29"/>
      <c r="K439" s="28"/>
      <c r="L439" s="29"/>
      <c r="M439" s="28"/>
      <c r="N439" s="29"/>
      <c r="O439" s="28"/>
      <c r="P439" s="29"/>
      <c r="Q439" s="28"/>
      <c r="R439" s="29"/>
      <c r="S439" s="28"/>
      <c r="T439" s="29"/>
      <c r="U439" s="28"/>
      <c r="V439" s="29"/>
      <c r="W439" s="28"/>
      <c r="X439" s="29"/>
      <c r="Y439" s="28"/>
      <c r="Z439" s="29"/>
      <c r="AA439" s="28"/>
      <c r="AB439" s="29"/>
      <c r="AC439" s="28"/>
      <c r="AD439" s="29"/>
      <c r="AE439" s="28"/>
      <c r="AF439" s="29"/>
      <c r="AG439" s="28"/>
      <c r="AH439" s="29"/>
      <c r="AI439" s="28"/>
      <c r="AJ439" s="29"/>
      <c r="AK439" s="28"/>
      <c r="AL439" s="29"/>
      <c r="AM439" s="28"/>
      <c r="AN439" s="29"/>
      <c r="AO439" s="28"/>
      <c r="AP439" s="29"/>
      <c r="AQ439" s="28"/>
      <c r="AR439" s="29"/>
      <c r="AS439" s="25"/>
      <c r="AT439" s="25"/>
      <c r="AU439" s="25"/>
      <c r="AV439" s="26"/>
      <c r="AW439" s="26"/>
      <c r="AX439" s="26"/>
      <c r="AY439" s="26"/>
      <c r="AZ439" s="26"/>
      <c r="BA439" s="26"/>
      <c r="BB439" s="26"/>
      <c r="BC439" s="26"/>
      <c r="BD439" s="27"/>
    </row>
    <row r="440" spans="1:56" ht="15" customHeight="1">
      <c r="A440" s="9"/>
      <c r="B440" s="9"/>
      <c r="C440" s="9"/>
      <c r="D440" s="9"/>
      <c r="E440" s="9"/>
      <c r="F440" s="24"/>
      <c r="G440" s="9"/>
      <c r="H440" s="24"/>
      <c r="I440" s="9"/>
      <c r="J440" s="24"/>
      <c r="K440" s="9"/>
      <c r="L440" s="24"/>
      <c r="M440" s="9"/>
      <c r="N440" s="24"/>
      <c r="O440" s="9"/>
      <c r="P440" s="24"/>
      <c r="Q440" s="9"/>
      <c r="R440" s="24"/>
      <c r="S440" s="9"/>
      <c r="T440" s="24"/>
      <c r="U440" s="9"/>
      <c r="V440" s="24"/>
      <c r="W440" s="9"/>
      <c r="X440" s="24"/>
      <c r="Y440" s="9"/>
      <c r="Z440" s="24"/>
      <c r="AA440" s="9"/>
      <c r="AB440" s="24"/>
      <c r="AC440" s="9"/>
      <c r="AD440" s="24"/>
      <c r="AE440" s="9"/>
      <c r="AF440" s="24"/>
      <c r="AG440" s="9"/>
      <c r="AH440" s="24"/>
      <c r="AI440" s="9"/>
      <c r="AJ440" s="24"/>
      <c r="AK440" s="9"/>
      <c r="AL440" s="24"/>
      <c r="AM440" s="9"/>
      <c r="AN440" s="24"/>
      <c r="AO440" s="9"/>
      <c r="AP440" s="24"/>
      <c r="AQ440" s="9"/>
      <c r="AR440" s="24"/>
      <c r="AS440" s="25"/>
      <c r="AT440" s="25"/>
      <c r="AU440" s="25"/>
      <c r="AV440" s="26"/>
      <c r="AW440" s="26"/>
      <c r="AX440" s="26"/>
      <c r="AY440" s="26"/>
      <c r="AZ440" s="26"/>
      <c r="BA440" s="26"/>
      <c r="BB440" s="26"/>
      <c r="BC440" s="26"/>
      <c r="BD440" s="27"/>
    </row>
    <row r="441" spans="1:56" ht="15" customHeight="1">
      <c r="A441" s="28"/>
      <c r="B441" s="28"/>
      <c r="C441" s="28"/>
      <c r="D441" s="28"/>
      <c r="E441" s="28"/>
      <c r="F441" s="29"/>
      <c r="G441" s="28"/>
      <c r="H441" s="29"/>
      <c r="I441" s="28"/>
      <c r="J441" s="29"/>
      <c r="K441" s="28"/>
      <c r="L441" s="29"/>
      <c r="M441" s="28"/>
      <c r="N441" s="29"/>
      <c r="O441" s="28"/>
      <c r="P441" s="29"/>
      <c r="Q441" s="28"/>
      <c r="R441" s="29"/>
      <c r="S441" s="28"/>
      <c r="T441" s="29"/>
      <c r="U441" s="28"/>
      <c r="V441" s="29"/>
      <c r="W441" s="28"/>
      <c r="X441" s="29"/>
      <c r="Y441" s="28"/>
      <c r="Z441" s="29"/>
      <c r="AA441" s="28"/>
      <c r="AB441" s="29"/>
      <c r="AC441" s="28"/>
      <c r="AD441" s="29"/>
      <c r="AE441" s="28"/>
      <c r="AF441" s="29"/>
      <c r="AG441" s="28"/>
      <c r="AH441" s="29"/>
      <c r="AI441" s="28"/>
      <c r="AJ441" s="29"/>
      <c r="AK441" s="28"/>
      <c r="AL441" s="29"/>
      <c r="AM441" s="28"/>
      <c r="AN441" s="29"/>
      <c r="AO441" s="28"/>
      <c r="AP441" s="29"/>
      <c r="AQ441" s="28"/>
      <c r="AR441" s="29"/>
      <c r="AS441" s="25"/>
      <c r="AT441" s="25"/>
      <c r="AU441" s="25"/>
      <c r="AV441" s="26"/>
      <c r="AW441" s="26"/>
      <c r="AX441" s="26"/>
      <c r="AY441" s="26"/>
      <c r="AZ441" s="26"/>
      <c r="BA441" s="26"/>
      <c r="BB441" s="26"/>
      <c r="BC441" s="26"/>
      <c r="BD441" s="27"/>
    </row>
    <row r="442" spans="1:56" ht="15" customHeight="1">
      <c r="A442" s="9"/>
      <c r="B442" s="9"/>
      <c r="C442" s="9"/>
      <c r="D442" s="9"/>
      <c r="E442" s="9"/>
      <c r="F442" s="24"/>
      <c r="G442" s="9"/>
      <c r="H442" s="24"/>
      <c r="I442" s="9"/>
      <c r="J442" s="24"/>
      <c r="K442" s="9"/>
      <c r="L442" s="24"/>
      <c r="M442" s="9"/>
      <c r="N442" s="24"/>
      <c r="O442" s="9"/>
      <c r="P442" s="24"/>
      <c r="Q442" s="9"/>
      <c r="R442" s="24"/>
      <c r="S442" s="9"/>
      <c r="T442" s="24"/>
      <c r="U442" s="9"/>
      <c r="V442" s="24"/>
      <c r="W442" s="9"/>
      <c r="X442" s="24"/>
      <c r="Y442" s="9"/>
      <c r="Z442" s="24"/>
      <c r="AA442" s="9"/>
      <c r="AB442" s="24"/>
      <c r="AC442" s="9"/>
      <c r="AD442" s="24"/>
      <c r="AE442" s="9"/>
      <c r="AF442" s="24"/>
      <c r="AG442" s="9"/>
      <c r="AH442" s="24"/>
      <c r="AI442" s="9"/>
      <c r="AJ442" s="24"/>
      <c r="AK442" s="9"/>
      <c r="AL442" s="24"/>
      <c r="AM442" s="9"/>
      <c r="AN442" s="24"/>
      <c r="AO442" s="9"/>
      <c r="AP442" s="24"/>
      <c r="AQ442" s="9"/>
      <c r="AR442" s="24"/>
      <c r="AS442" s="25"/>
      <c r="AT442" s="25"/>
      <c r="AU442" s="25"/>
      <c r="AV442" s="26"/>
      <c r="AW442" s="26"/>
      <c r="AX442" s="26"/>
      <c r="AY442" s="26"/>
      <c r="AZ442" s="26"/>
      <c r="BA442" s="26"/>
      <c r="BB442" s="26"/>
      <c r="BC442" s="26"/>
      <c r="BD442" s="27"/>
    </row>
    <row r="443" spans="1:56" ht="15" customHeight="1">
      <c r="A443" s="28"/>
      <c r="B443" s="28"/>
      <c r="C443" s="28"/>
      <c r="D443" s="28"/>
      <c r="E443" s="28"/>
      <c r="F443" s="29"/>
      <c r="G443" s="28"/>
      <c r="H443" s="29"/>
      <c r="I443" s="28"/>
      <c r="J443" s="29"/>
      <c r="K443" s="28"/>
      <c r="L443" s="29"/>
      <c r="M443" s="28"/>
      <c r="N443" s="29"/>
      <c r="O443" s="28"/>
      <c r="P443" s="29"/>
      <c r="Q443" s="28"/>
      <c r="R443" s="29"/>
      <c r="S443" s="28"/>
      <c r="T443" s="29"/>
      <c r="U443" s="28"/>
      <c r="V443" s="29"/>
      <c r="W443" s="28"/>
      <c r="X443" s="29"/>
      <c r="Y443" s="28"/>
      <c r="Z443" s="29"/>
      <c r="AA443" s="28"/>
      <c r="AB443" s="29"/>
      <c r="AC443" s="28"/>
      <c r="AD443" s="29"/>
      <c r="AE443" s="28"/>
      <c r="AF443" s="29"/>
      <c r="AG443" s="28"/>
      <c r="AH443" s="29"/>
      <c r="AI443" s="28"/>
      <c r="AJ443" s="29"/>
      <c r="AK443" s="28"/>
      <c r="AL443" s="29"/>
      <c r="AM443" s="28"/>
      <c r="AN443" s="29"/>
      <c r="AO443" s="28"/>
      <c r="AP443" s="29"/>
      <c r="AQ443" s="28"/>
      <c r="AR443" s="29"/>
      <c r="AS443" s="25"/>
      <c r="AT443" s="25"/>
      <c r="AU443" s="25"/>
      <c r="AV443" s="26"/>
      <c r="AW443" s="26"/>
      <c r="AX443" s="26"/>
      <c r="AY443" s="26"/>
      <c r="AZ443" s="26"/>
      <c r="BA443" s="26"/>
      <c r="BB443" s="26"/>
      <c r="BC443" s="26"/>
      <c r="BD443" s="27"/>
    </row>
    <row r="444" spans="1:56" ht="15" customHeight="1">
      <c r="A444" s="9"/>
      <c r="B444" s="9"/>
      <c r="C444" s="9"/>
      <c r="D444" s="9"/>
      <c r="E444" s="9"/>
      <c r="F444" s="24"/>
      <c r="G444" s="9"/>
      <c r="H444" s="24"/>
      <c r="I444" s="9"/>
      <c r="J444" s="24"/>
      <c r="K444" s="9"/>
      <c r="L444" s="24"/>
      <c r="M444" s="9"/>
      <c r="N444" s="24"/>
      <c r="O444" s="9"/>
      <c r="P444" s="24"/>
      <c r="Q444" s="9"/>
      <c r="R444" s="24"/>
      <c r="S444" s="9"/>
      <c r="T444" s="24"/>
      <c r="U444" s="9"/>
      <c r="V444" s="24"/>
      <c r="W444" s="9"/>
      <c r="X444" s="24"/>
      <c r="Y444" s="9"/>
      <c r="Z444" s="24"/>
      <c r="AA444" s="9"/>
      <c r="AB444" s="24"/>
      <c r="AC444" s="9"/>
      <c r="AD444" s="24"/>
      <c r="AE444" s="9"/>
      <c r="AF444" s="24"/>
      <c r="AG444" s="9"/>
      <c r="AH444" s="24"/>
      <c r="AI444" s="9"/>
      <c r="AJ444" s="24"/>
      <c r="AK444" s="9"/>
      <c r="AL444" s="24"/>
      <c r="AM444" s="9"/>
      <c r="AN444" s="24"/>
      <c r="AO444" s="9"/>
      <c r="AP444" s="24"/>
      <c r="AQ444" s="9"/>
      <c r="AR444" s="24"/>
      <c r="AS444" s="25"/>
      <c r="AT444" s="25"/>
      <c r="AU444" s="25"/>
      <c r="AV444" s="26"/>
      <c r="AW444" s="26"/>
      <c r="AX444" s="26"/>
      <c r="AY444" s="26"/>
      <c r="AZ444" s="26"/>
      <c r="BA444" s="26"/>
      <c r="BB444" s="26"/>
      <c r="BC444" s="26"/>
      <c r="BD444" s="27"/>
    </row>
    <row r="445" spans="1:56" ht="15" customHeight="1">
      <c r="A445" s="28"/>
      <c r="B445" s="28"/>
      <c r="C445" s="28"/>
      <c r="D445" s="28"/>
      <c r="E445" s="28"/>
      <c r="F445" s="29"/>
      <c r="G445" s="28"/>
      <c r="H445" s="29"/>
      <c r="I445" s="28"/>
      <c r="J445" s="29"/>
      <c r="K445" s="28"/>
      <c r="L445" s="29"/>
      <c r="M445" s="28"/>
      <c r="N445" s="29"/>
      <c r="O445" s="28"/>
      <c r="P445" s="29"/>
      <c r="Q445" s="28"/>
      <c r="R445" s="29"/>
      <c r="S445" s="28"/>
      <c r="T445" s="29"/>
      <c r="U445" s="28"/>
      <c r="V445" s="29"/>
      <c r="W445" s="28"/>
      <c r="X445" s="29"/>
      <c r="Y445" s="28"/>
      <c r="Z445" s="29"/>
      <c r="AA445" s="28"/>
      <c r="AB445" s="29"/>
      <c r="AC445" s="28"/>
      <c r="AD445" s="29"/>
      <c r="AE445" s="28"/>
      <c r="AF445" s="29"/>
      <c r="AG445" s="28"/>
      <c r="AH445" s="29"/>
      <c r="AI445" s="28"/>
      <c r="AJ445" s="29"/>
      <c r="AK445" s="28"/>
      <c r="AL445" s="29"/>
      <c r="AM445" s="28"/>
      <c r="AN445" s="29"/>
      <c r="AO445" s="28"/>
      <c r="AP445" s="29"/>
      <c r="AQ445" s="28"/>
      <c r="AR445" s="29"/>
      <c r="AS445" s="25"/>
      <c r="AT445" s="25"/>
      <c r="AU445" s="25"/>
      <c r="AV445" s="26"/>
      <c r="AW445" s="26"/>
      <c r="AX445" s="26"/>
      <c r="AY445" s="26"/>
      <c r="AZ445" s="26"/>
      <c r="BA445" s="26"/>
      <c r="BB445" s="26"/>
      <c r="BC445" s="26"/>
      <c r="BD445" s="27"/>
    </row>
    <row r="446" spans="1:56" ht="15" customHeight="1">
      <c r="A446" s="9"/>
      <c r="B446" s="9"/>
      <c r="C446" s="9"/>
      <c r="D446" s="9"/>
      <c r="E446" s="9"/>
      <c r="F446" s="24"/>
      <c r="G446" s="9"/>
      <c r="H446" s="24"/>
      <c r="I446" s="9"/>
      <c r="J446" s="24"/>
      <c r="K446" s="9"/>
      <c r="L446" s="24"/>
      <c r="M446" s="9"/>
      <c r="N446" s="24"/>
      <c r="O446" s="9"/>
      <c r="P446" s="24"/>
      <c r="Q446" s="9"/>
      <c r="R446" s="24"/>
      <c r="S446" s="9"/>
      <c r="T446" s="24"/>
      <c r="U446" s="9"/>
      <c r="V446" s="24"/>
      <c r="W446" s="9"/>
      <c r="X446" s="24"/>
      <c r="Y446" s="9"/>
      <c r="Z446" s="24"/>
      <c r="AA446" s="9"/>
      <c r="AB446" s="24"/>
      <c r="AC446" s="9"/>
      <c r="AD446" s="24"/>
      <c r="AE446" s="9"/>
      <c r="AF446" s="24"/>
      <c r="AG446" s="9"/>
      <c r="AH446" s="24"/>
      <c r="AI446" s="9"/>
      <c r="AJ446" s="24"/>
      <c r="AK446" s="9"/>
      <c r="AL446" s="24"/>
      <c r="AM446" s="9"/>
      <c r="AN446" s="24"/>
      <c r="AO446" s="9"/>
      <c r="AP446" s="24"/>
      <c r="AQ446" s="9"/>
      <c r="AR446" s="24"/>
      <c r="AS446" s="25"/>
      <c r="AT446" s="25"/>
      <c r="AU446" s="25"/>
      <c r="AV446" s="26"/>
      <c r="AW446" s="26"/>
      <c r="AX446" s="26"/>
      <c r="AY446" s="26"/>
      <c r="AZ446" s="26"/>
      <c r="BA446" s="26"/>
      <c r="BB446" s="26"/>
      <c r="BC446" s="26"/>
      <c r="BD446" s="27"/>
    </row>
    <row r="447" spans="1:56" ht="15" customHeight="1">
      <c r="A447" s="28"/>
      <c r="B447" s="28"/>
      <c r="C447" s="28"/>
      <c r="D447" s="28"/>
      <c r="E447" s="28"/>
      <c r="F447" s="29"/>
      <c r="G447" s="28"/>
      <c r="H447" s="29"/>
      <c r="I447" s="28"/>
      <c r="J447" s="29"/>
      <c r="K447" s="28"/>
      <c r="L447" s="29"/>
      <c r="M447" s="28"/>
      <c r="N447" s="29"/>
      <c r="O447" s="28"/>
      <c r="P447" s="29"/>
      <c r="Q447" s="28"/>
      <c r="R447" s="29"/>
      <c r="S447" s="28"/>
      <c r="T447" s="29"/>
      <c r="U447" s="28"/>
      <c r="V447" s="29"/>
      <c r="W447" s="28"/>
      <c r="X447" s="29"/>
      <c r="Y447" s="28"/>
      <c r="Z447" s="29"/>
      <c r="AA447" s="28"/>
      <c r="AB447" s="29"/>
      <c r="AC447" s="28"/>
      <c r="AD447" s="29"/>
      <c r="AE447" s="28"/>
      <c r="AF447" s="29"/>
      <c r="AG447" s="28"/>
      <c r="AH447" s="29"/>
      <c r="AI447" s="28"/>
      <c r="AJ447" s="29"/>
      <c r="AK447" s="28"/>
      <c r="AL447" s="29"/>
      <c r="AM447" s="28"/>
      <c r="AN447" s="29"/>
      <c r="AO447" s="28"/>
      <c r="AP447" s="29"/>
      <c r="AQ447" s="28"/>
      <c r="AR447" s="29"/>
      <c r="AS447" s="25"/>
      <c r="AT447" s="25"/>
      <c r="AU447" s="25"/>
      <c r="AV447" s="26"/>
      <c r="AW447" s="26"/>
      <c r="AX447" s="26"/>
      <c r="AY447" s="26"/>
      <c r="AZ447" s="26"/>
      <c r="BA447" s="26"/>
      <c r="BB447" s="26"/>
      <c r="BC447" s="26"/>
      <c r="BD447" s="27"/>
    </row>
    <row r="448" spans="1:56" ht="15" customHeight="1">
      <c r="A448" s="9"/>
      <c r="B448" s="9"/>
      <c r="C448" s="9"/>
      <c r="D448" s="9"/>
      <c r="E448" s="9"/>
      <c r="F448" s="24"/>
      <c r="G448" s="9"/>
      <c r="H448" s="24"/>
      <c r="I448" s="9"/>
      <c r="J448" s="24"/>
      <c r="K448" s="9"/>
      <c r="L448" s="24"/>
      <c r="M448" s="9"/>
      <c r="N448" s="24"/>
      <c r="O448" s="9"/>
      <c r="P448" s="24"/>
      <c r="Q448" s="9"/>
      <c r="R448" s="24"/>
      <c r="S448" s="9"/>
      <c r="T448" s="24"/>
      <c r="U448" s="9"/>
      <c r="V448" s="24"/>
      <c r="W448" s="9"/>
      <c r="X448" s="24"/>
      <c r="Y448" s="9"/>
      <c r="Z448" s="24"/>
      <c r="AA448" s="9"/>
      <c r="AB448" s="24"/>
      <c r="AC448" s="9"/>
      <c r="AD448" s="24"/>
      <c r="AE448" s="9"/>
      <c r="AF448" s="24"/>
      <c r="AG448" s="9"/>
      <c r="AH448" s="24"/>
      <c r="AI448" s="9"/>
      <c r="AJ448" s="24"/>
      <c r="AK448" s="9"/>
      <c r="AL448" s="24"/>
      <c r="AM448" s="9"/>
      <c r="AN448" s="24"/>
      <c r="AO448" s="9"/>
      <c r="AP448" s="24"/>
      <c r="AQ448" s="9"/>
      <c r="AR448" s="24"/>
      <c r="AS448" s="25"/>
      <c r="AT448" s="25"/>
      <c r="AU448" s="25"/>
      <c r="AV448" s="26"/>
      <c r="AW448" s="26"/>
      <c r="AX448" s="26"/>
      <c r="AY448" s="26"/>
      <c r="AZ448" s="26"/>
      <c r="BA448" s="26"/>
      <c r="BB448" s="26"/>
      <c r="BC448" s="26"/>
      <c r="BD448" s="27"/>
    </row>
    <row r="449" spans="1:56" ht="15" customHeight="1">
      <c r="A449" s="28"/>
      <c r="B449" s="28"/>
      <c r="C449" s="28"/>
      <c r="D449" s="28"/>
      <c r="E449" s="28"/>
      <c r="F449" s="29"/>
      <c r="G449" s="28"/>
      <c r="H449" s="29"/>
      <c r="I449" s="28"/>
      <c r="J449" s="29"/>
      <c r="K449" s="28"/>
      <c r="L449" s="29"/>
      <c r="M449" s="28"/>
      <c r="N449" s="29"/>
      <c r="O449" s="28"/>
      <c r="P449" s="29"/>
      <c r="Q449" s="28"/>
      <c r="R449" s="29"/>
      <c r="S449" s="28"/>
      <c r="T449" s="29"/>
      <c r="U449" s="28"/>
      <c r="V449" s="29"/>
      <c r="W449" s="28"/>
      <c r="X449" s="29"/>
      <c r="Y449" s="28"/>
      <c r="Z449" s="29"/>
      <c r="AA449" s="28"/>
      <c r="AB449" s="29"/>
      <c r="AC449" s="28"/>
      <c r="AD449" s="29"/>
      <c r="AE449" s="28"/>
      <c r="AF449" s="29"/>
      <c r="AG449" s="28"/>
      <c r="AH449" s="29"/>
      <c r="AI449" s="28"/>
      <c r="AJ449" s="29"/>
      <c r="AK449" s="28"/>
      <c r="AL449" s="29"/>
      <c r="AM449" s="28"/>
      <c r="AN449" s="29"/>
      <c r="AO449" s="28"/>
      <c r="AP449" s="29"/>
      <c r="AQ449" s="28"/>
      <c r="AR449" s="29"/>
      <c r="AS449" s="25"/>
      <c r="AT449" s="25"/>
      <c r="AU449" s="25"/>
      <c r="AV449" s="26"/>
      <c r="AW449" s="26"/>
      <c r="AX449" s="26"/>
      <c r="AY449" s="26"/>
      <c r="AZ449" s="26"/>
      <c r="BA449" s="26"/>
      <c r="BB449" s="26"/>
      <c r="BC449" s="26"/>
      <c r="BD449" s="27"/>
    </row>
    <row r="450" spans="1:56" ht="15" customHeight="1">
      <c r="A450" s="9"/>
      <c r="B450" s="9"/>
      <c r="C450" s="9"/>
      <c r="D450" s="9"/>
      <c r="E450" s="9"/>
      <c r="F450" s="24"/>
      <c r="G450" s="9"/>
      <c r="H450" s="24"/>
      <c r="I450" s="9"/>
      <c r="J450" s="24"/>
      <c r="K450" s="9"/>
      <c r="L450" s="24"/>
      <c r="M450" s="9"/>
      <c r="N450" s="24"/>
      <c r="O450" s="9"/>
      <c r="P450" s="24"/>
      <c r="Q450" s="9"/>
      <c r="R450" s="24"/>
      <c r="S450" s="9"/>
      <c r="T450" s="24"/>
      <c r="U450" s="9"/>
      <c r="V450" s="24"/>
      <c r="W450" s="9"/>
      <c r="X450" s="24"/>
      <c r="Y450" s="9"/>
      <c r="Z450" s="24"/>
      <c r="AA450" s="9"/>
      <c r="AB450" s="24"/>
      <c r="AC450" s="9"/>
      <c r="AD450" s="24"/>
      <c r="AE450" s="9"/>
      <c r="AF450" s="24"/>
      <c r="AG450" s="9"/>
      <c r="AH450" s="24"/>
      <c r="AI450" s="9"/>
      <c r="AJ450" s="24"/>
      <c r="AK450" s="9"/>
      <c r="AL450" s="24"/>
      <c r="AM450" s="9"/>
      <c r="AN450" s="24"/>
      <c r="AO450" s="9"/>
      <c r="AP450" s="24"/>
      <c r="AQ450" s="9"/>
      <c r="AR450" s="24"/>
      <c r="AS450" s="25"/>
      <c r="AT450" s="25"/>
      <c r="AU450" s="25"/>
      <c r="AV450" s="26"/>
      <c r="AW450" s="26"/>
      <c r="AX450" s="26"/>
      <c r="AY450" s="26"/>
      <c r="AZ450" s="26"/>
      <c r="BA450" s="26"/>
      <c r="BB450" s="26"/>
      <c r="BC450" s="26"/>
      <c r="BD450" s="27"/>
    </row>
    <row r="451" spans="1:56" ht="15" customHeight="1">
      <c r="A451" s="28"/>
      <c r="B451" s="28"/>
      <c r="C451" s="28"/>
      <c r="D451" s="28"/>
      <c r="E451" s="28"/>
      <c r="F451" s="29"/>
      <c r="G451" s="28"/>
      <c r="H451" s="29"/>
      <c r="I451" s="28"/>
      <c r="J451" s="29"/>
      <c r="K451" s="28"/>
      <c r="L451" s="29"/>
      <c r="M451" s="28"/>
      <c r="N451" s="29"/>
      <c r="O451" s="28"/>
      <c r="P451" s="29"/>
      <c r="Q451" s="28"/>
      <c r="R451" s="29"/>
      <c r="S451" s="28"/>
      <c r="T451" s="29"/>
      <c r="U451" s="28"/>
      <c r="V451" s="29"/>
      <c r="W451" s="28"/>
      <c r="X451" s="29"/>
      <c r="Y451" s="28"/>
      <c r="Z451" s="29"/>
      <c r="AA451" s="28"/>
      <c r="AB451" s="29"/>
      <c r="AC451" s="28"/>
      <c r="AD451" s="29"/>
      <c r="AE451" s="28"/>
      <c r="AF451" s="29"/>
      <c r="AG451" s="28"/>
      <c r="AH451" s="29"/>
      <c r="AI451" s="28"/>
      <c r="AJ451" s="29"/>
      <c r="AK451" s="28"/>
      <c r="AL451" s="29"/>
      <c r="AM451" s="28"/>
      <c r="AN451" s="29"/>
      <c r="AO451" s="28"/>
      <c r="AP451" s="29"/>
      <c r="AQ451" s="28"/>
      <c r="AR451" s="29"/>
      <c r="AS451" s="25"/>
      <c r="AT451" s="25"/>
      <c r="AU451" s="25"/>
      <c r="AV451" s="26"/>
      <c r="AW451" s="26"/>
      <c r="AX451" s="26"/>
      <c r="AY451" s="26"/>
      <c r="AZ451" s="26"/>
      <c r="BA451" s="26"/>
      <c r="BB451" s="26"/>
      <c r="BC451" s="26"/>
      <c r="BD451" s="27"/>
    </row>
    <row r="452" spans="1:56" ht="15" customHeight="1">
      <c r="A452" s="9"/>
      <c r="B452" s="9"/>
      <c r="C452" s="9"/>
      <c r="D452" s="9"/>
      <c r="E452" s="9"/>
      <c r="F452" s="24"/>
      <c r="G452" s="9"/>
      <c r="H452" s="24"/>
      <c r="I452" s="9"/>
      <c r="J452" s="24"/>
      <c r="K452" s="9"/>
      <c r="L452" s="24"/>
      <c r="M452" s="9"/>
      <c r="N452" s="24"/>
      <c r="O452" s="9"/>
      <c r="P452" s="24"/>
      <c r="Q452" s="9"/>
      <c r="R452" s="24"/>
      <c r="S452" s="9"/>
      <c r="T452" s="24"/>
      <c r="U452" s="9"/>
      <c r="V452" s="24"/>
      <c r="W452" s="9"/>
      <c r="X452" s="24"/>
      <c r="Y452" s="9"/>
      <c r="Z452" s="24"/>
      <c r="AA452" s="9"/>
      <c r="AB452" s="24"/>
      <c r="AC452" s="9"/>
      <c r="AD452" s="24"/>
      <c r="AE452" s="9"/>
      <c r="AF452" s="24"/>
      <c r="AG452" s="9"/>
      <c r="AH452" s="24"/>
      <c r="AI452" s="9"/>
      <c r="AJ452" s="24"/>
      <c r="AK452" s="9"/>
      <c r="AL452" s="24"/>
      <c r="AM452" s="9"/>
      <c r="AN452" s="24"/>
      <c r="AO452" s="9"/>
      <c r="AP452" s="24"/>
      <c r="AQ452" s="9"/>
      <c r="AR452" s="24"/>
      <c r="AS452" s="25"/>
      <c r="AT452" s="25"/>
      <c r="AU452" s="25"/>
      <c r="AV452" s="26"/>
      <c r="AW452" s="26"/>
      <c r="AX452" s="26"/>
      <c r="AY452" s="26"/>
      <c r="AZ452" s="26"/>
      <c r="BA452" s="26"/>
      <c r="BB452" s="26"/>
      <c r="BC452" s="26"/>
      <c r="BD452" s="27"/>
    </row>
    <row r="453" spans="1:56" ht="15" customHeight="1">
      <c r="A453" s="28"/>
      <c r="B453" s="28"/>
      <c r="C453" s="28"/>
      <c r="D453" s="28"/>
      <c r="E453" s="28"/>
      <c r="F453" s="29"/>
      <c r="G453" s="28"/>
      <c r="H453" s="29"/>
      <c r="I453" s="28"/>
      <c r="J453" s="29"/>
      <c r="K453" s="28"/>
      <c r="L453" s="29"/>
      <c r="M453" s="28"/>
      <c r="N453" s="29"/>
      <c r="O453" s="28"/>
      <c r="P453" s="29"/>
      <c r="Q453" s="28"/>
      <c r="R453" s="29"/>
      <c r="S453" s="28"/>
      <c r="T453" s="29"/>
      <c r="U453" s="28"/>
      <c r="V453" s="29"/>
      <c r="W453" s="28"/>
      <c r="X453" s="29"/>
      <c r="Y453" s="28"/>
      <c r="Z453" s="29"/>
      <c r="AA453" s="28"/>
      <c r="AB453" s="29"/>
      <c r="AC453" s="28"/>
      <c r="AD453" s="29"/>
      <c r="AE453" s="28"/>
      <c r="AF453" s="29"/>
      <c r="AG453" s="28"/>
      <c r="AH453" s="29"/>
      <c r="AI453" s="28"/>
      <c r="AJ453" s="29"/>
      <c r="AK453" s="28"/>
      <c r="AL453" s="29"/>
      <c r="AM453" s="28"/>
      <c r="AN453" s="29"/>
      <c r="AO453" s="28"/>
      <c r="AP453" s="29"/>
      <c r="AQ453" s="28"/>
      <c r="AR453" s="29"/>
      <c r="AS453" s="25"/>
      <c r="AT453" s="25"/>
      <c r="AU453" s="25"/>
      <c r="AV453" s="26"/>
      <c r="AW453" s="26"/>
      <c r="AX453" s="26"/>
      <c r="AY453" s="26"/>
      <c r="AZ453" s="26"/>
      <c r="BA453" s="26"/>
      <c r="BB453" s="26"/>
      <c r="BC453" s="26"/>
      <c r="BD453" s="27"/>
    </row>
    <row r="454" spans="1:56" ht="15" customHeight="1">
      <c r="A454" s="9"/>
      <c r="B454" s="9"/>
      <c r="C454" s="9"/>
      <c r="D454" s="9"/>
      <c r="E454" s="9"/>
      <c r="F454" s="24"/>
      <c r="G454" s="9"/>
      <c r="H454" s="24"/>
      <c r="I454" s="9"/>
      <c r="J454" s="24"/>
      <c r="K454" s="9"/>
      <c r="L454" s="24"/>
      <c r="M454" s="9"/>
      <c r="N454" s="24"/>
      <c r="O454" s="9"/>
      <c r="P454" s="24"/>
      <c r="Q454" s="9"/>
      <c r="R454" s="24"/>
      <c r="S454" s="9"/>
      <c r="T454" s="24"/>
      <c r="U454" s="9"/>
      <c r="V454" s="24"/>
      <c r="W454" s="9"/>
      <c r="X454" s="24"/>
      <c r="Y454" s="9"/>
      <c r="Z454" s="24"/>
      <c r="AA454" s="9"/>
      <c r="AB454" s="24"/>
      <c r="AC454" s="9"/>
      <c r="AD454" s="24"/>
      <c r="AE454" s="9"/>
      <c r="AF454" s="24"/>
      <c r="AG454" s="9"/>
      <c r="AH454" s="24"/>
      <c r="AI454" s="9"/>
      <c r="AJ454" s="24"/>
      <c r="AK454" s="9"/>
      <c r="AL454" s="24"/>
      <c r="AM454" s="9"/>
      <c r="AN454" s="24"/>
      <c r="AO454" s="9"/>
      <c r="AP454" s="24"/>
      <c r="AQ454" s="9"/>
      <c r="AR454" s="24"/>
      <c r="AS454" s="25"/>
      <c r="AT454" s="25"/>
      <c r="AU454" s="25"/>
      <c r="AV454" s="26"/>
      <c r="AW454" s="26"/>
      <c r="AX454" s="26"/>
      <c r="AY454" s="26"/>
      <c r="AZ454" s="26"/>
      <c r="BA454" s="26"/>
      <c r="BB454" s="26"/>
      <c r="BC454" s="26"/>
      <c r="BD454" s="27"/>
    </row>
    <row r="455" spans="1:56" ht="15" customHeight="1">
      <c r="A455" s="28"/>
      <c r="B455" s="28"/>
      <c r="C455" s="28"/>
      <c r="D455" s="28"/>
      <c r="E455" s="28"/>
      <c r="F455" s="29"/>
      <c r="G455" s="28"/>
      <c r="H455" s="29"/>
      <c r="I455" s="28"/>
      <c r="J455" s="29"/>
      <c r="K455" s="28"/>
      <c r="L455" s="29"/>
      <c r="M455" s="28"/>
      <c r="N455" s="29"/>
      <c r="O455" s="28"/>
      <c r="P455" s="29"/>
      <c r="Q455" s="28"/>
      <c r="R455" s="29"/>
      <c r="S455" s="28"/>
      <c r="T455" s="29"/>
      <c r="U455" s="28"/>
      <c r="V455" s="29"/>
      <c r="W455" s="28"/>
      <c r="X455" s="29"/>
      <c r="Y455" s="28"/>
      <c r="Z455" s="29"/>
      <c r="AA455" s="28"/>
      <c r="AB455" s="29"/>
      <c r="AC455" s="28"/>
      <c r="AD455" s="29"/>
      <c r="AE455" s="28"/>
      <c r="AF455" s="29"/>
      <c r="AG455" s="28"/>
      <c r="AH455" s="29"/>
      <c r="AI455" s="28"/>
      <c r="AJ455" s="29"/>
      <c r="AK455" s="28"/>
      <c r="AL455" s="29"/>
      <c r="AM455" s="28"/>
      <c r="AN455" s="29"/>
      <c r="AO455" s="28"/>
      <c r="AP455" s="29"/>
      <c r="AQ455" s="28"/>
      <c r="AR455" s="29"/>
      <c r="AS455" s="25"/>
      <c r="AT455" s="25"/>
      <c r="AU455" s="25"/>
      <c r="AV455" s="26"/>
      <c r="AW455" s="26"/>
      <c r="AX455" s="26"/>
      <c r="AY455" s="26"/>
      <c r="AZ455" s="26"/>
      <c r="BA455" s="26"/>
      <c r="BB455" s="26"/>
      <c r="BC455" s="26"/>
      <c r="BD455" s="27"/>
    </row>
    <row r="456" spans="1:56" ht="15" customHeight="1">
      <c r="A456" s="9"/>
      <c r="B456" s="9"/>
      <c r="C456" s="9"/>
      <c r="D456" s="9"/>
      <c r="E456" s="9"/>
      <c r="F456" s="24"/>
      <c r="G456" s="9"/>
      <c r="H456" s="24"/>
      <c r="I456" s="9"/>
      <c r="J456" s="24"/>
      <c r="K456" s="9"/>
      <c r="L456" s="24"/>
      <c r="M456" s="9"/>
      <c r="N456" s="24"/>
      <c r="O456" s="9"/>
      <c r="P456" s="24"/>
      <c r="Q456" s="9"/>
      <c r="R456" s="24"/>
      <c r="S456" s="9"/>
      <c r="T456" s="24"/>
      <c r="U456" s="9"/>
      <c r="V456" s="24"/>
      <c r="W456" s="9"/>
      <c r="X456" s="24"/>
      <c r="Y456" s="9"/>
      <c r="Z456" s="24"/>
      <c r="AA456" s="9"/>
      <c r="AB456" s="24"/>
      <c r="AC456" s="9"/>
      <c r="AD456" s="24"/>
      <c r="AE456" s="9"/>
      <c r="AF456" s="24"/>
      <c r="AG456" s="9"/>
      <c r="AH456" s="24"/>
      <c r="AI456" s="9"/>
      <c r="AJ456" s="24"/>
      <c r="AK456" s="9"/>
      <c r="AL456" s="24"/>
      <c r="AM456" s="9"/>
      <c r="AN456" s="24"/>
      <c r="AO456" s="9"/>
      <c r="AP456" s="24"/>
      <c r="AQ456" s="9"/>
      <c r="AR456" s="24"/>
      <c r="AS456" s="25"/>
      <c r="AT456" s="25"/>
      <c r="AU456" s="25"/>
      <c r="AV456" s="26"/>
      <c r="AW456" s="26"/>
      <c r="AX456" s="26"/>
      <c r="AY456" s="26"/>
      <c r="AZ456" s="26"/>
      <c r="BA456" s="26"/>
      <c r="BB456" s="26"/>
      <c r="BC456" s="26"/>
      <c r="BD456" s="27"/>
    </row>
    <row r="457" spans="1:56" ht="15" customHeight="1">
      <c r="A457" s="28"/>
      <c r="B457" s="28"/>
      <c r="C457" s="28"/>
      <c r="D457" s="28"/>
      <c r="E457" s="28"/>
      <c r="F457" s="29"/>
      <c r="G457" s="28"/>
      <c r="H457" s="29"/>
      <c r="I457" s="28"/>
      <c r="J457" s="29"/>
      <c r="K457" s="28"/>
      <c r="L457" s="29"/>
      <c r="M457" s="28"/>
      <c r="N457" s="29"/>
      <c r="O457" s="28"/>
      <c r="P457" s="29"/>
      <c r="Q457" s="28"/>
      <c r="R457" s="29"/>
      <c r="S457" s="28"/>
      <c r="T457" s="29"/>
      <c r="U457" s="28"/>
      <c r="V457" s="29"/>
      <c r="W457" s="28"/>
      <c r="X457" s="29"/>
      <c r="Y457" s="28"/>
      <c r="Z457" s="29"/>
      <c r="AA457" s="28"/>
      <c r="AB457" s="29"/>
      <c r="AC457" s="28"/>
      <c r="AD457" s="29"/>
      <c r="AE457" s="28"/>
      <c r="AF457" s="29"/>
      <c r="AG457" s="28"/>
      <c r="AH457" s="29"/>
      <c r="AI457" s="28"/>
      <c r="AJ457" s="29"/>
      <c r="AK457" s="28"/>
      <c r="AL457" s="29"/>
      <c r="AM457" s="28"/>
      <c r="AN457" s="29"/>
      <c r="AO457" s="28"/>
      <c r="AP457" s="29"/>
      <c r="AQ457" s="28"/>
      <c r="AR457" s="29"/>
      <c r="AS457" s="25"/>
      <c r="AT457" s="25"/>
      <c r="AU457" s="25"/>
      <c r="AV457" s="26"/>
      <c r="AW457" s="26"/>
      <c r="AX457" s="26"/>
      <c r="AY457" s="26"/>
      <c r="AZ457" s="26"/>
      <c r="BA457" s="26"/>
      <c r="BB457" s="26"/>
      <c r="BC457" s="26"/>
      <c r="BD457" s="27"/>
    </row>
    <row r="458" spans="1:56" ht="15" customHeight="1">
      <c r="A458" s="9"/>
      <c r="B458" s="9"/>
      <c r="C458" s="9"/>
      <c r="D458" s="9"/>
      <c r="E458" s="9"/>
      <c r="F458" s="24"/>
      <c r="G458" s="9"/>
      <c r="H458" s="24"/>
      <c r="I458" s="9"/>
      <c r="J458" s="24"/>
      <c r="K458" s="9"/>
      <c r="L458" s="24"/>
      <c r="M458" s="9"/>
      <c r="N458" s="24"/>
      <c r="O458" s="9"/>
      <c r="P458" s="24"/>
      <c r="Q458" s="9"/>
      <c r="R458" s="24"/>
      <c r="S458" s="9"/>
      <c r="T458" s="24"/>
      <c r="U458" s="9"/>
      <c r="V458" s="24"/>
      <c r="W458" s="9"/>
      <c r="X458" s="24"/>
      <c r="Y458" s="9"/>
      <c r="Z458" s="24"/>
      <c r="AA458" s="9"/>
      <c r="AB458" s="24"/>
      <c r="AC458" s="9"/>
      <c r="AD458" s="24"/>
      <c r="AE458" s="9"/>
      <c r="AF458" s="24"/>
      <c r="AG458" s="9"/>
      <c r="AH458" s="24"/>
      <c r="AI458" s="9"/>
      <c r="AJ458" s="24"/>
      <c r="AK458" s="9"/>
      <c r="AL458" s="24"/>
      <c r="AM458" s="9"/>
      <c r="AN458" s="24"/>
      <c r="AO458" s="9"/>
      <c r="AP458" s="24"/>
      <c r="AQ458" s="9"/>
      <c r="AR458" s="24"/>
      <c r="AS458" s="25"/>
      <c r="AT458" s="25"/>
      <c r="AU458" s="25"/>
      <c r="AV458" s="26"/>
      <c r="AW458" s="26"/>
      <c r="AX458" s="26"/>
      <c r="AY458" s="26"/>
      <c r="AZ458" s="26"/>
      <c r="BA458" s="26"/>
      <c r="BB458" s="26"/>
      <c r="BC458" s="26"/>
      <c r="BD458" s="27"/>
    </row>
    <row r="459" spans="1:56" ht="15" customHeight="1">
      <c r="A459" s="28"/>
      <c r="B459" s="28"/>
      <c r="C459" s="28"/>
      <c r="D459" s="28"/>
      <c r="E459" s="28"/>
      <c r="F459" s="29"/>
      <c r="G459" s="28"/>
      <c r="H459" s="29"/>
      <c r="I459" s="28"/>
      <c r="J459" s="29"/>
      <c r="K459" s="28"/>
      <c r="L459" s="29"/>
      <c r="M459" s="28"/>
      <c r="N459" s="29"/>
      <c r="O459" s="28"/>
      <c r="P459" s="29"/>
      <c r="Q459" s="28"/>
      <c r="R459" s="29"/>
      <c r="S459" s="28"/>
      <c r="T459" s="29"/>
      <c r="U459" s="28"/>
      <c r="V459" s="29"/>
      <c r="W459" s="28"/>
      <c r="X459" s="29"/>
      <c r="Y459" s="28"/>
      <c r="Z459" s="29"/>
      <c r="AA459" s="28"/>
      <c r="AB459" s="29"/>
      <c r="AC459" s="28"/>
      <c r="AD459" s="29"/>
      <c r="AE459" s="28"/>
      <c r="AF459" s="29"/>
      <c r="AG459" s="28"/>
      <c r="AH459" s="29"/>
      <c r="AI459" s="28"/>
      <c r="AJ459" s="29"/>
      <c r="AK459" s="28"/>
      <c r="AL459" s="29"/>
      <c r="AM459" s="28"/>
      <c r="AN459" s="29"/>
      <c r="AO459" s="28"/>
      <c r="AP459" s="29"/>
      <c r="AQ459" s="28"/>
      <c r="AR459" s="29"/>
      <c r="AS459" s="25"/>
      <c r="AT459" s="25"/>
      <c r="AU459" s="25"/>
      <c r="AV459" s="26"/>
      <c r="AW459" s="26"/>
      <c r="AX459" s="26"/>
      <c r="AY459" s="26"/>
      <c r="AZ459" s="26"/>
      <c r="BA459" s="26"/>
      <c r="BB459" s="26"/>
      <c r="BC459" s="26"/>
      <c r="BD459" s="27"/>
    </row>
    <row r="460" spans="1:56" ht="15" customHeight="1">
      <c r="A460" s="9"/>
      <c r="B460" s="9"/>
      <c r="C460" s="9"/>
      <c r="D460" s="9"/>
      <c r="E460" s="9"/>
      <c r="F460" s="24"/>
      <c r="G460" s="9"/>
      <c r="H460" s="24"/>
      <c r="I460" s="9"/>
      <c r="J460" s="24"/>
      <c r="K460" s="9"/>
      <c r="L460" s="24"/>
      <c r="M460" s="9"/>
      <c r="N460" s="24"/>
      <c r="O460" s="9"/>
      <c r="P460" s="24"/>
      <c r="Q460" s="9"/>
      <c r="R460" s="24"/>
      <c r="S460" s="9"/>
      <c r="T460" s="24"/>
      <c r="U460" s="9"/>
      <c r="V460" s="24"/>
      <c r="W460" s="9"/>
      <c r="X460" s="24"/>
      <c r="Y460" s="9"/>
      <c r="Z460" s="24"/>
      <c r="AA460" s="9"/>
      <c r="AB460" s="24"/>
      <c r="AC460" s="9"/>
      <c r="AD460" s="24"/>
      <c r="AE460" s="9"/>
      <c r="AF460" s="24"/>
      <c r="AG460" s="9"/>
      <c r="AH460" s="24"/>
      <c r="AI460" s="9"/>
      <c r="AJ460" s="24"/>
      <c r="AK460" s="9"/>
      <c r="AL460" s="24"/>
      <c r="AM460" s="9"/>
      <c r="AN460" s="24"/>
      <c r="AO460" s="9"/>
      <c r="AP460" s="24"/>
      <c r="AQ460" s="9"/>
      <c r="AR460" s="24"/>
      <c r="AS460" s="25"/>
      <c r="AT460" s="25"/>
      <c r="AU460" s="25"/>
      <c r="AV460" s="26"/>
      <c r="AW460" s="26"/>
      <c r="AX460" s="26"/>
      <c r="AY460" s="26"/>
      <c r="AZ460" s="26"/>
      <c r="BA460" s="26"/>
      <c r="BB460" s="26"/>
      <c r="BC460" s="26"/>
      <c r="BD460" s="27"/>
    </row>
    <row r="461" spans="1:56" ht="15" customHeight="1">
      <c r="A461" s="28"/>
      <c r="B461" s="28"/>
      <c r="C461" s="28"/>
      <c r="D461" s="28"/>
      <c r="E461" s="28"/>
      <c r="F461" s="29"/>
      <c r="G461" s="28"/>
      <c r="H461" s="29"/>
      <c r="I461" s="28"/>
      <c r="J461" s="29"/>
      <c r="K461" s="28"/>
      <c r="L461" s="29"/>
      <c r="M461" s="28"/>
      <c r="N461" s="29"/>
      <c r="O461" s="28"/>
      <c r="P461" s="29"/>
      <c r="Q461" s="28"/>
      <c r="R461" s="29"/>
      <c r="S461" s="28"/>
      <c r="T461" s="29"/>
      <c r="U461" s="28"/>
      <c r="V461" s="29"/>
      <c r="W461" s="28"/>
      <c r="X461" s="29"/>
      <c r="Y461" s="28"/>
      <c r="Z461" s="29"/>
      <c r="AA461" s="28"/>
      <c r="AB461" s="29"/>
      <c r="AC461" s="28"/>
      <c r="AD461" s="29"/>
      <c r="AE461" s="28"/>
      <c r="AF461" s="29"/>
      <c r="AG461" s="28"/>
      <c r="AH461" s="29"/>
      <c r="AI461" s="28"/>
      <c r="AJ461" s="29"/>
      <c r="AK461" s="28"/>
      <c r="AL461" s="29"/>
      <c r="AM461" s="28"/>
      <c r="AN461" s="29"/>
      <c r="AO461" s="28"/>
      <c r="AP461" s="29"/>
      <c r="AQ461" s="28"/>
      <c r="AR461" s="29"/>
      <c r="AS461" s="25"/>
      <c r="AT461" s="25"/>
      <c r="AU461" s="25"/>
      <c r="AV461" s="26"/>
      <c r="AW461" s="26"/>
      <c r="AX461" s="26"/>
      <c r="AY461" s="26"/>
      <c r="AZ461" s="26"/>
      <c r="BA461" s="26"/>
      <c r="BB461" s="26"/>
      <c r="BC461" s="26"/>
      <c r="BD461" s="27"/>
    </row>
    <row r="462" spans="1:56" ht="15" customHeight="1">
      <c r="A462" s="9"/>
      <c r="B462" s="9"/>
      <c r="C462" s="9"/>
      <c r="D462" s="9"/>
      <c r="E462" s="9"/>
      <c r="F462" s="24"/>
      <c r="G462" s="9"/>
      <c r="H462" s="24"/>
      <c r="I462" s="9"/>
      <c r="J462" s="24"/>
      <c r="K462" s="9"/>
      <c r="L462" s="24"/>
      <c r="M462" s="9"/>
      <c r="N462" s="24"/>
      <c r="O462" s="9"/>
      <c r="P462" s="24"/>
      <c r="Q462" s="9"/>
      <c r="R462" s="24"/>
      <c r="S462" s="9"/>
      <c r="T462" s="24"/>
      <c r="U462" s="9"/>
      <c r="V462" s="24"/>
      <c r="W462" s="9"/>
      <c r="X462" s="24"/>
      <c r="Y462" s="9"/>
      <c r="Z462" s="24"/>
      <c r="AA462" s="9"/>
      <c r="AB462" s="24"/>
      <c r="AC462" s="9"/>
      <c r="AD462" s="24"/>
      <c r="AE462" s="9"/>
      <c r="AF462" s="24"/>
      <c r="AG462" s="9"/>
      <c r="AH462" s="24"/>
      <c r="AI462" s="9"/>
      <c r="AJ462" s="24"/>
      <c r="AK462" s="9"/>
      <c r="AL462" s="24"/>
      <c r="AM462" s="9"/>
      <c r="AN462" s="24"/>
      <c r="AO462" s="9"/>
      <c r="AP462" s="24"/>
      <c r="AQ462" s="9"/>
      <c r="AR462" s="24"/>
      <c r="AS462" s="25"/>
      <c r="AT462" s="25"/>
      <c r="AU462" s="25"/>
      <c r="AV462" s="26"/>
      <c r="AW462" s="26"/>
      <c r="AX462" s="26"/>
      <c r="AY462" s="26"/>
      <c r="AZ462" s="26"/>
      <c r="BA462" s="26"/>
      <c r="BB462" s="26"/>
      <c r="BC462" s="26"/>
      <c r="BD462" s="27"/>
    </row>
    <row r="463" spans="1:56" ht="15" customHeight="1">
      <c r="A463" s="28"/>
      <c r="B463" s="28"/>
      <c r="C463" s="28"/>
      <c r="D463" s="28"/>
      <c r="E463" s="28"/>
      <c r="F463" s="29"/>
      <c r="G463" s="28"/>
      <c r="H463" s="29"/>
      <c r="I463" s="28"/>
      <c r="J463" s="29"/>
      <c r="K463" s="28"/>
      <c r="L463" s="29"/>
      <c r="M463" s="28"/>
      <c r="N463" s="29"/>
      <c r="O463" s="28"/>
      <c r="P463" s="29"/>
      <c r="Q463" s="28"/>
      <c r="R463" s="29"/>
      <c r="S463" s="28"/>
      <c r="T463" s="29"/>
      <c r="U463" s="28"/>
      <c r="V463" s="29"/>
      <c r="W463" s="28"/>
      <c r="X463" s="29"/>
      <c r="Y463" s="28"/>
      <c r="Z463" s="29"/>
      <c r="AA463" s="28"/>
      <c r="AB463" s="29"/>
      <c r="AC463" s="28"/>
      <c r="AD463" s="29"/>
      <c r="AE463" s="28"/>
      <c r="AF463" s="29"/>
      <c r="AG463" s="28"/>
      <c r="AH463" s="29"/>
      <c r="AI463" s="28"/>
      <c r="AJ463" s="29"/>
      <c r="AK463" s="28"/>
      <c r="AL463" s="29"/>
      <c r="AM463" s="28"/>
      <c r="AN463" s="29"/>
      <c r="AO463" s="28"/>
      <c r="AP463" s="29"/>
      <c r="AQ463" s="28"/>
      <c r="AR463" s="29"/>
      <c r="AS463" s="25"/>
      <c r="AT463" s="25"/>
      <c r="AU463" s="25"/>
      <c r="AV463" s="26"/>
      <c r="AW463" s="26"/>
      <c r="AX463" s="26"/>
      <c r="AY463" s="26"/>
      <c r="AZ463" s="26"/>
      <c r="BA463" s="26"/>
      <c r="BB463" s="26"/>
      <c r="BC463" s="26"/>
      <c r="BD463" s="27"/>
    </row>
    <row r="464" spans="1:56" ht="15" customHeight="1">
      <c r="A464" s="9"/>
      <c r="B464" s="9"/>
      <c r="C464" s="9"/>
      <c r="D464" s="9"/>
      <c r="E464" s="9"/>
      <c r="F464" s="24"/>
      <c r="G464" s="9"/>
      <c r="H464" s="24"/>
      <c r="I464" s="9"/>
      <c r="J464" s="24"/>
      <c r="K464" s="9"/>
      <c r="L464" s="24"/>
      <c r="M464" s="9"/>
      <c r="N464" s="24"/>
      <c r="O464" s="9"/>
      <c r="P464" s="24"/>
      <c r="Q464" s="9"/>
      <c r="R464" s="24"/>
      <c r="S464" s="9"/>
      <c r="T464" s="24"/>
      <c r="U464" s="9"/>
      <c r="V464" s="24"/>
      <c r="W464" s="9"/>
      <c r="X464" s="24"/>
      <c r="Y464" s="9"/>
      <c r="Z464" s="24"/>
      <c r="AA464" s="9"/>
      <c r="AB464" s="24"/>
      <c r="AC464" s="9"/>
      <c r="AD464" s="24"/>
      <c r="AE464" s="9"/>
      <c r="AF464" s="24"/>
      <c r="AG464" s="9"/>
      <c r="AH464" s="24"/>
      <c r="AI464" s="9"/>
      <c r="AJ464" s="24"/>
      <c r="AK464" s="9"/>
      <c r="AL464" s="24"/>
      <c r="AM464" s="9"/>
      <c r="AN464" s="24"/>
      <c r="AO464" s="9"/>
      <c r="AP464" s="24"/>
      <c r="AQ464" s="9"/>
      <c r="AR464" s="24"/>
      <c r="AS464" s="25"/>
      <c r="AT464" s="25"/>
      <c r="AU464" s="25"/>
      <c r="AV464" s="26"/>
      <c r="AW464" s="26"/>
      <c r="AX464" s="26"/>
      <c r="AY464" s="26"/>
      <c r="AZ464" s="26"/>
      <c r="BA464" s="26"/>
      <c r="BB464" s="26"/>
      <c r="BC464" s="26"/>
      <c r="BD464" s="27"/>
    </row>
    <row r="465" spans="1:56" ht="15" customHeight="1">
      <c r="A465" s="28"/>
      <c r="B465" s="28"/>
      <c r="C465" s="28"/>
      <c r="D465" s="28"/>
      <c r="E465" s="28"/>
      <c r="F465" s="29"/>
      <c r="G465" s="28"/>
      <c r="H465" s="29"/>
      <c r="I465" s="28"/>
      <c r="J465" s="29"/>
      <c r="K465" s="28"/>
      <c r="L465" s="29"/>
      <c r="M465" s="28"/>
      <c r="N465" s="29"/>
      <c r="O465" s="28"/>
      <c r="P465" s="29"/>
      <c r="Q465" s="28"/>
      <c r="R465" s="29"/>
      <c r="S465" s="28"/>
      <c r="T465" s="29"/>
      <c r="U465" s="28"/>
      <c r="V465" s="29"/>
      <c r="W465" s="28"/>
      <c r="X465" s="29"/>
      <c r="Y465" s="28"/>
      <c r="Z465" s="29"/>
      <c r="AA465" s="28"/>
      <c r="AB465" s="29"/>
      <c r="AC465" s="28"/>
      <c r="AD465" s="29"/>
      <c r="AE465" s="28"/>
      <c r="AF465" s="29"/>
      <c r="AG465" s="28"/>
      <c r="AH465" s="29"/>
      <c r="AI465" s="28"/>
      <c r="AJ465" s="29"/>
      <c r="AK465" s="28"/>
      <c r="AL465" s="29"/>
      <c r="AM465" s="28"/>
      <c r="AN465" s="29"/>
      <c r="AO465" s="28"/>
      <c r="AP465" s="29"/>
      <c r="AQ465" s="28"/>
      <c r="AR465" s="29"/>
      <c r="AS465" s="25"/>
      <c r="AT465" s="25"/>
      <c r="AU465" s="25"/>
      <c r="AV465" s="26"/>
      <c r="AW465" s="26"/>
      <c r="AX465" s="26"/>
      <c r="AY465" s="26"/>
      <c r="AZ465" s="26"/>
      <c r="BA465" s="26"/>
      <c r="BB465" s="26"/>
      <c r="BC465" s="26"/>
      <c r="BD465" s="27"/>
    </row>
    <row r="466" spans="1:56" ht="15" customHeight="1">
      <c r="A466" s="9"/>
      <c r="B466" s="9"/>
      <c r="C466" s="9"/>
      <c r="D466" s="9"/>
      <c r="E466" s="9"/>
      <c r="F466" s="24"/>
      <c r="G466" s="9"/>
      <c r="H466" s="24"/>
      <c r="I466" s="9"/>
      <c r="J466" s="24"/>
      <c r="K466" s="9"/>
      <c r="L466" s="24"/>
      <c r="M466" s="9"/>
      <c r="N466" s="24"/>
      <c r="O466" s="9"/>
      <c r="P466" s="24"/>
      <c r="Q466" s="9"/>
      <c r="R466" s="24"/>
      <c r="S466" s="9"/>
      <c r="T466" s="24"/>
      <c r="U466" s="9"/>
      <c r="V466" s="24"/>
      <c r="W466" s="9"/>
      <c r="X466" s="24"/>
      <c r="Y466" s="9"/>
      <c r="Z466" s="24"/>
      <c r="AA466" s="9"/>
      <c r="AB466" s="24"/>
      <c r="AC466" s="9"/>
      <c r="AD466" s="24"/>
      <c r="AE466" s="9"/>
      <c r="AF466" s="24"/>
      <c r="AG466" s="9"/>
      <c r="AH466" s="24"/>
      <c r="AI466" s="9"/>
      <c r="AJ466" s="24"/>
      <c r="AK466" s="9"/>
      <c r="AL466" s="24"/>
      <c r="AM466" s="9"/>
      <c r="AN466" s="24"/>
      <c r="AO466" s="9"/>
      <c r="AP466" s="24"/>
      <c r="AQ466" s="9"/>
      <c r="AR466" s="24"/>
      <c r="AS466" s="25"/>
      <c r="AT466" s="25"/>
      <c r="AU466" s="25"/>
      <c r="AV466" s="26"/>
      <c r="AW466" s="26"/>
      <c r="AX466" s="26"/>
      <c r="AY466" s="26"/>
      <c r="AZ466" s="26"/>
      <c r="BA466" s="26"/>
      <c r="BB466" s="26"/>
      <c r="BC466" s="26"/>
      <c r="BD466" s="27"/>
    </row>
    <row r="467" spans="1:56" ht="15" customHeight="1">
      <c r="A467" s="28"/>
      <c r="B467" s="28"/>
      <c r="C467" s="28"/>
      <c r="D467" s="28"/>
      <c r="E467" s="28"/>
      <c r="F467" s="29"/>
      <c r="G467" s="28"/>
      <c r="H467" s="29"/>
      <c r="I467" s="28"/>
      <c r="J467" s="29"/>
      <c r="K467" s="28"/>
      <c r="L467" s="29"/>
      <c r="M467" s="28"/>
      <c r="N467" s="29"/>
      <c r="O467" s="28"/>
      <c r="P467" s="29"/>
      <c r="Q467" s="28"/>
      <c r="R467" s="29"/>
      <c r="S467" s="28"/>
      <c r="T467" s="29"/>
      <c r="U467" s="28"/>
      <c r="V467" s="29"/>
      <c r="W467" s="28"/>
      <c r="X467" s="29"/>
      <c r="Y467" s="28"/>
      <c r="Z467" s="29"/>
      <c r="AA467" s="28"/>
      <c r="AB467" s="29"/>
      <c r="AC467" s="28"/>
      <c r="AD467" s="29"/>
      <c r="AE467" s="28"/>
      <c r="AF467" s="29"/>
      <c r="AG467" s="28"/>
      <c r="AH467" s="29"/>
      <c r="AI467" s="28"/>
      <c r="AJ467" s="29"/>
      <c r="AK467" s="28"/>
      <c r="AL467" s="29"/>
      <c r="AM467" s="28"/>
      <c r="AN467" s="29"/>
      <c r="AO467" s="28"/>
      <c r="AP467" s="29"/>
      <c r="AQ467" s="28"/>
      <c r="AR467" s="29"/>
      <c r="AS467" s="25"/>
      <c r="AT467" s="25"/>
      <c r="AU467" s="25"/>
      <c r="AV467" s="26"/>
      <c r="AW467" s="26"/>
      <c r="AX467" s="26"/>
      <c r="AY467" s="26"/>
      <c r="AZ467" s="26"/>
      <c r="BA467" s="26"/>
      <c r="BB467" s="26"/>
      <c r="BC467" s="26"/>
      <c r="BD467" s="27"/>
    </row>
    <row r="468" spans="1:56" ht="15" customHeight="1">
      <c r="A468" s="9"/>
      <c r="B468" s="9"/>
      <c r="C468" s="9"/>
      <c r="D468" s="9"/>
      <c r="E468" s="9"/>
      <c r="F468" s="24"/>
      <c r="G468" s="9"/>
      <c r="H468" s="24"/>
      <c r="I468" s="9"/>
      <c r="J468" s="24"/>
      <c r="K468" s="9"/>
      <c r="L468" s="24"/>
      <c r="M468" s="9"/>
      <c r="N468" s="24"/>
      <c r="O468" s="9"/>
      <c r="P468" s="24"/>
      <c r="Q468" s="9"/>
      <c r="R468" s="24"/>
      <c r="S468" s="9"/>
      <c r="T468" s="24"/>
      <c r="U468" s="9"/>
      <c r="V468" s="24"/>
      <c r="W468" s="9"/>
      <c r="X468" s="24"/>
      <c r="Y468" s="9"/>
      <c r="Z468" s="24"/>
      <c r="AA468" s="9"/>
      <c r="AB468" s="24"/>
      <c r="AC468" s="9"/>
      <c r="AD468" s="24"/>
      <c r="AE468" s="9"/>
      <c r="AF468" s="24"/>
      <c r="AG468" s="9"/>
      <c r="AH468" s="24"/>
      <c r="AI468" s="9"/>
      <c r="AJ468" s="24"/>
      <c r="AK468" s="9"/>
      <c r="AL468" s="24"/>
      <c r="AM468" s="9"/>
      <c r="AN468" s="24"/>
      <c r="AO468" s="9"/>
      <c r="AP468" s="24"/>
      <c r="AQ468" s="9"/>
      <c r="AR468" s="24"/>
      <c r="AS468" s="25"/>
      <c r="AT468" s="25"/>
      <c r="AU468" s="25"/>
      <c r="AV468" s="26"/>
      <c r="AW468" s="26"/>
      <c r="AX468" s="26"/>
      <c r="AY468" s="26"/>
      <c r="AZ468" s="26"/>
      <c r="BA468" s="26"/>
      <c r="BB468" s="26"/>
      <c r="BC468" s="26"/>
      <c r="BD468" s="27"/>
    </row>
    <row r="469" spans="1:56" ht="15" customHeight="1">
      <c r="A469" s="28"/>
      <c r="B469" s="28"/>
      <c r="C469" s="28"/>
      <c r="D469" s="28"/>
      <c r="E469" s="28"/>
      <c r="F469" s="29"/>
      <c r="G469" s="28"/>
      <c r="H469" s="29"/>
      <c r="I469" s="28"/>
      <c r="J469" s="29"/>
      <c r="K469" s="28"/>
      <c r="L469" s="29"/>
      <c r="M469" s="28"/>
      <c r="N469" s="29"/>
      <c r="O469" s="28"/>
      <c r="P469" s="29"/>
      <c r="Q469" s="28"/>
      <c r="R469" s="29"/>
      <c r="S469" s="28"/>
      <c r="T469" s="29"/>
      <c r="U469" s="28"/>
      <c r="V469" s="29"/>
      <c r="W469" s="28"/>
      <c r="X469" s="29"/>
      <c r="Y469" s="28"/>
      <c r="Z469" s="29"/>
      <c r="AA469" s="28"/>
      <c r="AB469" s="29"/>
      <c r="AC469" s="28"/>
      <c r="AD469" s="29"/>
      <c r="AE469" s="28"/>
      <c r="AF469" s="29"/>
      <c r="AG469" s="28"/>
      <c r="AH469" s="29"/>
      <c r="AI469" s="28"/>
      <c r="AJ469" s="29"/>
      <c r="AK469" s="28"/>
      <c r="AL469" s="29"/>
      <c r="AM469" s="28"/>
      <c r="AN469" s="29"/>
      <c r="AO469" s="28"/>
      <c r="AP469" s="29"/>
      <c r="AQ469" s="28"/>
      <c r="AR469" s="29"/>
      <c r="AS469" s="25"/>
      <c r="AT469" s="25"/>
      <c r="AU469" s="25"/>
      <c r="AV469" s="26"/>
      <c r="AW469" s="26"/>
      <c r="AX469" s="26"/>
      <c r="AY469" s="26"/>
      <c r="AZ469" s="26"/>
      <c r="BA469" s="26"/>
      <c r="BB469" s="26"/>
      <c r="BC469" s="26"/>
      <c r="BD469" s="27"/>
    </row>
    <row r="470" spans="1:56" ht="15" customHeight="1">
      <c r="A470" s="9"/>
      <c r="B470" s="9"/>
      <c r="C470" s="9"/>
      <c r="D470" s="9"/>
      <c r="E470" s="9"/>
      <c r="F470" s="24"/>
      <c r="G470" s="9"/>
      <c r="H470" s="24"/>
      <c r="I470" s="9"/>
      <c r="J470" s="24"/>
      <c r="K470" s="9"/>
      <c r="L470" s="24"/>
      <c r="M470" s="9"/>
      <c r="N470" s="24"/>
      <c r="O470" s="9"/>
      <c r="P470" s="24"/>
      <c r="Q470" s="9"/>
      <c r="R470" s="24"/>
      <c r="S470" s="9"/>
      <c r="T470" s="24"/>
      <c r="U470" s="9"/>
      <c r="V470" s="24"/>
      <c r="W470" s="9"/>
      <c r="X470" s="24"/>
      <c r="Y470" s="9"/>
      <c r="Z470" s="24"/>
      <c r="AA470" s="9"/>
      <c r="AB470" s="24"/>
      <c r="AC470" s="9"/>
      <c r="AD470" s="24"/>
      <c r="AE470" s="9"/>
      <c r="AF470" s="24"/>
      <c r="AG470" s="9"/>
      <c r="AH470" s="24"/>
      <c r="AI470" s="9"/>
      <c r="AJ470" s="24"/>
      <c r="AK470" s="9"/>
      <c r="AL470" s="24"/>
      <c r="AM470" s="9"/>
      <c r="AN470" s="24"/>
      <c r="AO470" s="9"/>
      <c r="AP470" s="24"/>
      <c r="AQ470" s="9"/>
      <c r="AR470" s="24"/>
      <c r="AS470" s="25"/>
      <c r="AT470" s="25"/>
      <c r="AU470" s="25"/>
      <c r="AV470" s="26"/>
      <c r="AW470" s="26"/>
      <c r="AX470" s="26"/>
      <c r="AY470" s="26"/>
      <c r="AZ470" s="26"/>
      <c r="BA470" s="26"/>
      <c r="BB470" s="26"/>
      <c r="BC470" s="26"/>
      <c r="BD470" s="27"/>
    </row>
    <row r="471" spans="1:56" ht="15" customHeight="1">
      <c r="A471" s="28"/>
      <c r="B471" s="28"/>
      <c r="C471" s="28"/>
      <c r="D471" s="28"/>
      <c r="E471" s="28"/>
      <c r="F471" s="29"/>
      <c r="G471" s="28"/>
      <c r="H471" s="29"/>
      <c r="I471" s="28"/>
      <c r="J471" s="29"/>
      <c r="K471" s="28"/>
      <c r="L471" s="29"/>
      <c r="M471" s="28"/>
      <c r="N471" s="29"/>
      <c r="O471" s="28"/>
      <c r="P471" s="29"/>
      <c r="Q471" s="28"/>
      <c r="R471" s="29"/>
      <c r="S471" s="28"/>
      <c r="T471" s="29"/>
      <c r="U471" s="28"/>
      <c r="V471" s="29"/>
      <c r="W471" s="28"/>
      <c r="X471" s="29"/>
      <c r="Y471" s="28"/>
      <c r="Z471" s="29"/>
      <c r="AA471" s="28"/>
      <c r="AB471" s="29"/>
      <c r="AC471" s="28"/>
      <c r="AD471" s="29"/>
      <c r="AE471" s="28"/>
      <c r="AF471" s="29"/>
      <c r="AG471" s="28"/>
      <c r="AH471" s="29"/>
      <c r="AI471" s="28"/>
      <c r="AJ471" s="29"/>
      <c r="AK471" s="28"/>
      <c r="AL471" s="29"/>
      <c r="AM471" s="28"/>
      <c r="AN471" s="29"/>
      <c r="AO471" s="28"/>
      <c r="AP471" s="29"/>
      <c r="AQ471" s="28"/>
      <c r="AR471" s="29"/>
      <c r="AS471" s="25"/>
      <c r="AT471" s="25"/>
      <c r="AU471" s="25"/>
      <c r="AV471" s="26"/>
      <c r="AW471" s="26"/>
      <c r="AX471" s="26"/>
      <c r="AY471" s="26"/>
      <c r="AZ471" s="26"/>
      <c r="BA471" s="26"/>
      <c r="BB471" s="26"/>
      <c r="BC471" s="26"/>
      <c r="BD471" s="27"/>
    </row>
    <row r="472" spans="1:56" ht="15" customHeight="1">
      <c r="A472" s="9"/>
      <c r="B472" s="9"/>
      <c r="C472" s="9"/>
      <c r="D472" s="9"/>
      <c r="E472" s="9"/>
      <c r="F472" s="24"/>
      <c r="G472" s="9"/>
      <c r="H472" s="24"/>
      <c r="I472" s="9"/>
      <c r="J472" s="24"/>
      <c r="K472" s="9"/>
      <c r="L472" s="24"/>
      <c r="M472" s="9"/>
      <c r="N472" s="24"/>
      <c r="O472" s="9"/>
      <c r="P472" s="24"/>
      <c r="Q472" s="9"/>
      <c r="R472" s="24"/>
      <c r="S472" s="9"/>
      <c r="T472" s="24"/>
      <c r="U472" s="9"/>
      <c r="V472" s="24"/>
      <c r="W472" s="9"/>
      <c r="X472" s="24"/>
      <c r="Y472" s="9"/>
      <c r="Z472" s="24"/>
      <c r="AA472" s="9"/>
      <c r="AB472" s="24"/>
      <c r="AC472" s="9"/>
      <c r="AD472" s="24"/>
      <c r="AE472" s="9"/>
      <c r="AF472" s="24"/>
      <c r="AG472" s="9"/>
      <c r="AH472" s="24"/>
      <c r="AI472" s="9"/>
      <c r="AJ472" s="24"/>
      <c r="AK472" s="9"/>
      <c r="AL472" s="24"/>
      <c r="AM472" s="9"/>
      <c r="AN472" s="24"/>
      <c r="AO472" s="9"/>
      <c r="AP472" s="24"/>
      <c r="AQ472" s="9"/>
      <c r="AR472" s="24"/>
      <c r="AS472" s="25"/>
      <c r="AT472" s="25"/>
      <c r="AU472" s="25"/>
      <c r="AV472" s="26"/>
      <c r="AW472" s="26"/>
      <c r="AX472" s="26"/>
      <c r="AY472" s="26"/>
      <c r="AZ472" s="26"/>
      <c r="BA472" s="26"/>
      <c r="BB472" s="26"/>
      <c r="BC472" s="26"/>
      <c r="BD472" s="27"/>
    </row>
    <row r="473" spans="1:56" ht="15" customHeight="1">
      <c r="A473" s="28"/>
      <c r="B473" s="28"/>
      <c r="C473" s="28"/>
      <c r="D473" s="28"/>
      <c r="E473" s="28"/>
      <c r="F473" s="29"/>
      <c r="G473" s="28"/>
      <c r="H473" s="29"/>
      <c r="I473" s="28"/>
      <c r="J473" s="29"/>
      <c r="K473" s="28"/>
      <c r="L473" s="29"/>
      <c r="M473" s="28"/>
      <c r="N473" s="29"/>
      <c r="O473" s="28"/>
      <c r="P473" s="29"/>
      <c r="Q473" s="28"/>
      <c r="R473" s="29"/>
      <c r="S473" s="28"/>
      <c r="T473" s="29"/>
      <c r="U473" s="28"/>
      <c r="V473" s="29"/>
      <c r="W473" s="28"/>
      <c r="X473" s="29"/>
      <c r="Y473" s="28"/>
      <c r="Z473" s="29"/>
      <c r="AA473" s="28"/>
      <c r="AB473" s="29"/>
      <c r="AC473" s="28"/>
      <c r="AD473" s="29"/>
      <c r="AE473" s="28"/>
      <c r="AF473" s="29"/>
      <c r="AG473" s="28"/>
      <c r="AH473" s="29"/>
      <c r="AI473" s="28"/>
      <c r="AJ473" s="29"/>
      <c r="AK473" s="28"/>
      <c r="AL473" s="29"/>
      <c r="AM473" s="28"/>
      <c r="AN473" s="29"/>
      <c r="AO473" s="28"/>
      <c r="AP473" s="29"/>
      <c r="AQ473" s="28"/>
      <c r="AR473" s="29"/>
      <c r="AS473" s="25"/>
      <c r="AT473" s="25"/>
      <c r="AU473" s="25"/>
      <c r="AV473" s="26"/>
      <c r="AW473" s="26"/>
      <c r="AX473" s="26"/>
      <c r="AY473" s="26"/>
      <c r="AZ473" s="26"/>
      <c r="BA473" s="26"/>
      <c r="BB473" s="26"/>
      <c r="BC473" s="26"/>
      <c r="BD473" s="27"/>
    </row>
    <row r="474" spans="1:56" ht="15" customHeight="1">
      <c r="A474" s="9"/>
      <c r="B474" s="9"/>
      <c r="C474" s="9"/>
      <c r="D474" s="9"/>
      <c r="E474" s="9"/>
      <c r="F474" s="24"/>
      <c r="G474" s="9"/>
      <c r="H474" s="24"/>
      <c r="I474" s="9"/>
      <c r="J474" s="24"/>
      <c r="K474" s="9"/>
      <c r="L474" s="24"/>
      <c r="M474" s="9"/>
      <c r="N474" s="24"/>
      <c r="O474" s="9"/>
      <c r="P474" s="24"/>
      <c r="Q474" s="9"/>
      <c r="R474" s="24"/>
      <c r="S474" s="9"/>
      <c r="T474" s="24"/>
      <c r="U474" s="9"/>
      <c r="V474" s="24"/>
      <c r="W474" s="9"/>
      <c r="X474" s="24"/>
      <c r="Y474" s="9"/>
      <c r="Z474" s="24"/>
      <c r="AA474" s="9"/>
      <c r="AB474" s="24"/>
      <c r="AC474" s="9"/>
      <c r="AD474" s="24"/>
      <c r="AE474" s="9"/>
      <c r="AF474" s="24"/>
      <c r="AG474" s="9"/>
      <c r="AH474" s="24"/>
      <c r="AI474" s="9"/>
      <c r="AJ474" s="24"/>
      <c r="AK474" s="9"/>
      <c r="AL474" s="24"/>
      <c r="AM474" s="9"/>
      <c r="AN474" s="24"/>
      <c r="AO474" s="9"/>
      <c r="AP474" s="24"/>
      <c r="AQ474" s="9"/>
      <c r="AR474" s="24"/>
      <c r="AS474" s="25"/>
      <c r="AT474" s="25"/>
      <c r="AU474" s="25"/>
      <c r="AV474" s="26"/>
      <c r="AW474" s="26"/>
      <c r="AX474" s="26"/>
      <c r="AY474" s="26"/>
      <c r="AZ474" s="26"/>
      <c r="BA474" s="26"/>
      <c r="BB474" s="26"/>
      <c r="BC474" s="26"/>
      <c r="BD474" s="27"/>
    </row>
    <row r="475" spans="1:56" ht="15" customHeight="1">
      <c r="A475" s="28"/>
      <c r="B475" s="28"/>
      <c r="C475" s="28"/>
      <c r="D475" s="28"/>
      <c r="E475" s="28"/>
      <c r="F475" s="29"/>
      <c r="G475" s="28"/>
      <c r="H475" s="29"/>
      <c r="I475" s="28"/>
      <c r="J475" s="29"/>
      <c r="K475" s="28"/>
      <c r="L475" s="29"/>
      <c r="M475" s="28"/>
      <c r="N475" s="29"/>
      <c r="O475" s="28"/>
      <c r="P475" s="29"/>
      <c r="Q475" s="28"/>
      <c r="R475" s="29"/>
      <c r="S475" s="28"/>
      <c r="T475" s="29"/>
      <c r="U475" s="28"/>
      <c r="V475" s="29"/>
      <c r="W475" s="28"/>
      <c r="X475" s="29"/>
      <c r="Y475" s="28"/>
      <c r="Z475" s="29"/>
      <c r="AA475" s="28"/>
      <c r="AB475" s="29"/>
      <c r="AC475" s="28"/>
      <c r="AD475" s="29"/>
      <c r="AE475" s="28"/>
      <c r="AF475" s="29"/>
      <c r="AG475" s="28"/>
      <c r="AH475" s="29"/>
      <c r="AI475" s="28"/>
      <c r="AJ475" s="29"/>
      <c r="AK475" s="28"/>
      <c r="AL475" s="29"/>
      <c r="AM475" s="28"/>
      <c r="AN475" s="29"/>
      <c r="AO475" s="28"/>
      <c r="AP475" s="29"/>
      <c r="AQ475" s="28"/>
      <c r="AR475" s="29"/>
      <c r="AS475" s="25"/>
      <c r="AT475" s="25"/>
      <c r="AU475" s="25"/>
      <c r="AV475" s="26"/>
      <c r="AW475" s="26"/>
      <c r="AX475" s="26"/>
      <c r="AY475" s="26"/>
      <c r="AZ475" s="26"/>
      <c r="BA475" s="26"/>
      <c r="BB475" s="26"/>
      <c r="BC475" s="26"/>
      <c r="BD475" s="27"/>
    </row>
    <row r="476" spans="1:56" ht="15" customHeight="1">
      <c r="A476" s="9"/>
      <c r="B476" s="9"/>
      <c r="C476" s="9"/>
      <c r="D476" s="9"/>
      <c r="E476" s="9"/>
      <c r="F476" s="24"/>
      <c r="G476" s="9"/>
      <c r="H476" s="24"/>
      <c r="I476" s="9"/>
      <c r="J476" s="24"/>
      <c r="K476" s="9"/>
      <c r="L476" s="24"/>
      <c r="M476" s="9"/>
      <c r="N476" s="24"/>
      <c r="O476" s="9"/>
      <c r="P476" s="24"/>
      <c r="Q476" s="9"/>
      <c r="R476" s="24"/>
      <c r="S476" s="9"/>
      <c r="T476" s="24"/>
      <c r="U476" s="9"/>
      <c r="V476" s="24"/>
      <c r="W476" s="9"/>
      <c r="X476" s="24"/>
      <c r="Y476" s="9"/>
      <c r="Z476" s="24"/>
      <c r="AA476" s="9"/>
      <c r="AB476" s="24"/>
      <c r="AC476" s="9"/>
      <c r="AD476" s="24"/>
      <c r="AE476" s="9"/>
      <c r="AF476" s="24"/>
      <c r="AG476" s="9"/>
      <c r="AH476" s="24"/>
      <c r="AI476" s="9"/>
      <c r="AJ476" s="24"/>
      <c r="AK476" s="9"/>
      <c r="AL476" s="24"/>
      <c r="AM476" s="9"/>
      <c r="AN476" s="24"/>
      <c r="AO476" s="9"/>
      <c r="AP476" s="24"/>
      <c r="AQ476" s="9"/>
      <c r="AR476" s="24"/>
      <c r="AS476" s="25"/>
      <c r="AT476" s="25"/>
      <c r="AU476" s="25"/>
      <c r="AV476" s="26"/>
      <c r="AW476" s="26"/>
      <c r="AX476" s="26"/>
      <c r="AY476" s="26"/>
      <c r="AZ476" s="26"/>
      <c r="BA476" s="26"/>
      <c r="BB476" s="26"/>
      <c r="BC476" s="26"/>
      <c r="BD476" s="27"/>
    </row>
    <row r="477" spans="1:56" ht="15" customHeight="1">
      <c r="A477" s="28"/>
      <c r="B477" s="28"/>
      <c r="C477" s="28"/>
      <c r="D477" s="28"/>
      <c r="E477" s="28"/>
      <c r="F477" s="29"/>
      <c r="G477" s="28"/>
      <c r="H477" s="29"/>
      <c r="I477" s="28"/>
      <c r="J477" s="29"/>
      <c r="K477" s="28"/>
      <c r="L477" s="29"/>
      <c r="M477" s="28"/>
      <c r="N477" s="29"/>
      <c r="O477" s="28"/>
      <c r="P477" s="29"/>
      <c r="Q477" s="28"/>
      <c r="R477" s="29"/>
      <c r="S477" s="28"/>
      <c r="T477" s="29"/>
      <c r="U477" s="28"/>
      <c r="V477" s="29"/>
      <c r="W477" s="28"/>
      <c r="X477" s="29"/>
      <c r="Y477" s="28"/>
      <c r="Z477" s="29"/>
      <c r="AA477" s="28"/>
      <c r="AB477" s="29"/>
      <c r="AC477" s="28"/>
      <c r="AD477" s="29"/>
      <c r="AE477" s="28"/>
      <c r="AF477" s="29"/>
      <c r="AG477" s="28"/>
      <c r="AH477" s="29"/>
      <c r="AI477" s="28"/>
      <c r="AJ477" s="29"/>
      <c r="AK477" s="28"/>
      <c r="AL477" s="29"/>
      <c r="AM477" s="28"/>
      <c r="AN477" s="29"/>
      <c r="AO477" s="28"/>
      <c r="AP477" s="29"/>
      <c r="AQ477" s="28"/>
      <c r="AR477" s="29"/>
      <c r="AS477" s="25"/>
      <c r="AT477" s="25"/>
      <c r="AU477" s="25"/>
      <c r="AV477" s="26"/>
      <c r="AW477" s="26"/>
      <c r="AX477" s="26"/>
      <c r="AY477" s="26"/>
      <c r="AZ477" s="26"/>
      <c r="BA477" s="26"/>
      <c r="BB477" s="26"/>
      <c r="BC477" s="26"/>
      <c r="BD477" s="27"/>
    </row>
    <row r="478" spans="1:56" ht="15" customHeight="1">
      <c r="A478" s="9"/>
      <c r="B478" s="9"/>
      <c r="C478" s="9"/>
      <c r="D478" s="9"/>
      <c r="E478" s="9"/>
      <c r="F478" s="24"/>
      <c r="G478" s="9"/>
      <c r="H478" s="24"/>
      <c r="I478" s="9"/>
      <c r="J478" s="24"/>
      <c r="K478" s="9"/>
      <c r="L478" s="24"/>
      <c r="M478" s="9"/>
      <c r="N478" s="24"/>
      <c r="O478" s="9"/>
      <c r="P478" s="24"/>
      <c r="Q478" s="9"/>
      <c r="R478" s="24"/>
      <c r="S478" s="9"/>
      <c r="T478" s="24"/>
      <c r="U478" s="9"/>
      <c r="V478" s="24"/>
      <c r="W478" s="9"/>
      <c r="X478" s="24"/>
      <c r="Y478" s="9"/>
      <c r="Z478" s="24"/>
      <c r="AA478" s="9"/>
      <c r="AB478" s="24"/>
      <c r="AC478" s="9"/>
      <c r="AD478" s="24"/>
      <c r="AE478" s="9"/>
      <c r="AF478" s="24"/>
      <c r="AG478" s="9"/>
      <c r="AH478" s="24"/>
      <c r="AI478" s="9"/>
      <c r="AJ478" s="24"/>
      <c r="AK478" s="9"/>
      <c r="AL478" s="24"/>
      <c r="AM478" s="9"/>
      <c r="AN478" s="24"/>
      <c r="AO478" s="9"/>
      <c r="AP478" s="24"/>
      <c r="AQ478" s="9"/>
      <c r="AR478" s="24"/>
      <c r="AS478" s="25"/>
      <c r="AT478" s="25"/>
      <c r="AU478" s="25"/>
      <c r="AV478" s="26"/>
      <c r="AW478" s="26"/>
      <c r="AX478" s="26"/>
      <c r="AY478" s="26"/>
      <c r="AZ478" s="26"/>
      <c r="BA478" s="26"/>
      <c r="BB478" s="26"/>
      <c r="BC478" s="26"/>
      <c r="BD478" s="27"/>
    </row>
    <row r="479" spans="1:56" ht="15" customHeight="1">
      <c r="A479" s="28"/>
      <c r="B479" s="28"/>
      <c r="C479" s="28"/>
      <c r="D479" s="28"/>
      <c r="E479" s="28"/>
      <c r="F479" s="29"/>
      <c r="G479" s="28"/>
      <c r="H479" s="29"/>
      <c r="I479" s="28"/>
      <c r="J479" s="29"/>
      <c r="K479" s="28"/>
      <c r="L479" s="29"/>
      <c r="M479" s="28"/>
      <c r="N479" s="29"/>
      <c r="O479" s="28"/>
      <c r="P479" s="29"/>
      <c r="Q479" s="28"/>
      <c r="R479" s="29"/>
      <c r="S479" s="28"/>
      <c r="T479" s="29"/>
      <c r="U479" s="28"/>
      <c r="V479" s="29"/>
      <c r="W479" s="28"/>
      <c r="X479" s="29"/>
      <c r="Y479" s="28"/>
      <c r="Z479" s="29"/>
      <c r="AA479" s="28"/>
      <c r="AB479" s="29"/>
      <c r="AC479" s="28"/>
      <c r="AD479" s="29"/>
      <c r="AE479" s="28"/>
      <c r="AF479" s="29"/>
      <c r="AG479" s="28"/>
      <c r="AH479" s="29"/>
      <c r="AI479" s="28"/>
      <c r="AJ479" s="29"/>
      <c r="AK479" s="28"/>
      <c r="AL479" s="29"/>
      <c r="AM479" s="28"/>
      <c r="AN479" s="29"/>
      <c r="AO479" s="28"/>
      <c r="AP479" s="29"/>
      <c r="AQ479" s="28"/>
      <c r="AR479" s="29"/>
      <c r="AS479" s="25"/>
      <c r="AT479" s="25"/>
      <c r="AU479" s="25"/>
      <c r="AV479" s="26"/>
      <c r="AW479" s="26"/>
      <c r="AX479" s="26"/>
      <c r="AY479" s="26"/>
      <c r="AZ479" s="26"/>
      <c r="BA479" s="26"/>
      <c r="BB479" s="26"/>
      <c r="BC479" s="26"/>
      <c r="BD479" s="27"/>
    </row>
    <row r="480" spans="1:56" ht="15" customHeight="1">
      <c r="A480" s="9"/>
      <c r="B480" s="9"/>
      <c r="C480" s="9"/>
      <c r="D480" s="9"/>
      <c r="E480" s="9"/>
      <c r="F480" s="24"/>
      <c r="G480" s="9"/>
      <c r="H480" s="24"/>
      <c r="I480" s="9"/>
      <c r="J480" s="24"/>
      <c r="K480" s="9"/>
      <c r="L480" s="24"/>
      <c r="M480" s="9"/>
      <c r="N480" s="24"/>
      <c r="O480" s="9"/>
      <c r="P480" s="24"/>
      <c r="Q480" s="9"/>
      <c r="R480" s="24"/>
      <c r="S480" s="9"/>
      <c r="T480" s="24"/>
      <c r="U480" s="9"/>
      <c r="V480" s="24"/>
      <c r="W480" s="9"/>
      <c r="X480" s="24"/>
      <c r="Y480" s="9"/>
      <c r="Z480" s="24"/>
      <c r="AA480" s="9"/>
      <c r="AB480" s="24"/>
      <c r="AC480" s="9"/>
      <c r="AD480" s="24"/>
      <c r="AE480" s="9"/>
      <c r="AF480" s="24"/>
      <c r="AG480" s="9"/>
      <c r="AH480" s="24"/>
      <c r="AI480" s="9"/>
      <c r="AJ480" s="24"/>
      <c r="AK480" s="9"/>
      <c r="AL480" s="24"/>
      <c r="AM480" s="9"/>
      <c r="AN480" s="24"/>
      <c r="AO480" s="9"/>
      <c r="AP480" s="24"/>
      <c r="AQ480" s="9"/>
      <c r="AR480" s="24"/>
      <c r="AS480" s="25"/>
      <c r="AT480" s="25"/>
      <c r="AU480" s="25"/>
      <c r="AV480" s="26"/>
      <c r="AW480" s="26"/>
      <c r="AX480" s="26"/>
      <c r="AY480" s="26"/>
      <c r="AZ480" s="26"/>
      <c r="BA480" s="26"/>
      <c r="BB480" s="26"/>
      <c r="BC480" s="26"/>
      <c r="BD480" s="27"/>
    </row>
    <row r="481" spans="1:56" ht="15" customHeight="1">
      <c r="A481" s="28"/>
      <c r="B481" s="28"/>
      <c r="C481" s="28"/>
      <c r="D481" s="28"/>
      <c r="E481" s="28"/>
      <c r="F481" s="29"/>
      <c r="G481" s="28"/>
      <c r="H481" s="29"/>
      <c r="I481" s="28"/>
      <c r="J481" s="29"/>
      <c r="K481" s="28"/>
      <c r="L481" s="29"/>
      <c r="M481" s="28"/>
      <c r="N481" s="29"/>
      <c r="O481" s="28"/>
      <c r="P481" s="29"/>
      <c r="Q481" s="28"/>
      <c r="R481" s="29"/>
      <c r="S481" s="28"/>
      <c r="T481" s="29"/>
      <c r="U481" s="28"/>
      <c r="V481" s="29"/>
      <c r="W481" s="28"/>
      <c r="X481" s="29"/>
      <c r="Y481" s="28"/>
      <c r="Z481" s="29"/>
      <c r="AA481" s="28"/>
      <c r="AB481" s="29"/>
      <c r="AC481" s="28"/>
      <c r="AD481" s="29"/>
      <c r="AE481" s="28"/>
      <c r="AF481" s="29"/>
      <c r="AG481" s="28"/>
      <c r="AH481" s="29"/>
      <c r="AI481" s="28"/>
      <c r="AJ481" s="29"/>
      <c r="AK481" s="28"/>
      <c r="AL481" s="29"/>
      <c r="AM481" s="28"/>
      <c r="AN481" s="29"/>
      <c r="AO481" s="28"/>
      <c r="AP481" s="29"/>
      <c r="AQ481" s="28"/>
      <c r="AR481" s="29"/>
      <c r="AS481" s="25"/>
      <c r="AT481" s="25"/>
      <c r="AU481" s="25"/>
      <c r="AV481" s="26"/>
      <c r="AW481" s="26"/>
      <c r="AX481" s="26"/>
      <c r="AY481" s="26"/>
      <c r="AZ481" s="26"/>
      <c r="BA481" s="26"/>
      <c r="BB481" s="26"/>
      <c r="BC481" s="26"/>
      <c r="BD481" s="27"/>
    </row>
    <row r="482" spans="1:56" ht="15" customHeight="1">
      <c r="A482" s="9"/>
      <c r="B482" s="9"/>
      <c r="C482" s="9"/>
      <c r="D482" s="9"/>
      <c r="E482" s="9"/>
      <c r="F482" s="24"/>
      <c r="G482" s="9"/>
      <c r="H482" s="24"/>
      <c r="I482" s="9"/>
      <c r="J482" s="24"/>
      <c r="K482" s="9"/>
      <c r="L482" s="24"/>
      <c r="M482" s="9"/>
      <c r="N482" s="24"/>
      <c r="O482" s="9"/>
      <c r="P482" s="24"/>
      <c r="Q482" s="9"/>
      <c r="R482" s="24"/>
      <c r="S482" s="9"/>
      <c r="T482" s="24"/>
      <c r="U482" s="9"/>
      <c r="V482" s="24"/>
      <c r="W482" s="9"/>
      <c r="X482" s="24"/>
      <c r="Y482" s="9"/>
      <c r="Z482" s="24"/>
      <c r="AA482" s="9"/>
      <c r="AB482" s="24"/>
      <c r="AC482" s="9"/>
      <c r="AD482" s="24"/>
      <c r="AE482" s="9"/>
      <c r="AF482" s="24"/>
      <c r="AG482" s="9"/>
      <c r="AH482" s="24"/>
      <c r="AI482" s="9"/>
      <c r="AJ482" s="24"/>
      <c r="AK482" s="9"/>
      <c r="AL482" s="24"/>
      <c r="AM482" s="9"/>
      <c r="AN482" s="24"/>
      <c r="AO482" s="9"/>
      <c r="AP482" s="24"/>
      <c r="AQ482" s="9"/>
      <c r="AR482" s="24"/>
      <c r="AS482" s="25"/>
      <c r="AT482" s="25"/>
      <c r="AU482" s="25"/>
      <c r="AV482" s="26"/>
      <c r="AW482" s="26"/>
      <c r="AX482" s="26"/>
      <c r="AY482" s="26"/>
      <c r="AZ482" s="26"/>
      <c r="BA482" s="26"/>
      <c r="BB482" s="26"/>
      <c r="BC482" s="26"/>
      <c r="BD482" s="27"/>
    </row>
    <row r="483" spans="1:56" ht="15" customHeight="1">
      <c r="A483" s="28"/>
      <c r="B483" s="28"/>
      <c r="C483" s="28"/>
      <c r="D483" s="28"/>
      <c r="E483" s="28"/>
      <c r="F483" s="29"/>
      <c r="G483" s="28"/>
      <c r="H483" s="29"/>
      <c r="I483" s="28"/>
      <c r="J483" s="29"/>
      <c r="K483" s="28"/>
      <c r="L483" s="29"/>
      <c r="M483" s="28"/>
      <c r="N483" s="29"/>
      <c r="O483" s="28"/>
      <c r="P483" s="29"/>
      <c r="Q483" s="28"/>
      <c r="R483" s="29"/>
      <c r="S483" s="28"/>
      <c r="T483" s="29"/>
      <c r="U483" s="28"/>
      <c r="V483" s="29"/>
      <c r="W483" s="28"/>
      <c r="X483" s="29"/>
      <c r="Y483" s="28"/>
      <c r="Z483" s="29"/>
      <c r="AA483" s="28"/>
      <c r="AB483" s="29"/>
      <c r="AC483" s="28"/>
      <c r="AD483" s="29"/>
      <c r="AE483" s="28"/>
      <c r="AF483" s="29"/>
      <c r="AG483" s="28"/>
      <c r="AH483" s="29"/>
      <c r="AI483" s="28"/>
      <c r="AJ483" s="29"/>
      <c r="AK483" s="28"/>
      <c r="AL483" s="29"/>
      <c r="AM483" s="28"/>
      <c r="AN483" s="29"/>
      <c r="AO483" s="28"/>
      <c r="AP483" s="29"/>
      <c r="AQ483" s="28"/>
      <c r="AR483" s="29"/>
      <c r="AS483" s="25"/>
      <c r="AT483" s="25"/>
      <c r="AU483" s="25"/>
      <c r="AV483" s="26"/>
      <c r="AW483" s="26"/>
      <c r="AX483" s="26"/>
      <c r="AY483" s="26"/>
      <c r="AZ483" s="26"/>
      <c r="BA483" s="26"/>
      <c r="BB483" s="26"/>
      <c r="BC483" s="26"/>
      <c r="BD483" s="27"/>
    </row>
    <row r="484" spans="1:56" ht="15" customHeight="1">
      <c r="A484" s="9"/>
      <c r="B484" s="9"/>
      <c r="C484" s="9"/>
      <c r="D484" s="9"/>
      <c r="E484" s="9"/>
      <c r="F484" s="24"/>
      <c r="G484" s="9"/>
      <c r="H484" s="24"/>
      <c r="I484" s="9"/>
      <c r="J484" s="24"/>
      <c r="K484" s="9"/>
      <c r="L484" s="24"/>
      <c r="M484" s="9"/>
      <c r="N484" s="24"/>
      <c r="O484" s="9"/>
      <c r="P484" s="24"/>
      <c r="Q484" s="9"/>
      <c r="R484" s="24"/>
      <c r="S484" s="9"/>
      <c r="T484" s="24"/>
      <c r="U484" s="9"/>
      <c r="V484" s="24"/>
      <c r="W484" s="9"/>
      <c r="X484" s="24"/>
      <c r="Y484" s="9"/>
      <c r="Z484" s="24"/>
      <c r="AA484" s="9"/>
      <c r="AB484" s="24"/>
      <c r="AC484" s="9"/>
      <c r="AD484" s="24"/>
      <c r="AE484" s="9"/>
      <c r="AF484" s="24"/>
      <c r="AG484" s="9"/>
      <c r="AH484" s="24"/>
      <c r="AI484" s="9"/>
      <c r="AJ484" s="24"/>
      <c r="AK484" s="9"/>
      <c r="AL484" s="24"/>
      <c r="AM484" s="9"/>
      <c r="AN484" s="24"/>
      <c r="AO484" s="9"/>
      <c r="AP484" s="24"/>
      <c r="AQ484" s="9"/>
      <c r="AR484" s="24"/>
      <c r="AS484" s="25"/>
      <c r="AT484" s="25"/>
      <c r="AU484" s="25"/>
      <c r="AV484" s="26"/>
      <c r="AW484" s="26"/>
      <c r="AX484" s="26"/>
      <c r="AY484" s="26"/>
      <c r="AZ484" s="26"/>
      <c r="BA484" s="26"/>
      <c r="BB484" s="26"/>
      <c r="BC484" s="26"/>
      <c r="BD484" s="27"/>
    </row>
    <row r="485" spans="1:56" ht="15" customHeight="1">
      <c r="A485" s="28"/>
      <c r="B485" s="28"/>
      <c r="C485" s="28"/>
      <c r="D485" s="28"/>
      <c r="E485" s="28"/>
      <c r="F485" s="29"/>
      <c r="G485" s="28"/>
      <c r="H485" s="29"/>
      <c r="I485" s="28"/>
      <c r="J485" s="29"/>
      <c r="K485" s="28"/>
      <c r="L485" s="29"/>
      <c r="M485" s="28"/>
      <c r="N485" s="29"/>
      <c r="O485" s="28"/>
      <c r="P485" s="29"/>
      <c r="Q485" s="28"/>
      <c r="R485" s="29"/>
      <c r="S485" s="28"/>
      <c r="T485" s="29"/>
      <c r="U485" s="28"/>
      <c r="V485" s="29"/>
      <c r="W485" s="28"/>
      <c r="X485" s="29"/>
      <c r="Y485" s="28"/>
      <c r="Z485" s="29"/>
      <c r="AA485" s="28"/>
      <c r="AB485" s="29"/>
      <c r="AC485" s="28"/>
      <c r="AD485" s="29"/>
      <c r="AE485" s="28"/>
      <c r="AF485" s="29"/>
      <c r="AG485" s="28"/>
      <c r="AH485" s="29"/>
      <c r="AI485" s="28"/>
      <c r="AJ485" s="29"/>
      <c r="AK485" s="28"/>
      <c r="AL485" s="29"/>
      <c r="AM485" s="28"/>
      <c r="AN485" s="29"/>
      <c r="AO485" s="28"/>
      <c r="AP485" s="29"/>
      <c r="AQ485" s="28"/>
      <c r="AR485" s="29"/>
      <c r="AS485" s="25"/>
      <c r="AT485" s="25"/>
      <c r="AU485" s="25"/>
      <c r="AV485" s="26"/>
      <c r="AW485" s="26"/>
      <c r="AX485" s="26"/>
      <c r="AY485" s="26"/>
      <c r="AZ485" s="26"/>
      <c r="BA485" s="26"/>
      <c r="BB485" s="26"/>
      <c r="BC485" s="26"/>
      <c r="BD485" s="27"/>
    </row>
    <row r="486" spans="1:56" ht="15" customHeight="1">
      <c r="A486" s="9"/>
      <c r="B486" s="9"/>
      <c r="C486" s="9"/>
      <c r="D486" s="9"/>
      <c r="E486" s="9"/>
      <c r="F486" s="24"/>
      <c r="G486" s="9"/>
      <c r="H486" s="24"/>
      <c r="I486" s="9"/>
      <c r="J486" s="24"/>
      <c r="K486" s="9"/>
      <c r="L486" s="24"/>
      <c r="M486" s="9"/>
      <c r="N486" s="24"/>
      <c r="O486" s="9"/>
      <c r="P486" s="24"/>
      <c r="Q486" s="9"/>
      <c r="R486" s="24"/>
      <c r="S486" s="9"/>
      <c r="T486" s="24"/>
      <c r="U486" s="9"/>
      <c r="V486" s="24"/>
      <c r="W486" s="9"/>
      <c r="X486" s="24"/>
      <c r="Y486" s="9"/>
      <c r="Z486" s="24"/>
      <c r="AA486" s="9"/>
      <c r="AB486" s="24"/>
      <c r="AC486" s="9"/>
      <c r="AD486" s="24"/>
      <c r="AE486" s="9"/>
      <c r="AF486" s="24"/>
      <c r="AG486" s="9"/>
      <c r="AH486" s="24"/>
      <c r="AI486" s="9"/>
      <c r="AJ486" s="24"/>
      <c r="AK486" s="9"/>
      <c r="AL486" s="24"/>
      <c r="AM486" s="9"/>
      <c r="AN486" s="24"/>
      <c r="AO486" s="9"/>
      <c r="AP486" s="24"/>
      <c r="AQ486" s="9"/>
      <c r="AR486" s="24"/>
      <c r="AS486" s="25"/>
      <c r="AT486" s="25"/>
      <c r="AU486" s="25"/>
      <c r="AV486" s="26"/>
      <c r="AW486" s="26"/>
      <c r="AX486" s="26"/>
      <c r="AY486" s="26"/>
      <c r="AZ486" s="26"/>
      <c r="BA486" s="26"/>
      <c r="BB486" s="26"/>
      <c r="BC486" s="26"/>
      <c r="BD486" s="27"/>
    </row>
    <row r="487" spans="1:56" ht="15" customHeight="1">
      <c r="A487" s="28"/>
      <c r="B487" s="28"/>
      <c r="C487" s="28"/>
      <c r="D487" s="28"/>
      <c r="E487" s="28"/>
      <c r="F487" s="29"/>
      <c r="G487" s="28"/>
      <c r="H487" s="29"/>
      <c r="I487" s="28"/>
      <c r="J487" s="29"/>
      <c r="K487" s="28"/>
      <c r="L487" s="29"/>
      <c r="M487" s="28"/>
      <c r="N487" s="29"/>
      <c r="O487" s="28"/>
      <c r="P487" s="29"/>
      <c r="Q487" s="28"/>
      <c r="R487" s="29"/>
      <c r="S487" s="28"/>
      <c r="T487" s="29"/>
      <c r="U487" s="28"/>
      <c r="V487" s="29"/>
      <c r="W487" s="28"/>
      <c r="X487" s="29"/>
      <c r="Y487" s="28"/>
      <c r="Z487" s="29"/>
      <c r="AA487" s="28"/>
      <c r="AB487" s="29"/>
      <c r="AC487" s="28"/>
      <c r="AD487" s="29"/>
      <c r="AE487" s="28"/>
      <c r="AF487" s="29"/>
      <c r="AG487" s="28"/>
      <c r="AH487" s="29"/>
      <c r="AI487" s="28"/>
      <c r="AJ487" s="29"/>
      <c r="AK487" s="28"/>
      <c r="AL487" s="29"/>
      <c r="AM487" s="28"/>
      <c r="AN487" s="29"/>
      <c r="AO487" s="28"/>
      <c r="AP487" s="29"/>
      <c r="AQ487" s="28"/>
      <c r="AR487" s="29"/>
      <c r="AS487" s="25"/>
      <c r="AT487" s="25"/>
      <c r="AU487" s="25"/>
      <c r="AV487" s="26"/>
      <c r="AW487" s="26"/>
      <c r="AX487" s="26"/>
      <c r="AY487" s="26"/>
      <c r="AZ487" s="26"/>
      <c r="BA487" s="26"/>
      <c r="BB487" s="26"/>
      <c r="BC487" s="26"/>
      <c r="BD487" s="27"/>
    </row>
    <row r="488" spans="1:56" ht="15" customHeight="1">
      <c r="A488" s="9"/>
      <c r="B488" s="9"/>
      <c r="C488" s="9"/>
      <c r="D488" s="9"/>
      <c r="E488" s="9"/>
      <c r="F488" s="24"/>
      <c r="G488" s="9"/>
      <c r="H488" s="24"/>
      <c r="I488" s="9"/>
      <c r="J488" s="24"/>
      <c r="K488" s="9"/>
      <c r="L488" s="24"/>
      <c r="M488" s="9"/>
      <c r="N488" s="24"/>
      <c r="O488" s="9"/>
      <c r="P488" s="24"/>
      <c r="Q488" s="9"/>
      <c r="R488" s="24"/>
      <c r="S488" s="9"/>
      <c r="T488" s="24"/>
      <c r="U488" s="9"/>
      <c r="V488" s="24"/>
      <c r="W488" s="9"/>
      <c r="X488" s="24"/>
      <c r="Y488" s="9"/>
      <c r="Z488" s="24"/>
      <c r="AA488" s="9"/>
      <c r="AB488" s="24"/>
      <c r="AC488" s="9"/>
      <c r="AD488" s="24"/>
      <c r="AE488" s="9"/>
      <c r="AF488" s="24"/>
      <c r="AG488" s="9"/>
      <c r="AH488" s="24"/>
      <c r="AI488" s="9"/>
      <c r="AJ488" s="24"/>
      <c r="AK488" s="9"/>
      <c r="AL488" s="24"/>
      <c r="AM488" s="9"/>
      <c r="AN488" s="24"/>
      <c r="AO488" s="9"/>
      <c r="AP488" s="24"/>
      <c r="AQ488" s="9"/>
      <c r="AR488" s="24"/>
      <c r="AS488" s="25"/>
      <c r="AT488" s="25"/>
      <c r="AU488" s="25"/>
      <c r="AV488" s="26"/>
      <c r="AW488" s="26"/>
      <c r="AX488" s="26"/>
      <c r="AY488" s="26"/>
      <c r="AZ488" s="26"/>
      <c r="BA488" s="26"/>
      <c r="BB488" s="26"/>
      <c r="BC488" s="26"/>
      <c r="BD488" s="27"/>
    </row>
    <row r="489" spans="1:56" ht="15" customHeight="1">
      <c r="A489" s="28"/>
      <c r="B489" s="28"/>
      <c r="C489" s="28"/>
      <c r="D489" s="28"/>
      <c r="E489" s="28"/>
      <c r="F489" s="29"/>
      <c r="G489" s="28"/>
      <c r="H489" s="29"/>
      <c r="I489" s="28"/>
      <c r="J489" s="29"/>
      <c r="K489" s="28"/>
      <c r="L489" s="29"/>
      <c r="M489" s="28"/>
      <c r="N489" s="29"/>
      <c r="O489" s="28"/>
      <c r="P489" s="29"/>
      <c r="Q489" s="28"/>
      <c r="R489" s="29"/>
      <c r="S489" s="28"/>
      <c r="T489" s="29"/>
      <c r="U489" s="28"/>
      <c r="V489" s="29"/>
      <c r="W489" s="28"/>
      <c r="X489" s="29"/>
      <c r="Y489" s="28"/>
      <c r="Z489" s="29"/>
      <c r="AA489" s="28"/>
      <c r="AB489" s="29"/>
      <c r="AC489" s="28"/>
      <c r="AD489" s="29"/>
      <c r="AE489" s="28"/>
      <c r="AF489" s="29"/>
      <c r="AG489" s="28"/>
      <c r="AH489" s="29"/>
      <c r="AI489" s="28"/>
      <c r="AJ489" s="29"/>
      <c r="AK489" s="28"/>
      <c r="AL489" s="29"/>
      <c r="AM489" s="28"/>
      <c r="AN489" s="29"/>
      <c r="AO489" s="28"/>
      <c r="AP489" s="29"/>
      <c r="AQ489" s="28"/>
      <c r="AR489" s="29"/>
      <c r="AS489" s="25"/>
      <c r="AT489" s="25"/>
      <c r="AU489" s="25"/>
      <c r="AV489" s="26"/>
      <c r="AW489" s="26"/>
      <c r="AX489" s="26"/>
      <c r="AY489" s="26"/>
      <c r="AZ489" s="26"/>
      <c r="BA489" s="26"/>
      <c r="BB489" s="26"/>
      <c r="BC489" s="26"/>
      <c r="BD489" s="27"/>
    </row>
    <row r="490" spans="1:56" ht="15" customHeight="1">
      <c r="A490" s="9"/>
      <c r="B490" s="9"/>
      <c r="C490" s="9"/>
      <c r="D490" s="9"/>
      <c r="E490" s="9"/>
      <c r="F490" s="24"/>
      <c r="G490" s="9"/>
      <c r="H490" s="24"/>
      <c r="I490" s="9"/>
      <c r="J490" s="24"/>
      <c r="K490" s="9"/>
      <c r="L490" s="24"/>
      <c r="M490" s="9"/>
      <c r="N490" s="24"/>
      <c r="O490" s="9"/>
      <c r="P490" s="24"/>
      <c r="Q490" s="9"/>
      <c r="R490" s="24"/>
      <c r="S490" s="9"/>
      <c r="T490" s="24"/>
      <c r="U490" s="9"/>
      <c r="V490" s="24"/>
      <c r="W490" s="9"/>
      <c r="X490" s="24"/>
      <c r="Y490" s="9"/>
      <c r="Z490" s="24"/>
      <c r="AA490" s="9"/>
      <c r="AB490" s="24"/>
      <c r="AC490" s="9"/>
      <c r="AD490" s="24"/>
      <c r="AE490" s="9"/>
      <c r="AF490" s="24"/>
      <c r="AG490" s="9"/>
      <c r="AH490" s="24"/>
      <c r="AI490" s="9"/>
      <c r="AJ490" s="24"/>
      <c r="AK490" s="9"/>
      <c r="AL490" s="24"/>
      <c r="AM490" s="9"/>
      <c r="AN490" s="24"/>
      <c r="AO490" s="9"/>
      <c r="AP490" s="24"/>
      <c r="AQ490" s="9"/>
      <c r="AR490" s="24"/>
      <c r="AS490" s="25"/>
      <c r="AT490" s="25"/>
      <c r="AU490" s="25"/>
      <c r="AV490" s="26"/>
      <c r="AW490" s="26"/>
      <c r="AX490" s="26"/>
      <c r="AY490" s="26"/>
      <c r="AZ490" s="26"/>
      <c r="BA490" s="26"/>
      <c r="BB490" s="26"/>
      <c r="BC490" s="26"/>
      <c r="BD490" s="27"/>
    </row>
    <row r="491" spans="1:56" ht="15" customHeight="1">
      <c r="A491" s="28"/>
      <c r="B491" s="28"/>
      <c r="C491" s="28"/>
      <c r="D491" s="28"/>
      <c r="E491" s="28"/>
      <c r="F491" s="29"/>
      <c r="G491" s="28"/>
      <c r="H491" s="29"/>
      <c r="I491" s="28"/>
      <c r="J491" s="29"/>
      <c r="K491" s="28"/>
      <c r="L491" s="29"/>
      <c r="M491" s="28"/>
      <c r="N491" s="29"/>
      <c r="O491" s="28"/>
      <c r="P491" s="29"/>
      <c r="Q491" s="28"/>
      <c r="R491" s="29"/>
      <c r="S491" s="28"/>
      <c r="T491" s="29"/>
      <c r="U491" s="28"/>
      <c r="V491" s="29"/>
      <c r="W491" s="28"/>
      <c r="X491" s="29"/>
      <c r="Y491" s="28"/>
      <c r="Z491" s="29"/>
      <c r="AA491" s="28"/>
      <c r="AB491" s="29"/>
      <c r="AC491" s="28"/>
      <c r="AD491" s="29"/>
      <c r="AE491" s="28"/>
      <c r="AF491" s="29"/>
      <c r="AG491" s="28"/>
      <c r="AH491" s="29"/>
      <c r="AI491" s="28"/>
      <c r="AJ491" s="29"/>
      <c r="AK491" s="28"/>
      <c r="AL491" s="29"/>
      <c r="AM491" s="28"/>
      <c r="AN491" s="29"/>
      <c r="AO491" s="28"/>
      <c r="AP491" s="29"/>
      <c r="AQ491" s="28"/>
      <c r="AR491" s="29"/>
      <c r="AS491" s="25"/>
      <c r="AT491" s="25"/>
      <c r="AU491" s="25"/>
      <c r="AV491" s="26"/>
      <c r="AW491" s="26"/>
      <c r="AX491" s="26"/>
      <c r="AY491" s="26"/>
      <c r="AZ491" s="26"/>
      <c r="BA491" s="26"/>
      <c r="BB491" s="26"/>
      <c r="BC491" s="26"/>
      <c r="BD491" s="27"/>
    </row>
    <row r="492" spans="1:56" ht="15" customHeight="1">
      <c r="A492" s="9"/>
      <c r="B492" s="9"/>
      <c r="C492" s="9"/>
      <c r="D492" s="9"/>
      <c r="E492" s="9"/>
      <c r="F492" s="24"/>
      <c r="G492" s="9"/>
      <c r="H492" s="24"/>
      <c r="I492" s="9"/>
      <c r="J492" s="24"/>
      <c r="K492" s="9"/>
      <c r="L492" s="24"/>
      <c r="M492" s="9"/>
      <c r="N492" s="24"/>
      <c r="O492" s="9"/>
      <c r="P492" s="24"/>
      <c r="Q492" s="9"/>
      <c r="R492" s="24"/>
      <c r="S492" s="9"/>
      <c r="T492" s="24"/>
      <c r="U492" s="9"/>
      <c r="V492" s="24"/>
      <c r="W492" s="9"/>
      <c r="X492" s="24"/>
      <c r="Y492" s="9"/>
      <c r="Z492" s="24"/>
      <c r="AA492" s="9"/>
      <c r="AB492" s="24"/>
      <c r="AC492" s="9"/>
      <c r="AD492" s="24"/>
      <c r="AE492" s="9"/>
      <c r="AF492" s="24"/>
      <c r="AG492" s="9"/>
      <c r="AH492" s="24"/>
      <c r="AI492" s="9"/>
      <c r="AJ492" s="24"/>
      <c r="AK492" s="9"/>
      <c r="AL492" s="24"/>
      <c r="AM492" s="9"/>
      <c r="AN492" s="24"/>
      <c r="AO492" s="9"/>
      <c r="AP492" s="24"/>
      <c r="AQ492" s="9"/>
      <c r="AR492" s="24"/>
      <c r="AS492" s="25"/>
      <c r="AT492" s="25"/>
      <c r="AU492" s="25"/>
      <c r="AV492" s="26"/>
      <c r="AW492" s="26"/>
      <c r="AX492" s="26"/>
      <c r="AY492" s="26"/>
      <c r="AZ492" s="26"/>
      <c r="BA492" s="26"/>
      <c r="BB492" s="26"/>
      <c r="BC492" s="26"/>
      <c r="BD492" s="27"/>
    </row>
    <row r="493" spans="1:56" ht="15" customHeight="1">
      <c r="A493" s="28"/>
      <c r="B493" s="28"/>
      <c r="C493" s="28"/>
      <c r="D493" s="28"/>
      <c r="E493" s="28"/>
      <c r="F493" s="29"/>
      <c r="G493" s="28"/>
      <c r="H493" s="29"/>
      <c r="I493" s="28"/>
      <c r="J493" s="29"/>
      <c r="K493" s="28"/>
      <c r="L493" s="29"/>
      <c r="M493" s="28"/>
      <c r="N493" s="29"/>
      <c r="O493" s="28"/>
      <c r="P493" s="29"/>
      <c r="Q493" s="28"/>
      <c r="R493" s="29"/>
      <c r="S493" s="28"/>
      <c r="T493" s="29"/>
      <c r="U493" s="28"/>
      <c r="V493" s="29"/>
      <c r="W493" s="28"/>
      <c r="X493" s="29"/>
      <c r="Y493" s="28"/>
      <c r="Z493" s="29"/>
      <c r="AA493" s="28"/>
      <c r="AB493" s="29"/>
      <c r="AC493" s="28"/>
      <c r="AD493" s="29"/>
      <c r="AE493" s="28"/>
      <c r="AF493" s="29"/>
      <c r="AG493" s="28"/>
      <c r="AH493" s="29"/>
      <c r="AI493" s="28"/>
      <c r="AJ493" s="29"/>
      <c r="AK493" s="28"/>
      <c r="AL493" s="29"/>
      <c r="AM493" s="28"/>
      <c r="AN493" s="29"/>
      <c r="AO493" s="28"/>
      <c r="AP493" s="29"/>
      <c r="AQ493" s="28"/>
      <c r="AR493" s="29"/>
      <c r="AS493" s="25"/>
      <c r="AT493" s="25"/>
      <c r="AU493" s="25"/>
      <c r="AV493" s="26"/>
      <c r="AW493" s="26"/>
      <c r="AX493" s="26"/>
      <c r="AY493" s="26"/>
      <c r="AZ493" s="26"/>
      <c r="BA493" s="26"/>
      <c r="BB493" s="26"/>
      <c r="BC493" s="26"/>
      <c r="BD493" s="27"/>
    </row>
    <row r="494" spans="1:56" ht="15" customHeight="1">
      <c r="A494" s="9"/>
      <c r="B494" s="9"/>
      <c r="C494" s="9"/>
      <c r="D494" s="9"/>
      <c r="E494" s="9"/>
      <c r="F494" s="24"/>
      <c r="G494" s="9"/>
      <c r="H494" s="24"/>
      <c r="I494" s="9"/>
      <c r="J494" s="24"/>
      <c r="K494" s="9"/>
      <c r="L494" s="24"/>
      <c r="M494" s="9"/>
      <c r="N494" s="24"/>
      <c r="O494" s="9"/>
      <c r="P494" s="24"/>
      <c r="Q494" s="9"/>
      <c r="R494" s="24"/>
      <c r="S494" s="9"/>
      <c r="T494" s="24"/>
      <c r="U494" s="9"/>
      <c r="V494" s="24"/>
      <c r="W494" s="9"/>
      <c r="X494" s="24"/>
      <c r="Y494" s="9"/>
      <c r="Z494" s="24"/>
      <c r="AA494" s="9"/>
      <c r="AB494" s="24"/>
      <c r="AC494" s="9"/>
      <c r="AD494" s="24"/>
      <c r="AE494" s="9"/>
      <c r="AF494" s="24"/>
      <c r="AG494" s="9"/>
      <c r="AH494" s="24"/>
      <c r="AI494" s="9"/>
      <c r="AJ494" s="24"/>
      <c r="AK494" s="9"/>
      <c r="AL494" s="24"/>
      <c r="AM494" s="9"/>
      <c r="AN494" s="24"/>
      <c r="AO494" s="9"/>
      <c r="AP494" s="24"/>
      <c r="AQ494" s="9"/>
      <c r="AR494" s="24"/>
      <c r="AS494" s="25"/>
      <c r="AT494" s="25"/>
      <c r="AU494" s="25"/>
      <c r="AV494" s="26"/>
      <c r="AW494" s="26"/>
      <c r="AX494" s="26"/>
      <c r="AY494" s="26"/>
      <c r="AZ494" s="26"/>
      <c r="BA494" s="26"/>
      <c r="BB494" s="26"/>
      <c r="BC494" s="26"/>
      <c r="BD494" s="27"/>
    </row>
    <row r="495" spans="1:56" ht="15" customHeight="1">
      <c r="A495" s="28"/>
      <c r="B495" s="28"/>
      <c r="C495" s="28"/>
      <c r="D495" s="28"/>
      <c r="E495" s="28"/>
      <c r="F495" s="29"/>
      <c r="G495" s="28"/>
      <c r="H495" s="29"/>
      <c r="I495" s="28"/>
      <c r="J495" s="29"/>
      <c r="K495" s="28"/>
      <c r="L495" s="29"/>
      <c r="M495" s="28"/>
      <c r="N495" s="29"/>
      <c r="O495" s="28"/>
      <c r="P495" s="29"/>
      <c r="Q495" s="28"/>
      <c r="R495" s="29"/>
      <c r="S495" s="28"/>
      <c r="T495" s="29"/>
      <c r="U495" s="28"/>
      <c r="V495" s="29"/>
      <c r="W495" s="28"/>
      <c r="X495" s="29"/>
      <c r="Y495" s="28"/>
      <c r="Z495" s="29"/>
      <c r="AA495" s="28"/>
      <c r="AB495" s="29"/>
      <c r="AC495" s="28"/>
      <c r="AD495" s="29"/>
      <c r="AE495" s="28"/>
      <c r="AF495" s="29"/>
      <c r="AG495" s="28"/>
      <c r="AH495" s="29"/>
      <c r="AI495" s="28"/>
      <c r="AJ495" s="29"/>
      <c r="AK495" s="28"/>
      <c r="AL495" s="29"/>
      <c r="AM495" s="28"/>
      <c r="AN495" s="29"/>
      <c r="AO495" s="28"/>
      <c r="AP495" s="29"/>
      <c r="AQ495" s="28"/>
      <c r="AR495" s="29"/>
      <c r="AS495" s="25"/>
      <c r="AT495" s="25"/>
      <c r="AU495" s="25"/>
      <c r="AV495" s="26"/>
      <c r="AW495" s="26"/>
      <c r="AX495" s="26"/>
      <c r="AY495" s="26"/>
      <c r="AZ495" s="26"/>
      <c r="BA495" s="26"/>
      <c r="BB495" s="26"/>
      <c r="BC495" s="26"/>
      <c r="BD495" s="27"/>
    </row>
    <row r="496" spans="1:56" ht="15" customHeight="1">
      <c r="A496" s="9"/>
      <c r="B496" s="9"/>
      <c r="C496" s="9"/>
      <c r="D496" s="9"/>
      <c r="E496" s="9"/>
      <c r="F496" s="24"/>
      <c r="G496" s="9"/>
      <c r="H496" s="24"/>
      <c r="I496" s="9"/>
      <c r="J496" s="24"/>
      <c r="K496" s="9"/>
      <c r="L496" s="24"/>
      <c r="M496" s="9"/>
      <c r="N496" s="24"/>
      <c r="O496" s="9"/>
      <c r="P496" s="24"/>
      <c r="Q496" s="9"/>
      <c r="R496" s="24"/>
      <c r="S496" s="9"/>
      <c r="T496" s="24"/>
      <c r="U496" s="9"/>
      <c r="V496" s="24"/>
      <c r="W496" s="9"/>
      <c r="X496" s="24"/>
      <c r="Y496" s="9"/>
      <c r="Z496" s="24"/>
      <c r="AA496" s="9"/>
      <c r="AB496" s="24"/>
      <c r="AC496" s="9"/>
      <c r="AD496" s="24"/>
      <c r="AE496" s="9"/>
      <c r="AF496" s="24"/>
      <c r="AG496" s="9"/>
      <c r="AH496" s="24"/>
      <c r="AI496" s="9"/>
      <c r="AJ496" s="24"/>
      <c r="AK496" s="9"/>
      <c r="AL496" s="24"/>
      <c r="AM496" s="9"/>
      <c r="AN496" s="24"/>
      <c r="AO496" s="9"/>
      <c r="AP496" s="24"/>
      <c r="AQ496" s="9"/>
      <c r="AR496" s="24"/>
      <c r="AS496" s="25"/>
      <c r="AT496" s="25"/>
      <c r="AU496" s="25"/>
      <c r="AV496" s="26"/>
      <c r="AW496" s="26"/>
      <c r="AX496" s="26"/>
      <c r="AY496" s="26"/>
      <c r="AZ496" s="26"/>
      <c r="BA496" s="26"/>
      <c r="BB496" s="26"/>
      <c r="BC496" s="26"/>
      <c r="BD496" s="27"/>
    </row>
    <row r="497" spans="1:56" ht="15" customHeight="1">
      <c r="A497" s="28"/>
      <c r="B497" s="28"/>
      <c r="C497" s="28"/>
      <c r="D497" s="28"/>
      <c r="E497" s="28"/>
      <c r="F497" s="29"/>
      <c r="G497" s="28"/>
      <c r="H497" s="29"/>
      <c r="I497" s="28"/>
      <c r="J497" s="29"/>
      <c r="K497" s="28"/>
      <c r="L497" s="29"/>
      <c r="M497" s="28"/>
      <c r="N497" s="29"/>
      <c r="O497" s="28"/>
      <c r="P497" s="29"/>
      <c r="Q497" s="28"/>
      <c r="R497" s="29"/>
      <c r="S497" s="28"/>
      <c r="T497" s="29"/>
      <c r="U497" s="28"/>
      <c r="V497" s="29"/>
      <c r="W497" s="28"/>
      <c r="X497" s="29"/>
      <c r="Y497" s="28"/>
      <c r="Z497" s="29"/>
      <c r="AA497" s="28"/>
      <c r="AB497" s="29"/>
      <c r="AC497" s="28"/>
      <c r="AD497" s="29"/>
      <c r="AE497" s="28"/>
      <c r="AF497" s="29"/>
      <c r="AG497" s="28"/>
      <c r="AH497" s="29"/>
      <c r="AI497" s="28"/>
      <c r="AJ497" s="29"/>
      <c r="AK497" s="28"/>
      <c r="AL497" s="29"/>
      <c r="AM497" s="28"/>
      <c r="AN497" s="29"/>
      <c r="AO497" s="28"/>
      <c r="AP497" s="29"/>
      <c r="AQ497" s="28"/>
      <c r="AR497" s="29"/>
      <c r="AS497" s="25"/>
      <c r="AT497" s="25"/>
      <c r="AU497" s="25"/>
      <c r="AV497" s="26"/>
      <c r="AW497" s="26"/>
      <c r="AX497" s="26"/>
      <c r="AY497" s="26"/>
      <c r="AZ497" s="26"/>
      <c r="BA497" s="26"/>
      <c r="BB497" s="26"/>
      <c r="BC497" s="26"/>
      <c r="BD497" s="27"/>
    </row>
    <row r="498" spans="1:56" ht="15" customHeight="1">
      <c r="A498" s="9"/>
      <c r="B498" s="9"/>
      <c r="C498" s="9"/>
      <c r="D498" s="9"/>
      <c r="E498" s="9"/>
      <c r="F498" s="24"/>
      <c r="G498" s="9"/>
      <c r="H498" s="24"/>
      <c r="I498" s="9"/>
      <c r="J498" s="24"/>
      <c r="K498" s="9"/>
      <c r="L498" s="24"/>
      <c r="M498" s="9"/>
      <c r="N498" s="24"/>
      <c r="O498" s="9"/>
      <c r="P498" s="24"/>
      <c r="Q498" s="9"/>
      <c r="R498" s="24"/>
      <c r="S498" s="9"/>
      <c r="T498" s="24"/>
      <c r="U498" s="9"/>
      <c r="V498" s="24"/>
      <c r="W498" s="9"/>
      <c r="X498" s="24"/>
      <c r="Y498" s="9"/>
      <c r="Z498" s="24"/>
      <c r="AA498" s="9"/>
      <c r="AB498" s="24"/>
      <c r="AC498" s="9"/>
      <c r="AD498" s="24"/>
      <c r="AE498" s="9"/>
      <c r="AF498" s="24"/>
      <c r="AG498" s="9"/>
      <c r="AH498" s="24"/>
      <c r="AI498" s="9"/>
      <c r="AJ498" s="24"/>
      <c r="AK498" s="9"/>
      <c r="AL498" s="24"/>
      <c r="AM498" s="9"/>
      <c r="AN498" s="24"/>
      <c r="AO498" s="9"/>
      <c r="AP498" s="24"/>
      <c r="AQ498" s="9"/>
      <c r="AR498" s="24"/>
      <c r="AS498" s="25"/>
      <c r="AT498" s="25"/>
      <c r="AU498" s="25"/>
      <c r="AV498" s="26"/>
      <c r="AW498" s="26"/>
      <c r="AX498" s="26"/>
      <c r="AY498" s="26"/>
      <c r="AZ498" s="26"/>
      <c r="BA498" s="26"/>
      <c r="BB498" s="26"/>
      <c r="BC498" s="26"/>
      <c r="BD498" s="27"/>
    </row>
    <row r="499" spans="1:56" ht="15" customHeight="1">
      <c r="A499" s="28"/>
      <c r="B499" s="28"/>
      <c r="C499" s="28"/>
      <c r="D499" s="28"/>
      <c r="E499" s="28"/>
      <c r="F499" s="29"/>
      <c r="G499" s="28"/>
      <c r="H499" s="29"/>
      <c r="I499" s="28"/>
      <c r="J499" s="29"/>
      <c r="K499" s="28"/>
      <c r="L499" s="29"/>
      <c r="M499" s="28"/>
      <c r="N499" s="29"/>
      <c r="O499" s="28"/>
      <c r="P499" s="29"/>
      <c r="Q499" s="28"/>
      <c r="R499" s="29"/>
      <c r="S499" s="28"/>
      <c r="T499" s="29"/>
      <c r="U499" s="28"/>
      <c r="V499" s="29"/>
      <c r="W499" s="28"/>
      <c r="X499" s="29"/>
      <c r="Y499" s="28"/>
      <c r="Z499" s="29"/>
      <c r="AA499" s="28"/>
      <c r="AB499" s="29"/>
      <c r="AC499" s="28"/>
      <c r="AD499" s="29"/>
      <c r="AE499" s="28"/>
      <c r="AF499" s="29"/>
      <c r="AG499" s="28"/>
      <c r="AH499" s="29"/>
      <c r="AI499" s="28"/>
      <c r="AJ499" s="29"/>
      <c r="AK499" s="28"/>
      <c r="AL499" s="29"/>
      <c r="AM499" s="28"/>
      <c r="AN499" s="29"/>
      <c r="AO499" s="28"/>
      <c r="AP499" s="29"/>
      <c r="AQ499" s="28"/>
      <c r="AR499" s="29"/>
      <c r="AS499" s="25"/>
      <c r="AT499" s="25"/>
      <c r="AU499" s="25"/>
      <c r="AV499" s="26"/>
      <c r="AW499" s="26"/>
      <c r="AX499" s="26"/>
      <c r="AY499" s="26"/>
      <c r="AZ499" s="26"/>
      <c r="BA499" s="26"/>
      <c r="BB499" s="26"/>
      <c r="BC499" s="26"/>
      <c r="BD499" s="27"/>
    </row>
    <row r="500" spans="1:56" ht="15" customHeight="1">
      <c r="A500" s="9"/>
      <c r="B500" s="9"/>
      <c r="C500" s="9"/>
      <c r="D500" s="9"/>
      <c r="E500" s="9"/>
      <c r="F500" s="24"/>
      <c r="G500" s="9"/>
      <c r="H500" s="24"/>
      <c r="I500" s="9"/>
      <c r="J500" s="24"/>
      <c r="K500" s="9"/>
      <c r="L500" s="24"/>
      <c r="M500" s="9"/>
      <c r="N500" s="24"/>
      <c r="O500" s="9"/>
      <c r="P500" s="24"/>
      <c r="Q500" s="9"/>
      <c r="R500" s="24"/>
      <c r="S500" s="9"/>
      <c r="T500" s="24"/>
      <c r="U500" s="9"/>
      <c r="V500" s="24"/>
      <c r="W500" s="9"/>
      <c r="X500" s="24"/>
      <c r="Y500" s="9"/>
      <c r="Z500" s="24"/>
      <c r="AA500" s="9"/>
      <c r="AB500" s="24"/>
      <c r="AC500" s="9"/>
      <c r="AD500" s="24"/>
      <c r="AE500" s="9"/>
      <c r="AF500" s="24"/>
      <c r="AG500" s="9"/>
      <c r="AH500" s="24"/>
      <c r="AI500" s="9"/>
      <c r="AJ500" s="24"/>
      <c r="AK500" s="9"/>
      <c r="AL500" s="24"/>
      <c r="AM500" s="9"/>
      <c r="AN500" s="24"/>
      <c r="AO500" s="9"/>
      <c r="AP500" s="24"/>
      <c r="AQ500" s="9"/>
      <c r="AR500" s="24"/>
      <c r="AS500" s="25"/>
      <c r="AT500" s="25"/>
      <c r="AU500" s="25"/>
      <c r="AV500" s="26"/>
      <c r="AW500" s="26"/>
      <c r="AX500" s="26"/>
      <c r="AY500" s="26"/>
      <c r="AZ500" s="26"/>
      <c r="BA500" s="26"/>
      <c r="BB500" s="26"/>
      <c r="BC500" s="26"/>
      <c r="BD500" s="27"/>
    </row>
  </sheetData>
  <mergeCells count="1">
    <mergeCell ref="A1:BD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5E20"/>
  </sheetPr>
  <dimension ref="A1:Q1982"/>
  <sheetViews>
    <sheetView tabSelected="1" zoomScaleNormal="100" workbookViewId="0">
      <pane ySplit="2" topLeftCell="A146" activePane="bottomLeft" state="frozen"/>
      <selection pane="bottomLeft" activeCell="B2" sqref="B2"/>
    </sheetView>
  </sheetViews>
  <sheetFormatPr defaultColWidth="8.7109375" defaultRowHeight="15"/>
  <cols>
    <col min="1" max="1" width="11.28515625" style="32" bestFit="1" customWidth="1"/>
    <col min="2" max="2" width="13.42578125" bestFit="1" customWidth="1"/>
    <col min="3" max="3" width="10" bestFit="1" customWidth="1"/>
    <col min="4" max="4" width="11" bestFit="1" customWidth="1"/>
    <col min="5" max="5" width="16.7109375" bestFit="1" customWidth="1"/>
    <col min="6" max="6" width="12.28515625" bestFit="1" customWidth="1"/>
    <col min="7" max="7" width="70.5703125" bestFit="1" customWidth="1"/>
    <col min="8" max="8" width="62.28515625" bestFit="1" customWidth="1"/>
    <col min="9" max="9" width="12" bestFit="1" customWidth="1"/>
    <col min="10" max="10" width="14" bestFit="1" customWidth="1"/>
    <col min="11" max="11" width="11.7109375" bestFit="1" customWidth="1"/>
    <col min="12" max="12" width="255.7109375" bestFit="1" customWidth="1"/>
    <col min="13" max="13" width="19.42578125" bestFit="1" customWidth="1"/>
    <col min="14" max="14" width="29.28515625" bestFit="1" customWidth="1"/>
    <col min="15" max="15" width="6" bestFit="1" customWidth="1"/>
    <col min="16" max="16" width="4.42578125" bestFit="1" customWidth="1"/>
    <col min="17" max="17" width="7.5703125" bestFit="1" customWidth="1"/>
  </cols>
  <sheetData>
    <row r="1" spans="1:17" ht="36" customHeight="1">
      <c r="A1" s="64" t="s">
        <v>896</v>
      </c>
      <c r="B1" s="64"/>
      <c r="C1" s="64"/>
      <c r="D1" s="64"/>
      <c r="E1" s="64"/>
      <c r="F1" s="64"/>
      <c r="G1" s="64"/>
      <c r="H1" s="64"/>
      <c r="I1" s="64"/>
      <c r="J1" s="64"/>
      <c r="K1" s="64"/>
      <c r="L1" s="64"/>
      <c r="M1" s="64"/>
      <c r="N1" s="64"/>
      <c r="O1" s="64"/>
      <c r="P1" s="64"/>
      <c r="Q1" s="64"/>
    </row>
    <row r="2" spans="1:17" ht="43.5" customHeight="1">
      <c r="A2" s="14" t="s">
        <v>897</v>
      </c>
      <c r="B2" s="76" t="s">
        <v>898</v>
      </c>
      <c r="C2" s="76" t="s">
        <v>899</v>
      </c>
      <c r="D2" s="14" t="s">
        <v>900</v>
      </c>
      <c r="E2" s="14" t="s">
        <v>901</v>
      </c>
      <c r="F2" s="14" t="s">
        <v>902</v>
      </c>
      <c r="G2" s="14" t="s">
        <v>903</v>
      </c>
      <c r="H2" s="14" t="s">
        <v>904</v>
      </c>
      <c r="I2" s="16" t="s">
        <v>905</v>
      </c>
      <c r="J2" s="14" t="s">
        <v>906</v>
      </c>
      <c r="K2" s="31" t="s">
        <v>840</v>
      </c>
      <c r="L2" s="30" t="s">
        <v>837</v>
      </c>
      <c r="M2" s="30" t="s">
        <v>838</v>
      </c>
      <c r="N2" s="30" t="s">
        <v>839</v>
      </c>
      <c r="O2" s="30" t="s">
        <v>907</v>
      </c>
      <c r="P2" s="30" t="s">
        <v>908</v>
      </c>
      <c r="Q2" s="30" t="s">
        <v>909</v>
      </c>
    </row>
    <row r="3" spans="1:17">
      <c r="A3" s="32">
        <v>46140</v>
      </c>
      <c r="B3" s="33" t="str">
        <f>IF(A3&lt;&gt;"",CHOOSE(WEEKDAY(A3,2),"Mánudagur","Þriðjudagur","Miðvikudagur","Fimmtudagur","Föstudagur","Laugardagur","Sunnudagur"),"")</f>
        <v>Þriðjudagur</v>
      </c>
      <c r="C3" s="33">
        <f>IF(A3&lt;&gt;"",WEEKNUM(A3,21),"")</f>
        <v>18</v>
      </c>
      <c r="D3" s="34" t="s">
        <v>910</v>
      </c>
      <c r="E3" s="34" t="s">
        <v>911</v>
      </c>
      <c r="F3" s="34"/>
      <c r="G3" s="34"/>
      <c r="H3" s="34" t="s">
        <v>912</v>
      </c>
      <c r="I3" s="35"/>
      <c r="J3" s="35"/>
      <c r="K3" s="36"/>
      <c r="L3" s="26" t="str">
        <f>IF(OR(F3 = "", G3 = ""), "", IF(F3 = "Vara", IFERROR(_xlfn.SINGLE(_xlfn.XLOOKUP(G3, Vöruskrá!A:A, Vöruskrá!E:E, "")), ""), IF(F3 = "Réttur", IFERROR(_xlfn.SINGLE(_xlfn.XLOOKUP(G3, Réttabanki!A:A, Réttabanki!AS:AS, "")), ""), "")))</f>
        <v/>
      </c>
      <c r="M3" s="26" t="str">
        <f>IF(OR(F3 = "", G3 = ""), "", IF(F3 = "Vara", IFERROR(_xlfn.SINGLE(_xlfn.XLOOKUP(G3, Vöruskrá!A:A, Vöruskrá!F:F, "")), ""), IF(F3 = "Réttur", IFERROR(_xlfn.SINGLE(_xlfn.XLOOKUP(G3, Réttabanki!A:A, Réttabanki!AT:AT, "")), ""), "")))</f>
        <v/>
      </c>
      <c r="N3" s="26" t="str">
        <f>IF(OR(F3 = "", G3 = ""), "", IF(F3 = "Vara", IFERROR(_xlfn.SINGLE(_xlfn.XLOOKUP(G3, Vöruskrá!A:A, Vöruskrá!G:G, "")), ""), IF(F3 = "Réttur", IFERROR(_xlfn.SINGLE(_xlfn.XLOOKUP(G3, Réttabanki!A:A, Réttabanki!AU:AU, "")), ""), "")))</f>
        <v/>
      </c>
      <c r="O3" s="26" t="str">
        <f>IF(OR(F3 = "", G3 = "", I3 = ""), "", IF(F3 = "Vara", IFERROR(_xlfn.SINGLE(_xlfn.XLOOKUP(G3, Vöruskrá!A:A, Vöruskrá!I:I, "")) * I3 / 100, ""), IF(F3 = "Réttur", IFERROR(_xlfn.SINGLE(_xlfn.XLOOKUP(G3, Réttabanki!A:A, Réttabanki!AV:AV, "")) * I3 / 100, ""), "")))</f>
        <v/>
      </c>
      <c r="P3" s="26" t="str">
        <f>IF(OR(F3 = "", G3 = "", I3 = ""), "", IF(F3 = "Vara", IFERROR(_xlfn.SINGLE(_xlfn.XLOOKUP(G3, Vöruskrá!A:A, Vöruskrá!J:J, "")) * I3 / 100, ""), IF(F3 = "Réttur", IFERROR(_xlfn.SINGLE(_xlfn.XLOOKUP(G3, Réttabanki!A:A, Réttabanki!AW:AW, "")) * I3 / 100, ""), "")))</f>
        <v/>
      </c>
      <c r="Q3" s="26" t="str">
        <f>IF(OR(F3 = "", G3 = "", I3 = ""), "", IF(F3 = "Vara", IFERROR(_xlfn.SINGLE(_xlfn.XLOOKUP(G3, Vöruskrá!A:A, Vöruskrá!N:N, "")) * I3 / 100, ""), IF(F3 = "Réttur", IFERROR(_xlfn.SINGLE(_xlfn.XLOOKUP(G3, Réttabanki!A:A, Réttabanki!BB:BB, "")) * I3 / 100, ""), "")))</f>
        <v/>
      </c>
    </row>
    <row r="4" spans="1:17">
      <c r="B4" s="33" t="str">
        <f>IF(A4&lt;&gt;"",CHOOSE(WEEKDAY(A4,2),"Mánudagur","Þriðjudagur","Miðvikudagur","Fimmtudagur","Föstudagur","Laugardagur","Sunnudagur"),IF(B3&lt;&gt;"",B3,""))</f>
        <v>Þriðjudagur</v>
      </c>
      <c r="C4" s="33">
        <f>IF(A4&lt;&gt;"",WEEKNUM(A4,21),IF(C3&lt;&gt;"",C3,""))</f>
        <v>18</v>
      </c>
      <c r="D4" s="34" t="s">
        <v>910</v>
      </c>
      <c r="E4" s="34" t="s">
        <v>911</v>
      </c>
      <c r="F4" s="34" t="s">
        <v>913</v>
      </c>
      <c r="G4" s="34" t="s">
        <v>914</v>
      </c>
      <c r="H4" s="34" t="s">
        <v>723</v>
      </c>
      <c r="I4" s="35">
        <v>100</v>
      </c>
      <c r="J4" s="35">
        <v>120</v>
      </c>
      <c r="K4" s="36"/>
      <c r="L4" s="26" t="str">
        <f>IF(OR(F4 = "", G4 = ""), "", IF(F4 = "Vara", IFERROR(_xlfn.SINGLE(_xlfn.XLOOKUP(G4, Vöruskrá!A:A, Vöruskrá!E:E, "")), ""), IF(F4 = "Réttur", IFERROR(_xlfn.SINGLE(_xlfn.XLOOKUP(G4, Réttabanki!A:A, Réttabanki!AS:AS, "")), ""), "")))</f>
        <v/>
      </c>
      <c r="M4" s="26" t="str">
        <f>IF(OR(F4 = "", G4 = ""), "", IF(F4 = "Vara", IFERROR(_xlfn.SINGLE(_xlfn.XLOOKUP(G4, Vöruskrá!A:A, Vöruskrá!F:F, "")), ""), IF(F4 = "Réttur", IFERROR(_xlfn.SINGLE(_xlfn.XLOOKUP(G4, Réttabanki!A:A, Réttabanki!AT:AT, "")), ""), "")))</f>
        <v/>
      </c>
      <c r="N4" s="26" t="str">
        <f>IF(OR(F4 = "", G4 = ""), "", IF(F4 = "Vara", IFERROR(_xlfn.SINGLE(_xlfn.XLOOKUP(G4, Vöruskrá!A:A, Vöruskrá!G:G, "")), ""), IF(F4 = "Réttur", IFERROR(_xlfn.SINGLE(_xlfn.XLOOKUP(G4, Réttabanki!A:A, Réttabanki!AU:AU, "")), ""), "")))</f>
        <v/>
      </c>
      <c r="O4" s="26" t="str">
        <f>IF(OR(F4 = "", G4 = "", I4 = ""), "", IF(F4 = "Vara", IFERROR(_xlfn.SINGLE(_xlfn.XLOOKUP(G4, Vöruskrá!A:A, Vöruskrá!I:I, "")) * I4 / 100, ""), IF(F4 = "Réttur", IFERROR(_xlfn.SINGLE(_xlfn.XLOOKUP(G4, Réttabanki!A:A, Réttabanki!AV:AV, "")) * I4 / 100, ""), "")))</f>
        <v/>
      </c>
      <c r="P4" s="26" t="str">
        <f>IF(OR(F4 = "", G4 = "", I4 = ""), "", IF(F4 = "Vara", IFERROR(_xlfn.SINGLE(_xlfn.XLOOKUP(G4, Vöruskrá!A:A, Vöruskrá!J:J, "")) * I4 / 100, ""), IF(F4 = "Réttur", IFERROR(_xlfn.SINGLE(_xlfn.XLOOKUP(G4, Réttabanki!A:A, Réttabanki!AW:AW, "")) * I4 / 100, ""), "")))</f>
        <v/>
      </c>
      <c r="Q4" s="26" t="str">
        <f>IF(OR(F4 = "", G4 = "", I4 = ""), "", IF(F4 = "Vara", IFERROR(_xlfn.SINGLE(_xlfn.XLOOKUP(G4, Vöruskrá!A:A, Vöruskrá!N:N, "")) * I4 / 100, ""), IF(F4 = "Réttur", IFERROR(_xlfn.SINGLE(_xlfn.XLOOKUP(G4, Réttabanki!A:A, Réttabanki!BB:BB, "")) * I4 / 100, ""), "")))</f>
        <v/>
      </c>
    </row>
    <row r="5" spans="1:17">
      <c r="B5" s="33" t="str">
        <f>IF(A5&lt;&gt;"",CHOOSE(WEEKDAY(A5,2),"Mánudagur","Þriðjudagur","Miðvikudagur","Fimmtudagur","Föstudagur","Laugardagur","Sunnudagur"),IF(B4&lt;&gt;"",B4,""))</f>
        <v>Þriðjudagur</v>
      </c>
      <c r="C5" s="33">
        <f>IF(A5&lt;&gt;"",WEEKNUM(A5,21),IF(C4&lt;&gt;"",C4,""))</f>
        <v>18</v>
      </c>
      <c r="D5" s="34" t="s">
        <v>910</v>
      </c>
      <c r="E5" s="34" t="s">
        <v>911</v>
      </c>
      <c r="F5" s="34" t="s">
        <v>913</v>
      </c>
      <c r="G5" s="34" t="s">
        <v>915</v>
      </c>
      <c r="H5" s="34" t="s">
        <v>726</v>
      </c>
      <c r="I5" s="35">
        <v>100</v>
      </c>
      <c r="J5" s="35">
        <v>120</v>
      </c>
      <c r="K5" s="36"/>
      <c r="L5" s="26" t="str">
        <f>IF(OR(F5 = "", G5 = ""), "", IF(F5 = "Vara", IFERROR(_xlfn.SINGLE(_xlfn.XLOOKUP(G5, Vöruskrá!A:A, Vöruskrá!E:E, "")), ""), IF(F5 = "Réttur", IFERROR(_xlfn.SINGLE(_xlfn.XLOOKUP(G5, Réttabanki!A:A, Réttabanki!AS:AS, "")), ""), "")))</f>
        <v/>
      </c>
      <c r="M5" s="26" t="str">
        <f>IF(OR(F5 = "", G5 = ""), "", IF(F5 = "Vara", IFERROR(_xlfn.SINGLE(_xlfn.XLOOKUP(G5, Vöruskrá!A:A, Vöruskrá!F:F, "")), ""), IF(F5 = "Réttur", IFERROR(_xlfn.SINGLE(_xlfn.XLOOKUP(G5, Réttabanki!A:A, Réttabanki!AT:AT, "")), ""), "")))</f>
        <v/>
      </c>
      <c r="N5" s="26" t="str">
        <f>IF(OR(F5 = "", G5 = ""), "", IF(F5 = "Vara", IFERROR(_xlfn.SINGLE(_xlfn.XLOOKUP(G5, Vöruskrá!A:A, Vöruskrá!G:G, "")), ""), IF(F5 = "Réttur", IFERROR(_xlfn.SINGLE(_xlfn.XLOOKUP(G5, Réttabanki!A:A, Réttabanki!AU:AU, "")), ""), "")))</f>
        <v/>
      </c>
      <c r="O5" s="26" t="str">
        <f>IF(OR(F5 = "", G5 = "", I5 = ""), "", IF(F5 = "Vara", IFERROR(_xlfn.SINGLE(_xlfn.XLOOKUP(G5, Vöruskrá!A:A, Vöruskrá!I:I, "")) * I5 / 100, ""), IF(F5 = "Réttur", IFERROR(_xlfn.SINGLE(_xlfn.XLOOKUP(G5, Réttabanki!A:A, Réttabanki!AV:AV, "")) * I5 / 100, ""), "")))</f>
        <v/>
      </c>
      <c r="P5" s="26" t="str">
        <f>IF(OR(F5 = "", G5 = "", I5 = ""), "", IF(F5 = "Vara", IFERROR(_xlfn.SINGLE(_xlfn.XLOOKUP(G5, Vöruskrá!A:A, Vöruskrá!J:J, "")) * I5 / 100, ""), IF(F5 = "Réttur", IFERROR(_xlfn.SINGLE(_xlfn.XLOOKUP(G5, Réttabanki!A:A, Réttabanki!AW:AW, "")) * I5 / 100, ""), "")))</f>
        <v/>
      </c>
      <c r="Q5" s="26" t="str">
        <f>IF(OR(F5 = "", G5 = "", I5 = ""), "", IF(F5 = "Vara", IFERROR(_xlfn.SINGLE(_xlfn.XLOOKUP(G5, Vöruskrá!A:A, Vöruskrá!N:N, "")) * I5 / 100, ""), IF(F5 = "Réttur", IFERROR(_xlfn.SINGLE(_xlfn.XLOOKUP(G5, Réttabanki!A:A, Réttabanki!BB:BB, "")) * I5 / 100, ""), "")))</f>
        <v/>
      </c>
    </row>
    <row r="6" spans="1:17">
      <c r="B6" s="33" t="str">
        <f>IF(A6&lt;&gt;"",CHOOSE(WEEKDAY(A6,2),"Mánudagur","Þriðjudagur","Miðvikudagur","Fimmtudagur","Föstudagur","Laugardagur","Sunnudagur"),IF(B5&lt;&gt;"",B5,""))</f>
        <v>Þriðjudagur</v>
      </c>
      <c r="C6" s="33">
        <f>IF(A6&lt;&gt;"",WEEKNUM(A6,21),IF(C5&lt;&gt;"",C5,""))</f>
        <v>18</v>
      </c>
      <c r="D6" s="34" t="s">
        <v>910</v>
      </c>
      <c r="E6" s="34" t="s">
        <v>911</v>
      </c>
      <c r="F6" s="34" t="s">
        <v>913</v>
      </c>
      <c r="G6" s="34" t="s">
        <v>916</v>
      </c>
      <c r="H6" s="34" t="s">
        <v>727</v>
      </c>
      <c r="I6" s="35">
        <v>100</v>
      </c>
      <c r="J6" s="35">
        <v>120</v>
      </c>
      <c r="K6" s="36"/>
      <c r="L6" s="26" t="str">
        <f>IF(OR(F6 = "", G6 = ""), "", IF(F6 = "Vara", IFERROR(_xlfn.SINGLE(_xlfn.XLOOKUP(G6, Vöruskrá!A:A, Vöruskrá!E:E, "")), ""), IF(F6 = "Réttur", IFERROR(_xlfn.SINGLE(_xlfn.XLOOKUP(G6, Réttabanki!A:A, Réttabanki!AS:AS, "")), ""), "")))</f>
        <v/>
      </c>
      <c r="M6" s="26" t="str">
        <f>IF(OR(F6 = "", G6 = ""), "", IF(F6 = "Vara", IFERROR(_xlfn.SINGLE(_xlfn.XLOOKUP(G6, Vöruskrá!A:A, Vöruskrá!F:F, "")), ""), IF(F6 = "Réttur", IFERROR(_xlfn.SINGLE(_xlfn.XLOOKUP(G6, Réttabanki!A:A, Réttabanki!AT:AT, "")), ""), "")))</f>
        <v/>
      </c>
      <c r="N6" s="26" t="str">
        <f>IF(OR(F6 = "", G6 = ""), "", IF(F6 = "Vara", IFERROR(_xlfn.SINGLE(_xlfn.XLOOKUP(G6, Vöruskrá!A:A, Vöruskrá!G:G, "")), ""), IF(F6 = "Réttur", IFERROR(_xlfn.SINGLE(_xlfn.XLOOKUP(G6, Réttabanki!A:A, Réttabanki!AU:AU, "")), ""), "")))</f>
        <v/>
      </c>
      <c r="O6" s="26" t="str">
        <f>IF(OR(F6 = "", G6 = "", I6 = ""), "", IF(F6 = "Vara", IFERROR(_xlfn.SINGLE(_xlfn.XLOOKUP(G6, Vöruskrá!A:A, Vöruskrá!I:I, "")) * I6 / 100, ""), IF(F6 = "Réttur", IFERROR(_xlfn.SINGLE(_xlfn.XLOOKUP(G6, Réttabanki!A:A, Réttabanki!AV:AV, "")) * I6 / 100, ""), "")))</f>
        <v/>
      </c>
      <c r="P6" s="26" t="str">
        <f>IF(OR(F6 = "", G6 = "", I6 = ""), "", IF(F6 = "Vara", IFERROR(_xlfn.SINGLE(_xlfn.XLOOKUP(G6, Vöruskrá!A:A, Vöruskrá!J:J, "")) * I6 / 100, ""), IF(F6 = "Réttur", IFERROR(_xlfn.SINGLE(_xlfn.XLOOKUP(G6, Réttabanki!A:A, Réttabanki!AW:AW, "")) * I6 / 100, ""), "")))</f>
        <v/>
      </c>
      <c r="Q6" s="26" t="str">
        <f>IF(OR(F6 = "", G6 = "", I6 = ""), "", IF(F6 = "Vara", IFERROR(_xlfn.SINGLE(_xlfn.XLOOKUP(G6, Vöruskrá!A:A, Vöruskrá!N:N, "")) * I6 / 100, ""), IF(F6 = "Réttur", IFERROR(_xlfn.SINGLE(_xlfn.XLOOKUP(G6, Réttabanki!A:A, Réttabanki!BB:BB, "")) * I6 / 100, ""), "")))</f>
        <v/>
      </c>
    </row>
    <row r="7" spans="1:17">
      <c r="B7" s="33" t="str">
        <f>IF(A7&lt;&gt;"",CHOOSE(WEEKDAY(A7,2),"Mánudagur","Þriðjudagur","Miðvikudagur","Fimmtudagur","Föstudagur","Laugardagur","Sunnudagur"),IF(B6&lt;&gt;"",B6,""))</f>
        <v>Þriðjudagur</v>
      </c>
      <c r="C7" s="33">
        <f>IF(A7&lt;&gt;"",WEEKNUM(A7,21),IF(C6&lt;&gt;"",C6,""))</f>
        <v>18</v>
      </c>
      <c r="D7" s="34" t="s">
        <v>910</v>
      </c>
      <c r="E7" s="34" t="s">
        <v>911</v>
      </c>
      <c r="F7" s="34" t="s">
        <v>913</v>
      </c>
      <c r="G7" s="34" t="s">
        <v>917</v>
      </c>
      <c r="H7" s="34" t="s">
        <v>729</v>
      </c>
      <c r="I7" s="35">
        <v>100</v>
      </c>
      <c r="J7" s="35">
        <v>120</v>
      </c>
      <c r="K7" s="36"/>
      <c r="L7" s="26" t="str">
        <f>IF(OR(F7 = "", G7 = ""), "", IF(F7 = "Vara", IFERROR(_xlfn.SINGLE(_xlfn.XLOOKUP(G7, Vöruskrá!A:A, Vöruskrá!E:E, "")), ""), IF(F7 = "Réttur", IFERROR(_xlfn.SINGLE(_xlfn.XLOOKUP(G7, Réttabanki!A:A, Réttabanki!AS:AS, "")), ""), "")))</f>
        <v/>
      </c>
      <c r="M7" s="26" t="str">
        <f>IF(OR(F7 = "", G7 = ""), "", IF(F7 = "Vara", IFERROR(_xlfn.SINGLE(_xlfn.XLOOKUP(G7, Vöruskrá!A:A, Vöruskrá!F:F, "")), ""), IF(F7 = "Réttur", IFERROR(_xlfn.SINGLE(_xlfn.XLOOKUP(G7, Réttabanki!A:A, Réttabanki!AT:AT, "")), ""), "")))</f>
        <v/>
      </c>
      <c r="N7" s="26" t="str">
        <f>IF(OR(F7 = "", G7 = ""), "", IF(F7 = "Vara", IFERROR(_xlfn.SINGLE(_xlfn.XLOOKUP(G7, Vöruskrá!A:A, Vöruskrá!G:G, "")), ""), IF(F7 = "Réttur", IFERROR(_xlfn.SINGLE(_xlfn.XLOOKUP(G7, Réttabanki!A:A, Réttabanki!AU:AU, "")), ""), "")))</f>
        <v/>
      </c>
      <c r="O7" s="26" t="str">
        <f>IF(OR(F7 = "", G7 = "", I7 = ""), "", IF(F7 = "Vara", IFERROR(_xlfn.SINGLE(_xlfn.XLOOKUP(G7, Vöruskrá!A:A, Vöruskrá!I:I, "")) * I7 / 100, ""), IF(F7 = "Réttur", IFERROR(_xlfn.SINGLE(_xlfn.XLOOKUP(G7, Réttabanki!A:A, Réttabanki!AV:AV, "")) * I7 / 100, ""), "")))</f>
        <v/>
      </c>
      <c r="P7" s="26" t="str">
        <f>IF(OR(F7 = "", G7 = "", I7 = ""), "", IF(F7 = "Vara", IFERROR(_xlfn.SINGLE(_xlfn.XLOOKUP(G7, Vöruskrá!A:A, Vöruskrá!J:J, "")) * I7 / 100, ""), IF(F7 = "Réttur", IFERROR(_xlfn.SINGLE(_xlfn.XLOOKUP(G7, Réttabanki!A:A, Réttabanki!AW:AW, "")) * I7 / 100, ""), "")))</f>
        <v/>
      </c>
      <c r="Q7" s="26" t="str">
        <f>IF(OR(F7 = "", G7 = "", I7 = ""), "", IF(F7 = "Vara", IFERROR(_xlfn.SINGLE(_xlfn.XLOOKUP(G7, Vöruskrá!A:A, Vöruskrá!N:N, "")) * I7 / 100, ""), IF(F7 = "Réttur", IFERROR(_xlfn.SINGLE(_xlfn.XLOOKUP(G7, Réttabanki!A:A, Réttabanki!BB:BB, "")) * I7 / 100, ""), "")))</f>
        <v/>
      </c>
    </row>
    <row r="8" spans="1:17">
      <c r="B8" s="33" t="str">
        <f>IF(A8&lt;&gt;"",CHOOSE(WEEKDAY(A8,2),"Mánudagur","Þriðjudagur","Miðvikudagur","Fimmtudagur","Föstudagur","Laugardagur","Sunnudagur"),IF(B7&lt;&gt;"",B7,""))</f>
        <v>Þriðjudagur</v>
      </c>
      <c r="C8" s="33">
        <f>IF(A8&lt;&gt;"",WEEKNUM(A8,21),IF(C7&lt;&gt;"",C7,""))</f>
        <v>18</v>
      </c>
      <c r="D8" s="34" t="s">
        <v>910</v>
      </c>
      <c r="E8" s="34" t="s">
        <v>911</v>
      </c>
      <c r="F8" s="34" t="s">
        <v>913</v>
      </c>
      <c r="G8" s="34" t="s">
        <v>918</v>
      </c>
      <c r="H8" s="34" t="s">
        <v>730</v>
      </c>
      <c r="I8" s="35">
        <v>100</v>
      </c>
      <c r="J8" s="35">
        <v>120</v>
      </c>
      <c r="K8" s="36"/>
      <c r="L8" s="26" t="str">
        <f>IF(OR(F8 = "", G8 = ""), "", IF(F8 = "Vara", IFERROR(_xlfn.SINGLE(_xlfn.XLOOKUP(G8, Vöruskrá!A:A, Vöruskrá!E:E, "")), ""), IF(F8 = "Réttur", IFERROR(_xlfn.SINGLE(_xlfn.XLOOKUP(G8, Réttabanki!A:A, Réttabanki!AS:AS, "")), ""), "")))</f>
        <v/>
      </c>
      <c r="M8" s="26" t="str">
        <f>IF(OR(F8 = "", G8 = ""), "", IF(F8 = "Vara", IFERROR(_xlfn.SINGLE(_xlfn.XLOOKUP(G8, Vöruskrá!A:A, Vöruskrá!F:F, "")), ""), IF(F8 = "Réttur", IFERROR(_xlfn.SINGLE(_xlfn.XLOOKUP(G8, Réttabanki!A:A, Réttabanki!AT:AT, "")), ""), "")))</f>
        <v/>
      </c>
      <c r="N8" s="26" t="str">
        <f>IF(OR(F8 = "", G8 = ""), "", IF(F8 = "Vara", IFERROR(_xlfn.SINGLE(_xlfn.XLOOKUP(G8, Vöruskrá!A:A, Vöruskrá!G:G, "")), ""), IF(F8 = "Réttur", IFERROR(_xlfn.SINGLE(_xlfn.XLOOKUP(G8, Réttabanki!A:A, Réttabanki!AU:AU, "")), ""), "")))</f>
        <v/>
      </c>
      <c r="O8" s="26" t="str">
        <f>IF(OR(F8 = "", G8 = "", I8 = ""), "", IF(F8 = "Vara", IFERROR(_xlfn.SINGLE(_xlfn.XLOOKUP(G8, Vöruskrá!A:A, Vöruskrá!I:I, "")) * I8 / 100, ""), IF(F8 = "Réttur", IFERROR(_xlfn.SINGLE(_xlfn.XLOOKUP(G8, Réttabanki!A:A, Réttabanki!AV:AV, "")) * I8 / 100, ""), "")))</f>
        <v/>
      </c>
      <c r="P8" s="26" t="str">
        <f>IF(OR(F8 = "", G8 = "", I8 = ""), "", IF(F8 = "Vara", IFERROR(_xlfn.SINGLE(_xlfn.XLOOKUP(G8, Vöruskrá!A:A, Vöruskrá!J:J, "")) * I8 / 100, ""), IF(F8 = "Réttur", IFERROR(_xlfn.SINGLE(_xlfn.XLOOKUP(G8, Réttabanki!A:A, Réttabanki!AW:AW, "")) * I8 / 100, ""), "")))</f>
        <v/>
      </c>
      <c r="Q8" s="26" t="str">
        <f>IF(OR(F8 = "", G8 = "", I8 = ""), "", IF(F8 = "Vara", IFERROR(_xlfn.SINGLE(_xlfn.XLOOKUP(G8, Vöruskrá!A:A, Vöruskrá!N:N, "")) * I8 / 100, ""), IF(F8 = "Réttur", IFERROR(_xlfn.SINGLE(_xlfn.XLOOKUP(G8, Réttabanki!A:A, Réttabanki!BB:BB, "")) * I8 / 100, ""), "")))</f>
        <v/>
      </c>
    </row>
    <row r="9" spans="1:17">
      <c r="B9" s="33" t="str">
        <f>IF(A9&lt;&gt;"",CHOOSE(WEEKDAY(A9,2),"Mánudagur","Þriðjudagur","Miðvikudagur","Fimmtudagur","Föstudagur","Laugardagur","Sunnudagur"),IF(B8&lt;&gt;"",B8,""))</f>
        <v>Þriðjudagur</v>
      </c>
      <c r="C9" s="33">
        <f>IF(A9&lt;&gt;"",WEEKNUM(A9,21),IF(C8&lt;&gt;"",C8,""))</f>
        <v>18</v>
      </c>
      <c r="D9" s="34" t="s">
        <v>910</v>
      </c>
      <c r="E9" s="34" t="s">
        <v>911</v>
      </c>
      <c r="F9" s="34" t="s">
        <v>913</v>
      </c>
      <c r="G9" s="34" t="s">
        <v>919</v>
      </c>
      <c r="H9" s="34" t="s">
        <v>728</v>
      </c>
      <c r="I9" s="35">
        <v>50</v>
      </c>
      <c r="J9" s="35">
        <v>60</v>
      </c>
      <c r="K9" s="36"/>
      <c r="L9" s="26" t="str">
        <f>IF(OR(F9 = "", G9 = ""), "", IF(F9 = "Vara", IFERROR(_xlfn.SINGLE(_xlfn.XLOOKUP(G9, Vöruskrá!A:A, Vöruskrá!E:E, "")), ""), IF(F9 = "Réttur", IFERROR(_xlfn.SINGLE(_xlfn.XLOOKUP(G9, Réttabanki!A:A, Réttabanki!AS:AS, "")), ""), "")))</f>
        <v/>
      </c>
      <c r="M9" s="26" t="str">
        <f>IF(OR(F9 = "", G9 = ""), "", IF(F9 = "Vara", IFERROR(_xlfn.SINGLE(_xlfn.XLOOKUP(G9, Vöruskrá!A:A, Vöruskrá!F:F, "")), ""), IF(F9 = "Réttur", IFERROR(_xlfn.SINGLE(_xlfn.XLOOKUP(G9, Réttabanki!A:A, Réttabanki!AT:AT, "")), ""), "")))</f>
        <v/>
      </c>
      <c r="N9" s="26" t="str">
        <f>IF(OR(F9 = "", G9 = ""), "", IF(F9 = "Vara", IFERROR(_xlfn.SINGLE(_xlfn.XLOOKUP(G9, Vöruskrá!A:A, Vöruskrá!G:G, "")), ""), IF(F9 = "Réttur", IFERROR(_xlfn.SINGLE(_xlfn.XLOOKUP(G9, Réttabanki!A:A, Réttabanki!AU:AU, "")), ""), "")))</f>
        <v/>
      </c>
      <c r="O9" s="26" t="str">
        <f>IF(OR(F9 = "", G9 = "", I9 = ""), "", IF(F9 = "Vara", IFERROR(_xlfn.SINGLE(_xlfn.XLOOKUP(G9, Vöruskrá!A:A, Vöruskrá!I:I, "")) * I9 / 100, ""), IF(F9 = "Réttur", IFERROR(_xlfn.SINGLE(_xlfn.XLOOKUP(G9, Réttabanki!A:A, Réttabanki!AV:AV, "")) * I9 / 100, ""), "")))</f>
        <v/>
      </c>
      <c r="P9" s="26" t="str">
        <f>IF(OR(F9 = "", G9 = "", I9 = ""), "", IF(F9 = "Vara", IFERROR(_xlfn.SINGLE(_xlfn.XLOOKUP(G9, Vöruskrá!A:A, Vöruskrá!J:J, "")) * I9 / 100, ""), IF(F9 = "Réttur", IFERROR(_xlfn.SINGLE(_xlfn.XLOOKUP(G9, Réttabanki!A:A, Réttabanki!AW:AW, "")) * I9 / 100, ""), "")))</f>
        <v/>
      </c>
      <c r="Q9" s="26" t="str">
        <f>IF(OR(F9 = "", G9 = "", I9 = ""), "", IF(F9 = "Vara", IFERROR(_xlfn.SINGLE(_xlfn.XLOOKUP(G9, Vöruskrá!A:A, Vöruskrá!N:N, "")) * I9 / 100, ""), IF(F9 = "Réttur", IFERROR(_xlfn.SINGLE(_xlfn.XLOOKUP(G9, Réttabanki!A:A, Réttabanki!BB:BB, "")) * I9 / 100, ""), "")))</f>
        <v/>
      </c>
    </row>
    <row r="10" spans="1:17">
      <c r="A10" s="32">
        <v>46188</v>
      </c>
      <c r="B10" s="33" t="str">
        <f>IF(A10&lt;&gt;"",CHOOSE(WEEKDAY(A10,2),"Mánudagur","Þriðjudagur","Miðvikudagur","Fimmtudagur","Föstudagur","Laugardagur","Sunnudagur"),IF(B9&lt;&gt;"",B9,""))</f>
        <v>Mánudagur</v>
      </c>
      <c r="C10" s="33">
        <f>IF(A10&lt;&gt;"",WEEKNUM(A10,21),IF(C9&lt;&gt;"",C9,""))</f>
        <v>25</v>
      </c>
      <c r="D10" s="34" t="s">
        <v>920</v>
      </c>
      <c r="E10" s="34" t="s">
        <v>921</v>
      </c>
      <c r="F10" s="34"/>
      <c r="G10" s="34"/>
      <c r="H10" s="34" t="s">
        <v>922</v>
      </c>
      <c r="I10" s="35"/>
      <c r="J10" s="35"/>
      <c r="K10" s="36"/>
      <c r="L10" s="26" t="str">
        <f>IF(OR(F10 = "", G10 = ""), "", IF(F10 = "Vara", IFERROR(_xlfn.SINGLE(_xlfn.XLOOKUP(G10, Vöruskrá!A:A, Vöruskrá!E:E, "")), ""), IF(F10 = "Réttur", IFERROR(_xlfn.SINGLE(_xlfn.XLOOKUP(G10, Réttabanki!A:A, Réttabanki!AS:AS, "")), ""), "")))</f>
        <v/>
      </c>
      <c r="M10" s="26" t="str">
        <f>IF(OR(F10 = "", G10 = ""), "", IF(F10 = "Vara", IFERROR(_xlfn.SINGLE(_xlfn.XLOOKUP(G10, Vöruskrá!A:A, Vöruskrá!F:F, "")), ""), IF(F10 = "Réttur", IFERROR(_xlfn.SINGLE(_xlfn.XLOOKUP(G10, Réttabanki!A:A, Réttabanki!AT:AT, "")), ""), "")))</f>
        <v/>
      </c>
      <c r="N10" s="26" t="str">
        <f>IF(OR(F10 = "", G10 = ""), "", IF(F10 = "Vara", IFERROR(_xlfn.SINGLE(_xlfn.XLOOKUP(G10, Vöruskrá!A:A, Vöruskrá!G:G, "")), ""), IF(F10 = "Réttur", IFERROR(_xlfn.SINGLE(_xlfn.XLOOKUP(G10, Réttabanki!A:A, Réttabanki!AU:AU, "")), ""), "")))</f>
        <v/>
      </c>
      <c r="O10" s="26" t="str">
        <f>IF(OR(F10 = "", G10 = "", I10 = ""), "", IF(F10 = "Vara", IFERROR(_xlfn.SINGLE(_xlfn.XLOOKUP(G10, Vöruskrá!A:A, Vöruskrá!I:I, "")) * I10 / 100, ""), IF(F10 = "Réttur", IFERROR(_xlfn.SINGLE(_xlfn.XLOOKUP(G10, Réttabanki!A:A, Réttabanki!AV:AV, "")) * I10 / 100, ""), "")))</f>
        <v/>
      </c>
      <c r="P10" s="26" t="str">
        <f>IF(OR(F10 = "", G10 = "", I10 = ""), "", IF(F10 = "Vara", IFERROR(_xlfn.SINGLE(_xlfn.XLOOKUP(G10, Vöruskrá!A:A, Vöruskrá!J:J, "")) * I10 / 100, ""), IF(F10 = "Réttur", IFERROR(_xlfn.SINGLE(_xlfn.XLOOKUP(G10, Réttabanki!A:A, Réttabanki!AW:AW, "")) * I10 / 100, ""), "")))</f>
        <v/>
      </c>
      <c r="Q10" s="26" t="str">
        <f>IF(OR(F10 = "", G10 = "", I10 = ""), "", IF(F10 = "Vara", IFERROR(_xlfn.SINGLE(_xlfn.XLOOKUP(G10, Vöruskrá!A:A, Vöruskrá!N:N, "")) * I10 / 100, ""), IF(F10 = "Réttur", IFERROR(_xlfn.SINGLE(_xlfn.XLOOKUP(G10, Réttabanki!A:A, Réttabanki!BB:BB, "")) * I10 / 100, ""), "")))</f>
        <v/>
      </c>
    </row>
    <row r="11" spans="1:17">
      <c r="B11" s="33" t="str">
        <f>IF(A11&lt;&gt;"",CHOOSE(WEEKDAY(A11,2),"Mánudagur","Þriðjudagur","Miðvikudagur","Fimmtudagur","Föstudagur","Laugardagur","Sunnudagur"),IF(B10&lt;&gt;"",B10,""))</f>
        <v>Mánudagur</v>
      </c>
      <c r="C11" s="33">
        <f>IF(A11&lt;&gt;"",WEEKNUM(A11,21),IF(C10&lt;&gt;"",C10,""))</f>
        <v>25</v>
      </c>
      <c r="D11" s="34" t="s">
        <v>920</v>
      </c>
      <c r="E11" s="34" t="s">
        <v>921</v>
      </c>
      <c r="F11" s="34" t="s">
        <v>913</v>
      </c>
      <c r="G11" s="34" t="s">
        <v>923</v>
      </c>
      <c r="H11" s="34" t="s">
        <v>924</v>
      </c>
      <c r="I11" s="35">
        <v>250</v>
      </c>
      <c r="J11" s="35">
        <v>300</v>
      </c>
      <c r="K11" s="36"/>
      <c r="L11" s="26" t="str">
        <f>IF(OR(F11 = "", G11 = ""), "", IF(F11 = "Vara", IFERROR(_xlfn.SINGLE(_xlfn.XLOOKUP(G11, Vöruskrá!A:A, Vöruskrá!E:E, "")), ""), IF(F11 = "Réttur", IFERROR(_xlfn.SINGLE(_xlfn.XLOOKUP(G11, Réttabanki!A:A, Réttabanki!AS:AS, "")), ""), "")))</f>
        <v/>
      </c>
      <c r="M11" s="26" t="str">
        <f>IF(OR(F11 = "", G11 = ""), "", IF(F11 = "Vara", IFERROR(_xlfn.SINGLE(_xlfn.XLOOKUP(G11, Vöruskrá!A:A, Vöruskrá!F:F, "")), ""), IF(F11 = "Réttur", IFERROR(_xlfn.SINGLE(_xlfn.XLOOKUP(G11, Réttabanki!A:A, Réttabanki!AT:AT, "")), ""), "")))</f>
        <v/>
      </c>
      <c r="N11" s="26" t="str">
        <f>IF(OR(F11 = "", G11 = ""), "", IF(F11 = "Vara", IFERROR(_xlfn.SINGLE(_xlfn.XLOOKUP(G11, Vöruskrá!A:A, Vöruskrá!G:G, "")), ""), IF(F11 = "Réttur", IFERROR(_xlfn.SINGLE(_xlfn.XLOOKUP(G11, Réttabanki!A:A, Réttabanki!AU:AU, "")), ""), "")))</f>
        <v/>
      </c>
      <c r="O11" s="26" t="str">
        <f>IF(OR(F11 = "", G11 = "", I11 = ""), "", IF(F11 = "Vara", IFERROR(_xlfn.SINGLE(_xlfn.XLOOKUP(G11, Vöruskrá!A:A, Vöruskrá!I:I, "")) * I11 / 100, ""), IF(F11 = "Réttur", IFERROR(_xlfn.SINGLE(_xlfn.XLOOKUP(G11, Réttabanki!A:A, Réttabanki!AV:AV, "")) * I11 / 100, ""), "")))</f>
        <v/>
      </c>
      <c r="P11" s="26" t="str">
        <f>IF(OR(F11 = "", G11 = "", I11 = ""), "", IF(F11 = "Vara", IFERROR(_xlfn.SINGLE(_xlfn.XLOOKUP(G11, Vöruskrá!A:A, Vöruskrá!J:J, "")) * I11 / 100, ""), IF(F11 = "Réttur", IFERROR(_xlfn.SINGLE(_xlfn.XLOOKUP(G11, Réttabanki!A:A, Réttabanki!AW:AW, "")) * I11 / 100, ""), "")))</f>
        <v/>
      </c>
      <c r="Q11" s="26" t="str">
        <f>IF(OR(F11 = "", G11 = "", I11 = ""), "", IF(F11 = "Vara", IFERROR(_xlfn.SINGLE(_xlfn.XLOOKUP(G11, Vöruskrá!A:A, Vöruskrá!N:N, "")) * I11 / 100, ""), IF(F11 = "Réttur", IFERROR(_xlfn.SINGLE(_xlfn.XLOOKUP(G11, Réttabanki!A:A, Réttabanki!BB:BB, "")) * I11 / 100, ""), "")))</f>
        <v/>
      </c>
    </row>
    <row r="12" spans="1:17">
      <c r="B12" s="33" t="str">
        <f>IF(A12&lt;&gt;"",CHOOSE(WEEKDAY(A12,2),"Mánudagur","Þriðjudagur","Miðvikudagur","Fimmtudagur","Föstudagur","Laugardagur","Sunnudagur"),IF(B11&lt;&gt;"",B11,""))</f>
        <v>Mánudagur</v>
      </c>
      <c r="C12" s="33">
        <f>IF(A12&lt;&gt;"",WEEKNUM(A12,21),IF(C11&lt;&gt;"",C11,""))</f>
        <v>25</v>
      </c>
      <c r="D12" s="34" t="s">
        <v>920</v>
      </c>
      <c r="E12" s="34" t="s">
        <v>921</v>
      </c>
      <c r="F12" s="34" t="s">
        <v>913</v>
      </c>
      <c r="G12" s="34" t="s">
        <v>925</v>
      </c>
      <c r="H12" s="34" t="s">
        <v>491</v>
      </c>
      <c r="I12" s="35">
        <v>50</v>
      </c>
      <c r="J12" s="35">
        <v>60</v>
      </c>
      <c r="K12" s="36"/>
      <c r="L12" s="26" t="str">
        <f>IF(OR(F12 = "", G12 = ""), "", IF(F12 = "Vara", IFERROR(_xlfn.SINGLE(_xlfn.XLOOKUP(G12, Vöruskrá!A:A, Vöruskrá!E:E, "")), ""), IF(F12 = "Réttur", IFERROR(_xlfn.SINGLE(_xlfn.XLOOKUP(G12, Réttabanki!A:A, Réttabanki!AS:AS, "")), ""), "")))</f>
        <v/>
      </c>
      <c r="M12" s="26" t="str">
        <f>IF(OR(F12 = "", G12 = ""), "", IF(F12 = "Vara", IFERROR(_xlfn.SINGLE(_xlfn.XLOOKUP(G12, Vöruskrá!A:A, Vöruskrá!F:F, "")), ""), IF(F12 = "Réttur", IFERROR(_xlfn.SINGLE(_xlfn.XLOOKUP(G12, Réttabanki!A:A, Réttabanki!AT:AT, "")), ""), "")))</f>
        <v/>
      </c>
      <c r="N12" s="26" t="str">
        <f>IF(OR(F12 = "", G12 = ""), "", IF(F12 = "Vara", IFERROR(_xlfn.SINGLE(_xlfn.XLOOKUP(G12, Vöruskrá!A:A, Vöruskrá!G:G, "")), ""), IF(F12 = "Réttur", IFERROR(_xlfn.SINGLE(_xlfn.XLOOKUP(G12, Réttabanki!A:A, Réttabanki!AU:AU, "")), ""), "")))</f>
        <v/>
      </c>
      <c r="O12" s="26" t="str">
        <f>IF(OR(F12 = "", G12 = "", I12 = ""), "", IF(F12 = "Vara", IFERROR(_xlfn.SINGLE(_xlfn.XLOOKUP(G12, Vöruskrá!A:A, Vöruskrá!I:I, "")) * I12 / 100, ""), IF(F12 = "Réttur", IFERROR(_xlfn.SINGLE(_xlfn.XLOOKUP(G12, Réttabanki!A:A, Réttabanki!AV:AV, "")) * I12 / 100, ""), "")))</f>
        <v/>
      </c>
      <c r="P12" s="26" t="str">
        <f>IF(OR(F12 = "", G12 = "", I12 = ""), "", IF(F12 = "Vara", IFERROR(_xlfn.SINGLE(_xlfn.XLOOKUP(G12, Vöruskrá!A:A, Vöruskrá!J:J, "")) * I12 / 100, ""), IF(F12 = "Réttur", IFERROR(_xlfn.SINGLE(_xlfn.XLOOKUP(G12, Réttabanki!A:A, Réttabanki!AW:AW, "")) * I12 / 100, ""), "")))</f>
        <v/>
      </c>
      <c r="Q12" s="26" t="str">
        <f>IF(OR(F12 = "", G12 = "", I12 = ""), "", IF(F12 = "Vara", IFERROR(_xlfn.SINGLE(_xlfn.XLOOKUP(G12, Vöruskrá!A:A, Vöruskrá!N:N, "")) * I12 / 100, ""), IF(F12 = "Réttur", IFERROR(_xlfn.SINGLE(_xlfn.XLOOKUP(G12, Réttabanki!A:A, Réttabanki!BB:BB, "")) * I12 / 100, ""), "")))</f>
        <v/>
      </c>
    </row>
    <row r="13" spans="1:17">
      <c r="B13" s="33" t="str">
        <f>IF(A13&lt;&gt;"",CHOOSE(WEEKDAY(A13,2),"Mánudagur","Þriðjudagur","Miðvikudagur","Fimmtudagur","Föstudagur","Laugardagur","Sunnudagur"),IF(B12&lt;&gt;"",B12,""))</f>
        <v>Mánudagur</v>
      </c>
      <c r="C13" s="33">
        <f>IF(A13&lt;&gt;"",WEEKNUM(A13,21),IF(C12&lt;&gt;"",C12,""))</f>
        <v>25</v>
      </c>
      <c r="D13" s="34" t="s">
        <v>920</v>
      </c>
      <c r="E13" s="34" t="s">
        <v>921</v>
      </c>
      <c r="F13" s="34" t="s">
        <v>913</v>
      </c>
      <c r="G13" s="34" t="s">
        <v>926</v>
      </c>
      <c r="H13" s="34" t="s">
        <v>463</v>
      </c>
      <c r="I13" s="35">
        <v>50</v>
      </c>
      <c r="J13" s="35">
        <v>60</v>
      </c>
      <c r="K13" s="36"/>
      <c r="L13" s="26" t="str">
        <f>IF(OR(F13 = "", G13 = ""), "", IF(F13 = "Vara", IFERROR(_xlfn.SINGLE(_xlfn.XLOOKUP(G13, Vöruskrá!A:A, Vöruskrá!E:E, "")), ""), IF(F13 = "Réttur", IFERROR(_xlfn.SINGLE(_xlfn.XLOOKUP(G13, Réttabanki!A:A, Réttabanki!AS:AS, "")), ""), "")))</f>
        <v/>
      </c>
      <c r="M13" s="26" t="str">
        <f>IF(OR(F13 = "", G13 = ""), "", IF(F13 = "Vara", IFERROR(_xlfn.SINGLE(_xlfn.XLOOKUP(G13, Vöruskrá!A:A, Vöruskrá!F:F, "")), ""), IF(F13 = "Réttur", IFERROR(_xlfn.SINGLE(_xlfn.XLOOKUP(G13, Réttabanki!A:A, Réttabanki!AT:AT, "")), ""), "")))</f>
        <v/>
      </c>
      <c r="N13" s="26" t="str">
        <f>IF(OR(F13 = "", G13 = ""), "", IF(F13 = "Vara", IFERROR(_xlfn.SINGLE(_xlfn.XLOOKUP(G13, Vöruskrá!A:A, Vöruskrá!G:G, "")), ""), IF(F13 = "Réttur", IFERROR(_xlfn.SINGLE(_xlfn.XLOOKUP(G13, Réttabanki!A:A, Réttabanki!AU:AU, "")), ""), "")))</f>
        <v/>
      </c>
      <c r="O13" s="26" t="str">
        <f>IF(OR(F13 = "", G13 = "", I13 = ""), "", IF(F13 = "Vara", IFERROR(_xlfn.SINGLE(_xlfn.XLOOKUP(G13, Vöruskrá!A:A, Vöruskrá!I:I, "")) * I13 / 100, ""), IF(F13 = "Réttur", IFERROR(_xlfn.SINGLE(_xlfn.XLOOKUP(G13, Réttabanki!A:A, Réttabanki!AV:AV, "")) * I13 / 100, ""), "")))</f>
        <v/>
      </c>
      <c r="P13" s="26" t="str">
        <f>IF(OR(F13 = "", G13 = "", I13 = ""), "", IF(F13 = "Vara", IFERROR(_xlfn.SINGLE(_xlfn.XLOOKUP(G13, Vöruskrá!A:A, Vöruskrá!J:J, "")) * I13 / 100, ""), IF(F13 = "Réttur", IFERROR(_xlfn.SINGLE(_xlfn.XLOOKUP(G13, Réttabanki!A:A, Réttabanki!AW:AW, "")) * I13 / 100, ""), "")))</f>
        <v/>
      </c>
      <c r="Q13" s="26" t="str">
        <f>IF(OR(F13 = "", G13 = "", I13 = ""), "", IF(F13 = "Vara", IFERROR(_xlfn.SINGLE(_xlfn.XLOOKUP(G13, Vöruskrá!A:A, Vöruskrá!N:N, "")) * I13 / 100, ""), IF(F13 = "Réttur", IFERROR(_xlfn.SINGLE(_xlfn.XLOOKUP(G13, Réttabanki!A:A, Réttabanki!BB:BB, "")) * I13 / 100, ""), "")))</f>
        <v/>
      </c>
    </row>
    <row r="14" spans="1:17">
      <c r="B14" s="33" t="str">
        <f t="shared" ref="B14:B36" si="0">IF(A14&lt;&gt;"",CHOOSE(WEEKDAY(A14,2),"Mánudagur","Þriðjudagur","Miðvikudagur","Fimmtudagur","Föstudagur","Laugardagur","Sunnudagur"),IF(B13&lt;&gt;"",B13,""))</f>
        <v>Mánudagur</v>
      </c>
      <c r="C14" s="33">
        <f t="shared" ref="C14:C36" si="1">IF(A14&lt;&gt;"",WEEKNUM(A14,21),IF(C13&lt;&gt;"",C13,""))</f>
        <v>25</v>
      </c>
      <c r="D14" s="34" t="s">
        <v>910</v>
      </c>
      <c r="E14" s="34" t="s">
        <v>927</v>
      </c>
      <c r="F14" s="34"/>
      <c r="G14" s="34"/>
      <c r="H14" s="34" t="s">
        <v>928</v>
      </c>
      <c r="I14" s="35"/>
      <c r="J14" s="35"/>
      <c r="K14" s="36"/>
      <c r="L14" s="26" t="str">
        <f>IF(OR(F14 = "", G14 = ""), "", IF(F14 = "Vara", IFERROR(_xlfn.SINGLE(_xlfn.XLOOKUP(G14, Vöruskrá!A:A, Vöruskrá!E:E, "")), ""), IF(F14 = "Réttur", IFERROR(_xlfn.SINGLE(_xlfn.XLOOKUP(G14, Réttabanki!A:A, Réttabanki!AS:AS, "")), ""), "")))</f>
        <v/>
      </c>
      <c r="M14" s="26" t="str">
        <f>IF(OR(F14 = "", G14 = ""), "", IF(F14 = "Vara", IFERROR(_xlfn.SINGLE(_xlfn.XLOOKUP(G14, Vöruskrá!A:A, Vöruskrá!F:F, "")), ""), IF(F14 = "Réttur", IFERROR(_xlfn.SINGLE(_xlfn.XLOOKUP(G14, Réttabanki!A:A, Réttabanki!AT:AT, "")), ""), "")))</f>
        <v/>
      </c>
      <c r="N14" s="26" t="str">
        <f>IF(OR(F14 = "", G14 = ""), "", IF(F14 = "Vara", IFERROR(_xlfn.SINGLE(_xlfn.XLOOKUP(G14, Vöruskrá!A:A, Vöruskrá!G:G, "")), ""), IF(F14 = "Réttur", IFERROR(_xlfn.SINGLE(_xlfn.XLOOKUP(G14, Réttabanki!A:A, Réttabanki!AU:AU, "")), ""), "")))</f>
        <v/>
      </c>
      <c r="O14" s="26" t="str">
        <f>IF(OR(F14 = "", G14 = "", I14 = ""), "", IF(F14 = "Vara", IFERROR(_xlfn.SINGLE(_xlfn.XLOOKUP(G14, Vöruskrá!A:A, Vöruskrá!I:I, "")) * I14 / 100, ""), IF(F14 = "Réttur", IFERROR(_xlfn.SINGLE(_xlfn.XLOOKUP(G14, Réttabanki!A:A, Réttabanki!AV:AV, "")) * I14 / 100, ""), "")))</f>
        <v/>
      </c>
      <c r="P14" s="26" t="str">
        <f>IF(OR(F14 = "", G14 = "", I14 = ""), "", IF(F14 = "Vara", IFERROR(_xlfn.SINGLE(_xlfn.XLOOKUP(G14, Vöruskrá!A:A, Vöruskrá!J:J, "")) * I14 / 100, ""), IF(F14 = "Réttur", IFERROR(_xlfn.SINGLE(_xlfn.XLOOKUP(G14, Réttabanki!A:A, Réttabanki!AW:AW, "")) * I14 / 100, ""), "")))</f>
        <v/>
      </c>
      <c r="Q14" s="26" t="str">
        <f>IF(OR(F14 = "", G14 = "", I14 = ""), "", IF(F14 = "Vara", IFERROR(_xlfn.SINGLE(_xlfn.XLOOKUP(G14, Vöruskrá!A:A, Vöruskrá!N:N, "")) * I14 / 100, ""), IF(F14 = "Réttur", IFERROR(_xlfn.SINGLE(_xlfn.XLOOKUP(G14, Réttabanki!A:A, Réttabanki!BB:BB, "")) * I14 / 100, ""), "")))</f>
        <v/>
      </c>
    </row>
    <row r="15" spans="1:17">
      <c r="B15" s="33" t="str">
        <f t="shared" si="0"/>
        <v>Mánudagur</v>
      </c>
      <c r="C15" s="33">
        <f t="shared" si="1"/>
        <v>25</v>
      </c>
      <c r="D15" s="34" t="s">
        <v>910</v>
      </c>
      <c r="E15" s="34" t="s">
        <v>927</v>
      </c>
      <c r="F15" s="34" t="s">
        <v>913</v>
      </c>
      <c r="G15" s="34" t="s">
        <v>929</v>
      </c>
      <c r="H15" s="34" t="s">
        <v>930</v>
      </c>
      <c r="I15" s="35">
        <v>150</v>
      </c>
      <c r="J15" s="35">
        <v>165</v>
      </c>
      <c r="K15" s="36"/>
      <c r="L15" s="26" t="str">
        <f>IF(OR(F15 = "", G15 = ""), "", IF(F15 = "Vara", IFERROR(_xlfn.SINGLE(_xlfn.XLOOKUP(G15, Vöruskrá!A:A, Vöruskrá!E:E, "")), ""), IF(F15 = "Réttur", IFERROR(_xlfn.SINGLE(_xlfn.XLOOKUP(G15, Réttabanki!A:A, Réttabanki!AS:AS, "")), ""), "")))</f>
        <v/>
      </c>
      <c r="M15" s="26" t="str">
        <f>IF(OR(F15 = "", G15 = ""), "", IF(F15 = "Vara", IFERROR(_xlfn.SINGLE(_xlfn.XLOOKUP(G15, Vöruskrá!A:A, Vöruskrá!F:F, "")), ""), IF(F15 = "Réttur", IFERROR(_xlfn.SINGLE(_xlfn.XLOOKUP(G15, Réttabanki!A:A, Réttabanki!AT:AT, "")), ""), "")))</f>
        <v/>
      </c>
      <c r="N15" s="26" t="str">
        <f>IF(OR(F15 = "", G15 = ""), "", IF(F15 = "Vara", IFERROR(_xlfn.SINGLE(_xlfn.XLOOKUP(G15, Vöruskrá!A:A, Vöruskrá!G:G, "")), ""), IF(F15 = "Réttur", IFERROR(_xlfn.SINGLE(_xlfn.XLOOKUP(G15, Réttabanki!A:A, Réttabanki!AU:AU, "")), ""), "")))</f>
        <v/>
      </c>
      <c r="O15" s="26" t="str">
        <f>IF(OR(F15 = "", G15 = "", I15 = ""), "", IF(F15 = "Vara", IFERROR(_xlfn.SINGLE(_xlfn.XLOOKUP(G15, Vöruskrá!A:A, Vöruskrá!I:I, "")) * I15 / 100, ""), IF(F15 = "Réttur", IFERROR(_xlfn.SINGLE(_xlfn.XLOOKUP(G15, Réttabanki!A:A, Réttabanki!AV:AV, "")) * I15 / 100, ""), "")))</f>
        <v/>
      </c>
      <c r="P15" s="26" t="str">
        <f>IF(OR(F15 = "", G15 = "", I15 = ""), "", IF(F15 = "Vara", IFERROR(_xlfn.SINGLE(_xlfn.XLOOKUP(G15, Vöruskrá!A:A, Vöruskrá!J:J, "")) * I15 / 100, ""), IF(F15 = "Réttur", IFERROR(_xlfn.SINGLE(_xlfn.XLOOKUP(G15, Réttabanki!A:A, Réttabanki!AW:AW, "")) * I15 / 100, ""), "")))</f>
        <v/>
      </c>
      <c r="Q15" s="26" t="str">
        <f>IF(OR(F15 = "", G15 = "", I15 = ""), "", IF(F15 = "Vara", IFERROR(_xlfn.SINGLE(_xlfn.XLOOKUP(G15, Vöruskrá!A:A, Vöruskrá!N:N, "")) * I15 / 100, ""), IF(F15 = "Réttur", IFERROR(_xlfn.SINGLE(_xlfn.XLOOKUP(G15, Réttabanki!A:A, Réttabanki!BB:BB, "")) * I15 / 100, ""), "")))</f>
        <v/>
      </c>
    </row>
    <row r="16" spans="1:17">
      <c r="B16" s="33" t="str">
        <f t="shared" si="0"/>
        <v>Mánudagur</v>
      </c>
      <c r="C16" s="33">
        <f t="shared" si="1"/>
        <v>25</v>
      </c>
      <c r="D16" s="34" t="s">
        <v>910</v>
      </c>
      <c r="E16" s="34" t="s">
        <v>927</v>
      </c>
      <c r="F16" s="34" t="s">
        <v>913</v>
      </c>
      <c r="G16" s="34" t="s">
        <v>931</v>
      </c>
      <c r="H16" s="34" t="s">
        <v>932</v>
      </c>
      <c r="I16" s="35">
        <v>150</v>
      </c>
      <c r="J16" s="35">
        <v>165</v>
      </c>
      <c r="K16" s="36"/>
      <c r="L16" s="26" t="str">
        <f>IF(OR(F16 = "", G16 = ""), "", IF(F16 = "Vara", IFERROR(_xlfn.SINGLE(_xlfn.XLOOKUP(G16, Vöruskrá!A:A, Vöruskrá!E:E, "")), ""), IF(F16 = "Réttur", IFERROR(_xlfn.SINGLE(_xlfn.XLOOKUP(G16, Réttabanki!A:A, Réttabanki!AS:AS, "")), ""), "")))</f>
        <v/>
      </c>
      <c r="M16" s="26" t="str">
        <f>IF(OR(F16 = "", G16 = ""), "", IF(F16 = "Vara", IFERROR(_xlfn.SINGLE(_xlfn.XLOOKUP(G16, Vöruskrá!A:A, Vöruskrá!F:F, "")), ""), IF(F16 = "Réttur", IFERROR(_xlfn.SINGLE(_xlfn.XLOOKUP(G16, Réttabanki!A:A, Réttabanki!AT:AT, "")), ""), "")))</f>
        <v/>
      </c>
      <c r="N16" s="26" t="str">
        <f>IF(OR(F16 = "", G16 = ""), "", IF(F16 = "Vara", IFERROR(_xlfn.SINGLE(_xlfn.XLOOKUP(G16, Vöruskrá!A:A, Vöruskrá!G:G, "")), ""), IF(F16 = "Réttur", IFERROR(_xlfn.SINGLE(_xlfn.XLOOKUP(G16, Réttabanki!A:A, Réttabanki!AU:AU, "")), ""), "")))</f>
        <v/>
      </c>
      <c r="O16" s="26" t="str">
        <f>IF(OR(F16 = "", G16 = "", I16 = ""), "", IF(F16 = "Vara", IFERROR(_xlfn.SINGLE(_xlfn.XLOOKUP(G16, Vöruskrá!A:A, Vöruskrá!I:I, "")) * I16 / 100, ""), IF(F16 = "Réttur", IFERROR(_xlfn.SINGLE(_xlfn.XLOOKUP(G16, Réttabanki!A:A, Réttabanki!AV:AV, "")) * I16 / 100, ""), "")))</f>
        <v/>
      </c>
      <c r="P16" s="26" t="str">
        <f>IF(OR(F16 = "", G16 = "", I16 = ""), "", IF(F16 = "Vara", IFERROR(_xlfn.SINGLE(_xlfn.XLOOKUP(G16, Vöruskrá!A:A, Vöruskrá!J:J, "")) * I16 / 100, ""), IF(F16 = "Réttur", IFERROR(_xlfn.SINGLE(_xlfn.XLOOKUP(G16, Réttabanki!A:A, Réttabanki!AW:AW, "")) * I16 / 100, ""), "")))</f>
        <v/>
      </c>
      <c r="Q16" s="26" t="str">
        <f>IF(OR(F16 = "", G16 = "", I16 = ""), "", IF(F16 = "Vara", IFERROR(_xlfn.SINGLE(_xlfn.XLOOKUP(G16, Vöruskrá!A:A, Vöruskrá!N:N, "")) * I16 / 100, ""), IF(F16 = "Réttur", IFERROR(_xlfn.SINGLE(_xlfn.XLOOKUP(G16, Réttabanki!A:A, Réttabanki!BB:BB, "")) * I16 / 100, ""), "")))</f>
        <v/>
      </c>
    </row>
    <row r="17" spans="1:17">
      <c r="B17" s="33" t="str">
        <f t="shared" si="0"/>
        <v>Mánudagur</v>
      </c>
      <c r="C17" s="33">
        <f t="shared" si="1"/>
        <v>25</v>
      </c>
      <c r="D17" s="34" t="s">
        <v>910</v>
      </c>
      <c r="E17" s="34" t="s">
        <v>933</v>
      </c>
      <c r="F17" s="34"/>
      <c r="G17" s="34"/>
      <c r="H17" s="34" t="s">
        <v>934</v>
      </c>
      <c r="I17" s="35"/>
      <c r="J17" s="35"/>
      <c r="K17" s="36"/>
      <c r="L17" s="26" t="str">
        <f>IF(OR(F17 = "", G17 = ""), "", IF(F17 = "Vara", IFERROR(_xlfn.SINGLE(_xlfn.XLOOKUP(G17, Vöruskrá!A:A, Vöruskrá!E:E, "")), ""), IF(F17 = "Réttur", IFERROR(_xlfn.SINGLE(_xlfn.XLOOKUP(G17, Réttabanki!A:A, Réttabanki!AS:AS, "")), ""), "")))</f>
        <v/>
      </c>
      <c r="M17" s="26" t="str">
        <f>IF(OR(F17 = "", G17 = ""), "", IF(F17 = "Vara", IFERROR(_xlfn.SINGLE(_xlfn.XLOOKUP(G17, Vöruskrá!A:A, Vöruskrá!F:F, "")), ""), IF(F17 = "Réttur", IFERROR(_xlfn.SINGLE(_xlfn.XLOOKUP(G17, Réttabanki!A:A, Réttabanki!AT:AT, "")), ""), "")))</f>
        <v/>
      </c>
      <c r="N17" s="26" t="str">
        <f>IF(OR(F17 = "", G17 = ""), "", IF(F17 = "Vara", IFERROR(_xlfn.SINGLE(_xlfn.XLOOKUP(G17, Vöruskrá!A:A, Vöruskrá!G:G, "")), ""), IF(F17 = "Réttur", IFERROR(_xlfn.SINGLE(_xlfn.XLOOKUP(G17, Réttabanki!A:A, Réttabanki!AU:AU, "")), ""), "")))</f>
        <v/>
      </c>
      <c r="O17" s="26" t="str">
        <f>IF(OR(F17 = "", G17 = "", I17 = ""), "", IF(F17 = "Vara", IFERROR(_xlfn.SINGLE(_xlfn.XLOOKUP(G17, Vöruskrá!A:A, Vöruskrá!I:I, "")) * I17 / 100, ""), IF(F17 = "Réttur", IFERROR(_xlfn.SINGLE(_xlfn.XLOOKUP(G17, Réttabanki!A:A, Réttabanki!AV:AV, "")) * I17 / 100, ""), "")))</f>
        <v/>
      </c>
      <c r="P17" s="26" t="str">
        <f>IF(OR(F17 = "", G17 = "", I17 = ""), "", IF(F17 = "Vara", IFERROR(_xlfn.SINGLE(_xlfn.XLOOKUP(G17, Vöruskrá!A:A, Vöruskrá!J:J, "")) * I17 / 100, ""), IF(F17 = "Réttur", IFERROR(_xlfn.SINGLE(_xlfn.XLOOKUP(G17, Réttabanki!A:A, Réttabanki!AW:AW, "")) * I17 / 100, ""), "")))</f>
        <v/>
      </c>
      <c r="Q17" s="26" t="str">
        <f>IF(OR(F17 = "", G17 = "", I17 = ""), "", IF(F17 = "Vara", IFERROR(_xlfn.SINGLE(_xlfn.XLOOKUP(G17, Vöruskrá!A:A, Vöruskrá!N:N, "")) * I17 / 100, ""), IF(F17 = "Réttur", IFERROR(_xlfn.SINGLE(_xlfn.XLOOKUP(G17, Réttabanki!A:A, Réttabanki!BB:BB, "")) * I17 / 100, ""), "")))</f>
        <v/>
      </c>
    </row>
    <row r="18" spans="1:17">
      <c r="B18" s="33" t="str">
        <f t="shared" si="0"/>
        <v>Mánudagur</v>
      </c>
      <c r="C18" s="33">
        <f t="shared" si="1"/>
        <v>25</v>
      </c>
      <c r="D18" s="34" t="s">
        <v>910</v>
      </c>
      <c r="E18" s="34" t="s">
        <v>933</v>
      </c>
      <c r="F18" s="34" t="s">
        <v>913</v>
      </c>
      <c r="G18" s="34" t="s">
        <v>935</v>
      </c>
      <c r="H18" s="34" t="s">
        <v>936</v>
      </c>
      <c r="I18" s="35">
        <v>60</v>
      </c>
      <c r="J18" s="35">
        <v>120</v>
      </c>
      <c r="K18" s="36"/>
      <c r="L18" s="26" t="str">
        <f>IF(OR(F18 = "", G18 = ""), "", IF(F18 = "Vara", IFERROR(_xlfn.SINGLE(_xlfn.XLOOKUP(G18, Vöruskrá!A:A, Vöruskrá!E:E, "")), ""), IF(F18 = "Réttur", IFERROR(_xlfn.SINGLE(_xlfn.XLOOKUP(G18, Réttabanki!A:A, Réttabanki!AS:AS, "")), ""), "")))</f>
        <v/>
      </c>
      <c r="M18" s="26" t="str">
        <f>IF(OR(F18 = "", G18 = ""), "", IF(F18 = "Vara", IFERROR(_xlfn.SINGLE(_xlfn.XLOOKUP(G18, Vöruskrá!A:A, Vöruskrá!F:F, "")), ""), IF(F18 = "Réttur", IFERROR(_xlfn.SINGLE(_xlfn.XLOOKUP(G18, Réttabanki!A:A, Réttabanki!AT:AT, "")), ""), "")))</f>
        <v/>
      </c>
      <c r="N18" s="26" t="str">
        <f>IF(OR(F18 = "", G18 = ""), "", IF(F18 = "Vara", IFERROR(_xlfn.SINGLE(_xlfn.XLOOKUP(G18, Vöruskrá!A:A, Vöruskrá!G:G, "")), ""), IF(F18 = "Réttur", IFERROR(_xlfn.SINGLE(_xlfn.XLOOKUP(G18, Réttabanki!A:A, Réttabanki!AU:AU, "")), ""), "")))</f>
        <v/>
      </c>
      <c r="O18" s="26" t="str">
        <f>IF(OR(F18 = "", G18 = "", I18 = ""), "", IF(F18 = "Vara", IFERROR(_xlfn.SINGLE(_xlfn.XLOOKUP(G18, Vöruskrá!A:A, Vöruskrá!I:I, "")) * I18 / 100, ""), IF(F18 = "Réttur", IFERROR(_xlfn.SINGLE(_xlfn.XLOOKUP(G18, Réttabanki!A:A, Réttabanki!AV:AV, "")) * I18 / 100, ""), "")))</f>
        <v/>
      </c>
      <c r="P18" s="26" t="str">
        <f>IF(OR(F18 = "", G18 = "", I18 = ""), "", IF(F18 = "Vara", IFERROR(_xlfn.SINGLE(_xlfn.XLOOKUP(G18, Vöruskrá!A:A, Vöruskrá!J:J, "")) * I18 / 100, ""), IF(F18 = "Réttur", IFERROR(_xlfn.SINGLE(_xlfn.XLOOKUP(G18, Réttabanki!A:A, Réttabanki!AW:AW, "")) * I18 / 100, ""), "")))</f>
        <v/>
      </c>
      <c r="Q18" s="26" t="str">
        <f>IF(OR(F18 = "", G18 = "", I18 = ""), "", IF(F18 = "Vara", IFERROR(_xlfn.SINGLE(_xlfn.XLOOKUP(G18, Vöruskrá!A:A, Vöruskrá!N:N, "")) * I18 / 100, ""), IF(F18 = "Réttur", IFERROR(_xlfn.SINGLE(_xlfn.XLOOKUP(G18, Réttabanki!A:A, Réttabanki!BB:BB, "")) * I18 / 100, ""), "")))</f>
        <v/>
      </c>
    </row>
    <row r="19" spans="1:17">
      <c r="B19" s="33" t="str">
        <f t="shared" si="0"/>
        <v>Mánudagur</v>
      </c>
      <c r="C19" s="33">
        <f t="shared" si="1"/>
        <v>25</v>
      </c>
      <c r="D19" s="34" t="s">
        <v>910</v>
      </c>
      <c r="E19" s="34" t="s">
        <v>933</v>
      </c>
      <c r="F19" s="34" t="s">
        <v>913</v>
      </c>
      <c r="G19" s="34" t="s">
        <v>937</v>
      </c>
      <c r="H19" s="34" t="s">
        <v>938</v>
      </c>
      <c r="I19" s="35">
        <v>5</v>
      </c>
      <c r="J19" s="35">
        <v>10</v>
      </c>
      <c r="K19" s="36"/>
      <c r="L19" s="26" t="str">
        <f>IF(OR(F19 = "", G19 = ""), "", IF(F19 = "Vara", IFERROR(_xlfn.SINGLE(_xlfn.XLOOKUP(G19, Vöruskrá!A:A, Vöruskrá!E:E, "")), ""), IF(F19 = "Réttur", IFERROR(_xlfn.SINGLE(_xlfn.XLOOKUP(G19, Réttabanki!A:A, Réttabanki!AS:AS, "")), ""), "")))</f>
        <v/>
      </c>
      <c r="M19" s="26" t="str">
        <f>IF(OR(F19 = "", G19 = ""), "", IF(F19 = "Vara", IFERROR(_xlfn.SINGLE(_xlfn.XLOOKUP(G19, Vöruskrá!A:A, Vöruskrá!F:F, "")), ""), IF(F19 = "Réttur", IFERROR(_xlfn.SINGLE(_xlfn.XLOOKUP(G19, Réttabanki!A:A, Réttabanki!AT:AT, "")), ""), "")))</f>
        <v/>
      </c>
      <c r="N19" s="26" t="str">
        <f>IF(OR(F19 = "", G19 = ""), "", IF(F19 = "Vara", IFERROR(_xlfn.SINGLE(_xlfn.XLOOKUP(G19, Vöruskrá!A:A, Vöruskrá!G:G, "")), ""), IF(F19 = "Réttur", IFERROR(_xlfn.SINGLE(_xlfn.XLOOKUP(G19, Réttabanki!A:A, Réttabanki!AU:AU, "")), ""), "")))</f>
        <v/>
      </c>
      <c r="O19" s="26" t="str">
        <f>IF(OR(F19 = "", G19 = "", I19 = ""), "", IF(F19 = "Vara", IFERROR(_xlfn.SINGLE(_xlfn.XLOOKUP(G19, Vöruskrá!A:A, Vöruskrá!I:I, "")) * I19 / 100, ""), IF(F19 = "Réttur", IFERROR(_xlfn.SINGLE(_xlfn.XLOOKUP(G19, Réttabanki!A:A, Réttabanki!AV:AV, "")) * I19 / 100, ""), "")))</f>
        <v/>
      </c>
      <c r="P19" s="26" t="str">
        <f>IF(OR(F19 = "", G19 = "", I19 = ""), "", IF(F19 = "Vara", IFERROR(_xlfn.SINGLE(_xlfn.XLOOKUP(G19, Vöruskrá!A:A, Vöruskrá!J:J, "")) * I19 / 100, ""), IF(F19 = "Réttur", IFERROR(_xlfn.SINGLE(_xlfn.XLOOKUP(G19, Réttabanki!A:A, Réttabanki!AW:AW, "")) * I19 / 100, ""), "")))</f>
        <v/>
      </c>
      <c r="Q19" s="26" t="str">
        <f>IF(OR(F19 = "", G19 = "", I19 = ""), "", IF(F19 = "Vara", IFERROR(_xlfn.SINGLE(_xlfn.XLOOKUP(G19, Vöruskrá!A:A, Vöruskrá!N:N, "")) * I19 / 100, ""), IF(F19 = "Réttur", IFERROR(_xlfn.SINGLE(_xlfn.XLOOKUP(G19, Réttabanki!A:A, Réttabanki!BB:BB, "")) * I19 / 100, ""), "")))</f>
        <v/>
      </c>
    </row>
    <row r="20" spans="1:17">
      <c r="B20" s="33" t="str">
        <f t="shared" si="0"/>
        <v>Mánudagur</v>
      </c>
      <c r="C20" s="33">
        <f t="shared" si="1"/>
        <v>25</v>
      </c>
      <c r="D20" s="34" t="s">
        <v>910</v>
      </c>
      <c r="E20" s="34" t="s">
        <v>933</v>
      </c>
      <c r="F20" s="34" t="s">
        <v>913</v>
      </c>
      <c r="G20" s="34" t="s">
        <v>939</v>
      </c>
      <c r="H20" s="34" t="s">
        <v>940</v>
      </c>
      <c r="I20" s="35">
        <v>15</v>
      </c>
      <c r="J20" s="35">
        <v>20</v>
      </c>
      <c r="K20" s="36"/>
      <c r="L20" s="26" t="str">
        <f>IF(OR(F20 = "", G20 = ""), "", IF(F20 = "Vara", IFERROR(_xlfn.SINGLE(_xlfn.XLOOKUP(G20, Vöruskrá!A:A, Vöruskrá!E:E, "")), ""), IF(F20 = "Réttur", IFERROR(_xlfn.SINGLE(_xlfn.XLOOKUP(G20, Réttabanki!A:A, Réttabanki!AS:AS, "")), ""), "")))</f>
        <v/>
      </c>
      <c r="M20" s="26" t="str">
        <f>IF(OR(F20 = "", G20 = ""), "", IF(F20 = "Vara", IFERROR(_xlfn.SINGLE(_xlfn.XLOOKUP(G20, Vöruskrá!A:A, Vöruskrá!F:F, "")), ""), IF(F20 = "Réttur", IFERROR(_xlfn.SINGLE(_xlfn.XLOOKUP(G20, Réttabanki!A:A, Réttabanki!AT:AT, "")), ""), "")))</f>
        <v/>
      </c>
      <c r="N20" s="26" t="str">
        <f>IF(OR(F20 = "", G20 = ""), "", IF(F20 = "Vara", IFERROR(_xlfn.SINGLE(_xlfn.XLOOKUP(G20, Vöruskrá!A:A, Vöruskrá!G:G, "")), ""), IF(F20 = "Réttur", IFERROR(_xlfn.SINGLE(_xlfn.XLOOKUP(G20, Réttabanki!A:A, Réttabanki!AU:AU, "")), ""), "")))</f>
        <v/>
      </c>
      <c r="O20" s="26" t="str">
        <f>IF(OR(F20 = "", G20 = "", I20 = ""), "", IF(F20 = "Vara", IFERROR(_xlfn.SINGLE(_xlfn.XLOOKUP(G20, Vöruskrá!A:A, Vöruskrá!I:I, "")) * I20 / 100, ""), IF(F20 = "Réttur", IFERROR(_xlfn.SINGLE(_xlfn.XLOOKUP(G20, Réttabanki!A:A, Réttabanki!AV:AV, "")) * I20 / 100, ""), "")))</f>
        <v/>
      </c>
      <c r="P20" s="26" t="str">
        <f>IF(OR(F20 = "", G20 = "", I20 = ""), "", IF(F20 = "Vara", IFERROR(_xlfn.SINGLE(_xlfn.XLOOKUP(G20, Vöruskrá!A:A, Vöruskrá!J:J, "")) * I20 / 100, ""), IF(F20 = "Réttur", IFERROR(_xlfn.SINGLE(_xlfn.XLOOKUP(G20, Réttabanki!A:A, Réttabanki!AW:AW, "")) * I20 / 100, ""), "")))</f>
        <v/>
      </c>
      <c r="Q20" s="26" t="str">
        <f>IF(OR(F20 = "", G20 = "", I20 = ""), "", IF(F20 = "Vara", IFERROR(_xlfn.SINGLE(_xlfn.XLOOKUP(G20, Vöruskrá!A:A, Vöruskrá!N:N, "")) * I20 / 100, ""), IF(F20 = "Réttur", IFERROR(_xlfn.SINGLE(_xlfn.XLOOKUP(G20, Réttabanki!A:A, Réttabanki!BB:BB, "")) * I20 / 100, ""), "")))</f>
        <v/>
      </c>
    </row>
    <row r="21" spans="1:17">
      <c r="B21" s="33" t="str">
        <f t="shared" si="0"/>
        <v>Mánudagur</v>
      </c>
      <c r="C21" s="33">
        <f t="shared" si="1"/>
        <v>25</v>
      </c>
      <c r="D21" s="34" t="s">
        <v>910</v>
      </c>
      <c r="E21" s="34" t="s">
        <v>941</v>
      </c>
      <c r="F21" s="34"/>
      <c r="G21" s="34"/>
      <c r="H21" s="34" t="s">
        <v>942</v>
      </c>
      <c r="I21" s="35"/>
      <c r="J21" s="35"/>
      <c r="K21" s="36"/>
      <c r="L21" s="26" t="str">
        <f>IF(OR(F21 = "", G21 = ""), "", IF(F21 = "Vara", IFERROR(_xlfn.SINGLE(_xlfn.XLOOKUP(G21, Vöruskrá!A:A, Vöruskrá!E:E, "")), ""), IF(F21 = "Réttur", IFERROR(_xlfn.SINGLE(_xlfn.XLOOKUP(G21, Réttabanki!A:A, Réttabanki!AS:AS, "")), ""), "")))</f>
        <v/>
      </c>
      <c r="M21" s="26" t="str">
        <f>IF(OR(F21 = "", G21 = ""), "", IF(F21 = "Vara", IFERROR(_xlfn.SINGLE(_xlfn.XLOOKUP(G21, Vöruskrá!A:A, Vöruskrá!F:F, "")), ""), IF(F21 = "Réttur", IFERROR(_xlfn.SINGLE(_xlfn.XLOOKUP(G21, Réttabanki!A:A, Réttabanki!AT:AT, "")), ""), "")))</f>
        <v/>
      </c>
      <c r="N21" s="26" t="str">
        <f>IF(OR(F21 = "", G21 = ""), "", IF(F21 = "Vara", IFERROR(_xlfn.SINGLE(_xlfn.XLOOKUP(G21, Vöruskrá!A:A, Vöruskrá!G:G, "")), ""), IF(F21 = "Réttur", IFERROR(_xlfn.SINGLE(_xlfn.XLOOKUP(G21, Réttabanki!A:A, Réttabanki!AU:AU, "")), ""), "")))</f>
        <v/>
      </c>
      <c r="O21" s="26" t="str">
        <f>IF(OR(F21 = "", G21 = "", I21 = ""), "", IF(F21 = "Vara", IFERROR(_xlfn.SINGLE(_xlfn.XLOOKUP(G21, Vöruskrá!A:A, Vöruskrá!I:I, "")) * I21 / 100, ""), IF(F21 = "Réttur", IFERROR(_xlfn.SINGLE(_xlfn.XLOOKUP(G21, Réttabanki!A:A, Réttabanki!AV:AV, "")) * I21 / 100, ""), "")))</f>
        <v/>
      </c>
      <c r="P21" s="26" t="str">
        <f>IF(OR(F21 = "", G21 = "", I21 = ""), "", IF(F21 = "Vara", IFERROR(_xlfn.SINGLE(_xlfn.XLOOKUP(G21, Vöruskrá!A:A, Vöruskrá!J:J, "")) * I21 / 100, ""), IF(F21 = "Réttur", IFERROR(_xlfn.SINGLE(_xlfn.XLOOKUP(G21, Réttabanki!A:A, Réttabanki!AW:AW, "")) * I21 / 100, ""), "")))</f>
        <v/>
      </c>
      <c r="Q21" s="26" t="str">
        <f>IF(OR(F21 = "", G21 = "", I21 = ""), "", IF(F21 = "Vara", IFERROR(_xlfn.SINGLE(_xlfn.XLOOKUP(G21, Vöruskrá!A:A, Vöruskrá!N:N, "")) * I21 / 100, ""), IF(F21 = "Réttur", IFERROR(_xlfn.SINGLE(_xlfn.XLOOKUP(G21, Réttabanki!A:A, Réttabanki!BB:BB, "")) * I21 / 100, ""), "")))</f>
        <v/>
      </c>
    </row>
    <row r="22" spans="1:17" ht="30.75">
      <c r="B22" s="33" t="str">
        <f t="shared" si="0"/>
        <v>Mánudagur</v>
      </c>
      <c r="C22" s="33">
        <f t="shared" si="1"/>
        <v>25</v>
      </c>
      <c r="D22" s="34" t="s">
        <v>910</v>
      </c>
      <c r="E22" s="34" t="s">
        <v>941</v>
      </c>
      <c r="F22" s="34" t="s">
        <v>913</v>
      </c>
      <c r="G22" s="34" t="s">
        <v>943</v>
      </c>
      <c r="H22" s="34" t="s">
        <v>944</v>
      </c>
      <c r="I22" s="35">
        <v>20</v>
      </c>
      <c r="J22" s="35">
        <v>30</v>
      </c>
      <c r="K22" s="36"/>
      <c r="L22" s="26" t="str">
        <f>IF(OR(F22 = "", G22 = ""), "", IF(F22 = "Vara", IFERROR(_xlfn.SINGLE(_xlfn.XLOOKUP(G22, Vöruskrá!A:A, Vöruskrá!E:E, "")), ""), IF(F22 = "Réttur", IFERROR(_xlfn.SINGLE(_xlfn.XLOOKUP(G22, Réttabanki!A:A, Réttabanki!AS:AS, "")), ""), "")))</f>
        <v/>
      </c>
      <c r="M22" s="26" t="str">
        <f>IF(OR(F22 = "", G22 = ""), "", IF(F22 = "Vara", IFERROR(_xlfn.SINGLE(_xlfn.XLOOKUP(G22, Vöruskrá!A:A, Vöruskrá!F:F, "")), ""), IF(F22 = "Réttur", IFERROR(_xlfn.SINGLE(_xlfn.XLOOKUP(G22, Réttabanki!A:A, Réttabanki!AT:AT, "")), ""), "")))</f>
        <v/>
      </c>
      <c r="N22" s="26" t="str">
        <f>IF(OR(F22 = "", G22 = ""), "", IF(F22 = "Vara", IFERROR(_xlfn.SINGLE(_xlfn.XLOOKUP(G22, Vöruskrá!A:A, Vöruskrá!G:G, "")), ""), IF(F22 = "Réttur", IFERROR(_xlfn.SINGLE(_xlfn.XLOOKUP(G22, Réttabanki!A:A, Réttabanki!AU:AU, "")), ""), "")))</f>
        <v/>
      </c>
      <c r="O22" s="26" t="str">
        <f>IF(OR(F22 = "", G22 = "", I22 = ""), "", IF(F22 = "Vara", IFERROR(_xlfn.SINGLE(_xlfn.XLOOKUP(G22, Vöruskrá!A:A, Vöruskrá!I:I, "")) * I22 / 100, ""), IF(F22 = "Réttur", IFERROR(_xlfn.SINGLE(_xlfn.XLOOKUP(G22, Réttabanki!A:A, Réttabanki!AV:AV, "")) * I22 / 100, ""), "")))</f>
        <v/>
      </c>
      <c r="P22" s="26" t="str">
        <f>IF(OR(F22 = "", G22 = "", I22 = ""), "", IF(F22 = "Vara", IFERROR(_xlfn.SINGLE(_xlfn.XLOOKUP(G22, Vöruskrá!A:A, Vöruskrá!J:J, "")) * I22 / 100, ""), IF(F22 = "Réttur", IFERROR(_xlfn.SINGLE(_xlfn.XLOOKUP(G22, Réttabanki!A:A, Réttabanki!AW:AW, "")) * I22 / 100, ""), "")))</f>
        <v/>
      </c>
      <c r="Q22" s="26" t="str">
        <f>IF(OR(F22 = "", G22 = "", I22 = ""), "", IF(F22 = "Vara", IFERROR(_xlfn.SINGLE(_xlfn.XLOOKUP(G22, Vöruskrá!A:A, Vöruskrá!N:N, "")) * I22 / 100, ""), IF(F22 = "Réttur", IFERROR(_xlfn.SINGLE(_xlfn.XLOOKUP(G22, Réttabanki!A:A, Réttabanki!BB:BB, "")) * I22 / 100, ""), "")))</f>
        <v/>
      </c>
    </row>
    <row r="23" spans="1:17">
      <c r="B23" s="33" t="str">
        <f t="shared" si="0"/>
        <v>Mánudagur</v>
      </c>
      <c r="C23" s="33">
        <f t="shared" si="1"/>
        <v>25</v>
      </c>
      <c r="D23" s="34" t="s">
        <v>910</v>
      </c>
      <c r="E23" s="34" t="s">
        <v>941</v>
      </c>
      <c r="F23" s="34" t="s">
        <v>913</v>
      </c>
      <c r="G23" s="34" t="s">
        <v>939</v>
      </c>
      <c r="H23" s="34" t="s">
        <v>940</v>
      </c>
      <c r="I23" s="35">
        <v>15</v>
      </c>
      <c r="J23" s="35">
        <v>20</v>
      </c>
      <c r="K23" s="36"/>
      <c r="L23" s="26" t="str">
        <f>IF(OR(F23 = "", G23 = ""), "", IF(F23 = "Vara", IFERROR(_xlfn.SINGLE(_xlfn.XLOOKUP(G23, Vöruskrá!A:A, Vöruskrá!E:E, "")), ""), IF(F23 = "Réttur", IFERROR(_xlfn.SINGLE(_xlfn.XLOOKUP(G23, Réttabanki!A:A, Réttabanki!AS:AS, "")), ""), "")))</f>
        <v/>
      </c>
      <c r="M23" s="26" t="str">
        <f>IF(OR(F23 = "", G23 = ""), "", IF(F23 = "Vara", IFERROR(_xlfn.SINGLE(_xlfn.XLOOKUP(G23, Vöruskrá!A:A, Vöruskrá!F:F, "")), ""), IF(F23 = "Réttur", IFERROR(_xlfn.SINGLE(_xlfn.XLOOKUP(G23, Réttabanki!A:A, Réttabanki!AT:AT, "")), ""), "")))</f>
        <v/>
      </c>
      <c r="N23" s="26" t="str">
        <f>IF(OR(F23 = "", G23 = ""), "", IF(F23 = "Vara", IFERROR(_xlfn.SINGLE(_xlfn.XLOOKUP(G23, Vöruskrá!A:A, Vöruskrá!G:G, "")), ""), IF(F23 = "Réttur", IFERROR(_xlfn.SINGLE(_xlfn.XLOOKUP(G23, Réttabanki!A:A, Réttabanki!AU:AU, "")), ""), "")))</f>
        <v/>
      </c>
      <c r="O23" s="26" t="str">
        <f>IF(OR(F23 = "", G23 = "", I23 = ""), "", IF(F23 = "Vara", IFERROR(_xlfn.SINGLE(_xlfn.XLOOKUP(G23, Vöruskrá!A:A, Vöruskrá!I:I, "")) * I23 / 100, ""), IF(F23 = "Réttur", IFERROR(_xlfn.SINGLE(_xlfn.XLOOKUP(G23, Réttabanki!A:A, Réttabanki!AV:AV, "")) * I23 / 100, ""), "")))</f>
        <v/>
      </c>
      <c r="P23" s="26" t="str">
        <f>IF(OR(F23 = "", G23 = "", I23 = ""), "", IF(F23 = "Vara", IFERROR(_xlfn.SINGLE(_xlfn.XLOOKUP(G23, Vöruskrá!A:A, Vöruskrá!J:J, "")) * I23 / 100, ""), IF(F23 = "Réttur", IFERROR(_xlfn.SINGLE(_xlfn.XLOOKUP(G23, Réttabanki!A:A, Réttabanki!AW:AW, "")) * I23 / 100, ""), "")))</f>
        <v/>
      </c>
      <c r="Q23" s="26" t="str">
        <f>IF(OR(F23 = "", G23 = "", I23 = ""), "", IF(F23 = "Vara", IFERROR(_xlfn.SINGLE(_xlfn.XLOOKUP(G23, Vöruskrá!A:A, Vöruskrá!N:N, "")) * I23 / 100, ""), IF(F23 = "Réttur", IFERROR(_xlfn.SINGLE(_xlfn.XLOOKUP(G23, Réttabanki!A:A, Réttabanki!BB:BB, "")) * I23 / 100, ""), "")))</f>
        <v/>
      </c>
    </row>
    <row r="24" spans="1:17">
      <c r="B24" s="33" t="str">
        <f t="shared" si="0"/>
        <v>Mánudagur</v>
      </c>
      <c r="C24" s="33">
        <f t="shared" si="1"/>
        <v>25</v>
      </c>
      <c r="D24" s="34" t="s">
        <v>910</v>
      </c>
      <c r="E24" s="34" t="s">
        <v>911</v>
      </c>
      <c r="F24" s="34"/>
      <c r="G24" s="34"/>
      <c r="H24" s="34" t="s">
        <v>912</v>
      </c>
      <c r="I24" s="35"/>
      <c r="J24" s="35"/>
      <c r="K24" s="36"/>
      <c r="L24" s="26" t="str">
        <f>IF(OR(F24 = "", G24 = ""), "", IF(F24 = "Vara", IFERROR(_xlfn.SINGLE(_xlfn.XLOOKUP(G24, Vöruskrá!A:A, Vöruskrá!E:E, "")), ""), IF(F24 = "Réttur", IFERROR(_xlfn.SINGLE(_xlfn.XLOOKUP(G24, Réttabanki!A:A, Réttabanki!AS:AS, "")), ""), "")))</f>
        <v/>
      </c>
      <c r="M24" s="26" t="str">
        <f>IF(OR(F24 = "", G24 = ""), "", IF(F24 = "Vara", IFERROR(_xlfn.SINGLE(_xlfn.XLOOKUP(G24, Vöruskrá!A:A, Vöruskrá!F:F, "")), ""), IF(F24 = "Réttur", IFERROR(_xlfn.SINGLE(_xlfn.XLOOKUP(G24, Réttabanki!A:A, Réttabanki!AT:AT, "")), ""), "")))</f>
        <v/>
      </c>
      <c r="N24" s="26" t="str">
        <f>IF(OR(F24 = "", G24 = ""), "", IF(F24 = "Vara", IFERROR(_xlfn.SINGLE(_xlfn.XLOOKUP(G24, Vöruskrá!A:A, Vöruskrá!G:G, "")), ""), IF(F24 = "Réttur", IFERROR(_xlfn.SINGLE(_xlfn.XLOOKUP(G24, Réttabanki!A:A, Réttabanki!AU:AU, "")), ""), "")))</f>
        <v/>
      </c>
      <c r="O24" s="26" t="str">
        <f>IF(OR(F24 = "", G24 = "", I24 = ""), "", IF(F24 = "Vara", IFERROR(_xlfn.SINGLE(_xlfn.XLOOKUP(G24, Vöruskrá!A:A, Vöruskrá!I:I, "")) * I24 / 100, ""), IF(F24 = "Réttur", IFERROR(_xlfn.SINGLE(_xlfn.XLOOKUP(G24, Réttabanki!A:A, Réttabanki!AV:AV, "")) * I24 / 100, ""), "")))</f>
        <v/>
      </c>
      <c r="P24" s="26" t="str">
        <f>IF(OR(F24 = "", G24 = "", I24 = ""), "", IF(F24 = "Vara", IFERROR(_xlfn.SINGLE(_xlfn.XLOOKUP(G24, Vöruskrá!A:A, Vöruskrá!J:J, "")) * I24 / 100, ""), IF(F24 = "Réttur", IFERROR(_xlfn.SINGLE(_xlfn.XLOOKUP(G24, Réttabanki!A:A, Réttabanki!AW:AW, "")) * I24 / 100, ""), "")))</f>
        <v/>
      </c>
      <c r="Q24" s="26" t="str">
        <f>IF(OR(F24 = "", G24 = "", I24 = ""), "", IF(F24 = "Vara", IFERROR(_xlfn.SINGLE(_xlfn.XLOOKUP(G24, Vöruskrá!A:A, Vöruskrá!N:N, "")) * I24 / 100, ""), IF(F24 = "Réttur", IFERROR(_xlfn.SINGLE(_xlfn.XLOOKUP(G24, Réttabanki!A:A, Réttabanki!BB:BB, "")) * I24 / 100, ""), "")))</f>
        <v/>
      </c>
    </row>
    <row r="25" spans="1:17">
      <c r="A25" s="32">
        <v>46189</v>
      </c>
      <c r="B25" s="33" t="str">
        <f t="shared" si="0"/>
        <v>Þriðjudagur</v>
      </c>
      <c r="C25" s="33">
        <f t="shared" si="1"/>
        <v>25</v>
      </c>
      <c r="D25" s="34" t="s">
        <v>910</v>
      </c>
      <c r="E25" s="34" t="s">
        <v>921</v>
      </c>
      <c r="F25" s="34"/>
      <c r="G25" s="34"/>
      <c r="H25" s="34" t="s">
        <v>945</v>
      </c>
      <c r="I25" s="35"/>
      <c r="J25" s="35"/>
      <c r="K25" s="36"/>
      <c r="L25" s="26" t="str">
        <f>IF(OR(F25 = "", G25 = ""), "", IF(F25 = "Vara", IFERROR(_xlfn.SINGLE(_xlfn.XLOOKUP(G25, Vöruskrá!A:A, Vöruskrá!E:E, "")), ""), IF(F25 = "Réttur", IFERROR(_xlfn.SINGLE(_xlfn.XLOOKUP(G25, Réttabanki!A:A, Réttabanki!AS:AS, "")), ""), "")))</f>
        <v/>
      </c>
      <c r="M25" s="26" t="str">
        <f>IF(OR(F25 = "", G25 = ""), "", IF(F25 = "Vara", IFERROR(_xlfn.SINGLE(_xlfn.XLOOKUP(G25, Vöruskrá!A:A, Vöruskrá!F:F, "")), ""), IF(F25 = "Réttur", IFERROR(_xlfn.SINGLE(_xlfn.XLOOKUP(G25, Réttabanki!A:A, Réttabanki!AT:AT, "")), ""), "")))</f>
        <v/>
      </c>
      <c r="N25" s="26" t="str">
        <f>IF(OR(F25 = "", G25 = ""), "", IF(F25 = "Vara", IFERROR(_xlfn.SINGLE(_xlfn.XLOOKUP(G25, Vöruskrá!A:A, Vöruskrá!G:G, "")), ""), IF(F25 = "Réttur", IFERROR(_xlfn.SINGLE(_xlfn.XLOOKUP(G25, Réttabanki!A:A, Réttabanki!AU:AU, "")), ""), "")))</f>
        <v/>
      </c>
      <c r="O25" s="26" t="str">
        <f>IF(OR(F25 = "", G25 = "", I25 = ""), "", IF(F25 = "Vara", IFERROR(_xlfn.SINGLE(_xlfn.XLOOKUP(G25, Vöruskrá!A:A, Vöruskrá!I:I, "")) * I25 / 100, ""), IF(F25 = "Réttur", IFERROR(_xlfn.SINGLE(_xlfn.XLOOKUP(G25, Réttabanki!A:A, Réttabanki!AV:AV, "")) * I25 / 100, ""), "")))</f>
        <v/>
      </c>
      <c r="P25" s="26" t="str">
        <f>IF(OR(F25 = "", G25 = "", I25 = ""), "", IF(F25 = "Vara", IFERROR(_xlfn.SINGLE(_xlfn.XLOOKUP(G25, Vöruskrá!A:A, Vöruskrá!J:J, "")) * I25 / 100, ""), IF(F25 = "Réttur", IFERROR(_xlfn.SINGLE(_xlfn.XLOOKUP(G25, Réttabanki!A:A, Réttabanki!AW:AW, "")) * I25 / 100, ""), "")))</f>
        <v/>
      </c>
      <c r="Q25" s="26" t="str">
        <f>IF(OR(F25 = "", G25 = "", I25 = ""), "", IF(F25 = "Vara", IFERROR(_xlfn.SINGLE(_xlfn.XLOOKUP(G25, Vöruskrá!A:A, Vöruskrá!N:N, "")) * I25 / 100, ""), IF(F25 = "Réttur", IFERROR(_xlfn.SINGLE(_xlfn.XLOOKUP(G25, Réttabanki!A:A, Réttabanki!BB:BB, "")) * I25 / 100, ""), "")))</f>
        <v/>
      </c>
    </row>
    <row r="26" spans="1:17">
      <c r="B26" s="33" t="str">
        <f t="shared" si="0"/>
        <v>Þriðjudagur</v>
      </c>
      <c r="C26" s="33">
        <f t="shared" si="1"/>
        <v>25</v>
      </c>
      <c r="D26" s="34" t="s">
        <v>910</v>
      </c>
      <c r="E26" s="34" t="s">
        <v>921</v>
      </c>
      <c r="F26" s="34" t="s">
        <v>913</v>
      </c>
      <c r="G26" s="34" t="s">
        <v>946</v>
      </c>
      <c r="H26" s="34" t="s">
        <v>947</v>
      </c>
      <c r="I26" s="35">
        <v>250</v>
      </c>
      <c r="J26" s="35">
        <v>300</v>
      </c>
      <c r="K26" s="36"/>
      <c r="L26" s="26" t="str">
        <f>IF(OR(F26 = "", G26 = ""), "", IF(F26 = "Vara", IFERROR(_xlfn.SINGLE(_xlfn.XLOOKUP(G26, Vöruskrá!A:A, Vöruskrá!E:E, "")), ""), IF(F26 = "Réttur", IFERROR(_xlfn.SINGLE(_xlfn.XLOOKUP(G26, Réttabanki!A:A, Réttabanki!AS:AS, "")), ""), "")))</f>
        <v/>
      </c>
      <c r="M26" s="26" t="str">
        <f>IF(OR(F26 = "", G26 = ""), "", IF(F26 = "Vara", IFERROR(_xlfn.SINGLE(_xlfn.XLOOKUP(G26, Vöruskrá!A:A, Vöruskrá!F:F, "")), ""), IF(F26 = "Réttur", IFERROR(_xlfn.SINGLE(_xlfn.XLOOKUP(G26, Réttabanki!A:A, Réttabanki!AT:AT, "")), ""), "")))</f>
        <v/>
      </c>
      <c r="N26" s="26" t="str">
        <f>IF(OR(F26 = "", G26 = ""), "", IF(F26 = "Vara", IFERROR(_xlfn.SINGLE(_xlfn.XLOOKUP(G26, Vöruskrá!A:A, Vöruskrá!G:G, "")), ""), IF(F26 = "Réttur", IFERROR(_xlfn.SINGLE(_xlfn.XLOOKUP(G26, Réttabanki!A:A, Réttabanki!AU:AU, "")), ""), "")))</f>
        <v/>
      </c>
      <c r="O26" s="26" t="str">
        <f>IF(OR(F26 = "", G26 = "", I26 = ""), "", IF(F26 = "Vara", IFERROR(_xlfn.SINGLE(_xlfn.XLOOKUP(G26, Vöruskrá!A:A, Vöruskrá!I:I, "")) * I26 / 100, ""), IF(F26 = "Réttur", IFERROR(_xlfn.SINGLE(_xlfn.XLOOKUP(G26, Réttabanki!A:A, Réttabanki!AV:AV, "")) * I26 / 100, ""), "")))</f>
        <v/>
      </c>
      <c r="P26" s="26" t="str">
        <f>IF(OR(F26 = "", G26 = "", I26 = ""), "", IF(F26 = "Vara", IFERROR(_xlfn.SINGLE(_xlfn.XLOOKUP(G26, Vöruskrá!A:A, Vöruskrá!J:J, "")) * I26 / 100, ""), IF(F26 = "Réttur", IFERROR(_xlfn.SINGLE(_xlfn.XLOOKUP(G26, Réttabanki!A:A, Réttabanki!AW:AW, "")) * I26 / 100, ""), "")))</f>
        <v/>
      </c>
      <c r="Q26" s="26" t="str">
        <f>IF(OR(F26 = "", G26 = "", I26 = ""), "", IF(F26 = "Vara", IFERROR(_xlfn.SINGLE(_xlfn.XLOOKUP(G26, Vöruskrá!A:A, Vöruskrá!N:N, "")) * I26 / 100, ""), IF(F26 = "Réttur", IFERROR(_xlfn.SINGLE(_xlfn.XLOOKUP(G26, Réttabanki!A:A, Réttabanki!BB:BB, "")) * I26 / 100, ""), "")))</f>
        <v/>
      </c>
    </row>
    <row r="27" spans="1:17">
      <c r="B27" s="33" t="str">
        <f t="shared" si="0"/>
        <v>Þriðjudagur</v>
      </c>
      <c r="C27" s="33">
        <f t="shared" si="1"/>
        <v>25</v>
      </c>
      <c r="D27" s="34" t="s">
        <v>910</v>
      </c>
      <c r="E27" s="34" t="s">
        <v>921</v>
      </c>
      <c r="F27" s="34" t="s">
        <v>913</v>
      </c>
      <c r="G27" s="34" t="s">
        <v>948</v>
      </c>
      <c r="H27" s="34" t="s">
        <v>949</v>
      </c>
      <c r="I27" s="35">
        <v>20</v>
      </c>
      <c r="J27" s="35">
        <v>30</v>
      </c>
      <c r="K27" s="36"/>
      <c r="L27" s="26" t="str">
        <f>IF(OR(F27 = "", G27 = ""), "", IF(F27 = "Vara", IFERROR(_xlfn.SINGLE(_xlfn.XLOOKUP(G27, Vöruskrá!A:A, Vöruskrá!E:E, "")), ""), IF(F27 = "Réttur", IFERROR(_xlfn.SINGLE(_xlfn.XLOOKUP(G27, Réttabanki!A:A, Réttabanki!AS:AS, "")), ""), "")))</f>
        <v/>
      </c>
      <c r="M27" s="26" t="str">
        <f>IF(OR(F27 = "", G27 = ""), "", IF(F27 = "Vara", IFERROR(_xlfn.SINGLE(_xlfn.XLOOKUP(G27, Vöruskrá!A:A, Vöruskrá!F:F, "")), ""), IF(F27 = "Réttur", IFERROR(_xlfn.SINGLE(_xlfn.XLOOKUP(G27, Réttabanki!A:A, Réttabanki!AT:AT, "")), ""), "")))</f>
        <v/>
      </c>
      <c r="N27" s="26" t="str">
        <f>IF(OR(F27 = "", G27 = ""), "", IF(F27 = "Vara", IFERROR(_xlfn.SINGLE(_xlfn.XLOOKUP(G27, Vöruskrá!A:A, Vöruskrá!G:G, "")), ""), IF(F27 = "Réttur", IFERROR(_xlfn.SINGLE(_xlfn.XLOOKUP(G27, Réttabanki!A:A, Réttabanki!AU:AU, "")), ""), "")))</f>
        <v/>
      </c>
      <c r="O27" s="26" t="str">
        <f>IF(OR(F27 = "", G27 = "", I27 = ""), "", IF(F27 = "Vara", IFERROR(_xlfn.SINGLE(_xlfn.XLOOKUP(G27, Vöruskrá!A:A, Vöruskrá!I:I, "")) * I27 / 100, ""), IF(F27 = "Réttur", IFERROR(_xlfn.SINGLE(_xlfn.XLOOKUP(G27, Réttabanki!A:A, Réttabanki!AV:AV, "")) * I27 / 100, ""), "")))</f>
        <v/>
      </c>
      <c r="P27" s="26" t="str">
        <f>IF(OR(F27 = "", G27 = "", I27 = ""), "", IF(F27 = "Vara", IFERROR(_xlfn.SINGLE(_xlfn.XLOOKUP(G27, Vöruskrá!A:A, Vöruskrá!J:J, "")) * I27 / 100, ""), IF(F27 = "Réttur", IFERROR(_xlfn.SINGLE(_xlfn.XLOOKUP(G27, Réttabanki!A:A, Réttabanki!AW:AW, "")) * I27 / 100, ""), "")))</f>
        <v/>
      </c>
      <c r="Q27" s="26" t="str">
        <f>IF(OR(F27 = "", G27 = "", I27 = ""), "", IF(F27 = "Vara", IFERROR(_xlfn.SINGLE(_xlfn.XLOOKUP(G27, Vöruskrá!A:A, Vöruskrá!N:N, "")) * I27 / 100, ""), IF(F27 = "Réttur", IFERROR(_xlfn.SINGLE(_xlfn.XLOOKUP(G27, Réttabanki!A:A, Réttabanki!BB:BB, "")) * I27 / 100, ""), "")))</f>
        <v/>
      </c>
    </row>
    <row r="28" spans="1:17">
      <c r="B28" s="33" t="str">
        <f t="shared" si="0"/>
        <v>Þriðjudagur</v>
      </c>
      <c r="C28" s="33">
        <f t="shared" si="1"/>
        <v>25</v>
      </c>
      <c r="D28" s="34" t="s">
        <v>910</v>
      </c>
      <c r="E28" s="34" t="s">
        <v>921</v>
      </c>
      <c r="F28" s="34" t="s">
        <v>913</v>
      </c>
      <c r="G28" s="34" t="s">
        <v>874</v>
      </c>
      <c r="H28" s="34" t="s">
        <v>950</v>
      </c>
      <c r="I28" s="35">
        <v>10</v>
      </c>
      <c r="J28" s="35">
        <v>15</v>
      </c>
      <c r="K28" s="36"/>
      <c r="L28" s="26" t="str">
        <f>IF(OR(F28 = "", G28 = ""), "", IF(F28 = "Vara", IFERROR(_xlfn.SINGLE(_xlfn.XLOOKUP(G28, Vöruskrá!A:A, Vöruskrá!E:E, "")), ""), IF(F28 = "Réttur", IFERROR(_xlfn.SINGLE(_xlfn.XLOOKUP(G28, Réttabanki!A:A, Réttabanki!AS:AS, "")), ""), "")))</f>
        <v/>
      </c>
      <c r="M28" s="26" t="str">
        <f>IF(OR(F28 = "", G28 = ""), "", IF(F28 = "Vara", IFERROR(_xlfn.SINGLE(_xlfn.XLOOKUP(G28, Vöruskrá!A:A, Vöruskrá!F:F, "")), ""), IF(F28 = "Réttur", IFERROR(_xlfn.SINGLE(_xlfn.XLOOKUP(G28, Réttabanki!A:A, Réttabanki!AT:AT, "")), ""), "")))</f>
        <v/>
      </c>
      <c r="N28" s="26" t="str">
        <f>IF(OR(F28 = "", G28 = ""), "", IF(F28 = "Vara", IFERROR(_xlfn.SINGLE(_xlfn.XLOOKUP(G28, Vöruskrá!A:A, Vöruskrá!G:G, "")), ""), IF(F28 = "Réttur", IFERROR(_xlfn.SINGLE(_xlfn.XLOOKUP(G28, Réttabanki!A:A, Réttabanki!AU:AU, "")), ""), "")))</f>
        <v/>
      </c>
      <c r="O28" s="26" t="str">
        <f>IF(OR(F28 = "", G28 = "", I28 = ""), "", IF(F28 = "Vara", IFERROR(_xlfn.SINGLE(_xlfn.XLOOKUP(G28, Vöruskrá!A:A, Vöruskrá!I:I, "")) * I28 / 100, ""), IF(F28 = "Réttur", IFERROR(_xlfn.SINGLE(_xlfn.XLOOKUP(G28, Réttabanki!A:A, Réttabanki!AV:AV, "")) * I28 / 100, ""), "")))</f>
        <v/>
      </c>
      <c r="P28" s="26" t="str">
        <f>IF(OR(F28 = "", G28 = "", I28 = ""), "", IF(F28 = "Vara", IFERROR(_xlfn.SINGLE(_xlfn.XLOOKUP(G28, Vöruskrá!A:A, Vöruskrá!J:J, "")) * I28 / 100, ""), IF(F28 = "Réttur", IFERROR(_xlfn.SINGLE(_xlfn.XLOOKUP(G28, Réttabanki!A:A, Réttabanki!AW:AW, "")) * I28 / 100, ""), "")))</f>
        <v/>
      </c>
      <c r="Q28" s="26" t="str">
        <f>IF(OR(F28 = "", G28 = "", I28 = ""), "", IF(F28 = "Vara", IFERROR(_xlfn.SINGLE(_xlfn.XLOOKUP(G28, Vöruskrá!A:A, Vöruskrá!N:N, "")) * I28 / 100, ""), IF(F28 = "Réttur", IFERROR(_xlfn.SINGLE(_xlfn.XLOOKUP(G28, Réttabanki!A:A, Réttabanki!BB:BB, "")) * I28 / 100, ""), "")))</f>
        <v/>
      </c>
    </row>
    <row r="29" spans="1:17">
      <c r="B29" s="33" t="str">
        <f t="shared" si="0"/>
        <v>Þriðjudagur</v>
      </c>
      <c r="C29" s="33">
        <f t="shared" si="1"/>
        <v>25</v>
      </c>
      <c r="D29" s="34" t="s">
        <v>910</v>
      </c>
      <c r="E29" s="34" t="s">
        <v>927</v>
      </c>
      <c r="F29" s="34"/>
      <c r="G29" s="34"/>
      <c r="H29" s="34" t="s">
        <v>951</v>
      </c>
      <c r="I29" s="35"/>
      <c r="J29" s="35"/>
      <c r="K29" s="36"/>
      <c r="L29" s="26" t="str">
        <f>IF(OR(F29 = "", G29 = ""), "", IF(F29 = "Vara", IFERROR(_xlfn.SINGLE(_xlfn.XLOOKUP(G29, Vöruskrá!A:A, Vöruskrá!E:E, "")), ""), IF(F29 = "Réttur", IFERROR(_xlfn.SINGLE(_xlfn.XLOOKUP(G29, Réttabanki!A:A, Réttabanki!AS:AS, "")), ""), "")))</f>
        <v/>
      </c>
      <c r="M29" s="26" t="str">
        <f>IF(OR(F29 = "", G29 = ""), "", IF(F29 = "Vara", IFERROR(_xlfn.SINGLE(_xlfn.XLOOKUP(G29, Vöruskrá!A:A, Vöruskrá!F:F, "")), ""), IF(F29 = "Réttur", IFERROR(_xlfn.SINGLE(_xlfn.XLOOKUP(G29, Réttabanki!A:A, Réttabanki!AT:AT, "")), ""), "")))</f>
        <v/>
      </c>
      <c r="N29" s="26" t="str">
        <f>IF(OR(F29 = "", G29 = ""), "", IF(F29 = "Vara", IFERROR(_xlfn.SINGLE(_xlfn.XLOOKUP(G29, Vöruskrá!A:A, Vöruskrá!G:G, "")), ""), IF(F29 = "Réttur", IFERROR(_xlfn.SINGLE(_xlfn.XLOOKUP(G29, Réttabanki!A:A, Réttabanki!AU:AU, "")), ""), "")))</f>
        <v/>
      </c>
      <c r="O29" s="26" t="str">
        <f>IF(OR(F29 = "", G29 = "", I29 = ""), "", IF(F29 = "Vara", IFERROR(_xlfn.SINGLE(_xlfn.XLOOKUP(G29, Vöruskrá!A:A, Vöruskrá!I:I, "")) * I29 / 100, ""), IF(F29 = "Réttur", IFERROR(_xlfn.SINGLE(_xlfn.XLOOKUP(G29, Réttabanki!A:A, Réttabanki!AV:AV, "")) * I29 / 100, ""), "")))</f>
        <v/>
      </c>
      <c r="P29" s="26" t="str">
        <f>IF(OR(F29 = "", G29 = "", I29 = ""), "", IF(F29 = "Vara", IFERROR(_xlfn.SINGLE(_xlfn.XLOOKUP(G29, Vöruskrá!A:A, Vöruskrá!J:J, "")) * I29 / 100, ""), IF(F29 = "Réttur", IFERROR(_xlfn.SINGLE(_xlfn.XLOOKUP(G29, Réttabanki!A:A, Réttabanki!AW:AW, "")) * I29 / 100, ""), "")))</f>
        <v/>
      </c>
      <c r="Q29" s="26" t="str">
        <f>IF(OR(F29 = "", G29 = "", I29 = ""), "", IF(F29 = "Vara", IFERROR(_xlfn.SINGLE(_xlfn.XLOOKUP(G29, Vöruskrá!A:A, Vöruskrá!N:N, "")) * I29 / 100, ""), IF(F29 = "Réttur", IFERROR(_xlfn.SINGLE(_xlfn.XLOOKUP(G29, Réttabanki!A:A, Réttabanki!BB:BB, "")) * I29 / 100, ""), "")))</f>
        <v/>
      </c>
    </row>
    <row r="30" spans="1:17">
      <c r="B30" s="33" t="str">
        <f t="shared" si="0"/>
        <v>Þriðjudagur</v>
      </c>
      <c r="C30" s="33">
        <f t="shared" si="1"/>
        <v>25</v>
      </c>
      <c r="D30" s="34" t="s">
        <v>910</v>
      </c>
      <c r="E30" s="34" t="s">
        <v>927</v>
      </c>
      <c r="F30" s="34" t="s">
        <v>913</v>
      </c>
      <c r="G30" s="34" t="s">
        <v>884</v>
      </c>
      <c r="H30" s="34" t="s">
        <v>952</v>
      </c>
      <c r="I30" s="35">
        <v>20</v>
      </c>
      <c r="J30" s="35">
        <v>30</v>
      </c>
      <c r="K30" s="36"/>
      <c r="L30" s="26" t="str">
        <f>IF(OR(F30 = "", G30 = ""), "", IF(F30 = "Vara", IFERROR(_xlfn.SINGLE(_xlfn.XLOOKUP(G30, Vöruskrá!A:A, Vöruskrá!E:E, "")), ""), IF(F30 = "Réttur", IFERROR(_xlfn.SINGLE(_xlfn.XLOOKUP(G30, Réttabanki!A:A, Réttabanki!AS:AS, "")), ""), "")))</f>
        <v/>
      </c>
      <c r="M30" s="26" t="str">
        <f>IF(OR(F30 = "", G30 = ""), "", IF(F30 = "Vara", IFERROR(_xlfn.SINGLE(_xlfn.XLOOKUP(G30, Vöruskrá!A:A, Vöruskrá!F:F, "")), ""), IF(F30 = "Réttur", IFERROR(_xlfn.SINGLE(_xlfn.XLOOKUP(G30, Réttabanki!A:A, Réttabanki!AT:AT, "")), ""), "")))</f>
        <v/>
      </c>
      <c r="N30" s="26" t="str">
        <f>IF(OR(F30 = "", G30 = ""), "", IF(F30 = "Vara", IFERROR(_xlfn.SINGLE(_xlfn.XLOOKUP(G30, Vöruskrá!A:A, Vöruskrá!G:G, "")), ""), IF(F30 = "Réttur", IFERROR(_xlfn.SINGLE(_xlfn.XLOOKUP(G30, Réttabanki!A:A, Réttabanki!AU:AU, "")), ""), "")))</f>
        <v/>
      </c>
      <c r="O30" s="26" t="str">
        <f>IF(OR(F30 = "", G30 = "", I30 = ""), "", IF(F30 = "Vara", IFERROR(_xlfn.SINGLE(_xlfn.XLOOKUP(G30, Vöruskrá!A:A, Vöruskrá!I:I, "")) * I30 / 100, ""), IF(F30 = "Réttur", IFERROR(_xlfn.SINGLE(_xlfn.XLOOKUP(G30, Réttabanki!A:A, Réttabanki!AV:AV, "")) * I30 / 100, ""), "")))</f>
        <v/>
      </c>
      <c r="P30" s="26" t="str">
        <f>IF(OR(F30 = "", G30 = "", I30 = ""), "", IF(F30 = "Vara", IFERROR(_xlfn.SINGLE(_xlfn.XLOOKUP(G30, Vöruskrá!A:A, Vöruskrá!J:J, "")) * I30 / 100, ""), IF(F30 = "Réttur", IFERROR(_xlfn.SINGLE(_xlfn.XLOOKUP(G30, Réttabanki!A:A, Réttabanki!AW:AW, "")) * I30 / 100, ""), "")))</f>
        <v/>
      </c>
      <c r="Q30" s="26" t="str">
        <f>IF(OR(F30 = "", G30 = "", I30 = ""), "", IF(F30 = "Vara", IFERROR(_xlfn.SINGLE(_xlfn.XLOOKUP(G30, Vöruskrá!A:A, Vöruskrá!N:N, "")) * I30 / 100, ""), IF(F30 = "Réttur", IFERROR(_xlfn.SINGLE(_xlfn.XLOOKUP(G30, Réttabanki!A:A, Réttabanki!BB:BB, "")) * I30 / 100, ""), "")))</f>
        <v/>
      </c>
    </row>
    <row r="31" spans="1:17">
      <c r="B31" s="33" t="str">
        <f t="shared" si="0"/>
        <v>Þriðjudagur</v>
      </c>
      <c r="C31" s="33">
        <f t="shared" si="1"/>
        <v>25</v>
      </c>
      <c r="D31" s="34" t="s">
        <v>910</v>
      </c>
      <c r="E31" s="34" t="s">
        <v>927</v>
      </c>
      <c r="F31" s="34" t="s">
        <v>913</v>
      </c>
      <c r="G31" s="34" t="s">
        <v>883</v>
      </c>
      <c r="H31" s="34" t="s">
        <v>953</v>
      </c>
      <c r="I31" s="35">
        <v>10</v>
      </c>
      <c r="J31" s="35">
        <v>15</v>
      </c>
      <c r="K31" s="36"/>
      <c r="L31" s="26" t="str">
        <f>IF(OR(F31 = "", G31 = ""), "", IF(F31 = "Vara", IFERROR(_xlfn.SINGLE(_xlfn.XLOOKUP(G31, Vöruskrá!A:A, Vöruskrá!E:E, "")), ""), IF(F31 = "Réttur", IFERROR(_xlfn.SINGLE(_xlfn.XLOOKUP(G31, Réttabanki!A:A, Réttabanki!AS:AS, "")), ""), "")))</f>
        <v/>
      </c>
      <c r="M31" s="26" t="str">
        <f>IF(OR(F31 = "", G31 = ""), "", IF(F31 = "Vara", IFERROR(_xlfn.SINGLE(_xlfn.XLOOKUP(G31, Vöruskrá!A:A, Vöruskrá!F:F, "")), ""), IF(F31 = "Réttur", IFERROR(_xlfn.SINGLE(_xlfn.XLOOKUP(G31, Réttabanki!A:A, Réttabanki!AT:AT, "")), ""), "")))</f>
        <v/>
      </c>
      <c r="N31" s="26" t="str">
        <f>IF(OR(F31 = "", G31 = ""), "", IF(F31 = "Vara", IFERROR(_xlfn.SINGLE(_xlfn.XLOOKUP(G31, Vöruskrá!A:A, Vöruskrá!G:G, "")), ""), IF(F31 = "Réttur", IFERROR(_xlfn.SINGLE(_xlfn.XLOOKUP(G31, Réttabanki!A:A, Réttabanki!AU:AU, "")), ""), "")))</f>
        <v/>
      </c>
      <c r="O31" s="26" t="str">
        <f>IF(OR(F31 = "", G31 = "", I31 = ""), "", IF(F31 = "Vara", IFERROR(_xlfn.SINGLE(_xlfn.XLOOKUP(G31, Vöruskrá!A:A, Vöruskrá!I:I, "")) * I31 / 100, ""), IF(F31 = "Réttur", IFERROR(_xlfn.SINGLE(_xlfn.XLOOKUP(G31, Réttabanki!A:A, Réttabanki!AV:AV, "")) * I31 / 100, ""), "")))</f>
        <v/>
      </c>
      <c r="P31" s="26" t="str">
        <f>IF(OR(F31 = "", G31 = "", I31 = ""), "", IF(F31 = "Vara", IFERROR(_xlfn.SINGLE(_xlfn.XLOOKUP(G31, Vöruskrá!A:A, Vöruskrá!J:J, "")) * I31 / 100, ""), IF(F31 = "Réttur", IFERROR(_xlfn.SINGLE(_xlfn.XLOOKUP(G31, Réttabanki!A:A, Réttabanki!AW:AW, "")) * I31 / 100, ""), "")))</f>
        <v/>
      </c>
      <c r="Q31" s="26" t="str">
        <f>IF(OR(F31 = "", G31 = "", I31 = ""), "", IF(F31 = "Vara", IFERROR(_xlfn.SINGLE(_xlfn.XLOOKUP(G31, Vöruskrá!A:A, Vöruskrá!N:N, "")) * I31 / 100, ""), IF(F31 = "Réttur", IFERROR(_xlfn.SINGLE(_xlfn.XLOOKUP(G31, Réttabanki!A:A, Réttabanki!BB:BB, "")) * I31 / 100, ""), "")))</f>
        <v/>
      </c>
    </row>
    <row r="32" spans="1:17">
      <c r="B32" s="33" t="str">
        <f t="shared" si="0"/>
        <v>Þriðjudagur</v>
      </c>
      <c r="C32" s="33">
        <f t="shared" si="1"/>
        <v>25</v>
      </c>
      <c r="D32" s="34" t="s">
        <v>910</v>
      </c>
      <c r="E32" s="34" t="s">
        <v>933</v>
      </c>
      <c r="F32" s="34"/>
      <c r="G32" s="34"/>
      <c r="H32" s="34" t="s">
        <v>954</v>
      </c>
      <c r="I32" s="35"/>
      <c r="J32" s="35"/>
      <c r="K32" s="36"/>
      <c r="L32" s="26" t="str">
        <f>IF(OR(F32 = "", G32 = ""), "", IF(F32 = "Vara", IFERROR(_xlfn.SINGLE(_xlfn.XLOOKUP(G32, Vöruskrá!A:A, Vöruskrá!E:E, "")), ""), IF(F32 = "Réttur", IFERROR(_xlfn.SINGLE(_xlfn.XLOOKUP(G32, Réttabanki!A:A, Réttabanki!AS:AS, "")), ""), "")))</f>
        <v/>
      </c>
      <c r="M32" s="26" t="str">
        <f>IF(OR(F32 = "", G32 = ""), "", IF(F32 = "Vara", IFERROR(_xlfn.SINGLE(_xlfn.XLOOKUP(G32, Vöruskrá!A:A, Vöruskrá!F:F, "")), ""), IF(F32 = "Réttur", IFERROR(_xlfn.SINGLE(_xlfn.XLOOKUP(G32, Réttabanki!A:A, Réttabanki!AT:AT, "")), ""), "")))</f>
        <v/>
      </c>
      <c r="N32" s="26" t="str">
        <f>IF(OR(F32 = "", G32 = ""), "", IF(F32 = "Vara", IFERROR(_xlfn.SINGLE(_xlfn.XLOOKUP(G32, Vöruskrá!A:A, Vöruskrá!G:G, "")), ""), IF(F32 = "Réttur", IFERROR(_xlfn.SINGLE(_xlfn.XLOOKUP(G32, Réttabanki!A:A, Réttabanki!AU:AU, "")), ""), "")))</f>
        <v/>
      </c>
      <c r="O32" s="26" t="str">
        <f>IF(OR(F32 = "", G32 = "", I32 = ""), "", IF(F32 = "Vara", IFERROR(_xlfn.SINGLE(_xlfn.XLOOKUP(G32, Vöruskrá!A:A, Vöruskrá!I:I, "")) * I32 / 100, ""), IF(F32 = "Réttur", IFERROR(_xlfn.SINGLE(_xlfn.XLOOKUP(G32, Réttabanki!A:A, Réttabanki!AV:AV, "")) * I32 / 100, ""), "")))</f>
        <v/>
      </c>
      <c r="P32" s="26" t="str">
        <f>IF(OR(F32 = "", G32 = "", I32 = ""), "", IF(F32 = "Vara", IFERROR(_xlfn.SINGLE(_xlfn.XLOOKUP(G32, Vöruskrá!A:A, Vöruskrá!J:J, "")) * I32 / 100, ""), IF(F32 = "Réttur", IFERROR(_xlfn.SINGLE(_xlfn.XLOOKUP(G32, Réttabanki!A:A, Réttabanki!AW:AW, "")) * I32 / 100, ""), "")))</f>
        <v/>
      </c>
      <c r="Q32" s="26" t="str">
        <f>IF(OR(F32 = "", G32 = "", I32 = ""), "", IF(F32 = "Vara", IFERROR(_xlfn.SINGLE(_xlfn.XLOOKUP(G32, Vöruskrá!A:A, Vöruskrá!N:N, "")) * I32 / 100, ""), IF(F32 = "Réttur", IFERROR(_xlfn.SINGLE(_xlfn.XLOOKUP(G32, Réttabanki!A:A, Réttabanki!BB:BB, "")) * I32 / 100, ""), "")))</f>
        <v/>
      </c>
    </row>
    <row r="33" spans="1:17">
      <c r="B33" s="33" t="str">
        <f t="shared" si="0"/>
        <v>Þriðjudagur</v>
      </c>
      <c r="C33" s="33">
        <f t="shared" si="1"/>
        <v>25</v>
      </c>
      <c r="D33" s="34" t="s">
        <v>910</v>
      </c>
      <c r="E33" s="34" t="s">
        <v>933</v>
      </c>
      <c r="F33" s="34" t="s">
        <v>913</v>
      </c>
      <c r="G33" s="34" t="s">
        <v>955</v>
      </c>
      <c r="H33" s="34" t="s">
        <v>956</v>
      </c>
      <c r="I33" s="35">
        <v>30</v>
      </c>
      <c r="J33" s="35">
        <v>40</v>
      </c>
      <c r="K33" s="36"/>
      <c r="L33" s="26" t="str">
        <f>IF(OR(F33 = "", G33 = ""), "", IF(F33 = "Vara", IFERROR(_xlfn.SINGLE(_xlfn.XLOOKUP(G33, Vöruskrá!A:A, Vöruskrá!E:E, "")), ""), IF(F33 = "Réttur", IFERROR(_xlfn.SINGLE(_xlfn.XLOOKUP(G33, Réttabanki!A:A, Réttabanki!AS:AS, "")), ""), "")))</f>
        <v/>
      </c>
      <c r="M33" s="26" t="str">
        <f>IF(OR(F33 = "", G33 = ""), "", IF(F33 = "Vara", IFERROR(_xlfn.SINGLE(_xlfn.XLOOKUP(G33, Vöruskrá!A:A, Vöruskrá!F:F, "")), ""), IF(F33 = "Réttur", IFERROR(_xlfn.SINGLE(_xlfn.XLOOKUP(G33, Réttabanki!A:A, Réttabanki!AT:AT, "")), ""), "")))</f>
        <v/>
      </c>
      <c r="N33" s="26" t="str">
        <f>IF(OR(F33 = "", G33 = ""), "", IF(F33 = "Vara", IFERROR(_xlfn.SINGLE(_xlfn.XLOOKUP(G33, Vöruskrá!A:A, Vöruskrá!G:G, "")), ""), IF(F33 = "Réttur", IFERROR(_xlfn.SINGLE(_xlfn.XLOOKUP(G33, Réttabanki!A:A, Réttabanki!AU:AU, "")), ""), "")))</f>
        <v/>
      </c>
      <c r="O33" s="26" t="str">
        <f>IF(OR(F33 = "", G33 = "", I33 = ""), "", IF(F33 = "Vara", IFERROR(_xlfn.SINGLE(_xlfn.XLOOKUP(G33, Vöruskrá!A:A, Vöruskrá!I:I, "")) * I33 / 100, ""), IF(F33 = "Réttur", IFERROR(_xlfn.SINGLE(_xlfn.XLOOKUP(G33, Réttabanki!A:A, Réttabanki!AV:AV, "")) * I33 / 100, ""), "")))</f>
        <v/>
      </c>
      <c r="P33" s="26" t="str">
        <f>IF(OR(F33 = "", G33 = "", I33 = ""), "", IF(F33 = "Vara", IFERROR(_xlfn.SINGLE(_xlfn.XLOOKUP(G33, Vöruskrá!A:A, Vöruskrá!J:J, "")) * I33 / 100, ""), IF(F33 = "Réttur", IFERROR(_xlfn.SINGLE(_xlfn.XLOOKUP(G33, Réttabanki!A:A, Réttabanki!AW:AW, "")) * I33 / 100, ""), "")))</f>
        <v/>
      </c>
      <c r="Q33" s="26" t="str">
        <f>IF(OR(F33 = "", G33 = "", I33 = ""), "", IF(F33 = "Vara", IFERROR(_xlfn.SINGLE(_xlfn.XLOOKUP(G33, Vöruskrá!A:A, Vöruskrá!N:N, "")) * I33 / 100, ""), IF(F33 = "Réttur", IFERROR(_xlfn.SINGLE(_xlfn.XLOOKUP(G33, Réttabanki!A:A, Réttabanki!BB:BB, "")) * I33 / 100, ""), "")))</f>
        <v/>
      </c>
    </row>
    <row r="34" spans="1:17">
      <c r="B34" s="33" t="str">
        <f t="shared" si="0"/>
        <v>Þriðjudagur</v>
      </c>
      <c r="C34" s="33">
        <f t="shared" si="1"/>
        <v>25</v>
      </c>
      <c r="D34" s="34" t="s">
        <v>910</v>
      </c>
      <c r="E34" s="34" t="s">
        <v>941</v>
      </c>
      <c r="F34" s="34"/>
      <c r="G34" s="34"/>
      <c r="H34" s="34" t="s">
        <v>957</v>
      </c>
      <c r="I34" s="35"/>
      <c r="J34" s="35"/>
      <c r="K34" s="36"/>
      <c r="L34" s="26" t="str">
        <f>IF(OR(F34 = "", G34 = ""), "", IF(F34 = "Vara", IFERROR(_xlfn.SINGLE(_xlfn.XLOOKUP(G34, Vöruskrá!A:A, Vöruskrá!E:E, "")), ""), IF(F34 = "Réttur", IFERROR(_xlfn.SINGLE(_xlfn.XLOOKUP(G34, Réttabanki!A:A, Réttabanki!AS:AS, "")), ""), "")))</f>
        <v/>
      </c>
      <c r="M34" s="26" t="str">
        <f>IF(OR(F34 = "", G34 = ""), "", IF(F34 = "Vara", IFERROR(_xlfn.SINGLE(_xlfn.XLOOKUP(G34, Vöruskrá!A:A, Vöruskrá!F:F, "")), ""), IF(F34 = "Réttur", IFERROR(_xlfn.SINGLE(_xlfn.XLOOKUP(G34, Réttabanki!A:A, Réttabanki!AT:AT, "")), ""), "")))</f>
        <v/>
      </c>
      <c r="N34" s="26" t="str">
        <f>IF(OR(F34 = "", G34 = ""), "", IF(F34 = "Vara", IFERROR(_xlfn.SINGLE(_xlfn.XLOOKUP(G34, Vöruskrá!A:A, Vöruskrá!G:G, "")), ""), IF(F34 = "Réttur", IFERROR(_xlfn.SINGLE(_xlfn.XLOOKUP(G34, Réttabanki!A:A, Réttabanki!AU:AU, "")), ""), "")))</f>
        <v/>
      </c>
      <c r="O34" s="26" t="str">
        <f>IF(OR(F34 = "", G34 = "", I34 = ""), "", IF(F34 = "Vara", IFERROR(_xlfn.SINGLE(_xlfn.XLOOKUP(G34, Vöruskrá!A:A, Vöruskrá!I:I, "")) * I34 / 100, ""), IF(F34 = "Réttur", IFERROR(_xlfn.SINGLE(_xlfn.XLOOKUP(G34, Réttabanki!A:A, Réttabanki!AV:AV, "")) * I34 / 100, ""), "")))</f>
        <v/>
      </c>
      <c r="P34" s="26" t="str">
        <f>IF(OR(F34 = "", G34 = "", I34 = ""), "", IF(F34 = "Vara", IFERROR(_xlfn.SINGLE(_xlfn.XLOOKUP(G34, Vöruskrá!A:A, Vöruskrá!J:J, "")) * I34 / 100, ""), IF(F34 = "Réttur", IFERROR(_xlfn.SINGLE(_xlfn.XLOOKUP(G34, Réttabanki!A:A, Réttabanki!AW:AW, "")) * I34 / 100, ""), "")))</f>
        <v/>
      </c>
      <c r="Q34" s="26" t="str">
        <f>IF(OR(F34 = "", G34 = "", I34 = ""), "", IF(F34 = "Vara", IFERROR(_xlfn.SINGLE(_xlfn.XLOOKUP(G34, Vöruskrá!A:A, Vöruskrá!N:N, "")) * I34 / 100, ""), IF(F34 = "Réttur", IFERROR(_xlfn.SINGLE(_xlfn.XLOOKUP(G34, Réttabanki!A:A, Réttabanki!BB:BB, "")) * I34 / 100, ""), "")))</f>
        <v/>
      </c>
    </row>
    <row r="35" spans="1:17">
      <c r="B35" s="33" t="str">
        <f t="shared" si="0"/>
        <v>Þriðjudagur</v>
      </c>
      <c r="C35" s="33">
        <f t="shared" si="1"/>
        <v>25</v>
      </c>
      <c r="D35" s="34" t="s">
        <v>910</v>
      </c>
      <c r="E35" s="34" t="s">
        <v>941</v>
      </c>
      <c r="F35" s="34" t="s">
        <v>913</v>
      </c>
      <c r="G35" s="34" t="s">
        <v>958</v>
      </c>
      <c r="H35" s="34" t="s">
        <v>959</v>
      </c>
      <c r="I35" s="35">
        <v>30</v>
      </c>
      <c r="J35" s="35">
        <v>40</v>
      </c>
      <c r="K35" s="36"/>
      <c r="L35" s="26" t="str">
        <f>IF(OR(F35 = "", G35 = ""), "", IF(F35 = "Vara", IFERROR(_xlfn.SINGLE(_xlfn.XLOOKUP(G35, Vöruskrá!A:A, Vöruskrá!E:E, "")), ""), IF(F35 = "Réttur", IFERROR(_xlfn.SINGLE(_xlfn.XLOOKUP(G35, Réttabanki!A:A, Réttabanki!AS:AS, "")), ""), "")))</f>
        <v/>
      </c>
      <c r="M35" s="26" t="str">
        <f>IF(OR(F35 = "", G35 = ""), "", IF(F35 = "Vara", IFERROR(_xlfn.SINGLE(_xlfn.XLOOKUP(G35, Vöruskrá!A:A, Vöruskrá!F:F, "")), ""), IF(F35 = "Réttur", IFERROR(_xlfn.SINGLE(_xlfn.XLOOKUP(G35, Réttabanki!A:A, Réttabanki!AT:AT, "")), ""), "")))</f>
        <v/>
      </c>
      <c r="N35" s="26" t="str">
        <f>IF(OR(F35 = "", G35 = ""), "", IF(F35 = "Vara", IFERROR(_xlfn.SINGLE(_xlfn.XLOOKUP(G35, Vöruskrá!A:A, Vöruskrá!G:G, "")), ""), IF(F35 = "Réttur", IFERROR(_xlfn.SINGLE(_xlfn.XLOOKUP(G35, Réttabanki!A:A, Réttabanki!AU:AU, "")), ""), "")))</f>
        <v/>
      </c>
      <c r="O35" s="26" t="str">
        <f>IF(OR(F35 = "", G35 = "", I35 = ""), "", IF(F35 = "Vara", IFERROR(_xlfn.SINGLE(_xlfn.XLOOKUP(G35, Vöruskrá!A:A, Vöruskrá!I:I, "")) * I35 / 100, ""), IF(F35 = "Réttur", IFERROR(_xlfn.SINGLE(_xlfn.XLOOKUP(G35, Réttabanki!A:A, Réttabanki!AV:AV, "")) * I35 / 100, ""), "")))</f>
        <v/>
      </c>
      <c r="P35" s="26" t="str">
        <f>IF(OR(F35 = "", G35 = "", I35 = ""), "", IF(F35 = "Vara", IFERROR(_xlfn.SINGLE(_xlfn.XLOOKUP(G35, Vöruskrá!A:A, Vöruskrá!J:J, "")) * I35 / 100, ""), IF(F35 = "Réttur", IFERROR(_xlfn.SINGLE(_xlfn.XLOOKUP(G35, Réttabanki!A:A, Réttabanki!AW:AW, "")) * I35 / 100, ""), "")))</f>
        <v/>
      </c>
      <c r="Q35" s="26" t="str">
        <f>IF(OR(F35 = "", G35 = "", I35 = ""), "", IF(F35 = "Vara", IFERROR(_xlfn.SINGLE(_xlfn.XLOOKUP(G35, Vöruskrá!A:A, Vöruskrá!N:N, "")) * I35 / 100, ""), IF(F35 = "Réttur", IFERROR(_xlfn.SINGLE(_xlfn.XLOOKUP(G35, Réttabanki!A:A, Réttabanki!BB:BB, "")) * I35 / 100, ""), "")))</f>
        <v/>
      </c>
    </row>
    <row r="36" spans="1:17">
      <c r="B36" s="33" t="str">
        <f t="shared" si="0"/>
        <v>Þriðjudagur</v>
      </c>
      <c r="C36" s="33">
        <f t="shared" si="1"/>
        <v>25</v>
      </c>
      <c r="D36" s="34" t="s">
        <v>910</v>
      </c>
      <c r="E36" s="34" t="s">
        <v>941</v>
      </c>
      <c r="F36" s="34" t="s">
        <v>913</v>
      </c>
      <c r="G36" s="34" t="s">
        <v>960</v>
      </c>
      <c r="H36" s="34" t="s">
        <v>961</v>
      </c>
      <c r="I36" s="35">
        <v>20</v>
      </c>
      <c r="J36" s="35">
        <v>30</v>
      </c>
      <c r="K36" s="36"/>
      <c r="L36" s="26" t="str">
        <f>IF(OR(F36 = "", G36 = ""), "", IF(F36 = "Vara", IFERROR(_xlfn.SINGLE(_xlfn.XLOOKUP(G36, Vöruskrá!A:A, Vöruskrá!E:E, "")), ""), IF(F36 = "Réttur", IFERROR(_xlfn.SINGLE(_xlfn.XLOOKUP(G36, Réttabanki!A:A, Réttabanki!AS:AS, "")), ""), "")))</f>
        <v/>
      </c>
      <c r="M36" s="26" t="str">
        <f>IF(OR(F36 = "", G36 = ""), "", IF(F36 = "Vara", IFERROR(_xlfn.SINGLE(_xlfn.XLOOKUP(G36, Vöruskrá!A:A, Vöruskrá!F:F, "")), ""), IF(F36 = "Réttur", IFERROR(_xlfn.SINGLE(_xlfn.XLOOKUP(G36, Réttabanki!A:A, Réttabanki!AT:AT, "")), ""), "")))</f>
        <v/>
      </c>
      <c r="N36" s="26" t="str">
        <f>IF(OR(F36 = "", G36 = ""), "", IF(F36 = "Vara", IFERROR(_xlfn.SINGLE(_xlfn.XLOOKUP(G36, Vöruskrá!A:A, Vöruskrá!G:G, "")), ""), IF(F36 = "Réttur", IFERROR(_xlfn.SINGLE(_xlfn.XLOOKUP(G36, Réttabanki!A:A, Réttabanki!AU:AU, "")), ""), "")))</f>
        <v/>
      </c>
      <c r="O36" s="26" t="str">
        <f>IF(OR(F36 = "", G36 = "", I36 = ""), "", IF(F36 = "Vara", IFERROR(_xlfn.SINGLE(_xlfn.XLOOKUP(G36, Vöruskrá!A:A, Vöruskrá!I:I, "")) * I36 / 100, ""), IF(F36 = "Réttur", IFERROR(_xlfn.SINGLE(_xlfn.XLOOKUP(G36, Réttabanki!A:A, Réttabanki!AV:AV, "")) * I36 / 100, ""), "")))</f>
        <v/>
      </c>
      <c r="P36" s="26" t="str">
        <f>IF(OR(F36 = "", G36 = "", I36 = ""), "", IF(F36 = "Vara", IFERROR(_xlfn.SINGLE(_xlfn.XLOOKUP(G36, Vöruskrá!A:A, Vöruskrá!J:J, "")) * I36 / 100, ""), IF(F36 = "Réttur", IFERROR(_xlfn.SINGLE(_xlfn.XLOOKUP(G36, Réttabanki!A:A, Réttabanki!AW:AW, "")) * I36 / 100, ""), "")))</f>
        <v/>
      </c>
      <c r="Q36" s="26" t="str">
        <f>IF(OR(F36 = "", G36 = "", I36 = ""), "", IF(F36 = "Vara", IFERROR(_xlfn.SINGLE(_xlfn.XLOOKUP(G36, Vöruskrá!A:A, Vöruskrá!N:N, "")) * I36 / 100, ""), IF(F36 = "Réttur", IFERROR(_xlfn.SINGLE(_xlfn.XLOOKUP(G36, Réttabanki!A:A, Réttabanki!BB:BB, "")) * I36 / 100, ""), "")))</f>
        <v/>
      </c>
    </row>
    <row r="37" spans="1:17">
      <c r="A37" s="32">
        <v>46190</v>
      </c>
      <c r="B37" s="33" t="str">
        <f>IF(A37&lt;&gt;"",CHOOSE(WEEKDAY(A37,2),"Mánudagur","Þriðjudagur","Miðvikudagur","Fimmtudagur","Föstudagur","Laugardagur","Sunnudagur"),IF(#REF!&lt;&gt;"",#REF!,""))</f>
        <v>Miðvikudagur</v>
      </c>
      <c r="C37" s="33">
        <f>IF(A37&lt;&gt;"",WEEKNUM(A37,21),IF(#REF!&lt;&gt;"",#REF!,""))</f>
        <v>25</v>
      </c>
      <c r="D37" s="34" t="s">
        <v>910</v>
      </c>
      <c r="E37" s="34" t="s">
        <v>921</v>
      </c>
      <c r="F37" s="34"/>
      <c r="G37" s="34"/>
      <c r="H37" s="34" t="s">
        <v>962</v>
      </c>
      <c r="I37" s="35"/>
      <c r="J37" s="35"/>
      <c r="K37" s="36"/>
      <c r="L37" s="26" t="str">
        <f>IF(OR(F37 = "", G37 = ""), "", IF(F37 = "Vara", IFERROR(_xlfn.SINGLE(_xlfn.XLOOKUP(G37, Vöruskrá!A:A, Vöruskrá!E:E, "")), ""), IF(F37 = "Réttur", IFERROR(_xlfn.SINGLE(_xlfn.XLOOKUP(G37, Réttabanki!A:A, Réttabanki!AS:AS, "")), ""), "")))</f>
        <v/>
      </c>
      <c r="M37" s="26" t="str">
        <f>IF(OR(F37 = "", G37 = ""), "", IF(F37 = "Vara", IFERROR(_xlfn.SINGLE(_xlfn.XLOOKUP(G37, Vöruskrá!A:A, Vöruskrá!F:F, "")), ""), IF(F37 = "Réttur", IFERROR(_xlfn.SINGLE(_xlfn.XLOOKUP(G37, Réttabanki!A:A, Réttabanki!AT:AT, "")), ""), "")))</f>
        <v/>
      </c>
      <c r="N37" s="26" t="str">
        <f>IF(OR(F37 = "", G37 = ""), "", IF(F37 = "Vara", IFERROR(_xlfn.SINGLE(_xlfn.XLOOKUP(G37, Vöruskrá!A:A, Vöruskrá!G:G, "")), ""), IF(F37 = "Réttur", IFERROR(_xlfn.SINGLE(_xlfn.XLOOKUP(G37, Réttabanki!A:A, Réttabanki!AU:AU, "")), ""), "")))</f>
        <v/>
      </c>
      <c r="O37" s="26" t="str">
        <f>IF(OR(F37 = "", G37 = "", I37 = ""), "", IF(F37 = "Vara", IFERROR(_xlfn.SINGLE(_xlfn.XLOOKUP(G37, Vöruskrá!A:A, Vöruskrá!I:I, "")) * I37 / 100, ""), IF(F37 = "Réttur", IFERROR(_xlfn.SINGLE(_xlfn.XLOOKUP(G37, Réttabanki!A:A, Réttabanki!AV:AV, "")) * I37 / 100, ""), "")))</f>
        <v/>
      </c>
      <c r="P37" s="26" t="str">
        <f>IF(OR(F37 = "", G37 = "", I37 = ""), "", IF(F37 = "Vara", IFERROR(_xlfn.SINGLE(_xlfn.XLOOKUP(G37, Vöruskrá!A:A, Vöruskrá!J:J, "")) * I37 / 100, ""), IF(F37 = "Réttur", IFERROR(_xlfn.SINGLE(_xlfn.XLOOKUP(G37, Réttabanki!A:A, Réttabanki!AW:AW, "")) * I37 / 100, ""), "")))</f>
        <v/>
      </c>
      <c r="Q37" s="26" t="str">
        <f>IF(OR(F37 = "", G37 = "", I37 = ""), "", IF(F37 = "Vara", IFERROR(_xlfn.SINGLE(_xlfn.XLOOKUP(G37, Vöruskrá!A:A, Vöruskrá!N:N, "")) * I37 / 100, ""), IF(F37 = "Réttur", IFERROR(_xlfn.SINGLE(_xlfn.XLOOKUP(G37, Réttabanki!A:A, Réttabanki!BB:BB, "")) * I37 / 100, ""), "")))</f>
        <v/>
      </c>
    </row>
    <row r="38" spans="1:17">
      <c r="B38" s="33" t="str">
        <f>IF(A38&lt;&gt;"",CHOOSE(WEEKDAY(A38,2),"Mánudagur","Þriðjudagur","Miðvikudagur","Fimmtudagur","Föstudagur","Laugardagur","Sunnudagur"),IF(B37&lt;&gt;"",B37,""))</f>
        <v>Miðvikudagur</v>
      </c>
      <c r="C38" s="33">
        <f>IF(A38&lt;&gt;"",WEEKNUM(A38,21),IF(C37&lt;&gt;"",C37,""))</f>
        <v>25</v>
      </c>
      <c r="D38" s="34" t="s">
        <v>910</v>
      </c>
      <c r="E38" s="34" t="s">
        <v>921</v>
      </c>
      <c r="F38" s="34" t="s">
        <v>913</v>
      </c>
      <c r="G38" s="34" t="s">
        <v>763</v>
      </c>
      <c r="H38" s="34" t="s">
        <v>763</v>
      </c>
      <c r="I38" s="35">
        <v>100</v>
      </c>
      <c r="J38" s="35">
        <v>130</v>
      </c>
      <c r="K38" s="36"/>
      <c r="L38" s="26" t="str">
        <f>IF(OR(F38 = "", G38 = ""), "", IF(F38 = "Vara", IFERROR(_xlfn.SINGLE(_xlfn.XLOOKUP(G38, Vöruskrá!A:A, Vöruskrá!E:E, "")), ""), IF(F38 = "Réttur", IFERROR(_xlfn.SINGLE(_xlfn.XLOOKUP(G38, Réttabanki!A:A, Réttabanki!AS:AS, "")), ""), "")))</f>
        <v>Ýsa</v>
      </c>
      <c r="M38" s="26" t="str">
        <f>IF(OR(F38 = "", G38 = ""), "", IF(F38 = "Vara", IFERROR(_xlfn.SINGLE(_xlfn.XLOOKUP(G38, Vöruskrá!A:A, Vöruskrá!F:F, "")), ""), IF(F38 = "Réttur", IFERROR(_xlfn.SINGLE(_xlfn.XLOOKUP(G38, Réttabanki!A:A, Réttabanki!AT:AT, "")), ""), "")))</f>
        <v>Fiskur</v>
      </c>
      <c r="N38" s="26">
        <f>IF(OR(F38 = "", G38 = ""), "", IF(F38 = "Vara", IFERROR(_xlfn.SINGLE(_xlfn.XLOOKUP(G38, Vöruskrá!A:A, Vöruskrá!G:G, "")), ""), IF(F38 = "Réttur", IFERROR(_xlfn.SINGLE(_xlfn.XLOOKUP(G38, Réttabanki!A:A, Réttabanki!AU:AU, "")), ""), "")))</f>
        <v>0</v>
      </c>
      <c r="O38" s="26">
        <f>IF(OR(F38 = "", G38 = "", I38 = ""), "", IF(F38 = "Vara", IFERROR(_xlfn.SINGLE(_xlfn.XLOOKUP(G38, Vöruskrá!A:A, Vöruskrá!I:I, "")) * I38 / 100, ""), IF(F38 = "Réttur", IFERROR(_xlfn.SINGLE(_xlfn.XLOOKUP(G38, Réttabanki!A:A, Réttabanki!AV:AV, "")) * I38 / 100, ""), "")))</f>
        <v>100</v>
      </c>
      <c r="P38" s="26">
        <f>IF(OR(F38 = "", G38 = "", I38 = ""), "", IF(F38 = "Vara", IFERROR(_xlfn.SINGLE(_xlfn.XLOOKUP(G38, Vöruskrá!A:A, Vöruskrá!J:J, "")) * I38 / 100, ""), IF(F38 = "Réttur", IFERROR(_xlfn.SINGLE(_xlfn.XLOOKUP(G38, Réttabanki!A:A, Réttabanki!AW:AW, "")) * I38 / 100, ""), "")))</f>
        <v>0.7</v>
      </c>
      <c r="Q38" s="26">
        <f>IF(OR(F38 = "", G38 = "", I38 = ""), "", IF(F38 = "Vara", IFERROR(_xlfn.SINGLE(_xlfn.XLOOKUP(G38, Vöruskrá!A:A, Vöruskrá!N:N, "")) * I38 / 100, ""), IF(F38 = "Réttur", IFERROR(_xlfn.SINGLE(_xlfn.XLOOKUP(G38, Réttabanki!A:A, Réttabanki!BB:BB, "")) * I38 / 100, ""), "")))</f>
        <v>23</v>
      </c>
    </row>
    <row r="39" spans="1:17">
      <c r="B39" s="33" t="str">
        <f>IF(A39&lt;&gt;"",CHOOSE(WEEKDAY(A39,2),"Mánudagur","Þriðjudagur","Miðvikudagur","Fimmtudagur","Föstudagur","Laugardagur","Sunnudagur"),IF(B38&lt;&gt;"",B38,""))</f>
        <v>Miðvikudagur</v>
      </c>
      <c r="C39" s="33">
        <f>IF(A39&lt;&gt;"",WEEKNUM(A39,21),IF(C38&lt;&gt;"",C38,""))</f>
        <v>25</v>
      </c>
      <c r="D39" s="34" t="s">
        <v>910</v>
      </c>
      <c r="E39" s="34" t="s">
        <v>921</v>
      </c>
      <c r="F39" s="34" t="s">
        <v>913</v>
      </c>
      <c r="G39" s="34" t="s">
        <v>963</v>
      </c>
      <c r="H39" s="34" t="s">
        <v>530</v>
      </c>
      <c r="I39" s="35">
        <v>100</v>
      </c>
      <c r="J39" s="35">
        <v>130</v>
      </c>
      <c r="K39" s="36"/>
      <c r="L39" s="26" t="str">
        <f>IF(OR(F39 = "", G39 = ""), "", IF(F39 = "Vara", IFERROR(_xlfn.SINGLE(_xlfn.XLOOKUP(G39, Vöruskrá!A:A, Vöruskrá!E:E, "")), ""), IF(F39 = "Réttur", IFERROR(_xlfn.SINGLE(_xlfn.XLOOKUP(G39, Réttabanki!A:A, Réttabanki!AS:AS, "")), ""), "")))</f>
        <v/>
      </c>
      <c r="M39" s="26" t="str">
        <f>IF(OR(F39 = "", G39 = ""), "", IF(F39 = "Vara", IFERROR(_xlfn.SINGLE(_xlfn.XLOOKUP(G39, Vöruskrá!A:A, Vöruskrá!F:F, "")), ""), IF(F39 = "Réttur", IFERROR(_xlfn.SINGLE(_xlfn.XLOOKUP(G39, Réttabanki!A:A, Réttabanki!AT:AT, "")), ""), "")))</f>
        <v/>
      </c>
      <c r="N39" s="26" t="str">
        <f>IF(OR(F39 = "", G39 = ""), "", IF(F39 = "Vara", IFERROR(_xlfn.SINGLE(_xlfn.XLOOKUP(G39, Vöruskrá!A:A, Vöruskrá!G:G, "")), ""), IF(F39 = "Réttur", IFERROR(_xlfn.SINGLE(_xlfn.XLOOKUP(G39, Réttabanki!A:A, Réttabanki!AU:AU, "")), ""), "")))</f>
        <v/>
      </c>
      <c r="O39" s="26" t="str">
        <f>IF(OR(F39 = "", G39 = "", I39 = ""), "", IF(F39 = "Vara", IFERROR(_xlfn.SINGLE(_xlfn.XLOOKUP(G39, Vöruskrá!A:A, Vöruskrá!I:I, "")) * I39 / 100, ""), IF(F39 = "Réttur", IFERROR(_xlfn.SINGLE(_xlfn.XLOOKUP(G39, Réttabanki!A:A, Réttabanki!AV:AV, "")) * I39 / 100, ""), "")))</f>
        <v/>
      </c>
      <c r="P39" s="26" t="str">
        <f>IF(OR(F39 = "", G39 = "", I39 = ""), "", IF(F39 = "Vara", IFERROR(_xlfn.SINGLE(_xlfn.XLOOKUP(G39, Vöruskrá!A:A, Vöruskrá!J:J, "")) * I39 / 100, ""), IF(F39 = "Réttur", IFERROR(_xlfn.SINGLE(_xlfn.XLOOKUP(G39, Réttabanki!A:A, Réttabanki!AW:AW, "")) * I39 / 100, ""), "")))</f>
        <v/>
      </c>
      <c r="Q39" s="26" t="str">
        <f>IF(OR(F39 = "", G39 = "", I39 = ""), "", IF(F39 = "Vara", IFERROR(_xlfn.SINGLE(_xlfn.XLOOKUP(G39, Vöruskrá!A:A, Vöruskrá!N:N, "")) * I39 / 100, ""), IF(F39 = "Réttur", IFERROR(_xlfn.SINGLE(_xlfn.XLOOKUP(G39, Réttabanki!A:A, Réttabanki!BB:BB, "")) * I39 / 100, ""), "")))</f>
        <v/>
      </c>
    </row>
    <row r="40" spans="1:17">
      <c r="B40" s="33" t="str">
        <f>IF(A40&lt;&gt;"",CHOOSE(WEEKDAY(A40,2),"Mánudagur","Þriðjudagur","Miðvikudagur","Fimmtudagur","Föstudagur","Laugardagur","Sunnudagur"),IF(B39&lt;&gt;"",B39,""))</f>
        <v>Miðvikudagur</v>
      </c>
      <c r="C40" s="33">
        <f>IF(A40&lt;&gt;"",WEEKNUM(A40,21),IF(C39&lt;&gt;"",C39,""))</f>
        <v>25</v>
      </c>
      <c r="D40" s="34" t="s">
        <v>910</v>
      </c>
      <c r="E40" s="34" t="s">
        <v>921</v>
      </c>
      <c r="F40" s="34" t="s">
        <v>913</v>
      </c>
      <c r="G40" s="34" t="s">
        <v>889</v>
      </c>
      <c r="H40" s="34" t="s">
        <v>964</v>
      </c>
      <c r="I40" s="35">
        <v>10</v>
      </c>
      <c r="J40" s="35">
        <v>15</v>
      </c>
      <c r="K40" s="36"/>
      <c r="L40" s="26" t="str">
        <f>IF(OR(F40 = "", G40 = ""), "", IF(F40 = "Vara", IFERROR(_xlfn.SINGLE(_xlfn.XLOOKUP(G40, Vöruskrá!A:A, Vöruskrá!E:E, "")), ""), IF(F40 = "Réttur", IFERROR(_xlfn.SINGLE(_xlfn.XLOOKUP(G40, Réttabanki!A:A, Réttabanki!AS:AS, "")), ""), "")))</f>
        <v/>
      </c>
      <c r="M40" s="26" t="str">
        <f>IF(OR(F40 = "", G40 = ""), "", IF(F40 = "Vara", IFERROR(_xlfn.SINGLE(_xlfn.XLOOKUP(G40, Vöruskrá!A:A, Vöruskrá!F:F, "")), ""), IF(F40 = "Réttur", IFERROR(_xlfn.SINGLE(_xlfn.XLOOKUP(G40, Réttabanki!A:A, Réttabanki!AT:AT, "")), ""), "")))</f>
        <v/>
      </c>
      <c r="N40" s="26" t="str">
        <f>IF(OR(F40 = "", G40 = ""), "", IF(F40 = "Vara", IFERROR(_xlfn.SINGLE(_xlfn.XLOOKUP(G40, Vöruskrá!A:A, Vöruskrá!G:G, "")), ""), IF(F40 = "Réttur", IFERROR(_xlfn.SINGLE(_xlfn.XLOOKUP(G40, Réttabanki!A:A, Réttabanki!AU:AU, "")), ""), "")))</f>
        <v/>
      </c>
      <c r="O40" s="26" t="str">
        <f>IF(OR(F40 = "", G40 = "", I40 = ""), "", IF(F40 = "Vara", IFERROR(_xlfn.SINGLE(_xlfn.XLOOKUP(G40, Vöruskrá!A:A, Vöruskrá!I:I, "")) * I40 / 100, ""), IF(F40 = "Réttur", IFERROR(_xlfn.SINGLE(_xlfn.XLOOKUP(G40, Réttabanki!A:A, Réttabanki!AV:AV, "")) * I40 / 100, ""), "")))</f>
        <v/>
      </c>
      <c r="P40" s="26" t="str">
        <f>IF(OR(F40 = "", G40 = "", I40 = ""), "", IF(F40 = "Vara", IFERROR(_xlfn.SINGLE(_xlfn.XLOOKUP(G40, Vöruskrá!A:A, Vöruskrá!J:J, "")) * I40 / 100, ""), IF(F40 = "Réttur", IFERROR(_xlfn.SINGLE(_xlfn.XLOOKUP(G40, Réttabanki!A:A, Réttabanki!AW:AW, "")) * I40 / 100, ""), "")))</f>
        <v/>
      </c>
      <c r="Q40" s="26" t="str">
        <f>IF(OR(F40 = "", G40 = "", I40 = ""), "", IF(F40 = "Vara", IFERROR(_xlfn.SINGLE(_xlfn.XLOOKUP(G40, Vöruskrá!A:A, Vöruskrá!N:N, "")) * I40 / 100, ""), IF(F40 = "Réttur", IFERROR(_xlfn.SINGLE(_xlfn.XLOOKUP(G40, Réttabanki!A:A, Réttabanki!BB:BB, "")) * I40 / 100, ""), "")))</f>
        <v/>
      </c>
    </row>
    <row r="41" spans="1:17">
      <c r="B41" s="33" t="str">
        <f>IF(A41&lt;&gt;"",CHOOSE(WEEKDAY(A41,2),"Mánudagur","Þriðjudagur","Miðvikudagur","Fimmtudagur","Föstudagur","Laugardagur","Sunnudagur"),IF(B40&lt;&gt;"",B40,""))</f>
        <v>Miðvikudagur</v>
      </c>
      <c r="C41" s="33">
        <f>IF(A41&lt;&gt;"",WEEKNUM(A41,21),IF(C40&lt;&gt;"",C40,""))</f>
        <v>25</v>
      </c>
      <c r="D41" s="34" t="s">
        <v>910</v>
      </c>
      <c r="E41" s="34" t="s">
        <v>927</v>
      </c>
      <c r="F41" s="34"/>
      <c r="G41" s="34"/>
      <c r="H41" s="34" t="s">
        <v>965</v>
      </c>
      <c r="I41" s="35"/>
      <c r="J41" s="35"/>
      <c r="K41" s="36"/>
      <c r="L41" s="26" t="str">
        <f>IF(OR(F41 = "", G41 = ""), "", IF(F41 = "Vara", IFERROR(_xlfn.SINGLE(_xlfn.XLOOKUP(G41, Vöruskrá!A:A, Vöruskrá!E:E, "")), ""), IF(F41 = "Réttur", IFERROR(_xlfn.SINGLE(_xlfn.XLOOKUP(G41, Réttabanki!A:A, Réttabanki!AS:AS, "")), ""), "")))</f>
        <v/>
      </c>
      <c r="M41" s="26" t="str">
        <f>IF(OR(F41 = "", G41 = ""), "", IF(F41 = "Vara", IFERROR(_xlfn.SINGLE(_xlfn.XLOOKUP(G41, Vöruskrá!A:A, Vöruskrá!F:F, "")), ""), IF(F41 = "Réttur", IFERROR(_xlfn.SINGLE(_xlfn.XLOOKUP(G41, Réttabanki!A:A, Réttabanki!AT:AT, "")), ""), "")))</f>
        <v/>
      </c>
      <c r="N41" s="26" t="str">
        <f>IF(OR(F41 = "", G41 = ""), "", IF(F41 = "Vara", IFERROR(_xlfn.SINGLE(_xlfn.XLOOKUP(G41, Vöruskrá!A:A, Vöruskrá!G:G, "")), ""), IF(F41 = "Réttur", IFERROR(_xlfn.SINGLE(_xlfn.XLOOKUP(G41, Réttabanki!A:A, Réttabanki!AU:AU, "")), ""), "")))</f>
        <v/>
      </c>
      <c r="O41" s="26" t="str">
        <f>IF(OR(F41 = "", G41 = "", I41 = ""), "", IF(F41 = "Vara", IFERROR(_xlfn.SINGLE(_xlfn.XLOOKUP(G41, Vöruskrá!A:A, Vöruskrá!I:I, "")) * I41 / 100, ""), IF(F41 = "Réttur", IFERROR(_xlfn.SINGLE(_xlfn.XLOOKUP(G41, Réttabanki!A:A, Réttabanki!AV:AV, "")) * I41 / 100, ""), "")))</f>
        <v/>
      </c>
      <c r="P41" s="26" t="str">
        <f>IF(OR(F41 = "", G41 = "", I41 = ""), "", IF(F41 = "Vara", IFERROR(_xlfn.SINGLE(_xlfn.XLOOKUP(G41, Vöruskrá!A:A, Vöruskrá!J:J, "")) * I41 / 100, ""), IF(F41 = "Réttur", IFERROR(_xlfn.SINGLE(_xlfn.XLOOKUP(G41, Réttabanki!A:A, Réttabanki!AW:AW, "")) * I41 / 100, ""), "")))</f>
        <v/>
      </c>
      <c r="Q41" s="26" t="str">
        <f>IF(OR(F41 = "", G41 = "", I41 = ""), "", IF(F41 = "Vara", IFERROR(_xlfn.SINGLE(_xlfn.XLOOKUP(G41, Vöruskrá!A:A, Vöruskrá!N:N, "")) * I41 / 100, ""), IF(F41 = "Réttur", IFERROR(_xlfn.SINGLE(_xlfn.XLOOKUP(G41, Réttabanki!A:A, Réttabanki!BB:BB, "")) * I41 / 100, ""), "")))</f>
        <v/>
      </c>
    </row>
    <row r="42" spans="1:17">
      <c r="B42" s="33" t="str">
        <f>IF(A42&lt;&gt;"",CHOOSE(WEEKDAY(A42,2),"Mánudagur","Þriðjudagur","Miðvikudagur","Fimmtudagur","Föstudagur","Laugardagur","Sunnudagur"),IF(B41&lt;&gt;"",B41,""))</f>
        <v>Miðvikudagur</v>
      </c>
      <c r="C42" s="33">
        <f>IF(A42&lt;&gt;"",WEEKNUM(A42,21),IF(C41&lt;&gt;"",C41,""))</f>
        <v>25</v>
      </c>
      <c r="D42" s="34" t="s">
        <v>910</v>
      </c>
      <c r="E42" s="34" t="s">
        <v>927</v>
      </c>
      <c r="F42" s="34" t="s">
        <v>913</v>
      </c>
      <c r="G42" s="34" t="s">
        <v>966</v>
      </c>
      <c r="H42" s="34" t="s">
        <v>967</v>
      </c>
      <c r="I42" s="35">
        <v>130</v>
      </c>
      <c r="J42" s="35">
        <v>160</v>
      </c>
      <c r="K42" s="36"/>
      <c r="L42" s="26" t="str">
        <f>IF(OR(F42 = "", G42 = ""), "", IF(F42 = "Vara", IFERROR(_xlfn.SINGLE(_xlfn.XLOOKUP(G42, Vöruskrá!A:A, Vöruskrá!E:E, "")), ""), IF(F42 = "Réttur", IFERROR(_xlfn.SINGLE(_xlfn.XLOOKUP(G42, Réttabanki!A:A, Réttabanki!AS:AS, "")), ""), "")))</f>
        <v/>
      </c>
      <c r="M42" s="26" t="str">
        <f>IF(OR(F42 = "", G42 = ""), "", IF(F42 = "Vara", IFERROR(_xlfn.SINGLE(_xlfn.XLOOKUP(G42, Vöruskrá!A:A, Vöruskrá!F:F, "")), ""), IF(F42 = "Réttur", IFERROR(_xlfn.SINGLE(_xlfn.XLOOKUP(G42, Réttabanki!A:A, Réttabanki!AT:AT, "")), ""), "")))</f>
        <v/>
      </c>
      <c r="N42" s="26" t="str">
        <f>IF(OR(F42 = "", G42 = ""), "", IF(F42 = "Vara", IFERROR(_xlfn.SINGLE(_xlfn.XLOOKUP(G42, Vöruskrá!A:A, Vöruskrá!G:G, "")), ""), IF(F42 = "Réttur", IFERROR(_xlfn.SINGLE(_xlfn.XLOOKUP(G42, Réttabanki!A:A, Réttabanki!AU:AU, "")), ""), "")))</f>
        <v/>
      </c>
      <c r="O42" s="26" t="str">
        <f>IF(OR(F42 = "", G42 = "", I42 = ""), "", IF(F42 = "Vara", IFERROR(_xlfn.SINGLE(_xlfn.XLOOKUP(G42, Vöruskrá!A:A, Vöruskrá!I:I, "")) * I42 / 100, ""), IF(F42 = "Réttur", IFERROR(_xlfn.SINGLE(_xlfn.XLOOKUP(G42, Réttabanki!A:A, Réttabanki!AV:AV, "")) * I42 / 100, ""), "")))</f>
        <v/>
      </c>
      <c r="P42" s="26" t="str">
        <f>IF(OR(F42 = "", G42 = "", I42 = ""), "", IF(F42 = "Vara", IFERROR(_xlfn.SINGLE(_xlfn.XLOOKUP(G42, Vöruskrá!A:A, Vöruskrá!J:J, "")) * I42 / 100, ""), IF(F42 = "Réttur", IFERROR(_xlfn.SINGLE(_xlfn.XLOOKUP(G42, Réttabanki!A:A, Réttabanki!AW:AW, "")) * I42 / 100, ""), "")))</f>
        <v/>
      </c>
      <c r="Q42" s="26" t="str">
        <f>IF(OR(F42 = "", G42 = "", I42 = ""), "", IF(F42 = "Vara", IFERROR(_xlfn.SINGLE(_xlfn.XLOOKUP(G42, Vöruskrá!A:A, Vöruskrá!N:N, "")) * I42 / 100, ""), IF(F42 = "Réttur", IFERROR(_xlfn.SINGLE(_xlfn.XLOOKUP(G42, Réttabanki!A:A, Réttabanki!BB:BB, "")) * I42 / 100, ""), "")))</f>
        <v/>
      </c>
    </row>
    <row r="43" spans="1:17">
      <c r="B43" s="33" t="str">
        <f>IF(A43&lt;&gt;"",CHOOSE(WEEKDAY(A43,2),"Mánudagur","Þriðjudagur","Miðvikudagur","Fimmtudagur","Föstudagur","Laugardagur","Sunnudagur"),IF(B42&lt;&gt;"",B42,""))</f>
        <v>Miðvikudagur</v>
      </c>
      <c r="C43" s="33">
        <f>IF(A43&lt;&gt;"",WEEKNUM(A43,21),IF(C42&lt;&gt;"",C42,""))</f>
        <v>25</v>
      </c>
      <c r="D43" s="34" t="s">
        <v>910</v>
      </c>
      <c r="E43" s="34" t="s">
        <v>927</v>
      </c>
      <c r="F43" s="34" t="s">
        <v>913</v>
      </c>
      <c r="G43" s="34" t="s">
        <v>764</v>
      </c>
      <c r="H43" s="34" t="s">
        <v>764</v>
      </c>
      <c r="I43" s="35">
        <v>30</v>
      </c>
      <c r="J43" s="35">
        <v>40</v>
      </c>
      <c r="K43" s="36"/>
      <c r="L43" s="26" t="str">
        <f>IF(OR(F43 = "", G43 = ""), "", IF(F43 = "Vara", IFERROR(_xlfn.SINGLE(_xlfn.XLOOKUP(G43, Vöruskrá!A:A, Vöruskrá!E:E, "")), ""), IF(F43 = "Réttur", IFERROR(_xlfn.SINGLE(_xlfn.XLOOKUP(G43, Réttabanki!A:A, Réttabanki!AS:AS, "")), ""), "")))</f>
        <v>Vegan majones 60% (repjuolía, vatn, sætt **SINNEP**, sykur, **sinnep**sduft, umbreytt sterkja, bindiefni, rotvarnarefni), tómatsósa 40% (vatn, tómatpúrra 28%, sykur, síróp, rotvarnarefni, bragðefni, litarefni, salt, sýra, bindiefni, umbreytt sterkja, hvítur pipar).</v>
      </c>
      <c r="M43" s="26" t="str">
        <f>IF(OR(F43 = "", G43 = ""), "", IF(F43 = "Vara", IFERROR(_xlfn.SINGLE(_xlfn.XLOOKUP(G43, Vöruskrá!A:A, Vöruskrá!F:F, "")), ""), IF(F43 = "Réttur", IFERROR(_xlfn.SINGLE(_xlfn.XLOOKUP(G43, Réttabanki!A:A, Réttabanki!AT:AT, "")), ""), "")))</f>
        <v>Sinnep</v>
      </c>
      <c r="N43" s="26">
        <f>IF(OR(F43 = "", G43 = ""), "", IF(F43 = "Vara", IFERROR(_xlfn.SINGLE(_xlfn.XLOOKUP(G43, Vöruskrá!A:A, Vöruskrá!G:G, "")), ""), IF(F43 = "Réttur", IFERROR(_xlfn.SINGLE(_xlfn.XLOOKUP(G43, Réttabanki!A:A, Réttabanki!AU:AU, "")), ""), "")))</f>
        <v>0</v>
      </c>
      <c r="O43" s="26">
        <f>IF(OR(F43 = "", G43 = "", I43 = ""), "", IF(F43 = "Vara", IFERROR(_xlfn.SINGLE(_xlfn.XLOOKUP(G43, Vöruskrá!A:A, Vöruskrá!I:I, "")) * I43 / 100, ""), IF(F43 = "Réttur", IFERROR(_xlfn.SINGLE(_xlfn.XLOOKUP(G43, Réttabanki!A:A, Réttabanki!AV:AV, "")) * I43 / 100, ""), "")))</f>
        <v>83.1</v>
      </c>
      <c r="P43" s="26">
        <f>IF(OR(F43 = "", G43 = "", I43 = ""), "", IF(F43 = "Vara", IFERROR(_xlfn.SINGLE(_xlfn.XLOOKUP(G43, Vöruskrá!A:A, Vöruskrá!J:J, "")) * I43 / 100, ""), IF(F43 = "Réttur", IFERROR(_xlfn.SINGLE(_xlfn.XLOOKUP(G43, Réttabanki!A:A, Réttabanki!AW:AW, "")) * I43 / 100, ""), "")))</f>
        <v>4.2300000000000004</v>
      </c>
      <c r="Q43" s="26">
        <f>IF(OR(F43 = "", G43 = "", I43 = ""), "", IF(F43 = "Vara", IFERROR(_xlfn.SINGLE(_xlfn.XLOOKUP(G43, Vöruskrá!A:A, Vöruskrá!N:N, "")) * I43 / 100, ""), IF(F43 = "Réttur", IFERROR(_xlfn.SINGLE(_xlfn.XLOOKUP(G43, Réttabanki!A:A, Réttabanki!BB:BB, "")) * I43 / 100, ""), "")))</f>
        <v>0.27</v>
      </c>
    </row>
    <row r="44" spans="1:17">
      <c r="B44" s="33" t="str">
        <f>IF(A44&lt;&gt;"",CHOOSE(WEEKDAY(A44,2),"Mánudagur","Þriðjudagur","Miðvikudagur","Fimmtudagur","Föstudagur","Laugardagur","Sunnudagur"),IF(B43&lt;&gt;"",B43,""))</f>
        <v>Miðvikudagur</v>
      </c>
      <c r="C44" s="33">
        <f>IF(A44&lt;&gt;"",WEEKNUM(A44,21),IF(C43&lt;&gt;"",C43,""))</f>
        <v>25</v>
      </c>
      <c r="D44" s="34" t="s">
        <v>910</v>
      </c>
      <c r="E44" s="34" t="s">
        <v>933</v>
      </c>
      <c r="F44" s="34"/>
      <c r="G44" s="34"/>
      <c r="H44" s="34" t="s">
        <v>968</v>
      </c>
      <c r="I44" s="35"/>
      <c r="J44" s="35"/>
      <c r="K44" s="36"/>
      <c r="L44" s="26" t="str">
        <f>IF(OR(F44 = "", G44 = ""), "", IF(F44 = "Vara", IFERROR(_xlfn.SINGLE(_xlfn.XLOOKUP(G44, Vöruskrá!A:A, Vöruskrá!E:E, "")), ""), IF(F44 = "Réttur", IFERROR(_xlfn.SINGLE(_xlfn.XLOOKUP(G44, Réttabanki!A:A, Réttabanki!AS:AS, "")), ""), "")))</f>
        <v/>
      </c>
      <c r="M44" s="26" t="str">
        <f>IF(OR(F44 = "", G44 = ""), "", IF(F44 = "Vara", IFERROR(_xlfn.SINGLE(_xlfn.XLOOKUP(G44, Vöruskrá!A:A, Vöruskrá!F:F, "")), ""), IF(F44 = "Réttur", IFERROR(_xlfn.SINGLE(_xlfn.XLOOKUP(G44, Réttabanki!A:A, Réttabanki!AT:AT, "")), ""), "")))</f>
        <v/>
      </c>
      <c r="N44" s="26" t="str">
        <f>IF(OR(F44 = "", G44 = ""), "", IF(F44 = "Vara", IFERROR(_xlfn.SINGLE(_xlfn.XLOOKUP(G44, Vöruskrá!A:A, Vöruskrá!G:G, "")), ""), IF(F44 = "Réttur", IFERROR(_xlfn.SINGLE(_xlfn.XLOOKUP(G44, Réttabanki!A:A, Réttabanki!AU:AU, "")), ""), "")))</f>
        <v/>
      </c>
      <c r="O44" s="26" t="str">
        <f>IF(OR(F44 = "", G44 = "", I44 = ""), "", IF(F44 = "Vara", IFERROR(_xlfn.SINGLE(_xlfn.XLOOKUP(G44, Vöruskrá!A:A, Vöruskrá!I:I, "")) * I44 / 100, ""), IF(F44 = "Réttur", IFERROR(_xlfn.SINGLE(_xlfn.XLOOKUP(G44, Réttabanki!A:A, Réttabanki!AV:AV, "")) * I44 / 100, ""), "")))</f>
        <v/>
      </c>
      <c r="P44" s="26" t="str">
        <f>IF(OR(F44 = "", G44 = "", I44 = ""), "", IF(F44 = "Vara", IFERROR(_xlfn.SINGLE(_xlfn.XLOOKUP(G44, Vöruskrá!A:A, Vöruskrá!J:J, "")) * I44 / 100, ""), IF(F44 = "Réttur", IFERROR(_xlfn.SINGLE(_xlfn.XLOOKUP(G44, Réttabanki!A:A, Réttabanki!AW:AW, "")) * I44 / 100, ""), "")))</f>
        <v/>
      </c>
      <c r="Q44" s="26" t="str">
        <f>IF(OR(F44 = "", G44 = "", I44 = ""), "", IF(F44 = "Vara", IFERROR(_xlfn.SINGLE(_xlfn.XLOOKUP(G44, Vöruskrá!A:A, Vöruskrá!N:N, "")) * I44 / 100, ""), IF(F44 = "Réttur", IFERROR(_xlfn.SINGLE(_xlfn.XLOOKUP(G44, Réttabanki!A:A, Réttabanki!BB:BB, "")) * I44 / 100, ""), "")))</f>
        <v/>
      </c>
    </row>
    <row r="45" spans="1:17">
      <c r="B45" s="33" t="str">
        <f>IF(A45&lt;&gt;"",CHOOSE(WEEKDAY(A45,2),"Mánudagur","Þriðjudagur","Miðvikudagur","Fimmtudagur","Föstudagur","Laugardagur","Sunnudagur"),IF(B44&lt;&gt;"",B44,""))</f>
        <v>Miðvikudagur</v>
      </c>
      <c r="C45" s="33">
        <f>IF(A45&lt;&gt;"",WEEKNUM(A45,21),IF(C44&lt;&gt;"",C44,""))</f>
        <v>25</v>
      </c>
      <c r="D45" s="34" t="s">
        <v>910</v>
      </c>
      <c r="E45" s="34" t="s">
        <v>933</v>
      </c>
      <c r="F45" s="34" t="s">
        <v>913</v>
      </c>
      <c r="G45" s="34" t="s">
        <v>969</v>
      </c>
      <c r="H45" s="34" t="s">
        <v>970</v>
      </c>
      <c r="I45" s="35">
        <v>30</v>
      </c>
      <c r="J45" s="35">
        <v>40</v>
      </c>
      <c r="K45" s="36"/>
      <c r="L45" s="26" t="str">
        <f>IF(OR(F45 = "", G45 = ""), "", IF(F45 = "Vara", IFERROR(_xlfn.SINGLE(_xlfn.XLOOKUP(G45, Vöruskrá!A:A, Vöruskrá!E:E, "")), ""), IF(F45 = "Réttur", IFERROR(_xlfn.SINGLE(_xlfn.XLOOKUP(G45, Réttabanki!A:A, Réttabanki!AS:AS, "")), ""), "")))</f>
        <v/>
      </c>
      <c r="M45" s="26" t="str">
        <f>IF(OR(F45 = "", G45 = ""), "", IF(F45 = "Vara", IFERROR(_xlfn.SINGLE(_xlfn.XLOOKUP(G45, Vöruskrá!A:A, Vöruskrá!F:F, "")), ""), IF(F45 = "Réttur", IFERROR(_xlfn.SINGLE(_xlfn.XLOOKUP(G45, Réttabanki!A:A, Réttabanki!AT:AT, "")), ""), "")))</f>
        <v/>
      </c>
      <c r="N45" s="26" t="str">
        <f>IF(OR(F45 = "", G45 = ""), "", IF(F45 = "Vara", IFERROR(_xlfn.SINGLE(_xlfn.XLOOKUP(G45, Vöruskrá!A:A, Vöruskrá!G:G, "")), ""), IF(F45 = "Réttur", IFERROR(_xlfn.SINGLE(_xlfn.XLOOKUP(G45, Réttabanki!A:A, Réttabanki!AU:AU, "")), ""), "")))</f>
        <v/>
      </c>
      <c r="O45" s="26" t="str">
        <f>IF(OR(F45 = "", G45 = "", I45 = ""), "", IF(F45 = "Vara", IFERROR(_xlfn.SINGLE(_xlfn.XLOOKUP(G45, Vöruskrá!A:A, Vöruskrá!I:I, "")) * I45 / 100, ""), IF(F45 = "Réttur", IFERROR(_xlfn.SINGLE(_xlfn.XLOOKUP(G45, Réttabanki!A:A, Réttabanki!AV:AV, "")) * I45 / 100, ""), "")))</f>
        <v/>
      </c>
      <c r="P45" s="26" t="str">
        <f>IF(OR(F45 = "", G45 = "", I45 = ""), "", IF(F45 = "Vara", IFERROR(_xlfn.SINGLE(_xlfn.XLOOKUP(G45, Vöruskrá!A:A, Vöruskrá!J:J, "")) * I45 / 100, ""), IF(F45 = "Réttur", IFERROR(_xlfn.SINGLE(_xlfn.XLOOKUP(G45, Réttabanki!A:A, Réttabanki!AW:AW, "")) * I45 / 100, ""), "")))</f>
        <v/>
      </c>
      <c r="Q45" s="26" t="str">
        <f>IF(OR(F45 = "", G45 = "", I45 = ""), "", IF(F45 = "Vara", IFERROR(_xlfn.SINGLE(_xlfn.XLOOKUP(G45, Vöruskrá!A:A, Vöruskrá!N:N, "")) * I45 / 100, ""), IF(F45 = "Réttur", IFERROR(_xlfn.SINGLE(_xlfn.XLOOKUP(G45, Réttabanki!A:A, Réttabanki!BB:BB, "")) * I45 / 100, ""), "")))</f>
        <v/>
      </c>
    </row>
    <row r="46" spans="1:17">
      <c r="B46" s="33" t="str">
        <f>IF(A46&lt;&gt;"",CHOOSE(WEEKDAY(A46,2),"Mánudagur","Þriðjudagur","Miðvikudagur","Fimmtudagur","Föstudagur","Laugardagur","Sunnudagur"),IF(B45&lt;&gt;"",B45,""))</f>
        <v>Miðvikudagur</v>
      </c>
      <c r="C46" s="33">
        <f>IF(A46&lt;&gt;"",WEEKNUM(A46,21),IF(C45&lt;&gt;"",C45,""))</f>
        <v>25</v>
      </c>
      <c r="D46" s="34" t="s">
        <v>910</v>
      </c>
      <c r="E46" s="34" t="s">
        <v>933</v>
      </c>
      <c r="F46" s="34" t="s">
        <v>913</v>
      </c>
      <c r="G46" s="34" t="s">
        <v>758</v>
      </c>
      <c r="H46" s="34" t="s">
        <v>971</v>
      </c>
      <c r="I46" s="35">
        <v>50</v>
      </c>
      <c r="J46" s="35">
        <v>60</v>
      </c>
      <c r="K46" s="36"/>
      <c r="L46" s="26" t="str">
        <f>IF(OR(F46 = "", G46 = ""), "", IF(F46 = "Vara", IFERROR(_xlfn.SINGLE(_xlfn.XLOOKUP(G46, Vöruskrá!A:A, Vöruskrá!E:E, "")), ""), IF(F46 = "Réttur", IFERROR(_xlfn.SINGLE(_xlfn.XLOOKUP(G46, Réttabanki!A:A, Réttabanki!AS:AS, "")), ""), "")))</f>
        <v>Pastaskrúfur (**DURUM HVEITI** semolina, vatn), grænmetissósa (repjuolía, gulrætur (16%), brokkólí (16%), vatn, **SINNEP** edik, **SINNEP**sduft, umbreytt maíssterkja, karrí, rotvarnarefni (E211), kryddblanda, sambal oelek, kryddblanda, eplaedik, umbreytt kartöflusterkja, sykur, salt, rotvarnarefni (E202), bindiefni (E412)).</v>
      </c>
      <c r="M46" s="26" t="str">
        <f>IF(OR(F46 = "", G46 = ""), "", IF(F46 = "Vara", IFERROR(_xlfn.SINGLE(_xlfn.XLOOKUP(G46, Vöruskrá!A:A, Vöruskrá!F:F, "")), ""), IF(F46 = "Réttur", IFERROR(_xlfn.SINGLE(_xlfn.XLOOKUP(G46, Réttabanki!A:A, Réttabanki!AT:AT, "")), ""), "")))</f>
        <v>Glúten (hveiti), sinnep</v>
      </c>
      <c r="N46" s="26" t="str">
        <f>IF(OR(F46 = "", G46 = ""), "", IF(F46 = "Vara", IFERROR(_xlfn.SINGLE(_xlfn.XLOOKUP(G46, Vöruskrá!A:A, Vöruskrá!G:G, "")), ""), IF(F46 = "Réttur", IFERROR(_xlfn.SINGLE(_xlfn.XLOOKUP(G46, Réttabanki!A:A, Réttabanki!AU:AU, "")), ""), "")))</f>
        <v>Getur innihaldið egg, soja.</v>
      </c>
      <c r="O46" s="26">
        <f>IF(OR(F46 = "", G46 = "", I46 = ""), "", IF(F46 = "Vara", IFERROR(_xlfn.SINGLE(_xlfn.XLOOKUP(G46, Vöruskrá!A:A, Vöruskrá!I:I, "")) * I46 / 100, ""), IF(F46 = "Réttur", IFERROR(_xlfn.SINGLE(_xlfn.XLOOKUP(G46, Réttabanki!A:A, Réttabanki!AV:AV, "")) * I46 / 100, ""), "")))</f>
        <v>74</v>
      </c>
      <c r="P46" s="26">
        <f>IF(OR(F46 = "", G46 = "", I46 = ""), "", IF(F46 = "Vara", IFERROR(_xlfn.SINGLE(_xlfn.XLOOKUP(G46, Vöruskrá!A:A, Vöruskrá!J:J, "")) * I46 / 100, ""), IF(F46 = "Réttur", IFERROR(_xlfn.SINGLE(_xlfn.XLOOKUP(G46, Réttabanki!A:A, Réttabanki!AW:AW, "")) * I46 / 100, ""), "")))</f>
        <v>4.8</v>
      </c>
      <c r="Q46" s="26">
        <f>IF(OR(F46 = "", G46 = "", I46 = ""), "", IF(F46 = "Vara", IFERROR(_xlfn.SINGLE(_xlfn.XLOOKUP(G46, Vöruskrá!A:A, Vöruskrá!N:N, "")) * I46 / 100, ""), IF(F46 = "Réttur", IFERROR(_xlfn.SINGLE(_xlfn.XLOOKUP(G46, Réttabanki!A:A, Réttabanki!BB:BB, "")) * I46 / 100, ""), "")))</f>
        <v>2.75</v>
      </c>
    </row>
    <row r="47" spans="1:17">
      <c r="B47" s="33" t="str">
        <f>IF(A47&lt;&gt;"",CHOOSE(WEEKDAY(A47,2),"Mánudagur","Þriðjudagur","Miðvikudagur","Fimmtudagur","Föstudagur","Laugardagur","Sunnudagur"),IF(B46&lt;&gt;"",B46,""))</f>
        <v>Miðvikudagur</v>
      </c>
      <c r="C47" s="33">
        <f>IF(A47&lt;&gt;"",WEEKNUM(A47,21),IF(C46&lt;&gt;"",C46,""))</f>
        <v>25</v>
      </c>
      <c r="D47" s="34" t="s">
        <v>910</v>
      </c>
      <c r="E47" s="34" t="s">
        <v>941</v>
      </c>
      <c r="F47" s="34"/>
      <c r="G47" s="34"/>
      <c r="H47" s="34" t="s">
        <v>972</v>
      </c>
      <c r="I47" s="35"/>
      <c r="J47" s="35"/>
      <c r="K47" s="36"/>
      <c r="L47" s="26" t="str">
        <f>IF(OR(F47 = "", G47 = ""), "", IF(F47 = "Vara", IFERROR(_xlfn.SINGLE(_xlfn.XLOOKUP(G47, Vöruskrá!A:A, Vöruskrá!E:E, "")), ""), IF(F47 = "Réttur", IFERROR(_xlfn.SINGLE(_xlfn.XLOOKUP(G47, Réttabanki!A:A, Réttabanki!AS:AS, "")), ""), "")))</f>
        <v/>
      </c>
      <c r="M47" s="26" t="str">
        <f>IF(OR(F47 = "", G47 = ""), "", IF(F47 = "Vara", IFERROR(_xlfn.SINGLE(_xlfn.XLOOKUP(G47, Vöruskrá!A:A, Vöruskrá!F:F, "")), ""), IF(F47 = "Réttur", IFERROR(_xlfn.SINGLE(_xlfn.XLOOKUP(G47, Réttabanki!A:A, Réttabanki!AT:AT, "")), ""), "")))</f>
        <v/>
      </c>
      <c r="N47" s="26" t="str">
        <f>IF(OR(F47 = "", G47 = ""), "", IF(F47 = "Vara", IFERROR(_xlfn.SINGLE(_xlfn.XLOOKUP(G47, Vöruskrá!A:A, Vöruskrá!G:G, "")), ""), IF(F47 = "Réttur", IFERROR(_xlfn.SINGLE(_xlfn.XLOOKUP(G47, Réttabanki!A:A, Réttabanki!AU:AU, "")), ""), "")))</f>
        <v/>
      </c>
      <c r="O47" s="26" t="str">
        <f>IF(OR(F47 = "", G47 = "", I47 = ""), "", IF(F47 = "Vara", IFERROR(_xlfn.SINGLE(_xlfn.XLOOKUP(G47, Vöruskrá!A:A, Vöruskrá!I:I, "")) * I47 / 100, ""), IF(F47 = "Réttur", IFERROR(_xlfn.SINGLE(_xlfn.XLOOKUP(G47, Réttabanki!A:A, Réttabanki!AV:AV, "")) * I47 / 100, ""), "")))</f>
        <v/>
      </c>
      <c r="P47" s="26" t="str">
        <f>IF(OR(F47 = "", G47 = "", I47 = ""), "", IF(F47 = "Vara", IFERROR(_xlfn.SINGLE(_xlfn.XLOOKUP(G47, Vöruskrá!A:A, Vöruskrá!J:J, "")) * I47 / 100, ""), IF(F47 = "Réttur", IFERROR(_xlfn.SINGLE(_xlfn.XLOOKUP(G47, Réttabanki!A:A, Réttabanki!AW:AW, "")) * I47 / 100, ""), "")))</f>
        <v/>
      </c>
      <c r="Q47" s="26" t="str">
        <f>IF(OR(F47 = "", G47 = "", I47 = ""), "", IF(F47 = "Vara", IFERROR(_xlfn.SINGLE(_xlfn.XLOOKUP(G47, Vöruskrá!A:A, Vöruskrá!N:N, "")) * I47 / 100, ""), IF(F47 = "Réttur", IFERROR(_xlfn.SINGLE(_xlfn.XLOOKUP(G47, Réttabanki!A:A, Réttabanki!BB:BB, "")) * I47 / 100, ""), "")))</f>
        <v/>
      </c>
    </row>
    <row r="48" spans="1:17">
      <c r="B48" s="33" t="str">
        <f>IF(A48&lt;&gt;"",CHOOSE(WEEKDAY(A48,2),"Mánudagur","Þriðjudagur","Miðvikudagur","Fimmtudagur","Föstudagur","Laugardagur","Sunnudagur"),IF(B47&lt;&gt;"",B47,""))</f>
        <v>Miðvikudagur</v>
      </c>
      <c r="C48" s="33">
        <f>IF(A48&lt;&gt;"",WEEKNUM(A48,21),IF(C47&lt;&gt;"",C47,""))</f>
        <v>25</v>
      </c>
      <c r="D48" s="34" t="s">
        <v>910</v>
      </c>
      <c r="E48" s="34" t="s">
        <v>941</v>
      </c>
      <c r="F48" s="34" t="s">
        <v>913</v>
      </c>
      <c r="G48" s="34" t="s">
        <v>973</v>
      </c>
      <c r="H48" s="34" t="s">
        <v>974</v>
      </c>
      <c r="I48" s="35"/>
      <c r="J48" s="35"/>
      <c r="K48" s="36"/>
      <c r="L48" s="26" t="str">
        <f>IF(OR(F48 = "", G48 = ""), "", IF(F48 = "Vara", IFERROR(_xlfn.SINGLE(_xlfn.XLOOKUP(G48, Vöruskrá!A:A, Vöruskrá!E:E, "")), ""), IF(F48 = "Réttur", IFERROR(_xlfn.SINGLE(_xlfn.XLOOKUP(G48, Réttabanki!A:A, Réttabanki!AS:AS, "")), ""), "")))</f>
        <v/>
      </c>
      <c r="M48" s="26" t="str">
        <f>IF(OR(F48 = "", G48 = ""), "", IF(F48 = "Vara", IFERROR(_xlfn.SINGLE(_xlfn.XLOOKUP(G48, Vöruskrá!A:A, Vöruskrá!F:F, "")), ""), IF(F48 = "Réttur", IFERROR(_xlfn.SINGLE(_xlfn.XLOOKUP(G48, Réttabanki!A:A, Réttabanki!AT:AT, "")), ""), "")))</f>
        <v/>
      </c>
      <c r="N48" s="26" t="str">
        <f>IF(OR(F48 = "", G48 = ""), "", IF(F48 = "Vara", IFERROR(_xlfn.SINGLE(_xlfn.XLOOKUP(G48, Vöruskrá!A:A, Vöruskrá!G:G, "")), ""), IF(F48 = "Réttur", IFERROR(_xlfn.SINGLE(_xlfn.XLOOKUP(G48, Réttabanki!A:A, Réttabanki!AU:AU, "")), ""), "")))</f>
        <v/>
      </c>
      <c r="O48" s="26" t="str">
        <f>IF(OR(F48 = "", G48 = "", I48 = ""), "", IF(F48 = "Vara", IFERROR(_xlfn.SINGLE(_xlfn.XLOOKUP(G48, Vöruskrá!A:A, Vöruskrá!I:I, "")) * I48 / 100, ""), IF(F48 = "Réttur", IFERROR(_xlfn.SINGLE(_xlfn.XLOOKUP(G48, Réttabanki!A:A, Réttabanki!AV:AV, "")) * I48 / 100, ""), "")))</f>
        <v/>
      </c>
      <c r="P48" s="26" t="str">
        <f>IF(OR(F48 = "", G48 = "", I48 = ""), "", IF(F48 = "Vara", IFERROR(_xlfn.SINGLE(_xlfn.XLOOKUP(G48, Vöruskrá!A:A, Vöruskrá!J:J, "")) * I48 / 100, ""), IF(F48 = "Réttur", IFERROR(_xlfn.SINGLE(_xlfn.XLOOKUP(G48, Réttabanki!A:A, Réttabanki!AW:AW, "")) * I48 / 100, ""), "")))</f>
        <v/>
      </c>
      <c r="Q48" s="26" t="str">
        <f>IF(OR(F48 = "", G48 = "", I48 = ""), "", IF(F48 = "Vara", IFERROR(_xlfn.SINGLE(_xlfn.XLOOKUP(G48, Vöruskrá!A:A, Vöruskrá!N:N, "")) * I48 / 100, ""), IF(F48 = "Réttur", IFERROR(_xlfn.SINGLE(_xlfn.XLOOKUP(G48, Réttabanki!A:A, Réttabanki!BB:BB, "")) * I48 / 100, ""), "")))</f>
        <v/>
      </c>
    </row>
    <row r="49" spans="1:17">
      <c r="B49" s="33" t="str">
        <f>IF(A49&lt;&gt;"",CHOOSE(WEEKDAY(A49,2),"Mánudagur","Þriðjudagur","Miðvikudagur","Fimmtudagur","Föstudagur","Laugardagur","Sunnudagur"),IF(B48&lt;&gt;"",B48,""))</f>
        <v>Miðvikudagur</v>
      </c>
      <c r="C49" s="33">
        <f>IF(A49&lt;&gt;"",WEEKNUM(A49,21),IF(C48&lt;&gt;"",C48,""))</f>
        <v>25</v>
      </c>
      <c r="D49" s="34" t="s">
        <v>910</v>
      </c>
      <c r="E49" s="34" t="s">
        <v>941</v>
      </c>
      <c r="F49" s="34" t="s">
        <v>913</v>
      </c>
      <c r="G49" s="34" t="s">
        <v>975</v>
      </c>
      <c r="H49" s="34" t="s">
        <v>976</v>
      </c>
      <c r="I49" s="35">
        <v>20</v>
      </c>
      <c r="J49" s="35">
        <v>30</v>
      </c>
      <c r="K49" s="36"/>
      <c r="L49" s="26" t="str">
        <f>IF(OR(F49 = "", G49 = ""), "", IF(F49 = "Vara", IFERROR(_xlfn.SINGLE(_xlfn.XLOOKUP(G49, Vöruskrá!A:A, Vöruskrá!E:E, "")), ""), IF(F49 = "Réttur", IFERROR(_xlfn.SINGLE(_xlfn.XLOOKUP(G49, Réttabanki!A:A, Réttabanki!AS:AS, "")), ""), "")))</f>
        <v/>
      </c>
      <c r="M49" s="26" t="str">
        <f>IF(OR(F49 = "", G49 = ""), "", IF(F49 = "Vara", IFERROR(_xlfn.SINGLE(_xlfn.XLOOKUP(G49, Vöruskrá!A:A, Vöruskrá!F:F, "")), ""), IF(F49 = "Réttur", IFERROR(_xlfn.SINGLE(_xlfn.XLOOKUP(G49, Réttabanki!A:A, Réttabanki!AT:AT, "")), ""), "")))</f>
        <v/>
      </c>
      <c r="N49" s="26" t="str">
        <f>IF(OR(F49 = "", G49 = ""), "", IF(F49 = "Vara", IFERROR(_xlfn.SINGLE(_xlfn.XLOOKUP(G49, Vöruskrá!A:A, Vöruskrá!G:G, "")), ""), IF(F49 = "Réttur", IFERROR(_xlfn.SINGLE(_xlfn.XLOOKUP(G49, Réttabanki!A:A, Réttabanki!AU:AU, "")), ""), "")))</f>
        <v/>
      </c>
      <c r="O49" s="26" t="str">
        <f>IF(OR(F49 = "", G49 = "", I49 = ""), "", IF(F49 = "Vara", IFERROR(_xlfn.SINGLE(_xlfn.XLOOKUP(G49, Vöruskrá!A:A, Vöruskrá!I:I, "")) * I49 / 100, ""), IF(F49 = "Réttur", IFERROR(_xlfn.SINGLE(_xlfn.XLOOKUP(G49, Réttabanki!A:A, Réttabanki!AV:AV, "")) * I49 / 100, ""), "")))</f>
        <v/>
      </c>
      <c r="P49" s="26" t="str">
        <f>IF(OR(F49 = "", G49 = "", I49 = ""), "", IF(F49 = "Vara", IFERROR(_xlfn.SINGLE(_xlfn.XLOOKUP(G49, Vöruskrá!A:A, Vöruskrá!J:J, "")) * I49 / 100, ""), IF(F49 = "Réttur", IFERROR(_xlfn.SINGLE(_xlfn.XLOOKUP(G49, Réttabanki!A:A, Réttabanki!AW:AW, "")) * I49 / 100, ""), "")))</f>
        <v/>
      </c>
      <c r="Q49" s="26" t="str">
        <f>IF(OR(F49 = "", G49 = "", I49 = ""), "", IF(F49 = "Vara", IFERROR(_xlfn.SINGLE(_xlfn.XLOOKUP(G49, Vöruskrá!A:A, Vöruskrá!N:N, "")) * I49 / 100, ""), IF(F49 = "Réttur", IFERROR(_xlfn.SINGLE(_xlfn.XLOOKUP(G49, Réttabanki!A:A, Réttabanki!BB:BB, "")) * I49 / 100, ""), "")))</f>
        <v/>
      </c>
    </row>
    <row r="50" spans="1:17">
      <c r="A50" s="32">
        <v>46191</v>
      </c>
      <c r="B50" s="33" t="str">
        <f>IF(A50&lt;&gt;"",CHOOSE(WEEKDAY(A50,2),"Mánudagur","Þriðjudagur","Miðvikudagur","Fimmtudagur","Föstudagur","Laugardagur","Sunnudagur"),IF(B49&lt;&gt;"",B49,""))</f>
        <v>Fimmtudagur</v>
      </c>
      <c r="C50" s="33">
        <f>IF(A50&lt;&gt;"",WEEKNUM(A50,21),IF(C49&lt;&gt;"",C49,""))</f>
        <v>25</v>
      </c>
      <c r="D50" s="34" t="s">
        <v>910</v>
      </c>
      <c r="E50" s="34" t="s">
        <v>921</v>
      </c>
      <c r="F50" s="34"/>
      <c r="G50" s="34"/>
      <c r="H50" s="34" t="s">
        <v>977</v>
      </c>
      <c r="I50" s="35"/>
      <c r="J50" s="35"/>
      <c r="K50" s="36"/>
      <c r="L50" s="26" t="str">
        <f>IF(OR(F50 = "", G50 = ""), "", IF(F50 = "Vara", IFERROR(_xlfn.SINGLE(_xlfn.XLOOKUP(G50, Vöruskrá!A:A, Vöruskrá!E:E, "")), ""), IF(F50 = "Réttur", IFERROR(_xlfn.SINGLE(_xlfn.XLOOKUP(G50, Réttabanki!A:A, Réttabanki!AS:AS, "")), ""), "")))</f>
        <v/>
      </c>
      <c r="M50" s="26" t="str">
        <f>IF(OR(F50 = "", G50 = ""), "", IF(F50 = "Vara", IFERROR(_xlfn.SINGLE(_xlfn.XLOOKUP(G50, Vöruskrá!A:A, Vöruskrá!F:F, "")), ""), IF(F50 = "Réttur", IFERROR(_xlfn.SINGLE(_xlfn.XLOOKUP(G50, Réttabanki!A:A, Réttabanki!AT:AT, "")), ""), "")))</f>
        <v/>
      </c>
      <c r="N50" s="26" t="str">
        <f>IF(OR(F50 = "", G50 = ""), "", IF(F50 = "Vara", IFERROR(_xlfn.SINGLE(_xlfn.XLOOKUP(G50, Vöruskrá!A:A, Vöruskrá!G:G, "")), ""), IF(F50 = "Réttur", IFERROR(_xlfn.SINGLE(_xlfn.XLOOKUP(G50, Réttabanki!A:A, Réttabanki!AU:AU, "")), ""), "")))</f>
        <v/>
      </c>
      <c r="O50" s="26" t="str">
        <f>IF(OR(F50 = "", G50 = "", I50 = ""), "", IF(F50 = "Vara", IFERROR(_xlfn.SINGLE(_xlfn.XLOOKUP(G50, Vöruskrá!A:A, Vöruskrá!I:I, "")) * I50 / 100, ""), IF(F50 = "Réttur", IFERROR(_xlfn.SINGLE(_xlfn.XLOOKUP(G50, Réttabanki!A:A, Réttabanki!AV:AV, "")) * I50 / 100, ""), "")))</f>
        <v/>
      </c>
      <c r="P50" s="26" t="str">
        <f>IF(OR(F50 = "", G50 = "", I50 = ""), "", IF(F50 = "Vara", IFERROR(_xlfn.SINGLE(_xlfn.XLOOKUP(G50, Vöruskrá!A:A, Vöruskrá!J:J, "")) * I50 / 100, ""), IF(F50 = "Réttur", IFERROR(_xlfn.SINGLE(_xlfn.XLOOKUP(G50, Réttabanki!A:A, Réttabanki!AW:AW, "")) * I50 / 100, ""), "")))</f>
        <v/>
      </c>
      <c r="Q50" s="26" t="str">
        <f>IF(OR(F50 = "", G50 = "", I50 = ""), "", IF(F50 = "Vara", IFERROR(_xlfn.SINGLE(_xlfn.XLOOKUP(G50, Vöruskrá!A:A, Vöruskrá!N:N, "")) * I50 / 100, ""), IF(F50 = "Réttur", IFERROR(_xlfn.SINGLE(_xlfn.XLOOKUP(G50, Réttabanki!A:A, Réttabanki!BB:BB, "")) * I50 / 100, ""), "")))</f>
        <v/>
      </c>
    </row>
    <row r="51" spans="1:17">
      <c r="B51" s="33" t="str">
        <f t="shared" ref="B51:B61" si="2">IF(A51&lt;&gt;"",CHOOSE(WEEKDAY(A51,2),"Mánudagur","Þriðjudagur","Miðvikudagur","Fimmtudagur","Föstudagur","Laugardagur","Sunnudagur"),IF(B50&lt;&gt;"",B50,""))</f>
        <v>Fimmtudagur</v>
      </c>
      <c r="C51" s="33">
        <f t="shared" ref="C51:C61" si="3">IF(A51&lt;&gt;"",WEEKNUM(A51,21),IF(C50&lt;&gt;"",C50,""))</f>
        <v>25</v>
      </c>
      <c r="D51" s="34" t="s">
        <v>910</v>
      </c>
      <c r="E51" s="34" t="s">
        <v>921</v>
      </c>
      <c r="F51" s="34"/>
      <c r="G51" s="34"/>
      <c r="H51" s="34" t="s">
        <v>978</v>
      </c>
      <c r="I51" s="35"/>
      <c r="J51" s="35"/>
      <c r="K51" s="36"/>
      <c r="L51" s="26" t="str">
        <f>IF(OR(F51 = "", G51 = ""), "", IF(F51 = "Vara", IFERROR(_xlfn.SINGLE(_xlfn.XLOOKUP(G51, Vöruskrá!A:A, Vöruskrá!E:E, "")), ""), IF(F51 = "Réttur", IFERROR(_xlfn.SINGLE(_xlfn.XLOOKUP(G51, Réttabanki!A:A, Réttabanki!AS:AS, "")), ""), "")))</f>
        <v/>
      </c>
      <c r="M51" s="26" t="str">
        <f>IF(OR(F51 = "", G51 = ""), "", IF(F51 = "Vara", IFERROR(_xlfn.SINGLE(_xlfn.XLOOKUP(G51, Vöruskrá!A:A, Vöruskrá!F:F, "")), ""), IF(F51 = "Réttur", IFERROR(_xlfn.SINGLE(_xlfn.XLOOKUP(G51, Réttabanki!A:A, Réttabanki!AT:AT, "")), ""), "")))</f>
        <v/>
      </c>
      <c r="N51" s="26" t="str">
        <f>IF(OR(F51 = "", G51 = ""), "", IF(F51 = "Vara", IFERROR(_xlfn.SINGLE(_xlfn.XLOOKUP(G51, Vöruskrá!A:A, Vöruskrá!G:G, "")), ""), IF(F51 = "Réttur", IFERROR(_xlfn.SINGLE(_xlfn.XLOOKUP(G51, Réttabanki!A:A, Réttabanki!AU:AU, "")), ""), "")))</f>
        <v/>
      </c>
      <c r="O51" s="26" t="str">
        <f>IF(OR(F51 = "", G51 = "", I51 = ""), "", IF(F51 = "Vara", IFERROR(_xlfn.SINGLE(_xlfn.XLOOKUP(G51, Vöruskrá!A:A, Vöruskrá!I:I, "")) * I51 / 100, ""), IF(F51 = "Réttur", IFERROR(_xlfn.SINGLE(_xlfn.XLOOKUP(G51, Réttabanki!A:A, Réttabanki!AV:AV, "")) * I51 / 100, ""), "")))</f>
        <v/>
      </c>
      <c r="P51" s="26" t="str">
        <f>IF(OR(F51 = "", G51 = "", I51 = ""), "", IF(F51 = "Vara", IFERROR(_xlfn.SINGLE(_xlfn.XLOOKUP(G51, Vöruskrá!A:A, Vöruskrá!J:J, "")) * I51 / 100, ""), IF(F51 = "Réttur", IFERROR(_xlfn.SINGLE(_xlfn.XLOOKUP(G51, Réttabanki!A:A, Réttabanki!AW:AW, "")) * I51 / 100, ""), "")))</f>
        <v/>
      </c>
      <c r="Q51" s="26" t="str">
        <f>IF(OR(F51 = "", G51 = "", I51 = ""), "", IF(F51 = "Vara", IFERROR(_xlfn.SINGLE(_xlfn.XLOOKUP(G51, Vöruskrá!A:A, Vöruskrá!N:N, "")) * I51 / 100, ""), IF(F51 = "Réttur", IFERROR(_xlfn.SINGLE(_xlfn.XLOOKUP(G51, Réttabanki!A:A, Réttabanki!BB:BB, "")) * I51 / 100, ""), "")))</f>
        <v/>
      </c>
    </row>
    <row r="52" spans="1:17">
      <c r="B52" s="33" t="str">
        <f t="shared" si="2"/>
        <v>Fimmtudagur</v>
      </c>
      <c r="C52" s="33">
        <f t="shared" si="3"/>
        <v>25</v>
      </c>
      <c r="D52" s="34" t="s">
        <v>910</v>
      </c>
      <c r="E52" s="34" t="s">
        <v>921</v>
      </c>
      <c r="F52" s="34" t="s">
        <v>913</v>
      </c>
      <c r="G52" s="34" t="s">
        <v>753</v>
      </c>
      <c r="H52" s="34"/>
      <c r="I52" s="35">
        <v>100</v>
      </c>
      <c r="J52" s="35">
        <v>130</v>
      </c>
      <c r="K52" s="36"/>
      <c r="L52" s="26" t="str">
        <f>IF(OR(F52 = "", G52 = ""), "", IF(F52 = "Vara", IFERROR(_xlfn.SINGLE(_xlfn.XLOOKUP(G52, Vöruskrá!A:A, Vöruskrá!E:E, "")), ""), IF(F52 = "Réttur", IFERROR(_xlfn.SINGLE(_xlfn.XLOOKUP(G52, Réttabanki!A:A, Réttabanki!AS:AS, "")), ""), "")))</f>
        <v>Nautahakk, maukaðir tómatar, tómatmauk, nautasoð, sólblómaolía, grænmeti (tómatar, kúrbítur, eggaldin, laukur, rauð paprika, græn paprika, **SELLERÍ**, gulrætur, blaðlaukur), hvítlauksmauk, kryddblanda, salt, svartur pipar, þurrkað oregano, múskat, lárviðarlauf.</v>
      </c>
      <c r="M52" s="26" t="str">
        <f>IF(OR(F52 = "", G52 = ""), "", IF(F52 = "Vara", IFERROR(_xlfn.SINGLE(_xlfn.XLOOKUP(G52, Vöruskrá!A:A, Vöruskrá!F:F, "")), ""), IF(F52 = "Réttur", IFERROR(_xlfn.SINGLE(_xlfn.XLOOKUP(G52, Réttabanki!A:A, Réttabanki!AT:AT, "")), ""), "")))</f>
        <v>Sellerí</v>
      </c>
      <c r="N52" s="26">
        <f>IF(OR(F52 = "", G52 = ""), "", IF(F52 = "Vara", IFERROR(_xlfn.SINGLE(_xlfn.XLOOKUP(G52, Vöruskrá!A:A, Vöruskrá!G:G, "")), ""), IF(F52 = "Réttur", IFERROR(_xlfn.SINGLE(_xlfn.XLOOKUP(G52, Réttabanki!A:A, Réttabanki!AU:AU, "")), ""), "")))</f>
        <v>0</v>
      </c>
      <c r="O52" s="26">
        <f>IF(OR(F52 = "", G52 = "", I52 = ""), "", IF(F52 = "Vara", IFERROR(_xlfn.SINGLE(_xlfn.XLOOKUP(G52, Vöruskrá!A:A, Vöruskrá!I:I, "")) * I52 / 100, ""), IF(F52 = "Réttur", IFERROR(_xlfn.SINGLE(_xlfn.XLOOKUP(G52, Réttabanki!A:A, Réttabanki!AV:AV, "")) * I52 / 100, ""), "")))</f>
        <v>96</v>
      </c>
      <c r="P52" s="26">
        <f>IF(OR(F52 = "", G52 = "", I52 = ""), "", IF(F52 = "Vara", IFERROR(_xlfn.SINGLE(_xlfn.XLOOKUP(G52, Vöruskrá!A:A, Vöruskrá!J:J, "")) * I52 / 100, ""), IF(F52 = "Réttur", IFERROR(_xlfn.SINGLE(_xlfn.XLOOKUP(G52, Réttabanki!A:A, Réttabanki!AW:AW, "")) * I52 / 100, ""), "")))</f>
        <v>5.2</v>
      </c>
      <c r="Q52" s="26">
        <f>IF(OR(F52 = "", G52 = "", I52 = ""), "", IF(F52 = "Vara", IFERROR(_xlfn.SINGLE(_xlfn.XLOOKUP(G52, Vöruskrá!A:A, Vöruskrá!N:N, "")) * I52 / 100, ""), IF(F52 = "Réttur", IFERROR(_xlfn.SINGLE(_xlfn.XLOOKUP(G52, Réttabanki!A:A, Réttabanki!BB:BB, "")) * I52 / 100, ""), "")))</f>
        <v>8.6</v>
      </c>
    </row>
    <row r="53" spans="1:17">
      <c r="B53" s="33" t="str">
        <f t="shared" si="2"/>
        <v>Fimmtudagur</v>
      </c>
      <c r="C53" s="33">
        <f t="shared" si="3"/>
        <v>25</v>
      </c>
      <c r="D53" s="34" t="s">
        <v>910</v>
      </c>
      <c r="E53" s="34" t="s">
        <v>921</v>
      </c>
      <c r="F53" s="34" t="s">
        <v>913</v>
      </c>
      <c r="G53" s="34" t="s">
        <v>749</v>
      </c>
      <c r="H53" s="34" t="s">
        <v>749</v>
      </c>
      <c r="I53" s="35">
        <v>100</v>
      </c>
      <c r="J53" s="35">
        <v>130</v>
      </c>
      <c r="K53" s="36"/>
      <c r="L53" s="26" t="str">
        <f>IF(OR(F53 = "", G53 = ""), "", IF(F53 = "Vara", IFERROR(_xlfn.SINGLE(_xlfn.XLOOKUP(G53, Vöruskrá!A:A, Vöruskrá!E:E, "")), ""), IF(F53 = "Réttur", IFERROR(_xlfn.SINGLE(_xlfn.XLOOKUP(G53, Réttabanki!A:A, Réttabanki!AS:AS, "")), ""), "")))</f>
        <v>**DURUM HVEITI** semolina, vatn.</v>
      </c>
      <c r="M53" s="26" t="str">
        <f>IF(OR(F53 = "", G53 = ""), "", IF(F53 = "Vara", IFERROR(_xlfn.SINGLE(_xlfn.XLOOKUP(G53, Vöruskrá!A:A, Vöruskrá!F:F, "")), ""), IF(F53 = "Réttur", IFERROR(_xlfn.SINGLE(_xlfn.XLOOKUP(G53, Réttabanki!A:A, Réttabanki!AT:AT, "")), ""), "")))</f>
        <v>Glúten (hveiti)</v>
      </c>
      <c r="N53" s="26" t="str">
        <f>IF(OR(F53 = "", G53 = ""), "", IF(F53 = "Vara", IFERROR(_xlfn.SINGLE(_xlfn.XLOOKUP(G53, Vöruskrá!A:A, Vöruskrá!G:G, "")), ""), IF(F53 = "Réttur", IFERROR(_xlfn.SINGLE(_xlfn.XLOOKUP(G53, Réttabanki!A:A, Réttabanki!AU:AU, "")), ""), "")))</f>
        <v>Getur innihaldið egg, soja, sinnep</v>
      </c>
      <c r="O53" s="26">
        <f>IF(OR(F53 = "", G53 = "", I53 = ""), "", IF(F53 = "Vara", IFERROR(_xlfn.SINGLE(_xlfn.XLOOKUP(G53, Vöruskrá!A:A, Vöruskrá!I:I, "")) * I53 / 100, ""), IF(F53 = "Réttur", IFERROR(_xlfn.SINGLE(_xlfn.XLOOKUP(G53, Réttabanki!A:A, Réttabanki!AV:AV, "")) * I53 / 100, ""), "")))</f>
        <v>353</v>
      </c>
      <c r="P53" s="26">
        <f>IF(OR(F53 = "", G53 = "", I53 = ""), "", IF(F53 = "Vara", IFERROR(_xlfn.SINGLE(_xlfn.XLOOKUP(G53, Vöruskrá!A:A, Vöruskrá!J:J, "")) * I53 / 100, ""), IF(F53 = "Réttur", IFERROR(_xlfn.SINGLE(_xlfn.XLOOKUP(G53, Réttabanki!A:A, Réttabanki!AW:AW, "")) * I53 / 100, ""), "")))</f>
        <v>1.2</v>
      </c>
      <c r="Q53" s="26">
        <f>IF(OR(F53 = "", G53 = "", I53 = ""), "", IF(F53 = "Vara", IFERROR(_xlfn.SINGLE(_xlfn.XLOOKUP(G53, Vöruskrá!A:A, Vöruskrá!N:N, "")) * I53 / 100, ""), IF(F53 = "Réttur", IFERROR(_xlfn.SINGLE(_xlfn.XLOOKUP(G53, Réttabanki!A:A, Réttabanki!BB:BB, "")) * I53 / 100, ""), "")))</f>
        <v>12</v>
      </c>
    </row>
    <row r="54" spans="1:17">
      <c r="B54" s="33" t="str">
        <f t="shared" si="2"/>
        <v>Fimmtudagur</v>
      </c>
      <c r="C54" s="33">
        <f t="shared" si="3"/>
        <v>25</v>
      </c>
      <c r="D54" s="34" t="s">
        <v>910</v>
      </c>
      <c r="E54" s="34" t="s">
        <v>927</v>
      </c>
      <c r="F54" s="34"/>
      <c r="G54" s="34"/>
      <c r="H54" s="34" t="s">
        <v>979</v>
      </c>
      <c r="I54" s="35"/>
      <c r="J54" s="35"/>
      <c r="K54" s="36"/>
      <c r="L54" s="26" t="str">
        <f>IF(OR(F54 = "", G54 = ""), "", IF(F54 = "Vara", IFERROR(_xlfn.SINGLE(_xlfn.XLOOKUP(G54, Vöruskrá!A:A, Vöruskrá!E:E, "")), ""), IF(F54 = "Réttur", IFERROR(_xlfn.SINGLE(_xlfn.XLOOKUP(G54, Réttabanki!A:A, Réttabanki!AS:AS, "")), ""), "")))</f>
        <v/>
      </c>
      <c r="M54" s="26" t="str">
        <f>IF(OR(F54 = "", G54 = ""), "", IF(F54 = "Vara", IFERROR(_xlfn.SINGLE(_xlfn.XLOOKUP(G54, Vöruskrá!A:A, Vöruskrá!F:F, "")), ""), IF(F54 = "Réttur", IFERROR(_xlfn.SINGLE(_xlfn.XLOOKUP(G54, Réttabanki!A:A, Réttabanki!AT:AT, "")), ""), "")))</f>
        <v/>
      </c>
      <c r="N54" s="26" t="str">
        <f>IF(OR(F54 = "", G54 = ""), "", IF(F54 = "Vara", IFERROR(_xlfn.SINGLE(_xlfn.XLOOKUP(G54, Vöruskrá!A:A, Vöruskrá!G:G, "")), ""), IF(F54 = "Réttur", IFERROR(_xlfn.SINGLE(_xlfn.XLOOKUP(G54, Réttabanki!A:A, Réttabanki!AU:AU, "")), ""), "")))</f>
        <v/>
      </c>
      <c r="O54" s="26" t="str">
        <f>IF(OR(F54 = "", G54 = "", I54 = ""), "", IF(F54 = "Vara", IFERROR(_xlfn.SINGLE(_xlfn.XLOOKUP(G54, Vöruskrá!A:A, Vöruskrá!I:I, "")) * I54 / 100, ""), IF(F54 = "Réttur", IFERROR(_xlfn.SINGLE(_xlfn.XLOOKUP(G54, Réttabanki!A:A, Réttabanki!AV:AV, "")) * I54 / 100, ""), "")))</f>
        <v/>
      </c>
      <c r="P54" s="26" t="str">
        <f>IF(OR(F54 = "", G54 = "", I54 = ""), "", IF(F54 = "Vara", IFERROR(_xlfn.SINGLE(_xlfn.XLOOKUP(G54, Vöruskrá!A:A, Vöruskrá!J:J, "")) * I54 / 100, ""), IF(F54 = "Réttur", IFERROR(_xlfn.SINGLE(_xlfn.XLOOKUP(G54, Réttabanki!A:A, Réttabanki!AW:AW, "")) * I54 / 100, ""), "")))</f>
        <v/>
      </c>
      <c r="Q54" s="26" t="str">
        <f>IF(OR(F54 = "", G54 = "", I54 = ""), "", IF(F54 = "Vara", IFERROR(_xlfn.SINGLE(_xlfn.XLOOKUP(G54, Vöruskrá!A:A, Vöruskrá!N:N, "")) * I54 / 100, ""), IF(F54 = "Réttur", IFERROR(_xlfn.SINGLE(_xlfn.XLOOKUP(G54, Réttabanki!A:A, Réttabanki!BB:BB, "")) * I54 / 100, ""), "")))</f>
        <v/>
      </c>
    </row>
    <row r="55" spans="1:17">
      <c r="B55" s="33" t="str">
        <f t="shared" si="2"/>
        <v>Fimmtudagur</v>
      </c>
      <c r="C55" s="33">
        <f t="shared" si="3"/>
        <v>25</v>
      </c>
      <c r="D55" s="34" t="s">
        <v>910</v>
      </c>
      <c r="E55" s="34" t="s">
        <v>927</v>
      </c>
      <c r="F55" s="34" t="s">
        <v>913</v>
      </c>
      <c r="G55" s="34" t="s">
        <v>755</v>
      </c>
      <c r="H55" s="34"/>
      <c r="I55" s="35">
        <v>100</v>
      </c>
      <c r="J55" s="35">
        <v>130</v>
      </c>
      <c r="K55" s="36"/>
      <c r="L55" s="26" t="str">
        <f>IF(OR(F55 = "", G55 = ""), "", IF(F55 = "Vara", IFERROR(_xlfn.SINGLE(_xlfn.XLOOKUP(G55, Vöruskrá!A:A, Vöruskrá!E:E, "")), ""), IF(F55 = "Réttur", IFERROR(_xlfn.SINGLE(_xlfn.XLOOKUP(G55, Réttabanki!A:A, Réttabanki!AS:AS, "")), ""), "")))</f>
        <v>Vegan hakk (vatn, **SOJAPRÓTEIN** þykkni, repjuolía, kryddblanda, þykkingarefni (metýlsellulósi), litarefni), maukaðir tómatar, tómatmauk, sósuduft, grænmeti (tómatar, kúrbítur, eggaldin, laukur, rauð paprika, græn paprika, **SELLERÍ**rót, gulrætur, blaðlaukur, laukur), sólblómaolía, hvítlauksmauk, kryddblanda, salt, svartur pipar, þurrkað oregano, múskat, lárviðarlauf.</v>
      </c>
      <c r="M55" s="26" t="str">
        <f>IF(OR(F55 = "", G55 = ""), "", IF(F55 = "Vara", IFERROR(_xlfn.SINGLE(_xlfn.XLOOKUP(G55, Vöruskrá!A:A, Vöruskrá!F:F, "")), ""), IF(F55 = "Réttur", IFERROR(_xlfn.SINGLE(_xlfn.XLOOKUP(G55, Réttabanki!A:A, Réttabanki!AT:AT, "")), ""), "")))</f>
        <v>Soja, Sellerí</v>
      </c>
      <c r="N55" s="26">
        <f>IF(OR(F55 = "", G55 = ""), "", IF(F55 = "Vara", IFERROR(_xlfn.SINGLE(_xlfn.XLOOKUP(G55, Vöruskrá!A:A, Vöruskrá!G:G, "")), ""), IF(F55 = "Réttur", IFERROR(_xlfn.SINGLE(_xlfn.XLOOKUP(G55, Réttabanki!A:A, Réttabanki!AU:AU, "")), ""), "")))</f>
        <v>0</v>
      </c>
      <c r="O55" s="26">
        <f>IF(OR(F55 = "", G55 = "", I55 = ""), "", IF(F55 = "Vara", IFERROR(_xlfn.SINGLE(_xlfn.XLOOKUP(G55, Vöruskrá!A:A, Vöruskrá!I:I, "")) * I55 / 100, ""), IF(F55 = "Réttur", IFERROR(_xlfn.SINGLE(_xlfn.XLOOKUP(G55, Réttabanki!A:A, Réttabanki!AV:AV, "")) * I55 / 100, ""), "")))</f>
        <v>72</v>
      </c>
      <c r="P55" s="26">
        <f>IF(OR(F55 = "", G55 = "", I55 = ""), "", IF(F55 = "Vara", IFERROR(_xlfn.SINGLE(_xlfn.XLOOKUP(G55, Vöruskrá!A:A, Vöruskrá!J:J, "")) * I55 / 100, ""), IF(F55 = "Réttur", IFERROR(_xlfn.SINGLE(_xlfn.XLOOKUP(G55, Réttabanki!A:A, Réttabanki!AW:AW, "")) * I55 / 100, ""), "")))</f>
        <v>3.3</v>
      </c>
      <c r="Q55" s="26">
        <f>IF(OR(F55 = "", G55 = "", I55 = ""), "", IF(F55 = "Vara", IFERROR(_xlfn.SINGLE(_xlfn.XLOOKUP(G55, Vöruskrá!A:A, Vöruskrá!N:N, "")) * I55 / 100, ""), IF(F55 = "Réttur", IFERROR(_xlfn.SINGLE(_xlfn.XLOOKUP(G55, Réttabanki!A:A, Réttabanki!BB:BB, "")) * I55 / 100, ""), "")))</f>
        <v>5.6</v>
      </c>
    </row>
    <row r="56" spans="1:17">
      <c r="B56" s="33" t="str">
        <f t="shared" si="2"/>
        <v>Fimmtudagur</v>
      </c>
      <c r="C56" s="33">
        <f t="shared" si="3"/>
        <v>25</v>
      </c>
      <c r="D56" s="34" t="s">
        <v>910</v>
      </c>
      <c r="E56" s="34" t="s">
        <v>927</v>
      </c>
      <c r="F56" s="34" t="s">
        <v>913</v>
      </c>
      <c r="G56" s="34" t="s">
        <v>749</v>
      </c>
      <c r="H56" s="34" t="s">
        <v>749</v>
      </c>
      <c r="I56" s="35">
        <v>100</v>
      </c>
      <c r="J56" s="35">
        <v>130</v>
      </c>
      <c r="K56" s="36"/>
      <c r="L56" s="26" t="str">
        <f>IF(OR(F56 = "", G56 = ""), "", IF(F56 = "Vara", IFERROR(_xlfn.SINGLE(_xlfn.XLOOKUP(G56, Vöruskrá!A:A, Vöruskrá!E:E, "")), ""), IF(F56 = "Réttur", IFERROR(_xlfn.SINGLE(_xlfn.XLOOKUP(G56, Réttabanki!A:A, Réttabanki!AS:AS, "")), ""), "")))</f>
        <v>**DURUM HVEITI** semolina, vatn.</v>
      </c>
      <c r="M56" s="26" t="str">
        <f>IF(OR(F56 = "", G56 = ""), "", IF(F56 = "Vara", IFERROR(_xlfn.SINGLE(_xlfn.XLOOKUP(G56, Vöruskrá!A:A, Vöruskrá!F:F, "")), ""), IF(F56 = "Réttur", IFERROR(_xlfn.SINGLE(_xlfn.XLOOKUP(G56, Réttabanki!A:A, Réttabanki!AT:AT, "")), ""), "")))</f>
        <v>Glúten (hveiti)</v>
      </c>
      <c r="N56" s="26" t="str">
        <f>IF(OR(F56 = "", G56 = ""), "", IF(F56 = "Vara", IFERROR(_xlfn.SINGLE(_xlfn.XLOOKUP(G56, Vöruskrá!A:A, Vöruskrá!G:G, "")), ""), IF(F56 = "Réttur", IFERROR(_xlfn.SINGLE(_xlfn.XLOOKUP(G56, Réttabanki!A:A, Réttabanki!AU:AU, "")), ""), "")))</f>
        <v>Getur innihaldið egg, soja, sinnep</v>
      </c>
      <c r="O56" s="26">
        <f>IF(OR(F56 = "", G56 = "", I56 = ""), "", IF(F56 = "Vara", IFERROR(_xlfn.SINGLE(_xlfn.XLOOKUP(G56, Vöruskrá!A:A, Vöruskrá!I:I, "")) * I56 / 100, ""), IF(F56 = "Réttur", IFERROR(_xlfn.SINGLE(_xlfn.XLOOKUP(G56, Réttabanki!A:A, Réttabanki!AV:AV, "")) * I56 / 100, ""), "")))</f>
        <v>353</v>
      </c>
      <c r="P56" s="26">
        <f>IF(OR(F56 = "", G56 = "", I56 = ""), "", IF(F56 = "Vara", IFERROR(_xlfn.SINGLE(_xlfn.XLOOKUP(G56, Vöruskrá!A:A, Vöruskrá!J:J, "")) * I56 / 100, ""), IF(F56 = "Réttur", IFERROR(_xlfn.SINGLE(_xlfn.XLOOKUP(G56, Réttabanki!A:A, Réttabanki!AW:AW, "")) * I56 / 100, ""), "")))</f>
        <v>1.2</v>
      </c>
      <c r="Q56" s="26">
        <f>IF(OR(F56 = "", G56 = "", I56 = ""), "", IF(F56 = "Vara", IFERROR(_xlfn.SINGLE(_xlfn.XLOOKUP(G56, Vöruskrá!A:A, Vöruskrá!N:N, "")) * I56 / 100, ""), IF(F56 = "Réttur", IFERROR(_xlfn.SINGLE(_xlfn.XLOOKUP(G56, Réttabanki!A:A, Réttabanki!BB:BB, "")) * I56 / 100, ""), "")))</f>
        <v>12</v>
      </c>
    </row>
    <row r="57" spans="1:17">
      <c r="B57" s="33" t="str">
        <f t="shared" si="2"/>
        <v>Fimmtudagur</v>
      </c>
      <c r="C57" s="33">
        <f t="shared" si="3"/>
        <v>25</v>
      </c>
      <c r="D57" s="34" t="s">
        <v>910</v>
      </c>
      <c r="E57" s="34" t="s">
        <v>933</v>
      </c>
      <c r="F57" s="34"/>
      <c r="G57" s="34"/>
      <c r="H57" s="34" t="s">
        <v>980</v>
      </c>
      <c r="I57" s="35"/>
      <c r="J57" s="35"/>
      <c r="K57" s="36"/>
      <c r="L57" s="26" t="str">
        <f>IF(OR(F57 = "", G57 = ""), "", IF(F57 = "Vara", IFERROR(_xlfn.SINGLE(_xlfn.XLOOKUP(G57, Vöruskrá!A:A, Vöruskrá!E:E, "")), ""), IF(F57 = "Réttur", IFERROR(_xlfn.SINGLE(_xlfn.XLOOKUP(G57, Réttabanki!A:A, Réttabanki!AS:AS, "")), ""), "")))</f>
        <v/>
      </c>
      <c r="M57" s="26" t="str">
        <f>IF(OR(F57 = "", G57 = ""), "", IF(F57 = "Vara", IFERROR(_xlfn.SINGLE(_xlfn.XLOOKUP(G57, Vöruskrá!A:A, Vöruskrá!F:F, "")), ""), IF(F57 = "Réttur", IFERROR(_xlfn.SINGLE(_xlfn.XLOOKUP(G57, Réttabanki!A:A, Réttabanki!AT:AT, "")), ""), "")))</f>
        <v/>
      </c>
      <c r="N57" s="26" t="str">
        <f>IF(OR(F57 = "", G57 = ""), "", IF(F57 = "Vara", IFERROR(_xlfn.SINGLE(_xlfn.XLOOKUP(G57, Vöruskrá!A:A, Vöruskrá!G:G, "")), ""), IF(F57 = "Réttur", IFERROR(_xlfn.SINGLE(_xlfn.XLOOKUP(G57, Réttabanki!A:A, Réttabanki!AU:AU, "")), ""), "")))</f>
        <v/>
      </c>
      <c r="O57" s="26" t="str">
        <f>IF(OR(F57 = "", G57 = "", I57 = ""), "", IF(F57 = "Vara", IFERROR(_xlfn.SINGLE(_xlfn.XLOOKUP(G57, Vöruskrá!A:A, Vöruskrá!I:I, "")) * I57 / 100, ""), IF(F57 = "Réttur", IFERROR(_xlfn.SINGLE(_xlfn.XLOOKUP(G57, Réttabanki!A:A, Réttabanki!AV:AV, "")) * I57 / 100, ""), "")))</f>
        <v/>
      </c>
      <c r="P57" s="26" t="str">
        <f>IF(OR(F57 = "", G57 = "", I57 = ""), "", IF(F57 = "Vara", IFERROR(_xlfn.SINGLE(_xlfn.XLOOKUP(G57, Vöruskrá!A:A, Vöruskrá!J:J, "")) * I57 / 100, ""), IF(F57 = "Réttur", IFERROR(_xlfn.SINGLE(_xlfn.XLOOKUP(G57, Réttabanki!A:A, Réttabanki!AW:AW, "")) * I57 / 100, ""), "")))</f>
        <v/>
      </c>
      <c r="Q57" s="26" t="str">
        <f>IF(OR(F57 = "", G57 = "", I57 = ""), "", IF(F57 = "Vara", IFERROR(_xlfn.SINGLE(_xlfn.XLOOKUP(G57, Vöruskrá!A:A, Vöruskrá!N:N, "")) * I57 / 100, ""), IF(F57 = "Réttur", IFERROR(_xlfn.SINGLE(_xlfn.XLOOKUP(G57, Réttabanki!A:A, Réttabanki!BB:BB, "")) * I57 / 100, ""), "")))</f>
        <v/>
      </c>
    </row>
    <row r="58" spans="1:17">
      <c r="B58" s="33" t="str">
        <f t="shared" si="2"/>
        <v>Fimmtudagur</v>
      </c>
      <c r="C58" s="33">
        <f t="shared" si="3"/>
        <v>25</v>
      </c>
      <c r="D58" s="34" t="s">
        <v>910</v>
      </c>
      <c r="E58" s="34" t="s">
        <v>933</v>
      </c>
      <c r="F58" s="34" t="s">
        <v>913</v>
      </c>
      <c r="G58" s="34" t="s">
        <v>981</v>
      </c>
      <c r="H58" s="34" t="s">
        <v>982</v>
      </c>
      <c r="I58" s="35">
        <v>20</v>
      </c>
      <c r="J58" s="35">
        <v>30</v>
      </c>
      <c r="K58" s="36"/>
      <c r="L58" s="26" t="str">
        <f>IF(OR(F58 = "", G58 = ""), "", IF(F58 = "Vara", IFERROR(_xlfn.SINGLE(_xlfn.XLOOKUP(G58, Vöruskrá!A:A, Vöruskrá!E:E, "")), ""), IF(F58 = "Réttur", IFERROR(_xlfn.SINGLE(_xlfn.XLOOKUP(G58, Réttabanki!A:A, Réttabanki!AS:AS, "")), ""), "")))</f>
        <v/>
      </c>
      <c r="M58" s="26" t="str">
        <f>IF(OR(F58 = "", G58 = ""), "", IF(F58 = "Vara", IFERROR(_xlfn.SINGLE(_xlfn.XLOOKUP(G58, Vöruskrá!A:A, Vöruskrá!F:F, "")), ""), IF(F58 = "Réttur", IFERROR(_xlfn.SINGLE(_xlfn.XLOOKUP(G58, Réttabanki!A:A, Réttabanki!AT:AT, "")), ""), "")))</f>
        <v/>
      </c>
      <c r="N58" s="26" t="str">
        <f>IF(OR(F58 = "", G58 = ""), "", IF(F58 = "Vara", IFERROR(_xlfn.SINGLE(_xlfn.XLOOKUP(G58, Vöruskrá!A:A, Vöruskrá!G:G, "")), ""), IF(F58 = "Réttur", IFERROR(_xlfn.SINGLE(_xlfn.XLOOKUP(G58, Réttabanki!A:A, Réttabanki!AU:AU, "")), ""), "")))</f>
        <v/>
      </c>
      <c r="O58" s="26" t="str">
        <f>IF(OR(F58 = "", G58 = "", I58 = ""), "", IF(F58 = "Vara", IFERROR(_xlfn.SINGLE(_xlfn.XLOOKUP(G58, Vöruskrá!A:A, Vöruskrá!I:I, "")) * I58 / 100, ""), IF(F58 = "Réttur", IFERROR(_xlfn.SINGLE(_xlfn.XLOOKUP(G58, Réttabanki!A:A, Réttabanki!AV:AV, "")) * I58 / 100, ""), "")))</f>
        <v/>
      </c>
      <c r="P58" s="26" t="str">
        <f>IF(OR(F58 = "", G58 = "", I58 = ""), "", IF(F58 = "Vara", IFERROR(_xlfn.SINGLE(_xlfn.XLOOKUP(G58, Vöruskrá!A:A, Vöruskrá!J:J, "")) * I58 / 100, ""), IF(F58 = "Réttur", IFERROR(_xlfn.SINGLE(_xlfn.XLOOKUP(G58, Réttabanki!A:A, Réttabanki!AW:AW, "")) * I58 / 100, ""), "")))</f>
        <v/>
      </c>
      <c r="Q58" s="26" t="str">
        <f>IF(OR(F58 = "", G58 = "", I58 = ""), "", IF(F58 = "Vara", IFERROR(_xlfn.SINGLE(_xlfn.XLOOKUP(G58, Vöruskrá!A:A, Vöruskrá!N:N, "")) * I58 / 100, ""), IF(F58 = "Réttur", IFERROR(_xlfn.SINGLE(_xlfn.XLOOKUP(G58, Réttabanki!A:A, Réttabanki!BB:BB, "")) * I58 / 100, ""), "")))</f>
        <v/>
      </c>
    </row>
    <row r="59" spans="1:17">
      <c r="B59" s="33" t="str">
        <f t="shared" si="2"/>
        <v>Fimmtudagur</v>
      </c>
      <c r="C59" s="33">
        <f t="shared" si="3"/>
        <v>25</v>
      </c>
      <c r="D59" s="34" t="s">
        <v>910</v>
      </c>
      <c r="E59" s="34" t="s">
        <v>941</v>
      </c>
      <c r="F59" s="34"/>
      <c r="G59" s="34"/>
      <c r="H59" s="34" t="s">
        <v>983</v>
      </c>
      <c r="I59" s="35"/>
      <c r="J59" s="35"/>
      <c r="K59" s="36"/>
      <c r="L59" s="26" t="str">
        <f>IF(OR(F59 = "", G59 = ""), "", IF(F59 = "Vara", IFERROR(_xlfn.SINGLE(_xlfn.XLOOKUP(G59, Vöruskrá!A:A, Vöruskrá!E:E, "")), ""), IF(F59 = "Réttur", IFERROR(_xlfn.SINGLE(_xlfn.XLOOKUP(G59, Réttabanki!A:A, Réttabanki!AS:AS, "")), ""), "")))</f>
        <v/>
      </c>
      <c r="M59" s="26" t="str">
        <f>IF(OR(F59 = "", G59 = ""), "", IF(F59 = "Vara", IFERROR(_xlfn.SINGLE(_xlfn.XLOOKUP(G59, Vöruskrá!A:A, Vöruskrá!F:F, "")), ""), IF(F59 = "Réttur", IFERROR(_xlfn.SINGLE(_xlfn.XLOOKUP(G59, Réttabanki!A:A, Réttabanki!AT:AT, "")), ""), "")))</f>
        <v/>
      </c>
      <c r="N59" s="26" t="str">
        <f>IF(OR(F59 = "", G59 = ""), "", IF(F59 = "Vara", IFERROR(_xlfn.SINGLE(_xlfn.XLOOKUP(G59, Vöruskrá!A:A, Vöruskrá!G:G, "")), ""), IF(F59 = "Réttur", IFERROR(_xlfn.SINGLE(_xlfn.XLOOKUP(G59, Réttabanki!A:A, Réttabanki!AU:AU, "")), ""), "")))</f>
        <v/>
      </c>
      <c r="O59" s="26" t="str">
        <f>IF(OR(F59 = "", G59 = "", I59 = ""), "", IF(F59 = "Vara", IFERROR(_xlfn.SINGLE(_xlfn.XLOOKUP(G59, Vöruskrá!A:A, Vöruskrá!I:I, "")) * I59 / 100, ""), IF(F59 = "Réttur", IFERROR(_xlfn.SINGLE(_xlfn.XLOOKUP(G59, Réttabanki!A:A, Réttabanki!AV:AV, "")) * I59 / 100, ""), "")))</f>
        <v/>
      </c>
      <c r="P59" s="26" t="str">
        <f>IF(OR(F59 = "", G59 = "", I59 = ""), "", IF(F59 = "Vara", IFERROR(_xlfn.SINGLE(_xlfn.XLOOKUP(G59, Vöruskrá!A:A, Vöruskrá!J:J, "")) * I59 / 100, ""), IF(F59 = "Réttur", IFERROR(_xlfn.SINGLE(_xlfn.XLOOKUP(G59, Réttabanki!A:A, Réttabanki!AW:AW, "")) * I59 / 100, ""), "")))</f>
        <v/>
      </c>
      <c r="Q59" s="26" t="str">
        <f>IF(OR(F59 = "", G59 = "", I59 = ""), "", IF(F59 = "Vara", IFERROR(_xlfn.SINGLE(_xlfn.XLOOKUP(G59, Vöruskrá!A:A, Vöruskrá!N:N, "")) * I59 / 100, ""), IF(F59 = "Réttur", IFERROR(_xlfn.SINGLE(_xlfn.XLOOKUP(G59, Réttabanki!A:A, Réttabanki!BB:BB, "")) * I59 / 100, ""), "")))</f>
        <v/>
      </c>
    </row>
    <row r="60" spans="1:17">
      <c r="B60" s="33" t="str">
        <f t="shared" si="2"/>
        <v>Fimmtudagur</v>
      </c>
      <c r="C60" s="33">
        <f t="shared" si="3"/>
        <v>25</v>
      </c>
      <c r="D60" s="34" t="s">
        <v>910</v>
      </c>
      <c r="E60" s="34" t="s">
        <v>941</v>
      </c>
      <c r="F60" s="34" t="s">
        <v>913</v>
      </c>
      <c r="G60" s="34" t="s">
        <v>984</v>
      </c>
      <c r="H60" s="34" t="s">
        <v>985</v>
      </c>
      <c r="I60" s="35">
        <v>75</v>
      </c>
      <c r="J60" s="35">
        <v>100</v>
      </c>
      <c r="K60" s="36"/>
      <c r="L60" s="26" t="str">
        <f>IF(OR(F60 = "", G60 = ""), "", IF(F60 = "Vara", IFERROR(_xlfn.SINGLE(_xlfn.XLOOKUP(G60, Vöruskrá!A:A, Vöruskrá!E:E, "")), ""), IF(F60 = "Réttur", IFERROR(_xlfn.SINGLE(_xlfn.XLOOKUP(G60, Réttabanki!A:A, Réttabanki!AS:AS, "")), ""), "")))</f>
        <v/>
      </c>
      <c r="M60" s="26" t="str">
        <f>IF(OR(F60 = "", G60 = ""), "", IF(F60 = "Vara", IFERROR(_xlfn.SINGLE(_xlfn.XLOOKUP(G60, Vöruskrá!A:A, Vöruskrá!F:F, "")), ""), IF(F60 = "Réttur", IFERROR(_xlfn.SINGLE(_xlfn.XLOOKUP(G60, Réttabanki!A:A, Réttabanki!AT:AT, "")), ""), "")))</f>
        <v/>
      </c>
      <c r="N60" s="26" t="str">
        <f>IF(OR(F60 = "", G60 = ""), "", IF(F60 = "Vara", IFERROR(_xlfn.SINGLE(_xlfn.XLOOKUP(G60, Vöruskrá!A:A, Vöruskrá!G:G, "")), ""), IF(F60 = "Réttur", IFERROR(_xlfn.SINGLE(_xlfn.XLOOKUP(G60, Réttabanki!A:A, Réttabanki!AU:AU, "")), ""), "")))</f>
        <v/>
      </c>
      <c r="O60" s="26" t="str">
        <f>IF(OR(F60 = "", G60 = "", I60 = ""), "", IF(F60 = "Vara", IFERROR(_xlfn.SINGLE(_xlfn.XLOOKUP(G60, Vöruskrá!A:A, Vöruskrá!I:I, "")) * I60 / 100, ""), IF(F60 = "Réttur", IFERROR(_xlfn.SINGLE(_xlfn.XLOOKUP(G60, Réttabanki!A:A, Réttabanki!AV:AV, "")) * I60 / 100, ""), "")))</f>
        <v/>
      </c>
      <c r="P60" s="26" t="str">
        <f>IF(OR(F60 = "", G60 = "", I60 = ""), "", IF(F60 = "Vara", IFERROR(_xlfn.SINGLE(_xlfn.XLOOKUP(G60, Vöruskrá!A:A, Vöruskrá!J:J, "")) * I60 / 100, ""), IF(F60 = "Réttur", IFERROR(_xlfn.SINGLE(_xlfn.XLOOKUP(G60, Réttabanki!A:A, Réttabanki!AW:AW, "")) * I60 / 100, ""), "")))</f>
        <v/>
      </c>
      <c r="Q60" s="26" t="str">
        <f>IF(OR(F60 = "", G60 = "", I60 = ""), "", IF(F60 = "Vara", IFERROR(_xlfn.SINGLE(_xlfn.XLOOKUP(G60, Vöruskrá!A:A, Vöruskrá!N:N, "")) * I60 / 100, ""), IF(F60 = "Réttur", IFERROR(_xlfn.SINGLE(_xlfn.XLOOKUP(G60, Réttabanki!A:A, Réttabanki!BB:BB, "")) * I60 / 100, ""), "")))</f>
        <v/>
      </c>
    </row>
    <row r="61" spans="1:17">
      <c r="B61" s="33" t="str">
        <f t="shared" si="2"/>
        <v>Fimmtudagur</v>
      </c>
      <c r="C61" s="33">
        <f t="shared" si="3"/>
        <v>25</v>
      </c>
      <c r="D61" s="34" t="s">
        <v>910</v>
      </c>
      <c r="E61" s="34" t="s">
        <v>941</v>
      </c>
      <c r="F61" s="34" t="s">
        <v>913</v>
      </c>
      <c r="G61" s="34" t="s">
        <v>986</v>
      </c>
      <c r="H61" s="34" t="s">
        <v>986</v>
      </c>
      <c r="I61" s="35">
        <v>75</v>
      </c>
      <c r="J61" s="35">
        <v>100</v>
      </c>
      <c r="K61" s="36"/>
      <c r="L61" s="26" t="str">
        <f>IF(OR(F61 = "", G61 = ""), "", IF(F61 = "Vara", IFERROR(_xlfn.SINGLE(_xlfn.XLOOKUP(G61, Vöruskrá!A:A, Vöruskrá!E:E, "")), ""), IF(F61 = "Réttur", IFERROR(_xlfn.SINGLE(_xlfn.XLOOKUP(G61, Réttabanki!A:A, Réttabanki!AS:AS, "")), ""), "")))</f>
        <v/>
      </c>
      <c r="M61" s="26" t="str">
        <f>IF(OR(F61 = "", G61 = ""), "", IF(F61 = "Vara", IFERROR(_xlfn.SINGLE(_xlfn.XLOOKUP(G61, Vöruskrá!A:A, Vöruskrá!F:F, "")), ""), IF(F61 = "Réttur", IFERROR(_xlfn.SINGLE(_xlfn.XLOOKUP(G61, Réttabanki!A:A, Réttabanki!AT:AT, "")), ""), "")))</f>
        <v/>
      </c>
      <c r="N61" s="26" t="str">
        <f>IF(OR(F61 = "", G61 = ""), "", IF(F61 = "Vara", IFERROR(_xlfn.SINGLE(_xlfn.XLOOKUP(G61, Vöruskrá!A:A, Vöruskrá!G:G, "")), ""), IF(F61 = "Réttur", IFERROR(_xlfn.SINGLE(_xlfn.XLOOKUP(G61, Réttabanki!A:A, Réttabanki!AU:AU, "")), ""), "")))</f>
        <v/>
      </c>
      <c r="O61" s="26" t="str">
        <f>IF(OR(F61 = "", G61 = "", I61 = ""), "", IF(F61 = "Vara", IFERROR(_xlfn.SINGLE(_xlfn.XLOOKUP(G61, Vöruskrá!A:A, Vöruskrá!I:I, "")) * I61 / 100, ""), IF(F61 = "Réttur", IFERROR(_xlfn.SINGLE(_xlfn.XLOOKUP(G61, Réttabanki!A:A, Réttabanki!AV:AV, "")) * I61 / 100, ""), "")))</f>
        <v/>
      </c>
      <c r="P61" s="26" t="str">
        <f>IF(OR(F61 = "", G61 = "", I61 = ""), "", IF(F61 = "Vara", IFERROR(_xlfn.SINGLE(_xlfn.XLOOKUP(G61, Vöruskrá!A:A, Vöruskrá!J:J, "")) * I61 / 100, ""), IF(F61 = "Réttur", IFERROR(_xlfn.SINGLE(_xlfn.XLOOKUP(G61, Réttabanki!A:A, Réttabanki!AW:AW, "")) * I61 / 100, ""), "")))</f>
        <v/>
      </c>
      <c r="Q61" s="26" t="str">
        <f>IF(OR(F61 = "", G61 = "", I61 = ""), "", IF(F61 = "Vara", IFERROR(_xlfn.SINGLE(_xlfn.XLOOKUP(G61, Vöruskrá!A:A, Vöruskrá!N:N, "")) * I61 / 100, ""), IF(F61 = "Réttur", IFERROR(_xlfn.SINGLE(_xlfn.XLOOKUP(G61, Réttabanki!A:A, Réttabanki!BB:BB, "")) * I61 / 100, ""), "")))</f>
        <v/>
      </c>
    </row>
    <row r="62" spans="1:17">
      <c r="A62" s="32">
        <v>46192</v>
      </c>
      <c r="B62" s="33" t="str">
        <f t="shared" ref="B62:B71" si="4">IF(A62&lt;&gt;"",CHOOSE(WEEKDAY(A62,2),"Mánudagur","Þriðjudagur","Miðvikudagur","Fimmtudagur","Föstudagur","Laugardagur","Sunnudagur"),IF(B61&lt;&gt;"",B61,""))</f>
        <v>Föstudagur</v>
      </c>
      <c r="C62" s="33">
        <f t="shared" ref="C62:C71" si="5">IF(A62&lt;&gt;"",WEEKNUM(A62,21),IF(C61&lt;&gt;"",C61,""))</f>
        <v>25</v>
      </c>
      <c r="D62" s="34" t="s">
        <v>910</v>
      </c>
      <c r="E62" s="34" t="s">
        <v>921</v>
      </c>
      <c r="F62" s="34"/>
      <c r="G62" s="34"/>
      <c r="H62" s="34" t="s">
        <v>987</v>
      </c>
      <c r="I62" s="35"/>
      <c r="J62" s="35"/>
      <c r="K62" s="36"/>
      <c r="L62" s="26" t="str">
        <f>IF(OR(F62 = "", G62 = ""), "", IF(F62 = "Vara", IFERROR(_xlfn.SINGLE(_xlfn.XLOOKUP(G62, Vöruskrá!A:A, Vöruskrá!E:E, "")), ""), IF(F62 = "Réttur", IFERROR(_xlfn.SINGLE(_xlfn.XLOOKUP(G62, Réttabanki!A:A, Réttabanki!AS:AS, "")), ""), "")))</f>
        <v/>
      </c>
      <c r="M62" s="26" t="str">
        <f>IF(OR(F62 = "", G62 = ""), "", IF(F62 = "Vara", IFERROR(_xlfn.SINGLE(_xlfn.XLOOKUP(G62, Vöruskrá!A:A, Vöruskrá!F:F, "")), ""), IF(F62 = "Réttur", IFERROR(_xlfn.SINGLE(_xlfn.XLOOKUP(G62, Réttabanki!A:A, Réttabanki!AT:AT, "")), ""), "")))</f>
        <v/>
      </c>
      <c r="N62" s="26" t="str">
        <f>IF(OR(F62 = "", G62 = ""), "", IF(F62 = "Vara", IFERROR(_xlfn.SINGLE(_xlfn.XLOOKUP(G62, Vöruskrá!A:A, Vöruskrá!G:G, "")), ""), IF(F62 = "Réttur", IFERROR(_xlfn.SINGLE(_xlfn.XLOOKUP(G62, Réttabanki!A:A, Réttabanki!AU:AU, "")), ""), "")))</f>
        <v/>
      </c>
      <c r="O62" s="26" t="str">
        <f>IF(OR(F62 = "", G62 = "", I62 = ""), "", IF(F62 = "Vara", IFERROR(_xlfn.SINGLE(_xlfn.XLOOKUP(G62, Vöruskrá!A:A, Vöruskrá!I:I, "")) * I62 / 100, ""), IF(F62 = "Réttur", IFERROR(_xlfn.SINGLE(_xlfn.XLOOKUP(G62, Réttabanki!A:A, Réttabanki!AV:AV, "")) * I62 / 100, ""), "")))</f>
        <v/>
      </c>
      <c r="P62" s="26" t="str">
        <f>IF(OR(F62 = "", G62 = "", I62 = ""), "", IF(F62 = "Vara", IFERROR(_xlfn.SINGLE(_xlfn.XLOOKUP(G62, Vöruskrá!A:A, Vöruskrá!J:J, "")) * I62 / 100, ""), IF(F62 = "Réttur", IFERROR(_xlfn.SINGLE(_xlfn.XLOOKUP(G62, Réttabanki!A:A, Réttabanki!AW:AW, "")) * I62 / 100, ""), "")))</f>
        <v/>
      </c>
      <c r="Q62" s="26" t="str">
        <f>IF(OR(F62 = "", G62 = "", I62 = ""), "", IF(F62 = "Vara", IFERROR(_xlfn.SINGLE(_xlfn.XLOOKUP(G62, Vöruskrá!A:A, Vöruskrá!N:N, "")) * I62 / 100, ""), IF(F62 = "Réttur", IFERROR(_xlfn.SINGLE(_xlfn.XLOOKUP(G62, Réttabanki!A:A, Réttabanki!BB:BB, "")) * I62 / 100, ""), "")))</f>
        <v/>
      </c>
    </row>
    <row r="63" spans="1:17">
      <c r="B63" s="33" t="str">
        <f t="shared" si="4"/>
        <v>Föstudagur</v>
      </c>
      <c r="C63" s="33">
        <f t="shared" si="5"/>
        <v>25</v>
      </c>
      <c r="D63" s="34" t="s">
        <v>910</v>
      </c>
      <c r="E63" s="34" t="s">
        <v>921</v>
      </c>
      <c r="F63" s="34" t="s">
        <v>913</v>
      </c>
      <c r="G63" s="34" t="s">
        <v>844</v>
      </c>
      <c r="H63" s="34" t="s">
        <v>988</v>
      </c>
      <c r="I63" s="35">
        <v>140</v>
      </c>
      <c r="J63" s="35">
        <v>160</v>
      </c>
      <c r="K63" s="36"/>
      <c r="L63" s="26" t="str">
        <f>IF(OR(F63 = "", G63 = ""), "", IF(F63 = "Vara", IFERROR(_xlfn.SINGLE(_xlfn.XLOOKUP(G63, Vöruskrá!A:A, Vöruskrá!E:E, "")), ""), IF(F63 = "Réttur", IFERROR(_xlfn.SINGLE(_xlfn.XLOOKUP(G63, Réttabanki!A:A, Réttabanki!AS:AS, "")), ""), "")))</f>
        <v/>
      </c>
      <c r="M63" s="26" t="str">
        <f>IF(OR(F63 = "", G63 = ""), "", IF(F63 = "Vara", IFERROR(_xlfn.SINGLE(_xlfn.XLOOKUP(G63, Vöruskrá!A:A, Vöruskrá!F:F, "")), ""), IF(F63 = "Réttur", IFERROR(_xlfn.SINGLE(_xlfn.XLOOKUP(G63, Réttabanki!A:A, Réttabanki!AT:AT, "")), ""), "")))</f>
        <v/>
      </c>
      <c r="N63" s="26" t="str">
        <f>IF(OR(F63 = "", G63 = ""), "", IF(F63 = "Vara", IFERROR(_xlfn.SINGLE(_xlfn.XLOOKUP(G63, Vöruskrá!A:A, Vöruskrá!G:G, "")), ""), IF(F63 = "Réttur", IFERROR(_xlfn.SINGLE(_xlfn.XLOOKUP(G63, Réttabanki!A:A, Réttabanki!AU:AU, "")), ""), "")))</f>
        <v/>
      </c>
      <c r="O63" s="26" t="str">
        <f>IF(OR(F63 = "", G63 = "", I63 = ""), "", IF(F63 = "Vara", IFERROR(_xlfn.SINGLE(_xlfn.XLOOKUP(G63, Vöruskrá!A:A, Vöruskrá!I:I, "")) * I63 / 100, ""), IF(F63 = "Réttur", IFERROR(_xlfn.SINGLE(_xlfn.XLOOKUP(G63, Réttabanki!A:A, Réttabanki!AV:AV, "")) * I63 / 100, ""), "")))</f>
        <v/>
      </c>
      <c r="P63" s="26" t="str">
        <f>IF(OR(F63 = "", G63 = "", I63 = ""), "", IF(F63 = "Vara", IFERROR(_xlfn.SINGLE(_xlfn.XLOOKUP(G63, Vöruskrá!A:A, Vöruskrá!J:J, "")) * I63 / 100, ""), IF(F63 = "Réttur", IFERROR(_xlfn.SINGLE(_xlfn.XLOOKUP(G63, Réttabanki!A:A, Réttabanki!AW:AW, "")) * I63 / 100, ""), "")))</f>
        <v/>
      </c>
      <c r="Q63" s="26" t="str">
        <f>IF(OR(F63 = "", G63 = "", I63 = ""), "", IF(F63 = "Vara", IFERROR(_xlfn.SINGLE(_xlfn.XLOOKUP(G63, Vöruskrá!A:A, Vöruskrá!N:N, "")) * I63 / 100, ""), IF(F63 = "Réttur", IFERROR(_xlfn.SINGLE(_xlfn.XLOOKUP(G63, Réttabanki!A:A, Réttabanki!BB:BB, "")) * I63 / 100, ""), "")))</f>
        <v/>
      </c>
    </row>
    <row r="64" spans="1:17">
      <c r="B64" s="33" t="str">
        <f t="shared" si="4"/>
        <v>Föstudagur</v>
      </c>
      <c r="C64" s="33">
        <f t="shared" si="5"/>
        <v>25</v>
      </c>
      <c r="D64" s="34" t="s">
        <v>910</v>
      </c>
      <c r="E64" s="34" t="s">
        <v>921</v>
      </c>
      <c r="F64" s="34" t="s">
        <v>913</v>
      </c>
      <c r="G64" s="34" t="s">
        <v>860</v>
      </c>
      <c r="H64" s="34" t="s">
        <v>989</v>
      </c>
      <c r="I64" s="35"/>
      <c r="J64" s="35"/>
      <c r="K64" s="36"/>
      <c r="L64" s="26" t="str">
        <f>IF(OR(F64 = "", G64 = ""), "", IF(F64 = "Vara", IFERROR(_xlfn.SINGLE(_xlfn.XLOOKUP(G64, Vöruskrá!A:A, Vöruskrá!E:E, "")), ""), IF(F64 = "Réttur", IFERROR(_xlfn.SINGLE(_xlfn.XLOOKUP(G64, Réttabanki!A:A, Réttabanki!AS:AS, "")), ""), "")))</f>
        <v/>
      </c>
      <c r="M64" s="26" t="str">
        <f>IF(OR(F64 = "", G64 = ""), "", IF(F64 = "Vara", IFERROR(_xlfn.SINGLE(_xlfn.XLOOKUP(G64, Vöruskrá!A:A, Vöruskrá!F:F, "")), ""), IF(F64 = "Réttur", IFERROR(_xlfn.SINGLE(_xlfn.XLOOKUP(G64, Réttabanki!A:A, Réttabanki!AT:AT, "")), ""), "")))</f>
        <v/>
      </c>
      <c r="N64" s="26" t="str">
        <f>IF(OR(F64 = "", G64 = ""), "", IF(F64 = "Vara", IFERROR(_xlfn.SINGLE(_xlfn.XLOOKUP(G64, Vöruskrá!A:A, Vöruskrá!G:G, "")), ""), IF(F64 = "Réttur", IFERROR(_xlfn.SINGLE(_xlfn.XLOOKUP(G64, Réttabanki!A:A, Réttabanki!AU:AU, "")), ""), "")))</f>
        <v/>
      </c>
      <c r="O64" s="26" t="str">
        <f>IF(OR(F64 = "", G64 = "", I64 = ""), "", IF(F64 = "Vara", IFERROR(_xlfn.SINGLE(_xlfn.XLOOKUP(G64, Vöruskrá!A:A, Vöruskrá!I:I, "")) * I64 / 100, ""), IF(F64 = "Réttur", IFERROR(_xlfn.SINGLE(_xlfn.XLOOKUP(G64, Réttabanki!A:A, Réttabanki!AV:AV, "")) * I64 / 100, ""), "")))</f>
        <v/>
      </c>
      <c r="P64" s="26" t="str">
        <f>IF(OR(F64 = "", G64 = "", I64 = ""), "", IF(F64 = "Vara", IFERROR(_xlfn.SINGLE(_xlfn.XLOOKUP(G64, Vöruskrá!A:A, Vöruskrá!J:J, "")) * I64 / 100, ""), IF(F64 = "Réttur", IFERROR(_xlfn.SINGLE(_xlfn.XLOOKUP(G64, Réttabanki!A:A, Réttabanki!AW:AW, "")) * I64 / 100, ""), "")))</f>
        <v/>
      </c>
      <c r="Q64" s="26" t="str">
        <f>IF(OR(F64 = "", G64 = "", I64 = ""), "", IF(F64 = "Vara", IFERROR(_xlfn.SINGLE(_xlfn.XLOOKUP(G64, Vöruskrá!A:A, Vöruskrá!N:N, "")) * I64 / 100, ""), IF(F64 = "Réttur", IFERROR(_xlfn.SINGLE(_xlfn.XLOOKUP(G64, Réttabanki!A:A, Réttabanki!BB:BB, "")) * I64 / 100, ""), "")))</f>
        <v/>
      </c>
    </row>
    <row r="65" spans="1:17">
      <c r="B65" s="33" t="str">
        <f t="shared" si="4"/>
        <v>Föstudagur</v>
      </c>
      <c r="C65" s="33">
        <f t="shared" si="5"/>
        <v>25</v>
      </c>
      <c r="D65" s="34" t="s">
        <v>910</v>
      </c>
      <c r="E65" s="34" t="s">
        <v>921</v>
      </c>
      <c r="F65" s="34" t="s">
        <v>913</v>
      </c>
      <c r="G65" s="34" t="s">
        <v>990</v>
      </c>
      <c r="H65" s="34" t="s">
        <v>991</v>
      </c>
      <c r="I65" s="35"/>
      <c r="J65" s="35"/>
      <c r="K65" s="36"/>
      <c r="L65" s="26" t="str">
        <f>IF(OR(F65 = "", G65 = ""), "", IF(F65 = "Vara", IFERROR(_xlfn.SINGLE(_xlfn.XLOOKUP(G65, Vöruskrá!A:A, Vöruskrá!E:E, "")), ""), IF(F65 = "Réttur", IFERROR(_xlfn.SINGLE(_xlfn.XLOOKUP(G65, Réttabanki!A:A, Réttabanki!AS:AS, "")), ""), "")))</f>
        <v/>
      </c>
      <c r="M65" s="26" t="str">
        <f>IF(OR(F65 = "", G65 = ""), "", IF(F65 = "Vara", IFERROR(_xlfn.SINGLE(_xlfn.XLOOKUP(G65, Vöruskrá!A:A, Vöruskrá!F:F, "")), ""), IF(F65 = "Réttur", IFERROR(_xlfn.SINGLE(_xlfn.XLOOKUP(G65, Réttabanki!A:A, Réttabanki!AT:AT, "")), ""), "")))</f>
        <v/>
      </c>
      <c r="N65" s="26" t="str">
        <f>IF(OR(F65 = "", G65 = ""), "", IF(F65 = "Vara", IFERROR(_xlfn.SINGLE(_xlfn.XLOOKUP(G65, Vöruskrá!A:A, Vöruskrá!G:G, "")), ""), IF(F65 = "Réttur", IFERROR(_xlfn.SINGLE(_xlfn.XLOOKUP(G65, Réttabanki!A:A, Réttabanki!AU:AU, "")), ""), "")))</f>
        <v/>
      </c>
      <c r="O65" s="26" t="str">
        <f>IF(OR(F65 = "", G65 = "", I65 = ""), "", IF(F65 = "Vara", IFERROR(_xlfn.SINGLE(_xlfn.XLOOKUP(G65, Vöruskrá!A:A, Vöruskrá!I:I, "")) * I65 / 100, ""), IF(F65 = "Réttur", IFERROR(_xlfn.SINGLE(_xlfn.XLOOKUP(G65, Réttabanki!A:A, Réttabanki!AV:AV, "")) * I65 / 100, ""), "")))</f>
        <v/>
      </c>
      <c r="P65" s="26" t="str">
        <f>IF(OR(F65 = "", G65 = "", I65 = ""), "", IF(F65 = "Vara", IFERROR(_xlfn.SINGLE(_xlfn.XLOOKUP(G65, Vöruskrá!A:A, Vöruskrá!J:J, "")) * I65 / 100, ""), IF(F65 = "Réttur", IFERROR(_xlfn.SINGLE(_xlfn.XLOOKUP(G65, Réttabanki!A:A, Réttabanki!AW:AW, "")) * I65 / 100, ""), "")))</f>
        <v/>
      </c>
      <c r="Q65" s="26" t="str">
        <f>IF(OR(F65 = "", G65 = "", I65 = ""), "", IF(F65 = "Vara", IFERROR(_xlfn.SINGLE(_xlfn.XLOOKUP(G65, Vöruskrá!A:A, Vöruskrá!N:N, "")) * I65 / 100, ""), IF(F65 = "Réttur", IFERROR(_xlfn.SINGLE(_xlfn.XLOOKUP(G65, Réttabanki!A:A, Réttabanki!BB:BB, "")) * I65 / 100, ""), "")))</f>
        <v/>
      </c>
    </row>
    <row r="66" spans="1:17">
      <c r="B66" s="33" t="str">
        <f t="shared" si="4"/>
        <v>Föstudagur</v>
      </c>
      <c r="C66" s="33">
        <f t="shared" si="5"/>
        <v>25</v>
      </c>
      <c r="D66" s="34" t="s">
        <v>910</v>
      </c>
      <c r="E66" s="34" t="s">
        <v>927</v>
      </c>
      <c r="F66" s="34"/>
      <c r="G66" s="34"/>
      <c r="H66" s="34" t="s">
        <v>992</v>
      </c>
      <c r="I66" s="35"/>
      <c r="J66" s="35"/>
      <c r="K66" s="36"/>
      <c r="L66" s="26" t="str">
        <f>IF(OR(F66 = "", G66 = ""), "", IF(F66 = "Vara", IFERROR(_xlfn.SINGLE(_xlfn.XLOOKUP(G66, Vöruskrá!A:A, Vöruskrá!E:E, "")), ""), IF(F66 = "Réttur", IFERROR(_xlfn.SINGLE(_xlfn.XLOOKUP(G66, Réttabanki!A:A, Réttabanki!AS:AS, "")), ""), "")))</f>
        <v/>
      </c>
      <c r="M66" s="26" t="str">
        <f>IF(OR(F66 = "", G66 = ""), "", IF(F66 = "Vara", IFERROR(_xlfn.SINGLE(_xlfn.XLOOKUP(G66, Vöruskrá!A:A, Vöruskrá!F:F, "")), ""), IF(F66 = "Réttur", IFERROR(_xlfn.SINGLE(_xlfn.XLOOKUP(G66, Réttabanki!A:A, Réttabanki!AT:AT, "")), ""), "")))</f>
        <v/>
      </c>
      <c r="N66" s="26" t="str">
        <f>IF(OR(F66 = "", G66 = ""), "", IF(F66 = "Vara", IFERROR(_xlfn.SINGLE(_xlfn.XLOOKUP(G66, Vöruskrá!A:A, Vöruskrá!G:G, "")), ""), IF(F66 = "Réttur", IFERROR(_xlfn.SINGLE(_xlfn.XLOOKUP(G66, Réttabanki!A:A, Réttabanki!AU:AU, "")), ""), "")))</f>
        <v/>
      </c>
      <c r="O66" s="26" t="str">
        <f>IF(OR(F66 = "", G66 = "", I66 = ""), "", IF(F66 = "Vara", IFERROR(_xlfn.SINGLE(_xlfn.XLOOKUP(G66, Vöruskrá!A:A, Vöruskrá!I:I, "")) * I66 / 100, ""), IF(F66 = "Réttur", IFERROR(_xlfn.SINGLE(_xlfn.XLOOKUP(G66, Réttabanki!A:A, Réttabanki!AV:AV, "")) * I66 / 100, ""), "")))</f>
        <v/>
      </c>
      <c r="P66" s="26" t="str">
        <f>IF(OR(F66 = "", G66 = "", I66 = ""), "", IF(F66 = "Vara", IFERROR(_xlfn.SINGLE(_xlfn.XLOOKUP(G66, Vöruskrá!A:A, Vöruskrá!J:J, "")) * I66 / 100, ""), IF(F66 = "Réttur", IFERROR(_xlfn.SINGLE(_xlfn.XLOOKUP(G66, Réttabanki!A:A, Réttabanki!AW:AW, "")) * I66 / 100, ""), "")))</f>
        <v/>
      </c>
      <c r="Q66" s="26" t="str">
        <f>IF(OR(F66 = "", G66 = "", I66 = ""), "", IF(F66 = "Vara", IFERROR(_xlfn.SINGLE(_xlfn.XLOOKUP(G66, Vöruskrá!A:A, Vöruskrá!N:N, "")) * I66 / 100, ""), IF(F66 = "Réttur", IFERROR(_xlfn.SINGLE(_xlfn.XLOOKUP(G66, Réttabanki!A:A, Réttabanki!BB:BB, "")) * I66 / 100, ""), "")))</f>
        <v/>
      </c>
    </row>
    <row r="67" spans="1:17">
      <c r="B67" s="33" t="str">
        <f t="shared" si="4"/>
        <v>Föstudagur</v>
      </c>
      <c r="C67" s="33">
        <f t="shared" si="5"/>
        <v>25</v>
      </c>
      <c r="D67" s="34" t="s">
        <v>910</v>
      </c>
      <c r="E67" s="34" t="s">
        <v>927</v>
      </c>
      <c r="F67" s="34" t="s">
        <v>913</v>
      </c>
      <c r="G67" s="34" t="s">
        <v>993</v>
      </c>
      <c r="H67" s="34" t="s">
        <v>477</v>
      </c>
      <c r="I67" s="35">
        <v>140</v>
      </c>
      <c r="J67" s="35">
        <v>160</v>
      </c>
      <c r="K67" s="36"/>
      <c r="L67" s="26" t="str">
        <f>IF(OR(F67 = "", G67 = ""), "", IF(F67 = "Vara", IFERROR(_xlfn.SINGLE(_xlfn.XLOOKUP(G67, Vöruskrá!A:A, Vöruskrá!E:E, "")), ""), IF(F67 = "Réttur", IFERROR(_xlfn.SINGLE(_xlfn.XLOOKUP(G67, Réttabanki!A:A, Réttabanki!AS:AS, "")), ""), "")))</f>
        <v/>
      </c>
      <c r="M67" s="26" t="str">
        <f>IF(OR(F67 = "", G67 = ""), "", IF(F67 = "Vara", IFERROR(_xlfn.SINGLE(_xlfn.XLOOKUP(G67, Vöruskrá!A:A, Vöruskrá!F:F, "")), ""), IF(F67 = "Réttur", IFERROR(_xlfn.SINGLE(_xlfn.XLOOKUP(G67, Réttabanki!A:A, Réttabanki!AT:AT, "")), ""), "")))</f>
        <v/>
      </c>
      <c r="N67" s="26" t="str">
        <f>IF(OR(F67 = "", G67 = ""), "", IF(F67 = "Vara", IFERROR(_xlfn.SINGLE(_xlfn.XLOOKUP(G67, Vöruskrá!A:A, Vöruskrá!G:G, "")), ""), IF(F67 = "Réttur", IFERROR(_xlfn.SINGLE(_xlfn.XLOOKUP(G67, Réttabanki!A:A, Réttabanki!AU:AU, "")), ""), "")))</f>
        <v/>
      </c>
      <c r="O67" s="26" t="str">
        <f>IF(OR(F67 = "", G67 = "", I67 = ""), "", IF(F67 = "Vara", IFERROR(_xlfn.SINGLE(_xlfn.XLOOKUP(G67, Vöruskrá!A:A, Vöruskrá!I:I, "")) * I67 / 100, ""), IF(F67 = "Réttur", IFERROR(_xlfn.SINGLE(_xlfn.XLOOKUP(G67, Réttabanki!A:A, Réttabanki!AV:AV, "")) * I67 / 100, ""), "")))</f>
        <v/>
      </c>
      <c r="P67" s="26" t="str">
        <f>IF(OR(F67 = "", G67 = "", I67 = ""), "", IF(F67 = "Vara", IFERROR(_xlfn.SINGLE(_xlfn.XLOOKUP(G67, Vöruskrá!A:A, Vöruskrá!J:J, "")) * I67 / 100, ""), IF(F67 = "Réttur", IFERROR(_xlfn.SINGLE(_xlfn.XLOOKUP(G67, Réttabanki!A:A, Réttabanki!AW:AW, "")) * I67 / 100, ""), "")))</f>
        <v/>
      </c>
      <c r="Q67" s="26" t="str">
        <f>IF(OR(F67 = "", G67 = "", I67 = ""), "", IF(F67 = "Vara", IFERROR(_xlfn.SINGLE(_xlfn.XLOOKUP(G67, Vöruskrá!A:A, Vöruskrá!N:N, "")) * I67 / 100, ""), IF(F67 = "Réttur", IFERROR(_xlfn.SINGLE(_xlfn.XLOOKUP(G67, Réttabanki!A:A, Réttabanki!BB:BB, "")) * I67 / 100, ""), "")))</f>
        <v/>
      </c>
    </row>
    <row r="68" spans="1:17">
      <c r="B68" s="33" t="str">
        <f t="shared" si="4"/>
        <v>Föstudagur</v>
      </c>
      <c r="C68" s="33">
        <f t="shared" si="5"/>
        <v>25</v>
      </c>
      <c r="D68" s="34" t="s">
        <v>910</v>
      </c>
      <c r="E68" s="34" t="s">
        <v>933</v>
      </c>
      <c r="F68" s="34"/>
      <c r="G68" s="34"/>
      <c r="H68" s="34" t="s">
        <v>994</v>
      </c>
      <c r="I68" s="35"/>
      <c r="J68" s="35"/>
      <c r="K68" s="36"/>
      <c r="L68" s="26" t="str">
        <f>IF(OR(F68 = "", G68 = ""), "", IF(F68 = "Vara", IFERROR(_xlfn.SINGLE(_xlfn.XLOOKUP(G68, Vöruskrá!A:A, Vöruskrá!E:E, "")), ""), IF(F68 = "Réttur", IFERROR(_xlfn.SINGLE(_xlfn.XLOOKUP(G68, Réttabanki!A:A, Réttabanki!AS:AS, "")), ""), "")))</f>
        <v/>
      </c>
      <c r="M68" s="26" t="str">
        <f>IF(OR(F68 = "", G68 = ""), "", IF(F68 = "Vara", IFERROR(_xlfn.SINGLE(_xlfn.XLOOKUP(G68, Vöruskrá!A:A, Vöruskrá!F:F, "")), ""), IF(F68 = "Réttur", IFERROR(_xlfn.SINGLE(_xlfn.XLOOKUP(G68, Réttabanki!A:A, Réttabanki!AT:AT, "")), ""), "")))</f>
        <v/>
      </c>
      <c r="N68" s="26" t="str">
        <f>IF(OR(F68 = "", G68 = ""), "", IF(F68 = "Vara", IFERROR(_xlfn.SINGLE(_xlfn.XLOOKUP(G68, Vöruskrá!A:A, Vöruskrá!G:G, "")), ""), IF(F68 = "Réttur", IFERROR(_xlfn.SINGLE(_xlfn.XLOOKUP(G68, Réttabanki!A:A, Réttabanki!AU:AU, "")), ""), "")))</f>
        <v/>
      </c>
      <c r="O68" s="26" t="str">
        <f>IF(OR(F68 = "", G68 = "", I68 = ""), "", IF(F68 = "Vara", IFERROR(_xlfn.SINGLE(_xlfn.XLOOKUP(G68, Vöruskrá!A:A, Vöruskrá!I:I, "")) * I68 / 100, ""), IF(F68 = "Réttur", IFERROR(_xlfn.SINGLE(_xlfn.XLOOKUP(G68, Réttabanki!A:A, Réttabanki!AV:AV, "")) * I68 / 100, ""), "")))</f>
        <v/>
      </c>
      <c r="P68" s="26" t="str">
        <f>IF(OR(F68 = "", G68 = "", I68 = ""), "", IF(F68 = "Vara", IFERROR(_xlfn.SINGLE(_xlfn.XLOOKUP(G68, Vöruskrá!A:A, Vöruskrá!J:J, "")) * I68 / 100, ""), IF(F68 = "Réttur", IFERROR(_xlfn.SINGLE(_xlfn.XLOOKUP(G68, Réttabanki!A:A, Réttabanki!AW:AW, "")) * I68 / 100, ""), "")))</f>
        <v/>
      </c>
      <c r="Q68" s="26" t="str">
        <f>IF(OR(F68 = "", G68 = "", I68 = ""), "", IF(F68 = "Vara", IFERROR(_xlfn.SINGLE(_xlfn.XLOOKUP(G68, Vöruskrá!A:A, Vöruskrá!N:N, "")) * I68 / 100, ""), IF(F68 = "Réttur", IFERROR(_xlfn.SINGLE(_xlfn.XLOOKUP(G68, Réttabanki!A:A, Réttabanki!BB:BB, "")) * I68 / 100, ""), "")))</f>
        <v/>
      </c>
    </row>
    <row r="69" spans="1:17">
      <c r="B69" s="33" t="str">
        <f t="shared" si="4"/>
        <v>Föstudagur</v>
      </c>
      <c r="C69" s="33">
        <f t="shared" si="5"/>
        <v>25</v>
      </c>
      <c r="D69" s="34" t="s">
        <v>910</v>
      </c>
      <c r="E69" s="34" t="s">
        <v>941</v>
      </c>
      <c r="F69" s="34"/>
      <c r="G69" s="34"/>
      <c r="H69" s="34" t="s">
        <v>995</v>
      </c>
      <c r="I69" s="35"/>
      <c r="J69" s="35"/>
      <c r="K69" s="36"/>
      <c r="L69" s="26" t="str">
        <f>IF(OR(F69 = "", G69 = ""), "", IF(F69 = "Vara", IFERROR(_xlfn.SINGLE(_xlfn.XLOOKUP(G69, Vöruskrá!A:A, Vöruskrá!E:E, "")), ""), IF(F69 = "Réttur", IFERROR(_xlfn.SINGLE(_xlfn.XLOOKUP(G69, Réttabanki!A:A, Réttabanki!AS:AS, "")), ""), "")))</f>
        <v/>
      </c>
      <c r="M69" s="26" t="str">
        <f>IF(OR(F69 = "", G69 = ""), "", IF(F69 = "Vara", IFERROR(_xlfn.SINGLE(_xlfn.XLOOKUP(G69, Vöruskrá!A:A, Vöruskrá!F:F, "")), ""), IF(F69 = "Réttur", IFERROR(_xlfn.SINGLE(_xlfn.XLOOKUP(G69, Réttabanki!A:A, Réttabanki!AT:AT, "")), ""), "")))</f>
        <v/>
      </c>
      <c r="N69" s="26" t="str">
        <f>IF(OR(F69 = "", G69 = ""), "", IF(F69 = "Vara", IFERROR(_xlfn.SINGLE(_xlfn.XLOOKUP(G69, Vöruskrá!A:A, Vöruskrá!G:G, "")), ""), IF(F69 = "Réttur", IFERROR(_xlfn.SINGLE(_xlfn.XLOOKUP(G69, Réttabanki!A:A, Réttabanki!AU:AU, "")), ""), "")))</f>
        <v/>
      </c>
      <c r="O69" s="26" t="str">
        <f>IF(OR(F69 = "", G69 = "", I69 = ""), "", IF(F69 = "Vara", IFERROR(_xlfn.SINGLE(_xlfn.XLOOKUP(G69, Vöruskrá!A:A, Vöruskrá!I:I, "")) * I69 / 100, ""), IF(F69 = "Réttur", IFERROR(_xlfn.SINGLE(_xlfn.XLOOKUP(G69, Réttabanki!A:A, Réttabanki!AV:AV, "")) * I69 / 100, ""), "")))</f>
        <v/>
      </c>
      <c r="P69" s="26" t="str">
        <f>IF(OR(F69 = "", G69 = "", I69 = ""), "", IF(F69 = "Vara", IFERROR(_xlfn.SINGLE(_xlfn.XLOOKUP(G69, Vöruskrá!A:A, Vöruskrá!J:J, "")) * I69 / 100, ""), IF(F69 = "Réttur", IFERROR(_xlfn.SINGLE(_xlfn.XLOOKUP(G69, Réttabanki!A:A, Réttabanki!AW:AW, "")) * I69 / 100, ""), "")))</f>
        <v/>
      </c>
      <c r="Q69" s="26" t="str">
        <f>IF(OR(F69 = "", G69 = "", I69 = ""), "", IF(F69 = "Vara", IFERROR(_xlfn.SINGLE(_xlfn.XLOOKUP(G69, Vöruskrá!A:A, Vöruskrá!N:N, "")) * I69 / 100, ""), IF(F69 = "Réttur", IFERROR(_xlfn.SINGLE(_xlfn.XLOOKUP(G69, Réttabanki!A:A, Réttabanki!BB:BB, "")) * I69 / 100, ""), "")))</f>
        <v/>
      </c>
    </row>
    <row r="70" spans="1:17">
      <c r="B70" s="33" t="str">
        <f t="shared" si="4"/>
        <v>Föstudagur</v>
      </c>
      <c r="C70" s="33">
        <f t="shared" si="5"/>
        <v>25</v>
      </c>
      <c r="D70" s="34" t="s">
        <v>910</v>
      </c>
      <c r="E70" s="34" t="s">
        <v>941</v>
      </c>
      <c r="F70" s="34" t="s">
        <v>913</v>
      </c>
      <c r="G70" s="34" t="s">
        <v>996</v>
      </c>
      <c r="H70" s="34" t="s">
        <v>731</v>
      </c>
      <c r="I70" s="35">
        <v>60</v>
      </c>
      <c r="J70" s="35">
        <v>80</v>
      </c>
      <c r="K70" s="36"/>
      <c r="L70" s="26" t="str">
        <f>IF(OR(F70 = "", G70 = ""), "", IF(F70 = "Vara", IFERROR(_xlfn.SINGLE(_xlfn.XLOOKUP(G70, Vöruskrá!A:A, Vöruskrá!E:E, "")), ""), IF(F70 = "Réttur", IFERROR(_xlfn.SINGLE(_xlfn.XLOOKUP(G70, Réttabanki!A:A, Réttabanki!AS:AS, "")), ""), "")))</f>
        <v/>
      </c>
      <c r="M70" s="26" t="str">
        <f>IF(OR(F70 = "", G70 = ""), "", IF(F70 = "Vara", IFERROR(_xlfn.SINGLE(_xlfn.XLOOKUP(G70, Vöruskrá!A:A, Vöruskrá!F:F, "")), ""), IF(F70 = "Réttur", IFERROR(_xlfn.SINGLE(_xlfn.XLOOKUP(G70, Réttabanki!A:A, Réttabanki!AT:AT, "")), ""), "")))</f>
        <v/>
      </c>
      <c r="N70" s="26" t="str">
        <f>IF(OR(F70 = "", G70 = ""), "", IF(F70 = "Vara", IFERROR(_xlfn.SINGLE(_xlfn.XLOOKUP(G70, Vöruskrá!A:A, Vöruskrá!G:G, "")), ""), IF(F70 = "Réttur", IFERROR(_xlfn.SINGLE(_xlfn.XLOOKUP(G70, Réttabanki!A:A, Réttabanki!AU:AU, "")), ""), "")))</f>
        <v/>
      </c>
      <c r="O70" s="26" t="str">
        <f>IF(OR(F70 = "", G70 = "", I70 = ""), "", IF(F70 = "Vara", IFERROR(_xlfn.SINGLE(_xlfn.XLOOKUP(G70, Vöruskrá!A:A, Vöruskrá!I:I, "")) * I70 / 100, ""), IF(F70 = "Réttur", IFERROR(_xlfn.SINGLE(_xlfn.XLOOKUP(G70, Réttabanki!A:A, Réttabanki!AV:AV, "")) * I70 / 100, ""), "")))</f>
        <v/>
      </c>
      <c r="P70" s="26" t="str">
        <f>IF(OR(F70 = "", G70 = "", I70 = ""), "", IF(F70 = "Vara", IFERROR(_xlfn.SINGLE(_xlfn.XLOOKUP(G70, Vöruskrá!A:A, Vöruskrá!J:J, "")) * I70 / 100, ""), IF(F70 = "Réttur", IFERROR(_xlfn.SINGLE(_xlfn.XLOOKUP(G70, Réttabanki!A:A, Réttabanki!AW:AW, "")) * I70 / 100, ""), "")))</f>
        <v/>
      </c>
      <c r="Q70" s="26" t="str">
        <f>IF(OR(F70 = "", G70 = "", I70 = ""), "", IF(F70 = "Vara", IFERROR(_xlfn.SINGLE(_xlfn.XLOOKUP(G70, Vöruskrá!A:A, Vöruskrá!N:N, "")) * I70 / 100, ""), IF(F70 = "Réttur", IFERROR(_xlfn.SINGLE(_xlfn.XLOOKUP(G70, Réttabanki!A:A, Réttabanki!BB:BB, "")) * I70 / 100, ""), "")))</f>
        <v/>
      </c>
    </row>
    <row r="71" spans="1:17">
      <c r="B71" s="33" t="str">
        <f t="shared" si="4"/>
        <v>Föstudagur</v>
      </c>
      <c r="C71" s="33">
        <f t="shared" si="5"/>
        <v>25</v>
      </c>
      <c r="D71" s="34" t="s">
        <v>910</v>
      </c>
      <c r="E71" s="34" t="s">
        <v>941</v>
      </c>
      <c r="F71" s="34" t="s">
        <v>913</v>
      </c>
      <c r="G71" s="34" t="s">
        <v>997</v>
      </c>
      <c r="H71" s="34" t="s">
        <v>998</v>
      </c>
      <c r="I71" s="35">
        <v>20</v>
      </c>
      <c r="J71" s="35">
        <v>30</v>
      </c>
      <c r="K71" s="36"/>
      <c r="L71" s="26" t="str">
        <f>IF(OR(F71 = "", G71 = ""), "", IF(F71 = "Vara", IFERROR(_xlfn.SINGLE(_xlfn.XLOOKUP(G71, Vöruskrá!A:A, Vöruskrá!E:E, "")), ""), IF(F71 = "Réttur", IFERROR(_xlfn.SINGLE(_xlfn.XLOOKUP(G71, Réttabanki!A:A, Réttabanki!AS:AS, "")), ""), "")))</f>
        <v/>
      </c>
      <c r="M71" s="26" t="str">
        <f>IF(OR(F71 = "", G71 = ""), "", IF(F71 = "Vara", IFERROR(_xlfn.SINGLE(_xlfn.XLOOKUP(G71, Vöruskrá!A:A, Vöruskrá!F:F, "")), ""), IF(F71 = "Réttur", IFERROR(_xlfn.SINGLE(_xlfn.XLOOKUP(G71, Réttabanki!A:A, Réttabanki!AT:AT, "")), ""), "")))</f>
        <v/>
      </c>
      <c r="N71" s="26" t="str">
        <f>IF(OR(F71 = "", G71 = ""), "", IF(F71 = "Vara", IFERROR(_xlfn.SINGLE(_xlfn.XLOOKUP(G71, Vöruskrá!A:A, Vöruskrá!G:G, "")), ""), IF(F71 = "Réttur", IFERROR(_xlfn.SINGLE(_xlfn.XLOOKUP(G71, Réttabanki!A:A, Réttabanki!AU:AU, "")), ""), "")))</f>
        <v/>
      </c>
      <c r="O71" s="26" t="str">
        <f>IF(OR(F71 = "", G71 = "", I71 = ""), "", IF(F71 = "Vara", IFERROR(_xlfn.SINGLE(_xlfn.XLOOKUP(G71, Vöruskrá!A:A, Vöruskrá!I:I, "")) * I71 / 100, ""), IF(F71 = "Réttur", IFERROR(_xlfn.SINGLE(_xlfn.XLOOKUP(G71, Réttabanki!A:A, Réttabanki!AV:AV, "")) * I71 / 100, ""), "")))</f>
        <v/>
      </c>
      <c r="P71" s="26" t="str">
        <f>IF(OR(F71 = "", G71 = "", I71 = ""), "", IF(F71 = "Vara", IFERROR(_xlfn.SINGLE(_xlfn.XLOOKUP(G71, Vöruskrá!A:A, Vöruskrá!J:J, "")) * I71 / 100, ""), IF(F71 = "Réttur", IFERROR(_xlfn.SINGLE(_xlfn.XLOOKUP(G71, Réttabanki!A:A, Réttabanki!AW:AW, "")) * I71 / 100, ""), "")))</f>
        <v/>
      </c>
      <c r="Q71" s="26" t="str">
        <f>IF(OR(F71 = "", G71 = "", I71 = ""), "", IF(F71 = "Vara", IFERROR(_xlfn.SINGLE(_xlfn.XLOOKUP(G71, Vöruskrá!A:A, Vöruskrá!N:N, "")) * I71 / 100, ""), IF(F71 = "Réttur", IFERROR(_xlfn.SINGLE(_xlfn.XLOOKUP(G71, Réttabanki!A:A, Réttabanki!BB:BB, "")) * I71 / 100, ""), "")))</f>
        <v/>
      </c>
    </row>
    <row r="72" spans="1:17">
      <c r="A72" s="32">
        <v>46195</v>
      </c>
      <c r="B72" s="33" t="str">
        <f>IF(A72&lt;&gt;"",CHOOSE(WEEKDAY(A72,2),"Mánudagur","Þriðjudagur","Miðvikudagur","Fimmtudagur","Föstudagur","Laugardagur","Sunnudagur"),IF(#REF!&lt;&gt;"",#REF!,""))</f>
        <v>Mánudagur</v>
      </c>
      <c r="C72" s="33">
        <f>IF(A72&lt;&gt;"",WEEKNUM(A72,21),IF(#REF!&lt;&gt;"",#REF!,""))</f>
        <v>26</v>
      </c>
      <c r="D72" s="34" t="s">
        <v>910</v>
      </c>
      <c r="E72" s="34" t="s">
        <v>921</v>
      </c>
      <c r="F72" s="34"/>
      <c r="G72" s="34"/>
      <c r="H72" s="34" t="s">
        <v>999</v>
      </c>
      <c r="I72" s="35"/>
      <c r="J72" s="35"/>
      <c r="K72" s="36"/>
      <c r="L72" s="26" t="str">
        <f>IF(OR(F72 = "", G72 = ""), "", IF(F72 = "Vara", IFERROR(_xlfn.SINGLE(_xlfn.XLOOKUP(G72, Vöruskrá!A:A, Vöruskrá!E:E, "")), ""), IF(F72 = "Réttur", IFERROR(_xlfn.SINGLE(_xlfn.XLOOKUP(G72, Réttabanki!A:A, Réttabanki!AS:AS, "")), ""), "")))</f>
        <v/>
      </c>
      <c r="M72" s="26" t="str">
        <f>IF(OR(F72 = "", G72 = ""), "", IF(F72 = "Vara", IFERROR(_xlfn.SINGLE(_xlfn.XLOOKUP(G72, Vöruskrá!A:A, Vöruskrá!F:F, "")), ""), IF(F72 = "Réttur", IFERROR(_xlfn.SINGLE(_xlfn.XLOOKUP(G72, Réttabanki!A:A, Réttabanki!AT:AT, "")), ""), "")))</f>
        <v/>
      </c>
      <c r="N72" s="26" t="str">
        <f>IF(OR(F72 = "", G72 = ""), "", IF(F72 = "Vara", IFERROR(_xlfn.SINGLE(_xlfn.XLOOKUP(G72, Vöruskrá!A:A, Vöruskrá!G:G, "")), ""), IF(F72 = "Réttur", IFERROR(_xlfn.SINGLE(_xlfn.XLOOKUP(G72, Réttabanki!A:A, Réttabanki!AU:AU, "")), ""), "")))</f>
        <v/>
      </c>
      <c r="O72" s="26" t="str">
        <f>IF(OR(F72 = "", G72 = "", I72 = ""), "", IF(F72 = "Vara", IFERROR(_xlfn.SINGLE(_xlfn.XLOOKUP(G72, Vöruskrá!A:A, Vöruskrá!I:I, "")) * I72 / 100, ""), IF(F72 = "Réttur", IFERROR(_xlfn.SINGLE(_xlfn.XLOOKUP(G72, Réttabanki!A:A, Réttabanki!AV:AV, "")) * I72 / 100, ""), "")))</f>
        <v/>
      </c>
      <c r="P72" s="26" t="str">
        <f>IF(OR(F72 = "", G72 = "", I72 = ""), "", IF(F72 = "Vara", IFERROR(_xlfn.SINGLE(_xlfn.XLOOKUP(G72, Vöruskrá!A:A, Vöruskrá!J:J, "")) * I72 / 100, ""), IF(F72 = "Réttur", IFERROR(_xlfn.SINGLE(_xlfn.XLOOKUP(G72, Réttabanki!A:A, Réttabanki!AW:AW, "")) * I72 / 100, ""), "")))</f>
        <v/>
      </c>
      <c r="Q72" s="26" t="str">
        <f>IF(OR(F72 = "", G72 = "", I72 = ""), "", IF(F72 = "Vara", IFERROR(_xlfn.SINGLE(_xlfn.XLOOKUP(G72, Vöruskrá!A:A, Vöruskrá!N:N, "")) * I72 / 100, ""), IF(F72 = "Réttur", IFERROR(_xlfn.SINGLE(_xlfn.XLOOKUP(G72, Réttabanki!A:A, Réttabanki!BB:BB, "")) * I72 / 100, ""), "")))</f>
        <v/>
      </c>
    </row>
    <row r="73" spans="1:17">
      <c r="B73" s="33" t="str">
        <f>IF(A73&lt;&gt;"",CHOOSE(WEEKDAY(A73,2),"Mánudagur","Þriðjudagur","Miðvikudagur","Fimmtudagur","Föstudagur","Laugardagur","Sunnudagur"),IF(B72&lt;&gt;"",B72,""))</f>
        <v>Mánudagur</v>
      </c>
      <c r="C73" s="33">
        <f>IF(A73&lt;&gt;"",WEEKNUM(A73,21),IF(C72&lt;&gt;"",C72,""))</f>
        <v>26</v>
      </c>
      <c r="D73" s="34" t="s">
        <v>910</v>
      </c>
      <c r="E73" s="34" t="s">
        <v>921</v>
      </c>
      <c r="F73" s="34" t="s">
        <v>913</v>
      </c>
      <c r="G73" s="34" t="s">
        <v>1000</v>
      </c>
      <c r="H73" s="34" t="s">
        <v>763</v>
      </c>
      <c r="I73" s="35">
        <v>130</v>
      </c>
      <c r="J73" s="35">
        <v>160</v>
      </c>
      <c r="K73" s="36"/>
      <c r="L73" s="26" t="str">
        <f>IF(OR(F73 = "", G73 = ""), "", IF(F73 = "Vara", IFERROR(_xlfn.SINGLE(_xlfn.XLOOKUP(G73, Vöruskrá!A:A, Vöruskrá!E:E, "")), ""), IF(F73 = "Réttur", IFERROR(_xlfn.SINGLE(_xlfn.XLOOKUP(G73, Réttabanki!A:A, Réttabanki!AS:AS, "")), ""), "")))</f>
        <v/>
      </c>
      <c r="M73" s="26" t="str">
        <f>IF(OR(F73 = "", G73 = ""), "", IF(F73 = "Vara", IFERROR(_xlfn.SINGLE(_xlfn.XLOOKUP(G73, Vöruskrá!A:A, Vöruskrá!F:F, "")), ""), IF(F73 = "Réttur", IFERROR(_xlfn.SINGLE(_xlfn.XLOOKUP(G73, Réttabanki!A:A, Réttabanki!AT:AT, "")), ""), "")))</f>
        <v/>
      </c>
      <c r="N73" s="26" t="str">
        <f>IF(OR(F73 = "", G73 = ""), "", IF(F73 = "Vara", IFERROR(_xlfn.SINGLE(_xlfn.XLOOKUP(G73, Vöruskrá!A:A, Vöruskrá!G:G, "")), ""), IF(F73 = "Réttur", IFERROR(_xlfn.SINGLE(_xlfn.XLOOKUP(G73, Réttabanki!A:A, Réttabanki!AU:AU, "")), ""), "")))</f>
        <v/>
      </c>
      <c r="O73" s="26" t="str">
        <f>IF(OR(F73 = "", G73 = "", I73 = ""), "", IF(F73 = "Vara", IFERROR(_xlfn.SINGLE(_xlfn.XLOOKUP(G73, Vöruskrá!A:A, Vöruskrá!I:I, "")) * I73 / 100, ""), IF(F73 = "Réttur", IFERROR(_xlfn.SINGLE(_xlfn.XLOOKUP(G73, Réttabanki!A:A, Réttabanki!AV:AV, "")) * I73 / 100, ""), "")))</f>
        <v/>
      </c>
      <c r="P73" s="26" t="str">
        <f>IF(OR(F73 = "", G73 = "", I73 = ""), "", IF(F73 = "Vara", IFERROR(_xlfn.SINGLE(_xlfn.XLOOKUP(G73, Vöruskrá!A:A, Vöruskrá!J:J, "")) * I73 / 100, ""), IF(F73 = "Réttur", IFERROR(_xlfn.SINGLE(_xlfn.XLOOKUP(G73, Réttabanki!A:A, Réttabanki!AW:AW, "")) * I73 / 100, ""), "")))</f>
        <v/>
      </c>
      <c r="Q73" s="26" t="str">
        <f>IF(OR(F73 = "", G73 = "", I73 = ""), "", IF(F73 = "Vara", IFERROR(_xlfn.SINGLE(_xlfn.XLOOKUP(G73, Vöruskrá!A:A, Vöruskrá!N:N, "")) * I73 / 100, ""), IF(F73 = "Réttur", IFERROR(_xlfn.SINGLE(_xlfn.XLOOKUP(G73, Réttabanki!A:A, Réttabanki!BB:BB, "")) * I73 / 100, ""), "")))</f>
        <v/>
      </c>
    </row>
    <row r="74" spans="1:17">
      <c r="B74" s="33" t="str">
        <f>IF(A74&lt;&gt;"",CHOOSE(WEEKDAY(A74,2),"Mánudagur","Þriðjudagur","Miðvikudagur","Fimmtudagur","Föstudagur","Laugardagur","Sunnudagur"),IF(B73&lt;&gt;"",B73,""))</f>
        <v>Mánudagur</v>
      </c>
      <c r="C74" s="33">
        <f>IF(A74&lt;&gt;"",WEEKNUM(A74,21),IF(C73&lt;&gt;"",C73,""))</f>
        <v>26</v>
      </c>
      <c r="D74" s="34" t="s">
        <v>910</v>
      </c>
      <c r="E74" s="34" t="s">
        <v>921</v>
      </c>
      <c r="F74" s="34" t="s">
        <v>913</v>
      </c>
      <c r="G74" s="34" t="s">
        <v>1001</v>
      </c>
      <c r="H74" s="34" t="s">
        <v>1002</v>
      </c>
      <c r="I74" s="35">
        <v>20</v>
      </c>
      <c r="J74" s="35">
        <v>30</v>
      </c>
      <c r="K74" s="36"/>
      <c r="L74" s="26" t="str">
        <f>IF(OR(F74 = "", G74 = ""), "", IF(F74 = "Vara", IFERROR(_xlfn.SINGLE(_xlfn.XLOOKUP(G74, Vöruskrá!A:A, Vöruskrá!E:E, "")), ""), IF(F74 = "Réttur", IFERROR(_xlfn.SINGLE(_xlfn.XLOOKUP(G74, Réttabanki!A:A, Réttabanki!AS:AS, "")), ""), "")))</f>
        <v/>
      </c>
      <c r="M74" s="26" t="str">
        <f>IF(OR(F74 = "", G74 = ""), "", IF(F74 = "Vara", IFERROR(_xlfn.SINGLE(_xlfn.XLOOKUP(G74, Vöruskrá!A:A, Vöruskrá!F:F, "")), ""), IF(F74 = "Réttur", IFERROR(_xlfn.SINGLE(_xlfn.XLOOKUP(G74, Réttabanki!A:A, Réttabanki!AT:AT, "")), ""), "")))</f>
        <v/>
      </c>
      <c r="N74" s="26" t="str">
        <f>IF(OR(F74 = "", G74 = ""), "", IF(F74 = "Vara", IFERROR(_xlfn.SINGLE(_xlfn.XLOOKUP(G74, Vöruskrá!A:A, Vöruskrá!G:G, "")), ""), IF(F74 = "Réttur", IFERROR(_xlfn.SINGLE(_xlfn.XLOOKUP(G74, Réttabanki!A:A, Réttabanki!AU:AU, "")), ""), "")))</f>
        <v/>
      </c>
      <c r="O74" s="26" t="str">
        <f>IF(OR(F74 = "", G74 = "", I74 = ""), "", IF(F74 = "Vara", IFERROR(_xlfn.SINGLE(_xlfn.XLOOKUP(G74, Vöruskrá!A:A, Vöruskrá!I:I, "")) * I74 / 100, ""), IF(F74 = "Réttur", IFERROR(_xlfn.SINGLE(_xlfn.XLOOKUP(G74, Réttabanki!A:A, Réttabanki!AV:AV, "")) * I74 / 100, ""), "")))</f>
        <v/>
      </c>
      <c r="P74" s="26" t="str">
        <f>IF(OR(F74 = "", G74 = "", I74 = ""), "", IF(F74 = "Vara", IFERROR(_xlfn.SINGLE(_xlfn.XLOOKUP(G74, Vöruskrá!A:A, Vöruskrá!J:J, "")) * I74 / 100, ""), IF(F74 = "Réttur", IFERROR(_xlfn.SINGLE(_xlfn.XLOOKUP(G74, Réttabanki!A:A, Réttabanki!AW:AW, "")) * I74 / 100, ""), "")))</f>
        <v/>
      </c>
      <c r="Q74" s="26" t="str">
        <f>IF(OR(F74 = "", G74 = "", I74 = ""), "", IF(F74 = "Vara", IFERROR(_xlfn.SINGLE(_xlfn.XLOOKUP(G74, Vöruskrá!A:A, Vöruskrá!N:N, "")) * I74 / 100, ""), IF(F74 = "Réttur", IFERROR(_xlfn.SINGLE(_xlfn.XLOOKUP(G74, Réttabanki!A:A, Réttabanki!BB:BB, "")) * I74 / 100, ""), "")))</f>
        <v/>
      </c>
    </row>
    <row r="75" spans="1:17">
      <c r="B75" s="33" t="str">
        <f>IF(A75&lt;&gt;"",CHOOSE(WEEKDAY(A75,2),"Mánudagur","Þriðjudagur","Miðvikudagur","Fimmtudagur","Föstudagur","Laugardagur","Sunnudagur"),IF(B74&lt;&gt;"",B74,""))</f>
        <v>Mánudagur</v>
      </c>
      <c r="C75" s="33">
        <f>IF(A75&lt;&gt;"",WEEKNUM(A75,21),IF(C74&lt;&gt;"",C74,""))</f>
        <v>26</v>
      </c>
      <c r="D75" s="34" t="s">
        <v>910</v>
      </c>
      <c r="E75" s="34" t="s">
        <v>921</v>
      </c>
      <c r="F75" s="34" t="s">
        <v>913</v>
      </c>
      <c r="G75" s="34" t="s">
        <v>739</v>
      </c>
      <c r="H75" s="34" t="s">
        <v>1003</v>
      </c>
      <c r="I75" s="35">
        <v>100</v>
      </c>
      <c r="J75" s="35">
        <v>130</v>
      </c>
      <c r="K75" s="36"/>
      <c r="L75" s="26" t="str">
        <f>IF(OR(F75 = "", G75 = ""), "", IF(F75 = "Vara", IFERROR(_xlfn.SINGLE(_xlfn.XLOOKUP(G75, Vöruskrá!A:A, Vöruskrá!E:E, "")), ""), IF(F75 = "Réttur", IFERROR(_xlfn.SINGLE(_xlfn.XLOOKUP(G75, Réttabanki!A:A, Réttabanki!AS:AS, "")), ""), "")))</f>
        <v>Kartöflur</v>
      </c>
      <c r="M75" s="26" t="str">
        <f>IF(OR(F75 = "", G75 = ""), "", IF(F75 = "Vara", IFERROR(_xlfn.SINGLE(_xlfn.XLOOKUP(G75, Vöruskrá!A:A, Vöruskrá!F:F, "")), ""), IF(F75 = "Réttur", IFERROR(_xlfn.SINGLE(_xlfn.XLOOKUP(G75, Réttabanki!A:A, Réttabanki!AT:AT, "")), ""), "")))</f>
        <v>Engir skráðir</v>
      </c>
      <c r="N75" s="26">
        <f>IF(OR(F75 = "", G75 = ""), "", IF(F75 = "Vara", IFERROR(_xlfn.SINGLE(_xlfn.XLOOKUP(G75, Vöruskrá!A:A, Vöruskrá!G:G, "")), ""), IF(F75 = "Réttur", IFERROR(_xlfn.SINGLE(_xlfn.XLOOKUP(G75, Réttabanki!A:A, Réttabanki!AU:AU, "")), ""), "")))</f>
        <v>0</v>
      </c>
      <c r="O75" s="26">
        <f>IF(OR(F75 = "", G75 = "", I75 = ""), "", IF(F75 = "Vara", IFERROR(_xlfn.SINGLE(_xlfn.XLOOKUP(G75, Vöruskrá!A:A, Vöruskrá!I:I, "")) * I75 / 100, ""), IF(F75 = "Réttur", IFERROR(_xlfn.SINGLE(_xlfn.XLOOKUP(G75, Réttabanki!A:A, Réttabanki!AV:AV, "")) * I75 / 100, ""), "")))</f>
        <v>77</v>
      </c>
      <c r="P75" s="26">
        <f>IF(OR(F75 = "", G75 = "", I75 = ""), "", IF(F75 = "Vara", IFERROR(_xlfn.SINGLE(_xlfn.XLOOKUP(G75, Vöruskrá!A:A, Vöruskrá!J:J, "")) * I75 / 100, ""), IF(F75 = "Réttur", IFERROR(_xlfn.SINGLE(_xlfn.XLOOKUP(G75, Réttabanki!A:A, Réttabanki!AW:AW, "")) * I75 / 100, ""), "")))</f>
        <v>0.1</v>
      </c>
      <c r="Q75" s="26">
        <f>IF(OR(F75 = "", G75 = "", I75 = ""), "", IF(F75 = "Vara", IFERROR(_xlfn.SINGLE(_xlfn.XLOOKUP(G75, Vöruskrá!A:A, Vöruskrá!N:N, "")) * I75 / 100, ""), IF(F75 = "Réttur", IFERROR(_xlfn.SINGLE(_xlfn.XLOOKUP(G75, Réttabanki!A:A, Réttabanki!BB:BB, "")) * I75 / 100, ""), "")))</f>
        <v>2</v>
      </c>
    </row>
    <row r="76" spans="1:17">
      <c r="B76" s="33" t="str">
        <f>IF(A76&lt;&gt;"",CHOOSE(WEEKDAY(A76,2),"Mánudagur","Þriðjudagur","Miðvikudagur","Fimmtudagur","Föstudagur","Laugardagur","Sunnudagur"),IF(B75&lt;&gt;"",B75,""))</f>
        <v>Mánudagur</v>
      </c>
      <c r="C76" s="33">
        <f>IF(A76&lt;&gt;"",WEEKNUM(A76,21),IF(C75&lt;&gt;"",C75,""))</f>
        <v>26</v>
      </c>
      <c r="D76" s="34" t="s">
        <v>910</v>
      </c>
      <c r="E76" s="34" t="s">
        <v>927</v>
      </c>
      <c r="F76" s="34"/>
      <c r="G76" s="34"/>
      <c r="H76" s="34" t="s">
        <v>1004</v>
      </c>
      <c r="I76" s="35"/>
      <c r="J76" s="35"/>
      <c r="K76" s="36"/>
      <c r="L76" s="26" t="str">
        <f>IF(OR(F76 = "", G76 = ""), "", IF(F76 = "Vara", IFERROR(_xlfn.SINGLE(_xlfn.XLOOKUP(G76, Vöruskrá!A:A, Vöruskrá!E:E, "")), ""), IF(F76 = "Réttur", IFERROR(_xlfn.SINGLE(_xlfn.XLOOKUP(G76, Réttabanki!A:A, Réttabanki!AS:AS, "")), ""), "")))</f>
        <v/>
      </c>
      <c r="M76" s="26" t="str">
        <f>IF(OR(F76 = "", G76 = ""), "", IF(F76 = "Vara", IFERROR(_xlfn.SINGLE(_xlfn.XLOOKUP(G76, Vöruskrá!A:A, Vöruskrá!F:F, "")), ""), IF(F76 = "Réttur", IFERROR(_xlfn.SINGLE(_xlfn.XLOOKUP(G76, Réttabanki!A:A, Réttabanki!AT:AT, "")), ""), "")))</f>
        <v/>
      </c>
      <c r="N76" s="26" t="str">
        <f>IF(OR(F76 = "", G76 = ""), "", IF(F76 = "Vara", IFERROR(_xlfn.SINGLE(_xlfn.XLOOKUP(G76, Vöruskrá!A:A, Vöruskrá!G:G, "")), ""), IF(F76 = "Réttur", IFERROR(_xlfn.SINGLE(_xlfn.XLOOKUP(G76, Réttabanki!A:A, Réttabanki!AU:AU, "")), ""), "")))</f>
        <v/>
      </c>
      <c r="O76" s="26" t="str">
        <f>IF(OR(F76 = "", G76 = "", I76 = ""), "", IF(F76 = "Vara", IFERROR(_xlfn.SINGLE(_xlfn.XLOOKUP(G76, Vöruskrá!A:A, Vöruskrá!I:I, "")) * I76 / 100, ""), IF(F76 = "Réttur", IFERROR(_xlfn.SINGLE(_xlfn.XLOOKUP(G76, Réttabanki!A:A, Réttabanki!AV:AV, "")) * I76 / 100, ""), "")))</f>
        <v/>
      </c>
      <c r="P76" s="26" t="str">
        <f>IF(OR(F76 = "", G76 = "", I76 = ""), "", IF(F76 = "Vara", IFERROR(_xlfn.SINGLE(_xlfn.XLOOKUP(G76, Vöruskrá!A:A, Vöruskrá!J:J, "")) * I76 / 100, ""), IF(F76 = "Réttur", IFERROR(_xlfn.SINGLE(_xlfn.XLOOKUP(G76, Réttabanki!A:A, Réttabanki!AW:AW, "")) * I76 / 100, ""), "")))</f>
        <v/>
      </c>
      <c r="Q76" s="26" t="str">
        <f>IF(OR(F76 = "", G76 = "", I76 = ""), "", IF(F76 = "Vara", IFERROR(_xlfn.SINGLE(_xlfn.XLOOKUP(G76, Vöruskrá!A:A, Vöruskrá!N:N, "")) * I76 / 100, ""), IF(F76 = "Réttur", IFERROR(_xlfn.SINGLE(_xlfn.XLOOKUP(G76, Réttabanki!A:A, Réttabanki!BB:BB, "")) * I76 / 100, ""), "")))</f>
        <v/>
      </c>
    </row>
    <row r="77" spans="1:17">
      <c r="B77" s="33" t="str">
        <f>IF(A77&lt;&gt;"",CHOOSE(WEEKDAY(A77,2),"Mánudagur","Þriðjudagur","Miðvikudagur","Fimmtudagur","Föstudagur","Laugardagur","Sunnudagur"),IF(B76&lt;&gt;"",B76,""))</f>
        <v>Mánudagur</v>
      </c>
      <c r="C77" s="33">
        <f>IF(A77&lt;&gt;"",WEEKNUM(A77,21),IF(C76&lt;&gt;"",C76,""))</f>
        <v>26</v>
      </c>
      <c r="D77" s="34" t="s">
        <v>910</v>
      </c>
      <c r="E77" s="34" t="s">
        <v>927</v>
      </c>
      <c r="F77" s="34" t="s">
        <v>913</v>
      </c>
      <c r="G77" s="34" t="s">
        <v>1005</v>
      </c>
      <c r="H77" s="34" t="s">
        <v>1006</v>
      </c>
      <c r="I77" s="35">
        <v>120</v>
      </c>
      <c r="J77" s="35">
        <v>140</v>
      </c>
      <c r="K77" s="36"/>
      <c r="L77" s="26" t="str">
        <f>IF(OR(F77 = "", G77 = ""), "", IF(F77 = "Vara", IFERROR(_xlfn.SINGLE(_xlfn.XLOOKUP(G77, Vöruskrá!A:A, Vöruskrá!E:E, "")), ""), IF(F77 = "Réttur", IFERROR(_xlfn.SINGLE(_xlfn.XLOOKUP(G77, Réttabanki!A:A, Réttabanki!AS:AS, "")), ""), "")))</f>
        <v/>
      </c>
      <c r="M77" s="26" t="str">
        <f>IF(OR(F77 = "", G77 = ""), "", IF(F77 = "Vara", IFERROR(_xlfn.SINGLE(_xlfn.XLOOKUP(G77, Vöruskrá!A:A, Vöruskrá!F:F, "")), ""), IF(F77 = "Réttur", IFERROR(_xlfn.SINGLE(_xlfn.XLOOKUP(G77, Réttabanki!A:A, Réttabanki!AT:AT, "")), ""), "")))</f>
        <v/>
      </c>
      <c r="N77" s="26" t="str">
        <f>IF(OR(F77 = "", G77 = ""), "", IF(F77 = "Vara", IFERROR(_xlfn.SINGLE(_xlfn.XLOOKUP(G77, Vöruskrá!A:A, Vöruskrá!G:G, "")), ""), IF(F77 = "Réttur", IFERROR(_xlfn.SINGLE(_xlfn.XLOOKUP(G77, Réttabanki!A:A, Réttabanki!AU:AU, "")), ""), "")))</f>
        <v/>
      </c>
      <c r="O77" s="26" t="str">
        <f>IF(OR(F77 = "", G77 = "", I77 = ""), "", IF(F77 = "Vara", IFERROR(_xlfn.SINGLE(_xlfn.XLOOKUP(G77, Vöruskrá!A:A, Vöruskrá!I:I, "")) * I77 / 100, ""), IF(F77 = "Réttur", IFERROR(_xlfn.SINGLE(_xlfn.XLOOKUP(G77, Réttabanki!A:A, Réttabanki!AV:AV, "")) * I77 / 100, ""), "")))</f>
        <v/>
      </c>
      <c r="P77" s="26" t="str">
        <f>IF(OR(F77 = "", G77 = "", I77 = ""), "", IF(F77 = "Vara", IFERROR(_xlfn.SINGLE(_xlfn.XLOOKUP(G77, Vöruskrá!A:A, Vöruskrá!J:J, "")) * I77 / 100, ""), IF(F77 = "Réttur", IFERROR(_xlfn.SINGLE(_xlfn.XLOOKUP(G77, Réttabanki!A:A, Réttabanki!AW:AW, "")) * I77 / 100, ""), "")))</f>
        <v/>
      </c>
      <c r="Q77" s="26" t="str">
        <f>IF(OR(F77 = "", G77 = "", I77 = ""), "", IF(F77 = "Vara", IFERROR(_xlfn.SINGLE(_xlfn.XLOOKUP(G77, Vöruskrá!A:A, Vöruskrá!N:N, "")) * I77 / 100, ""), IF(F77 = "Réttur", IFERROR(_xlfn.SINGLE(_xlfn.XLOOKUP(G77, Réttabanki!A:A, Réttabanki!BB:BB, "")) * I77 / 100, ""), "")))</f>
        <v/>
      </c>
    </row>
    <row r="78" spans="1:17">
      <c r="B78" s="33" t="str">
        <f>IF(A78&lt;&gt;"",CHOOSE(WEEKDAY(A78,2),"Mánudagur","Þriðjudagur","Miðvikudagur","Fimmtudagur","Föstudagur","Laugardagur","Sunnudagur"),IF(B77&lt;&gt;"",B77,""))</f>
        <v>Mánudagur</v>
      </c>
      <c r="C78" s="33">
        <f>IF(A78&lt;&gt;"",WEEKNUM(A78,21),IF(C77&lt;&gt;"",C77,""))</f>
        <v>26</v>
      </c>
      <c r="D78" s="34" t="s">
        <v>910</v>
      </c>
      <c r="E78" s="34" t="s">
        <v>933</v>
      </c>
      <c r="F78" s="34"/>
      <c r="G78" s="34"/>
      <c r="H78" s="34" t="s">
        <v>1007</v>
      </c>
      <c r="I78" s="35"/>
      <c r="J78" s="35"/>
      <c r="K78" s="36"/>
      <c r="L78" s="26" t="str">
        <f>IF(OR(F78 = "", G78 = ""), "", IF(F78 = "Vara", IFERROR(_xlfn.SINGLE(_xlfn.XLOOKUP(G78, Vöruskrá!A:A, Vöruskrá!E:E, "")), ""), IF(F78 = "Réttur", IFERROR(_xlfn.SINGLE(_xlfn.XLOOKUP(G78, Réttabanki!A:A, Réttabanki!AS:AS, "")), ""), "")))</f>
        <v/>
      </c>
      <c r="M78" s="26" t="str">
        <f>IF(OR(F78 = "", G78 = ""), "", IF(F78 = "Vara", IFERROR(_xlfn.SINGLE(_xlfn.XLOOKUP(G78, Vöruskrá!A:A, Vöruskrá!F:F, "")), ""), IF(F78 = "Réttur", IFERROR(_xlfn.SINGLE(_xlfn.XLOOKUP(G78, Réttabanki!A:A, Réttabanki!AT:AT, "")), ""), "")))</f>
        <v/>
      </c>
      <c r="N78" s="26" t="str">
        <f>IF(OR(F78 = "", G78 = ""), "", IF(F78 = "Vara", IFERROR(_xlfn.SINGLE(_xlfn.XLOOKUP(G78, Vöruskrá!A:A, Vöruskrá!G:G, "")), ""), IF(F78 = "Réttur", IFERROR(_xlfn.SINGLE(_xlfn.XLOOKUP(G78, Réttabanki!A:A, Réttabanki!AU:AU, "")), ""), "")))</f>
        <v/>
      </c>
      <c r="O78" s="26" t="str">
        <f>IF(OR(F78 = "", G78 = "", I78 = ""), "", IF(F78 = "Vara", IFERROR(_xlfn.SINGLE(_xlfn.XLOOKUP(G78, Vöruskrá!A:A, Vöruskrá!I:I, "")) * I78 / 100, ""), IF(F78 = "Réttur", IFERROR(_xlfn.SINGLE(_xlfn.XLOOKUP(G78, Réttabanki!A:A, Réttabanki!AV:AV, "")) * I78 / 100, ""), "")))</f>
        <v/>
      </c>
      <c r="P78" s="26" t="str">
        <f>IF(OR(F78 = "", G78 = "", I78 = ""), "", IF(F78 = "Vara", IFERROR(_xlfn.SINGLE(_xlfn.XLOOKUP(G78, Vöruskrá!A:A, Vöruskrá!J:J, "")) * I78 / 100, ""), IF(F78 = "Réttur", IFERROR(_xlfn.SINGLE(_xlfn.XLOOKUP(G78, Réttabanki!A:A, Réttabanki!AW:AW, "")) * I78 / 100, ""), "")))</f>
        <v/>
      </c>
      <c r="Q78" s="26" t="str">
        <f>IF(OR(F78 = "", G78 = "", I78 = ""), "", IF(F78 = "Vara", IFERROR(_xlfn.SINGLE(_xlfn.XLOOKUP(G78, Vöruskrá!A:A, Vöruskrá!N:N, "")) * I78 / 100, ""), IF(F78 = "Réttur", IFERROR(_xlfn.SINGLE(_xlfn.XLOOKUP(G78, Réttabanki!A:A, Réttabanki!BB:BB, "")) * I78 / 100, ""), "")))</f>
        <v/>
      </c>
    </row>
    <row r="79" spans="1:17">
      <c r="B79" s="33" t="str">
        <f>IF(A79&lt;&gt;"",CHOOSE(WEEKDAY(A79,2),"Mánudagur","Þriðjudagur","Miðvikudagur","Fimmtudagur","Föstudagur","Laugardagur","Sunnudagur"),IF(B78&lt;&gt;"",B78,""))</f>
        <v>Mánudagur</v>
      </c>
      <c r="C79" s="33">
        <f>IF(A79&lt;&gt;"",WEEKNUM(A79,21),IF(C78&lt;&gt;"",C78,""))</f>
        <v>26</v>
      </c>
      <c r="D79" s="34" t="s">
        <v>910</v>
      </c>
      <c r="E79" s="34" t="s">
        <v>933</v>
      </c>
      <c r="F79" s="34" t="s">
        <v>913</v>
      </c>
      <c r="G79" s="34" t="s">
        <v>1008</v>
      </c>
      <c r="H79" s="34" t="s">
        <v>704</v>
      </c>
      <c r="I79" s="35">
        <v>20</v>
      </c>
      <c r="J79" s="35">
        <v>30</v>
      </c>
      <c r="K79" s="36"/>
      <c r="L79" s="26" t="str">
        <f>IF(OR(F79 = "", G79 = ""), "", IF(F79 = "Vara", IFERROR(_xlfn.SINGLE(_xlfn.XLOOKUP(G79, Vöruskrá!A:A, Vöruskrá!E:E, "")), ""), IF(F79 = "Réttur", IFERROR(_xlfn.SINGLE(_xlfn.XLOOKUP(G79, Réttabanki!A:A, Réttabanki!AS:AS, "")), ""), "")))</f>
        <v/>
      </c>
      <c r="M79" s="26" t="str">
        <f>IF(OR(F79 = "", G79 = ""), "", IF(F79 = "Vara", IFERROR(_xlfn.SINGLE(_xlfn.XLOOKUP(G79, Vöruskrá!A:A, Vöruskrá!F:F, "")), ""), IF(F79 = "Réttur", IFERROR(_xlfn.SINGLE(_xlfn.XLOOKUP(G79, Réttabanki!A:A, Réttabanki!AT:AT, "")), ""), "")))</f>
        <v/>
      </c>
      <c r="N79" s="26" t="str">
        <f>IF(OR(F79 = "", G79 = ""), "", IF(F79 = "Vara", IFERROR(_xlfn.SINGLE(_xlfn.XLOOKUP(G79, Vöruskrá!A:A, Vöruskrá!G:G, "")), ""), IF(F79 = "Réttur", IFERROR(_xlfn.SINGLE(_xlfn.XLOOKUP(G79, Réttabanki!A:A, Réttabanki!AU:AU, "")), ""), "")))</f>
        <v/>
      </c>
      <c r="O79" s="26" t="str">
        <f>IF(OR(F79 = "", G79 = "", I79 = ""), "", IF(F79 = "Vara", IFERROR(_xlfn.SINGLE(_xlfn.XLOOKUP(G79, Vöruskrá!A:A, Vöruskrá!I:I, "")) * I79 / 100, ""), IF(F79 = "Réttur", IFERROR(_xlfn.SINGLE(_xlfn.XLOOKUP(G79, Réttabanki!A:A, Réttabanki!AV:AV, "")) * I79 / 100, ""), "")))</f>
        <v/>
      </c>
      <c r="P79" s="26" t="str">
        <f>IF(OR(F79 = "", G79 = "", I79 = ""), "", IF(F79 = "Vara", IFERROR(_xlfn.SINGLE(_xlfn.XLOOKUP(G79, Vöruskrá!A:A, Vöruskrá!J:J, "")) * I79 / 100, ""), IF(F79 = "Réttur", IFERROR(_xlfn.SINGLE(_xlfn.XLOOKUP(G79, Réttabanki!A:A, Réttabanki!AW:AW, "")) * I79 / 100, ""), "")))</f>
        <v/>
      </c>
      <c r="Q79" s="26" t="str">
        <f>IF(OR(F79 = "", G79 = "", I79 = ""), "", IF(F79 = "Vara", IFERROR(_xlfn.SINGLE(_xlfn.XLOOKUP(G79, Vöruskrá!A:A, Vöruskrá!N:N, "")) * I79 / 100, ""), IF(F79 = "Réttur", IFERROR(_xlfn.SINGLE(_xlfn.XLOOKUP(G79, Réttabanki!A:A, Réttabanki!BB:BB, "")) * I79 / 100, ""), "")))</f>
        <v/>
      </c>
    </row>
    <row r="80" spans="1:17">
      <c r="B80" s="33" t="str">
        <f>IF(A80&lt;&gt;"",CHOOSE(WEEKDAY(A80,2),"Mánudagur","Þriðjudagur","Miðvikudagur","Fimmtudagur","Föstudagur","Laugardagur","Sunnudagur"),IF(B79&lt;&gt;"",B79,""))</f>
        <v>Mánudagur</v>
      </c>
      <c r="C80" s="33">
        <f>IF(A80&lt;&gt;"",WEEKNUM(A80,21),IF(C79&lt;&gt;"",C79,""))</f>
        <v>26</v>
      </c>
      <c r="D80" s="34" t="s">
        <v>910</v>
      </c>
      <c r="E80" s="34" t="s">
        <v>941</v>
      </c>
      <c r="F80" s="34"/>
      <c r="G80" s="34"/>
      <c r="H80" s="34" t="s">
        <v>1009</v>
      </c>
      <c r="I80" s="35"/>
      <c r="J80" s="35"/>
      <c r="K80" s="36"/>
      <c r="L80" s="26" t="str">
        <f>IF(OR(F80 = "", G80 = ""), "", IF(F80 = "Vara", IFERROR(_xlfn.SINGLE(_xlfn.XLOOKUP(G80, Vöruskrá!A:A, Vöruskrá!E:E, "")), ""), IF(F80 = "Réttur", IFERROR(_xlfn.SINGLE(_xlfn.XLOOKUP(G80, Réttabanki!A:A, Réttabanki!AS:AS, "")), ""), "")))</f>
        <v/>
      </c>
      <c r="M80" s="26" t="str">
        <f>IF(OR(F80 = "", G80 = ""), "", IF(F80 = "Vara", IFERROR(_xlfn.SINGLE(_xlfn.XLOOKUP(G80, Vöruskrá!A:A, Vöruskrá!F:F, "")), ""), IF(F80 = "Réttur", IFERROR(_xlfn.SINGLE(_xlfn.XLOOKUP(G80, Réttabanki!A:A, Réttabanki!AT:AT, "")), ""), "")))</f>
        <v/>
      </c>
      <c r="N80" s="26" t="str">
        <f>IF(OR(F80 = "", G80 = ""), "", IF(F80 = "Vara", IFERROR(_xlfn.SINGLE(_xlfn.XLOOKUP(G80, Vöruskrá!A:A, Vöruskrá!G:G, "")), ""), IF(F80 = "Réttur", IFERROR(_xlfn.SINGLE(_xlfn.XLOOKUP(G80, Réttabanki!A:A, Réttabanki!AU:AU, "")), ""), "")))</f>
        <v/>
      </c>
      <c r="O80" s="26" t="str">
        <f>IF(OR(F80 = "", G80 = "", I80 = ""), "", IF(F80 = "Vara", IFERROR(_xlfn.SINGLE(_xlfn.XLOOKUP(G80, Vöruskrá!A:A, Vöruskrá!I:I, "")) * I80 / 100, ""), IF(F80 = "Réttur", IFERROR(_xlfn.SINGLE(_xlfn.XLOOKUP(G80, Réttabanki!A:A, Réttabanki!AV:AV, "")) * I80 / 100, ""), "")))</f>
        <v/>
      </c>
      <c r="P80" s="26" t="str">
        <f>IF(OR(F80 = "", G80 = "", I80 = ""), "", IF(F80 = "Vara", IFERROR(_xlfn.SINGLE(_xlfn.XLOOKUP(G80, Vöruskrá!A:A, Vöruskrá!J:J, "")) * I80 / 100, ""), IF(F80 = "Réttur", IFERROR(_xlfn.SINGLE(_xlfn.XLOOKUP(G80, Réttabanki!A:A, Réttabanki!AW:AW, "")) * I80 / 100, ""), "")))</f>
        <v/>
      </c>
      <c r="Q80" s="26" t="str">
        <f>IF(OR(F80 = "", G80 = "", I80 = ""), "", IF(F80 = "Vara", IFERROR(_xlfn.SINGLE(_xlfn.XLOOKUP(G80, Vöruskrá!A:A, Vöruskrá!N:N, "")) * I80 / 100, ""), IF(F80 = "Réttur", IFERROR(_xlfn.SINGLE(_xlfn.XLOOKUP(G80, Réttabanki!A:A, Réttabanki!BB:BB, "")) * I80 / 100, ""), "")))</f>
        <v/>
      </c>
    </row>
    <row r="81" spans="1:17">
      <c r="B81" s="33" t="str">
        <f>IF(A81&lt;&gt;"",CHOOSE(WEEKDAY(A81,2),"Mánudagur","Þriðjudagur","Miðvikudagur","Fimmtudagur","Föstudagur","Laugardagur","Sunnudagur"),IF(B80&lt;&gt;"",B80,""))</f>
        <v>Mánudagur</v>
      </c>
      <c r="C81" s="33">
        <f>IF(A81&lt;&gt;"",WEEKNUM(A81,21),IF(C80&lt;&gt;"",C80,""))</f>
        <v>26</v>
      </c>
      <c r="D81" s="34" t="s">
        <v>910</v>
      </c>
      <c r="E81" s="34" t="s">
        <v>941</v>
      </c>
      <c r="F81" s="34" t="s">
        <v>913</v>
      </c>
      <c r="G81" s="34" t="s">
        <v>1010</v>
      </c>
      <c r="H81" s="34" t="s">
        <v>1011</v>
      </c>
      <c r="I81" s="35">
        <v>60</v>
      </c>
      <c r="J81" s="35">
        <v>80</v>
      </c>
      <c r="K81" s="36"/>
      <c r="L81" s="26" t="str">
        <f>IF(OR(F81 = "", G81 = ""), "", IF(F81 = "Vara", IFERROR(_xlfn.SINGLE(_xlfn.XLOOKUP(G81, Vöruskrá!A:A, Vöruskrá!E:E, "")), ""), IF(F81 = "Réttur", IFERROR(_xlfn.SINGLE(_xlfn.XLOOKUP(G81, Réttabanki!A:A, Réttabanki!AS:AS, "")), ""), "")))</f>
        <v/>
      </c>
      <c r="M81" s="26" t="str">
        <f>IF(OR(F81 = "", G81 = ""), "", IF(F81 = "Vara", IFERROR(_xlfn.SINGLE(_xlfn.XLOOKUP(G81, Vöruskrá!A:A, Vöruskrá!F:F, "")), ""), IF(F81 = "Réttur", IFERROR(_xlfn.SINGLE(_xlfn.XLOOKUP(G81, Réttabanki!A:A, Réttabanki!AT:AT, "")), ""), "")))</f>
        <v/>
      </c>
      <c r="N81" s="26" t="str">
        <f>IF(OR(F81 = "", G81 = ""), "", IF(F81 = "Vara", IFERROR(_xlfn.SINGLE(_xlfn.XLOOKUP(G81, Vöruskrá!A:A, Vöruskrá!G:G, "")), ""), IF(F81 = "Réttur", IFERROR(_xlfn.SINGLE(_xlfn.XLOOKUP(G81, Réttabanki!A:A, Réttabanki!AU:AU, "")), ""), "")))</f>
        <v/>
      </c>
      <c r="O81" s="26" t="str">
        <f>IF(OR(F81 = "", G81 = "", I81 = ""), "", IF(F81 = "Vara", IFERROR(_xlfn.SINGLE(_xlfn.XLOOKUP(G81, Vöruskrá!A:A, Vöruskrá!I:I, "")) * I81 / 100, ""), IF(F81 = "Réttur", IFERROR(_xlfn.SINGLE(_xlfn.XLOOKUP(G81, Réttabanki!A:A, Réttabanki!AV:AV, "")) * I81 / 100, ""), "")))</f>
        <v/>
      </c>
      <c r="P81" s="26" t="str">
        <f>IF(OR(F81 = "", G81 = "", I81 = ""), "", IF(F81 = "Vara", IFERROR(_xlfn.SINGLE(_xlfn.XLOOKUP(G81, Vöruskrá!A:A, Vöruskrá!J:J, "")) * I81 / 100, ""), IF(F81 = "Réttur", IFERROR(_xlfn.SINGLE(_xlfn.XLOOKUP(G81, Réttabanki!A:A, Réttabanki!AW:AW, "")) * I81 / 100, ""), "")))</f>
        <v/>
      </c>
      <c r="Q81" s="26" t="str">
        <f>IF(OR(F81 = "", G81 = "", I81 = ""), "", IF(F81 = "Vara", IFERROR(_xlfn.SINGLE(_xlfn.XLOOKUP(G81, Vöruskrá!A:A, Vöruskrá!N:N, "")) * I81 / 100, ""), IF(F81 = "Réttur", IFERROR(_xlfn.SINGLE(_xlfn.XLOOKUP(G81, Réttabanki!A:A, Réttabanki!BB:BB, "")) * I81 / 100, ""), "")))</f>
        <v/>
      </c>
    </row>
    <row r="82" spans="1:17">
      <c r="B82" s="33" t="str">
        <f>IF(A82&lt;&gt;"",CHOOSE(WEEKDAY(A82,2),"Mánudagur","Þriðjudagur","Miðvikudagur","Fimmtudagur","Föstudagur","Laugardagur","Sunnudagur"),IF(B81&lt;&gt;"",B81,""))</f>
        <v>Mánudagur</v>
      </c>
      <c r="C82" s="33">
        <f>IF(A82&lt;&gt;"",WEEKNUM(A82,21),IF(C81&lt;&gt;"",C81,""))</f>
        <v>26</v>
      </c>
      <c r="D82" s="34" t="s">
        <v>910</v>
      </c>
      <c r="E82" s="34" t="s">
        <v>941</v>
      </c>
      <c r="F82" s="34" t="s">
        <v>913</v>
      </c>
      <c r="G82" s="34" t="s">
        <v>937</v>
      </c>
      <c r="H82" s="34" t="s">
        <v>938</v>
      </c>
      <c r="I82" s="35">
        <v>10</v>
      </c>
      <c r="J82" s="35">
        <v>15</v>
      </c>
      <c r="K82" s="36"/>
      <c r="L82" s="26" t="str">
        <f>IF(OR(F82 = "", G82 = ""), "", IF(F82 = "Vara", IFERROR(_xlfn.SINGLE(_xlfn.XLOOKUP(G82, Vöruskrá!A:A, Vöruskrá!E:E, "")), ""), IF(F82 = "Réttur", IFERROR(_xlfn.SINGLE(_xlfn.XLOOKUP(G82, Réttabanki!A:A, Réttabanki!AS:AS, "")), ""), "")))</f>
        <v/>
      </c>
      <c r="M82" s="26" t="str">
        <f>IF(OR(F82 = "", G82 = ""), "", IF(F82 = "Vara", IFERROR(_xlfn.SINGLE(_xlfn.XLOOKUP(G82, Vöruskrá!A:A, Vöruskrá!F:F, "")), ""), IF(F82 = "Réttur", IFERROR(_xlfn.SINGLE(_xlfn.XLOOKUP(G82, Réttabanki!A:A, Réttabanki!AT:AT, "")), ""), "")))</f>
        <v/>
      </c>
      <c r="N82" s="26" t="str">
        <f>IF(OR(F82 = "", G82 = ""), "", IF(F82 = "Vara", IFERROR(_xlfn.SINGLE(_xlfn.XLOOKUP(G82, Vöruskrá!A:A, Vöruskrá!G:G, "")), ""), IF(F82 = "Réttur", IFERROR(_xlfn.SINGLE(_xlfn.XLOOKUP(G82, Réttabanki!A:A, Réttabanki!AU:AU, "")), ""), "")))</f>
        <v/>
      </c>
      <c r="O82" s="26" t="str">
        <f>IF(OR(F82 = "", G82 = "", I82 = ""), "", IF(F82 = "Vara", IFERROR(_xlfn.SINGLE(_xlfn.XLOOKUP(G82, Vöruskrá!A:A, Vöruskrá!I:I, "")) * I82 / 100, ""), IF(F82 = "Réttur", IFERROR(_xlfn.SINGLE(_xlfn.XLOOKUP(G82, Réttabanki!A:A, Réttabanki!AV:AV, "")) * I82 / 100, ""), "")))</f>
        <v/>
      </c>
      <c r="P82" s="26" t="str">
        <f>IF(OR(F82 = "", G82 = "", I82 = ""), "", IF(F82 = "Vara", IFERROR(_xlfn.SINGLE(_xlfn.XLOOKUP(G82, Vöruskrá!A:A, Vöruskrá!J:J, "")) * I82 / 100, ""), IF(F82 = "Réttur", IFERROR(_xlfn.SINGLE(_xlfn.XLOOKUP(G82, Réttabanki!A:A, Réttabanki!AW:AW, "")) * I82 / 100, ""), "")))</f>
        <v/>
      </c>
      <c r="Q82" s="26" t="str">
        <f>IF(OR(F82 = "", G82 = "", I82 = ""), "", IF(F82 = "Vara", IFERROR(_xlfn.SINGLE(_xlfn.XLOOKUP(G82, Vöruskrá!A:A, Vöruskrá!N:N, "")) * I82 / 100, ""), IF(F82 = "Réttur", IFERROR(_xlfn.SINGLE(_xlfn.XLOOKUP(G82, Réttabanki!A:A, Réttabanki!BB:BB, "")) * I82 / 100, ""), "")))</f>
        <v/>
      </c>
    </row>
    <row r="83" spans="1:17">
      <c r="A83" s="32">
        <v>46196</v>
      </c>
      <c r="B83" s="33" t="str">
        <f>IF(A83&lt;&gt;"",CHOOSE(WEEKDAY(A83,2),"Mánudagur","Þriðjudagur","Miðvikudagur","Fimmtudagur","Föstudagur","Laugardagur","Sunnudagur"),IF(#REF!&lt;&gt;"",#REF!,""))</f>
        <v>Þriðjudagur</v>
      </c>
      <c r="C83" s="33">
        <f>IF(A83&lt;&gt;"",WEEKNUM(A83,21),IF(#REF!&lt;&gt;"",#REF!,""))</f>
        <v>26</v>
      </c>
      <c r="D83" s="34" t="s">
        <v>910</v>
      </c>
      <c r="E83" s="34" t="s">
        <v>921</v>
      </c>
      <c r="F83" s="34"/>
      <c r="G83" s="34"/>
      <c r="H83" s="34" t="s">
        <v>1012</v>
      </c>
      <c r="I83" s="35"/>
      <c r="J83" s="35"/>
      <c r="K83" s="36"/>
      <c r="L83" s="26" t="str">
        <f>IF(OR(F83 = "", G83 = ""), "", IF(F83 = "Vara", IFERROR(_xlfn.SINGLE(_xlfn.XLOOKUP(G83, Vöruskrá!A:A, Vöruskrá!E:E, "")), ""), IF(F83 = "Réttur", IFERROR(_xlfn.SINGLE(_xlfn.XLOOKUP(G83, Réttabanki!A:A, Réttabanki!AS:AS, "")), ""), "")))</f>
        <v/>
      </c>
      <c r="M83" s="26" t="str">
        <f>IF(OR(F83 = "", G83 = ""), "", IF(F83 = "Vara", IFERROR(_xlfn.SINGLE(_xlfn.XLOOKUP(G83, Vöruskrá!A:A, Vöruskrá!F:F, "")), ""), IF(F83 = "Réttur", IFERROR(_xlfn.SINGLE(_xlfn.XLOOKUP(G83, Réttabanki!A:A, Réttabanki!AT:AT, "")), ""), "")))</f>
        <v/>
      </c>
      <c r="N83" s="26" t="str">
        <f>IF(OR(F83 = "", G83 = ""), "", IF(F83 = "Vara", IFERROR(_xlfn.SINGLE(_xlfn.XLOOKUP(G83, Vöruskrá!A:A, Vöruskrá!G:G, "")), ""), IF(F83 = "Réttur", IFERROR(_xlfn.SINGLE(_xlfn.XLOOKUP(G83, Réttabanki!A:A, Réttabanki!AU:AU, "")), ""), "")))</f>
        <v/>
      </c>
      <c r="O83" s="26" t="str">
        <f>IF(OR(F83 = "", G83 = "", I83 = ""), "", IF(F83 = "Vara", IFERROR(_xlfn.SINGLE(_xlfn.XLOOKUP(G83, Vöruskrá!A:A, Vöruskrá!I:I, "")) * I83 / 100, ""), IF(F83 = "Réttur", IFERROR(_xlfn.SINGLE(_xlfn.XLOOKUP(G83, Réttabanki!A:A, Réttabanki!AV:AV, "")) * I83 / 100, ""), "")))</f>
        <v/>
      </c>
      <c r="P83" s="26" t="str">
        <f>IF(OR(F83 = "", G83 = "", I83 = ""), "", IF(F83 = "Vara", IFERROR(_xlfn.SINGLE(_xlfn.XLOOKUP(G83, Vöruskrá!A:A, Vöruskrá!J:J, "")) * I83 / 100, ""), IF(F83 = "Réttur", IFERROR(_xlfn.SINGLE(_xlfn.XLOOKUP(G83, Réttabanki!A:A, Réttabanki!AW:AW, "")) * I83 / 100, ""), "")))</f>
        <v/>
      </c>
      <c r="Q83" s="26" t="str">
        <f>IF(OR(F83 = "", G83 = "", I83 = ""), "", IF(F83 = "Vara", IFERROR(_xlfn.SINGLE(_xlfn.XLOOKUP(G83, Vöruskrá!A:A, Vöruskrá!N:N, "")) * I83 / 100, ""), IF(F83 = "Réttur", IFERROR(_xlfn.SINGLE(_xlfn.XLOOKUP(G83, Réttabanki!A:A, Réttabanki!BB:BB, "")) * I83 / 100, ""), "")))</f>
        <v/>
      </c>
    </row>
    <row r="84" spans="1:17">
      <c r="B84" s="33" t="str">
        <f>IF(A84&lt;&gt;"",CHOOSE(WEEKDAY(A84,2),"Mánudagur","Þriðjudagur","Miðvikudagur","Fimmtudagur","Föstudagur","Laugardagur","Sunnudagur"),IF(B83&lt;&gt;"",B83,""))</f>
        <v>Þriðjudagur</v>
      </c>
      <c r="C84" s="33">
        <f>IF(A84&lt;&gt;"",WEEKNUM(A84,21),IF(C83&lt;&gt;"",C83,""))</f>
        <v>26</v>
      </c>
      <c r="D84" s="34" t="s">
        <v>910</v>
      </c>
      <c r="E84" s="34" t="s">
        <v>921</v>
      </c>
      <c r="F84" s="34" t="s">
        <v>913</v>
      </c>
      <c r="G84" s="34" t="s">
        <v>1013</v>
      </c>
      <c r="H84" s="34" t="s">
        <v>1014</v>
      </c>
      <c r="I84" s="35">
        <v>250</v>
      </c>
      <c r="J84" s="35">
        <v>300</v>
      </c>
      <c r="K84" s="36"/>
      <c r="L84" s="26" t="str">
        <f>IF(OR(F84 = "", G84 = ""), "", IF(F84 = "Vara", IFERROR(_xlfn.SINGLE(_xlfn.XLOOKUP(G84, Vöruskrá!A:A, Vöruskrá!E:E, "")), ""), IF(F84 = "Réttur", IFERROR(_xlfn.SINGLE(_xlfn.XLOOKUP(G84, Réttabanki!A:A, Réttabanki!AS:AS, "")), ""), "")))</f>
        <v/>
      </c>
      <c r="M84" s="26" t="str">
        <f>IF(OR(F84 = "", G84 = ""), "", IF(F84 = "Vara", IFERROR(_xlfn.SINGLE(_xlfn.XLOOKUP(G84, Vöruskrá!A:A, Vöruskrá!F:F, "")), ""), IF(F84 = "Réttur", IFERROR(_xlfn.SINGLE(_xlfn.XLOOKUP(G84, Réttabanki!A:A, Réttabanki!AT:AT, "")), ""), "")))</f>
        <v/>
      </c>
      <c r="N84" s="26" t="str">
        <f>IF(OR(F84 = "", G84 = ""), "", IF(F84 = "Vara", IFERROR(_xlfn.SINGLE(_xlfn.XLOOKUP(G84, Vöruskrá!A:A, Vöruskrá!G:G, "")), ""), IF(F84 = "Réttur", IFERROR(_xlfn.SINGLE(_xlfn.XLOOKUP(G84, Réttabanki!A:A, Réttabanki!AU:AU, "")), ""), "")))</f>
        <v/>
      </c>
      <c r="O84" s="26" t="str">
        <f>IF(OR(F84 = "", G84 = "", I84 = ""), "", IF(F84 = "Vara", IFERROR(_xlfn.SINGLE(_xlfn.XLOOKUP(G84, Vöruskrá!A:A, Vöruskrá!I:I, "")) * I84 / 100, ""), IF(F84 = "Réttur", IFERROR(_xlfn.SINGLE(_xlfn.XLOOKUP(G84, Réttabanki!A:A, Réttabanki!AV:AV, "")) * I84 / 100, ""), "")))</f>
        <v/>
      </c>
      <c r="P84" s="26" t="str">
        <f>IF(OR(F84 = "", G84 = "", I84 = ""), "", IF(F84 = "Vara", IFERROR(_xlfn.SINGLE(_xlfn.XLOOKUP(G84, Vöruskrá!A:A, Vöruskrá!J:J, "")) * I84 / 100, ""), IF(F84 = "Réttur", IFERROR(_xlfn.SINGLE(_xlfn.XLOOKUP(G84, Réttabanki!A:A, Réttabanki!AW:AW, "")) * I84 / 100, ""), "")))</f>
        <v/>
      </c>
      <c r="Q84" s="26" t="str">
        <f>IF(OR(F84 = "", G84 = "", I84 = ""), "", IF(F84 = "Vara", IFERROR(_xlfn.SINGLE(_xlfn.XLOOKUP(G84, Vöruskrá!A:A, Vöruskrá!N:N, "")) * I84 / 100, ""), IF(F84 = "Réttur", IFERROR(_xlfn.SINGLE(_xlfn.XLOOKUP(G84, Réttabanki!A:A, Réttabanki!BB:BB, "")) * I84 / 100, ""), "")))</f>
        <v/>
      </c>
    </row>
    <row r="85" spans="1:17">
      <c r="B85" s="33" t="str">
        <f>IF(A85&lt;&gt;"",CHOOSE(WEEKDAY(A85,2),"Mánudagur","Þriðjudagur","Miðvikudagur","Fimmtudagur","Föstudagur","Laugardagur","Sunnudagur"),IF(B84&lt;&gt;"",B84,""))</f>
        <v>Þriðjudagur</v>
      </c>
      <c r="C85" s="33">
        <f>IF(A85&lt;&gt;"",WEEKNUM(A85,21),IF(C84&lt;&gt;"",C84,""))</f>
        <v>26</v>
      </c>
      <c r="D85" s="34" t="s">
        <v>910</v>
      </c>
      <c r="E85" s="34" t="s">
        <v>921</v>
      </c>
      <c r="F85" s="34" t="s">
        <v>913</v>
      </c>
      <c r="G85" s="34" t="s">
        <v>1015</v>
      </c>
      <c r="H85" s="34" t="s">
        <v>1016</v>
      </c>
      <c r="I85" s="35">
        <v>20</v>
      </c>
      <c r="J85" s="35">
        <v>30</v>
      </c>
      <c r="K85" s="36"/>
      <c r="L85" s="26" t="str">
        <f>IF(OR(F85 = "", G85 = ""), "", IF(F85 = "Vara", IFERROR(_xlfn.SINGLE(_xlfn.XLOOKUP(G85, Vöruskrá!A:A, Vöruskrá!E:E, "")), ""), IF(F85 = "Réttur", IFERROR(_xlfn.SINGLE(_xlfn.XLOOKUP(G85, Réttabanki!A:A, Réttabanki!AS:AS, "")), ""), "")))</f>
        <v/>
      </c>
      <c r="M85" s="26" t="str">
        <f>IF(OR(F85 = "", G85 = ""), "", IF(F85 = "Vara", IFERROR(_xlfn.SINGLE(_xlfn.XLOOKUP(G85, Vöruskrá!A:A, Vöruskrá!F:F, "")), ""), IF(F85 = "Réttur", IFERROR(_xlfn.SINGLE(_xlfn.XLOOKUP(G85, Réttabanki!A:A, Réttabanki!AT:AT, "")), ""), "")))</f>
        <v/>
      </c>
      <c r="N85" s="26" t="str">
        <f>IF(OR(F85 = "", G85 = ""), "", IF(F85 = "Vara", IFERROR(_xlfn.SINGLE(_xlfn.XLOOKUP(G85, Vöruskrá!A:A, Vöruskrá!G:G, "")), ""), IF(F85 = "Réttur", IFERROR(_xlfn.SINGLE(_xlfn.XLOOKUP(G85, Réttabanki!A:A, Réttabanki!AU:AU, "")), ""), "")))</f>
        <v/>
      </c>
      <c r="O85" s="26" t="str">
        <f>IF(OR(F85 = "", G85 = "", I85 = ""), "", IF(F85 = "Vara", IFERROR(_xlfn.SINGLE(_xlfn.XLOOKUP(G85, Vöruskrá!A:A, Vöruskrá!I:I, "")) * I85 / 100, ""), IF(F85 = "Réttur", IFERROR(_xlfn.SINGLE(_xlfn.XLOOKUP(G85, Réttabanki!A:A, Réttabanki!AV:AV, "")) * I85 / 100, ""), "")))</f>
        <v/>
      </c>
      <c r="P85" s="26" t="str">
        <f>IF(OR(F85 = "", G85 = "", I85 = ""), "", IF(F85 = "Vara", IFERROR(_xlfn.SINGLE(_xlfn.XLOOKUP(G85, Vöruskrá!A:A, Vöruskrá!J:J, "")) * I85 / 100, ""), IF(F85 = "Réttur", IFERROR(_xlfn.SINGLE(_xlfn.XLOOKUP(G85, Réttabanki!A:A, Réttabanki!AW:AW, "")) * I85 / 100, ""), "")))</f>
        <v/>
      </c>
      <c r="Q85" s="26" t="str">
        <f>IF(OR(F85 = "", G85 = "", I85 = ""), "", IF(F85 = "Vara", IFERROR(_xlfn.SINGLE(_xlfn.XLOOKUP(G85, Vöruskrá!A:A, Vöruskrá!N:N, "")) * I85 / 100, ""), IF(F85 = "Réttur", IFERROR(_xlfn.SINGLE(_xlfn.XLOOKUP(G85, Réttabanki!A:A, Réttabanki!BB:BB, "")) * I85 / 100, ""), "")))</f>
        <v/>
      </c>
    </row>
    <row r="86" spans="1:17">
      <c r="B86" s="33" t="str">
        <f>IF(A86&lt;&gt;"",CHOOSE(WEEKDAY(A86,2),"Mánudagur","Þriðjudagur","Miðvikudagur","Fimmtudagur","Föstudagur","Laugardagur","Sunnudagur"),IF(B85&lt;&gt;"",B85,""))</f>
        <v>Þriðjudagur</v>
      </c>
      <c r="C86" s="33">
        <f>IF(A86&lt;&gt;"",WEEKNUM(A86,21),IF(C85&lt;&gt;"",C85,""))</f>
        <v>26</v>
      </c>
      <c r="D86" s="34" t="s">
        <v>910</v>
      </c>
      <c r="E86" s="34" t="s">
        <v>927</v>
      </c>
      <c r="F86" s="34"/>
      <c r="G86" s="34"/>
      <c r="H86" s="34" t="s">
        <v>1017</v>
      </c>
      <c r="I86" s="35"/>
      <c r="J86" s="35"/>
      <c r="K86" s="36"/>
      <c r="L86" s="26" t="str">
        <f>IF(OR(F86 = "", G86 = ""), "", IF(F86 = "Vara", IFERROR(_xlfn.SINGLE(_xlfn.XLOOKUP(G86, Vöruskrá!A:A, Vöruskrá!E:E, "")), ""), IF(F86 = "Réttur", IFERROR(_xlfn.SINGLE(_xlfn.XLOOKUP(G86, Réttabanki!A:A, Réttabanki!AS:AS, "")), ""), "")))</f>
        <v/>
      </c>
      <c r="M86" s="26" t="str">
        <f>IF(OR(F86 = "", G86 = ""), "", IF(F86 = "Vara", IFERROR(_xlfn.SINGLE(_xlfn.XLOOKUP(G86, Vöruskrá!A:A, Vöruskrá!F:F, "")), ""), IF(F86 = "Réttur", IFERROR(_xlfn.SINGLE(_xlfn.XLOOKUP(G86, Réttabanki!A:A, Réttabanki!AT:AT, "")), ""), "")))</f>
        <v/>
      </c>
      <c r="N86" s="26" t="str">
        <f>IF(OR(F86 = "", G86 = ""), "", IF(F86 = "Vara", IFERROR(_xlfn.SINGLE(_xlfn.XLOOKUP(G86, Vöruskrá!A:A, Vöruskrá!G:G, "")), ""), IF(F86 = "Réttur", IFERROR(_xlfn.SINGLE(_xlfn.XLOOKUP(G86, Réttabanki!A:A, Réttabanki!AU:AU, "")), ""), "")))</f>
        <v/>
      </c>
      <c r="O86" s="26" t="str">
        <f>IF(OR(F86 = "", G86 = "", I86 = ""), "", IF(F86 = "Vara", IFERROR(_xlfn.SINGLE(_xlfn.XLOOKUP(G86, Vöruskrá!A:A, Vöruskrá!I:I, "")) * I86 / 100, ""), IF(F86 = "Réttur", IFERROR(_xlfn.SINGLE(_xlfn.XLOOKUP(G86, Réttabanki!A:A, Réttabanki!AV:AV, "")) * I86 / 100, ""), "")))</f>
        <v/>
      </c>
      <c r="P86" s="26" t="str">
        <f>IF(OR(F86 = "", G86 = "", I86 = ""), "", IF(F86 = "Vara", IFERROR(_xlfn.SINGLE(_xlfn.XLOOKUP(G86, Vöruskrá!A:A, Vöruskrá!J:J, "")) * I86 / 100, ""), IF(F86 = "Réttur", IFERROR(_xlfn.SINGLE(_xlfn.XLOOKUP(G86, Réttabanki!A:A, Réttabanki!AW:AW, "")) * I86 / 100, ""), "")))</f>
        <v/>
      </c>
      <c r="Q86" s="26" t="str">
        <f>IF(OR(F86 = "", G86 = "", I86 = ""), "", IF(F86 = "Vara", IFERROR(_xlfn.SINGLE(_xlfn.XLOOKUP(G86, Vöruskrá!A:A, Vöruskrá!N:N, "")) * I86 / 100, ""), IF(F86 = "Réttur", IFERROR(_xlfn.SINGLE(_xlfn.XLOOKUP(G86, Réttabanki!A:A, Réttabanki!BB:BB, "")) * I86 / 100, ""), "")))</f>
        <v/>
      </c>
    </row>
    <row r="87" spans="1:17">
      <c r="B87" s="33" t="str">
        <f>IF(A87&lt;&gt;"",CHOOSE(WEEKDAY(A87,2),"Mánudagur","Þriðjudagur","Miðvikudagur","Fimmtudagur","Föstudagur","Laugardagur","Sunnudagur"),IF(B86&lt;&gt;"",B86,""))</f>
        <v>Þriðjudagur</v>
      </c>
      <c r="C87" s="33">
        <f>IF(A87&lt;&gt;"",WEEKNUM(A87,21),IF(C86&lt;&gt;"",C86,""))</f>
        <v>26</v>
      </c>
      <c r="D87" s="34" t="s">
        <v>910</v>
      </c>
      <c r="E87" s="34" t="s">
        <v>927</v>
      </c>
      <c r="F87" s="34" t="s">
        <v>913</v>
      </c>
      <c r="G87" s="34" t="s">
        <v>1018</v>
      </c>
      <c r="H87" s="34" t="s">
        <v>217</v>
      </c>
      <c r="I87" s="35">
        <v>250</v>
      </c>
      <c r="J87" s="35">
        <v>300</v>
      </c>
      <c r="K87" s="36"/>
      <c r="L87" s="26" t="str">
        <f>IF(OR(F87 = "", G87 = ""), "", IF(F87 = "Vara", IFERROR(_xlfn.SINGLE(_xlfn.XLOOKUP(G87, Vöruskrá!A:A, Vöruskrá!E:E, "")), ""), IF(F87 = "Réttur", IFERROR(_xlfn.SINGLE(_xlfn.XLOOKUP(G87, Réttabanki!A:A, Réttabanki!AS:AS, "")), ""), "")))</f>
        <v/>
      </c>
      <c r="M87" s="26" t="str">
        <f>IF(OR(F87 = "", G87 = ""), "", IF(F87 = "Vara", IFERROR(_xlfn.SINGLE(_xlfn.XLOOKUP(G87, Vöruskrá!A:A, Vöruskrá!F:F, "")), ""), IF(F87 = "Réttur", IFERROR(_xlfn.SINGLE(_xlfn.XLOOKUP(G87, Réttabanki!A:A, Réttabanki!AT:AT, "")), ""), "")))</f>
        <v/>
      </c>
      <c r="N87" s="26" t="str">
        <f>IF(OR(F87 = "", G87 = ""), "", IF(F87 = "Vara", IFERROR(_xlfn.SINGLE(_xlfn.XLOOKUP(G87, Vöruskrá!A:A, Vöruskrá!G:G, "")), ""), IF(F87 = "Réttur", IFERROR(_xlfn.SINGLE(_xlfn.XLOOKUP(G87, Réttabanki!A:A, Réttabanki!AU:AU, "")), ""), "")))</f>
        <v/>
      </c>
      <c r="O87" s="26" t="str">
        <f>IF(OR(F87 = "", G87 = "", I87 = ""), "", IF(F87 = "Vara", IFERROR(_xlfn.SINGLE(_xlfn.XLOOKUP(G87, Vöruskrá!A:A, Vöruskrá!I:I, "")) * I87 / 100, ""), IF(F87 = "Réttur", IFERROR(_xlfn.SINGLE(_xlfn.XLOOKUP(G87, Réttabanki!A:A, Réttabanki!AV:AV, "")) * I87 / 100, ""), "")))</f>
        <v/>
      </c>
      <c r="P87" s="26" t="str">
        <f>IF(OR(F87 = "", G87 = "", I87 = ""), "", IF(F87 = "Vara", IFERROR(_xlfn.SINGLE(_xlfn.XLOOKUP(G87, Vöruskrá!A:A, Vöruskrá!J:J, "")) * I87 / 100, ""), IF(F87 = "Réttur", IFERROR(_xlfn.SINGLE(_xlfn.XLOOKUP(G87, Réttabanki!A:A, Réttabanki!AW:AW, "")) * I87 / 100, ""), "")))</f>
        <v/>
      </c>
      <c r="Q87" s="26" t="str">
        <f>IF(OR(F87 = "", G87 = "", I87 = ""), "", IF(F87 = "Vara", IFERROR(_xlfn.SINGLE(_xlfn.XLOOKUP(G87, Vöruskrá!A:A, Vöruskrá!N:N, "")) * I87 / 100, ""), IF(F87 = "Réttur", IFERROR(_xlfn.SINGLE(_xlfn.XLOOKUP(G87, Réttabanki!A:A, Réttabanki!BB:BB, "")) * I87 / 100, ""), "")))</f>
        <v/>
      </c>
    </row>
    <row r="88" spans="1:17">
      <c r="B88" s="33" t="str">
        <f>IF(A88&lt;&gt;"",CHOOSE(WEEKDAY(A88,2),"Mánudagur","Þriðjudagur","Miðvikudagur","Fimmtudagur","Föstudagur","Laugardagur","Sunnudagur"),IF(B87&lt;&gt;"",B87,""))</f>
        <v>Þriðjudagur</v>
      </c>
      <c r="C88" s="33">
        <f>IF(A88&lt;&gt;"",WEEKNUM(A88,21),IF(C87&lt;&gt;"",C87,""))</f>
        <v>26</v>
      </c>
      <c r="D88" s="34" t="s">
        <v>910</v>
      </c>
      <c r="E88" s="34" t="s">
        <v>933</v>
      </c>
      <c r="F88" s="34"/>
      <c r="G88" s="34"/>
      <c r="H88" s="34" t="s">
        <v>1019</v>
      </c>
      <c r="I88" s="35"/>
      <c r="J88" s="35"/>
      <c r="K88" s="36"/>
      <c r="L88" s="26" t="str">
        <f>IF(OR(F88 = "", G88 = ""), "", IF(F88 = "Vara", IFERROR(_xlfn.SINGLE(_xlfn.XLOOKUP(G88, Vöruskrá!A:A, Vöruskrá!E:E, "")), ""), IF(F88 = "Réttur", IFERROR(_xlfn.SINGLE(_xlfn.XLOOKUP(G88, Réttabanki!A:A, Réttabanki!AS:AS, "")), ""), "")))</f>
        <v/>
      </c>
      <c r="M88" s="26" t="str">
        <f>IF(OR(F88 = "", G88 = ""), "", IF(F88 = "Vara", IFERROR(_xlfn.SINGLE(_xlfn.XLOOKUP(G88, Vöruskrá!A:A, Vöruskrá!F:F, "")), ""), IF(F88 = "Réttur", IFERROR(_xlfn.SINGLE(_xlfn.XLOOKUP(G88, Réttabanki!A:A, Réttabanki!AT:AT, "")), ""), "")))</f>
        <v/>
      </c>
      <c r="N88" s="26" t="str">
        <f>IF(OR(F88 = "", G88 = ""), "", IF(F88 = "Vara", IFERROR(_xlfn.SINGLE(_xlfn.XLOOKUP(G88, Vöruskrá!A:A, Vöruskrá!G:G, "")), ""), IF(F88 = "Réttur", IFERROR(_xlfn.SINGLE(_xlfn.XLOOKUP(G88, Réttabanki!A:A, Réttabanki!AU:AU, "")), ""), "")))</f>
        <v/>
      </c>
      <c r="O88" s="26" t="str">
        <f>IF(OR(F88 = "", G88 = "", I88 = ""), "", IF(F88 = "Vara", IFERROR(_xlfn.SINGLE(_xlfn.XLOOKUP(G88, Vöruskrá!A:A, Vöruskrá!I:I, "")) * I88 / 100, ""), IF(F88 = "Réttur", IFERROR(_xlfn.SINGLE(_xlfn.XLOOKUP(G88, Réttabanki!A:A, Réttabanki!AV:AV, "")) * I88 / 100, ""), "")))</f>
        <v/>
      </c>
      <c r="P88" s="26" t="str">
        <f>IF(OR(F88 = "", G88 = "", I88 = ""), "", IF(F88 = "Vara", IFERROR(_xlfn.SINGLE(_xlfn.XLOOKUP(G88, Vöruskrá!A:A, Vöruskrá!J:J, "")) * I88 / 100, ""), IF(F88 = "Réttur", IFERROR(_xlfn.SINGLE(_xlfn.XLOOKUP(G88, Réttabanki!A:A, Réttabanki!AW:AW, "")) * I88 / 100, ""), "")))</f>
        <v/>
      </c>
      <c r="Q88" s="26" t="str">
        <f>IF(OR(F88 = "", G88 = "", I88 = ""), "", IF(F88 = "Vara", IFERROR(_xlfn.SINGLE(_xlfn.XLOOKUP(G88, Vöruskrá!A:A, Vöruskrá!N:N, "")) * I88 / 100, ""), IF(F88 = "Réttur", IFERROR(_xlfn.SINGLE(_xlfn.XLOOKUP(G88, Réttabanki!A:A, Réttabanki!BB:BB, "")) * I88 / 100, ""), "")))</f>
        <v/>
      </c>
    </row>
    <row r="89" spans="1:17">
      <c r="B89" s="33" t="str">
        <f>IF(A89&lt;&gt;"",CHOOSE(WEEKDAY(A89,2),"Mánudagur","Þriðjudagur","Miðvikudagur","Fimmtudagur","Föstudagur","Laugardagur","Sunnudagur"),IF(B88&lt;&gt;"",B88,""))</f>
        <v>Þriðjudagur</v>
      </c>
      <c r="C89" s="33">
        <f>IF(A89&lt;&gt;"",WEEKNUM(A89,21),IF(C88&lt;&gt;"",C88,""))</f>
        <v>26</v>
      </c>
      <c r="D89" s="34" t="s">
        <v>910</v>
      </c>
      <c r="E89" s="34" t="s">
        <v>933</v>
      </c>
      <c r="F89" s="34" t="s">
        <v>913</v>
      </c>
      <c r="G89" s="34" t="s">
        <v>1020</v>
      </c>
      <c r="H89" s="34" t="s">
        <v>1021</v>
      </c>
      <c r="I89" s="35">
        <v>30</v>
      </c>
      <c r="J89" s="35">
        <v>40</v>
      </c>
      <c r="K89" s="36"/>
      <c r="L89" s="26" t="str">
        <f>IF(OR(F89 = "", G89 = ""), "", IF(F89 = "Vara", IFERROR(_xlfn.SINGLE(_xlfn.XLOOKUP(G89, Vöruskrá!A:A, Vöruskrá!E:E, "")), ""), IF(F89 = "Réttur", IFERROR(_xlfn.SINGLE(_xlfn.XLOOKUP(G89, Réttabanki!A:A, Réttabanki!AS:AS, "")), ""), "")))</f>
        <v/>
      </c>
      <c r="M89" s="26" t="str">
        <f>IF(OR(F89 = "", G89 = ""), "", IF(F89 = "Vara", IFERROR(_xlfn.SINGLE(_xlfn.XLOOKUP(G89, Vöruskrá!A:A, Vöruskrá!F:F, "")), ""), IF(F89 = "Réttur", IFERROR(_xlfn.SINGLE(_xlfn.XLOOKUP(G89, Réttabanki!A:A, Réttabanki!AT:AT, "")), ""), "")))</f>
        <v/>
      </c>
      <c r="N89" s="26" t="str">
        <f>IF(OR(F89 = "", G89 = ""), "", IF(F89 = "Vara", IFERROR(_xlfn.SINGLE(_xlfn.XLOOKUP(G89, Vöruskrá!A:A, Vöruskrá!G:G, "")), ""), IF(F89 = "Réttur", IFERROR(_xlfn.SINGLE(_xlfn.XLOOKUP(G89, Réttabanki!A:A, Réttabanki!AU:AU, "")), ""), "")))</f>
        <v/>
      </c>
      <c r="O89" s="26" t="str">
        <f>IF(OR(F89 = "", G89 = "", I89 = ""), "", IF(F89 = "Vara", IFERROR(_xlfn.SINGLE(_xlfn.XLOOKUP(G89, Vöruskrá!A:A, Vöruskrá!I:I, "")) * I89 / 100, ""), IF(F89 = "Réttur", IFERROR(_xlfn.SINGLE(_xlfn.XLOOKUP(G89, Réttabanki!A:A, Réttabanki!AV:AV, "")) * I89 / 100, ""), "")))</f>
        <v/>
      </c>
      <c r="P89" s="26" t="str">
        <f>IF(OR(F89 = "", G89 = "", I89 = ""), "", IF(F89 = "Vara", IFERROR(_xlfn.SINGLE(_xlfn.XLOOKUP(G89, Vöruskrá!A:A, Vöruskrá!J:J, "")) * I89 / 100, ""), IF(F89 = "Réttur", IFERROR(_xlfn.SINGLE(_xlfn.XLOOKUP(G89, Réttabanki!A:A, Réttabanki!AW:AW, "")) * I89 / 100, ""), "")))</f>
        <v/>
      </c>
      <c r="Q89" s="26" t="str">
        <f>IF(OR(F89 = "", G89 = "", I89 = ""), "", IF(F89 = "Vara", IFERROR(_xlfn.SINGLE(_xlfn.XLOOKUP(G89, Vöruskrá!A:A, Vöruskrá!N:N, "")) * I89 / 100, ""), IF(F89 = "Réttur", IFERROR(_xlfn.SINGLE(_xlfn.XLOOKUP(G89, Réttabanki!A:A, Réttabanki!BB:BB, "")) * I89 / 100, ""), "")))</f>
        <v/>
      </c>
    </row>
    <row r="90" spans="1:17">
      <c r="B90" s="33" t="str">
        <f>IF(A90&lt;&gt;"",CHOOSE(WEEKDAY(A90,2),"Mánudagur","Þriðjudagur","Miðvikudagur","Fimmtudagur","Föstudagur","Laugardagur","Sunnudagur"),IF(B89&lt;&gt;"",B89,""))</f>
        <v>Þriðjudagur</v>
      </c>
      <c r="C90" s="33">
        <f>IF(A90&lt;&gt;"",WEEKNUM(A90,21),IF(C89&lt;&gt;"",C89,""))</f>
        <v>26</v>
      </c>
      <c r="D90" s="34" t="s">
        <v>910</v>
      </c>
      <c r="E90" s="34" t="s">
        <v>933</v>
      </c>
      <c r="F90" s="34" t="s">
        <v>913</v>
      </c>
      <c r="G90" s="34" t="s">
        <v>939</v>
      </c>
      <c r="H90" s="34" t="s">
        <v>940</v>
      </c>
      <c r="I90" s="35">
        <v>15</v>
      </c>
      <c r="J90" s="35">
        <v>20</v>
      </c>
      <c r="K90" s="36"/>
      <c r="L90" s="26" t="str">
        <f>IF(OR(F90 = "", G90 = ""), "", IF(F90 = "Vara", IFERROR(_xlfn.SINGLE(_xlfn.XLOOKUP(G90, Vöruskrá!A:A, Vöruskrá!E:E, "")), ""), IF(F90 = "Réttur", IFERROR(_xlfn.SINGLE(_xlfn.XLOOKUP(G90, Réttabanki!A:A, Réttabanki!AS:AS, "")), ""), "")))</f>
        <v/>
      </c>
      <c r="M90" s="26" t="str">
        <f>IF(OR(F90 = "", G90 = ""), "", IF(F90 = "Vara", IFERROR(_xlfn.SINGLE(_xlfn.XLOOKUP(G90, Vöruskrá!A:A, Vöruskrá!F:F, "")), ""), IF(F90 = "Réttur", IFERROR(_xlfn.SINGLE(_xlfn.XLOOKUP(G90, Réttabanki!A:A, Réttabanki!AT:AT, "")), ""), "")))</f>
        <v/>
      </c>
      <c r="N90" s="26" t="str">
        <f>IF(OR(F90 = "", G90 = ""), "", IF(F90 = "Vara", IFERROR(_xlfn.SINGLE(_xlfn.XLOOKUP(G90, Vöruskrá!A:A, Vöruskrá!G:G, "")), ""), IF(F90 = "Réttur", IFERROR(_xlfn.SINGLE(_xlfn.XLOOKUP(G90, Réttabanki!A:A, Réttabanki!AU:AU, "")), ""), "")))</f>
        <v/>
      </c>
      <c r="O90" s="26" t="str">
        <f>IF(OR(F90 = "", G90 = "", I90 = ""), "", IF(F90 = "Vara", IFERROR(_xlfn.SINGLE(_xlfn.XLOOKUP(G90, Vöruskrá!A:A, Vöruskrá!I:I, "")) * I90 / 100, ""), IF(F90 = "Réttur", IFERROR(_xlfn.SINGLE(_xlfn.XLOOKUP(G90, Réttabanki!A:A, Réttabanki!AV:AV, "")) * I90 / 100, ""), "")))</f>
        <v/>
      </c>
      <c r="P90" s="26" t="str">
        <f>IF(OR(F90 = "", G90 = "", I90 = ""), "", IF(F90 = "Vara", IFERROR(_xlfn.SINGLE(_xlfn.XLOOKUP(G90, Vöruskrá!A:A, Vöruskrá!J:J, "")) * I90 / 100, ""), IF(F90 = "Réttur", IFERROR(_xlfn.SINGLE(_xlfn.XLOOKUP(G90, Réttabanki!A:A, Réttabanki!AW:AW, "")) * I90 / 100, ""), "")))</f>
        <v/>
      </c>
      <c r="Q90" s="26" t="str">
        <f>IF(OR(F90 = "", G90 = "", I90 = ""), "", IF(F90 = "Vara", IFERROR(_xlfn.SINGLE(_xlfn.XLOOKUP(G90, Vöruskrá!A:A, Vöruskrá!N:N, "")) * I90 / 100, ""), IF(F90 = "Réttur", IFERROR(_xlfn.SINGLE(_xlfn.XLOOKUP(G90, Réttabanki!A:A, Réttabanki!BB:BB, "")) * I90 / 100, ""), "")))</f>
        <v/>
      </c>
    </row>
    <row r="91" spans="1:17">
      <c r="B91" s="33" t="str">
        <f>IF(A91&lt;&gt;"",CHOOSE(WEEKDAY(A91,2),"Mánudagur","Þriðjudagur","Miðvikudagur","Fimmtudagur","Föstudagur","Laugardagur","Sunnudagur"),IF(B90&lt;&gt;"",B90,""))</f>
        <v>Þriðjudagur</v>
      </c>
      <c r="C91" s="33">
        <f>IF(A91&lt;&gt;"",WEEKNUM(A91,21),IF(C90&lt;&gt;"",C90,""))</f>
        <v>26</v>
      </c>
      <c r="D91" s="34" t="s">
        <v>910</v>
      </c>
      <c r="E91" s="34" t="s">
        <v>933</v>
      </c>
      <c r="F91" s="34" t="s">
        <v>913</v>
      </c>
      <c r="G91" s="34" t="s">
        <v>937</v>
      </c>
      <c r="H91" s="34" t="s">
        <v>938</v>
      </c>
      <c r="I91" s="35">
        <v>5</v>
      </c>
      <c r="J91" s="35">
        <v>10</v>
      </c>
      <c r="K91" s="36"/>
      <c r="L91" s="26" t="str">
        <f>IF(OR(F91 = "", G91 = ""), "", IF(F91 = "Vara", IFERROR(_xlfn.SINGLE(_xlfn.XLOOKUP(G91, Vöruskrá!A:A, Vöruskrá!E:E, "")), ""), IF(F91 = "Réttur", IFERROR(_xlfn.SINGLE(_xlfn.XLOOKUP(G91, Réttabanki!A:A, Réttabanki!AS:AS, "")), ""), "")))</f>
        <v/>
      </c>
      <c r="M91" s="26" t="str">
        <f>IF(OR(F91 = "", G91 = ""), "", IF(F91 = "Vara", IFERROR(_xlfn.SINGLE(_xlfn.XLOOKUP(G91, Vöruskrá!A:A, Vöruskrá!F:F, "")), ""), IF(F91 = "Réttur", IFERROR(_xlfn.SINGLE(_xlfn.XLOOKUP(G91, Réttabanki!A:A, Réttabanki!AT:AT, "")), ""), "")))</f>
        <v/>
      </c>
      <c r="N91" s="26" t="str">
        <f>IF(OR(F91 = "", G91 = ""), "", IF(F91 = "Vara", IFERROR(_xlfn.SINGLE(_xlfn.XLOOKUP(G91, Vöruskrá!A:A, Vöruskrá!G:G, "")), ""), IF(F91 = "Réttur", IFERROR(_xlfn.SINGLE(_xlfn.XLOOKUP(G91, Réttabanki!A:A, Réttabanki!AU:AU, "")), ""), "")))</f>
        <v/>
      </c>
      <c r="O91" s="26" t="str">
        <f>IF(OR(F91 = "", G91 = "", I91 = ""), "", IF(F91 = "Vara", IFERROR(_xlfn.SINGLE(_xlfn.XLOOKUP(G91, Vöruskrá!A:A, Vöruskrá!I:I, "")) * I91 / 100, ""), IF(F91 = "Réttur", IFERROR(_xlfn.SINGLE(_xlfn.XLOOKUP(G91, Réttabanki!A:A, Réttabanki!AV:AV, "")) * I91 / 100, ""), "")))</f>
        <v/>
      </c>
      <c r="P91" s="26" t="str">
        <f>IF(OR(F91 = "", G91 = "", I91 = ""), "", IF(F91 = "Vara", IFERROR(_xlfn.SINGLE(_xlfn.XLOOKUP(G91, Vöruskrá!A:A, Vöruskrá!J:J, "")) * I91 / 100, ""), IF(F91 = "Réttur", IFERROR(_xlfn.SINGLE(_xlfn.XLOOKUP(G91, Réttabanki!A:A, Réttabanki!AW:AW, "")) * I91 / 100, ""), "")))</f>
        <v/>
      </c>
      <c r="Q91" s="26" t="str">
        <f>IF(OR(F91 = "", G91 = "", I91 = ""), "", IF(F91 = "Vara", IFERROR(_xlfn.SINGLE(_xlfn.XLOOKUP(G91, Vöruskrá!A:A, Vöruskrá!N:N, "")) * I91 / 100, ""), IF(F91 = "Réttur", IFERROR(_xlfn.SINGLE(_xlfn.XLOOKUP(G91, Réttabanki!A:A, Réttabanki!BB:BB, "")) * I91 / 100, ""), "")))</f>
        <v/>
      </c>
    </row>
    <row r="92" spans="1:17">
      <c r="B92" s="33" t="str">
        <f>IF(A92&lt;&gt;"",CHOOSE(WEEKDAY(A92,2),"Mánudagur","Þriðjudagur","Miðvikudagur","Fimmtudagur","Föstudagur","Laugardagur","Sunnudagur"),IF(B91&lt;&gt;"",B91,""))</f>
        <v>Þriðjudagur</v>
      </c>
      <c r="C92" s="33">
        <f>IF(A92&lt;&gt;"",WEEKNUM(A92,21),IF(C91&lt;&gt;"",C91,""))</f>
        <v>26</v>
      </c>
      <c r="D92" s="34" t="s">
        <v>910</v>
      </c>
      <c r="E92" s="34" t="s">
        <v>941</v>
      </c>
      <c r="F92" s="34"/>
      <c r="G92" s="34"/>
      <c r="H92" s="34" t="s">
        <v>1022</v>
      </c>
      <c r="I92" s="35"/>
      <c r="J92" s="35"/>
      <c r="K92" s="36"/>
      <c r="L92" s="26" t="str">
        <f>IF(OR(F92 = "", G92 = ""), "", IF(F92 = "Vara", IFERROR(_xlfn.SINGLE(_xlfn.XLOOKUP(G92, Vöruskrá!A:A, Vöruskrá!E:E, "")), ""), IF(F92 = "Réttur", IFERROR(_xlfn.SINGLE(_xlfn.XLOOKUP(G92, Réttabanki!A:A, Réttabanki!AS:AS, "")), ""), "")))</f>
        <v/>
      </c>
      <c r="M92" s="26" t="str">
        <f>IF(OR(F92 = "", G92 = ""), "", IF(F92 = "Vara", IFERROR(_xlfn.SINGLE(_xlfn.XLOOKUP(G92, Vöruskrá!A:A, Vöruskrá!F:F, "")), ""), IF(F92 = "Réttur", IFERROR(_xlfn.SINGLE(_xlfn.XLOOKUP(G92, Réttabanki!A:A, Réttabanki!AT:AT, "")), ""), "")))</f>
        <v/>
      </c>
      <c r="N92" s="26" t="str">
        <f>IF(OR(F92 = "", G92 = ""), "", IF(F92 = "Vara", IFERROR(_xlfn.SINGLE(_xlfn.XLOOKUP(G92, Vöruskrá!A:A, Vöruskrá!G:G, "")), ""), IF(F92 = "Réttur", IFERROR(_xlfn.SINGLE(_xlfn.XLOOKUP(G92, Réttabanki!A:A, Réttabanki!AU:AU, "")), ""), "")))</f>
        <v/>
      </c>
      <c r="O92" s="26" t="str">
        <f>IF(OR(F92 = "", G92 = "", I92 = ""), "", IF(F92 = "Vara", IFERROR(_xlfn.SINGLE(_xlfn.XLOOKUP(G92, Vöruskrá!A:A, Vöruskrá!I:I, "")) * I92 / 100, ""), IF(F92 = "Réttur", IFERROR(_xlfn.SINGLE(_xlfn.XLOOKUP(G92, Réttabanki!A:A, Réttabanki!AV:AV, "")) * I92 / 100, ""), "")))</f>
        <v/>
      </c>
      <c r="P92" s="26" t="str">
        <f>IF(OR(F92 = "", G92 = "", I92 = ""), "", IF(F92 = "Vara", IFERROR(_xlfn.SINGLE(_xlfn.XLOOKUP(G92, Vöruskrá!A:A, Vöruskrá!J:J, "")) * I92 / 100, ""), IF(F92 = "Réttur", IFERROR(_xlfn.SINGLE(_xlfn.XLOOKUP(G92, Réttabanki!A:A, Réttabanki!AW:AW, "")) * I92 / 100, ""), "")))</f>
        <v/>
      </c>
      <c r="Q92" s="26" t="str">
        <f>IF(OR(F92 = "", G92 = "", I92 = ""), "", IF(F92 = "Vara", IFERROR(_xlfn.SINGLE(_xlfn.XLOOKUP(G92, Vöruskrá!A:A, Vöruskrá!N:N, "")) * I92 / 100, ""), IF(F92 = "Réttur", IFERROR(_xlfn.SINGLE(_xlfn.XLOOKUP(G92, Réttabanki!A:A, Réttabanki!BB:BB, "")) * I92 / 100, ""), "")))</f>
        <v/>
      </c>
    </row>
    <row r="93" spans="1:17">
      <c r="B93" s="33" t="str">
        <f>IF(A93&lt;&gt;"",CHOOSE(WEEKDAY(A93,2),"Mánudagur","Þriðjudagur","Miðvikudagur","Fimmtudagur","Föstudagur","Laugardagur","Sunnudagur"),IF(B92&lt;&gt;"",B92,""))</f>
        <v>Þriðjudagur</v>
      </c>
      <c r="C93" s="33">
        <f>IF(A93&lt;&gt;"",WEEKNUM(A93,21),IF(C92&lt;&gt;"",C92,""))</f>
        <v>26</v>
      </c>
      <c r="D93" s="34" t="s">
        <v>910</v>
      </c>
      <c r="E93" s="34" t="s">
        <v>941</v>
      </c>
      <c r="F93" s="34" t="s">
        <v>913</v>
      </c>
      <c r="G93" s="34" t="s">
        <v>1023</v>
      </c>
      <c r="H93" s="34" t="s">
        <v>82</v>
      </c>
      <c r="I93" s="35">
        <v>25</v>
      </c>
      <c r="J93" s="35">
        <v>35</v>
      </c>
      <c r="K93" s="36"/>
      <c r="L93" s="26" t="str">
        <f>IF(OR(F93 = "", G93 = ""), "", IF(F93 = "Vara", IFERROR(_xlfn.SINGLE(_xlfn.XLOOKUP(G93, Vöruskrá!A:A, Vöruskrá!E:E, "")), ""), IF(F93 = "Réttur", IFERROR(_xlfn.SINGLE(_xlfn.XLOOKUP(G93, Réttabanki!A:A, Réttabanki!AS:AS, "")), ""), "")))</f>
        <v/>
      </c>
      <c r="M93" s="26" t="str">
        <f>IF(OR(F93 = "", G93 = ""), "", IF(F93 = "Vara", IFERROR(_xlfn.SINGLE(_xlfn.XLOOKUP(G93, Vöruskrá!A:A, Vöruskrá!F:F, "")), ""), IF(F93 = "Réttur", IFERROR(_xlfn.SINGLE(_xlfn.XLOOKUP(G93, Réttabanki!A:A, Réttabanki!AT:AT, "")), ""), "")))</f>
        <v/>
      </c>
      <c r="N93" s="26" t="str">
        <f>IF(OR(F93 = "", G93 = ""), "", IF(F93 = "Vara", IFERROR(_xlfn.SINGLE(_xlfn.XLOOKUP(G93, Vöruskrá!A:A, Vöruskrá!G:G, "")), ""), IF(F93 = "Réttur", IFERROR(_xlfn.SINGLE(_xlfn.XLOOKUP(G93, Réttabanki!A:A, Réttabanki!AU:AU, "")), ""), "")))</f>
        <v/>
      </c>
      <c r="O93" s="26" t="str">
        <f>IF(OR(F93 = "", G93 = "", I93 = ""), "", IF(F93 = "Vara", IFERROR(_xlfn.SINGLE(_xlfn.XLOOKUP(G93, Vöruskrá!A:A, Vöruskrá!I:I, "")) * I93 / 100, ""), IF(F93 = "Réttur", IFERROR(_xlfn.SINGLE(_xlfn.XLOOKUP(G93, Réttabanki!A:A, Réttabanki!AV:AV, "")) * I93 / 100, ""), "")))</f>
        <v/>
      </c>
      <c r="P93" s="26" t="str">
        <f>IF(OR(F93 = "", G93 = "", I93 = ""), "", IF(F93 = "Vara", IFERROR(_xlfn.SINGLE(_xlfn.XLOOKUP(G93, Vöruskrá!A:A, Vöruskrá!J:J, "")) * I93 / 100, ""), IF(F93 = "Réttur", IFERROR(_xlfn.SINGLE(_xlfn.XLOOKUP(G93, Réttabanki!A:A, Réttabanki!AW:AW, "")) * I93 / 100, ""), "")))</f>
        <v/>
      </c>
      <c r="Q93" s="26" t="str">
        <f>IF(OR(F93 = "", G93 = "", I93 = ""), "", IF(F93 = "Vara", IFERROR(_xlfn.SINGLE(_xlfn.XLOOKUP(G93, Vöruskrá!A:A, Vöruskrá!N:N, "")) * I93 / 100, ""), IF(F93 = "Réttur", IFERROR(_xlfn.SINGLE(_xlfn.XLOOKUP(G93, Réttabanki!A:A, Réttabanki!BB:BB, "")) * I93 / 100, ""), "")))</f>
        <v/>
      </c>
    </row>
    <row r="94" spans="1:17">
      <c r="B94" s="33" t="str">
        <f>IF(A94&lt;&gt;"",CHOOSE(WEEKDAY(A94,2),"Mánudagur","Þriðjudagur","Miðvikudagur","Fimmtudagur","Föstudagur","Laugardagur","Sunnudagur"),IF(B93&lt;&gt;"",B93,""))</f>
        <v>Þriðjudagur</v>
      </c>
      <c r="C94" s="33">
        <f>IF(A94&lt;&gt;"",WEEKNUM(A94,21),IF(C93&lt;&gt;"",C93,""))</f>
        <v>26</v>
      </c>
      <c r="D94" s="34" t="s">
        <v>910</v>
      </c>
      <c r="E94" s="34" t="s">
        <v>941</v>
      </c>
      <c r="F94" s="34" t="s">
        <v>913</v>
      </c>
      <c r="G94" s="34" t="s">
        <v>1024</v>
      </c>
      <c r="H94" s="34" t="s">
        <v>1025</v>
      </c>
      <c r="I94" s="35">
        <v>15</v>
      </c>
      <c r="J94" s="35">
        <v>20</v>
      </c>
      <c r="K94" s="36"/>
      <c r="L94" s="26" t="str">
        <f>IF(OR(F94 = "", G94 = ""), "", IF(F94 = "Vara", IFERROR(_xlfn.SINGLE(_xlfn.XLOOKUP(G94, Vöruskrá!A:A, Vöruskrá!E:E, "")), ""), IF(F94 = "Réttur", IFERROR(_xlfn.SINGLE(_xlfn.XLOOKUP(G94, Réttabanki!A:A, Réttabanki!AS:AS, "")), ""), "")))</f>
        <v/>
      </c>
      <c r="M94" s="26" t="str">
        <f>IF(OR(F94 = "", G94 = ""), "", IF(F94 = "Vara", IFERROR(_xlfn.SINGLE(_xlfn.XLOOKUP(G94, Vöruskrá!A:A, Vöruskrá!F:F, "")), ""), IF(F94 = "Réttur", IFERROR(_xlfn.SINGLE(_xlfn.XLOOKUP(G94, Réttabanki!A:A, Réttabanki!AT:AT, "")), ""), "")))</f>
        <v/>
      </c>
      <c r="N94" s="26" t="str">
        <f>IF(OR(F94 = "", G94 = ""), "", IF(F94 = "Vara", IFERROR(_xlfn.SINGLE(_xlfn.XLOOKUP(G94, Vöruskrá!A:A, Vöruskrá!G:G, "")), ""), IF(F94 = "Réttur", IFERROR(_xlfn.SINGLE(_xlfn.XLOOKUP(G94, Réttabanki!A:A, Réttabanki!AU:AU, "")), ""), "")))</f>
        <v/>
      </c>
      <c r="O94" s="26" t="str">
        <f>IF(OR(F94 = "", G94 = "", I94 = ""), "", IF(F94 = "Vara", IFERROR(_xlfn.SINGLE(_xlfn.XLOOKUP(G94, Vöruskrá!A:A, Vöruskrá!I:I, "")) * I94 / 100, ""), IF(F94 = "Réttur", IFERROR(_xlfn.SINGLE(_xlfn.XLOOKUP(G94, Réttabanki!A:A, Réttabanki!AV:AV, "")) * I94 / 100, ""), "")))</f>
        <v/>
      </c>
      <c r="P94" s="26" t="str">
        <f>IF(OR(F94 = "", G94 = "", I94 = ""), "", IF(F94 = "Vara", IFERROR(_xlfn.SINGLE(_xlfn.XLOOKUP(G94, Vöruskrá!A:A, Vöruskrá!J:J, "")) * I94 / 100, ""), IF(F94 = "Réttur", IFERROR(_xlfn.SINGLE(_xlfn.XLOOKUP(G94, Réttabanki!A:A, Réttabanki!AW:AW, "")) * I94 / 100, ""), "")))</f>
        <v/>
      </c>
      <c r="Q94" s="26" t="str">
        <f>IF(OR(F94 = "", G94 = "", I94 = ""), "", IF(F94 = "Vara", IFERROR(_xlfn.SINGLE(_xlfn.XLOOKUP(G94, Vöruskrá!A:A, Vöruskrá!N:N, "")) * I94 / 100, ""), IF(F94 = "Réttur", IFERROR(_xlfn.SINGLE(_xlfn.XLOOKUP(G94, Réttabanki!A:A, Réttabanki!BB:BB, "")) * I94 / 100, ""), "")))</f>
        <v/>
      </c>
    </row>
    <row r="95" spans="1:17">
      <c r="B95" s="33" t="str">
        <f>IF(A95&lt;&gt;"",CHOOSE(WEEKDAY(A95,2),"Mánudagur","Þriðjudagur","Miðvikudagur","Fimmtudagur","Föstudagur","Laugardagur","Sunnudagur"),IF(B94&lt;&gt;"",B94,""))</f>
        <v>Þriðjudagur</v>
      </c>
      <c r="C95" s="33">
        <f>IF(A95&lt;&gt;"",WEEKNUM(A95,21),IF(C94&lt;&gt;"",C94,""))</f>
        <v>26</v>
      </c>
      <c r="D95" s="34" t="s">
        <v>910</v>
      </c>
      <c r="E95" s="34" t="s">
        <v>941</v>
      </c>
      <c r="F95" s="34" t="s">
        <v>913</v>
      </c>
      <c r="G95" s="34" t="s">
        <v>975</v>
      </c>
      <c r="H95" s="34" t="s">
        <v>976</v>
      </c>
      <c r="I95" s="35">
        <v>20</v>
      </c>
      <c r="J95" s="35">
        <v>30</v>
      </c>
      <c r="K95" s="36"/>
      <c r="L95" s="26" t="str">
        <f>IF(OR(F95 = "", G95 = ""), "", IF(F95 = "Vara", IFERROR(_xlfn.SINGLE(_xlfn.XLOOKUP(G95, Vöruskrá!A:A, Vöruskrá!E:E, "")), ""), IF(F95 = "Réttur", IFERROR(_xlfn.SINGLE(_xlfn.XLOOKUP(G95, Réttabanki!A:A, Réttabanki!AS:AS, "")), ""), "")))</f>
        <v/>
      </c>
      <c r="M95" s="26" t="str">
        <f>IF(OR(F95 = "", G95 = ""), "", IF(F95 = "Vara", IFERROR(_xlfn.SINGLE(_xlfn.XLOOKUP(G95, Vöruskrá!A:A, Vöruskrá!F:F, "")), ""), IF(F95 = "Réttur", IFERROR(_xlfn.SINGLE(_xlfn.XLOOKUP(G95, Réttabanki!A:A, Réttabanki!AT:AT, "")), ""), "")))</f>
        <v/>
      </c>
      <c r="N95" s="26" t="str">
        <f>IF(OR(F95 = "", G95 = ""), "", IF(F95 = "Vara", IFERROR(_xlfn.SINGLE(_xlfn.XLOOKUP(G95, Vöruskrá!A:A, Vöruskrá!G:G, "")), ""), IF(F95 = "Réttur", IFERROR(_xlfn.SINGLE(_xlfn.XLOOKUP(G95, Réttabanki!A:A, Réttabanki!AU:AU, "")), ""), "")))</f>
        <v/>
      </c>
      <c r="O95" s="26" t="str">
        <f>IF(OR(F95 = "", G95 = "", I95 = ""), "", IF(F95 = "Vara", IFERROR(_xlfn.SINGLE(_xlfn.XLOOKUP(G95, Vöruskrá!A:A, Vöruskrá!I:I, "")) * I95 / 100, ""), IF(F95 = "Réttur", IFERROR(_xlfn.SINGLE(_xlfn.XLOOKUP(G95, Réttabanki!A:A, Réttabanki!AV:AV, "")) * I95 / 100, ""), "")))</f>
        <v/>
      </c>
      <c r="P95" s="26" t="str">
        <f>IF(OR(F95 = "", G95 = "", I95 = ""), "", IF(F95 = "Vara", IFERROR(_xlfn.SINGLE(_xlfn.XLOOKUP(G95, Vöruskrá!A:A, Vöruskrá!J:J, "")) * I95 / 100, ""), IF(F95 = "Réttur", IFERROR(_xlfn.SINGLE(_xlfn.XLOOKUP(G95, Réttabanki!A:A, Réttabanki!AW:AW, "")) * I95 / 100, ""), "")))</f>
        <v/>
      </c>
      <c r="Q95" s="26" t="str">
        <f>IF(OR(F95 = "", G95 = "", I95 = ""), "", IF(F95 = "Vara", IFERROR(_xlfn.SINGLE(_xlfn.XLOOKUP(G95, Vöruskrá!A:A, Vöruskrá!N:N, "")) * I95 / 100, ""), IF(F95 = "Réttur", IFERROR(_xlfn.SINGLE(_xlfn.XLOOKUP(G95, Réttabanki!A:A, Réttabanki!BB:BB, "")) * I95 / 100, ""), "")))</f>
        <v/>
      </c>
    </row>
    <row r="96" spans="1:17">
      <c r="A96" s="32">
        <v>46197</v>
      </c>
      <c r="B96" s="33" t="str">
        <f>IF(A96&lt;&gt;"",CHOOSE(WEEKDAY(A96,2),"Mánudagur","Þriðjudagur","Miðvikudagur","Fimmtudagur","Föstudagur","Laugardagur","Sunnudagur"),IF(#REF!&lt;&gt;"",#REF!,""))</f>
        <v>Miðvikudagur</v>
      </c>
      <c r="C96" s="33">
        <f>IF(A96&lt;&gt;"",WEEKNUM(A96,21),IF(#REF!&lt;&gt;"",#REF!,""))</f>
        <v>26</v>
      </c>
      <c r="D96" s="34" t="s">
        <v>910</v>
      </c>
      <c r="E96" s="34" t="s">
        <v>921</v>
      </c>
      <c r="F96" s="34"/>
      <c r="G96" s="34"/>
      <c r="H96" s="34" t="s">
        <v>1026</v>
      </c>
      <c r="I96" s="35"/>
      <c r="J96" s="35"/>
      <c r="K96" s="36"/>
      <c r="L96" s="26" t="str">
        <f>IF(OR(F96 = "", G96 = ""), "", IF(F96 = "Vara", IFERROR(_xlfn.SINGLE(_xlfn.XLOOKUP(G96, Vöruskrá!A:A, Vöruskrá!E:E, "")), ""), IF(F96 = "Réttur", IFERROR(_xlfn.SINGLE(_xlfn.XLOOKUP(G96, Réttabanki!A:A, Réttabanki!AS:AS, "")), ""), "")))</f>
        <v/>
      </c>
      <c r="M96" s="26" t="str">
        <f>IF(OR(F96 = "", G96 = ""), "", IF(F96 = "Vara", IFERROR(_xlfn.SINGLE(_xlfn.XLOOKUP(G96, Vöruskrá!A:A, Vöruskrá!F:F, "")), ""), IF(F96 = "Réttur", IFERROR(_xlfn.SINGLE(_xlfn.XLOOKUP(G96, Réttabanki!A:A, Réttabanki!AT:AT, "")), ""), "")))</f>
        <v/>
      </c>
      <c r="N96" s="26" t="str">
        <f>IF(OR(F96 = "", G96 = ""), "", IF(F96 = "Vara", IFERROR(_xlfn.SINGLE(_xlfn.XLOOKUP(G96, Vöruskrá!A:A, Vöruskrá!G:G, "")), ""), IF(F96 = "Réttur", IFERROR(_xlfn.SINGLE(_xlfn.XLOOKUP(G96, Réttabanki!A:A, Réttabanki!AU:AU, "")), ""), "")))</f>
        <v/>
      </c>
      <c r="O96" s="26" t="str">
        <f>IF(OR(F96 = "", G96 = "", I96 = ""), "", IF(F96 = "Vara", IFERROR(_xlfn.SINGLE(_xlfn.XLOOKUP(G96, Vöruskrá!A:A, Vöruskrá!I:I, "")) * I96 / 100, ""), IF(F96 = "Réttur", IFERROR(_xlfn.SINGLE(_xlfn.XLOOKUP(G96, Réttabanki!A:A, Réttabanki!AV:AV, "")) * I96 / 100, ""), "")))</f>
        <v/>
      </c>
      <c r="P96" s="26" t="str">
        <f>IF(OR(F96 = "", G96 = "", I96 = ""), "", IF(F96 = "Vara", IFERROR(_xlfn.SINGLE(_xlfn.XLOOKUP(G96, Vöruskrá!A:A, Vöruskrá!J:J, "")) * I96 / 100, ""), IF(F96 = "Réttur", IFERROR(_xlfn.SINGLE(_xlfn.XLOOKUP(G96, Réttabanki!A:A, Réttabanki!AW:AW, "")) * I96 / 100, ""), "")))</f>
        <v/>
      </c>
      <c r="Q96" s="26" t="str">
        <f>IF(OR(F96 = "", G96 = "", I96 = ""), "", IF(F96 = "Vara", IFERROR(_xlfn.SINGLE(_xlfn.XLOOKUP(G96, Vöruskrá!A:A, Vöruskrá!N:N, "")) * I96 / 100, ""), IF(F96 = "Réttur", IFERROR(_xlfn.SINGLE(_xlfn.XLOOKUP(G96, Réttabanki!A:A, Réttabanki!BB:BB, "")) * I96 / 100, ""), "")))</f>
        <v/>
      </c>
    </row>
    <row r="97" spans="1:17">
      <c r="B97" s="33" t="str">
        <f>IF(A97&lt;&gt;"",CHOOSE(WEEKDAY(A97,2),"Mánudagur","Þriðjudagur","Miðvikudagur","Fimmtudagur","Föstudagur","Laugardagur","Sunnudagur"),IF(B96&lt;&gt;"",B96,""))</f>
        <v>Miðvikudagur</v>
      </c>
      <c r="C97" s="33">
        <f>IF(A97&lt;&gt;"",WEEKNUM(A97,21),IF(C96&lt;&gt;"",C96,""))</f>
        <v>26</v>
      </c>
      <c r="D97" s="34" t="s">
        <v>910</v>
      </c>
      <c r="E97" s="34" t="s">
        <v>921</v>
      </c>
      <c r="F97" s="34" t="s">
        <v>913</v>
      </c>
      <c r="G97" s="34" t="s">
        <v>1027</v>
      </c>
      <c r="H97" s="34" t="s">
        <v>1028</v>
      </c>
      <c r="I97" s="35">
        <v>120</v>
      </c>
      <c r="J97" s="35"/>
      <c r="K97" s="36"/>
      <c r="L97" s="26" t="str">
        <f>IF(OR(F97 = "", G97 = ""), "", IF(F97 = "Vara", IFERROR(_xlfn.SINGLE(_xlfn.XLOOKUP(G97, Vöruskrá!A:A, Vöruskrá!E:E, "")), ""), IF(F97 = "Réttur", IFERROR(_xlfn.SINGLE(_xlfn.XLOOKUP(G97, Réttabanki!A:A, Réttabanki!AS:AS, "")), ""), "")))</f>
        <v/>
      </c>
      <c r="M97" s="26" t="str">
        <f>IF(OR(F97 = "", G97 = ""), "", IF(F97 = "Vara", IFERROR(_xlfn.SINGLE(_xlfn.XLOOKUP(G97, Vöruskrá!A:A, Vöruskrá!F:F, "")), ""), IF(F97 = "Réttur", IFERROR(_xlfn.SINGLE(_xlfn.XLOOKUP(G97, Réttabanki!A:A, Réttabanki!AT:AT, "")), ""), "")))</f>
        <v/>
      </c>
      <c r="N97" s="26" t="str">
        <f>IF(OR(F97 = "", G97 = ""), "", IF(F97 = "Vara", IFERROR(_xlfn.SINGLE(_xlfn.XLOOKUP(G97, Vöruskrá!A:A, Vöruskrá!G:G, "")), ""), IF(F97 = "Réttur", IFERROR(_xlfn.SINGLE(_xlfn.XLOOKUP(G97, Réttabanki!A:A, Réttabanki!AU:AU, "")), ""), "")))</f>
        <v/>
      </c>
      <c r="O97" s="26" t="str">
        <f>IF(OR(F97 = "", G97 = "", I97 = ""), "", IF(F97 = "Vara", IFERROR(_xlfn.SINGLE(_xlfn.XLOOKUP(G97, Vöruskrá!A:A, Vöruskrá!I:I, "")) * I97 / 100, ""), IF(F97 = "Réttur", IFERROR(_xlfn.SINGLE(_xlfn.XLOOKUP(G97, Réttabanki!A:A, Réttabanki!AV:AV, "")) * I97 / 100, ""), "")))</f>
        <v/>
      </c>
      <c r="P97" s="26" t="str">
        <f>IF(OR(F97 = "", G97 = "", I97 = ""), "", IF(F97 = "Vara", IFERROR(_xlfn.SINGLE(_xlfn.XLOOKUP(G97, Vöruskrá!A:A, Vöruskrá!J:J, "")) * I97 / 100, ""), IF(F97 = "Réttur", IFERROR(_xlfn.SINGLE(_xlfn.XLOOKUP(G97, Réttabanki!A:A, Réttabanki!AW:AW, "")) * I97 / 100, ""), "")))</f>
        <v/>
      </c>
      <c r="Q97" s="26" t="str">
        <f>IF(OR(F97 = "", G97 = "", I97 = ""), "", IF(F97 = "Vara", IFERROR(_xlfn.SINGLE(_xlfn.XLOOKUP(G97, Vöruskrá!A:A, Vöruskrá!N:N, "")) * I97 / 100, ""), IF(F97 = "Réttur", IFERROR(_xlfn.SINGLE(_xlfn.XLOOKUP(G97, Réttabanki!A:A, Réttabanki!BB:BB, "")) * I97 / 100, ""), "")))</f>
        <v/>
      </c>
    </row>
    <row r="98" spans="1:17">
      <c r="B98" s="33" t="str">
        <f>IF(A98&lt;&gt;"",CHOOSE(WEEKDAY(A98,2),"Mánudagur","Þriðjudagur","Miðvikudagur","Fimmtudagur","Föstudagur","Laugardagur","Sunnudagur"),IF(B97&lt;&gt;"",B97,""))</f>
        <v>Miðvikudagur</v>
      </c>
      <c r="C98" s="33">
        <f>IF(A98&lt;&gt;"",WEEKNUM(A98,21),IF(C97&lt;&gt;"",C97,""))</f>
        <v>26</v>
      </c>
      <c r="D98" s="34" t="s">
        <v>910</v>
      </c>
      <c r="E98" s="34" t="s">
        <v>921</v>
      </c>
      <c r="F98" s="34" t="s">
        <v>913</v>
      </c>
      <c r="G98" s="34" t="s">
        <v>739</v>
      </c>
      <c r="H98" s="34" t="s">
        <v>530</v>
      </c>
      <c r="I98" s="35">
        <v>100</v>
      </c>
      <c r="J98" s="35">
        <v>130</v>
      </c>
      <c r="K98" s="36"/>
      <c r="L98" s="26" t="str">
        <f>IF(OR(F98 = "", G98 = ""), "", IF(F98 = "Vara", IFERROR(_xlfn.SINGLE(_xlfn.XLOOKUP(G98, Vöruskrá!A:A, Vöruskrá!E:E, "")), ""), IF(F98 = "Réttur", IFERROR(_xlfn.SINGLE(_xlfn.XLOOKUP(G98, Réttabanki!A:A, Réttabanki!AS:AS, "")), ""), "")))</f>
        <v>Kartöflur</v>
      </c>
      <c r="M98" s="26" t="str">
        <f>IF(OR(F98 = "", G98 = ""), "", IF(F98 = "Vara", IFERROR(_xlfn.SINGLE(_xlfn.XLOOKUP(G98, Vöruskrá!A:A, Vöruskrá!F:F, "")), ""), IF(F98 = "Réttur", IFERROR(_xlfn.SINGLE(_xlfn.XLOOKUP(G98, Réttabanki!A:A, Réttabanki!AT:AT, "")), ""), "")))</f>
        <v>Engir skráðir</v>
      </c>
      <c r="N98" s="26">
        <f>IF(OR(F98 = "", G98 = ""), "", IF(F98 = "Vara", IFERROR(_xlfn.SINGLE(_xlfn.XLOOKUP(G98, Vöruskrá!A:A, Vöruskrá!G:G, "")), ""), IF(F98 = "Réttur", IFERROR(_xlfn.SINGLE(_xlfn.XLOOKUP(G98, Réttabanki!A:A, Réttabanki!AU:AU, "")), ""), "")))</f>
        <v>0</v>
      </c>
      <c r="O98" s="26">
        <f>IF(OR(F98 = "", G98 = "", I98 = ""), "", IF(F98 = "Vara", IFERROR(_xlfn.SINGLE(_xlfn.XLOOKUP(G98, Vöruskrá!A:A, Vöruskrá!I:I, "")) * I98 / 100, ""), IF(F98 = "Réttur", IFERROR(_xlfn.SINGLE(_xlfn.XLOOKUP(G98, Réttabanki!A:A, Réttabanki!AV:AV, "")) * I98 / 100, ""), "")))</f>
        <v>77</v>
      </c>
      <c r="P98" s="26">
        <f>IF(OR(F98 = "", G98 = "", I98 = ""), "", IF(F98 = "Vara", IFERROR(_xlfn.SINGLE(_xlfn.XLOOKUP(G98, Vöruskrá!A:A, Vöruskrá!J:J, "")) * I98 / 100, ""), IF(F98 = "Réttur", IFERROR(_xlfn.SINGLE(_xlfn.XLOOKUP(G98, Réttabanki!A:A, Réttabanki!AW:AW, "")) * I98 / 100, ""), "")))</f>
        <v>0.1</v>
      </c>
      <c r="Q98" s="26">
        <f>IF(OR(F98 = "", G98 = "", I98 = ""), "", IF(F98 = "Vara", IFERROR(_xlfn.SINGLE(_xlfn.XLOOKUP(G98, Vöruskrá!A:A, Vöruskrá!N:N, "")) * I98 / 100, ""), IF(F98 = "Réttur", IFERROR(_xlfn.SINGLE(_xlfn.XLOOKUP(G98, Réttabanki!A:A, Réttabanki!BB:BB, "")) * I98 / 100, ""), "")))</f>
        <v>2</v>
      </c>
    </row>
    <row r="99" spans="1:17">
      <c r="B99" s="33" t="str">
        <f>IF(A99&lt;&gt;"",CHOOSE(WEEKDAY(A99,2),"Mánudagur","Þriðjudagur","Miðvikudagur","Fimmtudagur","Föstudagur","Laugardagur","Sunnudagur"),IF(B98&lt;&gt;"",B98,""))</f>
        <v>Miðvikudagur</v>
      </c>
      <c r="C99" s="33">
        <f>IF(A99&lt;&gt;"",WEEKNUM(A99,21),IF(C98&lt;&gt;"",C98,""))</f>
        <v>26</v>
      </c>
      <c r="D99" s="34" t="s">
        <v>910</v>
      </c>
      <c r="E99" s="34" t="s">
        <v>921</v>
      </c>
      <c r="F99" s="34" t="s">
        <v>913</v>
      </c>
      <c r="G99" s="34" t="s">
        <v>1029</v>
      </c>
      <c r="H99" s="34" t="s">
        <v>1030</v>
      </c>
      <c r="I99" s="35">
        <v>20</v>
      </c>
      <c r="J99" s="35">
        <v>30</v>
      </c>
      <c r="K99" s="36"/>
      <c r="L99" s="26" t="str">
        <f>IF(OR(F99 = "", G99 = ""), "", IF(F99 = "Vara", IFERROR(_xlfn.SINGLE(_xlfn.XLOOKUP(G99, Vöruskrá!A:A, Vöruskrá!E:E, "")), ""), IF(F99 = "Réttur", IFERROR(_xlfn.SINGLE(_xlfn.XLOOKUP(G99, Réttabanki!A:A, Réttabanki!AS:AS, "")), ""), "")))</f>
        <v/>
      </c>
      <c r="M99" s="26" t="str">
        <f>IF(OR(F99 = "", G99 = ""), "", IF(F99 = "Vara", IFERROR(_xlfn.SINGLE(_xlfn.XLOOKUP(G99, Vöruskrá!A:A, Vöruskrá!F:F, "")), ""), IF(F99 = "Réttur", IFERROR(_xlfn.SINGLE(_xlfn.XLOOKUP(G99, Réttabanki!A:A, Réttabanki!AT:AT, "")), ""), "")))</f>
        <v/>
      </c>
      <c r="N99" s="26" t="str">
        <f>IF(OR(F99 = "", G99 = ""), "", IF(F99 = "Vara", IFERROR(_xlfn.SINGLE(_xlfn.XLOOKUP(G99, Vöruskrá!A:A, Vöruskrá!G:G, "")), ""), IF(F99 = "Réttur", IFERROR(_xlfn.SINGLE(_xlfn.XLOOKUP(G99, Réttabanki!A:A, Réttabanki!AU:AU, "")), ""), "")))</f>
        <v/>
      </c>
      <c r="O99" s="26" t="str">
        <f>IF(OR(F99 = "", G99 = "", I99 = ""), "", IF(F99 = "Vara", IFERROR(_xlfn.SINGLE(_xlfn.XLOOKUP(G99, Vöruskrá!A:A, Vöruskrá!I:I, "")) * I99 / 100, ""), IF(F99 = "Réttur", IFERROR(_xlfn.SINGLE(_xlfn.XLOOKUP(G99, Réttabanki!A:A, Réttabanki!AV:AV, "")) * I99 / 100, ""), "")))</f>
        <v/>
      </c>
      <c r="P99" s="26" t="str">
        <f>IF(OR(F99 = "", G99 = "", I99 = ""), "", IF(F99 = "Vara", IFERROR(_xlfn.SINGLE(_xlfn.XLOOKUP(G99, Vöruskrá!A:A, Vöruskrá!J:J, "")) * I99 / 100, ""), IF(F99 = "Réttur", IFERROR(_xlfn.SINGLE(_xlfn.XLOOKUP(G99, Réttabanki!A:A, Réttabanki!AW:AW, "")) * I99 / 100, ""), "")))</f>
        <v/>
      </c>
      <c r="Q99" s="26" t="str">
        <f>IF(OR(F99 = "", G99 = "", I99 = ""), "", IF(F99 = "Vara", IFERROR(_xlfn.SINGLE(_xlfn.XLOOKUP(G99, Vöruskrá!A:A, Vöruskrá!N:N, "")) * I99 / 100, ""), IF(F99 = "Réttur", IFERROR(_xlfn.SINGLE(_xlfn.XLOOKUP(G99, Réttabanki!A:A, Réttabanki!BB:BB, "")) * I99 / 100, ""), "")))</f>
        <v/>
      </c>
    </row>
    <row r="100" spans="1:17">
      <c r="B100" s="33" t="str">
        <f>IF(A100&lt;&gt;"",CHOOSE(WEEKDAY(A100,2),"Mánudagur","Þriðjudagur","Miðvikudagur","Fimmtudagur","Föstudagur","Laugardagur","Sunnudagur"),IF(B99&lt;&gt;"",B99,""))</f>
        <v>Miðvikudagur</v>
      </c>
      <c r="C100" s="33">
        <f>IF(A100&lt;&gt;"",WEEKNUM(A100,21),IF(C99&lt;&gt;"",C99,""))</f>
        <v>26</v>
      </c>
      <c r="D100" s="34" t="s">
        <v>910</v>
      </c>
      <c r="E100" s="34" t="s">
        <v>927</v>
      </c>
      <c r="F100" s="34"/>
      <c r="G100" s="34"/>
      <c r="H100" s="34" t="s">
        <v>1031</v>
      </c>
      <c r="I100" s="35"/>
      <c r="J100" s="35"/>
      <c r="K100" s="36"/>
      <c r="L100" s="26" t="str">
        <f>IF(OR(F100 = "", G100 = ""), "", IF(F100 = "Vara", IFERROR(_xlfn.SINGLE(_xlfn.XLOOKUP(G100, Vöruskrá!A:A, Vöruskrá!E:E, "")), ""), IF(F100 = "Réttur", IFERROR(_xlfn.SINGLE(_xlfn.XLOOKUP(G100, Réttabanki!A:A, Réttabanki!AS:AS, "")), ""), "")))</f>
        <v/>
      </c>
      <c r="M100" s="26" t="str">
        <f>IF(OR(F100 = "", G100 = ""), "", IF(F100 = "Vara", IFERROR(_xlfn.SINGLE(_xlfn.XLOOKUP(G100, Vöruskrá!A:A, Vöruskrá!F:F, "")), ""), IF(F100 = "Réttur", IFERROR(_xlfn.SINGLE(_xlfn.XLOOKUP(G100, Réttabanki!A:A, Réttabanki!AT:AT, "")), ""), "")))</f>
        <v/>
      </c>
      <c r="N100" s="26" t="str">
        <f>IF(OR(F100 = "", G100 = ""), "", IF(F100 = "Vara", IFERROR(_xlfn.SINGLE(_xlfn.XLOOKUP(G100, Vöruskrá!A:A, Vöruskrá!G:G, "")), ""), IF(F100 = "Réttur", IFERROR(_xlfn.SINGLE(_xlfn.XLOOKUP(G100, Réttabanki!A:A, Réttabanki!AU:AU, "")), ""), "")))</f>
        <v/>
      </c>
      <c r="O100" s="26" t="str">
        <f>IF(OR(F100 = "", G100 = "", I100 = ""), "", IF(F100 = "Vara", IFERROR(_xlfn.SINGLE(_xlfn.XLOOKUP(G100, Vöruskrá!A:A, Vöruskrá!I:I, "")) * I100 / 100, ""), IF(F100 = "Réttur", IFERROR(_xlfn.SINGLE(_xlfn.XLOOKUP(G100, Réttabanki!A:A, Réttabanki!AV:AV, "")) * I100 / 100, ""), "")))</f>
        <v/>
      </c>
      <c r="P100" s="26" t="str">
        <f>IF(OR(F100 = "", G100 = "", I100 = ""), "", IF(F100 = "Vara", IFERROR(_xlfn.SINGLE(_xlfn.XLOOKUP(G100, Vöruskrá!A:A, Vöruskrá!J:J, "")) * I100 / 100, ""), IF(F100 = "Réttur", IFERROR(_xlfn.SINGLE(_xlfn.XLOOKUP(G100, Réttabanki!A:A, Réttabanki!AW:AW, "")) * I100 / 100, ""), "")))</f>
        <v/>
      </c>
      <c r="Q100" s="26" t="str">
        <f>IF(OR(F100 = "", G100 = "", I100 = ""), "", IF(F100 = "Vara", IFERROR(_xlfn.SINGLE(_xlfn.XLOOKUP(G100, Vöruskrá!A:A, Vöruskrá!N:N, "")) * I100 / 100, ""), IF(F100 = "Réttur", IFERROR(_xlfn.SINGLE(_xlfn.XLOOKUP(G100, Réttabanki!A:A, Réttabanki!BB:BB, "")) * I100 / 100, ""), "")))</f>
        <v/>
      </c>
    </row>
    <row r="101" spans="1:17">
      <c r="B101" s="33" t="str">
        <f>IF(A101&lt;&gt;"",CHOOSE(WEEKDAY(A101,2),"Mánudagur","Þriðjudagur","Miðvikudagur","Fimmtudagur","Föstudagur","Laugardagur","Sunnudagur"),IF(B100&lt;&gt;"",B100,""))</f>
        <v>Miðvikudagur</v>
      </c>
      <c r="C101" s="33">
        <f>IF(A101&lt;&gt;"",WEEKNUM(A101,21),IF(C100&lt;&gt;"",C100,""))</f>
        <v>26</v>
      </c>
      <c r="D101" s="34" t="s">
        <v>910</v>
      </c>
      <c r="E101" s="34" t="s">
        <v>927</v>
      </c>
      <c r="F101" s="34" t="s">
        <v>913</v>
      </c>
      <c r="G101" s="34" t="s">
        <v>1032</v>
      </c>
      <c r="H101" s="34" t="s">
        <v>719</v>
      </c>
      <c r="I101" s="35">
        <v>140</v>
      </c>
      <c r="J101" s="35">
        <v>160</v>
      </c>
      <c r="K101" s="36"/>
      <c r="L101" s="26" t="str">
        <f>IF(OR(F101 = "", G101 = ""), "", IF(F101 = "Vara", IFERROR(_xlfn.SINGLE(_xlfn.XLOOKUP(G101, Vöruskrá!A:A, Vöruskrá!E:E, "")), ""), IF(F101 = "Réttur", IFERROR(_xlfn.SINGLE(_xlfn.XLOOKUP(G101, Réttabanki!A:A, Réttabanki!AS:AS, "")), ""), "")))</f>
        <v/>
      </c>
      <c r="M101" s="26" t="str">
        <f>IF(OR(F101 = "", G101 = ""), "", IF(F101 = "Vara", IFERROR(_xlfn.SINGLE(_xlfn.XLOOKUP(G101, Vöruskrá!A:A, Vöruskrá!F:F, "")), ""), IF(F101 = "Réttur", IFERROR(_xlfn.SINGLE(_xlfn.XLOOKUP(G101, Réttabanki!A:A, Réttabanki!AT:AT, "")), ""), "")))</f>
        <v/>
      </c>
      <c r="N101" s="26" t="str">
        <f>IF(OR(F101 = "", G101 = ""), "", IF(F101 = "Vara", IFERROR(_xlfn.SINGLE(_xlfn.XLOOKUP(G101, Vöruskrá!A:A, Vöruskrá!G:G, "")), ""), IF(F101 = "Réttur", IFERROR(_xlfn.SINGLE(_xlfn.XLOOKUP(G101, Réttabanki!A:A, Réttabanki!AU:AU, "")), ""), "")))</f>
        <v/>
      </c>
      <c r="O101" s="26" t="str">
        <f>IF(OR(F101 = "", G101 = "", I101 = ""), "", IF(F101 = "Vara", IFERROR(_xlfn.SINGLE(_xlfn.XLOOKUP(G101, Vöruskrá!A:A, Vöruskrá!I:I, "")) * I101 / 100, ""), IF(F101 = "Réttur", IFERROR(_xlfn.SINGLE(_xlfn.XLOOKUP(G101, Réttabanki!A:A, Réttabanki!AV:AV, "")) * I101 / 100, ""), "")))</f>
        <v/>
      </c>
      <c r="P101" s="26" t="str">
        <f>IF(OR(F101 = "", G101 = "", I101 = ""), "", IF(F101 = "Vara", IFERROR(_xlfn.SINGLE(_xlfn.XLOOKUP(G101, Vöruskrá!A:A, Vöruskrá!J:J, "")) * I101 / 100, ""), IF(F101 = "Réttur", IFERROR(_xlfn.SINGLE(_xlfn.XLOOKUP(G101, Réttabanki!A:A, Réttabanki!AW:AW, "")) * I101 / 100, ""), "")))</f>
        <v/>
      </c>
      <c r="Q101" s="26" t="str">
        <f>IF(OR(F101 = "", G101 = "", I101 = ""), "", IF(F101 = "Vara", IFERROR(_xlfn.SINGLE(_xlfn.XLOOKUP(G101, Vöruskrá!A:A, Vöruskrá!N:N, "")) * I101 / 100, ""), IF(F101 = "Réttur", IFERROR(_xlfn.SINGLE(_xlfn.XLOOKUP(G101, Réttabanki!A:A, Réttabanki!BB:BB, "")) * I101 / 100, ""), "")))</f>
        <v/>
      </c>
    </row>
    <row r="102" spans="1:17">
      <c r="B102" s="33" t="str">
        <f>IF(A102&lt;&gt;"",CHOOSE(WEEKDAY(A102,2),"Mánudagur","Þriðjudagur","Miðvikudagur","Fimmtudagur","Föstudagur","Laugardagur","Sunnudagur"),IF(B101&lt;&gt;"",B101,""))</f>
        <v>Miðvikudagur</v>
      </c>
      <c r="C102" s="33">
        <f>IF(A102&lt;&gt;"",WEEKNUM(A102,21),IF(C101&lt;&gt;"",C101,""))</f>
        <v>26</v>
      </c>
      <c r="D102" s="34" t="s">
        <v>910</v>
      </c>
      <c r="E102" s="34" t="s">
        <v>933</v>
      </c>
      <c r="F102" s="34"/>
      <c r="G102" s="34"/>
      <c r="H102" s="34" t="s">
        <v>1033</v>
      </c>
      <c r="I102" s="35"/>
      <c r="J102" s="35"/>
      <c r="K102" s="36"/>
      <c r="L102" s="26" t="str">
        <f>IF(OR(F102 = "", G102 = ""), "", IF(F102 = "Vara", IFERROR(_xlfn.SINGLE(_xlfn.XLOOKUP(G102, Vöruskrá!A:A, Vöruskrá!E:E, "")), ""), IF(F102 = "Réttur", IFERROR(_xlfn.SINGLE(_xlfn.XLOOKUP(G102, Réttabanki!A:A, Réttabanki!AS:AS, "")), ""), "")))</f>
        <v/>
      </c>
      <c r="M102" s="26" t="str">
        <f>IF(OR(F102 = "", G102 = ""), "", IF(F102 = "Vara", IFERROR(_xlfn.SINGLE(_xlfn.XLOOKUP(G102, Vöruskrá!A:A, Vöruskrá!F:F, "")), ""), IF(F102 = "Réttur", IFERROR(_xlfn.SINGLE(_xlfn.XLOOKUP(G102, Réttabanki!A:A, Réttabanki!AT:AT, "")), ""), "")))</f>
        <v/>
      </c>
      <c r="N102" s="26" t="str">
        <f>IF(OR(F102 = "", G102 = ""), "", IF(F102 = "Vara", IFERROR(_xlfn.SINGLE(_xlfn.XLOOKUP(G102, Vöruskrá!A:A, Vöruskrá!G:G, "")), ""), IF(F102 = "Réttur", IFERROR(_xlfn.SINGLE(_xlfn.XLOOKUP(G102, Réttabanki!A:A, Réttabanki!AU:AU, "")), ""), "")))</f>
        <v/>
      </c>
      <c r="O102" s="26" t="str">
        <f>IF(OR(F102 = "", G102 = "", I102 = ""), "", IF(F102 = "Vara", IFERROR(_xlfn.SINGLE(_xlfn.XLOOKUP(G102, Vöruskrá!A:A, Vöruskrá!I:I, "")) * I102 / 100, ""), IF(F102 = "Réttur", IFERROR(_xlfn.SINGLE(_xlfn.XLOOKUP(G102, Réttabanki!A:A, Réttabanki!AV:AV, "")) * I102 / 100, ""), "")))</f>
        <v/>
      </c>
      <c r="P102" s="26" t="str">
        <f>IF(OR(F102 = "", G102 = "", I102 = ""), "", IF(F102 = "Vara", IFERROR(_xlfn.SINGLE(_xlfn.XLOOKUP(G102, Vöruskrá!A:A, Vöruskrá!J:J, "")) * I102 / 100, ""), IF(F102 = "Réttur", IFERROR(_xlfn.SINGLE(_xlfn.XLOOKUP(G102, Réttabanki!A:A, Réttabanki!AW:AW, "")) * I102 / 100, ""), "")))</f>
        <v/>
      </c>
      <c r="Q102" s="26" t="str">
        <f>IF(OR(F102 = "", G102 = "", I102 = ""), "", IF(F102 = "Vara", IFERROR(_xlfn.SINGLE(_xlfn.XLOOKUP(G102, Vöruskrá!A:A, Vöruskrá!N:N, "")) * I102 / 100, ""), IF(F102 = "Réttur", IFERROR(_xlfn.SINGLE(_xlfn.XLOOKUP(G102, Réttabanki!A:A, Réttabanki!BB:BB, "")) * I102 / 100, ""), "")))</f>
        <v/>
      </c>
    </row>
    <row r="103" spans="1:17">
      <c r="B103" s="33" t="str">
        <f>IF(A103&lt;&gt;"",CHOOSE(WEEKDAY(A103,2),"Mánudagur","Þriðjudagur","Miðvikudagur","Fimmtudagur","Föstudagur","Laugardagur","Sunnudagur"),IF(B102&lt;&gt;"",B102,""))</f>
        <v>Miðvikudagur</v>
      </c>
      <c r="C103" s="33">
        <f>IF(A103&lt;&gt;"",WEEKNUM(A103,21),IF(C102&lt;&gt;"",C102,""))</f>
        <v>26</v>
      </c>
      <c r="D103" s="34" t="s">
        <v>910</v>
      </c>
      <c r="E103" s="34" t="s">
        <v>933</v>
      </c>
      <c r="F103" s="34" t="s">
        <v>913</v>
      </c>
      <c r="G103" s="34" t="s">
        <v>981</v>
      </c>
      <c r="H103" s="34" t="s">
        <v>982</v>
      </c>
      <c r="I103" s="35">
        <v>23</v>
      </c>
      <c r="J103" s="35">
        <v>30</v>
      </c>
      <c r="K103" s="36"/>
      <c r="L103" s="26" t="str">
        <f>IF(OR(F103 = "", G103 = ""), "", IF(F103 = "Vara", IFERROR(_xlfn.SINGLE(_xlfn.XLOOKUP(G103, Vöruskrá!A:A, Vöruskrá!E:E, "")), ""), IF(F103 = "Réttur", IFERROR(_xlfn.SINGLE(_xlfn.XLOOKUP(G103, Réttabanki!A:A, Réttabanki!AS:AS, "")), ""), "")))</f>
        <v/>
      </c>
      <c r="M103" s="26" t="str">
        <f>IF(OR(F103 = "", G103 = ""), "", IF(F103 = "Vara", IFERROR(_xlfn.SINGLE(_xlfn.XLOOKUP(G103, Vöruskrá!A:A, Vöruskrá!F:F, "")), ""), IF(F103 = "Réttur", IFERROR(_xlfn.SINGLE(_xlfn.XLOOKUP(G103, Réttabanki!A:A, Réttabanki!AT:AT, "")), ""), "")))</f>
        <v/>
      </c>
      <c r="N103" s="26" t="str">
        <f>IF(OR(F103 = "", G103 = ""), "", IF(F103 = "Vara", IFERROR(_xlfn.SINGLE(_xlfn.XLOOKUP(G103, Vöruskrá!A:A, Vöruskrá!G:G, "")), ""), IF(F103 = "Réttur", IFERROR(_xlfn.SINGLE(_xlfn.XLOOKUP(G103, Réttabanki!A:A, Réttabanki!AU:AU, "")), ""), "")))</f>
        <v/>
      </c>
      <c r="O103" s="26" t="str">
        <f>IF(OR(F103 = "", G103 = "", I103 = ""), "", IF(F103 = "Vara", IFERROR(_xlfn.SINGLE(_xlfn.XLOOKUP(G103, Vöruskrá!A:A, Vöruskrá!I:I, "")) * I103 / 100, ""), IF(F103 = "Réttur", IFERROR(_xlfn.SINGLE(_xlfn.XLOOKUP(G103, Réttabanki!A:A, Réttabanki!AV:AV, "")) * I103 / 100, ""), "")))</f>
        <v/>
      </c>
      <c r="P103" s="26" t="str">
        <f>IF(OR(F103 = "", G103 = "", I103 = ""), "", IF(F103 = "Vara", IFERROR(_xlfn.SINGLE(_xlfn.XLOOKUP(G103, Vöruskrá!A:A, Vöruskrá!J:J, "")) * I103 / 100, ""), IF(F103 = "Réttur", IFERROR(_xlfn.SINGLE(_xlfn.XLOOKUP(G103, Réttabanki!A:A, Réttabanki!AW:AW, "")) * I103 / 100, ""), "")))</f>
        <v/>
      </c>
      <c r="Q103" s="26" t="str">
        <f>IF(OR(F103 = "", G103 = "", I103 = ""), "", IF(F103 = "Vara", IFERROR(_xlfn.SINGLE(_xlfn.XLOOKUP(G103, Vöruskrá!A:A, Vöruskrá!N:N, "")) * I103 / 100, ""), IF(F103 = "Réttur", IFERROR(_xlfn.SINGLE(_xlfn.XLOOKUP(G103, Réttabanki!A:A, Réttabanki!BB:BB, "")) * I103 / 100, ""), "")))</f>
        <v/>
      </c>
    </row>
    <row r="104" spans="1:17">
      <c r="B104" s="33" t="str">
        <f>IF(A104&lt;&gt;"",CHOOSE(WEEKDAY(A104,2),"Mánudagur","Þriðjudagur","Miðvikudagur","Fimmtudagur","Föstudagur","Laugardagur","Sunnudagur"),IF(B103&lt;&gt;"",B103,""))</f>
        <v>Miðvikudagur</v>
      </c>
      <c r="C104" s="33">
        <f>IF(A104&lt;&gt;"",WEEKNUM(A104,21),IF(C103&lt;&gt;"",C103,""))</f>
        <v>26</v>
      </c>
      <c r="D104" s="34" t="s">
        <v>910</v>
      </c>
      <c r="E104" s="34" t="s">
        <v>941</v>
      </c>
      <c r="F104" s="34"/>
      <c r="G104" s="34"/>
      <c r="H104" s="34" t="s">
        <v>1034</v>
      </c>
      <c r="I104" s="35"/>
      <c r="J104" s="35"/>
      <c r="K104" s="36"/>
      <c r="L104" s="26" t="str">
        <f>IF(OR(F104 = "", G104 = ""), "", IF(F104 = "Vara", IFERROR(_xlfn.SINGLE(_xlfn.XLOOKUP(G104, Vöruskrá!A:A, Vöruskrá!E:E, "")), ""), IF(F104 = "Réttur", IFERROR(_xlfn.SINGLE(_xlfn.XLOOKUP(G104, Réttabanki!A:A, Réttabanki!AS:AS, "")), ""), "")))</f>
        <v/>
      </c>
      <c r="M104" s="26" t="str">
        <f>IF(OR(F104 = "", G104 = ""), "", IF(F104 = "Vara", IFERROR(_xlfn.SINGLE(_xlfn.XLOOKUP(G104, Vöruskrá!A:A, Vöruskrá!F:F, "")), ""), IF(F104 = "Réttur", IFERROR(_xlfn.SINGLE(_xlfn.XLOOKUP(G104, Réttabanki!A:A, Réttabanki!AT:AT, "")), ""), "")))</f>
        <v/>
      </c>
      <c r="N104" s="26" t="str">
        <f>IF(OR(F104 = "", G104 = ""), "", IF(F104 = "Vara", IFERROR(_xlfn.SINGLE(_xlfn.XLOOKUP(G104, Vöruskrá!A:A, Vöruskrá!G:G, "")), ""), IF(F104 = "Réttur", IFERROR(_xlfn.SINGLE(_xlfn.XLOOKUP(G104, Réttabanki!A:A, Réttabanki!AU:AU, "")), ""), "")))</f>
        <v/>
      </c>
      <c r="O104" s="26" t="str">
        <f>IF(OR(F104 = "", G104 = "", I104 = ""), "", IF(F104 = "Vara", IFERROR(_xlfn.SINGLE(_xlfn.XLOOKUP(G104, Vöruskrá!A:A, Vöruskrá!I:I, "")) * I104 / 100, ""), IF(F104 = "Réttur", IFERROR(_xlfn.SINGLE(_xlfn.XLOOKUP(G104, Réttabanki!A:A, Réttabanki!AV:AV, "")) * I104 / 100, ""), "")))</f>
        <v/>
      </c>
      <c r="P104" s="26" t="str">
        <f>IF(OR(F104 = "", G104 = "", I104 = ""), "", IF(F104 = "Vara", IFERROR(_xlfn.SINGLE(_xlfn.XLOOKUP(G104, Vöruskrá!A:A, Vöruskrá!J:J, "")) * I104 / 100, ""), IF(F104 = "Réttur", IFERROR(_xlfn.SINGLE(_xlfn.XLOOKUP(G104, Réttabanki!A:A, Réttabanki!AW:AW, "")) * I104 / 100, ""), "")))</f>
        <v/>
      </c>
      <c r="Q104" s="26" t="str">
        <f>IF(OR(F104 = "", G104 = "", I104 = ""), "", IF(F104 = "Vara", IFERROR(_xlfn.SINGLE(_xlfn.XLOOKUP(G104, Vöruskrá!A:A, Vöruskrá!N:N, "")) * I104 / 100, ""), IF(F104 = "Réttur", IFERROR(_xlfn.SINGLE(_xlfn.XLOOKUP(G104, Réttabanki!A:A, Réttabanki!BB:BB, "")) * I104 / 100, ""), "")))</f>
        <v/>
      </c>
    </row>
    <row r="105" spans="1:17">
      <c r="B105" s="33" t="str">
        <f>IF(A105&lt;&gt;"",CHOOSE(WEEKDAY(A105,2),"Mánudagur","Þriðjudagur","Miðvikudagur","Fimmtudagur","Föstudagur","Laugardagur","Sunnudagur"),IF(B104&lt;&gt;"",B104,""))</f>
        <v>Miðvikudagur</v>
      </c>
      <c r="C105" s="33">
        <f>IF(A105&lt;&gt;"",WEEKNUM(A105,21),IF(C104&lt;&gt;"",C104,""))</f>
        <v>26</v>
      </c>
      <c r="D105" s="34" t="s">
        <v>910</v>
      </c>
      <c r="E105" s="34" t="s">
        <v>941</v>
      </c>
      <c r="F105" s="34" t="s">
        <v>913</v>
      </c>
      <c r="G105" s="34" t="s">
        <v>1035</v>
      </c>
      <c r="H105" s="34" t="s">
        <v>1036</v>
      </c>
      <c r="I105" s="35">
        <v>30</v>
      </c>
      <c r="J105" s="35">
        <v>50</v>
      </c>
      <c r="K105" s="36"/>
      <c r="L105" s="26" t="str">
        <f>IF(OR(F105 = "", G105 = ""), "", IF(F105 = "Vara", IFERROR(_xlfn.SINGLE(_xlfn.XLOOKUP(G105, Vöruskrá!A:A, Vöruskrá!E:E, "")), ""), IF(F105 = "Réttur", IFERROR(_xlfn.SINGLE(_xlfn.XLOOKUP(G105, Réttabanki!A:A, Réttabanki!AS:AS, "")), ""), "")))</f>
        <v/>
      </c>
      <c r="M105" s="26" t="str">
        <f>IF(OR(F105 = "", G105 = ""), "", IF(F105 = "Vara", IFERROR(_xlfn.SINGLE(_xlfn.XLOOKUP(G105, Vöruskrá!A:A, Vöruskrá!F:F, "")), ""), IF(F105 = "Réttur", IFERROR(_xlfn.SINGLE(_xlfn.XLOOKUP(G105, Réttabanki!A:A, Réttabanki!AT:AT, "")), ""), "")))</f>
        <v/>
      </c>
      <c r="N105" s="26" t="str">
        <f>IF(OR(F105 = "", G105 = ""), "", IF(F105 = "Vara", IFERROR(_xlfn.SINGLE(_xlfn.XLOOKUP(G105, Vöruskrá!A:A, Vöruskrá!G:G, "")), ""), IF(F105 = "Réttur", IFERROR(_xlfn.SINGLE(_xlfn.XLOOKUP(G105, Réttabanki!A:A, Réttabanki!AU:AU, "")), ""), "")))</f>
        <v/>
      </c>
      <c r="O105" s="26" t="str">
        <f>IF(OR(F105 = "", G105 = "", I105 = ""), "", IF(F105 = "Vara", IFERROR(_xlfn.SINGLE(_xlfn.XLOOKUP(G105, Vöruskrá!A:A, Vöruskrá!I:I, "")) * I105 / 100, ""), IF(F105 = "Réttur", IFERROR(_xlfn.SINGLE(_xlfn.XLOOKUP(G105, Réttabanki!A:A, Réttabanki!AV:AV, "")) * I105 / 100, ""), "")))</f>
        <v/>
      </c>
      <c r="P105" s="26" t="str">
        <f>IF(OR(F105 = "", G105 = "", I105 = ""), "", IF(F105 = "Vara", IFERROR(_xlfn.SINGLE(_xlfn.XLOOKUP(G105, Vöruskrá!A:A, Vöruskrá!J:J, "")) * I105 / 100, ""), IF(F105 = "Réttur", IFERROR(_xlfn.SINGLE(_xlfn.XLOOKUP(G105, Réttabanki!A:A, Réttabanki!AW:AW, "")) * I105 / 100, ""), "")))</f>
        <v/>
      </c>
      <c r="Q105" s="26" t="str">
        <f>IF(OR(F105 = "", G105 = "", I105 = ""), "", IF(F105 = "Vara", IFERROR(_xlfn.SINGLE(_xlfn.XLOOKUP(G105, Vöruskrá!A:A, Vöruskrá!N:N, "")) * I105 / 100, ""), IF(F105 = "Réttur", IFERROR(_xlfn.SINGLE(_xlfn.XLOOKUP(G105, Réttabanki!A:A, Réttabanki!BB:BB, "")) * I105 / 100, ""), "")))</f>
        <v/>
      </c>
    </row>
    <row r="106" spans="1:17">
      <c r="B106" s="33" t="str">
        <f>IF(A106&lt;&gt;"",CHOOSE(WEEKDAY(A106,2),"Mánudagur","Þriðjudagur","Miðvikudagur","Fimmtudagur","Föstudagur","Laugardagur","Sunnudagur"),IF(B105&lt;&gt;"",B105,""))</f>
        <v>Miðvikudagur</v>
      </c>
      <c r="C106" s="33">
        <f>IF(A106&lt;&gt;"",WEEKNUM(A106,21),IF(C105&lt;&gt;"",C105,""))</f>
        <v>26</v>
      </c>
      <c r="D106" s="34" t="s">
        <v>910</v>
      </c>
      <c r="E106" s="34" t="s">
        <v>941</v>
      </c>
      <c r="F106" s="34" t="s">
        <v>913</v>
      </c>
      <c r="G106" s="34" t="s">
        <v>960</v>
      </c>
      <c r="H106" s="34" t="s">
        <v>961</v>
      </c>
      <c r="I106" s="35">
        <v>20</v>
      </c>
      <c r="J106" s="35">
        <v>30</v>
      </c>
      <c r="K106" s="36"/>
      <c r="L106" s="26" t="str">
        <f>IF(OR(F106 = "", G106 = ""), "", IF(F106 = "Vara", IFERROR(_xlfn.SINGLE(_xlfn.XLOOKUP(G106, Vöruskrá!A:A, Vöruskrá!E:E, "")), ""), IF(F106 = "Réttur", IFERROR(_xlfn.SINGLE(_xlfn.XLOOKUP(G106, Réttabanki!A:A, Réttabanki!AS:AS, "")), ""), "")))</f>
        <v/>
      </c>
      <c r="M106" s="26" t="str">
        <f>IF(OR(F106 = "", G106 = ""), "", IF(F106 = "Vara", IFERROR(_xlfn.SINGLE(_xlfn.XLOOKUP(G106, Vöruskrá!A:A, Vöruskrá!F:F, "")), ""), IF(F106 = "Réttur", IFERROR(_xlfn.SINGLE(_xlfn.XLOOKUP(G106, Réttabanki!A:A, Réttabanki!AT:AT, "")), ""), "")))</f>
        <v/>
      </c>
      <c r="N106" s="26" t="str">
        <f>IF(OR(F106 = "", G106 = ""), "", IF(F106 = "Vara", IFERROR(_xlfn.SINGLE(_xlfn.XLOOKUP(G106, Vöruskrá!A:A, Vöruskrá!G:G, "")), ""), IF(F106 = "Réttur", IFERROR(_xlfn.SINGLE(_xlfn.XLOOKUP(G106, Réttabanki!A:A, Réttabanki!AU:AU, "")), ""), "")))</f>
        <v/>
      </c>
      <c r="O106" s="26" t="str">
        <f>IF(OR(F106 = "", G106 = "", I106 = ""), "", IF(F106 = "Vara", IFERROR(_xlfn.SINGLE(_xlfn.XLOOKUP(G106, Vöruskrá!A:A, Vöruskrá!I:I, "")) * I106 / 100, ""), IF(F106 = "Réttur", IFERROR(_xlfn.SINGLE(_xlfn.XLOOKUP(G106, Réttabanki!A:A, Réttabanki!AV:AV, "")) * I106 / 100, ""), "")))</f>
        <v/>
      </c>
      <c r="P106" s="26" t="str">
        <f>IF(OR(F106 = "", G106 = "", I106 = ""), "", IF(F106 = "Vara", IFERROR(_xlfn.SINGLE(_xlfn.XLOOKUP(G106, Vöruskrá!A:A, Vöruskrá!J:J, "")) * I106 / 100, ""), IF(F106 = "Réttur", IFERROR(_xlfn.SINGLE(_xlfn.XLOOKUP(G106, Réttabanki!A:A, Réttabanki!AW:AW, "")) * I106 / 100, ""), "")))</f>
        <v/>
      </c>
      <c r="Q106" s="26" t="str">
        <f>IF(OR(F106 = "", G106 = "", I106 = ""), "", IF(F106 = "Vara", IFERROR(_xlfn.SINGLE(_xlfn.XLOOKUP(G106, Vöruskrá!A:A, Vöruskrá!N:N, "")) * I106 / 100, ""), IF(F106 = "Réttur", IFERROR(_xlfn.SINGLE(_xlfn.XLOOKUP(G106, Réttabanki!A:A, Réttabanki!BB:BB, "")) * I106 / 100, ""), "")))</f>
        <v/>
      </c>
    </row>
    <row r="107" spans="1:17">
      <c r="A107" s="32">
        <v>46198</v>
      </c>
      <c r="B107" s="33" t="str">
        <f>IF(A107&lt;&gt;"",CHOOSE(WEEKDAY(A107,2),"Mánudagur","Þriðjudagur","Miðvikudagur","Fimmtudagur","Föstudagur","Laugardagur","Sunnudagur"),IF(#REF!&lt;&gt;"",#REF!,""))</f>
        <v>Fimmtudagur</v>
      </c>
      <c r="C107" s="33">
        <f>IF(A107&lt;&gt;"",WEEKNUM(A107,21),IF(#REF!&lt;&gt;"",#REF!,""))</f>
        <v>26</v>
      </c>
      <c r="D107" s="34" t="s">
        <v>910</v>
      </c>
      <c r="E107" s="34" t="s">
        <v>921</v>
      </c>
      <c r="F107" s="34"/>
      <c r="G107" s="34"/>
      <c r="H107" s="34" t="s">
        <v>1037</v>
      </c>
      <c r="I107" s="35"/>
      <c r="J107" s="35"/>
      <c r="K107" s="36"/>
      <c r="L107" s="26" t="str">
        <f>IF(OR(F107 = "", G107 = ""), "", IF(F107 = "Vara", IFERROR(_xlfn.SINGLE(_xlfn.XLOOKUP(G107, Vöruskrá!A:A, Vöruskrá!E:E, "")), ""), IF(F107 = "Réttur", IFERROR(_xlfn.SINGLE(_xlfn.XLOOKUP(G107, Réttabanki!A:A, Réttabanki!AS:AS, "")), ""), "")))</f>
        <v/>
      </c>
      <c r="M107" s="26" t="str">
        <f>IF(OR(F107 = "", G107 = ""), "", IF(F107 = "Vara", IFERROR(_xlfn.SINGLE(_xlfn.XLOOKUP(G107, Vöruskrá!A:A, Vöruskrá!F:F, "")), ""), IF(F107 = "Réttur", IFERROR(_xlfn.SINGLE(_xlfn.XLOOKUP(G107, Réttabanki!A:A, Réttabanki!AT:AT, "")), ""), "")))</f>
        <v/>
      </c>
      <c r="N107" s="26" t="str">
        <f>IF(OR(F107 = "", G107 = ""), "", IF(F107 = "Vara", IFERROR(_xlfn.SINGLE(_xlfn.XLOOKUP(G107, Vöruskrá!A:A, Vöruskrá!G:G, "")), ""), IF(F107 = "Réttur", IFERROR(_xlfn.SINGLE(_xlfn.XLOOKUP(G107, Réttabanki!A:A, Réttabanki!AU:AU, "")), ""), "")))</f>
        <v/>
      </c>
      <c r="O107" s="26" t="str">
        <f>IF(OR(F107 = "", G107 = "", I107 = ""), "", IF(F107 = "Vara", IFERROR(_xlfn.SINGLE(_xlfn.XLOOKUP(G107, Vöruskrá!A:A, Vöruskrá!I:I, "")) * I107 / 100, ""), IF(F107 = "Réttur", IFERROR(_xlfn.SINGLE(_xlfn.XLOOKUP(G107, Réttabanki!A:A, Réttabanki!AV:AV, "")) * I107 / 100, ""), "")))</f>
        <v/>
      </c>
      <c r="P107" s="26" t="str">
        <f>IF(OR(F107 = "", G107 = "", I107 = ""), "", IF(F107 = "Vara", IFERROR(_xlfn.SINGLE(_xlfn.XLOOKUP(G107, Vöruskrá!A:A, Vöruskrá!J:J, "")) * I107 / 100, ""), IF(F107 = "Réttur", IFERROR(_xlfn.SINGLE(_xlfn.XLOOKUP(G107, Réttabanki!A:A, Réttabanki!AW:AW, "")) * I107 / 100, ""), "")))</f>
        <v/>
      </c>
      <c r="Q107" s="26" t="str">
        <f>IF(OR(F107 = "", G107 = "", I107 = ""), "", IF(F107 = "Vara", IFERROR(_xlfn.SINGLE(_xlfn.XLOOKUP(G107, Vöruskrá!A:A, Vöruskrá!N:N, "")) * I107 / 100, ""), IF(F107 = "Réttur", IFERROR(_xlfn.SINGLE(_xlfn.XLOOKUP(G107, Réttabanki!A:A, Réttabanki!BB:BB, "")) * I107 / 100, ""), "")))</f>
        <v/>
      </c>
    </row>
    <row r="108" spans="1:17">
      <c r="B108" s="33" t="str">
        <f>IF(A108&lt;&gt;"",CHOOSE(WEEKDAY(A108,2),"Mánudagur","Þriðjudagur","Miðvikudagur","Fimmtudagur","Föstudagur","Laugardagur","Sunnudagur"),IF(B107&lt;&gt;"",B107,""))</f>
        <v>Fimmtudagur</v>
      </c>
      <c r="C108" s="33">
        <f>IF(A108&lt;&gt;"",WEEKNUM(A108,21),IF(C107&lt;&gt;"",C107,""))</f>
        <v>26</v>
      </c>
      <c r="D108" s="34" t="s">
        <v>910</v>
      </c>
      <c r="E108" s="34" t="s">
        <v>921</v>
      </c>
      <c r="F108" s="34" t="s">
        <v>913</v>
      </c>
      <c r="G108" s="34" t="s">
        <v>1038</v>
      </c>
      <c r="H108" s="34" t="s">
        <v>1039</v>
      </c>
      <c r="I108" s="35">
        <v>100</v>
      </c>
      <c r="J108" s="35">
        <v>100</v>
      </c>
      <c r="K108" s="36"/>
      <c r="L108" s="26" t="str">
        <f>IF(OR(F108 = "", G108 = ""), "", IF(F108 = "Vara", IFERROR(_xlfn.SINGLE(_xlfn.XLOOKUP(G108, Vöruskrá!A:A, Vöruskrá!E:E, "")), ""), IF(F108 = "Réttur", IFERROR(_xlfn.SINGLE(_xlfn.XLOOKUP(G108, Réttabanki!A:A, Réttabanki!AS:AS, "")), ""), "")))</f>
        <v/>
      </c>
      <c r="M108" s="26" t="str">
        <f>IF(OR(F108 = "", G108 = ""), "", IF(F108 = "Vara", IFERROR(_xlfn.SINGLE(_xlfn.XLOOKUP(G108, Vöruskrá!A:A, Vöruskrá!F:F, "")), ""), IF(F108 = "Réttur", IFERROR(_xlfn.SINGLE(_xlfn.XLOOKUP(G108, Réttabanki!A:A, Réttabanki!AT:AT, "")), ""), "")))</f>
        <v/>
      </c>
      <c r="N108" s="26" t="str">
        <f>IF(OR(F108 = "", G108 = ""), "", IF(F108 = "Vara", IFERROR(_xlfn.SINGLE(_xlfn.XLOOKUP(G108, Vöruskrá!A:A, Vöruskrá!G:G, "")), ""), IF(F108 = "Réttur", IFERROR(_xlfn.SINGLE(_xlfn.XLOOKUP(G108, Réttabanki!A:A, Réttabanki!AU:AU, "")), ""), "")))</f>
        <v/>
      </c>
      <c r="O108" s="26" t="str">
        <f>IF(OR(F108 = "", G108 = "", I108 = ""), "", IF(F108 = "Vara", IFERROR(_xlfn.SINGLE(_xlfn.XLOOKUP(G108, Vöruskrá!A:A, Vöruskrá!I:I, "")) * I108 / 100, ""), IF(F108 = "Réttur", IFERROR(_xlfn.SINGLE(_xlfn.XLOOKUP(G108, Réttabanki!A:A, Réttabanki!AV:AV, "")) * I108 / 100, ""), "")))</f>
        <v/>
      </c>
      <c r="P108" s="26" t="str">
        <f>IF(OR(F108 = "", G108 = "", I108 = ""), "", IF(F108 = "Vara", IFERROR(_xlfn.SINGLE(_xlfn.XLOOKUP(G108, Vöruskrá!A:A, Vöruskrá!J:J, "")) * I108 / 100, ""), IF(F108 = "Réttur", IFERROR(_xlfn.SINGLE(_xlfn.XLOOKUP(G108, Réttabanki!A:A, Réttabanki!AW:AW, "")) * I108 / 100, ""), "")))</f>
        <v/>
      </c>
      <c r="Q108" s="26" t="str">
        <f>IF(OR(F108 = "", G108 = "", I108 = ""), "", IF(F108 = "Vara", IFERROR(_xlfn.SINGLE(_xlfn.XLOOKUP(G108, Vöruskrá!A:A, Vöruskrá!N:N, "")) * I108 / 100, ""), IF(F108 = "Réttur", IFERROR(_xlfn.SINGLE(_xlfn.XLOOKUP(G108, Réttabanki!A:A, Réttabanki!BB:BB, "")) * I108 / 100, ""), "")))</f>
        <v/>
      </c>
    </row>
    <row r="109" spans="1:17">
      <c r="B109" s="33" t="str">
        <f>IF(A109&lt;&gt;"",CHOOSE(WEEKDAY(A109,2),"Mánudagur","Þriðjudagur","Miðvikudagur","Fimmtudagur","Föstudagur","Laugardagur","Sunnudagur"),IF(B108&lt;&gt;"",B108,""))</f>
        <v>Fimmtudagur</v>
      </c>
      <c r="C109" s="33">
        <f>IF(A109&lt;&gt;"",WEEKNUM(A109,21),IF(C108&lt;&gt;"",C108,""))</f>
        <v>26</v>
      </c>
      <c r="D109" s="34" t="s">
        <v>910</v>
      </c>
      <c r="E109" s="34" t="s">
        <v>921</v>
      </c>
      <c r="F109" s="34" t="s">
        <v>913</v>
      </c>
      <c r="G109" s="34" t="s">
        <v>1040</v>
      </c>
      <c r="H109" s="34" t="s">
        <v>1041</v>
      </c>
      <c r="I109" s="35">
        <v>80</v>
      </c>
      <c r="J109" s="35">
        <v>80</v>
      </c>
      <c r="K109" s="36"/>
      <c r="L109" s="26" t="str">
        <f>IF(OR(F109 = "", G109 = ""), "", IF(F109 = "Vara", IFERROR(_xlfn.SINGLE(_xlfn.XLOOKUP(G109, Vöruskrá!A:A, Vöruskrá!E:E, "")), ""), IF(F109 = "Réttur", IFERROR(_xlfn.SINGLE(_xlfn.XLOOKUP(G109, Réttabanki!A:A, Réttabanki!AS:AS, "")), ""), "")))</f>
        <v/>
      </c>
      <c r="M109" s="26" t="str">
        <f>IF(OR(F109 = "", G109 = ""), "", IF(F109 = "Vara", IFERROR(_xlfn.SINGLE(_xlfn.XLOOKUP(G109, Vöruskrá!A:A, Vöruskrá!F:F, "")), ""), IF(F109 = "Réttur", IFERROR(_xlfn.SINGLE(_xlfn.XLOOKUP(G109, Réttabanki!A:A, Réttabanki!AT:AT, "")), ""), "")))</f>
        <v/>
      </c>
      <c r="N109" s="26" t="str">
        <f>IF(OR(F109 = "", G109 = ""), "", IF(F109 = "Vara", IFERROR(_xlfn.SINGLE(_xlfn.XLOOKUP(G109, Vöruskrá!A:A, Vöruskrá!G:G, "")), ""), IF(F109 = "Réttur", IFERROR(_xlfn.SINGLE(_xlfn.XLOOKUP(G109, Réttabanki!A:A, Réttabanki!AU:AU, "")), ""), "")))</f>
        <v/>
      </c>
      <c r="O109" s="26" t="str">
        <f>IF(OR(F109 = "", G109 = "", I109 = ""), "", IF(F109 = "Vara", IFERROR(_xlfn.SINGLE(_xlfn.XLOOKUP(G109, Vöruskrá!A:A, Vöruskrá!I:I, "")) * I109 / 100, ""), IF(F109 = "Réttur", IFERROR(_xlfn.SINGLE(_xlfn.XLOOKUP(G109, Réttabanki!A:A, Réttabanki!AV:AV, "")) * I109 / 100, ""), "")))</f>
        <v/>
      </c>
      <c r="P109" s="26" t="str">
        <f>IF(OR(F109 = "", G109 = "", I109 = ""), "", IF(F109 = "Vara", IFERROR(_xlfn.SINGLE(_xlfn.XLOOKUP(G109, Vöruskrá!A:A, Vöruskrá!J:J, "")) * I109 / 100, ""), IF(F109 = "Réttur", IFERROR(_xlfn.SINGLE(_xlfn.XLOOKUP(G109, Réttabanki!A:A, Réttabanki!AW:AW, "")) * I109 / 100, ""), "")))</f>
        <v/>
      </c>
      <c r="Q109" s="26" t="str">
        <f>IF(OR(F109 = "", G109 = "", I109 = ""), "", IF(F109 = "Vara", IFERROR(_xlfn.SINGLE(_xlfn.XLOOKUP(G109, Vöruskrá!A:A, Vöruskrá!N:N, "")) * I109 / 100, ""), IF(F109 = "Réttur", IFERROR(_xlfn.SINGLE(_xlfn.XLOOKUP(G109, Réttabanki!A:A, Réttabanki!BB:BB, "")) * I109 / 100, ""), "")))</f>
        <v/>
      </c>
    </row>
    <row r="110" spans="1:17">
      <c r="B110" s="33" t="str">
        <f>IF(A110&lt;&gt;"",CHOOSE(WEEKDAY(A110,2),"Mánudagur","Þriðjudagur","Miðvikudagur","Fimmtudagur","Föstudagur","Laugardagur","Sunnudagur"),IF(B109&lt;&gt;"",B109,""))</f>
        <v>Fimmtudagur</v>
      </c>
      <c r="C110" s="33">
        <f>IF(A110&lt;&gt;"",WEEKNUM(A110,21),IF(C109&lt;&gt;"",C109,""))</f>
        <v>26</v>
      </c>
      <c r="D110" s="34" t="s">
        <v>910</v>
      </c>
      <c r="E110" s="34" t="s">
        <v>921</v>
      </c>
      <c r="F110" s="34" t="s">
        <v>913</v>
      </c>
      <c r="G110" s="34" t="s">
        <v>1042</v>
      </c>
      <c r="H110" s="34" t="s">
        <v>1043</v>
      </c>
      <c r="I110" s="35">
        <v>100</v>
      </c>
      <c r="J110" s="35">
        <v>130</v>
      </c>
      <c r="K110" s="36"/>
      <c r="L110" s="26" t="str">
        <f>IF(OR(F110 = "", G110 = ""), "", IF(F110 = "Vara", IFERROR(_xlfn.SINGLE(_xlfn.XLOOKUP(G110, Vöruskrá!A:A, Vöruskrá!E:E, "")), ""), IF(F110 = "Réttur", IFERROR(_xlfn.SINGLE(_xlfn.XLOOKUP(G110, Réttabanki!A:A, Réttabanki!AS:AS, "")), ""), "")))</f>
        <v/>
      </c>
      <c r="M110" s="26" t="str">
        <f>IF(OR(F110 = "", G110 = ""), "", IF(F110 = "Vara", IFERROR(_xlfn.SINGLE(_xlfn.XLOOKUP(G110, Vöruskrá!A:A, Vöruskrá!F:F, "")), ""), IF(F110 = "Réttur", IFERROR(_xlfn.SINGLE(_xlfn.XLOOKUP(G110, Réttabanki!A:A, Réttabanki!AT:AT, "")), ""), "")))</f>
        <v/>
      </c>
      <c r="N110" s="26" t="str">
        <f>IF(OR(F110 = "", G110 = ""), "", IF(F110 = "Vara", IFERROR(_xlfn.SINGLE(_xlfn.XLOOKUP(G110, Vöruskrá!A:A, Vöruskrá!G:G, "")), ""), IF(F110 = "Réttur", IFERROR(_xlfn.SINGLE(_xlfn.XLOOKUP(G110, Réttabanki!A:A, Réttabanki!AU:AU, "")), ""), "")))</f>
        <v/>
      </c>
      <c r="O110" s="26" t="str">
        <f>IF(OR(F110 = "", G110 = "", I110 = ""), "", IF(F110 = "Vara", IFERROR(_xlfn.SINGLE(_xlfn.XLOOKUP(G110, Vöruskrá!A:A, Vöruskrá!I:I, "")) * I110 / 100, ""), IF(F110 = "Réttur", IFERROR(_xlfn.SINGLE(_xlfn.XLOOKUP(G110, Réttabanki!A:A, Réttabanki!AV:AV, "")) * I110 / 100, ""), "")))</f>
        <v/>
      </c>
      <c r="P110" s="26" t="str">
        <f>IF(OR(F110 = "", G110 = "", I110 = ""), "", IF(F110 = "Vara", IFERROR(_xlfn.SINGLE(_xlfn.XLOOKUP(G110, Vöruskrá!A:A, Vöruskrá!J:J, "")) * I110 / 100, ""), IF(F110 = "Réttur", IFERROR(_xlfn.SINGLE(_xlfn.XLOOKUP(G110, Réttabanki!A:A, Réttabanki!AW:AW, "")) * I110 / 100, ""), "")))</f>
        <v/>
      </c>
      <c r="Q110" s="26" t="str">
        <f>IF(OR(F110 = "", G110 = "", I110 = ""), "", IF(F110 = "Vara", IFERROR(_xlfn.SINGLE(_xlfn.XLOOKUP(G110, Vöruskrá!A:A, Vöruskrá!N:N, "")) * I110 / 100, ""), IF(F110 = "Réttur", IFERROR(_xlfn.SINGLE(_xlfn.XLOOKUP(G110, Réttabanki!A:A, Réttabanki!BB:BB, "")) * I110 / 100, ""), "")))</f>
        <v/>
      </c>
    </row>
    <row r="111" spans="1:17">
      <c r="B111" s="33" t="str">
        <f>IF(A111&lt;&gt;"",CHOOSE(WEEKDAY(A111,2),"Mánudagur","Þriðjudagur","Miðvikudagur","Fimmtudagur","Föstudagur","Laugardagur","Sunnudagur"),IF(B110&lt;&gt;"",B110,""))</f>
        <v>Fimmtudagur</v>
      </c>
      <c r="C111" s="33">
        <f>IF(A111&lt;&gt;"",WEEKNUM(A111,21),IF(C110&lt;&gt;"",C110,""))</f>
        <v>26</v>
      </c>
      <c r="D111" s="34" t="s">
        <v>910</v>
      </c>
      <c r="E111" s="34" t="s">
        <v>921</v>
      </c>
      <c r="F111" s="34" t="s">
        <v>913</v>
      </c>
      <c r="G111" s="34" t="s">
        <v>1044</v>
      </c>
      <c r="H111" s="34" t="s">
        <v>764</v>
      </c>
      <c r="I111" s="35">
        <v>40</v>
      </c>
      <c r="J111" s="35">
        <v>40</v>
      </c>
      <c r="K111" s="36"/>
      <c r="L111" s="26" t="str">
        <f>IF(OR(F111 = "", G111 = ""), "", IF(F111 = "Vara", IFERROR(_xlfn.SINGLE(_xlfn.XLOOKUP(G111, Vöruskrá!A:A, Vöruskrá!E:E, "")), ""), IF(F111 = "Réttur", IFERROR(_xlfn.SINGLE(_xlfn.XLOOKUP(G111, Réttabanki!A:A, Réttabanki!AS:AS, "")), ""), "")))</f>
        <v/>
      </c>
      <c r="M111" s="26" t="str">
        <f>IF(OR(F111 = "", G111 = ""), "", IF(F111 = "Vara", IFERROR(_xlfn.SINGLE(_xlfn.XLOOKUP(G111, Vöruskrá!A:A, Vöruskrá!F:F, "")), ""), IF(F111 = "Réttur", IFERROR(_xlfn.SINGLE(_xlfn.XLOOKUP(G111, Réttabanki!A:A, Réttabanki!AT:AT, "")), ""), "")))</f>
        <v/>
      </c>
      <c r="N111" s="26" t="str">
        <f>IF(OR(F111 = "", G111 = ""), "", IF(F111 = "Vara", IFERROR(_xlfn.SINGLE(_xlfn.XLOOKUP(G111, Vöruskrá!A:A, Vöruskrá!G:G, "")), ""), IF(F111 = "Réttur", IFERROR(_xlfn.SINGLE(_xlfn.XLOOKUP(G111, Réttabanki!A:A, Réttabanki!AU:AU, "")), ""), "")))</f>
        <v/>
      </c>
      <c r="O111" s="26" t="str">
        <f>IF(OR(F111 = "", G111 = "", I111 = ""), "", IF(F111 = "Vara", IFERROR(_xlfn.SINGLE(_xlfn.XLOOKUP(G111, Vöruskrá!A:A, Vöruskrá!I:I, "")) * I111 / 100, ""), IF(F111 = "Réttur", IFERROR(_xlfn.SINGLE(_xlfn.XLOOKUP(G111, Réttabanki!A:A, Réttabanki!AV:AV, "")) * I111 / 100, ""), "")))</f>
        <v/>
      </c>
      <c r="P111" s="26" t="str">
        <f>IF(OR(F111 = "", G111 = "", I111 = ""), "", IF(F111 = "Vara", IFERROR(_xlfn.SINGLE(_xlfn.XLOOKUP(G111, Vöruskrá!A:A, Vöruskrá!J:J, "")) * I111 / 100, ""), IF(F111 = "Réttur", IFERROR(_xlfn.SINGLE(_xlfn.XLOOKUP(G111, Réttabanki!A:A, Réttabanki!AW:AW, "")) * I111 / 100, ""), "")))</f>
        <v/>
      </c>
      <c r="Q111" s="26" t="str">
        <f>IF(OR(F111 = "", G111 = "", I111 = ""), "", IF(F111 = "Vara", IFERROR(_xlfn.SINGLE(_xlfn.XLOOKUP(G111, Vöruskrá!A:A, Vöruskrá!N:N, "")) * I111 / 100, ""), IF(F111 = "Réttur", IFERROR(_xlfn.SINGLE(_xlfn.XLOOKUP(G111, Réttabanki!A:A, Réttabanki!BB:BB, "")) * I111 / 100, ""), "")))</f>
        <v/>
      </c>
    </row>
    <row r="112" spans="1:17">
      <c r="B112" s="33" t="str">
        <f>IF(A112&lt;&gt;"",CHOOSE(WEEKDAY(A112,2),"Mánudagur","Þriðjudagur","Miðvikudagur","Fimmtudagur","Föstudagur","Laugardagur","Sunnudagur"),IF(B111&lt;&gt;"",B111,""))</f>
        <v>Fimmtudagur</v>
      </c>
      <c r="C112" s="33">
        <f>IF(A112&lt;&gt;"",WEEKNUM(A112,21),IF(C111&lt;&gt;"",C111,""))</f>
        <v>26</v>
      </c>
      <c r="D112" s="34" t="s">
        <v>910</v>
      </c>
      <c r="E112" s="34" t="s">
        <v>927</v>
      </c>
      <c r="F112" s="34"/>
      <c r="G112" s="34"/>
      <c r="H112" s="34" t="s">
        <v>1045</v>
      </c>
      <c r="I112" s="35"/>
      <c r="J112" s="35"/>
      <c r="K112" s="36"/>
      <c r="L112" s="26" t="str">
        <f>IF(OR(F112 = "", G112 = ""), "", IF(F112 = "Vara", IFERROR(_xlfn.SINGLE(_xlfn.XLOOKUP(G112, Vöruskrá!A:A, Vöruskrá!E:E, "")), ""), IF(F112 = "Réttur", IFERROR(_xlfn.SINGLE(_xlfn.XLOOKUP(G112, Réttabanki!A:A, Réttabanki!AS:AS, "")), ""), "")))</f>
        <v/>
      </c>
      <c r="M112" s="26" t="str">
        <f>IF(OR(F112 = "", G112 = ""), "", IF(F112 = "Vara", IFERROR(_xlfn.SINGLE(_xlfn.XLOOKUP(G112, Vöruskrá!A:A, Vöruskrá!F:F, "")), ""), IF(F112 = "Réttur", IFERROR(_xlfn.SINGLE(_xlfn.XLOOKUP(G112, Réttabanki!A:A, Réttabanki!AT:AT, "")), ""), "")))</f>
        <v/>
      </c>
      <c r="N112" s="26" t="str">
        <f>IF(OR(F112 = "", G112 = ""), "", IF(F112 = "Vara", IFERROR(_xlfn.SINGLE(_xlfn.XLOOKUP(G112, Vöruskrá!A:A, Vöruskrá!G:G, "")), ""), IF(F112 = "Réttur", IFERROR(_xlfn.SINGLE(_xlfn.XLOOKUP(G112, Réttabanki!A:A, Réttabanki!AU:AU, "")), ""), "")))</f>
        <v/>
      </c>
      <c r="O112" s="26" t="str">
        <f>IF(OR(F112 = "", G112 = "", I112 = ""), "", IF(F112 = "Vara", IFERROR(_xlfn.SINGLE(_xlfn.XLOOKUP(G112, Vöruskrá!A:A, Vöruskrá!I:I, "")) * I112 / 100, ""), IF(F112 = "Réttur", IFERROR(_xlfn.SINGLE(_xlfn.XLOOKUP(G112, Réttabanki!A:A, Réttabanki!AV:AV, "")) * I112 / 100, ""), "")))</f>
        <v/>
      </c>
      <c r="P112" s="26" t="str">
        <f>IF(OR(F112 = "", G112 = "", I112 = ""), "", IF(F112 = "Vara", IFERROR(_xlfn.SINGLE(_xlfn.XLOOKUP(G112, Vöruskrá!A:A, Vöruskrá!J:J, "")) * I112 / 100, ""), IF(F112 = "Réttur", IFERROR(_xlfn.SINGLE(_xlfn.XLOOKUP(G112, Réttabanki!A:A, Réttabanki!AW:AW, "")) * I112 / 100, ""), "")))</f>
        <v/>
      </c>
      <c r="Q112" s="26" t="str">
        <f>IF(OR(F112 = "", G112 = "", I112 = ""), "", IF(F112 = "Vara", IFERROR(_xlfn.SINGLE(_xlfn.XLOOKUP(G112, Vöruskrá!A:A, Vöruskrá!N:N, "")) * I112 / 100, ""), IF(F112 = "Réttur", IFERROR(_xlfn.SINGLE(_xlfn.XLOOKUP(G112, Réttabanki!A:A, Réttabanki!BB:BB, "")) * I112 / 100, ""), "")))</f>
        <v/>
      </c>
    </row>
    <row r="113" spans="1:17">
      <c r="B113" s="33" t="str">
        <f>IF(A113&lt;&gt;"",CHOOSE(WEEKDAY(A113,2),"Mánudagur","Þriðjudagur","Miðvikudagur","Fimmtudagur","Föstudagur","Laugardagur","Sunnudagur"),IF(B112&lt;&gt;"",B112,""))</f>
        <v>Fimmtudagur</v>
      </c>
      <c r="C113" s="33">
        <f>IF(A113&lt;&gt;"",WEEKNUM(A113,21),IF(C112&lt;&gt;"",C112,""))</f>
        <v>26</v>
      </c>
      <c r="D113" s="34" t="s">
        <v>910</v>
      </c>
      <c r="E113" s="34" t="s">
        <v>927</v>
      </c>
      <c r="F113" s="34" t="s">
        <v>913</v>
      </c>
      <c r="G113" s="34" t="s">
        <v>1046</v>
      </c>
      <c r="H113" s="34" t="s">
        <v>1047</v>
      </c>
      <c r="I113" s="35">
        <v>120</v>
      </c>
      <c r="J113" s="35">
        <v>120</v>
      </c>
      <c r="K113" s="36"/>
      <c r="L113" s="26" t="str">
        <f>IF(OR(F113 = "", G113 = ""), "", IF(F113 = "Vara", IFERROR(_xlfn.SINGLE(_xlfn.XLOOKUP(G113, Vöruskrá!A:A, Vöruskrá!E:E, "")), ""), IF(F113 = "Réttur", IFERROR(_xlfn.SINGLE(_xlfn.XLOOKUP(G113, Réttabanki!A:A, Réttabanki!AS:AS, "")), ""), "")))</f>
        <v/>
      </c>
      <c r="M113" s="26" t="str">
        <f>IF(OR(F113 = "", G113 = ""), "", IF(F113 = "Vara", IFERROR(_xlfn.SINGLE(_xlfn.XLOOKUP(G113, Vöruskrá!A:A, Vöruskrá!F:F, "")), ""), IF(F113 = "Réttur", IFERROR(_xlfn.SINGLE(_xlfn.XLOOKUP(G113, Réttabanki!A:A, Réttabanki!AT:AT, "")), ""), "")))</f>
        <v/>
      </c>
      <c r="N113" s="26" t="str">
        <f>IF(OR(F113 = "", G113 = ""), "", IF(F113 = "Vara", IFERROR(_xlfn.SINGLE(_xlfn.XLOOKUP(G113, Vöruskrá!A:A, Vöruskrá!G:G, "")), ""), IF(F113 = "Réttur", IFERROR(_xlfn.SINGLE(_xlfn.XLOOKUP(G113, Réttabanki!A:A, Réttabanki!AU:AU, "")), ""), "")))</f>
        <v/>
      </c>
      <c r="O113" s="26" t="str">
        <f>IF(OR(F113 = "", G113 = "", I113 = ""), "", IF(F113 = "Vara", IFERROR(_xlfn.SINGLE(_xlfn.XLOOKUP(G113, Vöruskrá!A:A, Vöruskrá!I:I, "")) * I113 / 100, ""), IF(F113 = "Réttur", IFERROR(_xlfn.SINGLE(_xlfn.XLOOKUP(G113, Réttabanki!A:A, Réttabanki!AV:AV, "")) * I113 / 100, ""), "")))</f>
        <v/>
      </c>
      <c r="P113" s="26" t="str">
        <f>IF(OR(F113 = "", G113 = "", I113 = ""), "", IF(F113 = "Vara", IFERROR(_xlfn.SINGLE(_xlfn.XLOOKUP(G113, Vöruskrá!A:A, Vöruskrá!J:J, "")) * I113 / 100, ""), IF(F113 = "Réttur", IFERROR(_xlfn.SINGLE(_xlfn.XLOOKUP(G113, Réttabanki!A:A, Réttabanki!AW:AW, "")) * I113 / 100, ""), "")))</f>
        <v/>
      </c>
      <c r="Q113" s="26" t="str">
        <f>IF(OR(F113 = "", G113 = "", I113 = ""), "", IF(F113 = "Vara", IFERROR(_xlfn.SINGLE(_xlfn.XLOOKUP(G113, Vöruskrá!A:A, Vöruskrá!N:N, "")) * I113 / 100, ""), IF(F113 = "Réttur", IFERROR(_xlfn.SINGLE(_xlfn.XLOOKUP(G113, Réttabanki!A:A, Réttabanki!BB:BB, "")) * I113 / 100, ""), "")))</f>
        <v/>
      </c>
    </row>
    <row r="114" spans="1:17">
      <c r="B114" s="33" t="str">
        <f>IF(A114&lt;&gt;"",CHOOSE(WEEKDAY(A114,2),"Mánudagur","Þriðjudagur","Miðvikudagur","Fimmtudagur","Föstudagur","Laugardagur","Sunnudagur"),IF(B113&lt;&gt;"",B113,""))</f>
        <v>Fimmtudagur</v>
      </c>
      <c r="C114" s="33">
        <f>IF(A114&lt;&gt;"",WEEKNUM(A114,21),IF(C113&lt;&gt;"",C113,""))</f>
        <v>26</v>
      </c>
      <c r="D114" s="34" t="s">
        <v>910</v>
      </c>
      <c r="E114" s="34" t="s">
        <v>927</v>
      </c>
      <c r="F114" s="34" t="s">
        <v>913</v>
      </c>
      <c r="G114" s="34" t="s">
        <v>1042</v>
      </c>
      <c r="H114" s="34" t="s">
        <v>1043</v>
      </c>
      <c r="I114" s="35">
        <v>80</v>
      </c>
      <c r="J114" s="35">
        <v>80</v>
      </c>
      <c r="K114" s="36"/>
      <c r="L114" s="26" t="str">
        <f>IF(OR(F114 = "", G114 = ""), "", IF(F114 = "Vara", IFERROR(_xlfn.SINGLE(_xlfn.XLOOKUP(G114, Vöruskrá!A:A, Vöruskrá!E:E, "")), ""), IF(F114 = "Réttur", IFERROR(_xlfn.SINGLE(_xlfn.XLOOKUP(G114, Réttabanki!A:A, Réttabanki!AS:AS, "")), ""), "")))</f>
        <v/>
      </c>
      <c r="M114" s="26" t="str">
        <f>IF(OR(F114 = "", G114 = ""), "", IF(F114 = "Vara", IFERROR(_xlfn.SINGLE(_xlfn.XLOOKUP(G114, Vöruskrá!A:A, Vöruskrá!F:F, "")), ""), IF(F114 = "Réttur", IFERROR(_xlfn.SINGLE(_xlfn.XLOOKUP(G114, Réttabanki!A:A, Réttabanki!AT:AT, "")), ""), "")))</f>
        <v/>
      </c>
      <c r="N114" s="26" t="str">
        <f>IF(OR(F114 = "", G114 = ""), "", IF(F114 = "Vara", IFERROR(_xlfn.SINGLE(_xlfn.XLOOKUP(G114, Vöruskrá!A:A, Vöruskrá!G:G, "")), ""), IF(F114 = "Réttur", IFERROR(_xlfn.SINGLE(_xlfn.XLOOKUP(G114, Réttabanki!A:A, Réttabanki!AU:AU, "")), ""), "")))</f>
        <v/>
      </c>
      <c r="O114" s="26" t="str">
        <f>IF(OR(F114 = "", G114 = "", I114 = ""), "", IF(F114 = "Vara", IFERROR(_xlfn.SINGLE(_xlfn.XLOOKUP(G114, Vöruskrá!A:A, Vöruskrá!I:I, "")) * I114 / 100, ""), IF(F114 = "Réttur", IFERROR(_xlfn.SINGLE(_xlfn.XLOOKUP(G114, Réttabanki!A:A, Réttabanki!AV:AV, "")) * I114 / 100, ""), "")))</f>
        <v/>
      </c>
      <c r="P114" s="26" t="str">
        <f>IF(OR(F114 = "", G114 = "", I114 = ""), "", IF(F114 = "Vara", IFERROR(_xlfn.SINGLE(_xlfn.XLOOKUP(G114, Vöruskrá!A:A, Vöruskrá!J:J, "")) * I114 / 100, ""), IF(F114 = "Réttur", IFERROR(_xlfn.SINGLE(_xlfn.XLOOKUP(G114, Réttabanki!A:A, Réttabanki!AW:AW, "")) * I114 / 100, ""), "")))</f>
        <v/>
      </c>
      <c r="Q114" s="26" t="str">
        <f>IF(OR(F114 = "", G114 = "", I114 = ""), "", IF(F114 = "Vara", IFERROR(_xlfn.SINGLE(_xlfn.XLOOKUP(G114, Vöruskrá!A:A, Vöruskrá!N:N, "")) * I114 / 100, ""), IF(F114 = "Réttur", IFERROR(_xlfn.SINGLE(_xlfn.XLOOKUP(G114, Réttabanki!A:A, Réttabanki!BB:BB, "")) * I114 / 100, ""), "")))</f>
        <v/>
      </c>
    </row>
    <row r="115" spans="1:17">
      <c r="B115" s="33" t="str">
        <f>IF(A115&lt;&gt;"",CHOOSE(WEEKDAY(A115,2),"Mánudagur","Þriðjudagur","Miðvikudagur","Fimmtudagur","Föstudagur","Laugardagur","Sunnudagur"),IF(B114&lt;&gt;"",B114,""))</f>
        <v>Fimmtudagur</v>
      </c>
      <c r="C115" s="33">
        <f>IF(A115&lt;&gt;"",WEEKNUM(A115,21),IF(C114&lt;&gt;"",C114,""))</f>
        <v>26</v>
      </c>
      <c r="D115" s="34" t="s">
        <v>910</v>
      </c>
      <c r="E115" s="34" t="s">
        <v>927</v>
      </c>
      <c r="F115" s="34" t="s">
        <v>913</v>
      </c>
      <c r="G115" s="34" t="s">
        <v>1044</v>
      </c>
      <c r="H115" s="34" t="s">
        <v>764</v>
      </c>
      <c r="I115" s="35">
        <v>40</v>
      </c>
      <c r="J115" s="35">
        <v>40</v>
      </c>
      <c r="K115" s="36"/>
      <c r="L115" s="26" t="str">
        <f>IF(OR(F115 = "", G115 = ""), "", IF(F115 = "Vara", IFERROR(_xlfn.SINGLE(_xlfn.XLOOKUP(G115, Vöruskrá!A:A, Vöruskrá!E:E, "")), ""), IF(F115 = "Réttur", IFERROR(_xlfn.SINGLE(_xlfn.XLOOKUP(G115, Réttabanki!A:A, Réttabanki!AS:AS, "")), ""), "")))</f>
        <v/>
      </c>
      <c r="M115" s="26" t="str">
        <f>IF(OR(F115 = "", G115 = ""), "", IF(F115 = "Vara", IFERROR(_xlfn.SINGLE(_xlfn.XLOOKUP(G115, Vöruskrá!A:A, Vöruskrá!F:F, "")), ""), IF(F115 = "Réttur", IFERROR(_xlfn.SINGLE(_xlfn.XLOOKUP(G115, Réttabanki!A:A, Réttabanki!AT:AT, "")), ""), "")))</f>
        <v/>
      </c>
      <c r="N115" s="26" t="str">
        <f>IF(OR(F115 = "", G115 = ""), "", IF(F115 = "Vara", IFERROR(_xlfn.SINGLE(_xlfn.XLOOKUP(G115, Vöruskrá!A:A, Vöruskrá!G:G, "")), ""), IF(F115 = "Réttur", IFERROR(_xlfn.SINGLE(_xlfn.XLOOKUP(G115, Réttabanki!A:A, Réttabanki!AU:AU, "")), ""), "")))</f>
        <v/>
      </c>
      <c r="O115" s="26" t="str">
        <f>IF(OR(F115 = "", G115 = "", I115 = ""), "", IF(F115 = "Vara", IFERROR(_xlfn.SINGLE(_xlfn.XLOOKUP(G115, Vöruskrá!A:A, Vöruskrá!I:I, "")) * I115 / 100, ""), IF(F115 = "Réttur", IFERROR(_xlfn.SINGLE(_xlfn.XLOOKUP(G115, Réttabanki!A:A, Réttabanki!AV:AV, "")) * I115 / 100, ""), "")))</f>
        <v/>
      </c>
      <c r="P115" s="26" t="str">
        <f>IF(OR(F115 = "", G115 = "", I115 = ""), "", IF(F115 = "Vara", IFERROR(_xlfn.SINGLE(_xlfn.XLOOKUP(G115, Vöruskrá!A:A, Vöruskrá!J:J, "")) * I115 / 100, ""), IF(F115 = "Réttur", IFERROR(_xlfn.SINGLE(_xlfn.XLOOKUP(G115, Réttabanki!A:A, Réttabanki!AW:AW, "")) * I115 / 100, ""), "")))</f>
        <v/>
      </c>
      <c r="Q115" s="26" t="str">
        <f>IF(OR(F115 = "", G115 = "", I115 = ""), "", IF(F115 = "Vara", IFERROR(_xlfn.SINGLE(_xlfn.XLOOKUP(G115, Vöruskrá!A:A, Vöruskrá!N:N, "")) * I115 / 100, ""), IF(F115 = "Réttur", IFERROR(_xlfn.SINGLE(_xlfn.XLOOKUP(G115, Réttabanki!A:A, Réttabanki!BB:BB, "")) * I115 / 100, ""), "")))</f>
        <v/>
      </c>
    </row>
    <row r="116" spans="1:17">
      <c r="B116" s="33" t="str">
        <f>IF(A116&lt;&gt;"",CHOOSE(WEEKDAY(A116,2),"Mánudagur","Þriðjudagur","Miðvikudagur","Fimmtudagur","Föstudagur","Laugardagur","Sunnudagur"),IF(B115&lt;&gt;"",B115,""))</f>
        <v>Fimmtudagur</v>
      </c>
      <c r="C116" s="33">
        <f>IF(A116&lt;&gt;"",WEEKNUM(A116,21),IF(C115&lt;&gt;"",C115,""))</f>
        <v>26</v>
      </c>
      <c r="D116" s="34" t="s">
        <v>910</v>
      </c>
      <c r="E116" s="34" t="s">
        <v>933</v>
      </c>
      <c r="F116" s="34"/>
      <c r="G116" s="34"/>
      <c r="H116" s="34" t="s">
        <v>1048</v>
      </c>
      <c r="I116" s="35"/>
      <c r="J116" s="35"/>
      <c r="K116" s="36"/>
      <c r="L116" s="26" t="str">
        <f>IF(OR(F116 = "", G116 = ""), "", IF(F116 = "Vara", IFERROR(_xlfn.SINGLE(_xlfn.XLOOKUP(G116, Vöruskrá!A:A, Vöruskrá!E:E, "")), ""), IF(F116 = "Réttur", IFERROR(_xlfn.SINGLE(_xlfn.XLOOKUP(G116, Réttabanki!A:A, Réttabanki!AS:AS, "")), ""), "")))</f>
        <v/>
      </c>
      <c r="M116" s="26" t="str">
        <f>IF(OR(F116 = "", G116 = ""), "", IF(F116 = "Vara", IFERROR(_xlfn.SINGLE(_xlfn.XLOOKUP(G116, Vöruskrá!A:A, Vöruskrá!F:F, "")), ""), IF(F116 = "Réttur", IFERROR(_xlfn.SINGLE(_xlfn.XLOOKUP(G116, Réttabanki!A:A, Réttabanki!AT:AT, "")), ""), "")))</f>
        <v/>
      </c>
      <c r="N116" s="26" t="str">
        <f>IF(OR(F116 = "", G116 = ""), "", IF(F116 = "Vara", IFERROR(_xlfn.SINGLE(_xlfn.XLOOKUP(G116, Vöruskrá!A:A, Vöruskrá!G:G, "")), ""), IF(F116 = "Réttur", IFERROR(_xlfn.SINGLE(_xlfn.XLOOKUP(G116, Réttabanki!A:A, Réttabanki!AU:AU, "")), ""), "")))</f>
        <v/>
      </c>
      <c r="O116" s="26" t="str">
        <f>IF(OR(F116 = "", G116 = "", I116 = ""), "", IF(F116 = "Vara", IFERROR(_xlfn.SINGLE(_xlfn.XLOOKUP(G116, Vöruskrá!A:A, Vöruskrá!I:I, "")) * I116 / 100, ""), IF(F116 = "Réttur", IFERROR(_xlfn.SINGLE(_xlfn.XLOOKUP(G116, Réttabanki!A:A, Réttabanki!AV:AV, "")) * I116 / 100, ""), "")))</f>
        <v/>
      </c>
      <c r="P116" s="26" t="str">
        <f>IF(OR(F116 = "", G116 = "", I116 = ""), "", IF(F116 = "Vara", IFERROR(_xlfn.SINGLE(_xlfn.XLOOKUP(G116, Vöruskrá!A:A, Vöruskrá!J:J, "")) * I116 / 100, ""), IF(F116 = "Réttur", IFERROR(_xlfn.SINGLE(_xlfn.XLOOKUP(G116, Réttabanki!A:A, Réttabanki!AW:AW, "")) * I116 / 100, ""), "")))</f>
        <v/>
      </c>
      <c r="Q116" s="26" t="str">
        <f>IF(OR(F116 = "", G116 = "", I116 = ""), "", IF(F116 = "Vara", IFERROR(_xlfn.SINGLE(_xlfn.XLOOKUP(G116, Vöruskrá!A:A, Vöruskrá!N:N, "")) * I116 / 100, ""), IF(F116 = "Réttur", IFERROR(_xlfn.SINGLE(_xlfn.XLOOKUP(G116, Réttabanki!A:A, Réttabanki!BB:BB, "")) * I116 / 100, ""), "")))</f>
        <v/>
      </c>
    </row>
    <row r="117" spans="1:17">
      <c r="B117" s="33" t="str">
        <f>IF(A117&lt;&gt;"",CHOOSE(WEEKDAY(A117,2),"Mánudagur","Þriðjudagur","Miðvikudagur","Fimmtudagur","Föstudagur","Laugardagur","Sunnudagur"),IF(B116&lt;&gt;"",B116,""))</f>
        <v>Fimmtudagur</v>
      </c>
      <c r="C117" s="33">
        <f>IF(A117&lt;&gt;"",WEEKNUM(A117,21),IF(C116&lt;&gt;"",C116,""))</f>
        <v>26</v>
      </c>
      <c r="D117" s="34" t="s">
        <v>910</v>
      </c>
      <c r="E117" s="34" t="s">
        <v>941</v>
      </c>
      <c r="F117" s="34"/>
      <c r="G117" s="34"/>
      <c r="H117" s="34" t="s">
        <v>1049</v>
      </c>
      <c r="I117" s="35"/>
      <c r="J117" s="35"/>
      <c r="K117" s="36"/>
      <c r="L117" s="26" t="str">
        <f>IF(OR(F117 = "", G117 = ""), "", IF(F117 = "Vara", IFERROR(_xlfn.SINGLE(_xlfn.XLOOKUP(G117, Vöruskrá!A:A, Vöruskrá!E:E, "")), ""), IF(F117 = "Réttur", IFERROR(_xlfn.SINGLE(_xlfn.XLOOKUP(G117, Réttabanki!A:A, Réttabanki!AS:AS, "")), ""), "")))</f>
        <v/>
      </c>
      <c r="M117" s="26" t="str">
        <f>IF(OR(F117 = "", G117 = ""), "", IF(F117 = "Vara", IFERROR(_xlfn.SINGLE(_xlfn.XLOOKUP(G117, Vöruskrá!A:A, Vöruskrá!F:F, "")), ""), IF(F117 = "Réttur", IFERROR(_xlfn.SINGLE(_xlfn.XLOOKUP(G117, Réttabanki!A:A, Réttabanki!AT:AT, "")), ""), "")))</f>
        <v/>
      </c>
      <c r="N117" s="26" t="str">
        <f>IF(OR(F117 = "", G117 = ""), "", IF(F117 = "Vara", IFERROR(_xlfn.SINGLE(_xlfn.XLOOKUP(G117, Vöruskrá!A:A, Vöruskrá!G:G, "")), ""), IF(F117 = "Réttur", IFERROR(_xlfn.SINGLE(_xlfn.XLOOKUP(G117, Réttabanki!A:A, Réttabanki!AU:AU, "")), ""), "")))</f>
        <v/>
      </c>
      <c r="O117" s="26" t="str">
        <f>IF(OR(F117 = "", G117 = "", I117 = ""), "", IF(F117 = "Vara", IFERROR(_xlfn.SINGLE(_xlfn.XLOOKUP(G117, Vöruskrá!A:A, Vöruskrá!I:I, "")) * I117 / 100, ""), IF(F117 = "Réttur", IFERROR(_xlfn.SINGLE(_xlfn.XLOOKUP(G117, Réttabanki!A:A, Réttabanki!AV:AV, "")) * I117 / 100, ""), "")))</f>
        <v/>
      </c>
      <c r="P117" s="26" t="str">
        <f>IF(OR(F117 = "", G117 = "", I117 = ""), "", IF(F117 = "Vara", IFERROR(_xlfn.SINGLE(_xlfn.XLOOKUP(G117, Vöruskrá!A:A, Vöruskrá!J:J, "")) * I117 / 100, ""), IF(F117 = "Réttur", IFERROR(_xlfn.SINGLE(_xlfn.XLOOKUP(G117, Réttabanki!A:A, Réttabanki!AW:AW, "")) * I117 / 100, ""), "")))</f>
        <v/>
      </c>
      <c r="Q117" s="26" t="str">
        <f>IF(OR(F117 = "", G117 = "", I117 = ""), "", IF(F117 = "Vara", IFERROR(_xlfn.SINGLE(_xlfn.XLOOKUP(G117, Vöruskrá!A:A, Vöruskrá!N:N, "")) * I117 / 100, ""), IF(F117 = "Réttur", IFERROR(_xlfn.SINGLE(_xlfn.XLOOKUP(G117, Réttabanki!A:A, Réttabanki!BB:BB, "")) * I117 / 100, ""), "")))</f>
        <v/>
      </c>
    </row>
    <row r="118" spans="1:17">
      <c r="B118" s="33" t="str">
        <f>IF(A118&lt;&gt;"",CHOOSE(WEEKDAY(A118,2),"Mánudagur","Þriðjudagur","Miðvikudagur","Fimmtudagur","Föstudagur","Laugardagur","Sunnudagur"),IF(B117&lt;&gt;"",B117,""))</f>
        <v>Fimmtudagur</v>
      </c>
      <c r="C118" s="33">
        <f>IF(A118&lt;&gt;"",WEEKNUM(A118,21),IF(C117&lt;&gt;"",C117,""))</f>
        <v>26</v>
      </c>
      <c r="D118" s="34" t="s">
        <v>910</v>
      </c>
      <c r="E118" s="34" t="s">
        <v>941</v>
      </c>
      <c r="F118" s="34" t="s">
        <v>913</v>
      </c>
      <c r="G118" s="34" t="s">
        <v>1050</v>
      </c>
      <c r="H118" s="34" t="s">
        <v>1051</v>
      </c>
      <c r="I118" s="35">
        <v>30</v>
      </c>
      <c r="J118" s="35">
        <v>40</v>
      </c>
      <c r="K118" s="36"/>
      <c r="L118" s="26" t="str">
        <f>IF(OR(F118 = "", G118 = ""), "", IF(F118 = "Vara", IFERROR(_xlfn.SINGLE(_xlfn.XLOOKUP(G118, Vöruskrá!A:A, Vöruskrá!E:E, "")), ""), IF(F118 = "Réttur", IFERROR(_xlfn.SINGLE(_xlfn.XLOOKUP(G118, Réttabanki!A:A, Réttabanki!AS:AS, "")), ""), "")))</f>
        <v/>
      </c>
      <c r="M118" s="26" t="str">
        <f>IF(OR(F118 = "", G118 = ""), "", IF(F118 = "Vara", IFERROR(_xlfn.SINGLE(_xlfn.XLOOKUP(G118, Vöruskrá!A:A, Vöruskrá!F:F, "")), ""), IF(F118 = "Réttur", IFERROR(_xlfn.SINGLE(_xlfn.XLOOKUP(G118, Réttabanki!A:A, Réttabanki!AT:AT, "")), ""), "")))</f>
        <v/>
      </c>
      <c r="N118" s="26" t="str">
        <f>IF(OR(F118 = "", G118 = ""), "", IF(F118 = "Vara", IFERROR(_xlfn.SINGLE(_xlfn.XLOOKUP(G118, Vöruskrá!A:A, Vöruskrá!G:G, "")), ""), IF(F118 = "Réttur", IFERROR(_xlfn.SINGLE(_xlfn.XLOOKUP(G118, Réttabanki!A:A, Réttabanki!AU:AU, "")), ""), "")))</f>
        <v/>
      </c>
      <c r="O118" s="26" t="str">
        <f>IF(OR(F118 = "", G118 = "", I118 = ""), "", IF(F118 = "Vara", IFERROR(_xlfn.SINGLE(_xlfn.XLOOKUP(G118, Vöruskrá!A:A, Vöruskrá!I:I, "")) * I118 / 100, ""), IF(F118 = "Réttur", IFERROR(_xlfn.SINGLE(_xlfn.XLOOKUP(G118, Réttabanki!A:A, Réttabanki!AV:AV, "")) * I118 / 100, ""), "")))</f>
        <v/>
      </c>
      <c r="P118" s="26" t="str">
        <f>IF(OR(F118 = "", G118 = "", I118 = ""), "", IF(F118 = "Vara", IFERROR(_xlfn.SINGLE(_xlfn.XLOOKUP(G118, Vöruskrá!A:A, Vöruskrá!J:J, "")) * I118 / 100, ""), IF(F118 = "Réttur", IFERROR(_xlfn.SINGLE(_xlfn.XLOOKUP(G118, Réttabanki!A:A, Réttabanki!AW:AW, "")) * I118 / 100, ""), "")))</f>
        <v/>
      </c>
      <c r="Q118" s="26" t="str">
        <f>IF(OR(F118 = "", G118 = "", I118 = ""), "", IF(F118 = "Vara", IFERROR(_xlfn.SINGLE(_xlfn.XLOOKUP(G118, Vöruskrá!A:A, Vöruskrá!N:N, "")) * I118 / 100, ""), IF(F118 = "Réttur", IFERROR(_xlfn.SINGLE(_xlfn.XLOOKUP(G118, Réttabanki!A:A, Réttabanki!BB:BB, "")) * I118 / 100, ""), "")))</f>
        <v/>
      </c>
    </row>
    <row r="119" spans="1:17">
      <c r="B119" s="33" t="str">
        <f>IF(A119&lt;&gt;"",CHOOSE(WEEKDAY(A119,2),"Mánudagur","Þriðjudagur","Miðvikudagur","Fimmtudagur","Föstudagur","Laugardagur","Sunnudagur"),IF(B118&lt;&gt;"",B118,""))</f>
        <v>Fimmtudagur</v>
      </c>
      <c r="C119" s="33">
        <f>IF(A119&lt;&gt;"",WEEKNUM(A119,21),IF(C118&lt;&gt;"",C118,""))</f>
        <v>26</v>
      </c>
      <c r="D119" s="34" t="s">
        <v>910</v>
      </c>
      <c r="E119" s="34" t="s">
        <v>941</v>
      </c>
      <c r="F119" s="34" t="s">
        <v>913</v>
      </c>
      <c r="G119" s="34" t="s">
        <v>1052</v>
      </c>
      <c r="H119" s="34" t="s">
        <v>1053</v>
      </c>
      <c r="I119" s="35">
        <v>20</v>
      </c>
      <c r="J119" s="35">
        <v>30</v>
      </c>
      <c r="K119" s="36"/>
      <c r="L119" s="26" t="str">
        <f>IF(OR(F119 = "", G119 = ""), "", IF(F119 = "Vara", IFERROR(_xlfn.SINGLE(_xlfn.XLOOKUP(G119, Vöruskrá!A:A, Vöruskrá!E:E, "")), ""), IF(F119 = "Réttur", IFERROR(_xlfn.SINGLE(_xlfn.XLOOKUP(G119, Réttabanki!A:A, Réttabanki!AS:AS, "")), ""), "")))</f>
        <v/>
      </c>
      <c r="M119" s="26" t="str">
        <f>IF(OR(F119 = "", G119 = ""), "", IF(F119 = "Vara", IFERROR(_xlfn.SINGLE(_xlfn.XLOOKUP(G119, Vöruskrá!A:A, Vöruskrá!F:F, "")), ""), IF(F119 = "Réttur", IFERROR(_xlfn.SINGLE(_xlfn.XLOOKUP(G119, Réttabanki!A:A, Réttabanki!AT:AT, "")), ""), "")))</f>
        <v/>
      </c>
      <c r="N119" s="26" t="str">
        <f>IF(OR(F119 = "", G119 = ""), "", IF(F119 = "Vara", IFERROR(_xlfn.SINGLE(_xlfn.XLOOKUP(G119, Vöruskrá!A:A, Vöruskrá!G:G, "")), ""), IF(F119 = "Réttur", IFERROR(_xlfn.SINGLE(_xlfn.XLOOKUP(G119, Réttabanki!A:A, Réttabanki!AU:AU, "")), ""), "")))</f>
        <v/>
      </c>
      <c r="O119" s="26" t="str">
        <f>IF(OR(F119 = "", G119 = "", I119 = ""), "", IF(F119 = "Vara", IFERROR(_xlfn.SINGLE(_xlfn.XLOOKUP(G119, Vöruskrá!A:A, Vöruskrá!I:I, "")) * I119 / 100, ""), IF(F119 = "Réttur", IFERROR(_xlfn.SINGLE(_xlfn.XLOOKUP(G119, Réttabanki!A:A, Réttabanki!AV:AV, "")) * I119 / 100, ""), "")))</f>
        <v/>
      </c>
      <c r="P119" s="26" t="str">
        <f>IF(OR(F119 = "", G119 = "", I119 = ""), "", IF(F119 = "Vara", IFERROR(_xlfn.SINGLE(_xlfn.XLOOKUP(G119, Vöruskrá!A:A, Vöruskrá!J:J, "")) * I119 / 100, ""), IF(F119 = "Réttur", IFERROR(_xlfn.SINGLE(_xlfn.XLOOKUP(G119, Réttabanki!A:A, Réttabanki!AW:AW, "")) * I119 / 100, ""), "")))</f>
        <v/>
      </c>
      <c r="Q119" s="26" t="str">
        <f>IF(OR(F119 = "", G119 = "", I119 = ""), "", IF(F119 = "Vara", IFERROR(_xlfn.SINGLE(_xlfn.XLOOKUP(G119, Vöruskrá!A:A, Vöruskrá!N:N, "")) * I119 / 100, ""), IF(F119 = "Réttur", IFERROR(_xlfn.SINGLE(_xlfn.XLOOKUP(G119, Réttabanki!A:A, Réttabanki!BB:BB, "")) * I119 / 100, ""), "")))</f>
        <v/>
      </c>
    </row>
    <row r="120" spans="1:17">
      <c r="A120" s="32">
        <v>46199</v>
      </c>
      <c r="B120" s="33" t="str">
        <f>IF(A120&lt;&gt;"",CHOOSE(WEEKDAY(A120,2),"Mánudagur","Þriðjudagur","Miðvikudagur","Fimmtudagur","Föstudagur","Laugardagur","Sunnudagur"),IF(#REF!&lt;&gt;"",#REF!,""))</f>
        <v>Föstudagur</v>
      </c>
      <c r="C120" s="33">
        <f>IF(A120&lt;&gt;"",WEEKNUM(A120,21),IF(#REF!&lt;&gt;"",#REF!,""))</f>
        <v>26</v>
      </c>
      <c r="D120" s="34" t="s">
        <v>910</v>
      </c>
      <c r="E120" s="34" t="s">
        <v>921</v>
      </c>
      <c r="F120" s="34"/>
      <c r="G120" s="34"/>
      <c r="H120" s="34" t="s">
        <v>1054</v>
      </c>
      <c r="I120" s="35"/>
      <c r="J120" s="35"/>
      <c r="K120" s="36"/>
      <c r="L120" s="26" t="str">
        <f>IF(OR(F120 = "", G120 = ""), "", IF(F120 = "Vara", IFERROR(_xlfn.SINGLE(_xlfn.XLOOKUP(G120, Vöruskrá!A:A, Vöruskrá!E:E, "")), ""), IF(F120 = "Réttur", IFERROR(_xlfn.SINGLE(_xlfn.XLOOKUP(G120, Réttabanki!A:A, Réttabanki!AS:AS, "")), ""), "")))</f>
        <v/>
      </c>
      <c r="M120" s="26" t="str">
        <f>IF(OR(F120 = "", G120 = ""), "", IF(F120 = "Vara", IFERROR(_xlfn.SINGLE(_xlfn.XLOOKUP(G120, Vöruskrá!A:A, Vöruskrá!F:F, "")), ""), IF(F120 = "Réttur", IFERROR(_xlfn.SINGLE(_xlfn.XLOOKUP(G120, Réttabanki!A:A, Réttabanki!AT:AT, "")), ""), "")))</f>
        <v/>
      </c>
      <c r="N120" s="26" t="str">
        <f>IF(OR(F120 = "", G120 = ""), "", IF(F120 = "Vara", IFERROR(_xlfn.SINGLE(_xlfn.XLOOKUP(G120, Vöruskrá!A:A, Vöruskrá!G:G, "")), ""), IF(F120 = "Réttur", IFERROR(_xlfn.SINGLE(_xlfn.XLOOKUP(G120, Réttabanki!A:A, Réttabanki!AU:AU, "")), ""), "")))</f>
        <v/>
      </c>
      <c r="O120" s="26" t="str">
        <f>IF(OR(F120 = "", G120 = "", I120 = ""), "", IF(F120 = "Vara", IFERROR(_xlfn.SINGLE(_xlfn.XLOOKUP(G120, Vöruskrá!A:A, Vöruskrá!I:I, "")) * I120 / 100, ""), IF(F120 = "Réttur", IFERROR(_xlfn.SINGLE(_xlfn.XLOOKUP(G120, Réttabanki!A:A, Réttabanki!AV:AV, "")) * I120 / 100, ""), "")))</f>
        <v/>
      </c>
      <c r="P120" s="26" t="str">
        <f>IF(OR(F120 = "", G120 = "", I120 = ""), "", IF(F120 = "Vara", IFERROR(_xlfn.SINGLE(_xlfn.XLOOKUP(G120, Vöruskrá!A:A, Vöruskrá!J:J, "")) * I120 / 100, ""), IF(F120 = "Réttur", IFERROR(_xlfn.SINGLE(_xlfn.XLOOKUP(G120, Réttabanki!A:A, Réttabanki!AW:AW, "")) * I120 / 100, ""), "")))</f>
        <v/>
      </c>
      <c r="Q120" s="26" t="str">
        <f>IF(OR(F120 = "", G120 = "", I120 = ""), "", IF(F120 = "Vara", IFERROR(_xlfn.SINGLE(_xlfn.XLOOKUP(G120, Vöruskrá!A:A, Vöruskrá!N:N, "")) * I120 / 100, ""), IF(F120 = "Réttur", IFERROR(_xlfn.SINGLE(_xlfn.XLOOKUP(G120, Réttabanki!A:A, Réttabanki!BB:BB, "")) * I120 / 100, ""), "")))</f>
        <v/>
      </c>
    </row>
    <row r="121" spans="1:17">
      <c r="B121" s="33" t="str">
        <f>IF(A121&lt;&gt;"",CHOOSE(WEEKDAY(A121,2),"Mánudagur","Þriðjudagur","Miðvikudagur","Fimmtudagur","Föstudagur","Laugardagur","Sunnudagur"),IF(B120&lt;&gt;"",B120,""))</f>
        <v>Föstudagur</v>
      </c>
      <c r="C121" s="33">
        <f>IF(A121&lt;&gt;"",WEEKNUM(A121,21),IF(C120&lt;&gt;"",C120,""))</f>
        <v>26</v>
      </c>
      <c r="D121" s="34" t="s">
        <v>910</v>
      </c>
      <c r="E121" s="34" t="s">
        <v>921</v>
      </c>
      <c r="F121" s="34" t="s">
        <v>913</v>
      </c>
      <c r="G121" s="34" t="s">
        <v>1055</v>
      </c>
      <c r="H121" s="34" t="s">
        <v>766</v>
      </c>
      <c r="I121" s="35">
        <v>100</v>
      </c>
      <c r="J121" s="35">
        <v>120</v>
      </c>
      <c r="K121" s="36"/>
      <c r="L121" s="26" t="str">
        <f>IF(OR(F121 = "", G121 = ""), "", IF(F121 = "Vara", IFERROR(_xlfn.SINGLE(_xlfn.XLOOKUP(G121, Vöruskrá!A:A, Vöruskrá!E:E, "")), ""), IF(F121 = "Réttur", IFERROR(_xlfn.SINGLE(_xlfn.XLOOKUP(G121, Réttabanki!A:A, Réttabanki!AS:AS, "")), ""), "")))</f>
        <v/>
      </c>
      <c r="M121" s="26" t="str">
        <f>IF(OR(F121 = "", G121 = ""), "", IF(F121 = "Vara", IFERROR(_xlfn.SINGLE(_xlfn.XLOOKUP(G121, Vöruskrá!A:A, Vöruskrá!F:F, "")), ""), IF(F121 = "Réttur", IFERROR(_xlfn.SINGLE(_xlfn.XLOOKUP(G121, Réttabanki!A:A, Réttabanki!AT:AT, "")), ""), "")))</f>
        <v/>
      </c>
      <c r="N121" s="26" t="str">
        <f>IF(OR(F121 = "", G121 = ""), "", IF(F121 = "Vara", IFERROR(_xlfn.SINGLE(_xlfn.XLOOKUP(G121, Vöruskrá!A:A, Vöruskrá!G:G, "")), ""), IF(F121 = "Réttur", IFERROR(_xlfn.SINGLE(_xlfn.XLOOKUP(G121, Réttabanki!A:A, Réttabanki!AU:AU, "")), ""), "")))</f>
        <v/>
      </c>
      <c r="O121" s="26" t="str">
        <f>IF(OR(F121 = "", G121 = "", I121 = ""), "", IF(F121 = "Vara", IFERROR(_xlfn.SINGLE(_xlfn.XLOOKUP(G121, Vöruskrá!A:A, Vöruskrá!I:I, "")) * I121 / 100, ""), IF(F121 = "Réttur", IFERROR(_xlfn.SINGLE(_xlfn.XLOOKUP(G121, Réttabanki!A:A, Réttabanki!AV:AV, "")) * I121 / 100, ""), "")))</f>
        <v/>
      </c>
      <c r="P121" s="26" t="str">
        <f>IF(OR(F121 = "", G121 = "", I121 = ""), "", IF(F121 = "Vara", IFERROR(_xlfn.SINGLE(_xlfn.XLOOKUP(G121, Vöruskrá!A:A, Vöruskrá!J:J, "")) * I121 / 100, ""), IF(F121 = "Réttur", IFERROR(_xlfn.SINGLE(_xlfn.XLOOKUP(G121, Réttabanki!A:A, Réttabanki!AW:AW, "")) * I121 / 100, ""), "")))</f>
        <v/>
      </c>
      <c r="Q121" s="26" t="str">
        <f>IF(OR(F121 = "", G121 = "", I121 = ""), "", IF(F121 = "Vara", IFERROR(_xlfn.SINGLE(_xlfn.XLOOKUP(G121, Vöruskrá!A:A, Vöruskrá!N:N, "")) * I121 / 100, ""), IF(F121 = "Réttur", IFERROR(_xlfn.SINGLE(_xlfn.XLOOKUP(G121, Réttabanki!A:A, Réttabanki!BB:BB, "")) * I121 / 100, ""), "")))</f>
        <v/>
      </c>
    </row>
    <row r="122" spans="1:17">
      <c r="B122" s="33" t="str">
        <f>IF(A122&lt;&gt;"",CHOOSE(WEEKDAY(A122,2),"Mánudagur","Þriðjudagur","Miðvikudagur","Fimmtudagur","Föstudagur","Laugardagur","Sunnudagur"),IF(B121&lt;&gt;"",B121,""))</f>
        <v>Föstudagur</v>
      </c>
      <c r="C122" s="33">
        <f>IF(A122&lt;&gt;"",WEEKNUM(A122,21),IF(C121&lt;&gt;"",C121,""))</f>
        <v>26</v>
      </c>
      <c r="D122" s="34" t="s">
        <v>910</v>
      </c>
      <c r="E122" s="34" t="s">
        <v>921</v>
      </c>
      <c r="F122" s="34" t="s">
        <v>913</v>
      </c>
      <c r="G122" s="34" t="s">
        <v>1056</v>
      </c>
      <c r="H122" s="34" t="s">
        <v>1057</v>
      </c>
      <c r="I122" s="35"/>
      <c r="J122" s="35">
        <v>40</v>
      </c>
      <c r="K122" s="36"/>
      <c r="L122" s="26" t="str">
        <f>IF(OR(F122 = "", G122 = ""), "", IF(F122 = "Vara", IFERROR(_xlfn.SINGLE(_xlfn.XLOOKUP(G122, Vöruskrá!A:A, Vöruskrá!E:E, "")), ""), IF(F122 = "Réttur", IFERROR(_xlfn.SINGLE(_xlfn.XLOOKUP(G122, Réttabanki!A:A, Réttabanki!AS:AS, "")), ""), "")))</f>
        <v/>
      </c>
      <c r="M122" s="26" t="str">
        <f>IF(OR(F122 = "", G122 = ""), "", IF(F122 = "Vara", IFERROR(_xlfn.SINGLE(_xlfn.XLOOKUP(G122, Vöruskrá!A:A, Vöruskrá!F:F, "")), ""), IF(F122 = "Réttur", IFERROR(_xlfn.SINGLE(_xlfn.XLOOKUP(G122, Réttabanki!A:A, Réttabanki!AT:AT, "")), ""), "")))</f>
        <v/>
      </c>
      <c r="N122" s="26" t="str">
        <f>IF(OR(F122 = "", G122 = ""), "", IF(F122 = "Vara", IFERROR(_xlfn.SINGLE(_xlfn.XLOOKUP(G122, Vöruskrá!A:A, Vöruskrá!G:G, "")), ""), IF(F122 = "Réttur", IFERROR(_xlfn.SINGLE(_xlfn.XLOOKUP(G122, Réttabanki!A:A, Réttabanki!AU:AU, "")), ""), "")))</f>
        <v/>
      </c>
      <c r="O122" s="26" t="str">
        <f>IF(OR(F122 = "", G122 = "", I122 = ""), "", IF(F122 = "Vara", IFERROR(_xlfn.SINGLE(_xlfn.XLOOKUP(G122, Vöruskrá!A:A, Vöruskrá!I:I, "")) * I122 / 100, ""), IF(F122 = "Réttur", IFERROR(_xlfn.SINGLE(_xlfn.XLOOKUP(G122, Réttabanki!A:A, Réttabanki!AV:AV, "")) * I122 / 100, ""), "")))</f>
        <v/>
      </c>
      <c r="P122" s="26" t="str">
        <f>IF(OR(F122 = "", G122 = "", I122 = ""), "", IF(F122 = "Vara", IFERROR(_xlfn.SINGLE(_xlfn.XLOOKUP(G122, Vöruskrá!A:A, Vöruskrá!J:J, "")) * I122 / 100, ""), IF(F122 = "Réttur", IFERROR(_xlfn.SINGLE(_xlfn.XLOOKUP(G122, Réttabanki!A:A, Réttabanki!AW:AW, "")) * I122 / 100, ""), "")))</f>
        <v/>
      </c>
      <c r="Q122" s="26" t="str">
        <f>IF(OR(F122 = "", G122 = "", I122 = ""), "", IF(F122 = "Vara", IFERROR(_xlfn.SINGLE(_xlfn.XLOOKUP(G122, Vöruskrá!A:A, Vöruskrá!N:N, "")) * I122 / 100, ""), IF(F122 = "Réttur", IFERROR(_xlfn.SINGLE(_xlfn.XLOOKUP(G122, Réttabanki!A:A, Réttabanki!BB:BB, "")) * I122 / 100, ""), "")))</f>
        <v/>
      </c>
    </row>
    <row r="123" spans="1:17">
      <c r="B123" s="33" t="str">
        <f>IF(A123&lt;&gt;"",CHOOSE(WEEKDAY(A123,2),"Mánudagur","Þriðjudagur","Miðvikudagur","Fimmtudagur","Föstudagur","Laugardagur","Sunnudagur"),IF(B122&lt;&gt;"",B122,""))</f>
        <v>Föstudagur</v>
      </c>
      <c r="C123" s="33">
        <f>IF(A123&lt;&gt;"",WEEKNUM(A123,21),IF(C122&lt;&gt;"",C122,""))</f>
        <v>26</v>
      </c>
      <c r="D123" s="34" t="s">
        <v>910</v>
      </c>
      <c r="E123" s="34" t="s">
        <v>921</v>
      </c>
      <c r="F123" s="34" t="s">
        <v>913</v>
      </c>
      <c r="G123" s="34" t="s">
        <v>1058</v>
      </c>
      <c r="H123" s="34" t="s">
        <v>1059</v>
      </c>
      <c r="I123" s="35">
        <v>20</v>
      </c>
      <c r="J123" s="35">
        <v>30</v>
      </c>
      <c r="K123" s="36"/>
      <c r="L123" s="26" t="str">
        <f>IF(OR(F123 = "", G123 = ""), "", IF(F123 = "Vara", IFERROR(_xlfn.SINGLE(_xlfn.XLOOKUP(G123, Vöruskrá!A:A, Vöruskrá!E:E, "")), ""), IF(F123 = "Réttur", IFERROR(_xlfn.SINGLE(_xlfn.XLOOKUP(G123, Réttabanki!A:A, Réttabanki!AS:AS, "")), ""), "")))</f>
        <v/>
      </c>
      <c r="M123" s="26" t="str">
        <f>IF(OR(F123 = "", G123 = ""), "", IF(F123 = "Vara", IFERROR(_xlfn.SINGLE(_xlfn.XLOOKUP(G123, Vöruskrá!A:A, Vöruskrá!F:F, "")), ""), IF(F123 = "Réttur", IFERROR(_xlfn.SINGLE(_xlfn.XLOOKUP(G123, Réttabanki!A:A, Réttabanki!AT:AT, "")), ""), "")))</f>
        <v/>
      </c>
      <c r="N123" s="26" t="str">
        <f>IF(OR(F123 = "", G123 = ""), "", IF(F123 = "Vara", IFERROR(_xlfn.SINGLE(_xlfn.XLOOKUP(G123, Vöruskrá!A:A, Vöruskrá!G:G, "")), ""), IF(F123 = "Réttur", IFERROR(_xlfn.SINGLE(_xlfn.XLOOKUP(G123, Réttabanki!A:A, Réttabanki!AU:AU, "")), ""), "")))</f>
        <v/>
      </c>
      <c r="O123" s="26" t="str">
        <f>IF(OR(F123 = "", G123 = "", I123 = ""), "", IF(F123 = "Vara", IFERROR(_xlfn.SINGLE(_xlfn.XLOOKUP(G123, Vöruskrá!A:A, Vöruskrá!I:I, "")) * I123 / 100, ""), IF(F123 = "Réttur", IFERROR(_xlfn.SINGLE(_xlfn.XLOOKUP(G123, Réttabanki!A:A, Réttabanki!AV:AV, "")) * I123 / 100, ""), "")))</f>
        <v/>
      </c>
      <c r="P123" s="26" t="str">
        <f>IF(OR(F123 = "", G123 = "", I123 = ""), "", IF(F123 = "Vara", IFERROR(_xlfn.SINGLE(_xlfn.XLOOKUP(G123, Vöruskrá!A:A, Vöruskrá!J:J, "")) * I123 / 100, ""), IF(F123 = "Réttur", IFERROR(_xlfn.SINGLE(_xlfn.XLOOKUP(G123, Réttabanki!A:A, Réttabanki!AW:AW, "")) * I123 / 100, ""), "")))</f>
        <v/>
      </c>
      <c r="Q123" s="26" t="str">
        <f>IF(OR(F123 = "", G123 = "", I123 = ""), "", IF(F123 = "Vara", IFERROR(_xlfn.SINGLE(_xlfn.XLOOKUP(G123, Vöruskrá!A:A, Vöruskrá!N:N, "")) * I123 / 100, ""), IF(F123 = "Réttur", IFERROR(_xlfn.SINGLE(_xlfn.XLOOKUP(G123, Réttabanki!A:A, Réttabanki!BB:BB, "")) * I123 / 100, ""), "")))</f>
        <v/>
      </c>
    </row>
    <row r="124" spans="1:17">
      <c r="B124" s="33" t="str">
        <f>IF(A124&lt;&gt;"",CHOOSE(WEEKDAY(A124,2),"Mánudagur","Þriðjudagur","Miðvikudagur","Fimmtudagur","Föstudagur","Laugardagur","Sunnudagur"),IF(B123&lt;&gt;"",B123,""))</f>
        <v>Föstudagur</v>
      </c>
      <c r="C124" s="33">
        <f>IF(A124&lt;&gt;"",WEEKNUM(A124,21),IF(C123&lt;&gt;"",C123,""))</f>
        <v>26</v>
      </c>
      <c r="D124" s="34" t="s">
        <v>910</v>
      </c>
      <c r="E124" s="34" t="s">
        <v>921</v>
      </c>
      <c r="F124" s="34" t="s">
        <v>913</v>
      </c>
      <c r="G124" s="34" t="s">
        <v>948</v>
      </c>
      <c r="H124" s="34" t="s">
        <v>949</v>
      </c>
      <c r="I124" s="35">
        <v>20</v>
      </c>
      <c r="J124" s="35">
        <v>30</v>
      </c>
      <c r="K124" s="36"/>
      <c r="L124" s="26" t="str">
        <f>IF(OR(F124 = "", G124 = ""), "", IF(F124 = "Vara", IFERROR(_xlfn.SINGLE(_xlfn.XLOOKUP(G124, Vöruskrá!A:A, Vöruskrá!E:E, "")), ""), IF(F124 = "Réttur", IFERROR(_xlfn.SINGLE(_xlfn.XLOOKUP(G124, Réttabanki!A:A, Réttabanki!AS:AS, "")), ""), "")))</f>
        <v/>
      </c>
      <c r="M124" s="26" t="str">
        <f>IF(OR(F124 = "", G124 = ""), "", IF(F124 = "Vara", IFERROR(_xlfn.SINGLE(_xlfn.XLOOKUP(G124, Vöruskrá!A:A, Vöruskrá!F:F, "")), ""), IF(F124 = "Réttur", IFERROR(_xlfn.SINGLE(_xlfn.XLOOKUP(G124, Réttabanki!A:A, Réttabanki!AT:AT, "")), ""), "")))</f>
        <v/>
      </c>
      <c r="N124" s="26" t="str">
        <f>IF(OR(F124 = "", G124 = ""), "", IF(F124 = "Vara", IFERROR(_xlfn.SINGLE(_xlfn.XLOOKUP(G124, Vöruskrá!A:A, Vöruskrá!G:G, "")), ""), IF(F124 = "Réttur", IFERROR(_xlfn.SINGLE(_xlfn.XLOOKUP(G124, Réttabanki!A:A, Réttabanki!AU:AU, "")), ""), "")))</f>
        <v/>
      </c>
      <c r="O124" s="26" t="str">
        <f>IF(OR(F124 = "", G124 = "", I124 = ""), "", IF(F124 = "Vara", IFERROR(_xlfn.SINGLE(_xlfn.XLOOKUP(G124, Vöruskrá!A:A, Vöruskrá!I:I, "")) * I124 / 100, ""), IF(F124 = "Réttur", IFERROR(_xlfn.SINGLE(_xlfn.XLOOKUP(G124, Réttabanki!A:A, Réttabanki!AV:AV, "")) * I124 / 100, ""), "")))</f>
        <v/>
      </c>
      <c r="P124" s="26" t="str">
        <f>IF(OR(F124 = "", G124 = "", I124 = ""), "", IF(F124 = "Vara", IFERROR(_xlfn.SINGLE(_xlfn.XLOOKUP(G124, Vöruskrá!A:A, Vöruskrá!J:J, "")) * I124 / 100, ""), IF(F124 = "Réttur", IFERROR(_xlfn.SINGLE(_xlfn.XLOOKUP(G124, Réttabanki!A:A, Réttabanki!AW:AW, "")) * I124 / 100, ""), "")))</f>
        <v/>
      </c>
      <c r="Q124" s="26" t="str">
        <f>IF(OR(F124 = "", G124 = "", I124 = ""), "", IF(F124 = "Vara", IFERROR(_xlfn.SINGLE(_xlfn.XLOOKUP(G124, Vöruskrá!A:A, Vöruskrá!N:N, "")) * I124 / 100, ""), IF(F124 = "Réttur", IFERROR(_xlfn.SINGLE(_xlfn.XLOOKUP(G124, Réttabanki!A:A, Réttabanki!BB:BB, "")) * I124 / 100, ""), "")))</f>
        <v/>
      </c>
    </row>
    <row r="125" spans="1:17">
      <c r="B125" s="33" t="str">
        <f>IF(A125&lt;&gt;"",CHOOSE(WEEKDAY(A125,2),"Mánudagur","Þriðjudagur","Miðvikudagur","Fimmtudagur","Föstudagur","Laugardagur","Sunnudagur"),IF(B124&lt;&gt;"",B124,""))</f>
        <v>Föstudagur</v>
      </c>
      <c r="C125" s="33">
        <f>IF(A125&lt;&gt;"",WEEKNUM(A125,21),IF(C124&lt;&gt;"",C124,""))</f>
        <v>26</v>
      </c>
      <c r="D125" s="34" t="s">
        <v>910</v>
      </c>
      <c r="E125" s="34" t="s">
        <v>927</v>
      </c>
      <c r="F125" s="34"/>
      <c r="G125" s="34"/>
      <c r="H125" s="34" t="s">
        <v>1060</v>
      </c>
      <c r="I125" s="35"/>
      <c r="J125" s="35"/>
      <c r="K125" s="36"/>
      <c r="L125" s="26" t="str">
        <f>IF(OR(F125 = "", G125 = ""), "", IF(F125 = "Vara", IFERROR(_xlfn.SINGLE(_xlfn.XLOOKUP(G125, Vöruskrá!A:A, Vöruskrá!E:E, "")), ""), IF(F125 = "Réttur", IFERROR(_xlfn.SINGLE(_xlfn.XLOOKUP(G125, Réttabanki!A:A, Réttabanki!AS:AS, "")), ""), "")))</f>
        <v/>
      </c>
      <c r="M125" s="26" t="str">
        <f>IF(OR(F125 = "", G125 = ""), "", IF(F125 = "Vara", IFERROR(_xlfn.SINGLE(_xlfn.XLOOKUP(G125, Vöruskrá!A:A, Vöruskrá!F:F, "")), ""), IF(F125 = "Réttur", IFERROR(_xlfn.SINGLE(_xlfn.XLOOKUP(G125, Réttabanki!A:A, Réttabanki!AT:AT, "")), ""), "")))</f>
        <v/>
      </c>
      <c r="N125" s="26" t="str">
        <f>IF(OR(F125 = "", G125 = ""), "", IF(F125 = "Vara", IFERROR(_xlfn.SINGLE(_xlfn.XLOOKUP(G125, Vöruskrá!A:A, Vöruskrá!G:G, "")), ""), IF(F125 = "Réttur", IFERROR(_xlfn.SINGLE(_xlfn.XLOOKUP(G125, Réttabanki!A:A, Réttabanki!AU:AU, "")), ""), "")))</f>
        <v/>
      </c>
      <c r="O125" s="26" t="str">
        <f>IF(OR(F125 = "", G125 = "", I125 = ""), "", IF(F125 = "Vara", IFERROR(_xlfn.SINGLE(_xlfn.XLOOKUP(G125, Vöruskrá!A:A, Vöruskrá!I:I, "")) * I125 / 100, ""), IF(F125 = "Réttur", IFERROR(_xlfn.SINGLE(_xlfn.XLOOKUP(G125, Réttabanki!A:A, Réttabanki!AV:AV, "")) * I125 / 100, ""), "")))</f>
        <v/>
      </c>
      <c r="P125" s="26" t="str">
        <f>IF(OR(F125 = "", G125 = "", I125 = ""), "", IF(F125 = "Vara", IFERROR(_xlfn.SINGLE(_xlfn.XLOOKUP(G125, Vöruskrá!A:A, Vöruskrá!J:J, "")) * I125 / 100, ""), IF(F125 = "Réttur", IFERROR(_xlfn.SINGLE(_xlfn.XLOOKUP(G125, Réttabanki!A:A, Réttabanki!AW:AW, "")) * I125 / 100, ""), "")))</f>
        <v/>
      </c>
      <c r="Q125" s="26" t="str">
        <f>IF(OR(F125 = "", G125 = "", I125 = ""), "", IF(F125 = "Vara", IFERROR(_xlfn.SINGLE(_xlfn.XLOOKUP(G125, Vöruskrá!A:A, Vöruskrá!N:N, "")) * I125 / 100, ""), IF(F125 = "Réttur", IFERROR(_xlfn.SINGLE(_xlfn.XLOOKUP(G125, Réttabanki!A:A, Réttabanki!BB:BB, "")) * I125 / 100, ""), "")))</f>
        <v/>
      </c>
    </row>
    <row r="126" spans="1:17">
      <c r="B126" s="33" t="str">
        <f>IF(A126&lt;&gt;"",CHOOSE(WEEKDAY(A126,2),"Mánudagur","Þriðjudagur","Miðvikudagur","Fimmtudagur","Föstudagur","Laugardagur","Sunnudagur"),IF(B125&lt;&gt;"",B125,""))</f>
        <v>Föstudagur</v>
      </c>
      <c r="C126" s="33">
        <f>IF(A126&lt;&gt;"",WEEKNUM(A126,21),IF(C125&lt;&gt;"",C125,""))</f>
        <v>26</v>
      </c>
      <c r="D126" s="34" t="s">
        <v>910</v>
      </c>
      <c r="E126" s="34" t="s">
        <v>927</v>
      </c>
      <c r="F126" s="34" t="s">
        <v>913</v>
      </c>
      <c r="G126" s="34" t="s">
        <v>860</v>
      </c>
      <c r="H126" s="34" t="s">
        <v>989</v>
      </c>
      <c r="I126" s="35">
        <v>50</v>
      </c>
      <c r="J126" s="35">
        <v>60</v>
      </c>
      <c r="K126" s="36"/>
      <c r="L126" s="26" t="str">
        <f>IF(OR(F126 = "", G126 = ""), "", IF(F126 = "Vara", IFERROR(_xlfn.SINGLE(_xlfn.XLOOKUP(G126, Vöruskrá!A:A, Vöruskrá!E:E, "")), ""), IF(F126 = "Réttur", IFERROR(_xlfn.SINGLE(_xlfn.XLOOKUP(G126, Réttabanki!A:A, Réttabanki!AS:AS, "")), ""), "")))</f>
        <v/>
      </c>
      <c r="M126" s="26" t="str">
        <f>IF(OR(F126 = "", G126 = ""), "", IF(F126 = "Vara", IFERROR(_xlfn.SINGLE(_xlfn.XLOOKUP(G126, Vöruskrá!A:A, Vöruskrá!F:F, "")), ""), IF(F126 = "Réttur", IFERROR(_xlfn.SINGLE(_xlfn.XLOOKUP(G126, Réttabanki!A:A, Réttabanki!AT:AT, "")), ""), "")))</f>
        <v/>
      </c>
      <c r="N126" s="26" t="str">
        <f>IF(OR(F126 = "", G126 = ""), "", IF(F126 = "Vara", IFERROR(_xlfn.SINGLE(_xlfn.XLOOKUP(G126, Vöruskrá!A:A, Vöruskrá!G:G, "")), ""), IF(F126 = "Réttur", IFERROR(_xlfn.SINGLE(_xlfn.XLOOKUP(G126, Réttabanki!A:A, Réttabanki!AU:AU, "")), ""), "")))</f>
        <v/>
      </c>
      <c r="O126" s="26" t="str">
        <f>IF(OR(F126 = "", G126 = "", I126 = ""), "", IF(F126 = "Vara", IFERROR(_xlfn.SINGLE(_xlfn.XLOOKUP(G126, Vöruskrá!A:A, Vöruskrá!I:I, "")) * I126 / 100, ""), IF(F126 = "Réttur", IFERROR(_xlfn.SINGLE(_xlfn.XLOOKUP(G126, Réttabanki!A:A, Réttabanki!AV:AV, "")) * I126 / 100, ""), "")))</f>
        <v/>
      </c>
      <c r="P126" s="26" t="str">
        <f>IF(OR(F126 = "", G126 = "", I126 = ""), "", IF(F126 = "Vara", IFERROR(_xlfn.SINGLE(_xlfn.XLOOKUP(G126, Vöruskrá!A:A, Vöruskrá!J:J, "")) * I126 / 100, ""), IF(F126 = "Réttur", IFERROR(_xlfn.SINGLE(_xlfn.XLOOKUP(G126, Réttabanki!A:A, Réttabanki!AW:AW, "")) * I126 / 100, ""), "")))</f>
        <v/>
      </c>
      <c r="Q126" s="26" t="str">
        <f>IF(OR(F126 = "", G126 = "", I126 = ""), "", IF(F126 = "Vara", IFERROR(_xlfn.SINGLE(_xlfn.XLOOKUP(G126, Vöruskrá!A:A, Vöruskrá!N:N, "")) * I126 / 100, ""), IF(F126 = "Réttur", IFERROR(_xlfn.SINGLE(_xlfn.XLOOKUP(G126, Réttabanki!A:A, Réttabanki!BB:BB, "")) * I126 / 100, ""), "")))</f>
        <v/>
      </c>
    </row>
    <row r="127" spans="1:17">
      <c r="B127" s="33" t="str">
        <f>IF(A127&lt;&gt;"",CHOOSE(WEEKDAY(A127,2),"Mánudagur","Þriðjudagur","Miðvikudagur","Fimmtudagur","Föstudagur","Laugardagur","Sunnudagur"),IF(B126&lt;&gt;"",B126,""))</f>
        <v>Föstudagur</v>
      </c>
      <c r="C127" s="33">
        <f>IF(A127&lt;&gt;"",WEEKNUM(A127,21),IF(C126&lt;&gt;"",C126,""))</f>
        <v>26</v>
      </c>
      <c r="D127" s="34" t="s">
        <v>910</v>
      </c>
      <c r="E127" s="34" t="s">
        <v>927</v>
      </c>
      <c r="F127" s="34" t="s">
        <v>913</v>
      </c>
      <c r="G127" s="34" t="s">
        <v>1058</v>
      </c>
      <c r="H127" s="34" t="s">
        <v>1059</v>
      </c>
      <c r="I127" s="35">
        <v>20</v>
      </c>
      <c r="J127" s="35">
        <v>30</v>
      </c>
      <c r="K127" s="36"/>
      <c r="L127" s="26" t="str">
        <f>IF(OR(F127 = "", G127 = ""), "", IF(F127 = "Vara", IFERROR(_xlfn.SINGLE(_xlfn.XLOOKUP(G127, Vöruskrá!A:A, Vöruskrá!E:E, "")), ""), IF(F127 = "Réttur", IFERROR(_xlfn.SINGLE(_xlfn.XLOOKUP(G127, Réttabanki!A:A, Réttabanki!AS:AS, "")), ""), "")))</f>
        <v/>
      </c>
      <c r="M127" s="26" t="str">
        <f>IF(OR(F127 = "", G127 = ""), "", IF(F127 = "Vara", IFERROR(_xlfn.SINGLE(_xlfn.XLOOKUP(G127, Vöruskrá!A:A, Vöruskrá!F:F, "")), ""), IF(F127 = "Réttur", IFERROR(_xlfn.SINGLE(_xlfn.XLOOKUP(G127, Réttabanki!A:A, Réttabanki!AT:AT, "")), ""), "")))</f>
        <v/>
      </c>
      <c r="N127" s="26" t="str">
        <f>IF(OR(F127 = "", G127 = ""), "", IF(F127 = "Vara", IFERROR(_xlfn.SINGLE(_xlfn.XLOOKUP(G127, Vöruskrá!A:A, Vöruskrá!G:G, "")), ""), IF(F127 = "Réttur", IFERROR(_xlfn.SINGLE(_xlfn.XLOOKUP(G127, Réttabanki!A:A, Réttabanki!AU:AU, "")), ""), "")))</f>
        <v/>
      </c>
      <c r="O127" s="26" t="str">
        <f>IF(OR(F127 = "", G127 = "", I127 = ""), "", IF(F127 = "Vara", IFERROR(_xlfn.SINGLE(_xlfn.XLOOKUP(G127, Vöruskrá!A:A, Vöruskrá!I:I, "")) * I127 / 100, ""), IF(F127 = "Réttur", IFERROR(_xlfn.SINGLE(_xlfn.XLOOKUP(G127, Réttabanki!A:A, Réttabanki!AV:AV, "")) * I127 / 100, ""), "")))</f>
        <v/>
      </c>
      <c r="P127" s="26" t="str">
        <f>IF(OR(F127 = "", G127 = "", I127 = ""), "", IF(F127 = "Vara", IFERROR(_xlfn.SINGLE(_xlfn.XLOOKUP(G127, Vöruskrá!A:A, Vöruskrá!J:J, "")) * I127 / 100, ""), IF(F127 = "Réttur", IFERROR(_xlfn.SINGLE(_xlfn.XLOOKUP(G127, Réttabanki!A:A, Réttabanki!AW:AW, "")) * I127 / 100, ""), "")))</f>
        <v/>
      </c>
      <c r="Q127" s="26" t="str">
        <f>IF(OR(F127 = "", G127 = "", I127 = ""), "", IF(F127 = "Vara", IFERROR(_xlfn.SINGLE(_xlfn.XLOOKUP(G127, Vöruskrá!A:A, Vöruskrá!N:N, "")) * I127 / 100, ""), IF(F127 = "Réttur", IFERROR(_xlfn.SINGLE(_xlfn.XLOOKUP(G127, Réttabanki!A:A, Réttabanki!BB:BB, "")) * I127 / 100, ""), "")))</f>
        <v/>
      </c>
    </row>
    <row r="128" spans="1:17">
      <c r="B128" s="33" t="str">
        <f>IF(A128&lt;&gt;"",CHOOSE(WEEKDAY(A128,2),"Mánudagur","Þriðjudagur","Miðvikudagur","Fimmtudagur","Föstudagur","Laugardagur","Sunnudagur"),IF(B127&lt;&gt;"",B127,""))</f>
        <v>Föstudagur</v>
      </c>
      <c r="C128" s="33">
        <f>IF(A128&lt;&gt;"",WEEKNUM(A128,21),IF(C127&lt;&gt;"",C127,""))</f>
        <v>26</v>
      </c>
      <c r="D128" s="34" t="s">
        <v>910</v>
      </c>
      <c r="E128" s="34" t="s">
        <v>927</v>
      </c>
      <c r="F128" s="34" t="s">
        <v>913</v>
      </c>
      <c r="G128" s="34" t="s">
        <v>884</v>
      </c>
      <c r="H128" s="34" t="s">
        <v>952</v>
      </c>
      <c r="I128" s="35">
        <v>20</v>
      </c>
      <c r="J128" s="35">
        <v>30</v>
      </c>
      <c r="K128" s="36"/>
      <c r="L128" s="26" t="str">
        <f>IF(OR(F128 = "", G128 = ""), "", IF(F128 = "Vara", IFERROR(_xlfn.SINGLE(_xlfn.XLOOKUP(G128, Vöruskrá!A:A, Vöruskrá!E:E, "")), ""), IF(F128 = "Réttur", IFERROR(_xlfn.SINGLE(_xlfn.XLOOKUP(G128, Réttabanki!A:A, Réttabanki!AS:AS, "")), ""), "")))</f>
        <v/>
      </c>
      <c r="M128" s="26" t="str">
        <f>IF(OR(F128 = "", G128 = ""), "", IF(F128 = "Vara", IFERROR(_xlfn.SINGLE(_xlfn.XLOOKUP(G128, Vöruskrá!A:A, Vöruskrá!F:F, "")), ""), IF(F128 = "Réttur", IFERROR(_xlfn.SINGLE(_xlfn.XLOOKUP(G128, Réttabanki!A:A, Réttabanki!AT:AT, "")), ""), "")))</f>
        <v/>
      </c>
      <c r="N128" s="26" t="str">
        <f>IF(OR(F128 = "", G128 = ""), "", IF(F128 = "Vara", IFERROR(_xlfn.SINGLE(_xlfn.XLOOKUP(G128, Vöruskrá!A:A, Vöruskrá!G:G, "")), ""), IF(F128 = "Réttur", IFERROR(_xlfn.SINGLE(_xlfn.XLOOKUP(G128, Réttabanki!A:A, Réttabanki!AU:AU, "")), ""), "")))</f>
        <v/>
      </c>
      <c r="O128" s="26" t="str">
        <f>IF(OR(F128 = "", G128 = "", I128 = ""), "", IF(F128 = "Vara", IFERROR(_xlfn.SINGLE(_xlfn.XLOOKUP(G128, Vöruskrá!A:A, Vöruskrá!I:I, "")) * I128 / 100, ""), IF(F128 = "Réttur", IFERROR(_xlfn.SINGLE(_xlfn.XLOOKUP(G128, Réttabanki!A:A, Réttabanki!AV:AV, "")) * I128 / 100, ""), "")))</f>
        <v/>
      </c>
      <c r="P128" s="26" t="str">
        <f>IF(OR(F128 = "", G128 = "", I128 = ""), "", IF(F128 = "Vara", IFERROR(_xlfn.SINGLE(_xlfn.XLOOKUP(G128, Vöruskrá!A:A, Vöruskrá!J:J, "")) * I128 / 100, ""), IF(F128 = "Réttur", IFERROR(_xlfn.SINGLE(_xlfn.XLOOKUP(G128, Réttabanki!A:A, Réttabanki!AW:AW, "")) * I128 / 100, ""), "")))</f>
        <v/>
      </c>
      <c r="Q128" s="26" t="str">
        <f>IF(OR(F128 = "", G128 = "", I128 = ""), "", IF(F128 = "Vara", IFERROR(_xlfn.SINGLE(_xlfn.XLOOKUP(G128, Vöruskrá!A:A, Vöruskrá!N:N, "")) * I128 / 100, ""), IF(F128 = "Réttur", IFERROR(_xlfn.SINGLE(_xlfn.XLOOKUP(G128, Réttabanki!A:A, Réttabanki!BB:BB, "")) * I128 / 100, ""), "")))</f>
        <v/>
      </c>
    </row>
    <row r="129" spans="1:17">
      <c r="B129" s="33" t="str">
        <f>IF(A129&lt;&gt;"",CHOOSE(WEEKDAY(A129,2),"Mánudagur","Þriðjudagur","Miðvikudagur","Fimmtudagur","Föstudagur","Laugardagur","Sunnudagur"),IF(B128&lt;&gt;"",B128,""))</f>
        <v>Föstudagur</v>
      </c>
      <c r="C129" s="33">
        <f>IF(A129&lt;&gt;"",WEEKNUM(A129,21),IF(C128&lt;&gt;"",C128,""))</f>
        <v>26</v>
      </c>
      <c r="D129" s="34" t="s">
        <v>910</v>
      </c>
      <c r="E129" s="34" t="s">
        <v>933</v>
      </c>
      <c r="F129" s="34"/>
      <c r="G129" s="34"/>
      <c r="H129" s="34" t="s">
        <v>1061</v>
      </c>
      <c r="I129" s="35"/>
      <c r="J129" s="35"/>
      <c r="K129" s="36"/>
      <c r="L129" s="26" t="str">
        <f>IF(OR(F129 = "", G129 = ""), "", IF(F129 = "Vara", IFERROR(_xlfn.SINGLE(_xlfn.XLOOKUP(G129, Vöruskrá!A:A, Vöruskrá!E:E, "")), ""), IF(F129 = "Réttur", IFERROR(_xlfn.SINGLE(_xlfn.XLOOKUP(G129, Réttabanki!A:A, Réttabanki!AS:AS, "")), ""), "")))</f>
        <v/>
      </c>
      <c r="M129" s="26" t="str">
        <f>IF(OR(F129 = "", G129 = ""), "", IF(F129 = "Vara", IFERROR(_xlfn.SINGLE(_xlfn.XLOOKUP(G129, Vöruskrá!A:A, Vöruskrá!F:F, "")), ""), IF(F129 = "Réttur", IFERROR(_xlfn.SINGLE(_xlfn.XLOOKUP(G129, Réttabanki!A:A, Réttabanki!AT:AT, "")), ""), "")))</f>
        <v/>
      </c>
      <c r="N129" s="26" t="str">
        <f>IF(OR(F129 = "", G129 = ""), "", IF(F129 = "Vara", IFERROR(_xlfn.SINGLE(_xlfn.XLOOKUP(G129, Vöruskrá!A:A, Vöruskrá!G:G, "")), ""), IF(F129 = "Réttur", IFERROR(_xlfn.SINGLE(_xlfn.XLOOKUP(G129, Réttabanki!A:A, Réttabanki!AU:AU, "")), ""), "")))</f>
        <v/>
      </c>
      <c r="O129" s="26" t="str">
        <f>IF(OR(F129 = "", G129 = "", I129 = ""), "", IF(F129 = "Vara", IFERROR(_xlfn.SINGLE(_xlfn.XLOOKUP(G129, Vöruskrá!A:A, Vöruskrá!I:I, "")) * I129 / 100, ""), IF(F129 = "Réttur", IFERROR(_xlfn.SINGLE(_xlfn.XLOOKUP(G129, Réttabanki!A:A, Réttabanki!AV:AV, "")) * I129 / 100, ""), "")))</f>
        <v/>
      </c>
      <c r="P129" s="26" t="str">
        <f>IF(OR(F129 = "", G129 = "", I129 = ""), "", IF(F129 = "Vara", IFERROR(_xlfn.SINGLE(_xlfn.XLOOKUP(G129, Vöruskrá!A:A, Vöruskrá!J:J, "")) * I129 / 100, ""), IF(F129 = "Réttur", IFERROR(_xlfn.SINGLE(_xlfn.XLOOKUP(G129, Réttabanki!A:A, Réttabanki!AW:AW, "")) * I129 / 100, ""), "")))</f>
        <v/>
      </c>
      <c r="Q129" s="26" t="str">
        <f>IF(OR(F129 = "", G129 = "", I129 = ""), "", IF(F129 = "Vara", IFERROR(_xlfn.SINGLE(_xlfn.XLOOKUP(G129, Vöruskrá!A:A, Vöruskrá!N:N, "")) * I129 / 100, ""), IF(F129 = "Réttur", IFERROR(_xlfn.SINGLE(_xlfn.XLOOKUP(G129, Réttabanki!A:A, Réttabanki!BB:BB, "")) * I129 / 100, ""), "")))</f>
        <v/>
      </c>
    </row>
    <row r="130" spans="1:17">
      <c r="B130" s="33" t="str">
        <f>IF(A130&lt;&gt;"",CHOOSE(WEEKDAY(A130,2),"Mánudagur","Þriðjudagur","Miðvikudagur","Fimmtudagur","Föstudagur","Laugardagur","Sunnudagur"),IF(B129&lt;&gt;"",B129,""))</f>
        <v>Föstudagur</v>
      </c>
      <c r="C130" s="33">
        <f>IF(A130&lt;&gt;"",WEEKNUM(A130,21),IF(C129&lt;&gt;"",C129,""))</f>
        <v>26</v>
      </c>
      <c r="D130" s="34" t="s">
        <v>910</v>
      </c>
      <c r="E130" s="34" t="s">
        <v>933</v>
      </c>
      <c r="F130" s="34" t="s">
        <v>913</v>
      </c>
      <c r="G130" s="34" t="s">
        <v>955</v>
      </c>
      <c r="H130" s="34" t="s">
        <v>956</v>
      </c>
      <c r="I130" s="35">
        <v>20</v>
      </c>
      <c r="J130" s="35">
        <v>30</v>
      </c>
      <c r="K130" s="36"/>
      <c r="L130" s="26" t="str">
        <f>IF(OR(F130 = "", G130 = ""), "", IF(F130 = "Vara", IFERROR(_xlfn.SINGLE(_xlfn.XLOOKUP(G130, Vöruskrá!A:A, Vöruskrá!E:E, "")), ""), IF(F130 = "Réttur", IFERROR(_xlfn.SINGLE(_xlfn.XLOOKUP(G130, Réttabanki!A:A, Réttabanki!AS:AS, "")), ""), "")))</f>
        <v/>
      </c>
      <c r="M130" s="26" t="str">
        <f>IF(OR(F130 = "", G130 = ""), "", IF(F130 = "Vara", IFERROR(_xlfn.SINGLE(_xlfn.XLOOKUP(G130, Vöruskrá!A:A, Vöruskrá!F:F, "")), ""), IF(F130 = "Réttur", IFERROR(_xlfn.SINGLE(_xlfn.XLOOKUP(G130, Réttabanki!A:A, Réttabanki!AT:AT, "")), ""), "")))</f>
        <v/>
      </c>
      <c r="N130" s="26" t="str">
        <f>IF(OR(F130 = "", G130 = ""), "", IF(F130 = "Vara", IFERROR(_xlfn.SINGLE(_xlfn.XLOOKUP(G130, Vöruskrá!A:A, Vöruskrá!G:G, "")), ""), IF(F130 = "Réttur", IFERROR(_xlfn.SINGLE(_xlfn.XLOOKUP(G130, Réttabanki!A:A, Réttabanki!AU:AU, "")), ""), "")))</f>
        <v/>
      </c>
      <c r="O130" s="26" t="str">
        <f>IF(OR(F130 = "", G130 = "", I130 = ""), "", IF(F130 = "Vara", IFERROR(_xlfn.SINGLE(_xlfn.XLOOKUP(G130, Vöruskrá!A:A, Vöruskrá!I:I, "")) * I130 / 100, ""), IF(F130 = "Réttur", IFERROR(_xlfn.SINGLE(_xlfn.XLOOKUP(G130, Réttabanki!A:A, Réttabanki!AV:AV, "")) * I130 / 100, ""), "")))</f>
        <v/>
      </c>
      <c r="P130" s="26" t="str">
        <f>IF(OR(F130 = "", G130 = "", I130 = ""), "", IF(F130 = "Vara", IFERROR(_xlfn.SINGLE(_xlfn.XLOOKUP(G130, Vöruskrá!A:A, Vöruskrá!J:J, "")) * I130 / 100, ""), IF(F130 = "Réttur", IFERROR(_xlfn.SINGLE(_xlfn.XLOOKUP(G130, Réttabanki!A:A, Réttabanki!AW:AW, "")) * I130 / 100, ""), "")))</f>
        <v/>
      </c>
      <c r="Q130" s="26" t="str">
        <f>IF(OR(F130 = "", G130 = "", I130 = ""), "", IF(F130 = "Vara", IFERROR(_xlfn.SINGLE(_xlfn.XLOOKUP(G130, Vöruskrá!A:A, Vöruskrá!N:N, "")) * I130 / 100, ""), IF(F130 = "Réttur", IFERROR(_xlfn.SINGLE(_xlfn.XLOOKUP(G130, Réttabanki!A:A, Réttabanki!BB:BB, "")) * I130 / 100, ""), "")))</f>
        <v/>
      </c>
    </row>
    <row r="131" spans="1:17">
      <c r="B131" s="33" t="str">
        <f>IF(A131&lt;&gt;"",CHOOSE(WEEKDAY(A131,2),"Mánudagur","Þriðjudagur","Miðvikudagur","Fimmtudagur","Föstudagur","Laugardagur","Sunnudagur"),IF(B130&lt;&gt;"",B130,""))</f>
        <v>Föstudagur</v>
      </c>
      <c r="C131" s="33">
        <f>IF(A131&lt;&gt;"",WEEKNUM(A131,21),IF(C130&lt;&gt;"",C130,""))</f>
        <v>26</v>
      </c>
      <c r="D131" s="34" t="s">
        <v>910</v>
      </c>
      <c r="E131" s="34" t="s">
        <v>941</v>
      </c>
      <c r="F131" s="34"/>
      <c r="G131" s="34"/>
      <c r="H131" s="34" t="s">
        <v>1062</v>
      </c>
      <c r="I131" s="35"/>
      <c r="J131" s="35"/>
      <c r="K131" s="36"/>
      <c r="L131" s="26" t="str">
        <f>IF(OR(F131 = "", G131 = ""), "", IF(F131 = "Vara", IFERROR(_xlfn.SINGLE(_xlfn.XLOOKUP(G131, Vöruskrá!A:A, Vöruskrá!E:E, "")), ""), IF(F131 = "Réttur", IFERROR(_xlfn.SINGLE(_xlfn.XLOOKUP(G131, Réttabanki!A:A, Réttabanki!AS:AS, "")), ""), "")))</f>
        <v/>
      </c>
      <c r="M131" s="26" t="str">
        <f>IF(OR(F131 = "", G131 = ""), "", IF(F131 = "Vara", IFERROR(_xlfn.SINGLE(_xlfn.XLOOKUP(G131, Vöruskrá!A:A, Vöruskrá!F:F, "")), ""), IF(F131 = "Réttur", IFERROR(_xlfn.SINGLE(_xlfn.XLOOKUP(G131, Réttabanki!A:A, Réttabanki!AT:AT, "")), ""), "")))</f>
        <v/>
      </c>
      <c r="N131" s="26" t="str">
        <f>IF(OR(F131 = "", G131 = ""), "", IF(F131 = "Vara", IFERROR(_xlfn.SINGLE(_xlfn.XLOOKUP(G131, Vöruskrá!A:A, Vöruskrá!G:G, "")), ""), IF(F131 = "Réttur", IFERROR(_xlfn.SINGLE(_xlfn.XLOOKUP(G131, Réttabanki!A:A, Réttabanki!AU:AU, "")), ""), "")))</f>
        <v/>
      </c>
      <c r="O131" s="26" t="str">
        <f>IF(OR(F131 = "", G131 = "", I131 = ""), "", IF(F131 = "Vara", IFERROR(_xlfn.SINGLE(_xlfn.XLOOKUP(G131, Vöruskrá!A:A, Vöruskrá!I:I, "")) * I131 / 100, ""), IF(F131 = "Réttur", IFERROR(_xlfn.SINGLE(_xlfn.XLOOKUP(G131, Réttabanki!A:A, Réttabanki!AV:AV, "")) * I131 / 100, ""), "")))</f>
        <v/>
      </c>
      <c r="P131" s="26" t="str">
        <f>IF(OR(F131 = "", G131 = "", I131 = ""), "", IF(F131 = "Vara", IFERROR(_xlfn.SINGLE(_xlfn.XLOOKUP(G131, Vöruskrá!A:A, Vöruskrá!J:J, "")) * I131 / 100, ""), IF(F131 = "Réttur", IFERROR(_xlfn.SINGLE(_xlfn.XLOOKUP(G131, Réttabanki!A:A, Réttabanki!AW:AW, "")) * I131 / 100, ""), "")))</f>
        <v/>
      </c>
      <c r="Q131" s="26" t="str">
        <f>IF(OR(F131 = "", G131 = "", I131 = ""), "", IF(F131 = "Vara", IFERROR(_xlfn.SINGLE(_xlfn.XLOOKUP(G131, Vöruskrá!A:A, Vöruskrá!N:N, "")) * I131 / 100, ""), IF(F131 = "Réttur", IFERROR(_xlfn.SINGLE(_xlfn.XLOOKUP(G131, Réttabanki!A:A, Réttabanki!BB:BB, "")) * I131 / 100, ""), "")))</f>
        <v/>
      </c>
    </row>
    <row r="132" spans="1:17">
      <c r="B132" s="33" t="str">
        <f>IF(A132&lt;&gt;"",CHOOSE(WEEKDAY(A132,2),"Mánudagur","Þriðjudagur","Miðvikudagur","Fimmtudagur","Föstudagur","Laugardagur","Sunnudagur"),IF(B131&lt;&gt;"",B131,""))</f>
        <v>Föstudagur</v>
      </c>
      <c r="C132" s="33">
        <f>IF(A132&lt;&gt;"",WEEKNUM(A132,21),IF(C131&lt;&gt;"",C131,""))</f>
        <v>26</v>
      </c>
      <c r="D132" s="34" t="s">
        <v>910</v>
      </c>
      <c r="E132" s="34" t="s">
        <v>941</v>
      </c>
      <c r="F132" s="34" t="s">
        <v>913</v>
      </c>
      <c r="G132" s="34" t="s">
        <v>960</v>
      </c>
      <c r="H132" s="34" t="s">
        <v>1063</v>
      </c>
      <c r="I132" s="35">
        <v>20</v>
      </c>
      <c r="J132" s="35">
        <v>20</v>
      </c>
      <c r="K132" s="36"/>
      <c r="L132" s="26" t="str">
        <f>IF(OR(F132 = "", G132 = ""), "", IF(F132 = "Vara", IFERROR(_xlfn.SINGLE(_xlfn.XLOOKUP(G132, Vöruskrá!A:A, Vöruskrá!E:E, "")), ""), IF(F132 = "Réttur", IFERROR(_xlfn.SINGLE(_xlfn.XLOOKUP(G132, Réttabanki!A:A, Réttabanki!AS:AS, "")), ""), "")))</f>
        <v/>
      </c>
      <c r="M132" s="26" t="str">
        <f>IF(OR(F132 = "", G132 = ""), "", IF(F132 = "Vara", IFERROR(_xlfn.SINGLE(_xlfn.XLOOKUP(G132, Vöruskrá!A:A, Vöruskrá!F:F, "")), ""), IF(F132 = "Réttur", IFERROR(_xlfn.SINGLE(_xlfn.XLOOKUP(G132, Réttabanki!A:A, Réttabanki!AT:AT, "")), ""), "")))</f>
        <v/>
      </c>
      <c r="N132" s="26" t="str">
        <f>IF(OR(F132 = "", G132 = ""), "", IF(F132 = "Vara", IFERROR(_xlfn.SINGLE(_xlfn.XLOOKUP(G132, Vöruskrá!A:A, Vöruskrá!G:G, "")), ""), IF(F132 = "Réttur", IFERROR(_xlfn.SINGLE(_xlfn.XLOOKUP(G132, Réttabanki!A:A, Réttabanki!AU:AU, "")), ""), "")))</f>
        <v/>
      </c>
      <c r="O132" s="26" t="str">
        <f>IF(OR(F132 = "", G132 = "", I132 = ""), "", IF(F132 = "Vara", IFERROR(_xlfn.SINGLE(_xlfn.XLOOKUP(G132, Vöruskrá!A:A, Vöruskrá!I:I, "")) * I132 / 100, ""), IF(F132 = "Réttur", IFERROR(_xlfn.SINGLE(_xlfn.XLOOKUP(G132, Réttabanki!A:A, Réttabanki!AV:AV, "")) * I132 / 100, ""), "")))</f>
        <v/>
      </c>
      <c r="P132" s="26" t="str">
        <f>IF(OR(F132 = "", G132 = "", I132 = ""), "", IF(F132 = "Vara", IFERROR(_xlfn.SINGLE(_xlfn.XLOOKUP(G132, Vöruskrá!A:A, Vöruskrá!J:J, "")) * I132 / 100, ""), IF(F132 = "Réttur", IFERROR(_xlfn.SINGLE(_xlfn.XLOOKUP(G132, Réttabanki!A:A, Réttabanki!AW:AW, "")) * I132 / 100, ""), "")))</f>
        <v/>
      </c>
      <c r="Q132" s="26" t="str">
        <f>IF(OR(F132 = "", G132 = "", I132 = ""), "", IF(F132 = "Vara", IFERROR(_xlfn.SINGLE(_xlfn.XLOOKUP(G132, Vöruskrá!A:A, Vöruskrá!N:N, "")) * I132 / 100, ""), IF(F132 = "Réttur", IFERROR(_xlfn.SINGLE(_xlfn.XLOOKUP(G132, Réttabanki!A:A, Réttabanki!BB:BB, "")) * I132 / 100, ""), "")))</f>
        <v/>
      </c>
    </row>
    <row r="133" spans="1:17">
      <c r="A133" s="32">
        <v>46202</v>
      </c>
      <c r="B133" s="33" t="str">
        <f>IF(A133&lt;&gt;"",CHOOSE(WEEKDAY(A133,2),"Mánudagur","Þriðjudagur","Miðvikudagur","Fimmtudagur","Föstudagur","Laugardagur","Sunnudagur"),IF(#REF!&lt;&gt;"",#REF!,""))</f>
        <v>Mánudagur</v>
      </c>
      <c r="C133" s="33">
        <f>IF(A133&lt;&gt;"",WEEKNUM(A133,21),IF(#REF!&lt;&gt;"",#REF!,""))</f>
        <v>27</v>
      </c>
      <c r="D133" s="34" t="s">
        <v>910</v>
      </c>
      <c r="E133" s="34" t="s">
        <v>921</v>
      </c>
      <c r="F133" s="34"/>
      <c r="G133" s="34"/>
      <c r="H133" s="34" t="s">
        <v>1064</v>
      </c>
      <c r="I133" s="35"/>
      <c r="J133" s="35"/>
      <c r="K133" s="36"/>
      <c r="L133" s="26" t="str">
        <f>IF(OR(F133 = "", G133 = ""), "", IF(F133 = "Vara", IFERROR(_xlfn.SINGLE(_xlfn.XLOOKUP(G133, Vöruskrá!A:A, Vöruskrá!E:E, "")), ""), IF(F133 = "Réttur", IFERROR(_xlfn.SINGLE(_xlfn.XLOOKUP(G133, Réttabanki!A:A, Réttabanki!AS:AS, "")), ""), "")))</f>
        <v/>
      </c>
      <c r="M133" s="26" t="str">
        <f>IF(OR(F133 = "", G133 = ""), "", IF(F133 = "Vara", IFERROR(_xlfn.SINGLE(_xlfn.XLOOKUP(G133, Vöruskrá!A:A, Vöruskrá!F:F, "")), ""), IF(F133 = "Réttur", IFERROR(_xlfn.SINGLE(_xlfn.XLOOKUP(G133, Réttabanki!A:A, Réttabanki!AT:AT, "")), ""), "")))</f>
        <v/>
      </c>
      <c r="N133" s="26" t="str">
        <f>IF(OR(F133 = "", G133 = ""), "", IF(F133 = "Vara", IFERROR(_xlfn.SINGLE(_xlfn.XLOOKUP(G133, Vöruskrá!A:A, Vöruskrá!G:G, "")), ""), IF(F133 = "Réttur", IFERROR(_xlfn.SINGLE(_xlfn.XLOOKUP(G133, Réttabanki!A:A, Réttabanki!AU:AU, "")), ""), "")))</f>
        <v/>
      </c>
      <c r="O133" s="26" t="str">
        <f>IF(OR(F133 = "", G133 = "", I133 = ""), "", IF(F133 = "Vara", IFERROR(_xlfn.SINGLE(_xlfn.XLOOKUP(G133, Vöruskrá!A:A, Vöruskrá!I:I, "")) * I133 / 100, ""), IF(F133 = "Réttur", IFERROR(_xlfn.SINGLE(_xlfn.XLOOKUP(G133, Réttabanki!A:A, Réttabanki!AV:AV, "")) * I133 / 100, ""), "")))</f>
        <v/>
      </c>
      <c r="P133" s="26" t="str">
        <f>IF(OR(F133 = "", G133 = "", I133 = ""), "", IF(F133 = "Vara", IFERROR(_xlfn.SINGLE(_xlfn.XLOOKUP(G133, Vöruskrá!A:A, Vöruskrá!J:J, "")) * I133 / 100, ""), IF(F133 = "Réttur", IFERROR(_xlfn.SINGLE(_xlfn.XLOOKUP(G133, Réttabanki!A:A, Réttabanki!AW:AW, "")) * I133 / 100, ""), "")))</f>
        <v/>
      </c>
      <c r="Q133" s="26" t="str">
        <f>IF(OR(F133 = "", G133 = "", I133 = ""), "", IF(F133 = "Vara", IFERROR(_xlfn.SINGLE(_xlfn.XLOOKUP(G133, Vöruskrá!A:A, Vöruskrá!N:N, "")) * I133 / 100, ""), IF(F133 = "Réttur", IFERROR(_xlfn.SINGLE(_xlfn.XLOOKUP(G133, Réttabanki!A:A, Réttabanki!BB:BB, "")) * I133 / 100, ""), "")))</f>
        <v/>
      </c>
    </row>
    <row r="134" spans="1:17">
      <c r="B134" s="33" t="str">
        <f>IF(A134&lt;&gt;"",CHOOSE(WEEKDAY(A134,2),"Mánudagur","Þriðjudagur","Miðvikudagur","Fimmtudagur","Föstudagur","Laugardagur","Sunnudagur"),IF(B133&lt;&gt;"",B133,""))</f>
        <v>Mánudagur</v>
      </c>
      <c r="C134" s="33">
        <f>IF(A134&lt;&gt;"",WEEKNUM(A134,21),IF(C133&lt;&gt;"",C133,""))</f>
        <v>27</v>
      </c>
      <c r="D134" s="34" t="s">
        <v>910</v>
      </c>
      <c r="E134" s="34" t="s">
        <v>921</v>
      </c>
      <c r="F134" s="34" t="s">
        <v>913</v>
      </c>
      <c r="G134" s="34" t="s">
        <v>1065</v>
      </c>
      <c r="H134" s="34" t="s">
        <v>1066</v>
      </c>
      <c r="I134" s="35">
        <v>180</v>
      </c>
      <c r="J134" s="35">
        <v>200</v>
      </c>
      <c r="K134" s="36"/>
      <c r="L134" s="26" t="str">
        <f>IF(OR(F134 = "", G134 = ""), "", IF(F134 = "Vara", IFERROR(_xlfn.SINGLE(_xlfn.XLOOKUP(G134, Vöruskrá!A:A, Vöruskrá!E:E, "")), ""), IF(F134 = "Réttur", IFERROR(_xlfn.SINGLE(_xlfn.XLOOKUP(G134, Réttabanki!A:A, Réttabanki!AS:AS, "")), ""), "")))</f>
        <v/>
      </c>
      <c r="M134" s="26" t="str">
        <f>IF(OR(F134 = "", G134 = ""), "", IF(F134 = "Vara", IFERROR(_xlfn.SINGLE(_xlfn.XLOOKUP(G134, Vöruskrá!A:A, Vöruskrá!F:F, "")), ""), IF(F134 = "Réttur", IFERROR(_xlfn.SINGLE(_xlfn.XLOOKUP(G134, Réttabanki!A:A, Réttabanki!AT:AT, "")), ""), "")))</f>
        <v/>
      </c>
      <c r="N134" s="26" t="str">
        <f>IF(OR(F134 = "", G134 = ""), "", IF(F134 = "Vara", IFERROR(_xlfn.SINGLE(_xlfn.XLOOKUP(G134, Vöruskrá!A:A, Vöruskrá!G:G, "")), ""), IF(F134 = "Réttur", IFERROR(_xlfn.SINGLE(_xlfn.XLOOKUP(G134, Réttabanki!A:A, Réttabanki!AU:AU, "")), ""), "")))</f>
        <v/>
      </c>
      <c r="O134" s="26" t="str">
        <f>IF(OR(F134 = "", G134 = "", I134 = ""), "", IF(F134 = "Vara", IFERROR(_xlfn.SINGLE(_xlfn.XLOOKUP(G134, Vöruskrá!A:A, Vöruskrá!I:I, "")) * I134 / 100, ""), IF(F134 = "Réttur", IFERROR(_xlfn.SINGLE(_xlfn.XLOOKUP(G134, Réttabanki!A:A, Réttabanki!AV:AV, "")) * I134 / 100, ""), "")))</f>
        <v/>
      </c>
      <c r="P134" s="26" t="str">
        <f>IF(OR(F134 = "", G134 = "", I134 = ""), "", IF(F134 = "Vara", IFERROR(_xlfn.SINGLE(_xlfn.XLOOKUP(G134, Vöruskrá!A:A, Vöruskrá!J:J, "")) * I134 / 100, ""), IF(F134 = "Réttur", IFERROR(_xlfn.SINGLE(_xlfn.XLOOKUP(G134, Réttabanki!A:A, Réttabanki!AW:AW, "")) * I134 / 100, ""), "")))</f>
        <v/>
      </c>
      <c r="Q134" s="26" t="str">
        <f>IF(OR(F134 = "", G134 = "", I134 = ""), "", IF(F134 = "Vara", IFERROR(_xlfn.SINGLE(_xlfn.XLOOKUP(G134, Vöruskrá!A:A, Vöruskrá!N:N, "")) * I134 / 100, ""), IF(F134 = "Réttur", IFERROR(_xlfn.SINGLE(_xlfn.XLOOKUP(G134, Réttabanki!A:A, Réttabanki!BB:BB, "")) * I134 / 100, ""), "")))</f>
        <v/>
      </c>
    </row>
    <row r="135" spans="1:17">
      <c r="B135" s="33" t="str">
        <f>IF(A135&lt;&gt;"",CHOOSE(WEEKDAY(A135,2),"Mánudagur","Þriðjudagur","Miðvikudagur","Fimmtudagur","Föstudagur","Laugardagur","Sunnudagur"),IF(B134&lt;&gt;"",B134,""))</f>
        <v>Mánudagur</v>
      </c>
      <c r="C135" s="33">
        <f>IF(A135&lt;&gt;"",WEEKNUM(A135,21),IF(C134&lt;&gt;"",C134,""))</f>
        <v>27</v>
      </c>
      <c r="D135" s="34" t="s">
        <v>910</v>
      </c>
      <c r="E135" s="34" t="s">
        <v>921</v>
      </c>
      <c r="F135" s="34" t="s">
        <v>913</v>
      </c>
      <c r="G135" s="34" t="s">
        <v>739</v>
      </c>
      <c r="H135" s="34" t="s">
        <v>1067</v>
      </c>
      <c r="I135" s="35">
        <v>60</v>
      </c>
      <c r="J135" s="35">
        <v>80</v>
      </c>
      <c r="K135" s="36"/>
      <c r="L135" s="26" t="str">
        <f>IF(OR(F135 = "", G135 = ""), "", IF(F135 = "Vara", IFERROR(_xlfn.SINGLE(_xlfn.XLOOKUP(G135, Vöruskrá!A:A, Vöruskrá!E:E, "")), ""), IF(F135 = "Réttur", IFERROR(_xlfn.SINGLE(_xlfn.XLOOKUP(G135, Réttabanki!A:A, Réttabanki!AS:AS, "")), ""), "")))</f>
        <v>Kartöflur</v>
      </c>
      <c r="M135" s="26" t="str">
        <f>IF(OR(F135 = "", G135 = ""), "", IF(F135 = "Vara", IFERROR(_xlfn.SINGLE(_xlfn.XLOOKUP(G135, Vöruskrá!A:A, Vöruskrá!F:F, "")), ""), IF(F135 = "Réttur", IFERROR(_xlfn.SINGLE(_xlfn.XLOOKUP(G135, Réttabanki!A:A, Réttabanki!AT:AT, "")), ""), "")))</f>
        <v>Engir skráðir</v>
      </c>
      <c r="N135" s="26">
        <f>IF(OR(F135 = "", G135 = ""), "", IF(F135 = "Vara", IFERROR(_xlfn.SINGLE(_xlfn.XLOOKUP(G135, Vöruskrá!A:A, Vöruskrá!G:G, "")), ""), IF(F135 = "Réttur", IFERROR(_xlfn.SINGLE(_xlfn.XLOOKUP(G135, Réttabanki!A:A, Réttabanki!AU:AU, "")), ""), "")))</f>
        <v>0</v>
      </c>
      <c r="O135" s="26">
        <f>IF(OR(F135 = "", G135 = "", I135 = ""), "", IF(F135 = "Vara", IFERROR(_xlfn.SINGLE(_xlfn.XLOOKUP(G135, Vöruskrá!A:A, Vöruskrá!I:I, "")) * I135 / 100, ""), IF(F135 = "Réttur", IFERROR(_xlfn.SINGLE(_xlfn.XLOOKUP(G135, Réttabanki!A:A, Réttabanki!AV:AV, "")) * I135 / 100, ""), "")))</f>
        <v>46.2</v>
      </c>
      <c r="P135" s="26">
        <f>IF(OR(F135 = "", G135 = "", I135 = ""), "", IF(F135 = "Vara", IFERROR(_xlfn.SINGLE(_xlfn.XLOOKUP(G135, Vöruskrá!A:A, Vöruskrá!J:J, "")) * I135 / 100, ""), IF(F135 = "Réttur", IFERROR(_xlfn.SINGLE(_xlfn.XLOOKUP(G135, Réttabanki!A:A, Réttabanki!AW:AW, "")) * I135 / 100, ""), "")))</f>
        <v>0.06</v>
      </c>
      <c r="Q135" s="26">
        <f>IF(OR(F135 = "", G135 = "", I135 = ""), "", IF(F135 = "Vara", IFERROR(_xlfn.SINGLE(_xlfn.XLOOKUP(G135, Vöruskrá!A:A, Vöruskrá!N:N, "")) * I135 / 100, ""), IF(F135 = "Réttur", IFERROR(_xlfn.SINGLE(_xlfn.XLOOKUP(G135, Réttabanki!A:A, Réttabanki!BB:BB, "")) * I135 / 100, ""), "")))</f>
        <v>1.2</v>
      </c>
    </row>
    <row r="136" spans="1:17">
      <c r="B136" s="33" t="str">
        <f>IF(A136&lt;&gt;"",CHOOSE(WEEKDAY(A136,2),"Mánudagur","Þriðjudagur","Miðvikudagur","Fimmtudagur","Föstudagur","Laugardagur","Sunnudagur"),IF(B135&lt;&gt;"",B135,""))</f>
        <v>Mánudagur</v>
      </c>
      <c r="C136" s="33">
        <f>IF(A136&lt;&gt;"",WEEKNUM(A136,21),IF(C135&lt;&gt;"",C135,""))</f>
        <v>27</v>
      </c>
      <c r="D136" s="34" t="s">
        <v>910</v>
      </c>
      <c r="E136" s="34" t="s">
        <v>921</v>
      </c>
      <c r="F136" s="34" t="s">
        <v>913</v>
      </c>
      <c r="G136" s="34" t="s">
        <v>1068</v>
      </c>
      <c r="H136" s="34" t="s">
        <v>1069</v>
      </c>
      <c r="I136" s="35">
        <v>10</v>
      </c>
      <c r="J136" s="35">
        <v>10</v>
      </c>
      <c r="K136" s="36"/>
      <c r="L136" s="26" t="str">
        <f>IF(OR(F136 = "", G136 = ""), "", IF(F136 = "Vara", IFERROR(_xlfn.SINGLE(_xlfn.XLOOKUP(G136, Vöruskrá!A:A, Vöruskrá!E:E, "")), ""), IF(F136 = "Réttur", IFERROR(_xlfn.SINGLE(_xlfn.XLOOKUP(G136, Réttabanki!A:A, Réttabanki!AS:AS, "")), ""), "")))</f>
        <v/>
      </c>
      <c r="M136" s="26" t="str">
        <f>IF(OR(F136 = "", G136 = ""), "", IF(F136 = "Vara", IFERROR(_xlfn.SINGLE(_xlfn.XLOOKUP(G136, Vöruskrá!A:A, Vöruskrá!F:F, "")), ""), IF(F136 = "Réttur", IFERROR(_xlfn.SINGLE(_xlfn.XLOOKUP(G136, Réttabanki!A:A, Réttabanki!AT:AT, "")), ""), "")))</f>
        <v/>
      </c>
      <c r="N136" s="26" t="str">
        <f>IF(OR(F136 = "", G136 = ""), "", IF(F136 = "Vara", IFERROR(_xlfn.SINGLE(_xlfn.XLOOKUP(G136, Vöruskrá!A:A, Vöruskrá!G:G, "")), ""), IF(F136 = "Réttur", IFERROR(_xlfn.SINGLE(_xlfn.XLOOKUP(G136, Réttabanki!A:A, Réttabanki!AU:AU, "")), ""), "")))</f>
        <v/>
      </c>
      <c r="O136" s="26" t="str">
        <f>IF(OR(F136 = "", G136 = "", I136 = ""), "", IF(F136 = "Vara", IFERROR(_xlfn.SINGLE(_xlfn.XLOOKUP(G136, Vöruskrá!A:A, Vöruskrá!I:I, "")) * I136 / 100, ""), IF(F136 = "Réttur", IFERROR(_xlfn.SINGLE(_xlfn.XLOOKUP(G136, Réttabanki!A:A, Réttabanki!AV:AV, "")) * I136 / 100, ""), "")))</f>
        <v/>
      </c>
      <c r="P136" s="26" t="str">
        <f>IF(OR(F136 = "", G136 = "", I136 = ""), "", IF(F136 = "Vara", IFERROR(_xlfn.SINGLE(_xlfn.XLOOKUP(G136, Vöruskrá!A:A, Vöruskrá!J:J, "")) * I136 / 100, ""), IF(F136 = "Réttur", IFERROR(_xlfn.SINGLE(_xlfn.XLOOKUP(G136, Réttabanki!A:A, Réttabanki!AW:AW, "")) * I136 / 100, ""), "")))</f>
        <v/>
      </c>
      <c r="Q136" s="26" t="str">
        <f>IF(OR(F136 = "", G136 = "", I136 = ""), "", IF(F136 = "Vara", IFERROR(_xlfn.SINGLE(_xlfn.XLOOKUP(G136, Vöruskrá!A:A, Vöruskrá!N:N, "")) * I136 / 100, ""), IF(F136 = "Réttur", IFERROR(_xlfn.SINGLE(_xlfn.XLOOKUP(G136, Réttabanki!A:A, Réttabanki!BB:BB, "")) * I136 / 100, ""), "")))</f>
        <v/>
      </c>
    </row>
    <row r="137" spans="1:17">
      <c r="B137" s="33" t="str">
        <f>IF(A137&lt;&gt;"",CHOOSE(WEEKDAY(A137,2),"Mánudagur","Þriðjudagur","Miðvikudagur","Fimmtudagur","Föstudagur","Laugardagur","Sunnudagur"),IF(B136&lt;&gt;"",B136,""))</f>
        <v>Mánudagur</v>
      </c>
      <c r="C137" s="33">
        <f>IF(A137&lt;&gt;"",WEEKNUM(A137,21),IF(C136&lt;&gt;"",C136,""))</f>
        <v>27</v>
      </c>
      <c r="D137" s="34" t="s">
        <v>910</v>
      </c>
      <c r="E137" s="34" t="s">
        <v>927</v>
      </c>
      <c r="F137" s="34"/>
      <c r="G137" s="34"/>
      <c r="H137" s="34" t="s">
        <v>1070</v>
      </c>
      <c r="I137" s="35"/>
      <c r="J137" s="35"/>
      <c r="K137" s="36"/>
      <c r="L137" s="26" t="str">
        <f>IF(OR(F137 = "", G137 = ""), "", IF(F137 = "Vara", IFERROR(_xlfn.SINGLE(_xlfn.XLOOKUP(G137, Vöruskrá!A:A, Vöruskrá!E:E, "")), ""), IF(F137 = "Réttur", IFERROR(_xlfn.SINGLE(_xlfn.XLOOKUP(G137, Réttabanki!A:A, Réttabanki!AS:AS, "")), ""), "")))</f>
        <v/>
      </c>
      <c r="M137" s="26" t="str">
        <f>IF(OR(F137 = "", G137 = ""), "", IF(F137 = "Vara", IFERROR(_xlfn.SINGLE(_xlfn.XLOOKUP(G137, Vöruskrá!A:A, Vöruskrá!F:F, "")), ""), IF(F137 = "Réttur", IFERROR(_xlfn.SINGLE(_xlfn.XLOOKUP(G137, Réttabanki!A:A, Réttabanki!AT:AT, "")), ""), "")))</f>
        <v/>
      </c>
      <c r="N137" s="26" t="str">
        <f>IF(OR(F137 = "", G137 = ""), "", IF(F137 = "Vara", IFERROR(_xlfn.SINGLE(_xlfn.XLOOKUP(G137, Vöruskrá!A:A, Vöruskrá!G:G, "")), ""), IF(F137 = "Réttur", IFERROR(_xlfn.SINGLE(_xlfn.XLOOKUP(G137, Réttabanki!A:A, Réttabanki!AU:AU, "")), ""), "")))</f>
        <v/>
      </c>
      <c r="O137" s="26" t="str">
        <f>IF(OR(F137 = "", G137 = "", I137 = ""), "", IF(F137 = "Vara", IFERROR(_xlfn.SINGLE(_xlfn.XLOOKUP(G137, Vöruskrá!A:A, Vöruskrá!I:I, "")) * I137 / 100, ""), IF(F137 = "Réttur", IFERROR(_xlfn.SINGLE(_xlfn.XLOOKUP(G137, Réttabanki!A:A, Réttabanki!AV:AV, "")) * I137 / 100, ""), "")))</f>
        <v/>
      </c>
      <c r="P137" s="26" t="str">
        <f>IF(OR(F137 = "", G137 = "", I137 = ""), "", IF(F137 = "Vara", IFERROR(_xlfn.SINGLE(_xlfn.XLOOKUP(G137, Vöruskrá!A:A, Vöruskrá!J:J, "")) * I137 / 100, ""), IF(F137 = "Réttur", IFERROR(_xlfn.SINGLE(_xlfn.XLOOKUP(G137, Réttabanki!A:A, Réttabanki!AW:AW, "")) * I137 / 100, ""), "")))</f>
        <v/>
      </c>
      <c r="Q137" s="26" t="str">
        <f>IF(OR(F137 = "", G137 = "", I137 = ""), "", IF(F137 = "Vara", IFERROR(_xlfn.SINGLE(_xlfn.XLOOKUP(G137, Vöruskrá!A:A, Vöruskrá!N:N, "")) * I137 / 100, ""), IF(F137 = "Réttur", IFERROR(_xlfn.SINGLE(_xlfn.XLOOKUP(G137, Réttabanki!A:A, Réttabanki!BB:BB, "")) * I137 / 100, ""), "")))</f>
        <v/>
      </c>
    </row>
    <row r="138" spans="1:17">
      <c r="B138" s="33" t="str">
        <f>IF(A138&lt;&gt;"",CHOOSE(WEEKDAY(A138,2),"Mánudagur","Þriðjudagur","Miðvikudagur","Fimmtudagur","Föstudagur","Laugardagur","Sunnudagur"),IF(B137&lt;&gt;"",B137,""))</f>
        <v>Mánudagur</v>
      </c>
      <c r="C138" s="33">
        <f>IF(A138&lt;&gt;"",WEEKNUM(A138,21),IF(C137&lt;&gt;"",C137,""))</f>
        <v>27</v>
      </c>
      <c r="D138" s="34" t="s">
        <v>910</v>
      </c>
      <c r="E138" s="34" t="s">
        <v>927</v>
      </c>
      <c r="F138" s="34" t="s">
        <v>913</v>
      </c>
      <c r="G138" s="34" t="s">
        <v>1005</v>
      </c>
      <c r="H138" s="34" t="s">
        <v>1006</v>
      </c>
      <c r="I138" s="35">
        <v>160</v>
      </c>
      <c r="J138" s="35">
        <v>160</v>
      </c>
      <c r="K138" s="36"/>
      <c r="L138" s="26" t="str">
        <f>IF(OR(F138 = "", G138 = ""), "", IF(F138 = "Vara", IFERROR(_xlfn.SINGLE(_xlfn.XLOOKUP(G138, Vöruskrá!A:A, Vöruskrá!E:E, "")), ""), IF(F138 = "Réttur", IFERROR(_xlfn.SINGLE(_xlfn.XLOOKUP(G138, Réttabanki!A:A, Réttabanki!AS:AS, "")), ""), "")))</f>
        <v/>
      </c>
      <c r="M138" s="26" t="str">
        <f>IF(OR(F138 = "", G138 = ""), "", IF(F138 = "Vara", IFERROR(_xlfn.SINGLE(_xlfn.XLOOKUP(G138, Vöruskrá!A:A, Vöruskrá!F:F, "")), ""), IF(F138 = "Réttur", IFERROR(_xlfn.SINGLE(_xlfn.XLOOKUP(G138, Réttabanki!A:A, Réttabanki!AT:AT, "")), ""), "")))</f>
        <v/>
      </c>
      <c r="N138" s="26" t="str">
        <f>IF(OR(F138 = "", G138 = ""), "", IF(F138 = "Vara", IFERROR(_xlfn.SINGLE(_xlfn.XLOOKUP(G138, Vöruskrá!A:A, Vöruskrá!G:G, "")), ""), IF(F138 = "Réttur", IFERROR(_xlfn.SINGLE(_xlfn.XLOOKUP(G138, Réttabanki!A:A, Réttabanki!AU:AU, "")), ""), "")))</f>
        <v/>
      </c>
      <c r="O138" s="26" t="str">
        <f>IF(OR(F138 = "", G138 = "", I138 = ""), "", IF(F138 = "Vara", IFERROR(_xlfn.SINGLE(_xlfn.XLOOKUP(G138, Vöruskrá!A:A, Vöruskrá!I:I, "")) * I138 / 100, ""), IF(F138 = "Réttur", IFERROR(_xlfn.SINGLE(_xlfn.XLOOKUP(G138, Réttabanki!A:A, Réttabanki!AV:AV, "")) * I138 / 100, ""), "")))</f>
        <v/>
      </c>
      <c r="P138" s="26" t="str">
        <f>IF(OR(F138 = "", G138 = "", I138 = ""), "", IF(F138 = "Vara", IFERROR(_xlfn.SINGLE(_xlfn.XLOOKUP(G138, Vöruskrá!A:A, Vöruskrá!J:J, "")) * I138 / 100, ""), IF(F138 = "Réttur", IFERROR(_xlfn.SINGLE(_xlfn.XLOOKUP(G138, Réttabanki!A:A, Réttabanki!AW:AW, "")) * I138 / 100, ""), "")))</f>
        <v/>
      </c>
      <c r="Q138" s="26" t="str">
        <f>IF(OR(F138 = "", G138 = "", I138 = ""), "", IF(F138 = "Vara", IFERROR(_xlfn.SINGLE(_xlfn.XLOOKUP(G138, Vöruskrá!A:A, Vöruskrá!N:N, "")) * I138 / 100, ""), IF(F138 = "Réttur", IFERROR(_xlfn.SINGLE(_xlfn.XLOOKUP(G138, Réttabanki!A:A, Réttabanki!BB:BB, "")) * I138 / 100, ""), "")))</f>
        <v/>
      </c>
    </row>
    <row r="139" spans="1:17">
      <c r="B139" s="33" t="str">
        <f>IF(A139&lt;&gt;"",CHOOSE(WEEKDAY(A139,2),"Mánudagur","Þriðjudagur","Miðvikudagur","Fimmtudagur","Föstudagur","Laugardagur","Sunnudagur"),IF(B138&lt;&gt;"",B138,""))</f>
        <v>Mánudagur</v>
      </c>
      <c r="C139" s="33">
        <f>IF(A139&lt;&gt;"",WEEKNUM(A139,21),IF(C138&lt;&gt;"",C138,""))</f>
        <v>27</v>
      </c>
      <c r="D139" s="34" t="s">
        <v>910</v>
      </c>
      <c r="E139" s="34" t="s">
        <v>927</v>
      </c>
      <c r="F139" s="34" t="s">
        <v>913</v>
      </c>
      <c r="G139" s="34" t="s">
        <v>739</v>
      </c>
      <c r="H139" s="34" t="s">
        <v>1067</v>
      </c>
      <c r="I139" s="35">
        <v>60</v>
      </c>
      <c r="J139" s="35">
        <v>80</v>
      </c>
      <c r="K139" s="36"/>
      <c r="L139" s="26" t="str">
        <f>IF(OR(F139 = "", G139 = ""), "", IF(F139 = "Vara", IFERROR(_xlfn.SINGLE(_xlfn.XLOOKUP(G139, Vöruskrá!A:A, Vöruskrá!E:E, "")), ""), IF(F139 = "Réttur", IFERROR(_xlfn.SINGLE(_xlfn.XLOOKUP(G139, Réttabanki!A:A, Réttabanki!AS:AS, "")), ""), "")))</f>
        <v>Kartöflur</v>
      </c>
      <c r="M139" s="26" t="str">
        <f>IF(OR(F139 = "", G139 = ""), "", IF(F139 = "Vara", IFERROR(_xlfn.SINGLE(_xlfn.XLOOKUP(G139, Vöruskrá!A:A, Vöruskrá!F:F, "")), ""), IF(F139 = "Réttur", IFERROR(_xlfn.SINGLE(_xlfn.XLOOKUP(G139, Réttabanki!A:A, Réttabanki!AT:AT, "")), ""), "")))</f>
        <v>Engir skráðir</v>
      </c>
      <c r="N139" s="26">
        <f>IF(OR(F139 = "", G139 = ""), "", IF(F139 = "Vara", IFERROR(_xlfn.SINGLE(_xlfn.XLOOKUP(G139, Vöruskrá!A:A, Vöruskrá!G:G, "")), ""), IF(F139 = "Réttur", IFERROR(_xlfn.SINGLE(_xlfn.XLOOKUP(G139, Réttabanki!A:A, Réttabanki!AU:AU, "")), ""), "")))</f>
        <v>0</v>
      </c>
      <c r="O139" s="26">
        <f>IF(OR(F139 = "", G139 = "", I139 = ""), "", IF(F139 = "Vara", IFERROR(_xlfn.SINGLE(_xlfn.XLOOKUP(G139, Vöruskrá!A:A, Vöruskrá!I:I, "")) * I139 / 100, ""), IF(F139 = "Réttur", IFERROR(_xlfn.SINGLE(_xlfn.XLOOKUP(G139, Réttabanki!A:A, Réttabanki!AV:AV, "")) * I139 / 100, ""), "")))</f>
        <v>46.2</v>
      </c>
      <c r="P139" s="26">
        <f>IF(OR(F139 = "", G139 = "", I139 = ""), "", IF(F139 = "Vara", IFERROR(_xlfn.SINGLE(_xlfn.XLOOKUP(G139, Vöruskrá!A:A, Vöruskrá!J:J, "")) * I139 / 100, ""), IF(F139 = "Réttur", IFERROR(_xlfn.SINGLE(_xlfn.XLOOKUP(G139, Réttabanki!A:A, Réttabanki!AW:AW, "")) * I139 / 100, ""), "")))</f>
        <v>0.06</v>
      </c>
      <c r="Q139" s="26">
        <f>IF(OR(F139 = "", G139 = "", I139 = ""), "", IF(F139 = "Vara", IFERROR(_xlfn.SINGLE(_xlfn.XLOOKUP(G139, Vöruskrá!A:A, Vöruskrá!N:N, "")) * I139 / 100, ""), IF(F139 = "Réttur", IFERROR(_xlfn.SINGLE(_xlfn.XLOOKUP(G139, Réttabanki!A:A, Réttabanki!BB:BB, "")) * I139 / 100, ""), "")))</f>
        <v>1.2</v>
      </c>
    </row>
    <row r="140" spans="1:17">
      <c r="B140" s="33" t="str">
        <f>IF(A140&lt;&gt;"",CHOOSE(WEEKDAY(A140,2),"Mánudagur","Þriðjudagur","Miðvikudagur","Fimmtudagur","Föstudagur","Laugardagur","Sunnudagur"),IF(B139&lt;&gt;"",B139,""))</f>
        <v>Mánudagur</v>
      </c>
      <c r="C140" s="33">
        <f>IF(A140&lt;&gt;"",WEEKNUM(A140,21),IF(C139&lt;&gt;"",C139,""))</f>
        <v>27</v>
      </c>
      <c r="D140" s="34" t="s">
        <v>910</v>
      </c>
      <c r="E140" s="34" t="s">
        <v>927</v>
      </c>
      <c r="F140" s="34" t="s">
        <v>913</v>
      </c>
      <c r="G140" s="34" t="s">
        <v>1068</v>
      </c>
      <c r="H140" s="34" t="s">
        <v>1069</v>
      </c>
      <c r="I140" s="35">
        <v>10</v>
      </c>
      <c r="J140" s="35">
        <v>10</v>
      </c>
      <c r="K140" s="36"/>
      <c r="L140" s="26" t="str">
        <f>IF(OR(F140 = "", G140 = ""), "", IF(F140 = "Vara", IFERROR(_xlfn.SINGLE(_xlfn.XLOOKUP(G140, Vöruskrá!A:A, Vöruskrá!E:E, "")), ""), IF(F140 = "Réttur", IFERROR(_xlfn.SINGLE(_xlfn.XLOOKUP(G140, Réttabanki!A:A, Réttabanki!AS:AS, "")), ""), "")))</f>
        <v/>
      </c>
      <c r="M140" s="26" t="str">
        <f>IF(OR(F140 = "", G140 = ""), "", IF(F140 = "Vara", IFERROR(_xlfn.SINGLE(_xlfn.XLOOKUP(G140, Vöruskrá!A:A, Vöruskrá!F:F, "")), ""), IF(F140 = "Réttur", IFERROR(_xlfn.SINGLE(_xlfn.XLOOKUP(G140, Réttabanki!A:A, Réttabanki!AT:AT, "")), ""), "")))</f>
        <v/>
      </c>
      <c r="N140" s="26" t="str">
        <f>IF(OR(F140 = "", G140 = ""), "", IF(F140 = "Vara", IFERROR(_xlfn.SINGLE(_xlfn.XLOOKUP(G140, Vöruskrá!A:A, Vöruskrá!G:G, "")), ""), IF(F140 = "Réttur", IFERROR(_xlfn.SINGLE(_xlfn.XLOOKUP(G140, Réttabanki!A:A, Réttabanki!AU:AU, "")), ""), "")))</f>
        <v/>
      </c>
      <c r="O140" s="26" t="str">
        <f>IF(OR(F140 = "", G140 = "", I140 = ""), "", IF(F140 = "Vara", IFERROR(_xlfn.SINGLE(_xlfn.XLOOKUP(G140, Vöruskrá!A:A, Vöruskrá!I:I, "")) * I140 / 100, ""), IF(F140 = "Réttur", IFERROR(_xlfn.SINGLE(_xlfn.XLOOKUP(G140, Réttabanki!A:A, Réttabanki!AV:AV, "")) * I140 / 100, ""), "")))</f>
        <v/>
      </c>
      <c r="P140" s="26" t="str">
        <f>IF(OR(F140 = "", G140 = "", I140 = ""), "", IF(F140 = "Vara", IFERROR(_xlfn.SINGLE(_xlfn.XLOOKUP(G140, Vöruskrá!A:A, Vöruskrá!J:J, "")) * I140 / 100, ""), IF(F140 = "Réttur", IFERROR(_xlfn.SINGLE(_xlfn.XLOOKUP(G140, Réttabanki!A:A, Réttabanki!AW:AW, "")) * I140 / 100, ""), "")))</f>
        <v/>
      </c>
      <c r="Q140" s="26" t="str">
        <f>IF(OR(F140 = "", G140 = "", I140 = ""), "", IF(F140 = "Vara", IFERROR(_xlfn.SINGLE(_xlfn.XLOOKUP(G140, Vöruskrá!A:A, Vöruskrá!N:N, "")) * I140 / 100, ""), IF(F140 = "Réttur", IFERROR(_xlfn.SINGLE(_xlfn.XLOOKUP(G140, Réttabanki!A:A, Réttabanki!BB:BB, "")) * I140 / 100, ""), "")))</f>
        <v/>
      </c>
    </row>
    <row r="141" spans="1:17">
      <c r="B141" s="33" t="str">
        <f>IF(A141&lt;&gt;"",CHOOSE(WEEKDAY(A141,2),"Mánudagur","Þriðjudagur","Miðvikudagur","Fimmtudagur","Föstudagur","Laugardagur","Sunnudagur"),IF(B140&lt;&gt;"",B140,""))</f>
        <v>Mánudagur</v>
      </c>
      <c r="C141" s="33">
        <f>IF(A141&lt;&gt;"",WEEKNUM(A141,21),IF(C140&lt;&gt;"",C140,""))</f>
        <v>27</v>
      </c>
      <c r="D141" s="34" t="s">
        <v>910</v>
      </c>
      <c r="E141" s="34" t="s">
        <v>933</v>
      </c>
      <c r="F141" s="34"/>
      <c r="G141" s="34"/>
      <c r="H141" s="34" t="s">
        <v>1071</v>
      </c>
      <c r="I141" s="35"/>
      <c r="J141" s="35"/>
      <c r="K141" s="36"/>
      <c r="L141" s="26" t="str">
        <f>IF(OR(F141 = "", G141 = ""), "", IF(F141 = "Vara", IFERROR(_xlfn.SINGLE(_xlfn.XLOOKUP(G141, Vöruskrá!A:A, Vöruskrá!E:E, "")), ""), IF(F141 = "Réttur", IFERROR(_xlfn.SINGLE(_xlfn.XLOOKUP(G141, Réttabanki!A:A, Réttabanki!AS:AS, "")), ""), "")))</f>
        <v/>
      </c>
      <c r="M141" s="26" t="str">
        <f>IF(OR(F141 = "", G141 = ""), "", IF(F141 = "Vara", IFERROR(_xlfn.SINGLE(_xlfn.XLOOKUP(G141, Vöruskrá!A:A, Vöruskrá!F:F, "")), ""), IF(F141 = "Réttur", IFERROR(_xlfn.SINGLE(_xlfn.XLOOKUP(G141, Réttabanki!A:A, Réttabanki!AT:AT, "")), ""), "")))</f>
        <v/>
      </c>
      <c r="N141" s="26" t="str">
        <f>IF(OR(F141 = "", G141 = ""), "", IF(F141 = "Vara", IFERROR(_xlfn.SINGLE(_xlfn.XLOOKUP(G141, Vöruskrá!A:A, Vöruskrá!G:G, "")), ""), IF(F141 = "Réttur", IFERROR(_xlfn.SINGLE(_xlfn.XLOOKUP(G141, Réttabanki!A:A, Réttabanki!AU:AU, "")), ""), "")))</f>
        <v/>
      </c>
      <c r="O141" s="26" t="str">
        <f>IF(OR(F141 = "", G141 = "", I141 = ""), "", IF(F141 = "Vara", IFERROR(_xlfn.SINGLE(_xlfn.XLOOKUP(G141, Vöruskrá!A:A, Vöruskrá!I:I, "")) * I141 / 100, ""), IF(F141 = "Réttur", IFERROR(_xlfn.SINGLE(_xlfn.XLOOKUP(G141, Réttabanki!A:A, Réttabanki!AV:AV, "")) * I141 / 100, ""), "")))</f>
        <v/>
      </c>
      <c r="P141" s="26" t="str">
        <f>IF(OR(F141 = "", G141 = "", I141 = ""), "", IF(F141 = "Vara", IFERROR(_xlfn.SINGLE(_xlfn.XLOOKUP(G141, Vöruskrá!A:A, Vöruskrá!J:J, "")) * I141 / 100, ""), IF(F141 = "Réttur", IFERROR(_xlfn.SINGLE(_xlfn.XLOOKUP(G141, Réttabanki!A:A, Réttabanki!AW:AW, "")) * I141 / 100, ""), "")))</f>
        <v/>
      </c>
      <c r="Q141" s="26" t="str">
        <f>IF(OR(F141 = "", G141 = "", I141 = ""), "", IF(F141 = "Vara", IFERROR(_xlfn.SINGLE(_xlfn.XLOOKUP(G141, Vöruskrá!A:A, Vöruskrá!N:N, "")) * I141 / 100, ""), IF(F141 = "Réttur", IFERROR(_xlfn.SINGLE(_xlfn.XLOOKUP(G141, Réttabanki!A:A, Réttabanki!BB:BB, "")) * I141 / 100, ""), "")))</f>
        <v/>
      </c>
    </row>
    <row r="142" spans="1:17">
      <c r="B142" s="33" t="str">
        <f>IF(A142&lt;&gt;"",CHOOSE(WEEKDAY(A142,2),"Mánudagur","Þriðjudagur","Miðvikudagur","Fimmtudagur","Föstudagur","Laugardagur","Sunnudagur"),IF(B141&lt;&gt;"",B141,""))</f>
        <v>Mánudagur</v>
      </c>
      <c r="C142" s="33">
        <f>IF(A142&lt;&gt;"",WEEKNUM(A142,21),IF(C141&lt;&gt;"",C141,""))</f>
        <v>27</v>
      </c>
      <c r="D142" s="34" t="s">
        <v>910</v>
      </c>
      <c r="E142" s="34" t="s">
        <v>933</v>
      </c>
      <c r="F142" s="34" t="s">
        <v>913</v>
      </c>
      <c r="G142" s="34" t="s">
        <v>1072</v>
      </c>
      <c r="H142" s="34" t="s">
        <v>1073</v>
      </c>
      <c r="I142" s="35">
        <v>20</v>
      </c>
      <c r="J142" s="35">
        <v>20</v>
      </c>
      <c r="K142" s="36"/>
      <c r="L142" s="26" t="str">
        <f>IF(OR(F142 = "", G142 = ""), "", IF(F142 = "Vara", IFERROR(_xlfn.SINGLE(_xlfn.XLOOKUP(G142, Vöruskrá!A:A, Vöruskrá!E:E, "")), ""), IF(F142 = "Réttur", IFERROR(_xlfn.SINGLE(_xlfn.XLOOKUP(G142, Réttabanki!A:A, Réttabanki!AS:AS, "")), ""), "")))</f>
        <v/>
      </c>
      <c r="M142" s="26" t="str">
        <f>IF(OR(F142 = "", G142 = ""), "", IF(F142 = "Vara", IFERROR(_xlfn.SINGLE(_xlfn.XLOOKUP(G142, Vöruskrá!A:A, Vöruskrá!F:F, "")), ""), IF(F142 = "Réttur", IFERROR(_xlfn.SINGLE(_xlfn.XLOOKUP(G142, Réttabanki!A:A, Réttabanki!AT:AT, "")), ""), "")))</f>
        <v/>
      </c>
      <c r="N142" s="26" t="str">
        <f>IF(OR(F142 = "", G142 = ""), "", IF(F142 = "Vara", IFERROR(_xlfn.SINGLE(_xlfn.XLOOKUP(G142, Vöruskrá!A:A, Vöruskrá!G:G, "")), ""), IF(F142 = "Réttur", IFERROR(_xlfn.SINGLE(_xlfn.XLOOKUP(G142, Réttabanki!A:A, Réttabanki!AU:AU, "")), ""), "")))</f>
        <v/>
      </c>
      <c r="O142" s="26" t="str">
        <f>IF(OR(F142 = "", G142 = "", I142 = ""), "", IF(F142 = "Vara", IFERROR(_xlfn.SINGLE(_xlfn.XLOOKUP(G142, Vöruskrá!A:A, Vöruskrá!I:I, "")) * I142 / 100, ""), IF(F142 = "Réttur", IFERROR(_xlfn.SINGLE(_xlfn.XLOOKUP(G142, Réttabanki!A:A, Réttabanki!AV:AV, "")) * I142 / 100, ""), "")))</f>
        <v/>
      </c>
      <c r="P142" s="26" t="str">
        <f>IF(OR(F142 = "", G142 = "", I142 = ""), "", IF(F142 = "Vara", IFERROR(_xlfn.SINGLE(_xlfn.XLOOKUP(G142, Vöruskrá!A:A, Vöruskrá!J:J, "")) * I142 / 100, ""), IF(F142 = "Réttur", IFERROR(_xlfn.SINGLE(_xlfn.XLOOKUP(G142, Réttabanki!A:A, Réttabanki!AW:AW, "")) * I142 / 100, ""), "")))</f>
        <v/>
      </c>
      <c r="Q142" s="26" t="str">
        <f>IF(OR(F142 = "", G142 = "", I142 = ""), "", IF(F142 = "Vara", IFERROR(_xlfn.SINGLE(_xlfn.XLOOKUP(G142, Vöruskrá!A:A, Vöruskrá!N:N, "")) * I142 / 100, ""), IF(F142 = "Réttur", IFERROR(_xlfn.SINGLE(_xlfn.XLOOKUP(G142, Réttabanki!A:A, Réttabanki!BB:BB, "")) * I142 / 100, ""), "")))</f>
        <v/>
      </c>
    </row>
    <row r="143" spans="1:17">
      <c r="B143" s="33" t="str">
        <f>IF(A143&lt;&gt;"",CHOOSE(WEEKDAY(A143,2),"Mánudagur","Þriðjudagur","Miðvikudagur","Fimmtudagur","Föstudagur","Laugardagur","Sunnudagur"),IF(B142&lt;&gt;"",B142,""))</f>
        <v>Mánudagur</v>
      </c>
      <c r="C143" s="33">
        <f>IF(A143&lt;&gt;"",WEEKNUM(A143,21),IF(C142&lt;&gt;"",C142,""))</f>
        <v>27</v>
      </c>
      <c r="D143" s="34" t="s">
        <v>910</v>
      </c>
      <c r="E143" s="34" t="s">
        <v>941</v>
      </c>
      <c r="F143" s="34"/>
      <c r="G143" s="34"/>
      <c r="H143" s="34" t="s">
        <v>1074</v>
      </c>
      <c r="I143" s="35"/>
      <c r="J143" s="35"/>
      <c r="K143" s="36"/>
      <c r="L143" s="26" t="str">
        <f>IF(OR(F143 = "", G143 = ""), "", IF(F143 = "Vara", IFERROR(_xlfn.SINGLE(_xlfn.XLOOKUP(G143, Vöruskrá!A:A, Vöruskrá!E:E, "")), ""), IF(F143 = "Réttur", IFERROR(_xlfn.SINGLE(_xlfn.XLOOKUP(G143, Réttabanki!A:A, Réttabanki!AS:AS, "")), ""), "")))</f>
        <v/>
      </c>
      <c r="M143" s="26" t="str">
        <f>IF(OR(F143 = "", G143 = ""), "", IF(F143 = "Vara", IFERROR(_xlfn.SINGLE(_xlfn.XLOOKUP(G143, Vöruskrá!A:A, Vöruskrá!F:F, "")), ""), IF(F143 = "Réttur", IFERROR(_xlfn.SINGLE(_xlfn.XLOOKUP(G143, Réttabanki!A:A, Réttabanki!AT:AT, "")), ""), "")))</f>
        <v/>
      </c>
      <c r="N143" s="26" t="str">
        <f>IF(OR(F143 = "", G143 = ""), "", IF(F143 = "Vara", IFERROR(_xlfn.SINGLE(_xlfn.XLOOKUP(G143, Vöruskrá!A:A, Vöruskrá!G:G, "")), ""), IF(F143 = "Réttur", IFERROR(_xlfn.SINGLE(_xlfn.XLOOKUP(G143, Réttabanki!A:A, Réttabanki!AU:AU, "")), ""), "")))</f>
        <v/>
      </c>
      <c r="O143" s="26" t="str">
        <f>IF(OR(F143 = "", G143 = "", I143 = ""), "", IF(F143 = "Vara", IFERROR(_xlfn.SINGLE(_xlfn.XLOOKUP(G143, Vöruskrá!A:A, Vöruskrá!I:I, "")) * I143 / 100, ""), IF(F143 = "Réttur", IFERROR(_xlfn.SINGLE(_xlfn.XLOOKUP(G143, Réttabanki!A:A, Réttabanki!AV:AV, "")) * I143 / 100, ""), "")))</f>
        <v/>
      </c>
      <c r="P143" s="26" t="str">
        <f>IF(OR(F143 = "", G143 = "", I143 = ""), "", IF(F143 = "Vara", IFERROR(_xlfn.SINGLE(_xlfn.XLOOKUP(G143, Vöruskrá!A:A, Vöruskrá!J:J, "")) * I143 / 100, ""), IF(F143 = "Réttur", IFERROR(_xlfn.SINGLE(_xlfn.XLOOKUP(G143, Réttabanki!A:A, Réttabanki!AW:AW, "")) * I143 / 100, ""), "")))</f>
        <v/>
      </c>
      <c r="Q143" s="26" t="str">
        <f>IF(OR(F143 = "", G143 = "", I143 = ""), "", IF(F143 = "Vara", IFERROR(_xlfn.SINGLE(_xlfn.XLOOKUP(G143, Vöruskrá!A:A, Vöruskrá!N:N, "")) * I143 / 100, ""), IF(F143 = "Réttur", IFERROR(_xlfn.SINGLE(_xlfn.XLOOKUP(G143, Réttabanki!A:A, Réttabanki!BB:BB, "")) * I143 / 100, ""), "")))</f>
        <v/>
      </c>
    </row>
    <row r="144" spans="1:17">
      <c r="B144" s="33" t="str">
        <f>IF(A144&lt;&gt;"",CHOOSE(WEEKDAY(A144,2),"Mánudagur","Þriðjudagur","Miðvikudagur","Fimmtudagur","Föstudagur","Laugardagur","Sunnudagur"),IF(B143&lt;&gt;"",B143,""))</f>
        <v>Mánudagur</v>
      </c>
      <c r="C144" s="33">
        <f>IF(A144&lt;&gt;"",WEEKNUM(A144,21),IF(C143&lt;&gt;"",C143,""))</f>
        <v>27</v>
      </c>
      <c r="D144" s="34" t="s">
        <v>910</v>
      </c>
      <c r="E144" s="34" t="s">
        <v>941</v>
      </c>
      <c r="F144" s="34" t="s">
        <v>913</v>
      </c>
      <c r="G144" s="34" t="s">
        <v>1010</v>
      </c>
      <c r="H144" s="34" t="s">
        <v>1075</v>
      </c>
      <c r="I144" s="35">
        <v>42</v>
      </c>
      <c r="J144" s="35">
        <v>42</v>
      </c>
      <c r="K144" s="36"/>
      <c r="L144" s="26" t="str">
        <f>IF(OR(F144 = "", G144 = ""), "", IF(F144 = "Vara", IFERROR(_xlfn.SINGLE(_xlfn.XLOOKUP(G144, Vöruskrá!A:A, Vöruskrá!E:E, "")), ""), IF(F144 = "Réttur", IFERROR(_xlfn.SINGLE(_xlfn.XLOOKUP(G144, Réttabanki!A:A, Réttabanki!AS:AS, "")), ""), "")))</f>
        <v/>
      </c>
      <c r="M144" s="26" t="str">
        <f>IF(OR(F144 = "", G144 = ""), "", IF(F144 = "Vara", IFERROR(_xlfn.SINGLE(_xlfn.XLOOKUP(G144, Vöruskrá!A:A, Vöruskrá!F:F, "")), ""), IF(F144 = "Réttur", IFERROR(_xlfn.SINGLE(_xlfn.XLOOKUP(G144, Réttabanki!A:A, Réttabanki!AT:AT, "")), ""), "")))</f>
        <v/>
      </c>
      <c r="N144" s="26" t="str">
        <f>IF(OR(F144 = "", G144 = ""), "", IF(F144 = "Vara", IFERROR(_xlfn.SINGLE(_xlfn.XLOOKUP(G144, Vöruskrá!A:A, Vöruskrá!G:G, "")), ""), IF(F144 = "Réttur", IFERROR(_xlfn.SINGLE(_xlfn.XLOOKUP(G144, Réttabanki!A:A, Réttabanki!AU:AU, "")), ""), "")))</f>
        <v/>
      </c>
      <c r="O144" s="26" t="str">
        <f>IF(OR(F144 = "", G144 = "", I144 = ""), "", IF(F144 = "Vara", IFERROR(_xlfn.SINGLE(_xlfn.XLOOKUP(G144, Vöruskrá!A:A, Vöruskrá!I:I, "")) * I144 / 100, ""), IF(F144 = "Réttur", IFERROR(_xlfn.SINGLE(_xlfn.XLOOKUP(G144, Réttabanki!A:A, Réttabanki!AV:AV, "")) * I144 / 100, ""), "")))</f>
        <v/>
      </c>
      <c r="P144" s="26" t="str">
        <f>IF(OR(F144 = "", G144 = "", I144 = ""), "", IF(F144 = "Vara", IFERROR(_xlfn.SINGLE(_xlfn.XLOOKUP(G144, Vöruskrá!A:A, Vöruskrá!J:J, "")) * I144 / 100, ""), IF(F144 = "Réttur", IFERROR(_xlfn.SINGLE(_xlfn.XLOOKUP(G144, Réttabanki!A:A, Réttabanki!AW:AW, "")) * I144 / 100, ""), "")))</f>
        <v/>
      </c>
      <c r="Q144" s="26" t="str">
        <f>IF(OR(F144 = "", G144 = "", I144 = ""), "", IF(F144 = "Vara", IFERROR(_xlfn.SINGLE(_xlfn.XLOOKUP(G144, Vöruskrá!A:A, Vöruskrá!N:N, "")) * I144 / 100, ""), IF(F144 = "Réttur", IFERROR(_xlfn.SINGLE(_xlfn.XLOOKUP(G144, Réttabanki!A:A, Réttabanki!BB:BB, "")) * I144 / 100, ""), "")))</f>
        <v/>
      </c>
    </row>
    <row r="145" spans="1:17">
      <c r="B145" s="33" t="str">
        <f>IF(A145&lt;&gt;"",CHOOSE(WEEKDAY(A145,2),"Mánudagur","Þriðjudagur","Miðvikudagur","Fimmtudagur","Föstudagur","Laugardagur","Sunnudagur"),IF(B144&lt;&gt;"",B144,""))</f>
        <v>Mánudagur</v>
      </c>
      <c r="C145" s="33">
        <f>IF(A145&lt;&gt;"",WEEKNUM(A145,21),IF(C144&lt;&gt;"",C144,""))</f>
        <v>27</v>
      </c>
      <c r="D145" s="34" t="s">
        <v>910</v>
      </c>
      <c r="E145" s="34" t="s">
        <v>941</v>
      </c>
      <c r="F145" s="34" t="s">
        <v>913</v>
      </c>
      <c r="G145" s="34" t="s">
        <v>997</v>
      </c>
      <c r="H145" s="34" t="s">
        <v>998</v>
      </c>
      <c r="I145" s="35">
        <v>20</v>
      </c>
      <c r="J145" s="35">
        <v>20</v>
      </c>
      <c r="K145" s="36"/>
      <c r="L145" s="26" t="str">
        <f>IF(OR(F145 = "", G145 = ""), "", IF(F145 = "Vara", IFERROR(_xlfn.SINGLE(_xlfn.XLOOKUP(G145, Vöruskrá!A:A, Vöruskrá!E:E, "")), ""), IF(F145 = "Réttur", IFERROR(_xlfn.SINGLE(_xlfn.XLOOKUP(G145, Réttabanki!A:A, Réttabanki!AS:AS, "")), ""), "")))</f>
        <v/>
      </c>
      <c r="M145" s="26" t="str">
        <f>IF(OR(F145 = "", G145 = ""), "", IF(F145 = "Vara", IFERROR(_xlfn.SINGLE(_xlfn.XLOOKUP(G145, Vöruskrá!A:A, Vöruskrá!F:F, "")), ""), IF(F145 = "Réttur", IFERROR(_xlfn.SINGLE(_xlfn.XLOOKUP(G145, Réttabanki!A:A, Réttabanki!AT:AT, "")), ""), "")))</f>
        <v/>
      </c>
      <c r="N145" s="26" t="str">
        <f>IF(OR(F145 = "", G145 = ""), "", IF(F145 = "Vara", IFERROR(_xlfn.SINGLE(_xlfn.XLOOKUP(G145, Vöruskrá!A:A, Vöruskrá!G:G, "")), ""), IF(F145 = "Réttur", IFERROR(_xlfn.SINGLE(_xlfn.XLOOKUP(G145, Réttabanki!A:A, Réttabanki!AU:AU, "")), ""), "")))</f>
        <v/>
      </c>
      <c r="O145" s="26" t="str">
        <f>IF(OR(F145 = "", G145 = "", I145 = ""), "", IF(F145 = "Vara", IFERROR(_xlfn.SINGLE(_xlfn.XLOOKUP(G145, Vöruskrá!A:A, Vöruskrá!I:I, "")) * I145 / 100, ""), IF(F145 = "Réttur", IFERROR(_xlfn.SINGLE(_xlfn.XLOOKUP(G145, Réttabanki!A:A, Réttabanki!AV:AV, "")) * I145 / 100, ""), "")))</f>
        <v/>
      </c>
      <c r="P145" s="26" t="str">
        <f>IF(OR(F145 = "", G145 = "", I145 = ""), "", IF(F145 = "Vara", IFERROR(_xlfn.SINGLE(_xlfn.XLOOKUP(G145, Vöruskrá!A:A, Vöruskrá!J:J, "")) * I145 / 100, ""), IF(F145 = "Réttur", IFERROR(_xlfn.SINGLE(_xlfn.XLOOKUP(G145, Réttabanki!A:A, Réttabanki!AW:AW, "")) * I145 / 100, ""), "")))</f>
        <v/>
      </c>
      <c r="Q145" s="26" t="str">
        <f>IF(OR(F145 = "", G145 = "", I145 = ""), "", IF(F145 = "Vara", IFERROR(_xlfn.SINGLE(_xlfn.XLOOKUP(G145, Vöruskrá!A:A, Vöruskrá!N:N, "")) * I145 / 100, ""), IF(F145 = "Réttur", IFERROR(_xlfn.SINGLE(_xlfn.XLOOKUP(G145, Réttabanki!A:A, Réttabanki!BB:BB, "")) * I145 / 100, ""), "")))</f>
        <v/>
      </c>
    </row>
    <row r="146" spans="1:17">
      <c r="A146" s="32">
        <v>46203</v>
      </c>
      <c r="B146" s="33" t="str">
        <f>IF(A146&lt;&gt;"",CHOOSE(WEEKDAY(A146,2),"Mánudagur","Þriðjudagur","Miðvikudagur","Fimmtudagur","Föstudagur","Laugardagur","Sunnudagur"),IF(#REF!&lt;&gt;"",#REF!,""))</f>
        <v>Þriðjudagur</v>
      </c>
      <c r="C146" s="33">
        <f>IF(A146&lt;&gt;"",WEEKNUM(A146,21),IF(#REF!&lt;&gt;"",#REF!,""))</f>
        <v>27</v>
      </c>
      <c r="D146" s="34" t="s">
        <v>910</v>
      </c>
      <c r="E146" s="34" t="s">
        <v>921</v>
      </c>
      <c r="F146" s="34"/>
      <c r="G146" s="34"/>
      <c r="H146" s="34" t="s">
        <v>1076</v>
      </c>
      <c r="I146" s="35"/>
      <c r="J146" s="35"/>
      <c r="K146" s="36"/>
      <c r="L146" s="26" t="str">
        <f>IF(OR(F146 = "", G146 = ""), "", IF(F146 = "Vara", IFERROR(_xlfn.SINGLE(_xlfn.XLOOKUP(G146, Vöruskrá!A:A, Vöruskrá!E:E, "")), ""), IF(F146 = "Réttur", IFERROR(_xlfn.SINGLE(_xlfn.XLOOKUP(G146, Réttabanki!A:A, Réttabanki!AS:AS, "")), ""), "")))</f>
        <v/>
      </c>
      <c r="M146" s="26" t="str">
        <f>IF(OR(F146 = "", G146 = ""), "", IF(F146 = "Vara", IFERROR(_xlfn.SINGLE(_xlfn.XLOOKUP(G146, Vöruskrá!A:A, Vöruskrá!F:F, "")), ""), IF(F146 = "Réttur", IFERROR(_xlfn.SINGLE(_xlfn.XLOOKUP(G146, Réttabanki!A:A, Réttabanki!AT:AT, "")), ""), "")))</f>
        <v/>
      </c>
      <c r="N146" s="26" t="str">
        <f>IF(OR(F146 = "", G146 = ""), "", IF(F146 = "Vara", IFERROR(_xlfn.SINGLE(_xlfn.XLOOKUP(G146, Vöruskrá!A:A, Vöruskrá!G:G, "")), ""), IF(F146 = "Réttur", IFERROR(_xlfn.SINGLE(_xlfn.XLOOKUP(G146, Réttabanki!A:A, Réttabanki!AU:AU, "")), ""), "")))</f>
        <v/>
      </c>
      <c r="O146" s="26" t="str">
        <f>IF(OR(F146 = "", G146 = "", I146 = ""), "", IF(F146 = "Vara", IFERROR(_xlfn.SINGLE(_xlfn.XLOOKUP(G146, Vöruskrá!A:A, Vöruskrá!I:I, "")) * I146 / 100, ""), IF(F146 = "Réttur", IFERROR(_xlfn.SINGLE(_xlfn.XLOOKUP(G146, Réttabanki!A:A, Réttabanki!AV:AV, "")) * I146 / 100, ""), "")))</f>
        <v/>
      </c>
      <c r="P146" s="26" t="str">
        <f>IF(OR(F146 = "", G146 = "", I146 = ""), "", IF(F146 = "Vara", IFERROR(_xlfn.SINGLE(_xlfn.XLOOKUP(G146, Vöruskrá!A:A, Vöruskrá!J:J, "")) * I146 / 100, ""), IF(F146 = "Réttur", IFERROR(_xlfn.SINGLE(_xlfn.XLOOKUP(G146, Réttabanki!A:A, Réttabanki!AW:AW, "")) * I146 / 100, ""), "")))</f>
        <v/>
      </c>
      <c r="Q146" s="26" t="str">
        <f>IF(OR(F146 = "", G146 = "", I146 = ""), "", IF(F146 = "Vara", IFERROR(_xlfn.SINGLE(_xlfn.XLOOKUP(G146, Vöruskrá!A:A, Vöruskrá!N:N, "")) * I146 / 100, ""), IF(F146 = "Réttur", IFERROR(_xlfn.SINGLE(_xlfn.XLOOKUP(G146, Réttabanki!A:A, Réttabanki!BB:BB, "")) * I146 / 100, ""), "")))</f>
        <v/>
      </c>
    </row>
    <row r="147" spans="1:17">
      <c r="B147" s="33" t="str">
        <f>IF(A147&lt;&gt;"",CHOOSE(WEEKDAY(A147,2),"Mánudagur","Þriðjudagur","Miðvikudagur","Fimmtudagur","Föstudagur","Laugardagur","Sunnudagur"),IF(B146&lt;&gt;"",B146,""))</f>
        <v>Þriðjudagur</v>
      </c>
      <c r="C147" s="33">
        <f>IF(A147&lt;&gt;"",WEEKNUM(A147,21),IF(C146&lt;&gt;"",C146,""))</f>
        <v>27</v>
      </c>
      <c r="D147" s="34" t="s">
        <v>910</v>
      </c>
      <c r="E147" s="34" t="s">
        <v>921</v>
      </c>
      <c r="F147" s="34" t="s">
        <v>913</v>
      </c>
      <c r="G147" s="34" t="s">
        <v>1077</v>
      </c>
      <c r="H147" s="34" t="s">
        <v>771</v>
      </c>
      <c r="I147" s="35">
        <v>160</v>
      </c>
      <c r="J147" s="35">
        <v>180</v>
      </c>
      <c r="K147" s="36"/>
      <c r="L147" s="26" t="str">
        <f>IF(OR(F147 = "", G147 = ""), "", IF(F147 = "Vara", IFERROR(_xlfn.SINGLE(_xlfn.XLOOKUP(G147, Vöruskrá!A:A, Vöruskrá!E:E, "")), ""), IF(F147 = "Réttur", IFERROR(_xlfn.SINGLE(_xlfn.XLOOKUP(G147, Réttabanki!A:A, Réttabanki!AS:AS, "")), ""), "")))</f>
        <v/>
      </c>
      <c r="M147" s="26" t="str">
        <f>IF(OR(F147 = "", G147 = ""), "", IF(F147 = "Vara", IFERROR(_xlfn.SINGLE(_xlfn.XLOOKUP(G147, Vöruskrá!A:A, Vöruskrá!F:F, "")), ""), IF(F147 = "Réttur", IFERROR(_xlfn.SINGLE(_xlfn.XLOOKUP(G147, Réttabanki!A:A, Réttabanki!AT:AT, "")), ""), "")))</f>
        <v/>
      </c>
      <c r="N147" s="26" t="str">
        <f>IF(OR(F147 = "", G147 = ""), "", IF(F147 = "Vara", IFERROR(_xlfn.SINGLE(_xlfn.XLOOKUP(G147, Vöruskrá!A:A, Vöruskrá!G:G, "")), ""), IF(F147 = "Réttur", IFERROR(_xlfn.SINGLE(_xlfn.XLOOKUP(G147, Réttabanki!A:A, Réttabanki!AU:AU, "")), ""), "")))</f>
        <v/>
      </c>
      <c r="O147" s="26" t="str">
        <f>IF(OR(F147 = "", G147 = "", I147 = ""), "", IF(F147 = "Vara", IFERROR(_xlfn.SINGLE(_xlfn.XLOOKUP(G147, Vöruskrá!A:A, Vöruskrá!I:I, "")) * I147 / 100, ""), IF(F147 = "Réttur", IFERROR(_xlfn.SINGLE(_xlfn.XLOOKUP(G147, Réttabanki!A:A, Réttabanki!AV:AV, "")) * I147 / 100, ""), "")))</f>
        <v/>
      </c>
      <c r="P147" s="26" t="str">
        <f>IF(OR(F147 = "", G147 = "", I147 = ""), "", IF(F147 = "Vara", IFERROR(_xlfn.SINGLE(_xlfn.XLOOKUP(G147, Vöruskrá!A:A, Vöruskrá!J:J, "")) * I147 / 100, ""), IF(F147 = "Réttur", IFERROR(_xlfn.SINGLE(_xlfn.XLOOKUP(G147, Réttabanki!A:A, Réttabanki!AW:AW, "")) * I147 / 100, ""), "")))</f>
        <v/>
      </c>
      <c r="Q147" s="26" t="str">
        <f>IF(OR(F147 = "", G147 = "", I147 = ""), "", IF(F147 = "Vara", IFERROR(_xlfn.SINGLE(_xlfn.XLOOKUP(G147, Vöruskrá!A:A, Vöruskrá!N:N, "")) * I147 / 100, ""), IF(F147 = "Réttur", IFERROR(_xlfn.SINGLE(_xlfn.XLOOKUP(G147, Réttabanki!A:A, Réttabanki!BB:BB, "")) * I147 / 100, ""), "")))</f>
        <v/>
      </c>
    </row>
    <row r="148" spans="1:17">
      <c r="B148" s="33" t="str">
        <f>IF(A148&lt;&gt;"",CHOOSE(WEEKDAY(A148,2),"Mánudagur","Þriðjudagur","Miðvikudagur","Fimmtudagur","Föstudagur","Laugardagur","Sunnudagur"),IF(B147&lt;&gt;"",B147,""))</f>
        <v>Þriðjudagur</v>
      </c>
      <c r="C148" s="33">
        <f>IF(A148&lt;&gt;"",WEEKNUM(A148,21),IF(C147&lt;&gt;"",C147,""))</f>
        <v>27</v>
      </c>
      <c r="D148" s="34" t="s">
        <v>910</v>
      </c>
      <c r="E148" s="34" t="s">
        <v>921</v>
      </c>
      <c r="F148" s="34" t="s">
        <v>913</v>
      </c>
      <c r="G148" s="34" t="s">
        <v>1078</v>
      </c>
      <c r="H148" s="34" t="s">
        <v>374</v>
      </c>
      <c r="I148" s="35">
        <v>45</v>
      </c>
      <c r="J148" s="35">
        <v>45</v>
      </c>
      <c r="K148" s="36"/>
      <c r="L148" s="26" t="str">
        <f>IF(OR(F148 = "", G148 = ""), "", IF(F148 = "Vara", IFERROR(_xlfn.SINGLE(_xlfn.XLOOKUP(G148, Vöruskrá!A:A, Vöruskrá!E:E, "")), ""), IF(F148 = "Réttur", IFERROR(_xlfn.SINGLE(_xlfn.XLOOKUP(G148, Réttabanki!A:A, Réttabanki!AS:AS, "")), ""), "")))</f>
        <v/>
      </c>
      <c r="M148" s="26" t="str">
        <f>IF(OR(F148 = "", G148 = ""), "", IF(F148 = "Vara", IFERROR(_xlfn.SINGLE(_xlfn.XLOOKUP(G148, Vöruskrá!A:A, Vöruskrá!F:F, "")), ""), IF(F148 = "Réttur", IFERROR(_xlfn.SINGLE(_xlfn.XLOOKUP(G148, Réttabanki!A:A, Réttabanki!AT:AT, "")), ""), "")))</f>
        <v/>
      </c>
      <c r="N148" s="26" t="str">
        <f>IF(OR(F148 = "", G148 = ""), "", IF(F148 = "Vara", IFERROR(_xlfn.SINGLE(_xlfn.XLOOKUP(G148, Vöruskrá!A:A, Vöruskrá!G:G, "")), ""), IF(F148 = "Réttur", IFERROR(_xlfn.SINGLE(_xlfn.XLOOKUP(G148, Réttabanki!A:A, Réttabanki!AU:AU, "")), ""), "")))</f>
        <v/>
      </c>
      <c r="O148" s="26" t="str">
        <f>IF(OR(F148 = "", G148 = "", I148 = ""), "", IF(F148 = "Vara", IFERROR(_xlfn.SINGLE(_xlfn.XLOOKUP(G148, Vöruskrá!A:A, Vöruskrá!I:I, "")) * I148 / 100, ""), IF(F148 = "Réttur", IFERROR(_xlfn.SINGLE(_xlfn.XLOOKUP(G148, Réttabanki!A:A, Réttabanki!AV:AV, "")) * I148 / 100, ""), "")))</f>
        <v/>
      </c>
      <c r="P148" s="26" t="str">
        <f>IF(OR(F148 = "", G148 = "", I148 = ""), "", IF(F148 = "Vara", IFERROR(_xlfn.SINGLE(_xlfn.XLOOKUP(G148, Vöruskrá!A:A, Vöruskrá!J:J, "")) * I148 / 100, ""), IF(F148 = "Réttur", IFERROR(_xlfn.SINGLE(_xlfn.XLOOKUP(G148, Réttabanki!A:A, Réttabanki!AW:AW, "")) * I148 / 100, ""), "")))</f>
        <v/>
      </c>
      <c r="Q148" s="26" t="str">
        <f>IF(OR(F148 = "", G148 = "", I148 = ""), "", IF(F148 = "Vara", IFERROR(_xlfn.SINGLE(_xlfn.XLOOKUP(G148, Vöruskrá!A:A, Vöruskrá!N:N, "")) * I148 / 100, ""), IF(F148 = "Réttur", IFERROR(_xlfn.SINGLE(_xlfn.XLOOKUP(G148, Réttabanki!A:A, Réttabanki!BB:BB, "")) * I148 / 100, ""), "")))</f>
        <v/>
      </c>
    </row>
    <row r="149" spans="1:17">
      <c r="B149" s="33" t="str">
        <f>IF(A149&lt;&gt;"",CHOOSE(WEEKDAY(A149,2),"Mánudagur","Þriðjudagur","Miðvikudagur","Fimmtudagur","Föstudagur","Laugardagur","Sunnudagur"),IF(B148&lt;&gt;"",B148,""))</f>
        <v>Þriðjudagur</v>
      </c>
      <c r="C149" s="33">
        <f>IF(A149&lt;&gt;"",WEEKNUM(A149,21),IF(C148&lt;&gt;"",C148,""))</f>
        <v>27</v>
      </c>
      <c r="D149" s="34" t="s">
        <v>910</v>
      </c>
      <c r="E149" s="34" t="s">
        <v>927</v>
      </c>
      <c r="F149" s="34"/>
      <c r="G149" s="34"/>
      <c r="H149" s="34" t="s">
        <v>1079</v>
      </c>
      <c r="I149" s="35"/>
      <c r="J149" s="35"/>
      <c r="K149" s="36"/>
      <c r="L149" s="26" t="str">
        <f>IF(OR(F149 = "", G149 = ""), "", IF(F149 = "Vara", IFERROR(_xlfn.SINGLE(_xlfn.XLOOKUP(G149, Vöruskrá!A:A, Vöruskrá!E:E, "")), ""), IF(F149 = "Réttur", IFERROR(_xlfn.SINGLE(_xlfn.XLOOKUP(G149, Réttabanki!A:A, Réttabanki!AS:AS, "")), ""), "")))</f>
        <v/>
      </c>
      <c r="M149" s="26" t="str">
        <f>IF(OR(F149 = "", G149 = ""), "", IF(F149 = "Vara", IFERROR(_xlfn.SINGLE(_xlfn.XLOOKUP(G149, Vöruskrá!A:A, Vöruskrá!F:F, "")), ""), IF(F149 = "Réttur", IFERROR(_xlfn.SINGLE(_xlfn.XLOOKUP(G149, Réttabanki!A:A, Réttabanki!AT:AT, "")), ""), "")))</f>
        <v/>
      </c>
      <c r="N149" s="26" t="str">
        <f>IF(OR(F149 = "", G149 = ""), "", IF(F149 = "Vara", IFERROR(_xlfn.SINGLE(_xlfn.XLOOKUP(G149, Vöruskrá!A:A, Vöruskrá!G:G, "")), ""), IF(F149 = "Réttur", IFERROR(_xlfn.SINGLE(_xlfn.XLOOKUP(G149, Réttabanki!A:A, Réttabanki!AU:AU, "")), ""), "")))</f>
        <v/>
      </c>
      <c r="O149" s="26" t="str">
        <f>IF(OR(F149 = "", G149 = "", I149 = ""), "", IF(F149 = "Vara", IFERROR(_xlfn.SINGLE(_xlfn.XLOOKUP(G149, Vöruskrá!A:A, Vöruskrá!I:I, "")) * I149 / 100, ""), IF(F149 = "Réttur", IFERROR(_xlfn.SINGLE(_xlfn.XLOOKUP(G149, Réttabanki!A:A, Réttabanki!AV:AV, "")) * I149 / 100, ""), "")))</f>
        <v/>
      </c>
      <c r="P149" s="26" t="str">
        <f>IF(OR(F149 = "", G149 = "", I149 = ""), "", IF(F149 = "Vara", IFERROR(_xlfn.SINGLE(_xlfn.XLOOKUP(G149, Vöruskrá!A:A, Vöruskrá!J:J, "")) * I149 / 100, ""), IF(F149 = "Réttur", IFERROR(_xlfn.SINGLE(_xlfn.XLOOKUP(G149, Réttabanki!A:A, Réttabanki!AW:AW, "")) * I149 / 100, ""), "")))</f>
        <v/>
      </c>
      <c r="Q149" s="26" t="str">
        <f>IF(OR(F149 = "", G149 = "", I149 = ""), "", IF(F149 = "Vara", IFERROR(_xlfn.SINGLE(_xlfn.XLOOKUP(G149, Vöruskrá!A:A, Vöruskrá!N:N, "")) * I149 / 100, ""), IF(F149 = "Réttur", IFERROR(_xlfn.SINGLE(_xlfn.XLOOKUP(G149, Réttabanki!A:A, Réttabanki!BB:BB, "")) * I149 / 100, ""), "")))</f>
        <v/>
      </c>
    </row>
    <row r="150" spans="1:17">
      <c r="B150" s="33" t="str">
        <f>IF(A150&lt;&gt;"",CHOOSE(WEEKDAY(A150,2),"Mánudagur","Þriðjudagur","Miðvikudagur","Fimmtudagur","Föstudagur","Laugardagur","Sunnudagur"),IF(B149&lt;&gt;"",B149,""))</f>
        <v>Þriðjudagur</v>
      </c>
      <c r="C150" s="33">
        <f>IF(A150&lt;&gt;"",WEEKNUM(A150,21),IF(C149&lt;&gt;"",C149,""))</f>
        <v>27</v>
      </c>
      <c r="D150" s="34" t="s">
        <v>910</v>
      </c>
      <c r="E150" s="34" t="s">
        <v>927</v>
      </c>
      <c r="F150" s="34" t="s">
        <v>913</v>
      </c>
      <c r="G150" s="34" t="s">
        <v>1078</v>
      </c>
      <c r="H150" s="34" t="s">
        <v>374</v>
      </c>
      <c r="I150" s="35">
        <v>45</v>
      </c>
      <c r="J150" s="35">
        <v>45</v>
      </c>
      <c r="K150" s="36"/>
      <c r="L150" s="26" t="str">
        <f>IF(OR(F150 = "", G150 = ""), "", IF(F150 = "Vara", IFERROR(_xlfn.SINGLE(_xlfn.XLOOKUP(G150, Vöruskrá!A:A, Vöruskrá!E:E, "")), ""), IF(F150 = "Réttur", IFERROR(_xlfn.SINGLE(_xlfn.XLOOKUP(G150, Réttabanki!A:A, Réttabanki!AS:AS, "")), ""), "")))</f>
        <v/>
      </c>
      <c r="M150" s="26" t="str">
        <f>IF(OR(F150 = "", G150 = ""), "", IF(F150 = "Vara", IFERROR(_xlfn.SINGLE(_xlfn.XLOOKUP(G150, Vöruskrá!A:A, Vöruskrá!F:F, "")), ""), IF(F150 = "Réttur", IFERROR(_xlfn.SINGLE(_xlfn.XLOOKUP(G150, Réttabanki!A:A, Réttabanki!AT:AT, "")), ""), "")))</f>
        <v/>
      </c>
      <c r="N150" s="26" t="str">
        <f>IF(OR(F150 = "", G150 = ""), "", IF(F150 = "Vara", IFERROR(_xlfn.SINGLE(_xlfn.XLOOKUP(G150, Vöruskrá!A:A, Vöruskrá!G:G, "")), ""), IF(F150 = "Réttur", IFERROR(_xlfn.SINGLE(_xlfn.XLOOKUP(G150, Réttabanki!A:A, Réttabanki!AU:AU, "")), ""), "")))</f>
        <v/>
      </c>
      <c r="O150" s="26" t="str">
        <f>IF(OR(F150 = "", G150 = "", I150 = ""), "", IF(F150 = "Vara", IFERROR(_xlfn.SINGLE(_xlfn.XLOOKUP(G150, Vöruskrá!A:A, Vöruskrá!I:I, "")) * I150 / 100, ""), IF(F150 = "Réttur", IFERROR(_xlfn.SINGLE(_xlfn.XLOOKUP(G150, Réttabanki!A:A, Réttabanki!AV:AV, "")) * I150 / 100, ""), "")))</f>
        <v/>
      </c>
      <c r="P150" s="26" t="str">
        <f>IF(OR(F150 = "", G150 = "", I150 = ""), "", IF(F150 = "Vara", IFERROR(_xlfn.SINGLE(_xlfn.XLOOKUP(G150, Vöruskrá!A:A, Vöruskrá!J:J, "")) * I150 / 100, ""), IF(F150 = "Réttur", IFERROR(_xlfn.SINGLE(_xlfn.XLOOKUP(G150, Réttabanki!A:A, Réttabanki!AW:AW, "")) * I150 / 100, ""), "")))</f>
        <v/>
      </c>
      <c r="Q150" s="26" t="str">
        <f>IF(OR(F150 = "", G150 = "", I150 = ""), "", IF(F150 = "Vara", IFERROR(_xlfn.SINGLE(_xlfn.XLOOKUP(G150, Vöruskrá!A:A, Vöruskrá!N:N, "")) * I150 / 100, ""), IF(F150 = "Réttur", IFERROR(_xlfn.SINGLE(_xlfn.XLOOKUP(G150, Réttabanki!A:A, Réttabanki!BB:BB, "")) * I150 / 100, ""), "")))</f>
        <v/>
      </c>
    </row>
    <row r="151" spans="1:17">
      <c r="B151" s="33" t="str">
        <f>IF(A151&lt;&gt;"",CHOOSE(WEEKDAY(A151,2),"Mánudagur","Þriðjudagur","Miðvikudagur","Fimmtudagur","Föstudagur","Laugardagur","Sunnudagur"),IF(B150&lt;&gt;"",B150,""))</f>
        <v>Þriðjudagur</v>
      </c>
      <c r="C151" s="33">
        <f>IF(A151&lt;&gt;"",WEEKNUM(A151,21),IF(C150&lt;&gt;"",C150,""))</f>
        <v>27</v>
      </c>
      <c r="D151" s="34" t="s">
        <v>910</v>
      </c>
      <c r="E151" s="34" t="s">
        <v>933</v>
      </c>
      <c r="F151" s="34"/>
      <c r="G151" s="34"/>
      <c r="H151" s="34" t="s">
        <v>1080</v>
      </c>
      <c r="I151" s="35"/>
      <c r="J151" s="35"/>
      <c r="K151" s="36"/>
      <c r="L151" s="26" t="str">
        <f>IF(OR(F151 = "", G151 = ""), "", IF(F151 = "Vara", IFERROR(_xlfn.SINGLE(_xlfn.XLOOKUP(G151, Vöruskrá!A:A, Vöruskrá!E:E, "")), ""), IF(F151 = "Réttur", IFERROR(_xlfn.SINGLE(_xlfn.XLOOKUP(G151, Réttabanki!A:A, Réttabanki!AS:AS, "")), ""), "")))</f>
        <v/>
      </c>
      <c r="M151" s="26" t="str">
        <f>IF(OR(F151 = "", G151 = ""), "", IF(F151 = "Vara", IFERROR(_xlfn.SINGLE(_xlfn.XLOOKUP(G151, Vöruskrá!A:A, Vöruskrá!F:F, "")), ""), IF(F151 = "Réttur", IFERROR(_xlfn.SINGLE(_xlfn.XLOOKUP(G151, Réttabanki!A:A, Réttabanki!AT:AT, "")), ""), "")))</f>
        <v/>
      </c>
      <c r="N151" s="26" t="str">
        <f>IF(OR(F151 = "", G151 = ""), "", IF(F151 = "Vara", IFERROR(_xlfn.SINGLE(_xlfn.XLOOKUP(G151, Vöruskrá!A:A, Vöruskrá!G:G, "")), ""), IF(F151 = "Réttur", IFERROR(_xlfn.SINGLE(_xlfn.XLOOKUP(G151, Réttabanki!A:A, Réttabanki!AU:AU, "")), ""), "")))</f>
        <v/>
      </c>
      <c r="O151" s="26" t="str">
        <f>IF(OR(F151 = "", G151 = "", I151 = ""), "", IF(F151 = "Vara", IFERROR(_xlfn.SINGLE(_xlfn.XLOOKUP(G151, Vöruskrá!A:A, Vöruskrá!I:I, "")) * I151 / 100, ""), IF(F151 = "Réttur", IFERROR(_xlfn.SINGLE(_xlfn.XLOOKUP(G151, Réttabanki!A:A, Réttabanki!AV:AV, "")) * I151 / 100, ""), "")))</f>
        <v/>
      </c>
      <c r="P151" s="26" t="str">
        <f>IF(OR(F151 = "", G151 = "", I151 = ""), "", IF(F151 = "Vara", IFERROR(_xlfn.SINGLE(_xlfn.XLOOKUP(G151, Vöruskrá!A:A, Vöruskrá!J:J, "")) * I151 / 100, ""), IF(F151 = "Réttur", IFERROR(_xlfn.SINGLE(_xlfn.XLOOKUP(G151, Réttabanki!A:A, Réttabanki!AW:AW, "")) * I151 / 100, ""), "")))</f>
        <v/>
      </c>
      <c r="Q151" s="26" t="str">
        <f>IF(OR(F151 = "", G151 = "", I151 = ""), "", IF(F151 = "Vara", IFERROR(_xlfn.SINGLE(_xlfn.XLOOKUP(G151, Vöruskrá!A:A, Vöruskrá!N:N, "")) * I151 / 100, ""), IF(F151 = "Réttur", IFERROR(_xlfn.SINGLE(_xlfn.XLOOKUP(G151, Réttabanki!A:A, Réttabanki!BB:BB, "")) * I151 / 100, ""), "")))</f>
        <v/>
      </c>
    </row>
    <row r="152" spans="1:17">
      <c r="B152" s="33" t="str">
        <f>IF(A152&lt;&gt;"",CHOOSE(WEEKDAY(A152,2),"Mánudagur","Þriðjudagur","Miðvikudagur","Fimmtudagur","Föstudagur","Laugardagur","Sunnudagur"),IF(B151&lt;&gt;"",B151,""))</f>
        <v>Þriðjudagur</v>
      </c>
      <c r="C152" s="33">
        <f>IF(A152&lt;&gt;"",WEEKNUM(A152,21),IF(C151&lt;&gt;"",C151,""))</f>
        <v>27</v>
      </c>
      <c r="D152" s="34" t="s">
        <v>910</v>
      </c>
      <c r="E152" s="34" t="s">
        <v>933</v>
      </c>
      <c r="F152" s="34" t="s">
        <v>913</v>
      </c>
      <c r="G152" s="34" t="s">
        <v>1008</v>
      </c>
      <c r="H152" s="34" t="s">
        <v>704</v>
      </c>
      <c r="I152" s="35">
        <v>20</v>
      </c>
      <c r="J152" s="35">
        <v>30</v>
      </c>
      <c r="K152" s="36"/>
      <c r="L152" s="26" t="str">
        <f>IF(OR(F152 = "", G152 = ""), "", IF(F152 = "Vara", IFERROR(_xlfn.SINGLE(_xlfn.XLOOKUP(G152, Vöruskrá!A:A, Vöruskrá!E:E, "")), ""), IF(F152 = "Réttur", IFERROR(_xlfn.SINGLE(_xlfn.XLOOKUP(G152, Réttabanki!A:A, Réttabanki!AS:AS, "")), ""), "")))</f>
        <v/>
      </c>
      <c r="M152" s="26" t="str">
        <f>IF(OR(F152 = "", G152 = ""), "", IF(F152 = "Vara", IFERROR(_xlfn.SINGLE(_xlfn.XLOOKUP(G152, Vöruskrá!A:A, Vöruskrá!F:F, "")), ""), IF(F152 = "Réttur", IFERROR(_xlfn.SINGLE(_xlfn.XLOOKUP(G152, Réttabanki!A:A, Réttabanki!AT:AT, "")), ""), "")))</f>
        <v/>
      </c>
      <c r="N152" s="26" t="str">
        <f>IF(OR(F152 = "", G152 = ""), "", IF(F152 = "Vara", IFERROR(_xlfn.SINGLE(_xlfn.XLOOKUP(G152, Vöruskrá!A:A, Vöruskrá!G:G, "")), ""), IF(F152 = "Réttur", IFERROR(_xlfn.SINGLE(_xlfn.XLOOKUP(G152, Réttabanki!A:A, Réttabanki!AU:AU, "")), ""), "")))</f>
        <v/>
      </c>
      <c r="O152" s="26" t="str">
        <f>IF(OR(F152 = "", G152 = "", I152 = ""), "", IF(F152 = "Vara", IFERROR(_xlfn.SINGLE(_xlfn.XLOOKUP(G152, Vöruskrá!A:A, Vöruskrá!I:I, "")) * I152 / 100, ""), IF(F152 = "Réttur", IFERROR(_xlfn.SINGLE(_xlfn.XLOOKUP(G152, Réttabanki!A:A, Réttabanki!AV:AV, "")) * I152 / 100, ""), "")))</f>
        <v/>
      </c>
      <c r="P152" s="26" t="str">
        <f>IF(OR(F152 = "", G152 = "", I152 = ""), "", IF(F152 = "Vara", IFERROR(_xlfn.SINGLE(_xlfn.XLOOKUP(G152, Vöruskrá!A:A, Vöruskrá!J:J, "")) * I152 / 100, ""), IF(F152 = "Réttur", IFERROR(_xlfn.SINGLE(_xlfn.XLOOKUP(G152, Réttabanki!A:A, Réttabanki!AW:AW, "")) * I152 / 100, ""), "")))</f>
        <v/>
      </c>
      <c r="Q152" s="26" t="str">
        <f>IF(OR(F152 = "", G152 = "", I152 = ""), "", IF(F152 = "Vara", IFERROR(_xlfn.SINGLE(_xlfn.XLOOKUP(G152, Vöruskrá!A:A, Vöruskrá!N:N, "")) * I152 / 100, ""), IF(F152 = "Réttur", IFERROR(_xlfn.SINGLE(_xlfn.XLOOKUP(G152, Réttabanki!A:A, Réttabanki!BB:BB, "")) * I152 / 100, ""), "")))</f>
        <v/>
      </c>
    </row>
    <row r="153" spans="1:17">
      <c r="B153" s="33" t="str">
        <f>IF(A153&lt;&gt;"",CHOOSE(WEEKDAY(A153,2),"Mánudagur","Þriðjudagur","Miðvikudagur","Fimmtudagur","Föstudagur","Laugardagur","Sunnudagur"),IF(B152&lt;&gt;"",B152,""))</f>
        <v>Þriðjudagur</v>
      </c>
      <c r="C153" s="33">
        <f>IF(A153&lt;&gt;"",WEEKNUM(A153,21),IF(C152&lt;&gt;"",C152,""))</f>
        <v>27</v>
      </c>
      <c r="D153" s="34" t="s">
        <v>910</v>
      </c>
      <c r="E153" s="34" t="s">
        <v>941</v>
      </c>
      <c r="F153" s="34"/>
      <c r="G153" s="34"/>
      <c r="H153" s="34" t="s">
        <v>1081</v>
      </c>
      <c r="I153" s="35"/>
      <c r="J153" s="35"/>
      <c r="K153" s="36"/>
      <c r="L153" s="26" t="str">
        <f>IF(OR(F153 = "", G153 = ""), "", IF(F153 = "Vara", IFERROR(_xlfn.SINGLE(_xlfn.XLOOKUP(G153, Vöruskrá!A:A, Vöruskrá!E:E, "")), ""), IF(F153 = "Réttur", IFERROR(_xlfn.SINGLE(_xlfn.XLOOKUP(G153, Réttabanki!A:A, Réttabanki!AS:AS, "")), ""), "")))</f>
        <v/>
      </c>
      <c r="M153" s="26" t="str">
        <f>IF(OR(F153 = "", G153 = ""), "", IF(F153 = "Vara", IFERROR(_xlfn.SINGLE(_xlfn.XLOOKUP(G153, Vöruskrá!A:A, Vöruskrá!F:F, "")), ""), IF(F153 = "Réttur", IFERROR(_xlfn.SINGLE(_xlfn.XLOOKUP(G153, Réttabanki!A:A, Réttabanki!AT:AT, "")), ""), "")))</f>
        <v/>
      </c>
      <c r="N153" s="26" t="str">
        <f>IF(OR(F153 = "", G153 = ""), "", IF(F153 = "Vara", IFERROR(_xlfn.SINGLE(_xlfn.XLOOKUP(G153, Vöruskrá!A:A, Vöruskrá!G:G, "")), ""), IF(F153 = "Réttur", IFERROR(_xlfn.SINGLE(_xlfn.XLOOKUP(G153, Réttabanki!A:A, Réttabanki!AU:AU, "")), ""), "")))</f>
        <v/>
      </c>
      <c r="O153" s="26" t="str">
        <f>IF(OR(F153 = "", G153 = "", I153 = ""), "", IF(F153 = "Vara", IFERROR(_xlfn.SINGLE(_xlfn.XLOOKUP(G153, Vöruskrá!A:A, Vöruskrá!I:I, "")) * I153 / 100, ""), IF(F153 = "Réttur", IFERROR(_xlfn.SINGLE(_xlfn.XLOOKUP(G153, Réttabanki!A:A, Réttabanki!AV:AV, "")) * I153 / 100, ""), "")))</f>
        <v/>
      </c>
      <c r="P153" s="26" t="str">
        <f>IF(OR(F153 = "", G153 = "", I153 = ""), "", IF(F153 = "Vara", IFERROR(_xlfn.SINGLE(_xlfn.XLOOKUP(G153, Vöruskrá!A:A, Vöruskrá!J:J, "")) * I153 / 100, ""), IF(F153 = "Réttur", IFERROR(_xlfn.SINGLE(_xlfn.XLOOKUP(G153, Réttabanki!A:A, Réttabanki!AW:AW, "")) * I153 / 100, ""), "")))</f>
        <v/>
      </c>
      <c r="Q153" s="26" t="str">
        <f>IF(OR(F153 = "", G153 = "", I153 = ""), "", IF(F153 = "Vara", IFERROR(_xlfn.SINGLE(_xlfn.XLOOKUP(G153, Vöruskrá!A:A, Vöruskrá!N:N, "")) * I153 / 100, ""), IF(F153 = "Réttur", IFERROR(_xlfn.SINGLE(_xlfn.XLOOKUP(G153, Réttabanki!A:A, Réttabanki!BB:BB, "")) * I153 / 100, ""), "")))</f>
        <v/>
      </c>
    </row>
    <row r="154" spans="1:17">
      <c r="B154" s="33" t="str">
        <f>IF(A154&lt;&gt;"",CHOOSE(WEEKDAY(A154,2),"Mánudagur","Þriðjudagur","Miðvikudagur","Fimmtudagur","Föstudagur","Laugardagur","Sunnudagur"),IF(B153&lt;&gt;"",B153,""))</f>
        <v>Þriðjudagur</v>
      </c>
      <c r="C154" s="33">
        <f>IF(A154&lt;&gt;"",WEEKNUM(A154,21),IF(C153&lt;&gt;"",C153,""))</f>
        <v>27</v>
      </c>
      <c r="D154" s="34" t="s">
        <v>910</v>
      </c>
      <c r="E154" s="34" t="s">
        <v>941</v>
      </c>
      <c r="F154" s="34" t="s">
        <v>913</v>
      </c>
      <c r="G154" s="34" t="s">
        <v>943</v>
      </c>
      <c r="H154" s="34" t="s">
        <v>944</v>
      </c>
      <c r="I154" s="35">
        <v>40</v>
      </c>
      <c r="J154" s="35">
        <v>40</v>
      </c>
      <c r="K154" s="36"/>
      <c r="L154" s="26" t="str">
        <f>IF(OR(F154 = "", G154 = ""), "", IF(F154 = "Vara", IFERROR(_xlfn.SINGLE(_xlfn.XLOOKUP(G154, Vöruskrá!A:A, Vöruskrá!E:E, "")), ""), IF(F154 = "Réttur", IFERROR(_xlfn.SINGLE(_xlfn.XLOOKUP(G154, Réttabanki!A:A, Réttabanki!AS:AS, "")), ""), "")))</f>
        <v/>
      </c>
      <c r="M154" s="26" t="str">
        <f>IF(OR(F154 = "", G154 = ""), "", IF(F154 = "Vara", IFERROR(_xlfn.SINGLE(_xlfn.XLOOKUP(G154, Vöruskrá!A:A, Vöruskrá!F:F, "")), ""), IF(F154 = "Réttur", IFERROR(_xlfn.SINGLE(_xlfn.XLOOKUP(G154, Réttabanki!A:A, Réttabanki!AT:AT, "")), ""), "")))</f>
        <v/>
      </c>
      <c r="N154" s="26" t="str">
        <f>IF(OR(F154 = "", G154 = ""), "", IF(F154 = "Vara", IFERROR(_xlfn.SINGLE(_xlfn.XLOOKUP(G154, Vöruskrá!A:A, Vöruskrá!G:G, "")), ""), IF(F154 = "Réttur", IFERROR(_xlfn.SINGLE(_xlfn.XLOOKUP(G154, Réttabanki!A:A, Réttabanki!AU:AU, "")), ""), "")))</f>
        <v/>
      </c>
      <c r="O154" s="26" t="str">
        <f>IF(OR(F154 = "", G154 = "", I154 = ""), "", IF(F154 = "Vara", IFERROR(_xlfn.SINGLE(_xlfn.XLOOKUP(G154, Vöruskrá!A:A, Vöruskrá!I:I, "")) * I154 / 100, ""), IF(F154 = "Réttur", IFERROR(_xlfn.SINGLE(_xlfn.XLOOKUP(G154, Réttabanki!A:A, Réttabanki!AV:AV, "")) * I154 / 100, ""), "")))</f>
        <v/>
      </c>
      <c r="P154" s="26" t="str">
        <f>IF(OR(F154 = "", G154 = "", I154 = ""), "", IF(F154 = "Vara", IFERROR(_xlfn.SINGLE(_xlfn.XLOOKUP(G154, Vöruskrá!A:A, Vöruskrá!J:J, "")) * I154 / 100, ""), IF(F154 = "Réttur", IFERROR(_xlfn.SINGLE(_xlfn.XLOOKUP(G154, Réttabanki!A:A, Réttabanki!AW:AW, "")) * I154 / 100, ""), "")))</f>
        <v/>
      </c>
      <c r="Q154" s="26" t="str">
        <f>IF(OR(F154 = "", G154 = "", I154 = ""), "", IF(F154 = "Vara", IFERROR(_xlfn.SINGLE(_xlfn.XLOOKUP(G154, Vöruskrá!A:A, Vöruskrá!N:N, "")) * I154 / 100, ""), IF(F154 = "Réttur", IFERROR(_xlfn.SINGLE(_xlfn.XLOOKUP(G154, Réttabanki!A:A, Réttabanki!BB:BB, "")) * I154 / 100, ""), "")))</f>
        <v/>
      </c>
    </row>
    <row r="155" spans="1:17">
      <c r="B155" s="33" t="str">
        <f>IF(A155&lt;&gt;"",CHOOSE(WEEKDAY(A155,2),"Mánudagur","Þriðjudagur","Miðvikudagur","Fimmtudagur","Föstudagur","Laugardagur","Sunnudagur"),IF(B154&lt;&gt;"",B154,""))</f>
        <v>Þriðjudagur</v>
      </c>
      <c r="C155" s="33">
        <f>IF(A155&lt;&gt;"",WEEKNUM(A155,21),IF(C154&lt;&gt;"",C154,""))</f>
        <v>27</v>
      </c>
      <c r="D155" s="34" t="s">
        <v>910</v>
      </c>
      <c r="E155" s="34" t="s">
        <v>941</v>
      </c>
      <c r="F155" s="34" t="s">
        <v>913</v>
      </c>
      <c r="G155" s="34" t="s">
        <v>975</v>
      </c>
      <c r="H155" s="34" t="s">
        <v>976</v>
      </c>
      <c r="I155" s="35">
        <v>20</v>
      </c>
      <c r="J155" s="35">
        <v>20</v>
      </c>
      <c r="K155" s="36"/>
      <c r="L155" s="26" t="str">
        <f>IF(OR(F155 = "", G155 = ""), "", IF(F155 = "Vara", IFERROR(_xlfn.SINGLE(_xlfn.XLOOKUP(G155, Vöruskrá!A:A, Vöruskrá!E:E, "")), ""), IF(F155 = "Réttur", IFERROR(_xlfn.SINGLE(_xlfn.XLOOKUP(G155, Réttabanki!A:A, Réttabanki!AS:AS, "")), ""), "")))</f>
        <v/>
      </c>
      <c r="M155" s="26" t="str">
        <f>IF(OR(F155 = "", G155 = ""), "", IF(F155 = "Vara", IFERROR(_xlfn.SINGLE(_xlfn.XLOOKUP(G155, Vöruskrá!A:A, Vöruskrá!F:F, "")), ""), IF(F155 = "Réttur", IFERROR(_xlfn.SINGLE(_xlfn.XLOOKUP(G155, Réttabanki!A:A, Réttabanki!AT:AT, "")), ""), "")))</f>
        <v/>
      </c>
      <c r="N155" s="26" t="str">
        <f>IF(OR(F155 = "", G155 = ""), "", IF(F155 = "Vara", IFERROR(_xlfn.SINGLE(_xlfn.XLOOKUP(G155, Vöruskrá!A:A, Vöruskrá!G:G, "")), ""), IF(F155 = "Réttur", IFERROR(_xlfn.SINGLE(_xlfn.XLOOKUP(G155, Réttabanki!A:A, Réttabanki!AU:AU, "")), ""), "")))</f>
        <v/>
      </c>
      <c r="O155" s="26" t="str">
        <f>IF(OR(F155 = "", G155 = "", I155 = ""), "", IF(F155 = "Vara", IFERROR(_xlfn.SINGLE(_xlfn.XLOOKUP(G155, Vöruskrá!A:A, Vöruskrá!I:I, "")) * I155 / 100, ""), IF(F155 = "Réttur", IFERROR(_xlfn.SINGLE(_xlfn.XLOOKUP(G155, Réttabanki!A:A, Réttabanki!AV:AV, "")) * I155 / 100, ""), "")))</f>
        <v/>
      </c>
      <c r="P155" s="26" t="str">
        <f>IF(OR(F155 = "", G155 = "", I155 = ""), "", IF(F155 = "Vara", IFERROR(_xlfn.SINGLE(_xlfn.XLOOKUP(G155, Vöruskrá!A:A, Vöruskrá!J:J, "")) * I155 / 100, ""), IF(F155 = "Réttur", IFERROR(_xlfn.SINGLE(_xlfn.XLOOKUP(G155, Réttabanki!A:A, Réttabanki!AW:AW, "")) * I155 / 100, ""), "")))</f>
        <v/>
      </c>
      <c r="Q155" s="26" t="str">
        <f>IF(OR(F155 = "", G155 = "", I155 = ""), "", IF(F155 = "Vara", IFERROR(_xlfn.SINGLE(_xlfn.XLOOKUP(G155, Vöruskrá!A:A, Vöruskrá!N:N, "")) * I155 / 100, ""), IF(F155 = "Réttur", IFERROR(_xlfn.SINGLE(_xlfn.XLOOKUP(G155, Réttabanki!A:A, Réttabanki!BB:BB, "")) * I155 / 100, ""), "")))</f>
        <v/>
      </c>
    </row>
    <row r="156" spans="1:17">
      <c r="A156" s="32">
        <v>46204</v>
      </c>
      <c r="B156" s="33" t="str">
        <f>IF(A156&lt;&gt;"",CHOOSE(WEEKDAY(A156,2),"Mánudagur","Þriðjudagur","Miðvikudagur","Fimmtudagur","Föstudagur","Laugardagur","Sunnudagur"),IF(#REF!&lt;&gt;"",#REF!,""))</f>
        <v>Miðvikudagur</v>
      </c>
      <c r="C156" s="33">
        <f>IF(A156&lt;&gt;"",WEEKNUM(A156,21),IF(#REF!&lt;&gt;"",#REF!,""))</f>
        <v>27</v>
      </c>
      <c r="D156" s="34" t="s">
        <v>910</v>
      </c>
      <c r="E156" s="34" t="s">
        <v>921</v>
      </c>
      <c r="F156" s="34"/>
      <c r="G156" s="34"/>
      <c r="H156" s="34" t="s">
        <v>1082</v>
      </c>
      <c r="I156" s="35"/>
      <c r="J156" s="35"/>
      <c r="K156" s="36"/>
      <c r="L156" s="26" t="str">
        <f>IF(OR(F156 = "", G156 = ""), "", IF(F156 = "Vara", IFERROR(_xlfn.SINGLE(_xlfn.XLOOKUP(G156, Vöruskrá!A:A, Vöruskrá!E:E, "")), ""), IF(F156 = "Réttur", IFERROR(_xlfn.SINGLE(_xlfn.XLOOKUP(G156, Réttabanki!A:A, Réttabanki!AS:AS, "")), ""), "")))</f>
        <v/>
      </c>
      <c r="M156" s="26" t="str">
        <f>IF(OR(F156 = "", G156 = ""), "", IF(F156 = "Vara", IFERROR(_xlfn.SINGLE(_xlfn.XLOOKUP(G156, Vöruskrá!A:A, Vöruskrá!F:F, "")), ""), IF(F156 = "Réttur", IFERROR(_xlfn.SINGLE(_xlfn.XLOOKUP(G156, Réttabanki!A:A, Réttabanki!AT:AT, "")), ""), "")))</f>
        <v/>
      </c>
      <c r="N156" s="26" t="str">
        <f>IF(OR(F156 = "", G156 = ""), "", IF(F156 = "Vara", IFERROR(_xlfn.SINGLE(_xlfn.XLOOKUP(G156, Vöruskrá!A:A, Vöruskrá!G:G, "")), ""), IF(F156 = "Réttur", IFERROR(_xlfn.SINGLE(_xlfn.XLOOKUP(G156, Réttabanki!A:A, Réttabanki!AU:AU, "")), ""), "")))</f>
        <v/>
      </c>
      <c r="O156" s="26" t="str">
        <f>IF(OR(F156 = "", G156 = "", I156 = ""), "", IF(F156 = "Vara", IFERROR(_xlfn.SINGLE(_xlfn.XLOOKUP(G156, Vöruskrá!A:A, Vöruskrá!I:I, "")) * I156 / 100, ""), IF(F156 = "Réttur", IFERROR(_xlfn.SINGLE(_xlfn.XLOOKUP(G156, Réttabanki!A:A, Réttabanki!AV:AV, "")) * I156 / 100, ""), "")))</f>
        <v/>
      </c>
      <c r="P156" s="26" t="str">
        <f>IF(OR(F156 = "", G156 = "", I156 = ""), "", IF(F156 = "Vara", IFERROR(_xlfn.SINGLE(_xlfn.XLOOKUP(G156, Vöruskrá!A:A, Vöruskrá!J:J, "")) * I156 / 100, ""), IF(F156 = "Réttur", IFERROR(_xlfn.SINGLE(_xlfn.XLOOKUP(G156, Réttabanki!A:A, Réttabanki!AW:AW, "")) * I156 / 100, ""), "")))</f>
        <v/>
      </c>
      <c r="Q156" s="26" t="str">
        <f>IF(OR(F156 = "", G156 = "", I156 = ""), "", IF(F156 = "Vara", IFERROR(_xlfn.SINGLE(_xlfn.XLOOKUP(G156, Vöruskrá!A:A, Vöruskrá!N:N, "")) * I156 / 100, ""), IF(F156 = "Réttur", IFERROR(_xlfn.SINGLE(_xlfn.XLOOKUP(G156, Réttabanki!A:A, Réttabanki!BB:BB, "")) * I156 / 100, ""), "")))</f>
        <v/>
      </c>
    </row>
    <row r="157" spans="1:17">
      <c r="B157" s="33" t="str">
        <f>IF(A157&lt;&gt;"",CHOOSE(WEEKDAY(A157,2),"Mánudagur","Þriðjudagur","Miðvikudagur","Fimmtudagur","Föstudagur","Laugardagur","Sunnudagur"),IF(B156&lt;&gt;"",B156,""))</f>
        <v>Miðvikudagur</v>
      </c>
      <c r="C157" s="33">
        <f>IF(A157&lt;&gt;"",WEEKNUM(A157,21),IF(C156&lt;&gt;"",C156,""))</f>
        <v>27</v>
      </c>
      <c r="D157" s="34" t="s">
        <v>910</v>
      </c>
      <c r="E157" s="34" t="s">
        <v>921</v>
      </c>
      <c r="F157" s="34" t="s">
        <v>913</v>
      </c>
      <c r="G157" s="34" t="s">
        <v>894</v>
      </c>
      <c r="H157" s="34" t="s">
        <v>1083</v>
      </c>
      <c r="I157" s="35">
        <v>160</v>
      </c>
      <c r="J157" s="35">
        <v>180</v>
      </c>
      <c r="K157" s="36"/>
      <c r="L157" s="26" t="str">
        <f>IF(OR(F157 = "", G157 = ""), "", IF(F157 = "Vara", IFERROR(_xlfn.SINGLE(_xlfn.XLOOKUP(G157, Vöruskrá!A:A, Vöruskrá!E:E, "")), ""), IF(F157 = "Réttur", IFERROR(_xlfn.SINGLE(_xlfn.XLOOKUP(G157, Réttabanki!A:A, Réttabanki!AS:AS, "")), ""), "")))</f>
        <v/>
      </c>
      <c r="M157" s="26" t="str">
        <f>IF(OR(F157 = "", G157 = ""), "", IF(F157 = "Vara", IFERROR(_xlfn.SINGLE(_xlfn.XLOOKUP(G157, Vöruskrá!A:A, Vöruskrá!F:F, "")), ""), IF(F157 = "Réttur", IFERROR(_xlfn.SINGLE(_xlfn.XLOOKUP(G157, Réttabanki!A:A, Réttabanki!AT:AT, "")), ""), "")))</f>
        <v/>
      </c>
      <c r="N157" s="26" t="str">
        <f>IF(OR(F157 = "", G157 = ""), "", IF(F157 = "Vara", IFERROR(_xlfn.SINGLE(_xlfn.XLOOKUP(G157, Vöruskrá!A:A, Vöruskrá!G:G, "")), ""), IF(F157 = "Réttur", IFERROR(_xlfn.SINGLE(_xlfn.XLOOKUP(G157, Réttabanki!A:A, Réttabanki!AU:AU, "")), ""), "")))</f>
        <v/>
      </c>
      <c r="O157" s="26" t="str">
        <f>IF(OR(F157 = "", G157 = "", I157 = ""), "", IF(F157 = "Vara", IFERROR(_xlfn.SINGLE(_xlfn.XLOOKUP(G157, Vöruskrá!A:A, Vöruskrá!I:I, "")) * I157 / 100, ""), IF(F157 = "Réttur", IFERROR(_xlfn.SINGLE(_xlfn.XLOOKUP(G157, Réttabanki!A:A, Réttabanki!AV:AV, "")) * I157 / 100, ""), "")))</f>
        <v/>
      </c>
      <c r="P157" s="26" t="str">
        <f>IF(OR(F157 = "", G157 = "", I157 = ""), "", IF(F157 = "Vara", IFERROR(_xlfn.SINGLE(_xlfn.XLOOKUP(G157, Vöruskrá!A:A, Vöruskrá!J:J, "")) * I157 / 100, ""), IF(F157 = "Réttur", IFERROR(_xlfn.SINGLE(_xlfn.XLOOKUP(G157, Réttabanki!A:A, Réttabanki!AW:AW, "")) * I157 / 100, ""), "")))</f>
        <v/>
      </c>
      <c r="Q157" s="26" t="str">
        <f>IF(OR(F157 = "", G157 = "", I157 = ""), "", IF(F157 = "Vara", IFERROR(_xlfn.SINGLE(_xlfn.XLOOKUP(G157, Vöruskrá!A:A, Vöruskrá!N:N, "")) * I157 / 100, ""), IF(F157 = "Réttur", IFERROR(_xlfn.SINGLE(_xlfn.XLOOKUP(G157, Réttabanki!A:A, Réttabanki!BB:BB, "")) * I157 / 100, ""), "")))</f>
        <v/>
      </c>
    </row>
    <row r="158" spans="1:17">
      <c r="B158" s="33" t="str">
        <f>IF(A158&lt;&gt;"",CHOOSE(WEEKDAY(A158,2),"Mánudagur","Þriðjudagur","Miðvikudagur","Fimmtudagur","Föstudagur","Laugardagur","Sunnudagur"),IF(B157&lt;&gt;"",B157,""))</f>
        <v>Miðvikudagur</v>
      </c>
      <c r="C158" s="33">
        <f>IF(A158&lt;&gt;"",WEEKNUM(A158,21),IF(C157&lt;&gt;"",C157,""))</f>
        <v>27</v>
      </c>
      <c r="D158" s="34" t="s">
        <v>910</v>
      </c>
      <c r="E158" s="34" t="s">
        <v>921</v>
      </c>
      <c r="F158" s="34" t="s">
        <v>913</v>
      </c>
      <c r="G158" s="34" t="s">
        <v>739</v>
      </c>
      <c r="H158" s="34" t="s">
        <v>530</v>
      </c>
      <c r="I158" s="35">
        <v>80</v>
      </c>
      <c r="J158" s="35">
        <v>100</v>
      </c>
      <c r="K158" s="36"/>
      <c r="L158" s="26" t="str">
        <f>IF(OR(F158 = "", G158 = ""), "", IF(F158 = "Vara", IFERROR(_xlfn.SINGLE(_xlfn.XLOOKUP(G158, Vöruskrá!A:A, Vöruskrá!E:E, "")), ""), IF(F158 = "Réttur", IFERROR(_xlfn.SINGLE(_xlfn.XLOOKUP(G158, Réttabanki!A:A, Réttabanki!AS:AS, "")), ""), "")))</f>
        <v>Kartöflur</v>
      </c>
      <c r="M158" s="26" t="str">
        <f>IF(OR(F158 = "", G158 = ""), "", IF(F158 = "Vara", IFERROR(_xlfn.SINGLE(_xlfn.XLOOKUP(G158, Vöruskrá!A:A, Vöruskrá!F:F, "")), ""), IF(F158 = "Réttur", IFERROR(_xlfn.SINGLE(_xlfn.XLOOKUP(G158, Réttabanki!A:A, Réttabanki!AT:AT, "")), ""), "")))</f>
        <v>Engir skráðir</v>
      </c>
      <c r="N158" s="26">
        <f>IF(OR(F158 = "", G158 = ""), "", IF(F158 = "Vara", IFERROR(_xlfn.SINGLE(_xlfn.XLOOKUP(G158, Vöruskrá!A:A, Vöruskrá!G:G, "")), ""), IF(F158 = "Réttur", IFERROR(_xlfn.SINGLE(_xlfn.XLOOKUP(G158, Réttabanki!A:A, Réttabanki!AU:AU, "")), ""), "")))</f>
        <v>0</v>
      </c>
      <c r="O158" s="26">
        <f>IF(OR(F158 = "", G158 = "", I158 = ""), "", IF(F158 = "Vara", IFERROR(_xlfn.SINGLE(_xlfn.XLOOKUP(G158, Vöruskrá!A:A, Vöruskrá!I:I, "")) * I158 / 100, ""), IF(F158 = "Réttur", IFERROR(_xlfn.SINGLE(_xlfn.XLOOKUP(G158, Réttabanki!A:A, Réttabanki!AV:AV, "")) * I158 / 100, ""), "")))</f>
        <v>61.6</v>
      </c>
      <c r="P158" s="26">
        <f>IF(OR(F158 = "", G158 = "", I158 = ""), "", IF(F158 = "Vara", IFERROR(_xlfn.SINGLE(_xlfn.XLOOKUP(G158, Vöruskrá!A:A, Vöruskrá!J:J, "")) * I158 / 100, ""), IF(F158 = "Réttur", IFERROR(_xlfn.SINGLE(_xlfn.XLOOKUP(G158, Réttabanki!A:A, Réttabanki!AW:AW, "")) * I158 / 100, ""), "")))</f>
        <v>0.08</v>
      </c>
      <c r="Q158" s="26">
        <f>IF(OR(F158 = "", G158 = "", I158 = ""), "", IF(F158 = "Vara", IFERROR(_xlfn.SINGLE(_xlfn.XLOOKUP(G158, Vöruskrá!A:A, Vöruskrá!N:N, "")) * I158 / 100, ""), IF(F158 = "Réttur", IFERROR(_xlfn.SINGLE(_xlfn.XLOOKUP(G158, Réttabanki!A:A, Réttabanki!BB:BB, "")) * I158 / 100, ""), "")))</f>
        <v>1.6</v>
      </c>
    </row>
    <row r="159" spans="1:17">
      <c r="B159" s="33" t="str">
        <f>IF(A159&lt;&gt;"",CHOOSE(WEEKDAY(A159,2),"Mánudagur","Þriðjudagur","Miðvikudagur","Fimmtudagur","Föstudagur","Laugardagur","Sunnudagur"),IF(B158&lt;&gt;"",B158,""))</f>
        <v>Miðvikudagur</v>
      </c>
      <c r="C159" s="33">
        <f>IF(A159&lt;&gt;"",WEEKNUM(A159,21),IF(C158&lt;&gt;"",C158,""))</f>
        <v>27</v>
      </c>
      <c r="D159" s="34" t="s">
        <v>910</v>
      </c>
      <c r="E159" s="34" t="s">
        <v>921</v>
      </c>
      <c r="F159" s="34" t="s">
        <v>913</v>
      </c>
      <c r="G159" s="34" t="s">
        <v>969</v>
      </c>
      <c r="H159" s="34" t="s">
        <v>970</v>
      </c>
      <c r="I159" s="35">
        <v>60</v>
      </c>
      <c r="J159" s="35">
        <v>80</v>
      </c>
      <c r="K159" s="36"/>
      <c r="L159" s="26" t="str">
        <f>IF(OR(F159 = "", G159 = ""), "", IF(F159 = "Vara", IFERROR(_xlfn.SINGLE(_xlfn.XLOOKUP(G159, Vöruskrá!A:A, Vöruskrá!E:E, "")), ""), IF(F159 = "Réttur", IFERROR(_xlfn.SINGLE(_xlfn.XLOOKUP(G159, Réttabanki!A:A, Réttabanki!AS:AS, "")), ""), "")))</f>
        <v/>
      </c>
      <c r="M159" s="26" t="str">
        <f>IF(OR(F159 = "", G159 = ""), "", IF(F159 = "Vara", IFERROR(_xlfn.SINGLE(_xlfn.XLOOKUP(G159, Vöruskrá!A:A, Vöruskrá!F:F, "")), ""), IF(F159 = "Réttur", IFERROR(_xlfn.SINGLE(_xlfn.XLOOKUP(G159, Réttabanki!A:A, Réttabanki!AT:AT, "")), ""), "")))</f>
        <v/>
      </c>
      <c r="N159" s="26" t="str">
        <f>IF(OR(F159 = "", G159 = ""), "", IF(F159 = "Vara", IFERROR(_xlfn.SINGLE(_xlfn.XLOOKUP(G159, Vöruskrá!A:A, Vöruskrá!G:G, "")), ""), IF(F159 = "Réttur", IFERROR(_xlfn.SINGLE(_xlfn.XLOOKUP(G159, Réttabanki!A:A, Réttabanki!AU:AU, "")), ""), "")))</f>
        <v/>
      </c>
      <c r="O159" s="26" t="str">
        <f>IF(OR(F159 = "", G159 = "", I159 = ""), "", IF(F159 = "Vara", IFERROR(_xlfn.SINGLE(_xlfn.XLOOKUP(G159, Vöruskrá!A:A, Vöruskrá!I:I, "")) * I159 / 100, ""), IF(F159 = "Réttur", IFERROR(_xlfn.SINGLE(_xlfn.XLOOKUP(G159, Réttabanki!A:A, Réttabanki!AV:AV, "")) * I159 / 100, ""), "")))</f>
        <v/>
      </c>
      <c r="P159" s="26" t="str">
        <f>IF(OR(F159 = "", G159 = "", I159 = ""), "", IF(F159 = "Vara", IFERROR(_xlfn.SINGLE(_xlfn.XLOOKUP(G159, Vöruskrá!A:A, Vöruskrá!J:J, "")) * I159 / 100, ""), IF(F159 = "Réttur", IFERROR(_xlfn.SINGLE(_xlfn.XLOOKUP(G159, Réttabanki!A:A, Réttabanki!AW:AW, "")) * I159 / 100, ""), "")))</f>
        <v/>
      </c>
      <c r="Q159" s="26" t="str">
        <f>IF(OR(F159 = "", G159 = "", I159 = ""), "", IF(F159 = "Vara", IFERROR(_xlfn.SINGLE(_xlfn.XLOOKUP(G159, Vöruskrá!A:A, Vöruskrá!N:N, "")) * I159 / 100, ""), IF(F159 = "Réttur", IFERROR(_xlfn.SINGLE(_xlfn.XLOOKUP(G159, Réttabanki!A:A, Réttabanki!BB:BB, "")) * I159 / 100, ""), "")))</f>
        <v/>
      </c>
    </row>
    <row r="160" spans="1:17">
      <c r="B160" s="33" t="str">
        <f>IF(A160&lt;&gt;"",CHOOSE(WEEKDAY(A160,2),"Mánudagur","Þriðjudagur","Miðvikudagur","Fimmtudagur","Föstudagur","Laugardagur","Sunnudagur"),IF(B159&lt;&gt;"",B159,""))</f>
        <v>Miðvikudagur</v>
      </c>
      <c r="C160" s="33">
        <f>IF(A160&lt;&gt;"",WEEKNUM(A160,21),IF(C159&lt;&gt;"",C159,""))</f>
        <v>27</v>
      </c>
      <c r="D160" s="34" t="s">
        <v>910</v>
      </c>
      <c r="E160" s="34" t="s">
        <v>921</v>
      </c>
      <c r="F160" s="34" t="s">
        <v>913</v>
      </c>
      <c r="G160" s="34" t="s">
        <v>889</v>
      </c>
      <c r="H160" s="34" t="s">
        <v>964</v>
      </c>
      <c r="I160" s="35">
        <v>20</v>
      </c>
      <c r="J160" s="35">
        <v>30</v>
      </c>
      <c r="K160" s="36"/>
      <c r="L160" s="26" t="str">
        <f>IF(OR(F160 = "", G160 = ""), "", IF(F160 = "Vara", IFERROR(_xlfn.SINGLE(_xlfn.XLOOKUP(G160, Vöruskrá!A:A, Vöruskrá!E:E, "")), ""), IF(F160 = "Réttur", IFERROR(_xlfn.SINGLE(_xlfn.XLOOKUP(G160, Réttabanki!A:A, Réttabanki!AS:AS, "")), ""), "")))</f>
        <v/>
      </c>
      <c r="M160" s="26" t="str">
        <f>IF(OR(F160 = "", G160 = ""), "", IF(F160 = "Vara", IFERROR(_xlfn.SINGLE(_xlfn.XLOOKUP(G160, Vöruskrá!A:A, Vöruskrá!F:F, "")), ""), IF(F160 = "Réttur", IFERROR(_xlfn.SINGLE(_xlfn.XLOOKUP(G160, Réttabanki!A:A, Réttabanki!AT:AT, "")), ""), "")))</f>
        <v/>
      </c>
      <c r="N160" s="26" t="str">
        <f>IF(OR(F160 = "", G160 = ""), "", IF(F160 = "Vara", IFERROR(_xlfn.SINGLE(_xlfn.XLOOKUP(G160, Vöruskrá!A:A, Vöruskrá!G:G, "")), ""), IF(F160 = "Réttur", IFERROR(_xlfn.SINGLE(_xlfn.XLOOKUP(G160, Réttabanki!A:A, Réttabanki!AU:AU, "")), ""), "")))</f>
        <v/>
      </c>
      <c r="O160" s="26" t="str">
        <f>IF(OR(F160 = "", G160 = "", I160 = ""), "", IF(F160 = "Vara", IFERROR(_xlfn.SINGLE(_xlfn.XLOOKUP(G160, Vöruskrá!A:A, Vöruskrá!I:I, "")) * I160 / 100, ""), IF(F160 = "Réttur", IFERROR(_xlfn.SINGLE(_xlfn.XLOOKUP(G160, Réttabanki!A:A, Réttabanki!AV:AV, "")) * I160 / 100, ""), "")))</f>
        <v/>
      </c>
      <c r="P160" s="26" t="str">
        <f>IF(OR(F160 = "", G160 = "", I160 = ""), "", IF(F160 = "Vara", IFERROR(_xlfn.SINGLE(_xlfn.XLOOKUP(G160, Vöruskrá!A:A, Vöruskrá!J:J, "")) * I160 / 100, ""), IF(F160 = "Réttur", IFERROR(_xlfn.SINGLE(_xlfn.XLOOKUP(G160, Réttabanki!A:A, Réttabanki!AW:AW, "")) * I160 / 100, ""), "")))</f>
        <v/>
      </c>
      <c r="Q160" s="26" t="str">
        <f>IF(OR(F160 = "", G160 = "", I160 = ""), "", IF(F160 = "Vara", IFERROR(_xlfn.SINGLE(_xlfn.XLOOKUP(G160, Vöruskrá!A:A, Vöruskrá!N:N, "")) * I160 / 100, ""), IF(F160 = "Réttur", IFERROR(_xlfn.SINGLE(_xlfn.XLOOKUP(G160, Réttabanki!A:A, Réttabanki!BB:BB, "")) * I160 / 100, ""), "")))</f>
        <v/>
      </c>
    </row>
    <row r="161" spans="1:17">
      <c r="B161" s="33" t="str">
        <f>IF(A161&lt;&gt;"",CHOOSE(WEEKDAY(A161,2),"Mánudagur","Þriðjudagur","Miðvikudagur","Fimmtudagur","Föstudagur","Laugardagur","Sunnudagur"),IF(B160&lt;&gt;"",B160,""))</f>
        <v>Miðvikudagur</v>
      </c>
      <c r="C161" s="33">
        <f>IF(A161&lt;&gt;"",WEEKNUM(A161,21),IF(C160&lt;&gt;"",C160,""))</f>
        <v>27</v>
      </c>
      <c r="D161" s="34" t="s">
        <v>910</v>
      </c>
      <c r="E161" s="34" t="s">
        <v>927</v>
      </c>
      <c r="F161" s="34"/>
      <c r="G161" s="34"/>
      <c r="H161" s="34" t="s">
        <v>1084</v>
      </c>
      <c r="I161" s="35"/>
      <c r="J161" s="35"/>
      <c r="K161" s="36"/>
      <c r="L161" s="26" t="str">
        <f>IF(OR(F161 = "", G161 = ""), "", IF(F161 = "Vara", IFERROR(_xlfn.SINGLE(_xlfn.XLOOKUP(G161, Vöruskrá!A:A, Vöruskrá!E:E, "")), ""), IF(F161 = "Réttur", IFERROR(_xlfn.SINGLE(_xlfn.XLOOKUP(G161, Réttabanki!A:A, Réttabanki!AS:AS, "")), ""), "")))</f>
        <v/>
      </c>
      <c r="M161" s="26" t="str">
        <f>IF(OR(F161 = "", G161 = ""), "", IF(F161 = "Vara", IFERROR(_xlfn.SINGLE(_xlfn.XLOOKUP(G161, Vöruskrá!A:A, Vöruskrá!F:F, "")), ""), IF(F161 = "Réttur", IFERROR(_xlfn.SINGLE(_xlfn.XLOOKUP(G161, Réttabanki!A:A, Réttabanki!AT:AT, "")), ""), "")))</f>
        <v/>
      </c>
      <c r="N161" s="26" t="str">
        <f>IF(OR(F161 = "", G161 = ""), "", IF(F161 = "Vara", IFERROR(_xlfn.SINGLE(_xlfn.XLOOKUP(G161, Vöruskrá!A:A, Vöruskrá!G:G, "")), ""), IF(F161 = "Réttur", IFERROR(_xlfn.SINGLE(_xlfn.XLOOKUP(G161, Réttabanki!A:A, Réttabanki!AU:AU, "")), ""), "")))</f>
        <v/>
      </c>
      <c r="O161" s="26" t="str">
        <f>IF(OR(F161 = "", G161 = "", I161 = ""), "", IF(F161 = "Vara", IFERROR(_xlfn.SINGLE(_xlfn.XLOOKUP(G161, Vöruskrá!A:A, Vöruskrá!I:I, "")) * I161 / 100, ""), IF(F161 = "Réttur", IFERROR(_xlfn.SINGLE(_xlfn.XLOOKUP(G161, Réttabanki!A:A, Réttabanki!AV:AV, "")) * I161 / 100, ""), "")))</f>
        <v/>
      </c>
      <c r="P161" s="26" t="str">
        <f>IF(OR(F161 = "", G161 = "", I161 = ""), "", IF(F161 = "Vara", IFERROR(_xlfn.SINGLE(_xlfn.XLOOKUP(G161, Vöruskrá!A:A, Vöruskrá!J:J, "")) * I161 / 100, ""), IF(F161 = "Réttur", IFERROR(_xlfn.SINGLE(_xlfn.XLOOKUP(G161, Réttabanki!A:A, Réttabanki!AW:AW, "")) * I161 / 100, ""), "")))</f>
        <v/>
      </c>
      <c r="Q161" s="26" t="str">
        <f>IF(OR(F161 = "", G161 = "", I161 = ""), "", IF(F161 = "Vara", IFERROR(_xlfn.SINGLE(_xlfn.XLOOKUP(G161, Vöruskrá!A:A, Vöruskrá!N:N, "")) * I161 / 100, ""), IF(F161 = "Réttur", IFERROR(_xlfn.SINGLE(_xlfn.XLOOKUP(G161, Réttabanki!A:A, Réttabanki!BB:BB, "")) * I161 / 100, ""), "")))</f>
        <v/>
      </c>
    </row>
    <row r="162" spans="1:17">
      <c r="B162" s="33" t="str">
        <f>IF(A162&lt;&gt;"",CHOOSE(WEEKDAY(A162,2),"Mánudagur","Þriðjudagur","Miðvikudagur","Fimmtudagur","Föstudagur","Laugardagur","Sunnudagur"),IF(B161&lt;&gt;"",B161,""))</f>
        <v>Miðvikudagur</v>
      </c>
      <c r="C162" s="33">
        <f>IF(A162&lt;&gt;"",WEEKNUM(A162,21),IF(C161&lt;&gt;"",C161,""))</f>
        <v>27</v>
      </c>
      <c r="D162" s="34" t="s">
        <v>910</v>
      </c>
      <c r="E162" s="34" t="s">
        <v>927</v>
      </c>
      <c r="F162" s="34" t="s">
        <v>913</v>
      </c>
      <c r="G162" s="34" t="s">
        <v>1085</v>
      </c>
      <c r="H162" s="34" t="s">
        <v>477</v>
      </c>
      <c r="I162" s="35">
        <v>160</v>
      </c>
      <c r="J162" s="35">
        <v>160</v>
      </c>
      <c r="K162" s="36"/>
      <c r="L162" s="26" t="str">
        <f>IF(OR(F162 = "", G162 = ""), "", IF(F162 = "Vara", IFERROR(_xlfn.SINGLE(_xlfn.XLOOKUP(G162, Vöruskrá!A:A, Vöruskrá!E:E, "")), ""), IF(F162 = "Réttur", IFERROR(_xlfn.SINGLE(_xlfn.XLOOKUP(G162, Réttabanki!A:A, Réttabanki!AS:AS, "")), ""), "")))</f>
        <v/>
      </c>
      <c r="M162" s="26" t="str">
        <f>IF(OR(F162 = "", G162 = ""), "", IF(F162 = "Vara", IFERROR(_xlfn.SINGLE(_xlfn.XLOOKUP(G162, Vöruskrá!A:A, Vöruskrá!F:F, "")), ""), IF(F162 = "Réttur", IFERROR(_xlfn.SINGLE(_xlfn.XLOOKUP(G162, Réttabanki!A:A, Réttabanki!AT:AT, "")), ""), "")))</f>
        <v/>
      </c>
      <c r="N162" s="26" t="str">
        <f>IF(OR(F162 = "", G162 = ""), "", IF(F162 = "Vara", IFERROR(_xlfn.SINGLE(_xlfn.XLOOKUP(G162, Vöruskrá!A:A, Vöruskrá!G:G, "")), ""), IF(F162 = "Réttur", IFERROR(_xlfn.SINGLE(_xlfn.XLOOKUP(G162, Réttabanki!A:A, Réttabanki!AU:AU, "")), ""), "")))</f>
        <v/>
      </c>
      <c r="O162" s="26" t="str">
        <f>IF(OR(F162 = "", G162 = "", I162 = ""), "", IF(F162 = "Vara", IFERROR(_xlfn.SINGLE(_xlfn.XLOOKUP(G162, Vöruskrá!A:A, Vöruskrá!I:I, "")) * I162 / 100, ""), IF(F162 = "Réttur", IFERROR(_xlfn.SINGLE(_xlfn.XLOOKUP(G162, Réttabanki!A:A, Réttabanki!AV:AV, "")) * I162 / 100, ""), "")))</f>
        <v/>
      </c>
      <c r="P162" s="26" t="str">
        <f>IF(OR(F162 = "", G162 = "", I162 = ""), "", IF(F162 = "Vara", IFERROR(_xlfn.SINGLE(_xlfn.XLOOKUP(G162, Vöruskrá!A:A, Vöruskrá!J:J, "")) * I162 / 100, ""), IF(F162 = "Réttur", IFERROR(_xlfn.SINGLE(_xlfn.XLOOKUP(G162, Réttabanki!A:A, Réttabanki!AW:AW, "")) * I162 / 100, ""), "")))</f>
        <v/>
      </c>
      <c r="Q162" s="26" t="str">
        <f>IF(OR(F162 = "", G162 = "", I162 = ""), "", IF(F162 = "Vara", IFERROR(_xlfn.SINGLE(_xlfn.XLOOKUP(G162, Vöruskrá!A:A, Vöruskrá!N:N, "")) * I162 / 100, ""), IF(F162 = "Réttur", IFERROR(_xlfn.SINGLE(_xlfn.XLOOKUP(G162, Réttabanki!A:A, Réttabanki!BB:BB, "")) * I162 / 100, ""), "")))</f>
        <v/>
      </c>
    </row>
    <row r="163" spans="1:17">
      <c r="B163" s="33" t="str">
        <f>IF(A163&lt;&gt;"",CHOOSE(WEEKDAY(A163,2),"Mánudagur","Þriðjudagur","Miðvikudagur","Fimmtudagur","Föstudagur","Laugardagur","Sunnudagur"),IF(B162&lt;&gt;"",B162,""))</f>
        <v>Miðvikudagur</v>
      </c>
      <c r="C163" s="33">
        <f>IF(A163&lt;&gt;"",WEEKNUM(A163,21),IF(C162&lt;&gt;"",C162,""))</f>
        <v>27</v>
      </c>
      <c r="D163" s="34" t="s">
        <v>910</v>
      </c>
      <c r="E163" s="34" t="s">
        <v>927</v>
      </c>
      <c r="F163" s="34" t="s">
        <v>913</v>
      </c>
      <c r="G163" s="34" t="s">
        <v>1086</v>
      </c>
      <c r="H163" s="34" t="s">
        <v>1087</v>
      </c>
      <c r="I163" s="35">
        <v>20</v>
      </c>
      <c r="J163" s="35">
        <v>20</v>
      </c>
      <c r="K163" s="36"/>
      <c r="L163" s="26" t="str">
        <f>IF(OR(F163 = "", G163 = ""), "", IF(F163 = "Vara", IFERROR(_xlfn.SINGLE(_xlfn.XLOOKUP(G163, Vöruskrá!A:A, Vöruskrá!E:E, "")), ""), IF(F163 = "Réttur", IFERROR(_xlfn.SINGLE(_xlfn.XLOOKUP(G163, Réttabanki!A:A, Réttabanki!AS:AS, "")), ""), "")))</f>
        <v/>
      </c>
      <c r="M163" s="26" t="str">
        <f>IF(OR(F163 = "", G163 = ""), "", IF(F163 = "Vara", IFERROR(_xlfn.SINGLE(_xlfn.XLOOKUP(G163, Vöruskrá!A:A, Vöruskrá!F:F, "")), ""), IF(F163 = "Réttur", IFERROR(_xlfn.SINGLE(_xlfn.XLOOKUP(G163, Réttabanki!A:A, Réttabanki!AT:AT, "")), ""), "")))</f>
        <v/>
      </c>
      <c r="N163" s="26" t="str">
        <f>IF(OR(F163 = "", G163 = ""), "", IF(F163 = "Vara", IFERROR(_xlfn.SINGLE(_xlfn.XLOOKUP(G163, Vöruskrá!A:A, Vöruskrá!G:G, "")), ""), IF(F163 = "Réttur", IFERROR(_xlfn.SINGLE(_xlfn.XLOOKUP(G163, Réttabanki!A:A, Réttabanki!AU:AU, "")), ""), "")))</f>
        <v/>
      </c>
      <c r="O163" s="26" t="str">
        <f>IF(OR(F163 = "", G163 = "", I163 = ""), "", IF(F163 = "Vara", IFERROR(_xlfn.SINGLE(_xlfn.XLOOKUP(G163, Vöruskrá!A:A, Vöruskrá!I:I, "")) * I163 / 100, ""), IF(F163 = "Réttur", IFERROR(_xlfn.SINGLE(_xlfn.XLOOKUP(G163, Réttabanki!A:A, Réttabanki!AV:AV, "")) * I163 / 100, ""), "")))</f>
        <v/>
      </c>
      <c r="P163" s="26" t="str">
        <f>IF(OR(F163 = "", G163 = "", I163 = ""), "", IF(F163 = "Vara", IFERROR(_xlfn.SINGLE(_xlfn.XLOOKUP(G163, Vöruskrá!A:A, Vöruskrá!J:J, "")) * I163 / 100, ""), IF(F163 = "Réttur", IFERROR(_xlfn.SINGLE(_xlfn.XLOOKUP(G163, Réttabanki!A:A, Réttabanki!AW:AW, "")) * I163 / 100, ""), "")))</f>
        <v/>
      </c>
      <c r="Q163" s="26" t="str">
        <f>IF(OR(F163 = "", G163 = "", I163 = ""), "", IF(F163 = "Vara", IFERROR(_xlfn.SINGLE(_xlfn.XLOOKUP(G163, Vöruskrá!A:A, Vöruskrá!N:N, "")) * I163 / 100, ""), IF(F163 = "Réttur", IFERROR(_xlfn.SINGLE(_xlfn.XLOOKUP(G163, Réttabanki!A:A, Réttabanki!BB:BB, "")) * I163 / 100, ""), "")))</f>
        <v/>
      </c>
    </row>
    <row r="164" spans="1:17">
      <c r="B164" s="33" t="str">
        <f>IF(A164&lt;&gt;"",CHOOSE(WEEKDAY(A164,2),"Mánudagur","Þriðjudagur","Miðvikudagur","Fimmtudagur","Föstudagur","Laugardagur","Sunnudagur"),IF(B163&lt;&gt;"",B163,""))</f>
        <v>Miðvikudagur</v>
      </c>
      <c r="C164" s="33">
        <f>IF(A164&lt;&gt;"",WEEKNUM(A164,21),IF(C163&lt;&gt;"",C163,""))</f>
        <v>27</v>
      </c>
      <c r="D164" s="34" t="s">
        <v>910</v>
      </c>
      <c r="E164" s="34" t="s">
        <v>927</v>
      </c>
      <c r="F164" s="34" t="s">
        <v>913</v>
      </c>
      <c r="G164" s="34" t="s">
        <v>739</v>
      </c>
      <c r="H164" s="34" t="s">
        <v>530</v>
      </c>
      <c r="I164" s="35">
        <v>80</v>
      </c>
      <c r="J164" s="35">
        <v>100</v>
      </c>
      <c r="K164" s="36"/>
      <c r="L164" s="26" t="str">
        <f>IF(OR(F164 = "", G164 = ""), "", IF(F164 = "Vara", IFERROR(_xlfn.SINGLE(_xlfn.XLOOKUP(G164, Vöruskrá!A:A, Vöruskrá!E:E, "")), ""), IF(F164 = "Réttur", IFERROR(_xlfn.SINGLE(_xlfn.XLOOKUP(G164, Réttabanki!A:A, Réttabanki!AS:AS, "")), ""), "")))</f>
        <v>Kartöflur</v>
      </c>
      <c r="M164" s="26" t="str">
        <f>IF(OR(F164 = "", G164 = ""), "", IF(F164 = "Vara", IFERROR(_xlfn.SINGLE(_xlfn.XLOOKUP(G164, Vöruskrá!A:A, Vöruskrá!F:F, "")), ""), IF(F164 = "Réttur", IFERROR(_xlfn.SINGLE(_xlfn.XLOOKUP(G164, Réttabanki!A:A, Réttabanki!AT:AT, "")), ""), "")))</f>
        <v>Engir skráðir</v>
      </c>
      <c r="N164" s="26">
        <f>IF(OR(F164 = "", G164 = ""), "", IF(F164 = "Vara", IFERROR(_xlfn.SINGLE(_xlfn.XLOOKUP(G164, Vöruskrá!A:A, Vöruskrá!G:G, "")), ""), IF(F164 = "Réttur", IFERROR(_xlfn.SINGLE(_xlfn.XLOOKUP(G164, Réttabanki!A:A, Réttabanki!AU:AU, "")), ""), "")))</f>
        <v>0</v>
      </c>
      <c r="O164" s="26">
        <f>IF(OR(F164 = "", G164 = "", I164 = ""), "", IF(F164 = "Vara", IFERROR(_xlfn.SINGLE(_xlfn.XLOOKUP(G164, Vöruskrá!A:A, Vöruskrá!I:I, "")) * I164 / 100, ""), IF(F164 = "Réttur", IFERROR(_xlfn.SINGLE(_xlfn.XLOOKUP(G164, Réttabanki!A:A, Réttabanki!AV:AV, "")) * I164 / 100, ""), "")))</f>
        <v>61.6</v>
      </c>
      <c r="P164" s="26">
        <f>IF(OR(F164 = "", G164 = "", I164 = ""), "", IF(F164 = "Vara", IFERROR(_xlfn.SINGLE(_xlfn.XLOOKUP(G164, Vöruskrá!A:A, Vöruskrá!J:J, "")) * I164 / 100, ""), IF(F164 = "Réttur", IFERROR(_xlfn.SINGLE(_xlfn.XLOOKUP(G164, Réttabanki!A:A, Réttabanki!AW:AW, "")) * I164 / 100, ""), "")))</f>
        <v>0.08</v>
      </c>
      <c r="Q164" s="26">
        <f>IF(OR(F164 = "", G164 = "", I164 = ""), "", IF(F164 = "Vara", IFERROR(_xlfn.SINGLE(_xlfn.XLOOKUP(G164, Vöruskrá!A:A, Vöruskrá!N:N, "")) * I164 / 100, ""), IF(F164 = "Réttur", IFERROR(_xlfn.SINGLE(_xlfn.XLOOKUP(G164, Réttabanki!A:A, Réttabanki!BB:BB, "")) * I164 / 100, ""), "")))</f>
        <v>1.6</v>
      </c>
    </row>
    <row r="165" spans="1:17">
      <c r="B165" s="33" t="str">
        <f>IF(A165&lt;&gt;"",CHOOSE(WEEKDAY(A165,2),"Mánudagur","Þriðjudagur","Miðvikudagur","Fimmtudagur","Föstudagur","Laugardagur","Sunnudagur"),IF(B164&lt;&gt;"",B164,""))</f>
        <v>Miðvikudagur</v>
      </c>
      <c r="C165" s="33">
        <f>IF(A165&lt;&gt;"",WEEKNUM(A165,21),IF(C164&lt;&gt;"",C164,""))</f>
        <v>27</v>
      </c>
      <c r="D165" s="34" t="s">
        <v>910</v>
      </c>
      <c r="E165" s="34" t="s">
        <v>933</v>
      </c>
      <c r="F165" s="34"/>
      <c r="G165" s="34"/>
      <c r="H165" s="34" t="s">
        <v>1088</v>
      </c>
      <c r="I165" s="35"/>
      <c r="J165" s="35"/>
      <c r="K165" s="36"/>
      <c r="L165" s="26" t="str">
        <f>IF(OR(F165 = "", G165 = ""), "", IF(F165 = "Vara", IFERROR(_xlfn.SINGLE(_xlfn.XLOOKUP(G165, Vöruskrá!A:A, Vöruskrá!E:E, "")), ""), IF(F165 = "Réttur", IFERROR(_xlfn.SINGLE(_xlfn.XLOOKUP(G165, Réttabanki!A:A, Réttabanki!AS:AS, "")), ""), "")))</f>
        <v/>
      </c>
      <c r="M165" s="26" t="str">
        <f>IF(OR(F165 = "", G165 = ""), "", IF(F165 = "Vara", IFERROR(_xlfn.SINGLE(_xlfn.XLOOKUP(G165, Vöruskrá!A:A, Vöruskrá!F:F, "")), ""), IF(F165 = "Réttur", IFERROR(_xlfn.SINGLE(_xlfn.XLOOKUP(G165, Réttabanki!A:A, Réttabanki!AT:AT, "")), ""), "")))</f>
        <v/>
      </c>
      <c r="N165" s="26" t="str">
        <f>IF(OR(F165 = "", G165 = ""), "", IF(F165 = "Vara", IFERROR(_xlfn.SINGLE(_xlfn.XLOOKUP(G165, Vöruskrá!A:A, Vöruskrá!G:G, "")), ""), IF(F165 = "Réttur", IFERROR(_xlfn.SINGLE(_xlfn.XLOOKUP(G165, Réttabanki!A:A, Réttabanki!AU:AU, "")), ""), "")))</f>
        <v/>
      </c>
      <c r="O165" s="26" t="str">
        <f>IF(OR(F165 = "", G165 = "", I165 = ""), "", IF(F165 = "Vara", IFERROR(_xlfn.SINGLE(_xlfn.XLOOKUP(G165, Vöruskrá!A:A, Vöruskrá!I:I, "")) * I165 / 100, ""), IF(F165 = "Réttur", IFERROR(_xlfn.SINGLE(_xlfn.XLOOKUP(G165, Réttabanki!A:A, Réttabanki!AV:AV, "")) * I165 / 100, ""), "")))</f>
        <v/>
      </c>
      <c r="P165" s="26" t="str">
        <f>IF(OR(F165 = "", G165 = "", I165 = ""), "", IF(F165 = "Vara", IFERROR(_xlfn.SINGLE(_xlfn.XLOOKUP(G165, Vöruskrá!A:A, Vöruskrá!J:J, "")) * I165 / 100, ""), IF(F165 = "Réttur", IFERROR(_xlfn.SINGLE(_xlfn.XLOOKUP(G165, Réttabanki!A:A, Réttabanki!AW:AW, "")) * I165 / 100, ""), "")))</f>
        <v/>
      </c>
      <c r="Q165" s="26" t="str">
        <f>IF(OR(F165 = "", G165 = "", I165 = ""), "", IF(F165 = "Vara", IFERROR(_xlfn.SINGLE(_xlfn.XLOOKUP(G165, Vöruskrá!A:A, Vöruskrá!N:N, "")) * I165 / 100, ""), IF(F165 = "Réttur", IFERROR(_xlfn.SINGLE(_xlfn.XLOOKUP(G165, Réttabanki!A:A, Réttabanki!BB:BB, "")) * I165 / 100, ""), "")))</f>
        <v/>
      </c>
    </row>
    <row r="166" spans="1:17">
      <c r="B166" s="33" t="str">
        <f>IF(A166&lt;&gt;"",CHOOSE(WEEKDAY(A166,2),"Mánudagur","Þriðjudagur","Miðvikudagur","Fimmtudagur","Föstudagur","Laugardagur","Sunnudagur"),IF(B165&lt;&gt;"",B165,""))</f>
        <v>Miðvikudagur</v>
      </c>
      <c r="C166" s="33">
        <f>IF(A166&lt;&gt;"",WEEKNUM(A166,21),IF(C165&lt;&gt;"",C165,""))</f>
        <v>27</v>
      </c>
      <c r="D166" s="34" t="s">
        <v>910</v>
      </c>
      <c r="E166" s="34" t="s">
        <v>933</v>
      </c>
      <c r="F166" s="34" t="s">
        <v>913</v>
      </c>
      <c r="G166" s="34" t="s">
        <v>1089</v>
      </c>
      <c r="H166" s="34" t="s">
        <v>467</v>
      </c>
      <c r="I166" s="35">
        <v>20</v>
      </c>
      <c r="J166" s="35">
        <v>30</v>
      </c>
      <c r="K166" s="36"/>
      <c r="L166" s="26" t="str">
        <f>IF(OR(F166 = "", G166 = ""), "", IF(F166 = "Vara", IFERROR(_xlfn.SINGLE(_xlfn.XLOOKUP(G166, Vöruskrá!A:A, Vöruskrá!E:E, "")), ""), IF(F166 = "Réttur", IFERROR(_xlfn.SINGLE(_xlfn.XLOOKUP(G166, Réttabanki!A:A, Réttabanki!AS:AS, "")), ""), "")))</f>
        <v/>
      </c>
      <c r="M166" s="26" t="str">
        <f>IF(OR(F166 = "", G166 = ""), "", IF(F166 = "Vara", IFERROR(_xlfn.SINGLE(_xlfn.XLOOKUP(G166, Vöruskrá!A:A, Vöruskrá!F:F, "")), ""), IF(F166 = "Réttur", IFERROR(_xlfn.SINGLE(_xlfn.XLOOKUP(G166, Réttabanki!A:A, Réttabanki!AT:AT, "")), ""), "")))</f>
        <v/>
      </c>
      <c r="N166" s="26" t="str">
        <f>IF(OR(F166 = "", G166 = ""), "", IF(F166 = "Vara", IFERROR(_xlfn.SINGLE(_xlfn.XLOOKUP(G166, Vöruskrá!A:A, Vöruskrá!G:G, "")), ""), IF(F166 = "Réttur", IFERROR(_xlfn.SINGLE(_xlfn.XLOOKUP(G166, Réttabanki!A:A, Réttabanki!AU:AU, "")), ""), "")))</f>
        <v/>
      </c>
      <c r="O166" s="26" t="str">
        <f>IF(OR(F166 = "", G166 = "", I166 = ""), "", IF(F166 = "Vara", IFERROR(_xlfn.SINGLE(_xlfn.XLOOKUP(G166, Vöruskrá!A:A, Vöruskrá!I:I, "")) * I166 / 100, ""), IF(F166 = "Réttur", IFERROR(_xlfn.SINGLE(_xlfn.XLOOKUP(G166, Réttabanki!A:A, Réttabanki!AV:AV, "")) * I166 / 100, ""), "")))</f>
        <v/>
      </c>
      <c r="P166" s="26" t="str">
        <f>IF(OR(F166 = "", G166 = "", I166 = ""), "", IF(F166 = "Vara", IFERROR(_xlfn.SINGLE(_xlfn.XLOOKUP(G166, Vöruskrá!A:A, Vöruskrá!J:J, "")) * I166 / 100, ""), IF(F166 = "Réttur", IFERROR(_xlfn.SINGLE(_xlfn.XLOOKUP(G166, Réttabanki!A:A, Réttabanki!AW:AW, "")) * I166 / 100, ""), "")))</f>
        <v/>
      </c>
      <c r="Q166" s="26" t="str">
        <f>IF(OR(F166 = "", G166 = "", I166 = ""), "", IF(F166 = "Vara", IFERROR(_xlfn.SINGLE(_xlfn.XLOOKUP(G166, Vöruskrá!A:A, Vöruskrá!N:N, "")) * I166 / 100, ""), IF(F166 = "Réttur", IFERROR(_xlfn.SINGLE(_xlfn.XLOOKUP(G166, Réttabanki!A:A, Réttabanki!BB:BB, "")) * I166 / 100, ""), "")))</f>
        <v/>
      </c>
    </row>
    <row r="167" spans="1:17">
      <c r="B167" s="33" t="str">
        <f>IF(A167&lt;&gt;"",CHOOSE(WEEKDAY(A167,2),"Mánudagur","Þriðjudagur","Miðvikudagur","Fimmtudagur","Föstudagur","Laugardagur","Sunnudagur"),IF(B166&lt;&gt;"",B166,""))</f>
        <v>Miðvikudagur</v>
      </c>
      <c r="C167" s="33">
        <f>IF(A167&lt;&gt;"",WEEKNUM(A167,21),IF(C166&lt;&gt;"",C166,""))</f>
        <v>27</v>
      </c>
      <c r="D167" s="34" t="s">
        <v>910</v>
      </c>
      <c r="E167" s="34" t="s">
        <v>933</v>
      </c>
      <c r="F167" s="34" t="s">
        <v>913</v>
      </c>
      <c r="G167" s="34" t="s">
        <v>1008</v>
      </c>
      <c r="H167" s="34" t="s">
        <v>704</v>
      </c>
      <c r="I167" s="35">
        <v>20</v>
      </c>
      <c r="J167" s="35">
        <v>30</v>
      </c>
      <c r="K167" s="36"/>
      <c r="L167" s="26" t="str">
        <f>IF(OR(F167 = "", G167 = ""), "", IF(F167 = "Vara", IFERROR(_xlfn.SINGLE(_xlfn.XLOOKUP(G167, Vöruskrá!A:A, Vöruskrá!E:E, "")), ""), IF(F167 = "Réttur", IFERROR(_xlfn.SINGLE(_xlfn.XLOOKUP(G167, Réttabanki!A:A, Réttabanki!AS:AS, "")), ""), "")))</f>
        <v/>
      </c>
      <c r="M167" s="26" t="str">
        <f>IF(OR(F167 = "", G167 = ""), "", IF(F167 = "Vara", IFERROR(_xlfn.SINGLE(_xlfn.XLOOKUP(G167, Vöruskrá!A:A, Vöruskrá!F:F, "")), ""), IF(F167 = "Réttur", IFERROR(_xlfn.SINGLE(_xlfn.XLOOKUP(G167, Réttabanki!A:A, Réttabanki!AT:AT, "")), ""), "")))</f>
        <v/>
      </c>
      <c r="N167" s="26" t="str">
        <f>IF(OR(F167 = "", G167 = ""), "", IF(F167 = "Vara", IFERROR(_xlfn.SINGLE(_xlfn.XLOOKUP(G167, Vöruskrá!A:A, Vöruskrá!G:G, "")), ""), IF(F167 = "Réttur", IFERROR(_xlfn.SINGLE(_xlfn.XLOOKUP(G167, Réttabanki!A:A, Réttabanki!AU:AU, "")), ""), "")))</f>
        <v/>
      </c>
      <c r="O167" s="26" t="str">
        <f>IF(OR(F167 = "", G167 = "", I167 = ""), "", IF(F167 = "Vara", IFERROR(_xlfn.SINGLE(_xlfn.XLOOKUP(G167, Vöruskrá!A:A, Vöruskrá!I:I, "")) * I167 / 100, ""), IF(F167 = "Réttur", IFERROR(_xlfn.SINGLE(_xlfn.XLOOKUP(G167, Réttabanki!A:A, Réttabanki!AV:AV, "")) * I167 / 100, ""), "")))</f>
        <v/>
      </c>
      <c r="P167" s="26" t="str">
        <f>IF(OR(F167 = "", G167 = "", I167 = ""), "", IF(F167 = "Vara", IFERROR(_xlfn.SINGLE(_xlfn.XLOOKUP(G167, Vöruskrá!A:A, Vöruskrá!J:J, "")) * I167 / 100, ""), IF(F167 = "Réttur", IFERROR(_xlfn.SINGLE(_xlfn.XLOOKUP(G167, Réttabanki!A:A, Réttabanki!AW:AW, "")) * I167 / 100, ""), "")))</f>
        <v/>
      </c>
      <c r="Q167" s="26" t="str">
        <f>IF(OR(F167 = "", G167 = "", I167 = ""), "", IF(F167 = "Vara", IFERROR(_xlfn.SINGLE(_xlfn.XLOOKUP(G167, Vöruskrá!A:A, Vöruskrá!N:N, "")) * I167 / 100, ""), IF(F167 = "Réttur", IFERROR(_xlfn.SINGLE(_xlfn.XLOOKUP(G167, Réttabanki!A:A, Réttabanki!BB:BB, "")) * I167 / 100, ""), "")))</f>
        <v/>
      </c>
    </row>
    <row r="168" spans="1:17">
      <c r="B168" s="33" t="str">
        <f>IF(A168&lt;&gt;"",CHOOSE(WEEKDAY(A168,2),"Mánudagur","Þriðjudagur","Miðvikudagur","Fimmtudagur","Föstudagur","Laugardagur","Sunnudagur"),IF(B167&lt;&gt;"",B167,""))</f>
        <v>Miðvikudagur</v>
      </c>
      <c r="C168" s="33">
        <f>IF(A168&lt;&gt;"",WEEKNUM(A168,21),IF(C167&lt;&gt;"",C167,""))</f>
        <v>27</v>
      </c>
      <c r="D168" s="34" t="s">
        <v>910</v>
      </c>
      <c r="E168" s="34" t="s">
        <v>941</v>
      </c>
      <c r="F168" s="34"/>
      <c r="G168" s="34"/>
      <c r="H168" s="34" t="s">
        <v>1090</v>
      </c>
      <c r="I168" s="35"/>
      <c r="J168" s="35"/>
      <c r="K168" s="36"/>
      <c r="L168" s="26" t="str">
        <f>IF(OR(F168 = "", G168 = ""), "", IF(F168 = "Vara", IFERROR(_xlfn.SINGLE(_xlfn.XLOOKUP(G168, Vöruskrá!A:A, Vöruskrá!E:E, "")), ""), IF(F168 = "Réttur", IFERROR(_xlfn.SINGLE(_xlfn.XLOOKUP(G168, Réttabanki!A:A, Réttabanki!AS:AS, "")), ""), "")))</f>
        <v/>
      </c>
      <c r="M168" s="26" t="str">
        <f>IF(OR(F168 = "", G168 = ""), "", IF(F168 = "Vara", IFERROR(_xlfn.SINGLE(_xlfn.XLOOKUP(G168, Vöruskrá!A:A, Vöruskrá!F:F, "")), ""), IF(F168 = "Réttur", IFERROR(_xlfn.SINGLE(_xlfn.XLOOKUP(G168, Réttabanki!A:A, Réttabanki!AT:AT, "")), ""), "")))</f>
        <v/>
      </c>
      <c r="N168" s="26" t="str">
        <f>IF(OR(F168 = "", G168 = ""), "", IF(F168 = "Vara", IFERROR(_xlfn.SINGLE(_xlfn.XLOOKUP(G168, Vöruskrá!A:A, Vöruskrá!G:G, "")), ""), IF(F168 = "Réttur", IFERROR(_xlfn.SINGLE(_xlfn.XLOOKUP(G168, Réttabanki!A:A, Réttabanki!AU:AU, "")), ""), "")))</f>
        <v/>
      </c>
      <c r="O168" s="26" t="str">
        <f>IF(OR(F168 = "", G168 = "", I168 = ""), "", IF(F168 = "Vara", IFERROR(_xlfn.SINGLE(_xlfn.XLOOKUP(G168, Vöruskrá!A:A, Vöruskrá!I:I, "")) * I168 / 100, ""), IF(F168 = "Réttur", IFERROR(_xlfn.SINGLE(_xlfn.XLOOKUP(G168, Réttabanki!A:A, Réttabanki!AV:AV, "")) * I168 / 100, ""), "")))</f>
        <v/>
      </c>
      <c r="P168" s="26" t="str">
        <f>IF(OR(F168 = "", G168 = "", I168 = ""), "", IF(F168 = "Vara", IFERROR(_xlfn.SINGLE(_xlfn.XLOOKUP(G168, Vöruskrá!A:A, Vöruskrá!J:J, "")) * I168 / 100, ""), IF(F168 = "Réttur", IFERROR(_xlfn.SINGLE(_xlfn.XLOOKUP(G168, Réttabanki!A:A, Réttabanki!AW:AW, "")) * I168 / 100, ""), "")))</f>
        <v/>
      </c>
      <c r="Q168" s="26" t="str">
        <f>IF(OR(F168 = "", G168 = "", I168 = ""), "", IF(F168 = "Vara", IFERROR(_xlfn.SINGLE(_xlfn.XLOOKUP(G168, Vöruskrá!A:A, Vöruskrá!N:N, "")) * I168 / 100, ""), IF(F168 = "Réttur", IFERROR(_xlfn.SINGLE(_xlfn.XLOOKUP(G168, Réttabanki!A:A, Réttabanki!BB:BB, "")) * I168 / 100, ""), "")))</f>
        <v/>
      </c>
    </row>
    <row r="169" spans="1:17">
      <c r="B169" s="33" t="str">
        <f>IF(A169&lt;&gt;"",CHOOSE(WEEKDAY(A169,2),"Mánudagur","Þriðjudagur","Miðvikudagur","Fimmtudagur","Föstudagur","Laugardagur","Sunnudagur"),IF(B168&lt;&gt;"",B168,""))</f>
        <v>Miðvikudagur</v>
      </c>
      <c r="C169" s="33">
        <f>IF(A169&lt;&gt;"",WEEKNUM(A169,21),IF(C168&lt;&gt;"",C168,""))</f>
        <v>27</v>
      </c>
      <c r="D169" s="34" t="s">
        <v>910</v>
      </c>
      <c r="E169" s="34" t="s">
        <v>941</v>
      </c>
      <c r="F169" s="34" t="s">
        <v>913</v>
      </c>
      <c r="G169" s="34" t="s">
        <v>1052</v>
      </c>
      <c r="H169" s="34" t="s">
        <v>1053</v>
      </c>
      <c r="I169" s="35">
        <v>20</v>
      </c>
      <c r="J169" s="35">
        <v>20</v>
      </c>
      <c r="K169" s="36"/>
      <c r="L169" s="26" t="str">
        <f>IF(OR(F169 = "", G169 = ""), "", IF(F169 = "Vara", IFERROR(_xlfn.SINGLE(_xlfn.XLOOKUP(G169, Vöruskrá!A:A, Vöruskrá!E:E, "")), ""), IF(F169 = "Réttur", IFERROR(_xlfn.SINGLE(_xlfn.XLOOKUP(G169, Réttabanki!A:A, Réttabanki!AS:AS, "")), ""), "")))</f>
        <v/>
      </c>
      <c r="M169" s="26" t="str">
        <f>IF(OR(F169 = "", G169 = ""), "", IF(F169 = "Vara", IFERROR(_xlfn.SINGLE(_xlfn.XLOOKUP(G169, Vöruskrá!A:A, Vöruskrá!F:F, "")), ""), IF(F169 = "Réttur", IFERROR(_xlfn.SINGLE(_xlfn.XLOOKUP(G169, Réttabanki!A:A, Réttabanki!AT:AT, "")), ""), "")))</f>
        <v/>
      </c>
      <c r="N169" s="26" t="str">
        <f>IF(OR(F169 = "", G169 = ""), "", IF(F169 = "Vara", IFERROR(_xlfn.SINGLE(_xlfn.XLOOKUP(G169, Vöruskrá!A:A, Vöruskrá!G:G, "")), ""), IF(F169 = "Réttur", IFERROR(_xlfn.SINGLE(_xlfn.XLOOKUP(G169, Réttabanki!A:A, Réttabanki!AU:AU, "")), ""), "")))</f>
        <v/>
      </c>
      <c r="O169" s="26" t="str">
        <f>IF(OR(F169 = "", G169 = "", I169 = ""), "", IF(F169 = "Vara", IFERROR(_xlfn.SINGLE(_xlfn.XLOOKUP(G169, Vöruskrá!A:A, Vöruskrá!I:I, "")) * I169 / 100, ""), IF(F169 = "Réttur", IFERROR(_xlfn.SINGLE(_xlfn.XLOOKUP(G169, Réttabanki!A:A, Réttabanki!AV:AV, "")) * I169 / 100, ""), "")))</f>
        <v/>
      </c>
      <c r="P169" s="26" t="str">
        <f>IF(OR(F169 = "", G169 = "", I169 = ""), "", IF(F169 = "Vara", IFERROR(_xlfn.SINGLE(_xlfn.XLOOKUP(G169, Vöruskrá!A:A, Vöruskrá!J:J, "")) * I169 / 100, ""), IF(F169 = "Réttur", IFERROR(_xlfn.SINGLE(_xlfn.XLOOKUP(G169, Réttabanki!A:A, Réttabanki!AW:AW, "")) * I169 / 100, ""), "")))</f>
        <v/>
      </c>
      <c r="Q169" s="26" t="str">
        <f>IF(OR(F169 = "", G169 = "", I169 = ""), "", IF(F169 = "Vara", IFERROR(_xlfn.SINGLE(_xlfn.XLOOKUP(G169, Vöruskrá!A:A, Vöruskrá!N:N, "")) * I169 / 100, ""), IF(F169 = "Réttur", IFERROR(_xlfn.SINGLE(_xlfn.XLOOKUP(G169, Réttabanki!A:A, Réttabanki!BB:BB, "")) * I169 / 100, ""), "")))</f>
        <v/>
      </c>
    </row>
    <row r="170" spans="1:17">
      <c r="A170" s="32">
        <v>46205</v>
      </c>
      <c r="B170" s="33" t="str">
        <f>IF(A170&lt;&gt;"",CHOOSE(WEEKDAY(A170,2),"Mánudagur","Þriðjudagur","Miðvikudagur","Fimmtudagur","Föstudagur","Laugardagur","Sunnudagur"),IF(#REF!&lt;&gt;"",#REF!,""))</f>
        <v>Fimmtudagur</v>
      </c>
      <c r="C170" s="33">
        <f>IF(A170&lt;&gt;"",WEEKNUM(A170,21),IF(#REF!&lt;&gt;"",#REF!,""))</f>
        <v>27</v>
      </c>
      <c r="D170" s="34" t="s">
        <v>910</v>
      </c>
      <c r="E170" s="34" t="s">
        <v>921</v>
      </c>
      <c r="F170" s="34"/>
      <c r="G170" s="34"/>
      <c r="H170" s="34" t="s">
        <v>841</v>
      </c>
      <c r="I170" s="35"/>
      <c r="J170" s="35"/>
      <c r="K170" s="36"/>
      <c r="L170" s="26" t="str">
        <f>IF(OR(F170 = "", G170 = ""), "", IF(F170 = "Vara", IFERROR(_xlfn.SINGLE(_xlfn.XLOOKUP(G170, Vöruskrá!A:A, Vöruskrá!E:E, "")), ""), IF(F170 = "Réttur", IFERROR(_xlfn.SINGLE(_xlfn.XLOOKUP(G170, Réttabanki!A:A, Réttabanki!AS:AS, "")), ""), "")))</f>
        <v/>
      </c>
      <c r="M170" s="26" t="str">
        <f>IF(OR(F170 = "", G170 = ""), "", IF(F170 = "Vara", IFERROR(_xlfn.SINGLE(_xlfn.XLOOKUP(G170, Vöruskrá!A:A, Vöruskrá!F:F, "")), ""), IF(F170 = "Réttur", IFERROR(_xlfn.SINGLE(_xlfn.XLOOKUP(G170, Réttabanki!A:A, Réttabanki!AT:AT, "")), ""), "")))</f>
        <v/>
      </c>
      <c r="N170" s="26" t="str">
        <f>IF(OR(F170 = "", G170 = ""), "", IF(F170 = "Vara", IFERROR(_xlfn.SINGLE(_xlfn.XLOOKUP(G170, Vöruskrá!A:A, Vöruskrá!G:G, "")), ""), IF(F170 = "Réttur", IFERROR(_xlfn.SINGLE(_xlfn.XLOOKUP(G170, Réttabanki!A:A, Réttabanki!AU:AU, "")), ""), "")))</f>
        <v/>
      </c>
      <c r="O170" s="26" t="str">
        <f>IF(OR(F170 = "", G170 = "", I170 = ""), "", IF(F170 = "Vara", IFERROR(_xlfn.SINGLE(_xlfn.XLOOKUP(G170, Vöruskrá!A:A, Vöruskrá!I:I, "")) * I170 / 100, ""), IF(F170 = "Réttur", IFERROR(_xlfn.SINGLE(_xlfn.XLOOKUP(G170, Réttabanki!A:A, Réttabanki!AV:AV, "")) * I170 / 100, ""), "")))</f>
        <v/>
      </c>
      <c r="P170" s="26" t="str">
        <f>IF(OR(F170 = "", G170 = "", I170 = ""), "", IF(F170 = "Vara", IFERROR(_xlfn.SINGLE(_xlfn.XLOOKUP(G170, Vöruskrá!A:A, Vöruskrá!J:J, "")) * I170 / 100, ""), IF(F170 = "Réttur", IFERROR(_xlfn.SINGLE(_xlfn.XLOOKUP(G170, Réttabanki!A:A, Réttabanki!AW:AW, "")) * I170 / 100, ""), "")))</f>
        <v/>
      </c>
      <c r="Q170" s="26" t="str">
        <f>IF(OR(F170 = "", G170 = "", I170 = ""), "", IF(F170 = "Vara", IFERROR(_xlfn.SINGLE(_xlfn.XLOOKUP(G170, Vöruskrá!A:A, Vöruskrá!N:N, "")) * I170 / 100, ""), IF(F170 = "Réttur", IFERROR(_xlfn.SINGLE(_xlfn.XLOOKUP(G170, Réttabanki!A:A, Réttabanki!BB:BB, "")) * I170 / 100, ""), "")))</f>
        <v/>
      </c>
    </row>
    <row r="171" spans="1:17">
      <c r="B171" s="33" t="str">
        <f>IF(A171&lt;&gt;"",CHOOSE(WEEKDAY(A171,2),"Mánudagur","Þriðjudagur","Miðvikudagur","Fimmtudagur","Föstudagur","Laugardagur","Sunnudagur"),IF(B170&lt;&gt;"",B170,""))</f>
        <v>Fimmtudagur</v>
      </c>
      <c r="C171" s="33">
        <f>IF(A171&lt;&gt;"",WEEKNUM(A171,21),IF(C170&lt;&gt;"",C170,""))</f>
        <v>27</v>
      </c>
      <c r="D171" s="34" t="s">
        <v>910</v>
      </c>
      <c r="E171" s="34" t="s">
        <v>921</v>
      </c>
      <c r="F171" s="34" t="s">
        <v>913</v>
      </c>
      <c r="G171" s="34" t="s">
        <v>1091</v>
      </c>
      <c r="H171" s="34" t="s">
        <v>1092</v>
      </c>
      <c r="I171" s="35">
        <v>160</v>
      </c>
      <c r="J171" s="35">
        <v>300</v>
      </c>
      <c r="K171" s="36"/>
      <c r="L171" s="26" t="str">
        <f>IF(OR(F171 = "", G171 = ""), "", IF(F171 = "Vara", IFERROR(_xlfn.SINGLE(_xlfn.XLOOKUP(G171, Vöruskrá!A:A, Vöruskrá!E:E, "")), ""), IF(F171 = "Réttur", IFERROR(_xlfn.SINGLE(_xlfn.XLOOKUP(G171, Réttabanki!A:A, Réttabanki!AS:AS, "")), ""), "")))</f>
        <v/>
      </c>
      <c r="M171" s="26" t="str">
        <f>IF(OR(F171 = "", G171 = ""), "", IF(F171 = "Vara", IFERROR(_xlfn.SINGLE(_xlfn.XLOOKUP(G171, Vöruskrá!A:A, Vöruskrá!F:F, "")), ""), IF(F171 = "Réttur", IFERROR(_xlfn.SINGLE(_xlfn.XLOOKUP(G171, Réttabanki!A:A, Réttabanki!AT:AT, "")), ""), "")))</f>
        <v/>
      </c>
      <c r="N171" s="26" t="str">
        <f>IF(OR(F171 = "", G171 = ""), "", IF(F171 = "Vara", IFERROR(_xlfn.SINGLE(_xlfn.XLOOKUP(G171, Vöruskrá!A:A, Vöruskrá!G:G, "")), ""), IF(F171 = "Réttur", IFERROR(_xlfn.SINGLE(_xlfn.XLOOKUP(G171, Réttabanki!A:A, Réttabanki!AU:AU, "")), ""), "")))</f>
        <v/>
      </c>
      <c r="O171" s="26" t="str">
        <f>IF(OR(F171 = "", G171 = "", I171 = ""), "", IF(F171 = "Vara", IFERROR(_xlfn.SINGLE(_xlfn.XLOOKUP(G171, Vöruskrá!A:A, Vöruskrá!I:I, "")) * I171 / 100, ""), IF(F171 = "Réttur", IFERROR(_xlfn.SINGLE(_xlfn.XLOOKUP(G171, Réttabanki!A:A, Réttabanki!AV:AV, "")) * I171 / 100, ""), "")))</f>
        <v/>
      </c>
      <c r="P171" s="26" t="str">
        <f>IF(OR(F171 = "", G171 = "", I171 = ""), "", IF(F171 = "Vara", IFERROR(_xlfn.SINGLE(_xlfn.XLOOKUP(G171, Vöruskrá!A:A, Vöruskrá!J:J, "")) * I171 / 100, ""), IF(F171 = "Réttur", IFERROR(_xlfn.SINGLE(_xlfn.XLOOKUP(G171, Réttabanki!A:A, Réttabanki!AW:AW, "")) * I171 / 100, ""), "")))</f>
        <v/>
      </c>
      <c r="Q171" s="26" t="str">
        <f>IF(OR(F171 = "", G171 = "", I171 = ""), "", IF(F171 = "Vara", IFERROR(_xlfn.SINGLE(_xlfn.XLOOKUP(G171, Vöruskrá!A:A, Vöruskrá!N:N, "")) * I171 / 100, ""), IF(F171 = "Réttur", IFERROR(_xlfn.SINGLE(_xlfn.XLOOKUP(G171, Réttabanki!A:A, Réttabanki!BB:BB, "")) * I171 / 100, ""), "")))</f>
        <v/>
      </c>
    </row>
    <row r="172" spans="1:17">
      <c r="B172" s="33" t="str">
        <f>IF(A172&lt;&gt;"",CHOOSE(WEEKDAY(A172,2),"Mánudagur","Þriðjudagur","Miðvikudagur","Fimmtudagur","Föstudagur","Laugardagur","Sunnudagur"),IF(B171&lt;&gt;"",B171,""))</f>
        <v>Fimmtudagur</v>
      </c>
      <c r="C172" s="33">
        <f>IF(A172&lt;&gt;"",WEEKNUM(A172,21),IF(C171&lt;&gt;"",C171,""))</f>
        <v>27</v>
      </c>
      <c r="D172" s="34" t="s">
        <v>910</v>
      </c>
      <c r="E172" s="34" t="s">
        <v>921</v>
      </c>
      <c r="F172" s="34" t="s">
        <v>913</v>
      </c>
      <c r="G172" s="34" t="s">
        <v>749</v>
      </c>
      <c r="H172" s="34" t="s">
        <v>1093</v>
      </c>
      <c r="I172" s="35">
        <v>100</v>
      </c>
      <c r="J172" s="35"/>
      <c r="K172" s="36"/>
      <c r="L172" s="26" t="str">
        <f>IF(OR(F172 = "", G172 = ""), "", IF(F172 = "Vara", IFERROR(_xlfn.SINGLE(_xlfn.XLOOKUP(G172, Vöruskrá!A:A, Vöruskrá!E:E, "")), ""), IF(F172 = "Réttur", IFERROR(_xlfn.SINGLE(_xlfn.XLOOKUP(G172, Réttabanki!A:A, Réttabanki!AS:AS, "")), ""), "")))</f>
        <v>**DURUM HVEITI** semolina, vatn.</v>
      </c>
      <c r="M172" s="26" t="str">
        <f>IF(OR(F172 = "", G172 = ""), "", IF(F172 = "Vara", IFERROR(_xlfn.SINGLE(_xlfn.XLOOKUP(G172, Vöruskrá!A:A, Vöruskrá!F:F, "")), ""), IF(F172 = "Réttur", IFERROR(_xlfn.SINGLE(_xlfn.XLOOKUP(G172, Réttabanki!A:A, Réttabanki!AT:AT, "")), ""), "")))</f>
        <v>Glúten (hveiti)</v>
      </c>
      <c r="N172" s="26" t="str">
        <f>IF(OR(F172 = "", G172 = ""), "", IF(F172 = "Vara", IFERROR(_xlfn.SINGLE(_xlfn.XLOOKUP(G172, Vöruskrá!A:A, Vöruskrá!G:G, "")), ""), IF(F172 = "Réttur", IFERROR(_xlfn.SINGLE(_xlfn.XLOOKUP(G172, Réttabanki!A:A, Réttabanki!AU:AU, "")), ""), "")))</f>
        <v>Getur innihaldið egg, soja, sinnep</v>
      </c>
      <c r="O172" s="26">
        <f>IF(OR(F172 = "", G172 = "", I172 = ""), "", IF(F172 = "Vara", IFERROR(_xlfn.SINGLE(_xlfn.XLOOKUP(G172, Vöruskrá!A:A, Vöruskrá!I:I, "")) * I172 / 100, ""), IF(F172 = "Réttur", IFERROR(_xlfn.SINGLE(_xlfn.XLOOKUP(G172, Réttabanki!A:A, Réttabanki!AV:AV, "")) * I172 / 100, ""), "")))</f>
        <v>353</v>
      </c>
      <c r="P172" s="26">
        <f>IF(OR(F172 = "", G172 = "", I172 = ""), "", IF(F172 = "Vara", IFERROR(_xlfn.SINGLE(_xlfn.XLOOKUP(G172, Vöruskrá!A:A, Vöruskrá!J:J, "")) * I172 / 100, ""), IF(F172 = "Réttur", IFERROR(_xlfn.SINGLE(_xlfn.XLOOKUP(G172, Réttabanki!A:A, Réttabanki!AW:AW, "")) * I172 / 100, ""), "")))</f>
        <v>1.2</v>
      </c>
      <c r="Q172" s="26">
        <f>IF(OR(F172 = "", G172 = "", I172 = ""), "", IF(F172 = "Vara", IFERROR(_xlfn.SINGLE(_xlfn.XLOOKUP(G172, Vöruskrá!A:A, Vöruskrá!N:N, "")) * I172 / 100, ""), IF(F172 = "Réttur", IFERROR(_xlfn.SINGLE(_xlfn.XLOOKUP(G172, Réttabanki!A:A, Réttabanki!BB:BB, "")) * I172 / 100, ""), "")))</f>
        <v>12</v>
      </c>
    </row>
    <row r="173" spans="1:17">
      <c r="B173" s="33" t="str">
        <f>IF(A173&lt;&gt;"",CHOOSE(WEEKDAY(A173,2),"Mánudagur","Þriðjudagur","Miðvikudagur","Fimmtudagur","Föstudagur","Laugardagur","Sunnudagur"),IF(B172&lt;&gt;"",B172,""))</f>
        <v>Fimmtudagur</v>
      </c>
      <c r="C173" s="33">
        <f>IF(A173&lt;&gt;"",WEEKNUM(A173,21),IF(C172&lt;&gt;"",C172,""))</f>
        <v>27</v>
      </c>
      <c r="D173" s="34" t="s">
        <v>910</v>
      </c>
      <c r="E173" s="34" t="s">
        <v>927</v>
      </c>
      <c r="F173" s="34"/>
      <c r="G173" s="34"/>
      <c r="H173" s="34" t="s">
        <v>1094</v>
      </c>
      <c r="I173" s="35"/>
      <c r="J173" s="35"/>
      <c r="K173" s="36"/>
      <c r="L173" s="26" t="str">
        <f>IF(OR(F173 = "", G173 = ""), "", IF(F173 = "Vara", IFERROR(_xlfn.SINGLE(_xlfn.XLOOKUP(G173, Vöruskrá!A:A, Vöruskrá!E:E, "")), ""), IF(F173 = "Réttur", IFERROR(_xlfn.SINGLE(_xlfn.XLOOKUP(G173, Réttabanki!A:A, Réttabanki!AS:AS, "")), ""), "")))</f>
        <v/>
      </c>
      <c r="M173" s="26" t="str">
        <f>IF(OR(F173 = "", G173 = ""), "", IF(F173 = "Vara", IFERROR(_xlfn.SINGLE(_xlfn.XLOOKUP(G173, Vöruskrá!A:A, Vöruskrá!F:F, "")), ""), IF(F173 = "Réttur", IFERROR(_xlfn.SINGLE(_xlfn.XLOOKUP(G173, Réttabanki!A:A, Réttabanki!AT:AT, "")), ""), "")))</f>
        <v/>
      </c>
      <c r="N173" s="26" t="str">
        <f>IF(OR(F173 = "", G173 = ""), "", IF(F173 = "Vara", IFERROR(_xlfn.SINGLE(_xlfn.XLOOKUP(G173, Vöruskrá!A:A, Vöruskrá!G:G, "")), ""), IF(F173 = "Réttur", IFERROR(_xlfn.SINGLE(_xlfn.XLOOKUP(G173, Réttabanki!A:A, Réttabanki!AU:AU, "")), ""), "")))</f>
        <v/>
      </c>
      <c r="O173" s="26" t="str">
        <f>IF(OR(F173 = "", G173 = "", I173 = ""), "", IF(F173 = "Vara", IFERROR(_xlfn.SINGLE(_xlfn.XLOOKUP(G173, Vöruskrá!A:A, Vöruskrá!I:I, "")) * I173 / 100, ""), IF(F173 = "Réttur", IFERROR(_xlfn.SINGLE(_xlfn.XLOOKUP(G173, Réttabanki!A:A, Réttabanki!AV:AV, "")) * I173 / 100, ""), "")))</f>
        <v/>
      </c>
      <c r="P173" s="26" t="str">
        <f>IF(OR(F173 = "", G173 = "", I173 = ""), "", IF(F173 = "Vara", IFERROR(_xlfn.SINGLE(_xlfn.XLOOKUP(G173, Vöruskrá!A:A, Vöruskrá!J:J, "")) * I173 / 100, ""), IF(F173 = "Réttur", IFERROR(_xlfn.SINGLE(_xlfn.XLOOKUP(G173, Réttabanki!A:A, Réttabanki!AW:AW, "")) * I173 / 100, ""), "")))</f>
        <v/>
      </c>
      <c r="Q173" s="26" t="str">
        <f>IF(OR(F173 = "", G173 = "", I173 = ""), "", IF(F173 = "Vara", IFERROR(_xlfn.SINGLE(_xlfn.XLOOKUP(G173, Vöruskrá!A:A, Vöruskrá!N:N, "")) * I173 / 100, ""), IF(F173 = "Réttur", IFERROR(_xlfn.SINGLE(_xlfn.XLOOKUP(G173, Réttabanki!A:A, Réttabanki!BB:BB, "")) * I173 / 100, ""), "")))</f>
        <v/>
      </c>
    </row>
    <row r="174" spans="1:17">
      <c r="B174" s="33" t="str">
        <f>IF(A174&lt;&gt;"",CHOOSE(WEEKDAY(A174,2),"Mánudagur","Þriðjudagur","Miðvikudagur","Fimmtudagur","Föstudagur","Laugardagur","Sunnudagur"),IF(B173&lt;&gt;"",B173,""))</f>
        <v>Fimmtudagur</v>
      </c>
      <c r="C174" s="33">
        <f>IF(A174&lt;&gt;"",WEEKNUM(A174,21),IF(C173&lt;&gt;"",C173,""))</f>
        <v>27</v>
      </c>
      <c r="D174" s="34" t="s">
        <v>910</v>
      </c>
      <c r="E174" s="34" t="s">
        <v>927</v>
      </c>
      <c r="F174" s="34" t="s">
        <v>913</v>
      </c>
      <c r="G174" s="34" t="s">
        <v>749</v>
      </c>
      <c r="H174" s="34" t="s">
        <v>1093</v>
      </c>
      <c r="I174" s="35">
        <v>100</v>
      </c>
      <c r="J174" s="35"/>
      <c r="K174" s="36"/>
      <c r="L174" s="26" t="str">
        <f>IF(OR(F174 = "", G174 = ""), "", IF(F174 = "Vara", IFERROR(_xlfn.SINGLE(_xlfn.XLOOKUP(G174, Vöruskrá!A:A, Vöruskrá!E:E, "")), ""), IF(F174 = "Réttur", IFERROR(_xlfn.SINGLE(_xlfn.XLOOKUP(G174, Réttabanki!A:A, Réttabanki!AS:AS, "")), ""), "")))</f>
        <v>**DURUM HVEITI** semolina, vatn.</v>
      </c>
      <c r="M174" s="26" t="str">
        <f>IF(OR(F174 = "", G174 = ""), "", IF(F174 = "Vara", IFERROR(_xlfn.SINGLE(_xlfn.XLOOKUP(G174, Vöruskrá!A:A, Vöruskrá!F:F, "")), ""), IF(F174 = "Réttur", IFERROR(_xlfn.SINGLE(_xlfn.XLOOKUP(G174, Réttabanki!A:A, Réttabanki!AT:AT, "")), ""), "")))</f>
        <v>Glúten (hveiti)</v>
      </c>
      <c r="N174" s="26" t="str">
        <f>IF(OR(F174 = "", G174 = ""), "", IF(F174 = "Vara", IFERROR(_xlfn.SINGLE(_xlfn.XLOOKUP(G174, Vöruskrá!A:A, Vöruskrá!G:G, "")), ""), IF(F174 = "Réttur", IFERROR(_xlfn.SINGLE(_xlfn.XLOOKUP(G174, Réttabanki!A:A, Réttabanki!AU:AU, "")), ""), "")))</f>
        <v>Getur innihaldið egg, soja, sinnep</v>
      </c>
      <c r="O174" s="26">
        <f>IF(OR(F174 = "", G174 = "", I174 = ""), "", IF(F174 = "Vara", IFERROR(_xlfn.SINGLE(_xlfn.XLOOKUP(G174, Vöruskrá!A:A, Vöruskrá!I:I, "")) * I174 / 100, ""), IF(F174 = "Réttur", IFERROR(_xlfn.SINGLE(_xlfn.XLOOKUP(G174, Réttabanki!A:A, Réttabanki!AV:AV, "")) * I174 / 100, ""), "")))</f>
        <v>353</v>
      </c>
      <c r="P174" s="26">
        <f>IF(OR(F174 = "", G174 = "", I174 = ""), "", IF(F174 = "Vara", IFERROR(_xlfn.SINGLE(_xlfn.XLOOKUP(G174, Vöruskrá!A:A, Vöruskrá!J:J, "")) * I174 / 100, ""), IF(F174 = "Réttur", IFERROR(_xlfn.SINGLE(_xlfn.XLOOKUP(G174, Réttabanki!A:A, Réttabanki!AW:AW, "")) * I174 / 100, ""), "")))</f>
        <v>1.2</v>
      </c>
      <c r="Q174" s="26">
        <f>IF(OR(F174 = "", G174 = "", I174 = ""), "", IF(F174 = "Vara", IFERROR(_xlfn.SINGLE(_xlfn.XLOOKUP(G174, Vöruskrá!A:A, Vöruskrá!N:N, "")) * I174 / 100, ""), IF(F174 = "Réttur", IFERROR(_xlfn.SINGLE(_xlfn.XLOOKUP(G174, Réttabanki!A:A, Réttabanki!BB:BB, "")) * I174 / 100, ""), "")))</f>
        <v>12</v>
      </c>
    </row>
    <row r="175" spans="1:17">
      <c r="B175" s="33" t="str">
        <f>IF(A175&lt;&gt;"",CHOOSE(WEEKDAY(A175,2),"Mánudagur","Þriðjudagur","Miðvikudagur","Fimmtudagur","Föstudagur","Laugardagur","Sunnudagur"),IF(B174&lt;&gt;"",B174,""))</f>
        <v>Fimmtudagur</v>
      </c>
      <c r="C175" s="33">
        <f>IF(A175&lt;&gt;"",WEEKNUM(A175,21),IF(C174&lt;&gt;"",C174,""))</f>
        <v>27</v>
      </c>
      <c r="D175" s="34" t="s">
        <v>910</v>
      </c>
      <c r="E175" s="34" t="s">
        <v>933</v>
      </c>
      <c r="F175" s="34"/>
      <c r="G175" s="34"/>
      <c r="H175" s="34" t="s">
        <v>1095</v>
      </c>
      <c r="I175" s="35"/>
      <c r="J175" s="35"/>
      <c r="K175" s="36"/>
      <c r="L175" s="26" t="str">
        <f>IF(OR(F175 = "", G175 = ""), "", IF(F175 = "Vara", IFERROR(_xlfn.SINGLE(_xlfn.XLOOKUP(G175, Vöruskrá!A:A, Vöruskrá!E:E, "")), ""), IF(F175 = "Réttur", IFERROR(_xlfn.SINGLE(_xlfn.XLOOKUP(G175, Réttabanki!A:A, Réttabanki!AS:AS, "")), ""), "")))</f>
        <v/>
      </c>
      <c r="M175" s="26" t="str">
        <f>IF(OR(F175 = "", G175 = ""), "", IF(F175 = "Vara", IFERROR(_xlfn.SINGLE(_xlfn.XLOOKUP(G175, Vöruskrá!A:A, Vöruskrá!F:F, "")), ""), IF(F175 = "Réttur", IFERROR(_xlfn.SINGLE(_xlfn.XLOOKUP(G175, Réttabanki!A:A, Réttabanki!AT:AT, "")), ""), "")))</f>
        <v/>
      </c>
      <c r="N175" s="26" t="str">
        <f>IF(OR(F175 = "", G175 = ""), "", IF(F175 = "Vara", IFERROR(_xlfn.SINGLE(_xlfn.XLOOKUP(G175, Vöruskrá!A:A, Vöruskrá!G:G, "")), ""), IF(F175 = "Réttur", IFERROR(_xlfn.SINGLE(_xlfn.XLOOKUP(G175, Réttabanki!A:A, Réttabanki!AU:AU, "")), ""), "")))</f>
        <v/>
      </c>
      <c r="O175" s="26" t="str">
        <f>IF(OR(F175 = "", G175 = "", I175 = ""), "", IF(F175 = "Vara", IFERROR(_xlfn.SINGLE(_xlfn.XLOOKUP(G175, Vöruskrá!A:A, Vöruskrá!I:I, "")) * I175 / 100, ""), IF(F175 = "Réttur", IFERROR(_xlfn.SINGLE(_xlfn.XLOOKUP(G175, Réttabanki!A:A, Réttabanki!AV:AV, "")) * I175 / 100, ""), "")))</f>
        <v/>
      </c>
      <c r="P175" s="26" t="str">
        <f>IF(OR(F175 = "", G175 = "", I175 = ""), "", IF(F175 = "Vara", IFERROR(_xlfn.SINGLE(_xlfn.XLOOKUP(G175, Vöruskrá!A:A, Vöruskrá!J:J, "")) * I175 / 100, ""), IF(F175 = "Réttur", IFERROR(_xlfn.SINGLE(_xlfn.XLOOKUP(G175, Réttabanki!A:A, Réttabanki!AW:AW, "")) * I175 / 100, ""), "")))</f>
        <v/>
      </c>
      <c r="Q175" s="26" t="str">
        <f>IF(OR(F175 = "", G175 = "", I175 = ""), "", IF(F175 = "Vara", IFERROR(_xlfn.SINGLE(_xlfn.XLOOKUP(G175, Vöruskrá!A:A, Vöruskrá!N:N, "")) * I175 / 100, ""), IF(F175 = "Réttur", IFERROR(_xlfn.SINGLE(_xlfn.XLOOKUP(G175, Réttabanki!A:A, Réttabanki!BB:BB, "")) * I175 / 100, ""), "")))</f>
        <v/>
      </c>
    </row>
    <row r="176" spans="1:17">
      <c r="B176" s="33" t="str">
        <f>IF(A176&lt;&gt;"",CHOOSE(WEEKDAY(A176,2),"Mánudagur","Þriðjudagur","Miðvikudagur","Fimmtudagur","Föstudagur","Laugardagur","Sunnudagur"),IF(B175&lt;&gt;"",B175,""))</f>
        <v>Fimmtudagur</v>
      </c>
      <c r="C176" s="33">
        <f>IF(A176&lt;&gt;"",WEEKNUM(A176,21),IF(C175&lt;&gt;"",C175,""))</f>
        <v>27</v>
      </c>
      <c r="D176" s="34" t="s">
        <v>910</v>
      </c>
      <c r="E176" s="34" t="s">
        <v>941</v>
      </c>
      <c r="F176" s="34"/>
      <c r="G176" s="34"/>
      <c r="H176" s="34" t="s">
        <v>1096</v>
      </c>
      <c r="I176" s="35"/>
      <c r="J176" s="35"/>
      <c r="K176" s="36"/>
      <c r="L176" s="26" t="str">
        <f>IF(OR(F176 = "", G176 = ""), "", IF(F176 = "Vara", IFERROR(_xlfn.SINGLE(_xlfn.XLOOKUP(G176, Vöruskrá!A:A, Vöruskrá!E:E, "")), ""), IF(F176 = "Réttur", IFERROR(_xlfn.SINGLE(_xlfn.XLOOKUP(G176, Réttabanki!A:A, Réttabanki!AS:AS, "")), ""), "")))</f>
        <v/>
      </c>
      <c r="M176" s="26" t="str">
        <f>IF(OR(F176 = "", G176 = ""), "", IF(F176 = "Vara", IFERROR(_xlfn.SINGLE(_xlfn.XLOOKUP(G176, Vöruskrá!A:A, Vöruskrá!F:F, "")), ""), IF(F176 = "Réttur", IFERROR(_xlfn.SINGLE(_xlfn.XLOOKUP(G176, Réttabanki!A:A, Réttabanki!AT:AT, "")), ""), "")))</f>
        <v/>
      </c>
      <c r="N176" s="26" t="str">
        <f>IF(OR(F176 = "", G176 = ""), "", IF(F176 = "Vara", IFERROR(_xlfn.SINGLE(_xlfn.XLOOKUP(G176, Vöruskrá!A:A, Vöruskrá!G:G, "")), ""), IF(F176 = "Réttur", IFERROR(_xlfn.SINGLE(_xlfn.XLOOKUP(G176, Réttabanki!A:A, Réttabanki!AU:AU, "")), ""), "")))</f>
        <v/>
      </c>
      <c r="O176" s="26" t="str">
        <f>IF(OR(F176 = "", G176 = "", I176 = ""), "", IF(F176 = "Vara", IFERROR(_xlfn.SINGLE(_xlfn.XLOOKUP(G176, Vöruskrá!A:A, Vöruskrá!I:I, "")) * I176 / 100, ""), IF(F176 = "Réttur", IFERROR(_xlfn.SINGLE(_xlfn.XLOOKUP(G176, Réttabanki!A:A, Réttabanki!AV:AV, "")) * I176 / 100, ""), "")))</f>
        <v/>
      </c>
      <c r="P176" s="26" t="str">
        <f>IF(OR(F176 = "", G176 = "", I176 = ""), "", IF(F176 = "Vara", IFERROR(_xlfn.SINGLE(_xlfn.XLOOKUP(G176, Vöruskrá!A:A, Vöruskrá!J:J, "")) * I176 / 100, ""), IF(F176 = "Réttur", IFERROR(_xlfn.SINGLE(_xlfn.XLOOKUP(G176, Réttabanki!A:A, Réttabanki!AW:AW, "")) * I176 / 100, ""), "")))</f>
        <v/>
      </c>
      <c r="Q176" s="26" t="str">
        <f>IF(OR(F176 = "", G176 = "", I176 = ""), "", IF(F176 = "Vara", IFERROR(_xlfn.SINGLE(_xlfn.XLOOKUP(G176, Vöruskrá!A:A, Vöruskrá!N:N, "")) * I176 / 100, ""), IF(F176 = "Réttur", IFERROR(_xlfn.SINGLE(_xlfn.XLOOKUP(G176, Réttabanki!A:A, Réttabanki!BB:BB, "")) * I176 / 100, ""), "")))</f>
        <v/>
      </c>
    </row>
    <row r="177" spans="2:17">
      <c r="B177" s="33" t="str">
        <f>IF(A177&lt;&gt;"",CHOOSE(WEEKDAY(A177,2),"Mánudagur","Þriðjudagur","Miðvikudagur","Fimmtudagur","Föstudagur","Laugardagur","Sunnudagur"),IF(B176&lt;&gt;"",B176,""))</f>
        <v>Fimmtudagur</v>
      </c>
      <c r="C177" s="33">
        <f>IF(A177&lt;&gt;"",WEEKNUM(A177,21),IF(C176&lt;&gt;"",C176,""))</f>
        <v>27</v>
      </c>
      <c r="D177" s="34" t="s">
        <v>910</v>
      </c>
      <c r="E177" s="34" t="s">
        <v>941</v>
      </c>
      <c r="F177" s="34" t="s">
        <v>913</v>
      </c>
      <c r="G177" s="34" t="s">
        <v>1097</v>
      </c>
      <c r="H177" s="34" t="s">
        <v>1098</v>
      </c>
      <c r="I177" s="35">
        <v>40</v>
      </c>
      <c r="J177" s="35">
        <v>60</v>
      </c>
      <c r="K177" s="36"/>
      <c r="L177" s="26" t="str">
        <f>IF(OR(F177 = "", G177 = ""), "", IF(F177 = "Vara", IFERROR(_xlfn.SINGLE(_xlfn.XLOOKUP(G177, Vöruskrá!A:A, Vöruskrá!E:E, "")), ""), IF(F177 = "Réttur", IFERROR(_xlfn.SINGLE(_xlfn.XLOOKUP(G177, Réttabanki!A:A, Réttabanki!AS:AS, "")), ""), "")))</f>
        <v/>
      </c>
      <c r="M177" s="26" t="str">
        <f>IF(OR(F177 = "", G177 = ""), "", IF(F177 = "Vara", IFERROR(_xlfn.SINGLE(_xlfn.XLOOKUP(G177, Vöruskrá!A:A, Vöruskrá!F:F, "")), ""), IF(F177 = "Réttur", IFERROR(_xlfn.SINGLE(_xlfn.XLOOKUP(G177, Réttabanki!A:A, Réttabanki!AT:AT, "")), ""), "")))</f>
        <v/>
      </c>
      <c r="N177" s="26" t="str">
        <f>IF(OR(F177 = "", G177 = ""), "", IF(F177 = "Vara", IFERROR(_xlfn.SINGLE(_xlfn.XLOOKUP(G177, Vöruskrá!A:A, Vöruskrá!G:G, "")), ""), IF(F177 = "Réttur", IFERROR(_xlfn.SINGLE(_xlfn.XLOOKUP(G177, Réttabanki!A:A, Réttabanki!AU:AU, "")), ""), "")))</f>
        <v/>
      </c>
      <c r="O177" s="26" t="str">
        <f>IF(OR(F177 = "", G177 = "", I177 = ""), "", IF(F177 = "Vara", IFERROR(_xlfn.SINGLE(_xlfn.XLOOKUP(G177, Vöruskrá!A:A, Vöruskrá!I:I, "")) * I177 / 100, ""), IF(F177 = "Réttur", IFERROR(_xlfn.SINGLE(_xlfn.XLOOKUP(G177, Réttabanki!A:A, Réttabanki!AV:AV, "")) * I177 / 100, ""), "")))</f>
        <v/>
      </c>
      <c r="P177" s="26" t="str">
        <f>IF(OR(F177 = "", G177 = "", I177 = ""), "", IF(F177 = "Vara", IFERROR(_xlfn.SINGLE(_xlfn.XLOOKUP(G177, Vöruskrá!A:A, Vöruskrá!J:J, "")) * I177 / 100, ""), IF(F177 = "Réttur", IFERROR(_xlfn.SINGLE(_xlfn.XLOOKUP(G177, Réttabanki!A:A, Réttabanki!AW:AW, "")) * I177 / 100, ""), "")))</f>
        <v/>
      </c>
      <c r="Q177" s="26" t="str">
        <f>IF(OR(F177 = "", G177 = "", I177 = ""), "", IF(F177 = "Vara", IFERROR(_xlfn.SINGLE(_xlfn.XLOOKUP(G177, Vöruskrá!A:A, Vöruskrá!N:N, "")) * I177 / 100, ""), IF(F177 = "Réttur", IFERROR(_xlfn.SINGLE(_xlfn.XLOOKUP(G177, Réttabanki!A:A, Réttabanki!BB:BB, "")) * I177 / 100, ""), "")))</f>
        <v/>
      </c>
    </row>
    <row r="178" spans="2:17">
      <c r="B178" s="33" t="str">
        <f>IF(A178&lt;&gt;"",CHOOSE(WEEKDAY(A178,2),"Mánudagur","Þriðjudagur","Miðvikudagur","Fimmtudagur","Föstudagur","Laugardagur","Sunnudagur"),IF(B177&lt;&gt;"",B177,""))</f>
        <v>Fimmtudagur</v>
      </c>
      <c r="C178" s="33">
        <f>IF(A178&lt;&gt;"",WEEKNUM(A178,21),IF(C177&lt;&gt;"",C177,""))</f>
        <v>27</v>
      </c>
      <c r="D178" s="34" t="s">
        <v>910</v>
      </c>
      <c r="E178" s="34" t="s">
        <v>941</v>
      </c>
      <c r="F178" s="34" t="s">
        <v>913</v>
      </c>
      <c r="G178" s="34" t="s">
        <v>939</v>
      </c>
      <c r="H178" s="34" t="s">
        <v>940</v>
      </c>
      <c r="I178" s="35">
        <v>20</v>
      </c>
      <c r="J178" s="35">
        <v>20</v>
      </c>
      <c r="K178" s="36"/>
      <c r="L178" s="26" t="str">
        <f>IF(OR(F178 = "", G178 = ""), "", IF(F178 = "Vara", IFERROR(_xlfn.SINGLE(_xlfn.XLOOKUP(G178, Vöruskrá!A:A, Vöruskrá!E:E, "")), ""), IF(F178 = "Réttur", IFERROR(_xlfn.SINGLE(_xlfn.XLOOKUP(G178, Réttabanki!A:A, Réttabanki!AS:AS, "")), ""), "")))</f>
        <v/>
      </c>
      <c r="M178" s="26" t="str">
        <f>IF(OR(F178 = "", G178 = ""), "", IF(F178 = "Vara", IFERROR(_xlfn.SINGLE(_xlfn.XLOOKUP(G178, Vöruskrá!A:A, Vöruskrá!F:F, "")), ""), IF(F178 = "Réttur", IFERROR(_xlfn.SINGLE(_xlfn.XLOOKUP(G178, Réttabanki!A:A, Réttabanki!AT:AT, "")), ""), "")))</f>
        <v/>
      </c>
      <c r="N178" s="26" t="str">
        <f>IF(OR(F178 = "", G178 = ""), "", IF(F178 = "Vara", IFERROR(_xlfn.SINGLE(_xlfn.XLOOKUP(G178, Vöruskrá!A:A, Vöruskrá!G:G, "")), ""), IF(F178 = "Réttur", IFERROR(_xlfn.SINGLE(_xlfn.XLOOKUP(G178, Réttabanki!A:A, Réttabanki!AU:AU, "")), ""), "")))</f>
        <v/>
      </c>
      <c r="O178" s="26" t="str">
        <f>IF(OR(F178 = "", G178 = "", I178 = ""), "", IF(F178 = "Vara", IFERROR(_xlfn.SINGLE(_xlfn.XLOOKUP(G178, Vöruskrá!A:A, Vöruskrá!I:I, "")) * I178 / 100, ""), IF(F178 = "Réttur", IFERROR(_xlfn.SINGLE(_xlfn.XLOOKUP(G178, Réttabanki!A:A, Réttabanki!AV:AV, "")) * I178 / 100, ""), "")))</f>
        <v/>
      </c>
      <c r="P178" s="26" t="str">
        <f>IF(OR(F178 = "", G178 = "", I178 = ""), "", IF(F178 = "Vara", IFERROR(_xlfn.SINGLE(_xlfn.XLOOKUP(G178, Vöruskrá!A:A, Vöruskrá!J:J, "")) * I178 / 100, ""), IF(F178 = "Réttur", IFERROR(_xlfn.SINGLE(_xlfn.XLOOKUP(G178, Réttabanki!A:A, Réttabanki!AW:AW, "")) * I178 / 100, ""), "")))</f>
        <v/>
      </c>
      <c r="Q178" s="26" t="str">
        <f>IF(OR(F178 = "", G178 = "", I178 = ""), "", IF(F178 = "Vara", IFERROR(_xlfn.SINGLE(_xlfn.XLOOKUP(G178, Vöruskrá!A:A, Vöruskrá!N:N, "")) * I178 / 100, ""), IF(F178 = "Réttur", IFERROR(_xlfn.SINGLE(_xlfn.XLOOKUP(G178, Réttabanki!A:A, Réttabanki!BB:BB, "")) * I178 / 100, ""), "")))</f>
        <v/>
      </c>
    </row>
    <row r="179" spans="2:17">
      <c r="B179" s="33" t="str">
        <f>IF(A179&lt;&gt;"",CHOOSE(WEEKDAY(A179,2),"Mánudagur","Þriðjudagur","Miðvikudagur","Fimmtudagur","Föstudagur","Laugardagur","Sunnudagur"),IF(B178&lt;&gt;"",B178,""))</f>
        <v>Fimmtudagur</v>
      </c>
      <c r="C179" s="33">
        <f>IF(A179&lt;&gt;"",WEEKNUM(A179,21),IF(C178&lt;&gt;"",C178,""))</f>
        <v>27</v>
      </c>
      <c r="D179" s="34" t="s">
        <v>910</v>
      </c>
      <c r="E179" s="34" t="s">
        <v>941</v>
      </c>
      <c r="F179" s="34" t="s">
        <v>913</v>
      </c>
      <c r="G179" s="34" t="s">
        <v>1099</v>
      </c>
      <c r="H179" s="34" t="s">
        <v>27</v>
      </c>
      <c r="I179" s="35">
        <v>40</v>
      </c>
      <c r="J179" s="35">
        <v>40</v>
      </c>
      <c r="K179" s="36"/>
      <c r="L179" s="26" t="str">
        <f>IF(OR(F179 = "", G179 = ""), "", IF(F179 = "Vara", IFERROR(_xlfn.SINGLE(_xlfn.XLOOKUP(G179, Vöruskrá!A:A, Vöruskrá!E:E, "")), ""), IF(F179 = "Réttur", IFERROR(_xlfn.SINGLE(_xlfn.XLOOKUP(G179, Réttabanki!A:A, Réttabanki!AS:AS, "")), ""), "")))</f>
        <v/>
      </c>
      <c r="M179" s="26" t="str">
        <f>IF(OR(F179 = "", G179 = ""), "", IF(F179 = "Vara", IFERROR(_xlfn.SINGLE(_xlfn.XLOOKUP(G179, Vöruskrá!A:A, Vöruskrá!F:F, "")), ""), IF(F179 = "Réttur", IFERROR(_xlfn.SINGLE(_xlfn.XLOOKUP(G179, Réttabanki!A:A, Réttabanki!AT:AT, "")), ""), "")))</f>
        <v/>
      </c>
      <c r="N179" s="26" t="str">
        <f>IF(OR(F179 = "", G179 = ""), "", IF(F179 = "Vara", IFERROR(_xlfn.SINGLE(_xlfn.XLOOKUP(G179, Vöruskrá!A:A, Vöruskrá!G:G, "")), ""), IF(F179 = "Réttur", IFERROR(_xlfn.SINGLE(_xlfn.XLOOKUP(G179, Réttabanki!A:A, Réttabanki!AU:AU, "")), ""), "")))</f>
        <v/>
      </c>
      <c r="O179" s="26" t="str">
        <f>IF(OR(F179 = "", G179 = "", I179 = ""), "", IF(F179 = "Vara", IFERROR(_xlfn.SINGLE(_xlfn.XLOOKUP(G179, Vöruskrá!A:A, Vöruskrá!I:I, "")) * I179 / 100, ""), IF(F179 = "Réttur", IFERROR(_xlfn.SINGLE(_xlfn.XLOOKUP(G179, Réttabanki!A:A, Réttabanki!AV:AV, "")) * I179 / 100, ""), "")))</f>
        <v/>
      </c>
      <c r="P179" s="26" t="str">
        <f>IF(OR(F179 = "", G179 = "", I179 = ""), "", IF(F179 = "Vara", IFERROR(_xlfn.SINGLE(_xlfn.XLOOKUP(G179, Vöruskrá!A:A, Vöruskrá!J:J, "")) * I179 / 100, ""), IF(F179 = "Réttur", IFERROR(_xlfn.SINGLE(_xlfn.XLOOKUP(G179, Réttabanki!A:A, Réttabanki!AW:AW, "")) * I179 / 100, ""), "")))</f>
        <v/>
      </c>
      <c r="Q179" s="26" t="str">
        <f>IF(OR(F179 = "", G179 = "", I179 = ""), "", IF(F179 = "Vara", IFERROR(_xlfn.SINGLE(_xlfn.XLOOKUP(G179, Vöruskrá!A:A, Vöruskrá!N:N, "")) * I179 / 100, ""), IF(F179 = "Réttur", IFERROR(_xlfn.SINGLE(_xlfn.XLOOKUP(G179, Réttabanki!A:A, Réttabanki!BB:BB, "")) * I179 / 100, ""), "")))</f>
        <v/>
      </c>
    </row>
    <row r="180" spans="2:17">
      <c r="B180" s="33" t="str">
        <f>IF(A180&lt;&gt;"",CHOOSE(WEEKDAY(A180,2),"Mánudagur","Þriðjudagur","Miðvikudagur","Fimmtudagur","Föstudagur","Laugardagur","Sunnudagur"),IF(B179&lt;&gt;"",B179,""))</f>
        <v>Fimmtudagur</v>
      </c>
      <c r="C180" s="33">
        <f>IF(A180&lt;&gt;"",WEEKNUM(A180,21),IF(C179&lt;&gt;"",C179,""))</f>
        <v>27</v>
      </c>
      <c r="D180" s="34" t="s">
        <v>910</v>
      </c>
      <c r="E180" s="34" t="s">
        <v>941</v>
      </c>
      <c r="F180" s="34" t="s">
        <v>913</v>
      </c>
      <c r="G180" s="34" t="s">
        <v>937</v>
      </c>
      <c r="H180" s="34" t="s">
        <v>964</v>
      </c>
      <c r="I180" s="35">
        <v>10</v>
      </c>
      <c r="J180" s="35">
        <v>10</v>
      </c>
      <c r="K180" s="36"/>
      <c r="L180" s="26" t="str">
        <f>IF(OR(F180 = "", G180 = ""), "", IF(F180 = "Vara", IFERROR(_xlfn.SINGLE(_xlfn.XLOOKUP(G180, Vöruskrá!A:A, Vöruskrá!E:E, "")), ""), IF(F180 = "Réttur", IFERROR(_xlfn.SINGLE(_xlfn.XLOOKUP(G180, Réttabanki!A:A, Réttabanki!AS:AS, "")), ""), "")))</f>
        <v/>
      </c>
      <c r="M180" s="26" t="str">
        <f>IF(OR(F180 = "", G180 = ""), "", IF(F180 = "Vara", IFERROR(_xlfn.SINGLE(_xlfn.XLOOKUP(G180, Vöruskrá!A:A, Vöruskrá!F:F, "")), ""), IF(F180 = "Réttur", IFERROR(_xlfn.SINGLE(_xlfn.XLOOKUP(G180, Réttabanki!A:A, Réttabanki!AT:AT, "")), ""), "")))</f>
        <v/>
      </c>
      <c r="N180" s="26" t="str">
        <f>IF(OR(F180 = "", G180 = ""), "", IF(F180 = "Vara", IFERROR(_xlfn.SINGLE(_xlfn.XLOOKUP(G180, Vöruskrá!A:A, Vöruskrá!G:G, "")), ""), IF(F180 = "Réttur", IFERROR(_xlfn.SINGLE(_xlfn.XLOOKUP(G180, Réttabanki!A:A, Réttabanki!AU:AU, "")), ""), "")))</f>
        <v/>
      </c>
      <c r="O180" s="26" t="str">
        <f>IF(OR(F180 = "", G180 = "", I180 = ""), "", IF(F180 = "Vara", IFERROR(_xlfn.SINGLE(_xlfn.XLOOKUP(G180, Vöruskrá!A:A, Vöruskrá!I:I, "")) * I180 / 100, ""), IF(F180 = "Réttur", IFERROR(_xlfn.SINGLE(_xlfn.XLOOKUP(G180, Réttabanki!A:A, Réttabanki!AV:AV, "")) * I180 / 100, ""), "")))</f>
        <v/>
      </c>
      <c r="P180" s="26" t="str">
        <f>IF(OR(F180 = "", G180 = "", I180 = ""), "", IF(F180 = "Vara", IFERROR(_xlfn.SINGLE(_xlfn.XLOOKUP(G180, Vöruskrá!A:A, Vöruskrá!J:J, "")) * I180 / 100, ""), IF(F180 = "Réttur", IFERROR(_xlfn.SINGLE(_xlfn.XLOOKUP(G180, Réttabanki!A:A, Réttabanki!AW:AW, "")) * I180 / 100, ""), "")))</f>
        <v/>
      </c>
      <c r="Q180" s="26" t="str">
        <f>IF(OR(F180 = "", G180 = "", I180 = ""), "", IF(F180 = "Vara", IFERROR(_xlfn.SINGLE(_xlfn.XLOOKUP(G180, Vöruskrá!A:A, Vöruskrá!N:N, "")) * I180 / 100, ""), IF(F180 = "Réttur", IFERROR(_xlfn.SINGLE(_xlfn.XLOOKUP(G180, Réttabanki!A:A, Réttabanki!BB:BB, "")) * I180 / 100, ""), "")))</f>
        <v/>
      </c>
    </row>
    <row r="181" spans="2:17">
      <c r="B181" s="33" t="str">
        <f>IF(A181&lt;&gt;"",CHOOSE(WEEKDAY(A181,2),"Mánudagur","Þriðjudagur","Miðvikudagur","Fimmtudagur","Föstudagur","Laugardagur","Sunnudagur"),IF(B180&lt;&gt;"",B180,""))</f>
        <v>Fimmtudagur</v>
      </c>
      <c r="C181" s="33">
        <f>IF(A181&lt;&gt;"",WEEKNUM(A181,21),IF(C180&lt;&gt;"",C180,""))</f>
        <v>27</v>
      </c>
      <c r="D181" s="34"/>
      <c r="E181" s="34"/>
      <c r="F181" s="34"/>
      <c r="G181" s="34"/>
      <c r="H181" s="34"/>
      <c r="I181" s="35"/>
      <c r="J181" s="35"/>
      <c r="K181" s="36"/>
      <c r="L181" s="26" t="str">
        <f>IF(OR(F181 = "", G181 = ""), "", IF(F181 = "Vara", IFERROR(_xlfn.SINGLE(_xlfn.XLOOKUP(G181, Vöruskrá!A:A, Vöruskrá!E:E, "")), ""), IF(F181 = "Réttur", IFERROR(_xlfn.SINGLE(_xlfn.XLOOKUP(G181, Réttabanki!A:A, Réttabanki!AS:AS, "")), ""), "")))</f>
        <v/>
      </c>
      <c r="M181" s="26" t="str">
        <f>IF(OR(F181 = "", G181 = ""), "", IF(F181 = "Vara", IFERROR(_xlfn.SINGLE(_xlfn.XLOOKUP(G181, Vöruskrá!A:A, Vöruskrá!F:F, "")), ""), IF(F181 = "Réttur", IFERROR(_xlfn.SINGLE(_xlfn.XLOOKUP(G181, Réttabanki!A:A, Réttabanki!AT:AT, "")), ""), "")))</f>
        <v/>
      </c>
      <c r="N181" s="26" t="str">
        <f>IF(OR(F181 = "", G181 = ""), "", IF(F181 = "Vara", IFERROR(_xlfn.SINGLE(_xlfn.XLOOKUP(G181, Vöruskrá!A:A, Vöruskrá!G:G, "")), ""), IF(F181 = "Réttur", IFERROR(_xlfn.SINGLE(_xlfn.XLOOKUP(G181, Réttabanki!A:A, Réttabanki!AU:AU, "")), ""), "")))</f>
        <v/>
      </c>
      <c r="O181" s="26" t="str">
        <f>IF(OR(F181 = "", G181 = "", I181 = ""), "", IF(F181 = "Vara", IFERROR(_xlfn.SINGLE(_xlfn.XLOOKUP(G181, Vöruskrá!A:A, Vöruskrá!I:I, "")) * I181 / 100, ""), IF(F181 = "Réttur", IFERROR(_xlfn.SINGLE(_xlfn.XLOOKUP(G181, Réttabanki!A:A, Réttabanki!AV:AV, "")) * I181 / 100, ""), "")))</f>
        <v/>
      </c>
      <c r="P181" s="26" t="str">
        <f>IF(OR(F181 = "", G181 = "", I181 = ""), "", IF(F181 = "Vara", IFERROR(_xlfn.SINGLE(_xlfn.XLOOKUP(G181, Vöruskrá!A:A, Vöruskrá!J:J, "")) * I181 / 100, ""), IF(F181 = "Réttur", IFERROR(_xlfn.SINGLE(_xlfn.XLOOKUP(G181, Réttabanki!A:A, Réttabanki!AW:AW, "")) * I181 / 100, ""), "")))</f>
        <v/>
      </c>
      <c r="Q181" s="26" t="str">
        <f>IF(OR(F181 = "", G181 = "", I181 = ""), "", IF(F181 = "Vara", IFERROR(_xlfn.SINGLE(_xlfn.XLOOKUP(G181, Vöruskrá!A:A, Vöruskrá!N:N, "")) * I181 / 100, ""), IF(F181 = "Réttur", IFERROR(_xlfn.SINGLE(_xlfn.XLOOKUP(G181, Réttabanki!A:A, Réttabanki!BB:BB, "")) * I181 / 100, ""), "")))</f>
        <v/>
      </c>
    </row>
    <row r="182" spans="2:17">
      <c r="B182" s="33" t="str">
        <f>IF(A182&lt;&gt;"",CHOOSE(WEEKDAY(A182,2),"Mánudagur","Þriðjudagur","Miðvikudagur","Fimmtudagur","Föstudagur","Laugardagur","Sunnudagur"),IF(B181&lt;&gt;"",B181,""))</f>
        <v>Fimmtudagur</v>
      </c>
      <c r="C182" s="33">
        <f>IF(A182&lt;&gt;"",WEEKNUM(A182,21),IF(C181&lt;&gt;"",C181,""))</f>
        <v>27</v>
      </c>
      <c r="D182" s="34"/>
      <c r="E182" s="34"/>
      <c r="F182" s="34"/>
      <c r="G182" s="34"/>
      <c r="H182" s="34"/>
      <c r="I182" s="35"/>
      <c r="J182" s="35"/>
      <c r="K182" s="36"/>
      <c r="L182" s="26" t="str">
        <f>IF(OR(F182 = "", G182 = ""), "", IF(F182 = "Vara", IFERROR(_xlfn.SINGLE(_xlfn.XLOOKUP(G182, Vöruskrá!A:A, Vöruskrá!E:E, "")), ""), IF(F182 = "Réttur", IFERROR(_xlfn.SINGLE(_xlfn.XLOOKUP(G182, Réttabanki!A:A, Réttabanki!AS:AS, "")), ""), "")))</f>
        <v/>
      </c>
      <c r="M182" s="26" t="str">
        <f>IF(OR(F182 = "", G182 = ""), "", IF(F182 = "Vara", IFERROR(_xlfn.SINGLE(_xlfn.XLOOKUP(G182, Vöruskrá!A:A, Vöruskrá!F:F, "")), ""), IF(F182 = "Réttur", IFERROR(_xlfn.SINGLE(_xlfn.XLOOKUP(G182, Réttabanki!A:A, Réttabanki!AT:AT, "")), ""), "")))</f>
        <v/>
      </c>
      <c r="N182" s="26" t="str">
        <f>IF(OR(F182 = "", G182 = ""), "", IF(F182 = "Vara", IFERROR(_xlfn.SINGLE(_xlfn.XLOOKUP(G182, Vöruskrá!A:A, Vöruskrá!G:G, "")), ""), IF(F182 = "Réttur", IFERROR(_xlfn.SINGLE(_xlfn.XLOOKUP(G182, Réttabanki!A:A, Réttabanki!AU:AU, "")), ""), "")))</f>
        <v/>
      </c>
      <c r="O182" s="26" t="str">
        <f>IF(OR(F182 = "", G182 = "", I182 = ""), "", IF(F182 = "Vara", IFERROR(_xlfn.SINGLE(_xlfn.XLOOKUP(G182, Vöruskrá!A:A, Vöruskrá!I:I, "")) * I182 / 100, ""), IF(F182 = "Réttur", IFERROR(_xlfn.SINGLE(_xlfn.XLOOKUP(G182, Réttabanki!A:A, Réttabanki!AV:AV, "")) * I182 / 100, ""), "")))</f>
        <v/>
      </c>
      <c r="P182" s="26" t="str">
        <f>IF(OR(F182 = "", G182 = "", I182 = ""), "", IF(F182 = "Vara", IFERROR(_xlfn.SINGLE(_xlfn.XLOOKUP(G182, Vöruskrá!A:A, Vöruskrá!J:J, "")) * I182 / 100, ""), IF(F182 = "Réttur", IFERROR(_xlfn.SINGLE(_xlfn.XLOOKUP(G182, Réttabanki!A:A, Réttabanki!AW:AW, "")) * I182 / 100, ""), "")))</f>
        <v/>
      </c>
      <c r="Q182" s="26" t="str">
        <f>IF(OR(F182 = "", G182 = "", I182 = ""), "", IF(F182 = "Vara", IFERROR(_xlfn.SINGLE(_xlfn.XLOOKUP(G182, Vöruskrá!A:A, Vöruskrá!N:N, "")) * I182 / 100, ""), IF(F182 = "Réttur", IFERROR(_xlfn.SINGLE(_xlfn.XLOOKUP(G182, Réttabanki!A:A, Réttabanki!BB:BB, "")) * I182 / 100, ""), "")))</f>
        <v/>
      </c>
    </row>
    <row r="183" spans="2:17">
      <c r="B183" s="33" t="str">
        <f>IF(A183&lt;&gt;"",CHOOSE(WEEKDAY(A183,2),"Mánudagur","Þriðjudagur","Miðvikudagur","Fimmtudagur","Föstudagur","Laugardagur","Sunnudagur"),IF(B182&lt;&gt;"",B182,""))</f>
        <v>Fimmtudagur</v>
      </c>
      <c r="C183" s="33">
        <f>IF(A183&lt;&gt;"",WEEKNUM(A183,21),IF(C182&lt;&gt;"",C182,""))</f>
        <v>27</v>
      </c>
      <c r="D183" s="34"/>
      <c r="E183" s="34"/>
      <c r="F183" s="34"/>
      <c r="G183" s="34"/>
      <c r="H183" s="34"/>
      <c r="I183" s="35"/>
      <c r="J183" s="35"/>
      <c r="K183" s="36"/>
      <c r="L183" s="26" t="str">
        <f>IF(OR(F183 = "", G183 = ""), "", IF(F183 = "Vara", IFERROR(_xlfn.SINGLE(_xlfn.XLOOKUP(G183, Vöruskrá!A:A, Vöruskrá!E:E, "")), ""), IF(F183 = "Réttur", IFERROR(_xlfn.SINGLE(_xlfn.XLOOKUP(G183, Réttabanki!A:A, Réttabanki!AS:AS, "")), ""), "")))</f>
        <v/>
      </c>
      <c r="M183" s="26" t="str">
        <f>IF(OR(F183 = "", G183 = ""), "", IF(F183 = "Vara", IFERROR(_xlfn.SINGLE(_xlfn.XLOOKUP(G183, Vöruskrá!A:A, Vöruskrá!F:F, "")), ""), IF(F183 = "Réttur", IFERROR(_xlfn.SINGLE(_xlfn.XLOOKUP(G183, Réttabanki!A:A, Réttabanki!AT:AT, "")), ""), "")))</f>
        <v/>
      </c>
      <c r="N183" s="26" t="str">
        <f>IF(OR(F183 = "", G183 = ""), "", IF(F183 = "Vara", IFERROR(_xlfn.SINGLE(_xlfn.XLOOKUP(G183, Vöruskrá!A:A, Vöruskrá!G:G, "")), ""), IF(F183 = "Réttur", IFERROR(_xlfn.SINGLE(_xlfn.XLOOKUP(G183, Réttabanki!A:A, Réttabanki!AU:AU, "")), ""), "")))</f>
        <v/>
      </c>
      <c r="O183" s="26" t="str">
        <f>IF(OR(F183 = "", G183 = "", I183 = ""), "", IF(F183 = "Vara", IFERROR(_xlfn.SINGLE(_xlfn.XLOOKUP(G183, Vöruskrá!A:A, Vöruskrá!I:I, "")) * I183 / 100, ""), IF(F183 = "Réttur", IFERROR(_xlfn.SINGLE(_xlfn.XLOOKUP(G183, Réttabanki!A:A, Réttabanki!AV:AV, "")) * I183 / 100, ""), "")))</f>
        <v/>
      </c>
      <c r="P183" s="26" t="str">
        <f>IF(OR(F183 = "", G183 = "", I183 = ""), "", IF(F183 = "Vara", IFERROR(_xlfn.SINGLE(_xlfn.XLOOKUP(G183, Vöruskrá!A:A, Vöruskrá!J:J, "")) * I183 / 100, ""), IF(F183 = "Réttur", IFERROR(_xlfn.SINGLE(_xlfn.XLOOKUP(G183, Réttabanki!A:A, Réttabanki!AW:AW, "")) * I183 / 100, ""), "")))</f>
        <v/>
      </c>
      <c r="Q183" s="26" t="str">
        <f>IF(OR(F183 = "", G183 = "", I183 = ""), "", IF(F183 = "Vara", IFERROR(_xlfn.SINGLE(_xlfn.XLOOKUP(G183, Vöruskrá!A:A, Vöruskrá!N:N, "")) * I183 / 100, ""), IF(F183 = "Réttur", IFERROR(_xlfn.SINGLE(_xlfn.XLOOKUP(G183, Réttabanki!A:A, Réttabanki!BB:BB, "")) * I183 / 100, ""), "")))</f>
        <v/>
      </c>
    </row>
    <row r="184" spans="2:17">
      <c r="B184" s="33" t="str">
        <f>IF(A184&lt;&gt;"",CHOOSE(WEEKDAY(A184,2),"Mánudagur","Þriðjudagur","Miðvikudagur","Fimmtudagur","Föstudagur","Laugardagur","Sunnudagur"),IF(B183&lt;&gt;"",B183,""))</f>
        <v>Fimmtudagur</v>
      </c>
      <c r="C184" s="33">
        <f>IF(A184&lt;&gt;"",WEEKNUM(A184,21),IF(C183&lt;&gt;"",C183,""))</f>
        <v>27</v>
      </c>
      <c r="D184" s="34"/>
      <c r="E184" s="34"/>
      <c r="F184" s="34"/>
      <c r="G184" s="34"/>
      <c r="H184" s="34"/>
      <c r="I184" s="35"/>
      <c r="J184" s="35"/>
      <c r="K184" s="36"/>
      <c r="L184" s="26" t="str">
        <f>IF(OR(F184 = "", G184 = ""), "", IF(F184 = "Vara", IFERROR(_xlfn.SINGLE(_xlfn.XLOOKUP(G184, Vöruskrá!A:A, Vöruskrá!E:E, "")), ""), IF(F184 = "Réttur", IFERROR(_xlfn.SINGLE(_xlfn.XLOOKUP(G184, Réttabanki!A:A, Réttabanki!AS:AS, "")), ""), "")))</f>
        <v/>
      </c>
      <c r="M184" s="26" t="str">
        <f>IF(OR(F184 = "", G184 = ""), "", IF(F184 = "Vara", IFERROR(_xlfn.SINGLE(_xlfn.XLOOKUP(G184, Vöruskrá!A:A, Vöruskrá!F:F, "")), ""), IF(F184 = "Réttur", IFERROR(_xlfn.SINGLE(_xlfn.XLOOKUP(G184, Réttabanki!A:A, Réttabanki!AT:AT, "")), ""), "")))</f>
        <v/>
      </c>
      <c r="N184" s="26" t="str">
        <f>IF(OR(F184 = "", G184 = ""), "", IF(F184 = "Vara", IFERROR(_xlfn.SINGLE(_xlfn.XLOOKUP(G184, Vöruskrá!A:A, Vöruskrá!G:G, "")), ""), IF(F184 = "Réttur", IFERROR(_xlfn.SINGLE(_xlfn.XLOOKUP(G184, Réttabanki!A:A, Réttabanki!AU:AU, "")), ""), "")))</f>
        <v/>
      </c>
      <c r="O184" s="26" t="str">
        <f>IF(OR(F184 = "", G184 = "", I184 = ""), "", IF(F184 = "Vara", IFERROR(_xlfn.SINGLE(_xlfn.XLOOKUP(G184, Vöruskrá!A:A, Vöruskrá!I:I, "")) * I184 / 100, ""), IF(F184 = "Réttur", IFERROR(_xlfn.SINGLE(_xlfn.XLOOKUP(G184, Réttabanki!A:A, Réttabanki!AV:AV, "")) * I184 / 100, ""), "")))</f>
        <v/>
      </c>
      <c r="P184" s="26" t="str">
        <f>IF(OR(F184 = "", G184 = "", I184 = ""), "", IF(F184 = "Vara", IFERROR(_xlfn.SINGLE(_xlfn.XLOOKUP(G184, Vöruskrá!A:A, Vöruskrá!J:J, "")) * I184 / 100, ""), IF(F184 = "Réttur", IFERROR(_xlfn.SINGLE(_xlfn.XLOOKUP(G184, Réttabanki!A:A, Réttabanki!AW:AW, "")) * I184 / 100, ""), "")))</f>
        <v/>
      </c>
      <c r="Q184" s="26" t="str">
        <f>IF(OR(F184 = "", G184 = "", I184 = ""), "", IF(F184 = "Vara", IFERROR(_xlfn.SINGLE(_xlfn.XLOOKUP(G184, Vöruskrá!A:A, Vöruskrá!N:N, "")) * I184 / 100, ""), IF(F184 = "Réttur", IFERROR(_xlfn.SINGLE(_xlfn.XLOOKUP(G184, Réttabanki!A:A, Réttabanki!BB:BB, "")) * I184 / 100, ""), "")))</f>
        <v/>
      </c>
    </row>
    <row r="185" spans="2:17">
      <c r="B185" s="33" t="str">
        <f>IF(A185&lt;&gt;"",CHOOSE(WEEKDAY(A185,2),"Mánudagur","Þriðjudagur","Miðvikudagur","Fimmtudagur","Föstudagur","Laugardagur","Sunnudagur"),IF(B184&lt;&gt;"",B184,""))</f>
        <v>Fimmtudagur</v>
      </c>
      <c r="C185" s="33">
        <f>IF(A185&lt;&gt;"",WEEKNUM(A185,21),IF(C184&lt;&gt;"",C184,""))</f>
        <v>27</v>
      </c>
      <c r="D185" s="34"/>
      <c r="E185" s="34"/>
      <c r="F185" s="34"/>
      <c r="G185" s="34"/>
      <c r="H185" s="34"/>
      <c r="I185" s="35"/>
      <c r="J185" s="35"/>
      <c r="K185" s="36"/>
      <c r="L185" s="26" t="str">
        <f>IF(OR(F185 = "", G185 = ""), "", IF(F185 = "Vara", IFERROR(_xlfn.SINGLE(_xlfn.XLOOKUP(G185, Vöruskrá!A:A, Vöruskrá!E:E, "")), ""), IF(F185 = "Réttur", IFERROR(_xlfn.SINGLE(_xlfn.XLOOKUP(G185, Réttabanki!A:A, Réttabanki!AS:AS, "")), ""), "")))</f>
        <v/>
      </c>
      <c r="M185" s="26" t="str">
        <f>IF(OR(F185 = "", G185 = ""), "", IF(F185 = "Vara", IFERROR(_xlfn.SINGLE(_xlfn.XLOOKUP(G185, Vöruskrá!A:A, Vöruskrá!F:F, "")), ""), IF(F185 = "Réttur", IFERROR(_xlfn.SINGLE(_xlfn.XLOOKUP(G185, Réttabanki!A:A, Réttabanki!AT:AT, "")), ""), "")))</f>
        <v/>
      </c>
      <c r="N185" s="26" t="str">
        <f>IF(OR(F185 = "", G185 = ""), "", IF(F185 = "Vara", IFERROR(_xlfn.SINGLE(_xlfn.XLOOKUP(G185, Vöruskrá!A:A, Vöruskrá!G:G, "")), ""), IF(F185 = "Réttur", IFERROR(_xlfn.SINGLE(_xlfn.XLOOKUP(G185, Réttabanki!A:A, Réttabanki!AU:AU, "")), ""), "")))</f>
        <v/>
      </c>
      <c r="O185" s="26" t="str">
        <f>IF(OR(F185 = "", G185 = "", I185 = ""), "", IF(F185 = "Vara", IFERROR(_xlfn.SINGLE(_xlfn.XLOOKUP(G185, Vöruskrá!A:A, Vöruskrá!I:I, "")) * I185 / 100, ""), IF(F185 = "Réttur", IFERROR(_xlfn.SINGLE(_xlfn.XLOOKUP(G185, Réttabanki!A:A, Réttabanki!AV:AV, "")) * I185 / 100, ""), "")))</f>
        <v/>
      </c>
      <c r="P185" s="26" t="str">
        <f>IF(OR(F185 = "", G185 = "", I185 = ""), "", IF(F185 = "Vara", IFERROR(_xlfn.SINGLE(_xlfn.XLOOKUP(G185, Vöruskrá!A:A, Vöruskrá!J:J, "")) * I185 / 100, ""), IF(F185 = "Réttur", IFERROR(_xlfn.SINGLE(_xlfn.XLOOKUP(G185, Réttabanki!A:A, Réttabanki!AW:AW, "")) * I185 / 100, ""), "")))</f>
        <v/>
      </c>
      <c r="Q185" s="26" t="str">
        <f>IF(OR(F185 = "", G185 = "", I185 = ""), "", IF(F185 = "Vara", IFERROR(_xlfn.SINGLE(_xlfn.XLOOKUP(G185, Vöruskrá!A:A, Vöruskrá!N:N, "")) * I185 / 100, ""), IF(F185 = "Réttur", IFERROR(_xlfn.SINGLE(_xlfn.XLOOKUP(G185, Réttabanki!A:A, Réttabanki!BB:BB, "")) * I185 / 100, ""), "")))</f>
        <v/>
      </c>
    </row>
    <row r="186" spans="2:17">
      <c r="B186" s="33" t="str">
        <f>IF(A186&lt;&gt;"",CHOOSE(WEEKDAY(A186,2),"Mánudagur","Þriðjudagur","Miðvikudagur","Fimmtudagur","Föstudagur","Laugardagur","Sunnudagur"),IF(B185&lt;&gt;"",B185,""))</f>
        <v>Fimmtudagur</v>
      </c>
      <c r="C186" s="33">
        <f>IF(A186&lt;&gt;"",WEEKNUM(A186,21),IF(C185&lt;&gt;"",C185,""))</f>
        <v>27</v>
      </c>
      <c r="D186" s="34"/>
      <c r="E186" s="34"/>
      <c r="F186" s="34"/>
      <c r="G186" s="34"/>
      <c r="H186" s="34"/>
      <c r="I186" s="35"/>
      <c r="J186" s="35"/>
      <c r="K186" s="36"/>
      <c r="L186" s="26" t="str">
        <f>IF(OR(F186 = "", G186 = ""), "", IF(F186 = "Vara", IFERROR(_xlfn.SINGLE(_xlfn.XLOOKUP(G186, Vöruskrá!A:A, Vöruskrá!E:E, "")), ""), IF(F186 = "Réttur", IFERROR(_xlfn.SINGLE(_xlfn.XLOOKUP(G186, Réttabanki!A:A, Réttabanki!AS:AS, "")), ""), "")))</f>
        <v/>
      </c>
      <c r="M186" s="26" t="str">
        <f>IF(OR(F186 = "", G186 = ""), "", IF(F186 = "Vara", IFERROR(_xlfn.SINGLE(_xlfn.XLOOKUP(G186, Vöruskrá!A:A, Vöruskrá!F:F, "")), ""), IF(F186 = "Réttur", IFERROR(_xlfn.SINGLE(_xlfn.XLOOKUP(G186, Réttabanki!A:A, Réttabanki!AT:AT, "")), ""), "")))</f>
        <v/>
      </c>
      <c r="N186" s="26" t="str">
        <f>IF(OR(F186 = "", G186 = ""), "", IF(F186 = "Vara", IFERROR(_xlfn.SINGLE(_xlfn.XLOOKUP(G186, Vöruskrá!A:A, Vöruskrá!G:G, "")), ""), IF(F186 = "Réttur", IFERROR(_xlfn.SINGLE(_xlfn.XLOOKUP(G186, Réttabanki!A:A, Réttabanki!AU:AU, "")), ""), "")))</f>
        <v/>
      </c>
      <c r="O186" s="26" t="str">
        <f>IF(OR(F186 = "", G186 = "", I186 = ""), "", IF(F186 = "Vara", IFERROR(_xlfn.SINGLE(_xlfn.XLOOKUP(G186, Vöruskrá!A:A, Vöruskrá!I:I, "")) * I186 / 100, ""), IF(F186 = "Réttur", IFERROR(_xlfn.SINGLE(_xlfn.XLOOKUP(G186, Réttabanki!A:A, Réttabanki!AV:AV, "")) * I186 / 100, ""), "")))</f>
        <v/>
      </c>
      <c r="P186" s="26" t="str">
        <f>IF(OR(F186 = "", G186 = "", I186 = ""), "", IF(F186 = "Vara", IFERROR(_xlfn.SINGLE(_xlfn.XLOOKUP(G186, Vöruskrá!A:A, Vöruskrá!J:J, "")) * I186 / 100, ""), IF(F186 = "Réttur", IFERROR(_xlfn.SINGLE(_xlfn.XLOOKUP(G186, Réttabanki!A:A, Réttabanki!AW:AW, "")) * I186 / 100, ""), "")))</f>
        <v/>
      </c>
      <c r="Q186" s="26" t="str">
        <f>IF(OR(F186 = "", G186 = "", I186 = ""), "", IF(F186 = "Vara", IFERROR(_xlfn.SINGLE(_xlfn.XLOOKUP(G186, Vöruskrá!A:A, Vöruskrá!N:N, "")) * I186 / 100, ""), IF(F186 = "Réttur", IFERROR(_xlfn.SINGLE(_xlfn.XLOOKUP(G186, Réttabanki!A:A, Réttabanki!BB:BB, "")) * I186 / 100, ""), "")))</f>
        <v/>
      </c>
    </row>
    <row r="187" spans="2:17">
      <c r="B187" s="33" t="str">
        <f>IF(A187&lt;&gt;"",CHOOSE(WEEKDAY(A187,2),"Mánudagur","Þriðjudagur","Miðvikudagur","Fimmtudagur","Föstudagur","Laugardagur","Sunnudagur"),IF(B186&lt;&gt;"",B186,""))</f>
        <v>Fimmtudagur</v>
      </c>
      <c r="C187" s="33">
        <f>IF(A187&lt;&gt;"",WEEKNUM(A187,21),IF(C186&lt;&gt;"",C186,""))</f>
        <v>27</v>
      </c>
      <c r="D187" s="34"/>
      <c r="E187" s="34"/>
      <c r="F187" s="34"/>
      <c r="G187" s="34"/>
      <c r="H187" s="34"/>
      <c r="I187" s="35"/>
      <c r="J187" s="35"/>
      <c r="K187" s="36"/>
      <c r="L187" s="26" t="str">
        <f>IF(OR(F187 = "", G187 = ""), "", IF(F187 = "Vara", IFERROR(_xlfn.SINGLE(_xlfn.XLOOKUP(G187, Vöruskrá!A:A, Vöruskrá!E:E, "")), ""), IF(F187 = "Réttur", IFERROR(_xlfn.SINGLE(_xlfn.XLOOKUP(G187, Réttabanki!A:A, Réttabanki!AS:AS, "")), ""), "")))</f>
        <v/>
      </c>
      <c r="M187" s="26" t="str">
        <f>IF(OR(F187 = "", G187 = ""), "", IF(F187 = "Vara", IFERROR(_xlfn.SINGLE(_xlfn.XLOOKUP(G187, Vöruskrá!A:A, Vöruskrá!F:F, "")), ""), IF(F187 = "Réttur", IFERROR(_xlfn.SINGLE(_xlfn.XLOOKUP(G187, Réttabanki!A:A, Réttabanki!AT:AT, "")), ""), "")))</f>
        <v/>
      </c>
      <c r="N187" s="26" t="str">
        <f>IF(OR(F187 = "", G187 = ""), "", IF(F187 = "Vara", IFERROR(_xlfn.SINGLE(_xlfn.XLOOKUP(G187, Vöruskrá!A:A, Vöruskrá!G:G, "")), ""), IF(F187 = "Réttur", IFERROR(_xlfn.SINGLE(_xlfn.XLOOKUP(G187, Réttabanki!A:A, Réttabanki!AU:AU, "")), ""), "")))</f>
        <v/>
      </c>
      <c r="O187" s="26" t="str">
        <f>IF(OR(F187 = "", G187 = "", I187 = ""), "", IF(F187 = "Vara", IFERROR(_xlfn.SINGLE(_xlfn.XLOOKUP(G187, Vöruskrá!A:A, Vöruskrá!I:I, "")) * I187 / 100, ""), IF(F187 = "Réttur", IFERROR(_xlfn.SINGLE(_xlfn.XLOOKUP(G187, Réttabanki!A:A, Réttabanki!AV:AV, "")) * I187 / 100, ""), "")))</f>
        <v/>
      </c>
      <c r="P187" s="26" t="str">
        <f>IF(OR(F187 = "", G187 = "", I187 = ""), "", IF(F187 = "Vara", IFERROR(_xlfn.SINGLE(_xlfn.XLOOKUP(G187, Vöruskrá!A:A, Vöruskrá!J:J, "")) * I187 / 100, ""), IF(F187 = "Réttur", IFERROR(_xlfn.SINGLE(_xlfn.XLOOKUP(G187, Réttabanki!A:A, Réttabanki!AW:AW, "")) * I187 / 100, ""), "")))</f>
        <v/>
      </c>
      <c r="Q187" s="26" t="str">
        <f>IF(OR(F187 = "", G187 = "", I187 = ""), "", IF(F187 = "Vara", IFERROR(_xlfn.SINGLE(_xlfn.XLOOKUP(G187, Vöruskrá!A:A, Vöruskrá!N:N, "")) * I187 / 100, ""), IF(F187 = "Réttur", IFERROR(_xlfn.SINGLE(_xlfn.XLOOKUP(G187, Réttabanki!A:A, Réttabanki!BB:BB, "")) * I187 / 100, ""), "")))</f>
        <v/>
      </c>
    </row>
    <row r="188" spans="2:17">
      <c r="B188" s="33" t="str">
        <f>IF(A188&lt;&gt;"",CHOOSE(WEEKDAY(A188,2),"Mánudagur","Þriðjudagur","Miðvikudagur","Fimmtudagur","Föstudagur","Laugardagur","Sunnudagur"),IF(B187&lt;&gt;"",B187,""))</f>
        <v>Fimmtudagur</v>
      </c>
      <c r="C188" s="33">
        <f>IF(A188&lt;&gt;"",WEEKNUM(A188,21),IF(C187&lt;&gt;"",C187,""))</f>
        <v>27</v>
      </c>
      <c r="D188" s="34"/>
      <c r="E188" s="34"/>
      <c r="F188" s="34"/>
      <c r="G188" s="34"/>
      <c r="H188" s="34"/>
      <c r="I188" s="35"/>
      <c r="J188" s="35"/>
      <c r="K188" s="36"/>
      <c r="L188" s="26" t="str">
        <f>IF(OR(F188 = "", G188 = ""), "", IF(F188 = "Vara", IFERROR(_xlfn.SINGLE(_xlfn.XLOOKUP(G188, Vöruskrá!A:A, Vöruskrá!E:E, "")), ""), IF(F188 = "Réttur", IFERROR(_xlfn.SINGLE(_xlfn.XLOOKUP(G188, Réttabanki!A:A, Réttabanki!AS:AS, "")), ""), "")))</f>
        <v/>
      </c>
      <c r="M188" s="26" t="str">
        <f>IF(OR(F188 = "", G188 = ""), "", IF(F188 = "Vara", IFERROR(_xlfn.SINGLE(_xlfn.XLOOKUP(G188, Vöruskrá!A:A, Vöruskrá!F:F, "")), ""), IF(F188 = "Réttur", IFERROR(_xlfn.SINGLE(_xlfn.XLOOKUP(G188, Réttabanki!A:A, Réttabanki!AT:AT, "")), ""), "")))</f>
        <v/>
      </c>
      <c r="N188" s="26" t="str">
        <f>IF(OR(F188 = "", G188 = ""), "", IF(F188 = "Vara", IFERROR(_xlfn.SINGLE(_xlfn.XLOOKUP(G188, Vöruskrá!A:A, Vöruskrá!G:G, "")), ""), IF(F188 = "Réttur", IFERROR(_xlfn.SINGLE(_xlfn.XLOOKUP(G188, Réttabanki!A:A, Réttabanki!AU:AU, "")), ""), "")))</f>
        <v/>
      </c>
      <c r="O188" s="26" t="str">
        <f>IF(OR(F188 = "", G188 = "", I188 = ""), "", IF(F188 = "Vara", IFERROR(_xlfn.SINGLE(_xlfn.XLOOKUP(G188, Vöruskrá!A:A, Vöruskrá!I:I, "")) * I188 / 100, ""), IF(F188 = "Réttur", IFERROR(_xlfn.SINGLE(_xlfn.XLOOKUP(G188, Réttabanki!A:A, Réttabanki!AV:AV, "")) * I188 / 100, ""), "")))</f>
        <v/>
      </c>
      <c r="P188" s="26" t="str">
        <f>IF(OR(F188 = "", G188 = "", I188 = ""), "", IF(F188 = "Vara", IFERROR(_xlfn.SINGLE(_xlfn.XLOOKUP(G188, Vöruskrá!A:A, Vöruskrá!J:J, "")) * I188 / 100, ""), IF(F188 = "Réttur", IFERROR(_xlfn.SINGLE(_xlfn.XLOOKUP(G188, Réttabanki!A:A, Réttabanki!AW:AW, "")) * I188 / 100, ""), "")))</f>
        <v/>
      </c>
      <c r="Q188" s="26" t="str">
        <f>IF(OR(F188 = "", G188 = "", I188 = ""), "", IF(F188 = "Vara", IFERROR(_xlfn.SINGLE(_xlfn.XLOOKUP(G188, Vöruskrá!A:A, Vöruskrá!N:N, "")) * I188 / 100, ""), IF(F188 = "Réttur", IFERROR(_xlfn.SINGLE(_xlfn.XLOOKUP(G188, Réttabanki!A:A, Réttabanki!BB:BB, "")) * I188 / 100, ""), "")))</f>
        <v/>
      </c>
    </row>
    <row r="189" spans="2:17">
      <c r="B189" s="33" t="str">
        <f>IF(A189&lt;&gt;"",CHOOSE(WEEKDAY(A189,2),"Mánudagur","Þriðjudagur","Miðvikudagur","Fimmtudagur","Föstudagur","Laugardagur","Sunnudagur"),IF(B188&lt;&gt;"",B188,""))</f>
        <v>Fimmtudagur</v>
      </c>
      <c r="C189" s="33">
        <f>IF(A189&lt;&gt;"",WEEKNUM(A189,21),IF(C188&lt;&gt;"",C188,""))</f>
        <v>27</v>
      </c>
      <c r="D189" s="34"/>
      <c r="E189" s="34"/>
      <c r="F189" s="34"/>
      <c r="G189" s="34"/>
      <c r="H189" s="34"/>
      <c r="I189" s="35"/>
      <c r="J189" s="35"/>
      <c r="K189" s="36"/>
      <c r="L189" s="26" t="str">
        <f>IF(OR(F189 = "", G189 = ""), "", IF(F189 = "Vara", IFERROR(_xlfn.SINGLE(_xlfn.XLOOKUP(G189, Vöruskrá!A:A, Vöruskrá!E:E, "")), ""), IF(F189 = "Réttur", IFERROR(_xlfn.SINGLE(_xlfn.XLOOKUP(G189, Réttabanki!A:A, Réttabanki!AS:AS, "")), ""), "")))</f>
        <v/>
      </c>
      <c r="M189" s="26" t="str">
        <f>IF(OR(F189 = "", G189 = ""), "", IF(F189 = "Vara", IFERROR(_xlfn.SINGLE(_xlfn.XLOOKUP(G189, Vöruskrá!A:A, Vöruskrá!F:F, "")), ""), IF(F189 = "Réttur", IFERROR(_xlfn.SINGLE(_xlfn.XLOOKUP(G189, Réttabanki!A:A, Réttabanki!AT:AT, "")), ""), "")))</f>
        <v/>
      </c>
      <c r="N189" s="26" t="str">
        <f>IF(OR(F189 = "", G189 = ""), "", IF(F189 = "Vara", IFERROR(_xlfn.SINGLE(_xlfn.XLOOKUP(G189, Vöruskrá!A:A, Vöruskrá!G:G, "")), ""), IF(F189 = "Réttur", IFERROR(_xlfn.SINGLE(_xlfn.XLOOKUP(G189, Réttabanki!A:A, Réttabanki!AU:AU, "")), ""), "")))</f>
        <v/>
      </c>
      <c r="O189" s="26" t="str">
        <f>IF(OR(F189 = "", G189 = "", I189 = ""), "", IF(F189 = "Vara", IFERROR(_xlfn.SINGLE(_xlfn.XLOOKUP(G189, Vöruskrá!A:A, Vöruskrá!I:I, "")) * I189 / 100, ""), IF(F189 = "Réttur", IFERROR(_xlfn.SINGLE(_xlfn.XLOOKUP(G189, Réttabanki!A:A, Réttabanki!AV:AV, "")) * I189 / 100, ""), "")))</f>
        <v/>
      </c>
      <c r="P189" s="26" t="str">
        <f>IF(OR(F189 = "", G189 = "", I189 = ""), "", IF(F189 = "Vara", IFERROR(_xlfn.SINGLE(_xlfn.XLOOKUP(G189, Vöruskrá!A:A, Vöruskrá!J:J, "")) * I189 / 100, ""), IF(F189 = "Réttur", IFERROR(_xlfn.SINGLE(_xlfn.XLOOKUP(G189, Réttabanki!A:A, Réttabanki!AW:AW, "")) * I189 / 100, ""), "")))</f>
        <v/>
      </c>
      <c r="Q189" s="26" t="str">
        <f>IF(OR(F189 = "", G189 = "", I189 = ""), "", IF(F189 = "Vara", IFERROR(_xlfn.SINGLE(_xlfn.XLOOKUP(G189, Vöruskrá!A:A, Vöruskrá!N:N, "")) * I189 / 100, ""), IF(F189 = "Réttur", IFERROR(_xlfn.SINGLE(_xlfn.XLOOKUP(G189, Réttabanki!A:A, Réttabanki!BB:BB, "")) * I189 / 100, ""), "")))</f>
        <v/>
      </c>
    </row>
    <row r="190" spans="2:17">
      <c r="B190" s="33" t="str">
        <f>IF(A190&lt;&gt;"",CHOOSE(WEEKDAY(A190,2),"Mánudagur","Þriðjudagur","Miðvikudagur","Fimmtudagur","Föstudagur","Laugardagur","Sunnudagur"),IF(B189&lt;&gt;"",B189,""))</f>
        <v>Fimmtudagur</v>
      </c>
      <c r="C190" s="33">
        <f>IF(A190&lt;&gt;"",WEEKNUM(A190,21),IF(C189&lt;&gt;"",C189,""))</f>
        <v>27</v>
      </c>
      <c r="D190" s="34"/>
      <c r="E190" s="34"/>
      <c r="F190" s="34"/>
      <c r="G190" s="34"/>
      <c r="H190" s="34"/>
      <c r="I190" s="35"/>
      <c r="J190" s="35"/>
      <c r="K190" s="36"/>
      <c r="L190" s="26" t="str">
        <f>IF(OR(F190 = "", G190 = ""), "", IF(F190 = "Vara", IFERROR(_xlfn.SINGLE(_xlfn.XLOOKUP(G190, Vöruskrá!A:A, Vöruskrá!E:E, "")), ""), IF(F190 = "Réttur", IFERROR(_xlfn.SINGLE(_xlfn.XLOOKUP(G190, Réttabanki!A:A, Réttabanki!AS:AS, "")), ""), "")))</f>
        <v/>
      </c>
      <c r="M190" s="26" t="str">
        <f>IF(OR(F190 = "", G190 = ""), "", IF(F190 = "Vara", IFERROR(_xlfn.SINGLE(_xlfn.XLOOKUP(G190, Vöruskrá!A:A, Vöruskrá!F:F, "")), ""), IF(F190 = "Réttur", IFERROR(_xlfn.SINGLE(_xlfn.XLOOKUP(G190, Réttabanki!A:A, Réttabanki!AT:AT, "")), ""), "")))</f>
        <v/>
      </c>
      <c r="N190" s="26" t="str">
        <f>IF(OR(F190 = "", G190 = ""), "", IF(F190 = "Vara", IFERROR(_xlfn.SINGLE(_xlfn.XLOOKUP(G190, Vöruskrá!A:A, Vöruskrá!G:G, "")), ""), IF(F190 = "Réttur", IFERROR(_xlfn.SINGLE(_xlfn.XLOOKUP(G190, Réttabanki!A:A, Réttabanki!AU:AU, "")), ""), "")))</f>
        <v/>
      </c>
      <c r="O190" s="26" t="str">
        <f>IF(OR(F190 = "", G190 = "", I190 = ""), "", IF(F190 = "Vara", IFERROR(_xlfn.SINGLE(_xlfn.XLOOKUP(G190, Vöruskrá!A:A, Vöruskrá!I:I, "")) * I190 / 100, ""), IF(F190 = "Réttur", IFERROR(_xlfn.SINGLE(_xlfn.XLOOKUP(G190, Réttabanki!A:A, Réttabanki!AV:AV, "")) * I190 / 100, ""), "")))</f>
        <v/>
      </c>
      <c r="P190" s="26" t="str">
        <f>IF(OR(F190 = "", G190 = "", I190 = ""), "", IF(F190 = "Vara", IFERROR(_xlfn.SINGLE(_xlfn.XLOOKUP(G190, Vöruskrá!A:A, Vöruskrá!J:J, "")) * I190 / 100, ""), IF(F190 = "Réttur", IFERROR(_xlfn.SINGLE(_xlfn.XLOOKUP(G190, Réttabanki!A:A, Réttabanki!AW:AW, "")) * I190 / 100, ""), "")))</f>
        <v/>
      </c>
      <c r="Q190" s="26" t="str">
        <f>IF(OR(F190 = "", G190 = "", I190 = ""), "", IF(F190 = "Vara", IFERROR(_xlfn.SINGLE(_xlfn.XLOOKUP(G190, Vöruskrá!A:A, Vöruskrá!N:N, "")) * I190 / 100, ""), IF(F190 = "Réttur", IFERROR(_xlfn.SINGLE(_xlfn.XLOOKUP(G190, Réttabanki!A:A, Réttabanki!BB:BB, "")) * I190 / 100, ""), "")))</f>
        <v/>
      </c>
    </row>
    <row r="191" spans="2:17">
      <c r="B191" s="33" t="str">
        <f>IF(A191&lt;&gt;"",CHOOSE(WEEKDAY(A191,2),"Mánudagur","Þriðjudagur","Miðvikudagur","Fimmtudagur","Föstudagur","Laugardagur","Sunnudagur"),IF(B190&lt;&gt;"",B190,""))</f>
        <v>Fimmtudagur</v>
      </c>
      <c r="C191" s="33">
        <f>IF(A191&lt;&gt;"",WEEKNUM(A191,21),IF(C190&lt;&gt;"",C190,""))</f>
        <v>27</v>
      </c>
      <c r="D191" s="34"/>
      <c r="E191" s="34"/>
      <c r="F191" s="34"/>
      <c r="G191" s="34"/>
      <c r="H191" s="34"/>
      <c r="I191" s="35"/>
      <c r="J191" s="35"/>
      <c r="K191" s="36"/>
      <c r="L191" s="26" t="str">
        <f>IF(OR(F191 = "", G191 = ""), "", IF(F191 = "Vara", IFERROR(_xlfn.SINGLE(_xlfn.XLOOKUP(G191, Vöruskrá!A:A, Vöruskrá!E:E, "")), ""), IF(F191 = "Réttur", IFERROR(_xlfn.SINGLE(_xlfn.XLOOKUP(G191, Réttabanki!A:A, Réttabanki!AS:AS, "")), ""), "")))</f>
        <v/>
      </c>
      <c r="M191" s="26" t="str">
        <f>IF(OR(F191 = "", G191 = ""), "", IF(F191 = "Vara", IFERROR(_xlfn.SINGLE(_xlfn.XLOOKUP(G191, Vöruskrá!A:A, Vöruskrá!F:F, "")), ""), IF(F191 = "Réttur", IFERROR(_xlfn.SINGLE(_xlfn.XLOOKUP(G191, Réttabanki!A:A, Réttabanki!AT:AT, "")), ""), "")))</f>
        <v/>
      </c>
      <c r="N191" s="26" t="str">
        <f>IF(OR(F191 = "", G191 = ""), "", IF(F191 = "Vara", IFERROR(_xlfn.SINGLE(_xlfn.XLOOKUP(G191, Vöruskrá!A:A, Vöruskrá!G:G, "")), ""), IF(F191 = "Réttur", IFERROR(_xlfn.SINGLE(_xlfn.XLOOKUP(G191, Réttabanki!A:A, Réttabanki!AU:AU, "")), ""), "")))</f>
        <v/>
      </c>
      <c r="O191" s="26" t="str">
        <f>IF(OR(F191 = "", G191 = "", I191 = ""), "", IF(F191 = "Vara", IFERROR(_xlfn.SINGLE(_xlfn.XLOOKUP(G191, Vöruskrá!A:A, Vöruskrá!I:I, "")) * I191 / 100, ""), IF(F191 = "Réttur", IFERROR(_xlfn.SINGLE(_xlfn.XLOOKUP(G191, Réttabanki!A:A, Réttabanki!AV:AV, "")) * I191 / 100, ""), "")))</f>
        <v/>
      </c>
      <c r="P191" s="26" t="str">
        <f>IF(OR(F191 = "", G191 = "", I191 = ""), "", IF(F191 = "Vara", IFERROR(_xlfn.SINGLE(_xlfn.XLOOKUP(G191, Vöruskrá!A:A, Vöruskrá!J:J, "")) * I191 / 100, ""), IF(F191 = "Réttur", IFERROR(_xlfn.SINGLE(_xlfn.XLOOKUP(G191, Réttabanki!A:A, Réttabanki!AW:AW, "")) * I191 / 100, ""), "")))</f>
        <v/>
      </c>
      <c r="Q191" s="26" t="str">
        <f>IF(OR(F191 = "", G191 = "", I191 = ""), "", IF(F191 = "Vara", IFERROR(_xlfn.SINGLE(_xlfn.XLOOKUP(G191, Vöruskrá!A:A, Vöruskrá!N:N, "")) * I191 / 100, ""), IF(F191 = "Réttur", IFERROR(_xlfn.SINGLE(_xlfn.XLOOKUP(G191, Réttabanki!A:A, Réttabanki!BB:BB, "")) * I191 / 100, ""), "")))</f>
        <v/>
      </c>
    </row>
    <row r="192" spans="2:17">
      <c r="B192" s="33" t="str">
        <f>IF(A192&lt;&gt;"",CHOOSE(WEEKDAY(A192,2),"Mánudagur","Þriðjudagur","Miðvikudagur","Fimmtudagur","Föstudagur","Laugardagur","Sunnudagur"),IF(B191&lt;&gt;"",B191,""))</f>
        <v>Fimmtudagur</v>
      </c>
      <c r="C192" s="33">
        <f>IF(A192&lt;&gt;"",WEEKNUM(A192,21),IF(C191&lt;&gt;"",C191,""))</f>
        <v>27</v>
      </c>
      <c r="D192" s="34"/>
      <c r="E192" s="34"/>
      <c r="F192" s="34"/>
      <c r="G192" s="34"/>
      <c r="H192" s="34"/>
      <c r="I192" s="35"/>
      <c r="J192" s="35"/>
      <c r="K192" s="36"/>
      <c r="L192" s="26" t="str">
        <f>IF(OR(F192 = "", G192 = ""), "", IF(F192 = "Vara", IFERROR(_xlfn.SINGLE(_xlfn.XLOOKUP(G192, Vöruskrá!A:A, Vöruskrá!E:E, "")), ""), IF(F192 = "Réttur", IFERROR(_xlfn.SINGLE(_xlfn.XLOOKUP(G192, Réttabanki!A:A, Réttabanki!AS:AS, "")), ""), "")))</f>
        <v/>
      </c>
      <c r="M192" s="26" t="str">
        <f>IF(OR(F192 = "", G192 = ""), "", IF(F192 = "Vara", IFERROR(_xlfn.SINGLE(_xlfn.XLOOKUP(G192, Vöruskrá!A:A, Vöruskrá!F:F, "")), ""), IF(F192 = "Réttur", IFERROR(_xlfn.SINGLE(_xlfn.XLOOKUP(G192, Réttabanki!A:A, Réttabanki!AT:AT, "")), ""), "")))</f>
        <v/>
      </c>
      <c r="N192" s="26" t="str">
        <f>IF(OR(F192 = "", G192 = ""), "", IF(F192 = "Vara", IFERROR(_xlfn.SINGLE(_xlfn.XLOOKUP(G192, Vöruskrá!A:A, Vöruskrá!G:G, "")), ""), IF(F192 = "Réttur", IFERROR(_xlfn.SINGLE(_xlfn.XLOOKUP(G192, Réttabanki!A:A, Réttabanki!AU:AU, "")), ""), "")))</f>
        <v/>
      </c>
      <c r="O192" s="26" t="str">
        <f>IF(OR(F192 = "", G192 = "", I192 = ""), "", IF(F192 = "Vara", IFERROR(_xlfn.SINGLE(_xlfn.XLOOKUP(G192, Vöruskrá!A:A, Vöruskrá!I:I, "")) * I192 / 100, ""), IF(F192 = "Réttur", IFERROR(_xlfn.SINGLE(_xlfn.XLOOKUP(G192, Réttabanki!A:A, Réttabanki!AV:AV, "")) * I192 / 100, ""), "")))</f>
        <v/>
      </c>
      <c r="P192" s="26" t="str">
        <f>IF(OR(F192 = "", G192 = "", I192 = ""), "", IF(F192 = "Vara", IFERROR(_xlfn.SINGLE(_xlfn.XLOOKUP(G192, Vöruskrá!A:A, Vöruskrá!J:J, "")) * I192 / 100, ""), IF(F192 = "Réttur", IFERROR(_xlfn.SINGLE(_xlfn.XLOOKUP(G192, Réttabanki!A:A, Réttabanki!AW:AW, "")) * I192 / 100, ""), "")))</f>
        <v/>
      </c>
      <c r="Q192" s="26" t="str">
        <f>IF(OR(F192 = "", G192 = "", I192 = ""), "", IF(F192 = "Vara", IFERROR(_xlfn.SINGLE(_xlfn.XLOOKUP(G192, Vöruskrá!A:A, Vöruskrá!N:N, "")) * I192 / 100, ""), IF(F192 = "Réttur", IFERROR(_xlfn.SINGLE(_xlfn.XLOOKUP(G192, Réttabanki!A:A, Réttabanki!BB:BB, "")) * I192 / 100, ""), "")))</f>
        <v/>
      </c>
    </row>
    <row r="193" spans="2:17">
      <c r="B193" s="33" t="str">
        <f>IF(A193&lt;&gt;"",CHOOSE(WEEKDAY(A193,2),"Mánudagur","Þriðjudagur","Miðvikudagur","Fimmtudagur","Föstudagur","Laugardagur","Sunnudagur"),IF(B192&lt;&gt;"",B192,""))</f>
        <v>Fimmtudagur</v>
      </c>
      <c r="C193" s="33">
        <f>IF(A193&lt;&gt;"",WEEKNUM(A193,21),IF(C192&lt;&gt;"",C192,""))</f>
        <v>27</v>
      </c>
      <c r="D193" s="34"/>
      <c r="E193" s="34"/>
      <c r="F193" s="34"/>
      <c r="G193" s="34"/>
      <c r="H193" s="34"/>
      <c r="I193" s="35"/>
      <c r="J193" s="35"/>
      <c r="K193" s="36"/>
      <c r="L193" s="26" t="str">
        <f>IF(OR(F193 = "", G193 = ""), "", IF(F193 = "Vara", IFERROR(_xlfn.SINGLE(_xlfn.XLOOKUP(G193, Vöruskrá!A:A, Vöruskrá!E:E, "")), ""), IF(F193 = "Réttur", IFERROR(_xlfn.SINGLE(_xlfn.XLOOKUP(G193, Réttabanki!A:A, Réttabanki!AS:AS, "")), ""), "")))</f>
        <v/>
      </c>
      <c r="M193" s="26" t="str">
        <f>IF(OR(F193 = "", G193 = ""), "", IF(F193 = "Vara", IFERROR(_xlfn.SINGLE(_xlfn.XLOOKUP(G193, Vöruskrá!A:A, Vöruskrá!F:F, "")), ""), IF(F193 = "Réttur", IFERROR(_xlfn.SINGLE(_xlfn.XLOOKUP(G193, Réttabanki!A:A, Réttabanki!AT:AT, "")), ""), "")))</f>
        <v/>
      </c>
      <c r="N193" s="26" t="str">
        <f>IF(OR(F193 = "", G193 = ""), "", IF(F193 = "Vara", IFERROR(_xlfn.SINGLE(_xlfn.XLOOKUP(G193, Vöruskrá!A:A, Vöruskrá!G:G, "")), ""), IF(F193 = "Réttur", IFERROR(_xlfn.SINGLE(_xlfn.XLOOKUP(G193, Réttabanki!A:A, Réttabanki!AU:AU, "")), ""), "")))</f>
        <v/>
      </c>
      <c r="O193" s="26" t="str">
        <f>IF(OR(F193 = "", G193 = "", I193 = ""), "", IF(F193 = "Vara", IFERROR(_xlfn.SINGLE(_xlfn.XLOOKUP(G193, Vöruskrá!A:A, Vöruskrá!I:I, "")) * I193 / 100, ""), IF(F193 = "Réttur", IFERROR(_xlfn.SINGLE(_xlfn.XLOOKUP(G193, Réttabanki!A:A, Réttabanki!AV:AV, "")) * I193 / 100, ""), "")))</f>
        <v/>
      </c>
      <c r="P193" s="26" t="str">
        <f>IF(OR(F193 = "", G193 = "", I193 = ""), "", IF(F193 = "Vara", IFERROR(_xlfn.SINGLE(_xlfn.XLOOKUP(G193, Vöruskrá!A:A, Vöruskrá!J:J, "")) * I193 / 100, ""), IF(F193 = "Réttur", IFERROR(_xlfn.SINGLE(_xlfn.XLOOKUP(G193, Réttabanki!A:A, Réttabanki!AW:AW, "")) * I193 / 100, ""), "")))</f>
        <v/>
      </c>
      <c r="Q193" s="26" t="str">
        <f>IF(OR(F193 = "", G193 = "", I193 = ""), "", IF(F193 = "Vara", IFERROR(_xlfn.SINGLE(_xlfn.XLOOKUP(G193, Vöruskrá!A:A, Vöruskrá!N:N, "")) * I193 / 100, ""), IF(F193 = "Réttur", IFERROR(_xlfn.SINGLE(_xlfn.XLOOKUP(G193, Réttabanki!A:A, Réttabanki!BB:BB, "")) * I193 / 100, ""), "")))</f>
        <v/>
      </c>
    </row>
    <row r="194" spans="2:17">
      <c r="B194" s="33" t="str">
        <f>IF(A194&lt;&gt;"",CHOOSE(WEEKDAY(A194,2),"Mánudagur","Þriðjudagur","Miðvikudagur","Fimmtudagur","Föstudagur","Laugardagur","Sunnudagur"),IF(B193&lt;&gt;"",B193,""))</f>
        <v>Fimmtudagur</v>
      </c>
      <c r="C194" s="33">
        <f>IF(A194&lt;&gt;"",WEEKNUM(A194,21),IF(C193&lt;&gt;"",C193,""))</f>
        <v>27</v>
      </c>
      <c r="D194" s="34"/>
      <c r="E194" s="34"/>
      <c r="F194" s="34"/>
      <c r="G194" s="34"/>
      <c r="H194" s="34"/>
      <c r="I194" s="35"/>
      <c r="J194" s="35"/>
      <c r="K194" s="36"/>
      <c r="L194" s="26" t="str">
        <f>IF(OR(F194 = "", G194 = ""), "", IF(F194 = "Vara", IFERROR(_xlfn.SINGLE(_xlfn.XLOOKUP(G194, Vöruskrá!A:A, Vöruskrá!E:E, "")), ""), IF(F194 = "Réttur", IFERROR(_xlfn.SINGLE(_xlfn.XLOOKUP(G194, Réttabanki!A:A, Réttabanki!AS:AS, "")), ""), "")))</f>
        <v/>
      </c>
      <c r="M194" s="26" t="str">
        <f>IF(OR(F194 = "", G194 = ""), "", IF(F194 = "Vara", IFERROR(_xlfn.SINGLE(_xlfn.XLOOKUP(G194, Vöruskrá!A:A, Vöruskrá!F:F, "")), ""), IF(F194 = "Réttur", IFERROR(_xlfn.SINGLE(_xlfn.XLOOKUP(G194, Réttabanki!A:A, Réttabanki!AT:AT, "")), ""), "")))</f>
        <v/>
      </c>
      <c r="N194" s="26" t="str">
        <f>IF(OR(F194 = "", G194 = ""), "", IF(F194 = "Vara", IFERROR(_xlfn.SINGLE(_xlfn.XLOOKUP(G194, Vöruskrá!A:A, Vöruskrá!G:G, "")), ""), IF(F194 = "Réttur", IFERROR(_xlfn.SINGLE(_xlfn.XLOOKUP(G194, Réttabanki!A:A, Réttabanki!AU:AU, "")), ""), "")))</f>
        <v/>
      </c>
      <c r="O194" s="26" t="str">
        <f>IF(OR(F194 = "", G194 = "", I194 = ""), "", IF(F194 = "Vara", IFERROR(_xlfn.SINGLE(_xlfn.XLOOKUP(G194, Vöruskrá!A:A, Vöruskrá!I:I, "")) * I194 / 100, ""), IF(F194 = "Réttur", IFERROR(_xlfn.SINGLE(_xlfn.XLOOKUP(G194, Réttabanki!A:A, Réttabanki!AV:AV, "")) * I194 / 100, ""), "")))</f>
        <v/>
      </c>
      <c r="P194" s="26" t="str">
        <f>IF(OR(F194 = "", G194 = "", I194 = ""), "", IF(F194 = "Vara", IFERROR(_xlfn.SINGLE(_xlfn.XLOOKUP(G194, Vöruskrá!A:A, Vöruskrá!J:J, "")) * I194 / 100, ""), IF(F194 = "Réttur", IFERROR(_xlfn.SINGLE(_xlfn.XLOOKUP(G194, Réttabanki!A:A, Réttabanki!AW:AW, "")) * I194 / 100, ""), "")))</f>
        <v/>
      </c>
      <c r="Q194" s="26" t="str">
        <f>IF(OR(F194 = "", G194 = "", I194 = ""), "", IF(F194 = "Vara", IFERROR(_xlfn.SINGLE(_xlfn.XLOOKUP(G194, Vöruskrá!A:A, Vöruskrá!N:N, "")) * I194 / 100, ""), IF(F194 = "Réttur", IFERROR(_xlfn.SINGLE(_xlfn.XLOOKUP(G194, Réttabanki!A:A, Réttabanki!BB:BB, "")) * I194 / 100, ""), "")))</f>
        <v/>
      </c>
    </row>
    <row r="195" spans="2:17">
      <c r="B195" s="33" t="str">
        <f>IF(A195&lt;&gt;"",CHOOSE(WEEKDAY(A195,2),"Mánudagur","Þriðjudagur","Miðvikudagur","Fimmtudagur","Föstudagur","Laugardagur","Sunnudagur"),IF(B194&lt;&gt;"",B194,""))</f>
        <v>Fimmtudagur</v>
      </c>
      <c r="C195" s="33">
        <f>IF(A195&lt;&gt;"",WEEKNUM(A195,21),IF(C194&lt;&gt;"",C194,""))</f>
        <v>27</v>
      </c>
      <c r="D195" s="34"/>
      <c r="E195" s="34"/>
      <c r="F195" s="34"/>
      <c r="G195" s="34"/>
      <c r="H195" s="34"/>
      <c r="I195" s="35"/>
      <c r="J195" s="35"/>
      <c r="K195" s="36"/>
      <c r="L195" s="26" t="str">
        <f>IF(OR(F195 = "", G195 = ""), "", IF(F195 = "Vara", IFERROR(_xlfn.SINGLE(_xlfn.XLOOKUP(G195, Vöruskrá!A:A, Vöruskrá!E:E, "")), ""), IF(F195 = "Réttur", IFERROR(_xlfn.SINGLE(_xlfn.XLOOKUP(G195, Réttabanki!A:A, Réttabanki!AS:AS, "")), ""), "")))</f>
        <v/>
      </c>
      <c r="M195" s="26" t="str">
        <f>IF(OR(F195 = "", G195 = ""), "", IF(F195 = "Vara", IFERROR(_xlfn.SINGLE(_xlfn.XLOOKUP(G195, Vöruskrá!A:A, Vöruskrá!F:F, "")), ""), IF(F195 = "Réttur", IFERROR(_xlfn.SINGLE(_xlfn.XLOOKUP(G195, Réttabanki!A:A, Réttabanki!AT:AT, "")), ""), "")))</f>
        <v/>
      </c>
      <c r="N195" s="26" t="str">
        <f>IF(OR(F195 = "", G195 = ""), "", IF(F195 = "Vara", IFERROR(_xlfn.SINGLE(_xlfn.XLOOKUP(G195, Vöruskrá!A:A, Vöruskrá!G:G, "")), ""), IF(F195 = "Réttur", IFERROR(_xlfn.SINGLE(_xlfn.XLOOKUP(G195, Réttabanki!A:A, Réttabanki!AU:AU, "")), ""), "")))</f>
        <v/>
      </c>
      <c r="O195" s="26" t="str">
        <f>IF(OR(F195 = "", G195 = "", I195 = ""), "", IF(F195 = "Vara", IFERROR(_xlfn.SINGLE(_xlfn.XLOOKUP(G195, Vöruskrá!A:A, Vöruskrá!I:I, "")) * I195 / 100, ""), IF(F195 = "Réttur", IFERROR(_xlfn.SINGLE(_xlfn.XLOOKUP(G195, Réttabanki!A:A, Réttabanki!AV:AV, "")) * I195 / 100, ""), "")))</f>
        <v/>
      </c>
      <c r="P195" s="26" t="str">
        <f>IF(OR(F195 = "", G195 = "", I195 = ""), "", IF(F195 = "Vara", IFERROR(_xlfn.SINGLE(_xlfn.XLOOKUP(G195, Vöruskrá!A:A, Vöruskrá!J:J, "")) * I195 / 100, ""), IF(F195 = "Réttur", IFERROR(_xlfn.SINGLE(_xlfn.XLOOKUP(G195, Réttabanki!A:A, Réttabanki!AW:AW, "")) * I195 / 100, ""), "")))</f>
        <v/>
      </c>
      <c r="Q195" s="26" t="str">
        <f>IF(OR(F195 = "", G195 = "", I195 = ""), "", IF(F195 = "Vara", IFERROR(_xlfn.SINGLE(_xlfn.XLOOKUP(G195, Vöruskrá!A:A, Vöruskrá!N:N, "")) * I195 / 100, ""), IF(F195 = "Réttur", IFERROR(_xlfn.SINGLE(_xlfn.XLOOKUP(G195, Réttabanki!A:A, Réttabanki!BB:BB, "")) * I195 / 100, ""), "")))</f>
        <v/>
      </c>
    </row>
    <row r="196" spans="2:17">
      <c r="B196" s="33" t="str">
        <f>IF(A196&lt;&gt;"",CHOOSE(WEEKDAY(A196,2),"Mánudagur","Þriðjudagur","Miðvikudagur","Fimmtudagur","Föstudagur","Laugardagur","Sunnudagur"),IF(B195&lt;&gt;"",B195,""))</f>
        <v>Fimmtudagur</v>
      </c>
      <c r="C196" s="33">
        <f>IF(A196&lt;&gt;"",WEEKNUM(A196,21),IF(C195&lt;&gt;"",C195,""))</f>
        <v>27</v>
      </c>
      <c r="D196" s="34"/>
      <c r="E196" s="34"/>
      <c r="F196" s="34"/>
      <c r="G196" s="34"/>
      <c r="H196" s="34"/>
      <c r="I196" s="35"/>
      <c r="J196" s="35"/>
      <c r="K196" s="36"/>
      <c r="L196" s="26" t="str">
        <f>IF(OR(F196 = "", G196 = ""), "", IF(F196 = "Vara", IFERROR(_xlfn.SINGLE(_xlfn.XLOOKUP(G196, Vöruskrá!A:A, Vöruskrá!E:E, "")), ""), IF(F196 = "Réttur", IFERROR(_xlfn.SINGLE(_xlfn.XLOOKUP(G196, Réttabanki!A:A, Réttabanki!AS:AS, "")), ""), "")))</f>
        <v/>
      </c>
      <c r="M196" s="26" t="str">
        <f>IF(OR(F196 = "", G196 = ""), "", IF(F196 = "Vara", IFERROR(_xlfn.SINGLE(_xlfn.XLOOKUP(G196, Vöruskrá!A:A, Vöruskrá!F:F, "")), ""), IF(F196 = "Réttur", IFERROR(_xlfn.SINGLE(_xlfn.XLOOKUP(G196, Réttabanki!A:A, Réttabanki!AT:AT, "")), ""), "")))</f>
        <v/>
      </c>
      <c r="N196" s="26" t="str">
        <f>IF(OR(F196 = "", G196 = ""), "", IF(F196 = "Vara", IFERROR(_xlfn.SINGLE(_xlfn.XLOOKUP(G196, Vöruskrá!A:A, Vöruskrá!G:G, "")), ""), IF(F196 = "Réttur", IFERROR(_xlfn.SINGLE(_xlfn.XLOOKUP(G196, Réttabanki!A:A, Réttabanki!AU:AU, "")), ""), "")))</f>
        <v/>
      </c>
      <c r="O196" s="26" t="str">
        <f>IF(OR(F196 = "", G196 = "", I196 = ""), "", IF(F196 = "Vara", IFERROR(_xlfn.SINGLE(_xlfn.XLOOKUP(G196, Vöruskrá!A:A, Vöruskrá!I:I, "")) * I196 / 100, ""), IF(F196 = "Réttur", IFERROR(_xlfn.SINGLE(_xlfn.XLOOKUP(G196, Réttabanki!A:A, Réttabanki!AV:AV, "")) * I196 / 100, ""), "")))</f>
        <v/>
      </c>
      <c r="P196" s="26" t="str">
        <f>IF(OR(F196 = "", G196 = "", I196 = ""), "", IF(F196 = "Vara", IFERROR(_xlfn.SINGLE(_xlfn.XLOOKUP(G196, Vöruskrá!A:A, Vöruskrá!J:J, "")) * I196 / 100, ""), IF(F196 = "Réttur", IFERROR(_xlfn.SINGLE(_xlfn.XLOOKUP(G196, Réttabanki!A:A, Réttabanki!AW:AW, "")) * I196 / 100, ""), "")))</f>
        <v/>
      </c>
      <c r="Q196" s="26" t="str">
        <f>IF(OR(F196 = "", G196 = "", I196 = ""), "", IF(F196 = "Vara", IFERROR(_xlfn.SINGLE(_xlfn.XLOOKUP(G196, Vöruskrá!A:A, Vöruskrá!N:N, "")) * I196 / 100, ""), IF(F196 = "Réttur", IFERROR(_xlfn.SINGLE(_xlfn.XLOOKUP(G196, Réttabanki!A:A, Réttabanki!BB:BB, "")) * I196 / 100, ""), "")))</f>
        <v/>
      </c>
    </row>
    <row r="197" spans="2:17">
      <c r="B197" s="33" t="str">
        <f>IF(A197&lt;&gt;"",CHOOSE(WEEKDAY(A197,2),"Mánudagur","Þriðjudagur","Miðvikudagur","Fimmtudagur","Föstudagur","Laugardagur","Sunnudagur"),IF(B196&lt;&gt;"",B196,""))</f>
        <v>Fimmtudagur</v>
      </c>
      <c r="C197" s="33">
        <f>IF(A197&lt;&gt;"",WEEKNUM(A197,21),IF(C196&lt;&gt;"",C196,""))</f>
        <v>27</v>
      </c>
      <c r="D197" s="34"/>
      <c r="E197" s="34"/>
      <c r="F197" s="34"/>
      <c r="G197" s="34"/>
      <c r="H197" s="34"/>
      <c r="I197" s="35"/>
      <c r="J197" s="35"/>
      <c r="K197" s="36"/>
      <c r="L197" s="26" t="str">
        <f>IF(OR(F197 = "", G197 = ""), "", IF(F197 = "Vara", IFERROR(_xlfn.SINGLE(_xlfn.XLOOKUP(G197, Vöruskrá!A:A, Vöruskrá!E:E, "")), ""), IF(F197 = "Réttur", IFERROR(_xlfn.SINGLE(_xlfn.XLOOKUP(G197, Réttabanki!A:A, Réttabanki!AS:AS, "")), ""), "")))</f>
        <v/>
      </c>
      <c r="M197" s="26" t="str">
        <f>IF(OR(F197 = "", G197 = ""), "", IF(F197 = "Vara", IFERROR(_xlfn.SINGLE(_xlfn.XLOOKUP(G197, Vöruskrá!A:A, Vöruskrá!F:F, "")), ""), IF(F197 = "Réttur", IFERROR(_xlfn.SINGLE(_xlfn.XLOOKUP(G197, Réttabanki!A:A, Réttabanki!AT:AT, "")), ""), "")))</f>
        <v/>
      </c>
      <c r="N197" s="26" t="str">
        <f>IF(OR(F197 = "", G197 = ""), "", IF(F197 = "Vara", IFERROR(_xlfn.SINGLE(_xlfn.XLOOKUP(G197, Vöruskrá!A:A, Vöruskrá!G:G, "")), ""), IF(F197 = "Réttur", IFERROR(_xlfn.SINGLE(_xlfn.XLOOKUP(G197, Réttabanki!A:A, Réttabanki!AU:AU, "")), ""), "")))</f>
        <v/>
      </c>
      <c r="O197" s="26" t="str">
        <f>IF(OR(F197 = "", G197 = "", I197 = ""), "", IF(F197 = "Vara", IFERROR(_xlfn.SINGLE(_xlfn.XLOOKUP(G197, Vöruskrá!A:A, Vöruskrá!I:I, "")) * I197 / 100, ""), IF(F197 = "Réttur", IFERROR(_xlfn.SINGLE(_xlfn.XLOOKUP(G197, Réttabanki!A:A, Réttabanki!AV:AV, "")) * I197 / 100, ""), "")))</f>
        <v/>
      </c>
      <c r="P197" s="26" t="str">
        <f>IF(OR(F197 = "", G197 = "", I197 = ""), "", IF(F197 = "Vara", IFERROR(_xlfn.SINGLE(_xlfn.XLOOKUP(G197, Vöruskrá!A:A, Vöruskrá!J:J, "")) * I197 / 100, ""), IF(F197 = "Réttur", IFERROR(_xlfn.SINGLE(_xlfn.XLOOKUP(G197, Réttabanki!A:A, Réttabanki!AW:AW, "")) * I197 / 100, ""), "")))</f>
        <v/>
      </c>
      <c r="Q197" s="26" t="str">
        <f>IF(OR(F197 = "", G197 = "", I197 = ""), "", IF(F197 = "Vara", IFERROR(_xlfn.SINGLE(_xlfn.XLOOKUP(G197, Vöruskrá!A:A, Vöruskrá!N:N, "")) * I197 / 100, ""), IF(F197 = "Réttur", IFERROR(_xlfn.SINGLE(_xlfn.XLOOKUP(G197, Réttabanki!A:A, Réttabanki!BB:BB, "")) * I197 / 100, ""), "")))</f>
        <v/>
      </c>
    </row>
    <row r="198" spans="2:17">
      <c r="B198" s="33" t="str">
        <f>IF(A198&lt;&gt;"",CHOOSE(WEEKDAY(A198,2),"Mánudagur","Þriðjudagur","Miðvikudagur","Fimmtudagur","Föstudagur","Laugardagur","Sunnudagur"),IF(B197&lt;&gt;"",B197,""))</f>
        <v>Fimmtudagur</v>
      </c>
      <c r="C198" s="33">
        <f>IF(A198&lt;&gt;"",WEEKNUM(A198,21),IF(C197&lt;&gt;"",C197,""))</f>
        <v>27</v>
      </c>
      <c r="D198" s="34"/>
      <c r="E198" s="34"/>
      <c r="F198" s="34"/>
      <c r="G198" s="34"/>
      <c r="H198" s="34"/>
      <c r="I198" s="35"/>
      <c r="J198" s="35"/>
      <c r="K198" s="36"/>
      <c r="L198" s="26" t="str">
        <f>IF(OR(F198 = "", G198 = ""), "", IF(F198 = "Vara", IFERROR(_xlfn.SINGLE(_xlfn.XLOOKUP(G198, Vöruskrá!A:A, Vöruskrá!E:E, "")), ""), IF(F198 = "Réttur", IFERROR(_xlfn.SINGLE(_xlfn.XLOOKUP(G198, Réttabanki!A:A, Réttabanki!AS:AS, "")), ""), "")))</f>
        <v/>
      </c>
      <c r="M198" s="26" t="str">
        <f>IF(OR(F198 = "", G198 = ""), "", IF(F198 = "Vara", IFERROR(_xlfn.SINGLE(_xlfn.XLOOKUP(G198, Vöruskrá!A:A, Vöruskrá!F:F, "")), ""), IF(F198 = "Réttur", IFERROR(_xlfn.SINGLE(_xlfn.XLOOKUP(G198, Réttabanki!A:A, Réttabanki!AT:AT, "")), ""), "")))</f>
        <v/>
      </c>
      <c r="N198" s="26" t="str">
        <f>IF(OR(F198 = "", G198 = ""), "", IF(F198 = "Vara", IFERROR(_xlfn.SINGLE(_xlfn.XLOOKUP(G198, Vöruskrá!A:A, Vöruskrá!G:G, "")), ""), IF(F198 = "Réttur", IFERROR(_xlfn.SINGLE(_xlfn.XLOOKUP(G198, Réttabanki!A:A, Réttabanki!AU:AU, "")), ""), "")))</f>
        <v/>
      </c>
      <c r="O198" s="26" t="str">
        <f>IF(OR(F198 = "", G198 = "", I198 = ""), "", IF(F198 = "Vara", IFERROR(_xlfn.SINGLE(_xlfn.XLOOKUP(G198, Vöruskrá!A:A, Vöruskrá!I:I, "")) * I198 / 100, ""), IF(F198 = "Réttur", IFERROR(_xlfn.SINGLE(_xlfn.XLOOKUP(G198, Réttabanki!A:A, Réttabanki!AV:AV, "")) * I198 / 100, ""), "")))</f>
        <v/>
      </c>
      <c r="P198" s="26" t="str">
        <f>IF(OR(F198 = "", G198 = "", I198 = ""), "", IF(F198 = "Vara", IFERROR(_xlfn.SINGLE(_xlfn.XLOOKUP(G198, Vöruskrá!A:A, Vöruskrá!J:J, "")) * I198 / 100, ""), IF(F198 = "Réttur", IFERROR(_xlfn.SINGLE(_xlfn.XLOOKUP(G198, Réttabanki!A:A, Réttabanki!AW:AW, "")) * I198 / 100, ""), "")))</f>
        <v/>
      </c>
      <c r="Q198" s="26" t="str">
        <f>IF(OR(F198 = "", G198 = "", I198 = ""), "", IF(F198 = "Vara", IFERROR(_xlfn.SINGLE(_xlfn.XLOOKUP(G198, Vöruskrá!A:A, Vöruskrá!N:N, "")) * I198 / 100, ""), IF(F198 = "Réttur", IFERROR(_xlfn.SINGLE(_xlfn.XLOOKUP(G198, Réttabanki!A:A, Réttabanki!BB:BB, "")) * I198 / 100, ""), "")))</f>
        <v/>
      </c>
    </row>
    <row r="199" spans="2:17">
      <c r="B199" s="33" t="str">
        <f>IF(A199&lt;&gt;"",CHOOSE(WEEKDAY(A199,2),"Mánudagur","Þriðjudagur","Miðvikudagur","Fimmtudagur","Föstudagur","Laugardagur","Sunnudagur"),IF(B198&lt;&gt;"",B198,""))</f>
        <v>Fimmtudagur</v>
      </c>
      <c r="C199" s="33">
        <f>IF(A199&lt;&gt;"",WEEKNUM(A199,21),IF(C198&lt;&gt;"",C198,""))</f>
        <v>27</v>
      </c>
      <c r="D199" s="34"/>
      <c r="E199" s="34"/>
      <c r="F199" s="34"/>
      <c r="G199" s="34"/>
      <c r="H199" s="34"/>
      <c r="I199" s="35"/>
      <c r="J199" s="35"/>
      <c r="K199" s="36"/>
      <c r="L199" s="26" t="str">
        <f>IF(OR(F199 = "", G199 = ""), "", IF(F199 = "Vara", IFERROR(_xlfn.SINGLE(_xlfn.XLOOKUP(G199, Vöruskrá!A:A, Vöruskrá!E:E, "")), ""), IF(F199 = "Réttur", IFERROR(_xlfn.SINGLE(_xlfn.XLOOKUP(G199, Réttabanki!A:A, Réttabanki!AS:AS, "")), ""), "")))</f>
        <v/>
      </c>
      <c r="M199" s="26" t="str">
        <f>IF(OR(F199 = "", G199 = ""), "", IF(F199 = "Vara", IFERROR(_xlfn.SINGLE(_xlfn.XLOOKUP(G199, Vöruskrá!A:A, Vöruskrá!F:F, "")), ""), IF(F199 = "Réttur", IFERROR(_xlfn.SINGLE(_xlfn.XLOOKUP(G199, Réttabanki!A:A, Réttabanki!AT:AT, "")), ""), "")))</f>
        <v/>
      </c>
      <c r="N199" s="26" t="str">
        <f>IF(OR(F199 = "", G199 = ""), "", IF(F199 = "Vara", IFERROR(_xlfn.SINGLE(_xlfn.XLOOKUP(G199, Vöruskrá!A:A, Vöruskrá!G:G, "")), ""), IF(F199 = "Réttur", IFERROR(_xlfn.SINGLE(_xlfn.XLOOKUP(G199, Réttabanki!A:A, Réttabanki!AU:AU, "")), ""), "")))</f>
        <v/>
      </c>
      <c r="O199" s="26" t="str">
        <f>IF(OR(F199 = "", G199 = "", I199 = ""), "", IF(F199 = "Vara", IFERROR(_xlfn.SINGLE(_xlfn.XLOOKUP(G199, Vöruskrá!A:A, Vöruskrá!I:I, "")) * I199 / 100, ""), IF(F199 = "Réttur", IFERROR(_xlfn.SINGLE(_xlfn.XLOOKUP(G199, Réttabanki!A:A, Réttabanki!AV:AV, "")) * I199 / 100, ""), "")))</f>
        <v/>
      </c>
      <c r="P199" s="26" t="str">
        <f>IF(OR(F199 = "", G199 = "", I199 = ""), "", IF(F199 = "Vara", IFERROR(_xlfn.SINGLE(_xlfn.XLOOKUP(G199, Vöruskrá!A:A, Vöruskrá!J:J, "")) * I199 / 100, ""), IF(F199 = "Réttur", IFERROR(_xlfn.SINGLE(_xlfn.XLOOKUP(G199, Réttabanki!A:A, Réttabanki!AW:AW, "")) * I199 / 100, ""), "")))</f>
        <v/>
      </c>
      <c r="Q199" s="26" t="str">
        <f>IF(OR(F199 = "", G199 = "", I199 = ""), "", IF(F199 = "Vara", IFERROR(_xlfn.SINGLE(_xlfn.XLOOKUP(G199, Vöruskrá!A:A, Vöruskrá!N:N, "")) * I199 / 100, ""), IF(F199 = "Réttur", IFERROR(_xlfn.SINGLE(_xlfn.XLOOKUP(G199, Réttabanki!A:A, Réttabanki!BB:BB, "")) * I199 / 100, ""), "")))</f>
        <v/>
      </c>
    </row>
    <row r="200" spans="2:17">
      <c r="B200" s="33" t="str">
        <f>IF(A200&lt;&gt;"",CHOOSE(WEEKDAY(A200,2),"Mánudagur","Þriðjudagur","Miðvikudagur","Fimmtudagur","Föstudagur","Laugardagur","Sunnudagur"),IF(B199&lt;&gt;"",B199,""))</f>
        <v>Fimmtudagur</v>
      </c>
      <c r="C200" s="33">
        <f>IF(A200&lt;&gt;"",WEEKNUM(A200,21),IF(C199&lt;&gt;"",C199,""))</f>
        <v>27</v>
      </c>
      <c r="D200" s="34"/>
      <c r="E200" s="34"/>
      <c r="F200" s="34"/>
      <c r="G200" s="34"/>
      <c r="H200" s="34"/>
      <c r="I200" s="35"/>
      <c r="J200" s="35"/>
      <c r="K200" s="36"/>
      <c r="L200" s="26" t="str">
        <f>IF(OR(F200 = "", G200 = ""), "", IF(F200 = "Vara", IFERROR(_xlfn.SINGLE(_xlfn.XLOOKUP(G200, Vöruskrá!A:A, Vöruskrá!E:E, "")), ""), IF(F200 = "Réttur", IFERROR(_xlfn.SINGLE(_xlfn.XLOOKUP(G200, Réttabanki!A:A, Réttabanki!AS:AS, "")), ""), "")))</f>
        <v/>
      </c>
      <c r="M200" s="26" t="str">
        <f>IF(OR(F200 = "", G200 = ""), "", IF(F200 = "Vara", IFERROR(_xlfn.SINGLE(_xlfn.XLOOKUP(G200, Vöruskrá!A:A, Vöruskrá!F:F, "")), ""), IF(F200 = "Réttur", IFERROR(_xlfn.SINGLE(_xlfn.XLOOKUP(G200, Réttabanki!A:A, Réttabanki!AT:AT, "")), ""), "")))</f>
        <v/>
      </c>
      <c r="N200" s="26" t="str">
        <f>IF(OR(F200 = "", G200 = ""), "", IF(F200 = "Vara", IFERROR(_xlfn.SINGLE(_xlfn.XLOOKUP(G200, Vöruskrá!A:A, Vöruskrá!G:G, "")), ""), IF(F200 = "Réttur", IFERROR(_xlfn.SINGLE(_xlfn.XLOOKUP(G200, Réttabanki!A:A, Réttabanki!AU:AU, "")), ""), "")))</f>
        <v/>
      </c>
      <c r="O200" s="26" t="str">
        <f>IF(OR(F200 = "", G200 = "", I200 = ""), "", IF(F200 = "Vara", IFERROR(_xlfn.SINGLE(_xlfn.XLOOKUP(G200, Vöruskrá!A:A, Vöruskrá!I:I, "")) * I200 / 100, ""), IF(F200 = "Réttur", IFERROR(_xlfn.SINGLE(_xlfn.XLOOKUP(G200, Réttabanki!A:A, Réttabanki!AV:AV, "")) * I200 / 100, ""), "")))</f>
        <v/>
      </c>
      <c r="P200" s="26" t="str">
        <f>IF(OR(F200 = "", G200 = "", I200 = ""), "", IF(F200 = "Vara", IFERROR(_xlfn.SINGLE(_xlfn.XLOOKUP(G200, Vöruskrá!A:A, Vöruskrá!J:J, "")) * I200 / 100, ""), IF(F200 = "Réttur", IFERROR(_xlfn.SINGLE(_xlfn.XLOOKUP(G200, Réttabanki!A:A, Réttabanki!AW:AW, "")) * I200 / 100, ""), "")))</f>
        <v/>
      </c>
      <c r="Q200" s="26" t="str">
        <f>IF(OR(F200 = "", G200 = "", I200 = ""), "", IF(F200 = "Vara", IFERROR(_xlfn.SINGLE(_xlfn.XLOOKUP(G200, Vöruskrá!A:A, Vöruskrá!N:N, "")) * I200 / 100, ""), IF(F200 = "Réttur", IFERROR(_xlfn.SINGLE(_xlfn.XLOOKUP(G200, Réttabanki!A:A, Réttabanki!BB:BB, "")) * I200 / 100, ""), "")))</f>
        <v/>
      </c>
    </row>
    <row r="201" spans="2:17">
      <c r="B201" s="33" t="str">
        <f>IF(A201&lt;&gt;"",CHOOSE(WEEKDAY(A201,2),"Mánudagur","Þriðjudagur","Miðvikudagur","Fimmtudagur","Föstudagur","Laugardagur","Sunnudagur"),IF(B200&lt;&gt;"",B200,""))</f>
        <v>Fimmtudagur</v>
      </c>
      <c r="C201" s="33">
        <f>IF(A201&lt;&gt;"",WEEKNUM(A201,21),IF(C200&lt;&gt;"",C200,""))</f>
        <v>27</v>
      </c>
      <c r="D201" s="34"/>
      <c r="E201" s="34"/>
      <c r="F201" s="34"/>
      <c r="G201" s="34"/>
      <c r="H201" s="34"/>
      <c r="I201" s="35"/>
      <c r="J201" s="35"/>
      <c r="K201" s="36"/>
      <c r="L201" s="26" t="str">
        <f>IF(OR(F201 = "", G201 = ""), "", IF(F201 = "Vara", IFERROR(_xlfn.SINGLE(_xlfn.XLOOKUP(G201, Vöruskrá!A:A, Vöruskrá!E:E, "")), ""), IF(F201 = "Réttur", IFERROR(_xlfn.SINGLE(_xlfn.XLOOKUP(G201, Réttabanki!A:A, Réttabanki!AS:AS, "")), ""), "")))</f>
        <v/>
      </c>
      <c r="M201" s="26" t="str">
        <f>IF(OR(F201 = "", G201 = ""), "", IF(F201 = "Vara", IFERROR(_xlfn.SINGLE(_xlfn.XLOOKUP(G201, Vöruskrá!A:A, Vöruskrá!F:F, "")), ""), IF(F201 = "Réttur", IFERROR(_xlfn.SINGLE(_xlfn.XLOOKUP(G201, Réttabanki!A:A, Réttabanki!AT:AT, "")), ""), "")))</f>
        <v/>
      </c>
      <c r="N201" s="26" t="str">
        <f>IF(OR(F201 = "", G201 = ""), "", IF(F201 = "Vara", IFERROR(_xlfn.SINGLE(_xlfn.XLOOKUP(G201, Vöruskrá!A:A, Vöruskrá!G:G, "")), ""), IF(F201 = "Réttur", IFERROR(_xlfn.SINGLE(_xlfn.XLOOKUP(G201, Réttabanki!A:A, Réttabanki!AU:AU, "")), ""), "")))</f>
        <v/>
      </c>
      <c r="O201" s="26" t="str">
        <f>IF(OR(F201 = "", G201 = "", I201 = ""), "", IF(F201 = "Vara", IFERROR(_xlfn.SINGLE(_xlfn.XLOOKUP(G201, Vöruskrá!A:A, Vöruskrá!I:I, "")) * I201 / 100, ""), IF(F201 = "Réttur", IFERROR(_xlfn.SINGLE(_xlfn.XLOOKUP(G201, Réttabanki!A:A, Réttabanki!AV:AV, "")) * I201 / 100, ""), "")))</f>
        <v/>
      </c>
      <c r="P201" s="26" t="str">
        <f>IF(OR(F201 = "", G201 = "", I201 = ""), "", IF(F201 = "Vara", IFERROR(_xlfn.SINGLE(_xlfn.XLOOKUP(G201, Vöruskrá!A:A, Vöruskrá!J:J, "")) * I201 / 100, ""), IF(F201 = "Réttur", IFERROR(_xlfn.SINGLE(_xlfn.XLOOKUP(G201, Réttabanki!A:A, Réttabanki!AW:AW, "")) * I201 / 100, ""), "")))</f>
        <v/>
      </c>
      <c r="Q201" s="26" t="str">
        <f>IF(OR(F201 = "", G201 = "", I201 = ""), "", IF(F201 = "Vara", IFERROR(_xlfn.SINGLE(_xlfn.XLOOKUP(G201, Vöruskrá!A:A, Vöruskrá!N:N, "")) * I201 / 100, ""), IF(F201 = "Réttur", IFERROR(_xlfn.SINGLE(_xlfn.XLOOKUP(G201, Réttabanki!A:A, Réttabanki!BB:BB, "")) * I201 / 100, ""), "")))</f>
        <v/>
      </c>
    </row>
    <row r="202" spans="2:17">
      <c r="B202" s="33" t="str">
        <f>IF(A202&lt;&gt;"",CHOOSE(WEEKDAY(A202,2),"Mánudagur","Þriðjudagur","Miðvikudagur","Fimmtudagur","Föstudagur","Laugardagur","Sunnudagur"),IF(B201&lt;&gt;"",B201,""))</f>
        <v>Fimmtudagur</v>
      </c>
      <c r="C202" s="33">
        <f>IF(A202&lt;&gt;"",WEEKNUM(A202,21),IF(C201&lt;&gt;"",C201,""))</f>
        <v>27</v>
      </c>
      <c r="D202" s="34"/>
      <c r="E202" s="34"/>
      <c r="F202" s="34"/>
      <c r="G202" s="34"/>
      <c r="H202" s="34"/>
      <c r="I202" s="35"/>
      <c r="J202" s="35"/>
      <c r="K202" s="36"/>
      <c r="L202" s="26" t="str">
        <f>IF(OR(F202 = "", G202 = ""), "", IF(F202 = "Vara", IFERROR(_xlfn.SINGLE(_xlfn.XLOOKUP(G202, Vöruskrá!A:A, Vöruskrá!E:E, "")), ""), IF(F202 = "Réttur", IFERROR(_xlfn.SINGLE(_xlfn.XLOOKUP(G202, Réttabanki!A:A, Réttabanki!AS:AS, "")), ""), "")))</f>
        <v/>
      </c>
      <c r="M202" s="26" t="str">
        <f>IF(OR(F202 = "", G202 = ""), "", IF(F202 = "Vara", IFERROR(_xlfn.SINGLE(_xlfn.XLOOKUP(G202, Vöruskrá!A:A, Vöruskrá!F:F, "")), ""), IF(F202 = "Réttur", IFERROR(_xlfn.SINGLE(_xlfn.XLOOKUP(G202, Réttabanki!A:A, Réttabanki!AT:AT, "")), ""), "")))</f>
        <v/>
      </c>
      <c r="N202" s="26" t="str">
        <f>IF(OR(F202 = "", G202 = ""), "", IF(F202 = "Vara", IFERROR(_xlfn.SINGLE(_xlfn.XLOOKUP(G202, Vöruskrá!A:A, Vöruskrá!G:G, "")), ""), IF(F202 = "Réttur", IFERROR(_xlfn.SINGLE(_xlfn.XLOOKUP(G202, Réttabanki!A:A, Réttabanki!AU:AU, "")), ""), "")))</f>
        <v/>
      </c>
      <c r="O202" s="26" t="str">
        <f>IF(OR(F202 = "", G202 = "", I202 = ""), "", IF(F202 = "Vara", IFERROR(_xlfn.SINGLE(_xlfn.XLOOKUP(G202, Vöruskrá!A:A, Vöruskrá!I:I, "")) * I202 / 100, ""), IF(F202 = "Réttur", IFERROR(_xlfn.SINGLE(_xlfn.XLOOKUP(G202, Réttabanki!A:A, Réttabanki!AV:AV, "")) * I202 / 100, ""), "")))</f>
        <v/>
      </c>
      <c r="P202" s="26" t="str">
        <f>IF(OR(F202 = "", G202 = "", I202 = ""), "", IF(F202 = "Vara", IFERROR(_xlfn.SINGLE(_xlfn.XLOOKUP(G202, Vöruskrá!A:A, Vöruskrá!J:J, "")) * I202 / 100, ""), IF(F202 = "Réttur", IFERROR(_xlfn.SINGLE(_xlfn.XLOOKUP(G202, Réttabanki!A:A, Réttabanki!AW:AW, "")) * I202 / 100, ""), "")))</f>
        <v/>
      </c>
      <c r="Q202" s="26" t="str">
        <f>IF(OR(F202 = "", G202 = "", I202 = ""), "", IF(F202 = "Vara", IFERROR(_xlfn.SINGLE(_xlfn.XLOOKUP(G202, Vöruskrá!A:A, Vöruskrá!N:N, "")) * I202 / 100, ""), IF(F202 = "Réttur", IFERROR(_xlfn.SINGLE(_xlfn.XLOOKUP(G202, Réttabanki!A:A, Réttabanki!BB:BB, "")) * I202 / 100, ""), "")))</f>
        <v/>
      </c>
    </row>
    <row r="203" spans="2:17">
      <c r="B203" s="33" t="str">
        <f>IF(A203&lt;&gt;"",CHOOSE(WEEKDAY(A203,2),"Mánudagur","Þriðjudagur","Miðvikudagur","Fimmtudagur","Föstudagur","Laugardagur","Sunnudagur"),IF(B202&lt;&gt;"",B202,""))</f>
        <v>Fimmtudagur</v>
      </c>
      <c r="C203" s="33">
        <f>IF(A203&lt;&gt;"",WEEKNUM(A203,21),IF(C202&lt;&gt;"",C202,""))</f>
        <v>27</v>
      </c>
      <c r="D203" s="34"/>
      <c r="E203" s="34"/>
      <c r="F203" s="34"/>
      <c r="G203" s="34"/>
      <c r="H203" s="34"/>
      <c r="I203" s="35"/>
      <c r="J203" s="35"/>
      <c r="K203" s="36"/>
      <c r="L203" s="26" t="str">
        <f>IF(OR(F203 = "", G203 = ""), "", IF(F203 = "Vara", IFERROR(_xlfn.SINGLE(_xlfn.XLOOKUP(G203, Vöruskrá!A:A, Vöruskrá!E:E, "")), ""), IF(F203 = "Réttur", IFERROR(_xlfn.SINGLE(_xlfn.XLOOKUP(G203, Réttabanki!A:A, Réttabanki!AS:AS, "")), ""), "")))</f>
        <v/>
      </c>
      <c r="M203" s="26" t="str">
        <f>IF(OR(F203 = "", G203 = ""), "", IF(F203 = "Vara", IFERROR(_xlfn.SINGLE(_xlfn.XLOOKUP(G203, Vöruskrá!A:A, Vöruskrá!F:F, "")), ""), IF(F203 = "Réttur", IFERROR(_xlfn.SINGLE(_xlfn.XLOOKUP(G203, Réttabanki!A:A, Réttabanki!AT:AT, "")), ""), "")))</f>
        <v/>
      </c>
      <c r="N203" s="26" t="str">
        <f>IF(OR(F203 = "", G203 = ""), "", IF(F203 = "Vara", IFERROR(_xlfn.SINGLE(_xlfn.XLOOKUP(G203, Vöruskrá!A:A, Vöruskrá!G:G, "")), ""), IF(F203 = "Réttur", IFERROR(_xlfn.SINGLE(_xlfn.XLOOKUP(G203, Réttabanki!A:A, Réttabanki!AU:AU, "")), ""), "")))</f>
        <v/>
      </c>
      <c r="O203" s="26" t="str">
        <f>IF(OR(F203 = "", G203 = "", I203 = ""), "", IF(F203 = "Vara", IFERROR(_xlfn.SINGLE(_xlfn.XLOOKUP(G203, Vöruskrá!A:A, Vöruskrá!I:I, "")) * I203 / 100, ""), IF(F203 = "Réttur", IFERROR(_xlfn.SINGLE(_xlfn.XLOOKUP(G203, Réttabanki!A:A, Réttabanki!AV:AV, "")) * I203 / 100, ""), "")))</f>
        <v/>
      </c>
      <c r="P203" s="26" t="str">
        <f>IF(OR(F203 = "", G203 = "", I203 = ""), "", IF(F203 = "Vara", IFERROR(_xlfn.SINGLE(_xlfn.XLOOKUP(G203, Vöruskrá!A:A, Vöruskrá!J:J, "")) * I203 / 100, ""), IF(F203 = "Réttur", IFERROR(_xlfn.SINGLE(_xlfn.XLOOKUP(G203, Réttabanki!A:A, Réttabanki!AW:AW, "")) * I203 / 100, ""), "")))</f>
        <v/>
      </c>
      <c r="Q203" s="26" t="str">
        <f>IF(OR(F203 = "", G203 = "", I203 = ""), "", IF(F203 = "Vara", IFERROR(_xlfn.SINGLE(_xlfn.XLOOKUP(G203, Vöruskrá!A:A, Vöruskrá!N:N, "")) * I203 / 100, ""), IF(F203 = "Réttur", IFERROR(_xlfn.SINGLE(_xlfn.XLOOKUP(G203, Réttabanki!A:A, Réttabanki!BB:BB, "")) * I203 / 100, ""), "")))</f>
        <v/>
      </c>
    </row>
    <row r="204" spans="2:17">
      <c r="B204" s="33" t="str">
        <f>IF(A204&lt;&gt;"",CHOOSE(WEEKDAY(A204,2),"Mánudagur","Þriðjudagur","Miðvikudagur","Fimmtudagur","Föstudagur","Laugardagur","Sunnudagur"),IF(B203&lt;&gt;"",B203,""))</f>
        <v>Fimmtudagur</v>
      </c>
      <c r="C204" s="33">
        <f>IF(A204&lt;&gt;"",WEEKNUM(A204,21),IF(C203&lt;&gt;"",C203,""))</f>
        <v>27</v>
      </c>
      <c r="D204" s="34"/>
      <c r="E204" s="34"/>
      <c r="F204" s="34"/>
      <c r="G204" s="34"/>
      <c r="H204" s="34"/>
      <c r="I204" s="35"/>
      <c r="J204" s="35"/>
      <c r="K204" s="36"/>
      <c r="L204" s="26" t="str">
        <f>IF(OR(F204 = "", G204 = ""), "", IF(F204 = "Vara", IFERROR(_xlfn.SINGLE(_xlfn.XLOOKUP(G204, Vöruskrá!A:A, Vöruskrá!E:E, "")), ""), IF(F204 = "Réttur", IFERROR(_xlfn.SINGLE(_xlfn.XLOOKUP(G204, Réttabanki!A:A, Réttabanki!AS:AS, "")), ""), "")))</f>
        <v/>
      </c>
      <c r="M204" s="26" t="str">
        <f>IF(OR(F204 = "", G204 = ""), "", IF(F204 = "Vara", IFERROR(_xlfn.SINGLE(_xlfn.XLOOKUP(G204, Vöruskrá!A:A, Vöruskrá!F:F, "")), ""), IF(F204 = "Réttur", IFERROR(_xlfn.SINGLE(_xlfn.XLOOKUP(G204, Réttabanki!A:A, Réttabanki!AT:AT, "")), ""), "")))</f>
        <v/>
      </c>
      <c r="N204" s="26" t="str">
        <f>IF(OR(F204 = "", G204 = ""), "", IF(F204 = "Vara", IFERROR(_xlfn.SINGLE(_xlfn.XLOOKUP(G204, Vöruskrá!A:A, Vöruskrá!G:G, "")), ""), IF(F204 = "Réttur", IFERROR(_xlfn.SINGLE(_xlfn.XLOOKUP(G204, Réttabanki!A:A, Réttabanki!AU:AU, "")), ""), "")))</f>
        <v/>
      </c>
      <c r="O204" s="26" t="str">
        <f>IF(OR(F204 = "", G204 = "", I204 = ""), "", IF(F204 = "Vara", IFERROR(_xlfn.SINGLE(_xlfn.XLOOKUP(G204, Vöruskrá!A:A, Vöruskrá!I:I, "")) * I204 / 100, ""), IF(F204 = "Réttur", IFERROR(_xlfn.SINGLE(_xlfn.XLOOKUP(G204, Réttabanki!A:A, Réttabanki!AV:AV, "")) * I204 / 100, ""), "")))</f>
        <v/>
      </c>
      <c r="P204" s="26" t="str">
        <f>IF(OR(F204 = "", G204 = "", I204 = ""), "", IF(F204 = "Vara", IFERROR(_xlfn.SINGLE(_xlfn.XLOOKUP(G204, Vöruskrá!A:A, Vöruskrá!J:J, "")) * I204 / 100, ""), IF(F204 = "Réttur", IFERROR(_xlfn.SINGLE(_xlfn.XLOOKUP(G204, Réttabanki!A:A, Réttabanki!AW:AW, "")) * I204 / 100, ""), "")))</f>
        <v/>
      </c>
      <c r="Q204" s="26" t="str">
        <f>IF(OR(F204 = "", G204 = "", I204 = ""), "", IF(F204 = "Vara", IFERROR(_xlfn.SINGLE(_xlfn.XLOOKUP(G204, Vöruskrá!A:A, Vöruskrá!N:N, "")) * I204 / 100, ""), IF(F204 = "Réttur", IFERROR(_xlfn.SINGLE(_xlfn.XLOOKUP(G204, Réttabanki!A:A, Réttabanki!BB:BB, "")) * I204 / 100, ""), "")))</f>
        <v/>
      </c>
    </row>
    <row r="205" spans="2:17">
      <c r="B205" s="33" t="str">
        <f>IF(A205&lt;&gt;"",CHOOSE(WEEKDAY(A205,2),"Mánudagur","Þriðjudagur","Miðvikudagur","Fimmtudagur","Föstudagur","Laugardagur","Sunnudagur"),IF(B204&lt;&gt;"",B204,""))</f>
        <v>Fimmtudagur</v>
      </c>
      <c r="C205" s="33">
        <f>IF(A205&lt;&gt;"",WEEKNUM(A205,21),IF(C204&lt;&gt;"",C204,""))</f>
        <v>27</v>
      </c>
      <c r="D205" s="34"/>
      <c r="E205" s="34"/>
      <c r="F205" s="34"/>
      <c r="G205" s="34"/>
      <c r="H205" s="34"/>
      <c r="I205" s="35"/>
      <c r="J205" s="35"/>
      <c r="K205" s="36"/>
      <c r="L205" s="26" t="str">
        <f>IF(OR(F205 = "", G205 = ""), "", IF(F205 = "Vara", IFERROR(_xlfn.SINGLE(_xlfn.XLOOKUP(G205, Vöruskrá!A:A, Vöruskrá!E:E, "")), ""), IF(F205 = "Réttur", IFERROR(_xlfn.SINGLE(_xlfn.XLOOKUP(G205, Réttabanki!A:A, Réttabanki!AS:AS, "")), ""), "")))</f>
        <v/>
      </c>
      <c r="M205" s="26" t="str">
        <f>IF(OR(F205 = "", G205 = ""), "", IF(F205 = "Vara", IFERROR(_xlfn.SINGLE(_xlfn.XLOOKUP(G205, Vöruskrá!A:A, Vöruskrá!F:F, "")), ""), IF(F205 = "Réttur", IFERROR(_xlfn.SINGLE(_xlfn.XLOOKUP(G205, Réttabanki!A:A, Réttabanki!AT:AT, "")), ""), "")))</f>
        <v/>
      </c>
      <c r="N205" s="26" t="str">
        <f>IF(OR(F205 = "", G205 = ""), "", IF(F205 = "Vara", IFERROR(_xlfn.SINGLE(_xlfn.XLOOKUP(G205, Vöruskrá!A:A, Vöruskrá!G:G, "")), ""), IF(F205 = "Réttur", IFERROR(_xlfn.SINGLE(_xlfn.XLOOKUP(G205, Réttabanki!A:A, Réttabanki!AU:AU, "")), ""), "")))</f>
        <v/>
      </c>
      <c r="O205" s="26" t="str">
        <f>IF(OR(F205 = "", G205 = "", I205 = ""), "", IF(F205 = "Vara", IFERROR(_xlfn.SINGLE(_xlfn.XLOOKUP(G205, Vöruskrá!A:A, Vöruskrá!I:I, "")) * I205 / 100, ""), IF(F205 = "Réttur", IFERROR(_xlfn.SINGLE(_xlfn.XLOOKUP(G205, Réttabanki!A:A, Réttabanki!AV:AV, "")) * I205 / 100, ""), "")))</f>
        <v/>
      </c>
      <c r="P205" s="26" t="str">
        <f>IF(OR(F205 = "", G205 = "", I205 = ""), "", IF(F205 = "Vara", IFERROR(_xlfn.SINGLE(_xlfn.XLOOKUP(G205, Vöruskrá!A:A, Vöruskrá!J:J, "")) * I205 / 100, ""), IF(F205 = "Réttur", IFERROR(_xlfn.SINGLE(_xlfn.XLOOKUP(G205, Réttabanki!A:A, Réttabanki!AW:AW, "")) * I205 / 100, ""), "")))</f>
        <v/>
      </c>
      <c r="Q205" s="26" t="str">
        <f>IF(OR(F205 = "", G205 = "", I205 = ""), "", IF(F205 = "Vara", IFERROR(_xlfn.SINGLE(_xlfn.XLOOKUP(G205, Vöruskrá!A:A, Vöruskrá!N:N, "")) * I205 / 100, ""), IF(F205 = "Réttur", IFERROR(_xlfn.SINGLE(_xlfn.XLOOKUP(G205, Réttabanki!A:A, Réttabanki!BB:BB, "")) * I205 / 100, ""), "")))</f>
        <v/>
      </c>
    </row>
    <row r="206" spans="2:17">
      <c r="B206" s="33" t="str">
        <f>IF(A206&lt;&gt;"",CHOOSE(WEEKDAY(A206,2),"Mánudagur","Þriðjudagur","Miðvikudagur","Fimmtudagur","Föstudagur","Laugardagur","Sunnudagur"),IF(B205&lt;&gt;"",B205,""))</f>
        <v>Fimmtudagur</v>
      </c>
      <c r="C206" s="33">
        <f>IF(A206&lt;&gt;"",WEEKNUM(A206,21),IF(C205&lt;&gt;"",C205,""))</f>
        <v>27</v>
      </c>
      <c r="D206" s="34"/>
      <c r="E206" s="34"/>
      <c r="F206" s="34"/>
      <c r="G206" s="34"/>
      <c r="H206" s="34"/>
      <c r="I206" s="35"/>
      <c r="J206" s="35"/>
      <c r="K206" s="36"/>
      <c r="L206" s="26" t="str">
        <f>IF(OR(F206 = "", G206 = ""), "", IF(F206 = "Vara", IFERROR(_xlfn.SINGLE(_xlfn.XLOOKUP(G206, Vöruskrá!A:A, Vöruskrá!E:E, "")), ""), IF(F206 = "Réttur", IFERROR(_xlfn.SINGLE(_xlfn.XLOOKUP(G206, Réttabanki!A:A, Réttabanki!AS:AS, "")), ""), "")))</f>
        <v/>
      </c>
      <c r="M206" s="26" t="str">
        <f>IF(OR(F206 = "", G206 = ""), "", IF(F206 = "Vara", IFERROR(_xlfn.SINGLE(_xlfn.XLOOKUP(G206, Vöruskrá!A:A, Vöruskrá!F:F, "")), ""), IF(F206 = "Réttur", IFERROR(_xlfn.SINGLE(_xlfn.XLOOKUP(G206, Réttabanki!A:A, Réttabanki!AT:AT, "")), ""), "")))</f>
        <v/>
      </c>
      <c r="N206" s="26" t="str">
        <f>IF(OR(F206 = "", G206 = ""), "", IF(F206 = "Vara", IFERROR(_xlfn.SINGLE(_xlfn.XLOOKUP(G206, Vöruskrá!A:A, Vöruskrá!G:G, "")), ""), IF(F206 = "Réttur", IFERROR(_xlfn.SINGLE(_xlfn.XLOOKUP(G206, Réttabanki!A:A, Réttabanki!AU:AU, "")), ""), "")))</f>
        <v/>
      </c>
      <c r="O206" s="26" t="str">
        <f>IF(OR(F206 = "", G206 = "", I206 = ""), "", IF(F206 = "Vara", IFERROR(_xlfn.SINGLE(_xlfn.XLOOKUP(G206, Vöruskrá!A:A, Vöruskrá!I:I, "")) * I206 / 100, ""), IF(F206 = "Réttur", IFERROR(_xlfn.SINGLE(_xlfn.XLOOKUP(G206, Réttabanki!A:A, Réttabanki!AV:AV, "")) * I206 / 100, ""), "")))</f>
        <v/>
      </c>
      <c r="P206" s="26" t="str">
        <f>IF(OR(F206 = "", G206 = "", I206 = ""), "", IF(F206 = "Vara", IFERROR(_xlfn.SINGLE(_xlfn.XLOOKUP(G206, Vöruskrá!A:A, Vöruskrá!J:J, "")) * I206 / 100, ""), IF(F206 = "Réttur", IFERROR(_xlfn.SINGLE(_xlfn.XLOOKUP(G206, Réttabanki!A:A, Réttabanki!AW:AW, "")) * I206 / 100, ""), "")))</f>
        <v/>
      </c>
      <c r="Q206" s="26" t="str">
        <f>IF(OR(F206 = "", G206 = "", I206 = ""), "", IF(F206 = "Vara", IFERROR(_xlfn.SINGLE(_xlfn.XLOOKUP(G206, Vöruskrá!A:A, Vöruskrá!N:N, "")) * I206 / 100, ""), IF(F206 = "Réttur", IFERROR(_xlfn.SINGLE(_xlfn.XLOOKUP(G206, Réttabanki!A:A, Réttabanki!BB:BB, "")) * I206 / 100, ""), "")))</f>
        <v/>
      </c>
    </row>
    <row r="207" spans="2:17">
      <c r="B207" s="33" t="str">
        <f>IF(A207&lt;&gt;"",CHOOSE(WEEKDAY(A207,2),"Mánudagur","Þriðjudagur","Miðvikudagur","Fimmtudagur","Föstudagur","Laugardagur","Sunnudagur"),IF(B206&lt;&gt;"",B206,""))</f>
        <v>Fimmtudagur</v>
      </c>
      <c r="C207" s="33">
        <f>IF(A207&lt;&gt;"",WEEKNUM(A207,21),IF(C206&lt;&gt;"",C206,""))</f>
        <v>27</v>
      </c>
      <c r="D207" s="34"/>
      <c r="E207" s="34"/>
      <c r="F207" s="34"/>
      <c r="G207" s="34"/>
      <c r="H207" s="34"/>
      <c r="I207" s="35"/>
      <c r="J207" s="35"/>
      <c r="K207" s="36"/>
      <c r="L207" s="26" t="str">
        <f>IF(OR(F207 = "", G207 = ""), "", IF(F207 = "Vara", IFERROR(_xlfn.SINGLE(_xlfn.XLOOKUP(G207, Vöruskrá!A:A, Vöruskrá!E:E, "")), ""), IF(F207 = "Réttur", IFERROR(_xlfn.SINGLE(_xlfn.XLOOKUP(G207, Réttabanki!A:A, Réttabanki!AS:AS, "")), ""), "")))</f>
        <v/>
      </c>
      <c r="M207" s="26" t="str">
        <f>IF(OR(F207 = "", G207 = ""), "", IF(F207 = "Vara", IFERROR(_xlfn.SINGLE(_xlfn.XLOOKUP(G207, Vöruskrá!A:A, Vöruskrá!F:F, "")), ""), IF(F207 = "Réttur", IFERROR(_xlfn.SINGLE(_xlfn.XLOOKUP(G207, Réttabanki!A:A, Réttabanki!AT:AT, "")), ""), "")))</f>
        <v/>
      </c>
      <c r="N207" s="26" t="str">
        <f>IF(OR(F207 = "", G207 = ""), "", IF(F207 = "Vara", IFERROR(_xlfn.SINGLE(_xlfn.XLOOKUP(G207, Vöruskrá!A:A, Vöruskrá!G:G, "")), ""), IF(F207 = "Réttur", IFERROR(_xlfn.SINGLE(_xlfn.XLOOKUP(G207, Réttabanki!A:A, Réttabanki!AU:AU, "")), ""), "")))</f>
        <v/>
      </c>
      <c r="O207" s="26" t="str">
        <f>IF(OR(F207 = "", G207 = "", I207 = ""), "", IF(F207 = "Vara", IFERROR(_xlfn.SINGLE(_xlfn.XLOOKUP(G207, Vöruskrá!A:A, Vöruskrá!I:I, "")) * I207 / 100, ""), IF(F207 = "Réttur", IFERROR(_xlfn.SINGLE(_xlfn.XLOOKUP(G207, Réttabanki!A:A, Réttabanki!AV:AV, "")) * I207 / 100, ""), "")))</f>
        <v/>
      </c>
      <c r="P207" s="26" t="str">
        <f>IF(OR(F207 = "", G207 = "", I207 = ""), "", IF(F207 = "Vara", IFERROR(_xlfn.SINGLE(_xlfn.XLOOKUP(G207, Vöruskrá!A:A, Vöruskrá!J:J, "")) * I207 / 100, ""), IF(F207 = "Réttur", IFERROR(_xlfn.SINGLE(_xlfn.XLOOKUP(G207, Réttabanki!A:A, Réttabanki!AW:AW, "")) * I207 / 100, ""), "")))</f>
        <v/>
      </c>
      <c r="Q207" s="26" t="str">
        <f>IF(OR(F207 = "", G207 = "", I207 = ""), "", IF(F207 = "Vara", IFERROR(_xlfn.SINGLE(_xlfn.XLOOKUP(G207, Vöruskrá!A:A, Vöruskrá!N:N, "")) * I207 / 100, ""), IF(F207 = "Réttur", IFERROR(_xlfn.SINGLE(_xlfn.XLOOKUP(G207, Réttabanki!A:A, Réttabanki!BB:BB, "")) * I207 / 100, ""), "")))</f>
        <v/>
      </c>
    </row>
    <row r="208" spans="2:17">
      <c r="B208" s="33" t="str">
        <f>IF(A208&lt;&gt;"",CHOOSE(WEEKDAY(A208,2),"Mánudagur","Þriðjudagur","Miðvikudagur","Fimmtudagur","Föstudagur","Laugardagur","Sunnudagur"),IF(B207&lt;&gt;"",B207,""))</f>
        <v>Fimmtudagur</v>
      </c>
      <c r="C208" s="33">
        <f>IF(A208&lt;&gt;"",WEEKNUM(A208,21),IF(C207&lt;&gt;"",C207,""))</f>
        <v>27</v>
      </c>
      <c r="D208" s="34"/>
      <c r="E208" s="34"/>
      <c r="F208" s="34"/>
      <c r="G208" s="34"/>
      <c r="H208" s="34"/>
      <c r="I208" s="35"/>
      <c r="J208" s="35"/>
      <c r="K208" s="36"/>
      <c r="L208" s="26" t="str">
        <f>IF(OR(F208 = "", G208 = ""), "", IF(F208 = "Vara", IFERROR(_xlfn.SINGLE(_xlfn.XLOOKUP(G208, Vöruskrá!A:A, Vöruskrá!E:E, "")), ""), IF(F208 = "Réttur", IFERROR(_xlfn.SINGLE(_xlfn.XLOOKUP(G208, Réttabanki!A:A, Réttabanki!AS:AS, "")), ""), "")))</f>
        <v/>
      </c>
      <c r="M208" s="26" t="str">
        <f>IF(OR(F208 = "", G208 = ""), "", IF(F208 = "Vara", IFERROR(_xlfn.SINGLE(_xlfn.XLOOKUP(G208, Vöruskrá!A:A, Vöruskrá!F:F, "")), ""), IF(F208 = "Réttur", IFERROR(_xlfn.SINGLE(_xlfn.XLOOKUP(G208, Réttabanki!A:A, Réttabanki!AT:AT, "")), ""), "")))</f>
        <v/>
      </c>
      <c r="N208" s="26" t="str">
        <f>IF(OR(F208 = "", G208 = ""), "", IF(F208 = "Vara", IFERROR(_xlfn.SINGLE(_xlfn.XLOOKUP(G208, Vöruskrá!A:A, Vöruskrá!G:G, "")), ""), IF(F208 = "Réttur", IFERROR(_xlfn.SINGLE(_xlfn.XLOOKUP(G208, Réttabanki!A:A, Réttabanki!AU:AU, "")), ""), "")))</f>
        <v/>
      </c>
      <c r="O208" s="26" t="str">
        <f>IF(OR(F208 = "", G208 = "", I208 = ""), "", IF(F208 = "Vara", IFERROR(_xlfn.SINGLE(_xlfn.XLOOKUP(G208, Vöruskrá!A:A, Vöruskrá!I:I, "")) * I208 / 100, ""), IF(F208 = "Réttur", IFERROR(_xlfn.SINGLE(_xlfn.XLOOKUP(G208, Réttabanki!A:A, Réttabanki!AV:AV, "")) * I208 / 100, ""), "")))</f>
        <v/>
      </c>
      <c r="P208" s="26" t="str">
        <f>IF(OR(F208 = "", G208 = "", I208 = ""), "", IF(F208 = "Vara", IFERROR(_xlfn.SINGLE(_xlfn.XLOOKUP(G208, Vöruskrá!A:A, Vöruskrá!J:J, "")) * I208 / 100, ""), IF(F208 = "Réttur", IFERROR(_xlfn.SINGLE(_xlfn.XLOOKUP(G208, Réttabanki!A:A, Réttabanki!AW:AW, "")) * I208 / 100, ""), "")))</f>
        <v/>
      </c>
      <c r="Q208" s="26" t="str">
        <f>IF(OR(F208 = "", G208 = "", I208 = ""), "", IF(F208 = "Vara", IFERROR(_xlfn.SINGLE(_xlfn.XLOOKUP(G208, Vöruskrá!A:A, Vöruskrá!N:N, "")) * I208 / 100, ""), IF(F208 = "Réttur", IFERROR(_xlfn.SINGLE(_xlfn.XLOOKUP(G208, Réttabanki!A:A, Réttabanki!BB:BB, "")) * I208 / 100, ""), "")))</f>
        <v/>
      </c>
    </row>
    <row r="209" spans="2:17">
      <c r="B209" s="33" t="str">
        <f>IF(A209&lt;&gt;"",CHOOSE(WEEKDAY(A209,2),"Mánudagur","Þriðjudagur","Miðvikudagur","Fimmtudagur","Föstudagur","Laugardagur","Sunnudagur"),IF(B208&lt;&gt;"",B208,""))</f>
        <v>Fimmtudagur</v>
      </c>
      <c r="C209" s="33">
        <f>IF(A209&lt;&gt;"",WEEKNUM(A209,21),IF(C208&lt;&gt;"",C208,""))</f>
        <v>27</v>
      </c>
      <c r="D209" s="34"/>
      <c r="E209" s="34"/>
      <c r="F209" s="34"/>
      <c r="G209" s="34"/>
      <c r="H209" s="34"/>
      <c r="I209" s="35"/>
      <c r="J209" s="35"/>
      <c r="K209" s="36"/>
      <c r="L209" s="26" t="str">
        <f>IF(OR(F209 = "", G209 = ""), "", IF(F209 = "Vara", IFERROR(_xlfn.SINGLE(_xlfn.XLOOKUP(G209, Vöruskrá!A:A, Vöruskrá!E:E, "")), ""), IF(F209 = "Réttur", IFERROR(_xlfn.SINGLE(_xlfn.XLOOKUP(G209, Réttabanki!A:A, Réttabanki!AS:AS, "")), ""), "")))</f>
        <v/>
      </c>
      <c r="M209" s="26" t="str">
        <f>IF(OR(F209 = "", G209 = ""), "", IF(F209 = "Vara", IFERROR(_xlfn.SINGLE(_xlfn.XLOOKUP(G209, Vöruskrá!A:A, Vöruskrá!F:F, "")), ""), IF(F209 = "Réttur", IFERROR(_xlfn.SINGLE(_xlfn.XLOOKUP(G209, Réttabanki!A:A, Réttabanki!AT:AT, "")), ""), "")))</f>
        <v/>
      </c>
      <c r="N209" s="26" t="str">
        <f>IF(OR(F209 = "", G209 = ""), "", IF(F209 = "Vara", IFERROR(_xlfn.SINGLE(_xlfn.XLOOKUP(G209, Vöruskrá!A:A, Vöruskrá!G:G, "")), ""), IF(F209 = "Réttur", IFERROR(_xlfn.SINGLE(_xlfn.XLOOKUP(G209, Réttabanki!A:A, Réttabanki!AU:AU, "")), ""), "")))</f>
        <v/>
      </c>
      <c r="O209" s="26" t="str">
        <f>IF(OR(F209 = "", G209 = "", I209 = ""), "", IF(F209 = "Vara", IFERROR(_xlfn.SINGLE(_xlfn.XLOOKUP(G209, Vöruskrá!A:A, Vöruskrá!I:I, "")) * I209 / 100, ""), IF(F209 = "Réttur", IFERROR(_xlfn.SINGLE(_xlfn.XLOOKUP(G209, Réttabanki!A:A, Réttabanki!AV:AV, "")) * I209 / 100, ""), "")))</f>
        <v/>
      </c>
      <c r="P209" s="26" t="str">
        <f>IF(OR(F209 = "", G209 = "", I209 = ""), "", IF(F209 = "Vara", IFERROR(_xlfn.SINGLE(_xlfn.XLOOKUP(G209, Vöruskrá!A:A, Vöruskrá!J:J, "")) * I209 / 100, ""), IF(F209 = "Réttur", IFERROR(_xlfn.SINGLE(_xlfn.XLOOKUP(G209, Réttabanki!A:A, Réttabanki!AW:AW, "")) * I209 / 100, ""), "")))</f>
        <v/>
      </c>
      <c r="Q209" s="26" t="str">
        <f>IF(OR(F209 = "", G209 = "", I209 = ""), "", IF(F209 = "Vara", IFERROR(_xlfn.SINGLE(_xlfn.XLOOKUP(G209, Vöruskrá!A:A, Vöruskrá!N:N, "")) * I209 / 100, ""), IF(F209 = "Réttur", IFERROR(_xlfn.SINGLE(_xlfn.XLOOKUP(G209, Réttabanki!A:A, Réttabanki!BB:BB, "")) * I209 / 100, ""), "")))</f>
        <v/>
      </c>
    </row>
    <row r="210" spans="2:17">
      <c r="B210" s="33" t="str">
        <f>IF(A210&lt;&gt;"",CHOOSE(WEEKDAY(A210,2),"Mánudagur","Þriðjudagur","Miðvikudagur","Fimmtudagur","Föstudagur","Laugardagur","Sunnudagur"),IF(B209&lt;&gt;"",B209,""))</f>
        <v>Fimmtudagur</v>
      </c>
      <c r="C210" s="33">
        <f>IF(A210&lt;&gt;"",WEEKNUM(A210,21),IF(C209&lt;&gt;"",C209,""))</f>
        <v>27</v>
      </c>
      <c r="D210" s="34"/>
      <c r="E210" s="34"/>
      <c r="F210" s="34"/>
      <c r="G210" s="34"/>
      <c r="H210" s="34"/>
      <c r="I210" s="35"/>
      <c r="J210" s="35"/>
      <c r="K210" s="36"/>
      <c r="L210" s="26" t="str">
        <f>IF(OR(F210 = "", G210 = ""), "", IF(F210 = "Vara", IFERROR(_xlfn.SINGLE(_xlfn.XLOOKUP(G210, Vöruskrá!A:A, Vöruskrá!E:E, "")), ""), IF(F210 = "Réttur", IFERROR(_xlfn.SINGLE(_xlfn.XLOOKUP(G210, Réttabanki!A:A, Réttabanki!AS:AS, "")), ""), "")))</f>
        <v/>
      </c>
      <c r="M210" s="26" t="str">
        <f>IF(OR(F210 = "", G210 = ""), "", IF(F210 = "Vara", IFERROR(_xlfn.SINGLE(_xlfn.XLOOKUP(G210, Vöruskrá!A:A, Vöruskrá!F:F, "")), ""), IF(F210 = "Réttur", IFERROR(_xlfn.SINGLE(_xlfn.XLOOKUP(G210, Réttabanki!A:A, Réttabanki!AT:AT, "")), ""), "")))</f>
        <v/>
      </c>
      <c r="N210" s="26" t="str">
        <f>IF(OR(F210 = "", G210 = ""), "", IF(F210 = "Vara", IFERROR(_xlfn.SINGLE(_xlfn.XLOOKUP(G210, Vöruskrá!A:A, Vöruskrá!G:G, "")), ""), IF(F210 = "Réttur", IFERROR(_xlfn.SINGLE(_xlfn.XLOOKUP(G210, Réttabanki!A:A, Réttabanki!AU:AU, "")), ""), "")))</f>
        <v/>
      </c>
      <c r="O210" s="26" t="str">
        <f>IF(OR(F210 = "", G210 = "", I210 = ""), "", IF(F210 = "Vara", IFERROR(_xlfn.SINGLE(_xlfn.XLOOKUP(G210, Vöruskrá!A:A, Vöruskrá!I:I, "")) * I210 / 100, ""), IF(F210 = "Réttur", IFERROR(_xlfn.SINGLE(_xlfn.XLOOKUP(G210, Réttabanki!A:A, Réttabanki!AV:AV, "")) * I210 / 100, ""), "")))</f>
        <v/>
      </c>
      <c r="P210" s="26" t="str">
        <f>IF(OR(F210 = "", G210 = "", I210 = ""), "", IF(F210 = "Vara", IFERROR(_xlfn.SINGLE(_xlfn.XLOOKUP(G210, Vöruskrá!A:A, Vöruskrá!J:J, "")) * I210 / 100, ""), IF(F210 = "Réttur", IFERROR(_xlfn.SINGLE(_xlfn.XLOOKUP(G210, Réttabanki!A:A, Réttabanki!AW:AW, "")) * I210 / 100, ""), "")))</f>
        <v/>
      </c>
      <c r="Q210" s="26" t="str">
        <f>IF(OR(F210 = "", G210 = "", I210 = ""), "", IF(F210 = "Vara", IFERROR(_xlfn.SINGLE(_xlfn.XLOOKUP(G210, Vöruskrá!A:A, Vöruskrá!N:N, "")) * I210 / 100, ""), IF(F210 = "Réttur", IFERROR(_xlfn.SINGLE(_xlfn.XLOOKUP(G210, Réttabanki!A:A, Réttabanki!BB:BB, "")) * I210 / 100, ""), "")))</f>
        <v/>
      </c>
    </row>
    <row r="211" spans="2:17">
      <c r="B211" s="33" t="str">
        <f>IF(A211&lt;&gt;"",CHOOSE(WEEKDAY(A211,2),"Mánudagur","Þriðjudagur","Miðvikudagur","Fimmtudagur","Föstudagur","Laugardagur","Sunnudagur"),IF(B210&lt;&gt;"",B210,""))</f>
        <v>Fimmtudagur</v>
      </c>
      <c r="C211" s="33">
        <f>IF(A211&lt;&gt;"",WEEKNUM(A211,21),IF(C210&lt;&gt;"",C210,""))</f>
        <v>27</v>
      </c>
      <c r="D211" s="34"/>
      <c r="E211" s="34"/>
      <c r="F211" s="34"/>
      <c r="G211" s="34"/>
      <c r="H211" s="34"/>
      <c r="I211" s="35"/>
      <c r="J211" s="35"/>
      <c r="K211" s="36"/>
      <c r="L211" s="26" t="str">
        <f>IF(OR(F211 = "", G211 = ""), "", IF(F211 = "Vara", IFERROR(_xlfn.SINGLE(_xlfn.XLOOKUP(G211, Vöruskrá!A:A, Vöruskrá!E:E, "")), ""), IF(F211 = "Réttur", IFERROR(_xlfn.SINGLE(_xlfn.XLOOKUP(G211, Réttabanki!A:A, Réttabanki!AS:AS, "")), ""), "")))</f>
        <v/>
      </c>
      <c r="M211" s="26" t="str">
        <f>IF(OR(F211 = "", G211 = ""), "", IF(F211 = "Vara", IFERROR(_xlfn.SINGLE(_xlfn.XLOOKUP(G211, Vöruskrá!A:A, Vöruskrá!F:F, "")), ""), IF(F211 = "Réttur", IFERROR(_xlfn.SINGLE(_xlfn.XLOOKUP(G211, Réttabanki!A:A, Réttabanki!AT:AT, "")), ""), "")))</f>
        <v/>
      </c>
      <c r="N211" s="26" t="str">
        <f>IF(OR(F211 = "", G211 = ""), "", IF(F211 = "Vara", IFERROR(_xlfn.SINGLE(_xlfn.XLOOKUP(G211, Vöruskrá!A:A, Vöruskrá!G:G, "")), ""), IF(F211 = "Réttur", IFERROR(_xlfn.SINGLE(_xlfn.XLOOKUP(G211, Réttabanki!A:A, Réttabanki!AU:AU, "")), ""), "")))</f>
        <v/>
      </c>
      <c r="O211" s="26" t="str">
        <f>IF(OR(F211 = "", G211 = "", I211 = ""), "", IF(F211 = "Vara", IFERROR(_xlfn.SINGLE(_xlfn.XLOOKUP(G211, Vöruskrá!A:A, Vöruskrá!I:I, "")) * I211 / 100, ""), IF(F211 = "Réttur", IFERROR(_xlfn.SINGLE(_xlfn.XLOOKUP(G211, Réttabanki!A:A, Réttabanki!AV:AV, "")) * I211 / 100, ""), "")))</f>
        <v/>
      </c>
      <c r="P211" s="26" t="str">
        <f>IF(OR(F211 = "", G211 = "", I211 = ""), "", IF(F211 = "Vara", IFERROR(_xlfn.SINGLE(_xlfn.XLOOKUP(G211, Vöruskrá!A:A, Vöruskrá!J:J, "")) * I211 / 100, ""), IF(F211 = "Réttur", IFERROR(_xlfn.SINGLE(_xlfn.XLOOKUP(G211, Réttabanki!A:A, Réttabanki!AW:AW, "")) * I211 / 100, ""), "")))</f>
        <v/>
      </c>
      <c r="Q211" s="26" t="str">
        <f>IF(OR(F211 = "", G211 = "", I211 = ""), "", IF(F211 = "Vara", IFERROR(_xlfn.SINGLE(_xlfn.XLOOKUP(G211, Vöruskrá!A:A, Vöruskrá!N:N, "")) * I211 / 100, ""), IF(F211 = "Réttur", IFERROR(_xlfn.SINGLE(_xlfn.XLOOKUP(G211, Réttabanki!A:A, Réttabanki!BB:BB, "")) * I211 / 100, ""), "")))</f>
        <v/>
      </c>
    </row>
    <row r="212" spans="2:17">
      <c r="B212" s="33" t="str">
        <f>IF(A212&lt;&gt;"",CHOOSE(WEEKDAY(A212,2),"Mánudagur","Þriðjudagur","Miðvikudagur","Fimmtudagur","Föstudagur","Laugardagur","Sunnudagur"),IF(B211&lt;&gt;"",B211,""))</f>
        <v>Fimmtudagur</v>
      </c>
      <c r="C212" s="33">
        <f>IF(A212&lt;&gt;"",WEEKNUM(A212,21),IF(C211&lt;&gt;"",C211,""))</f>
        <v>27</v>
      </c>
      <c r="D212" s="34"/>
      <c r="E212" s="34"/>
      <c r="F212" s="34"/>
      <c r="G212" s="34"/>
      <c r="H212" s="34"/>
      <c r="I212" s="35"/>
      <c r="J212" s="35"/>
      <c r="K212" s="36"/>
      <c r="L212" s="26" t="str">
        <f>IF(OR(F212 = "", G212 = ""), "", IF(F212 = "Vara", IFERROR(_xlfn.SINGLE(_xlfn.XLOOKUP(G212, Vöruskrá!A:A, Vöruskrá!E:E, "")), ""), IF(F212 = "Réttur", IFERROR(_xlfn.SINGLE(_xlfn.XLOOKUP(G212, Réttabanki!A:A, Réttabanki!AS:AS, "")), ""), "")))</f>
        <v/>
      </c>
      <c r="M212" s="26" t="str">
        <f>IF(OR(F212 = "", G212 = ""), "", IF(F212 = "Vara", IFERROR(_xlfn.SINGLE(_xlfn.XLOOKUP(G212, Vöruskrá!A:A, Vöruskrá!F:F, "")), ""), IF(F212 = "Réttur", IFERROR(_xlfn.SINGLE(_xlfn.XLOOKUP(G212, Réttabanki!A:A, Réttabanki!AT:AT, "")), ""), "")))</f>
        <v/>
      </c>
      <c r="N212" s="26" t="str">
        <f>IF(OR(F212 = "", G212 = ""), "", IF(F212 = "Vara", IFERROR(_xlfn.SINGLE(_xlfn.XLOOKUP(G212, Vöruskrá!A:A, Vöruskrá!G:G, "")), ""), IF(F212 = "Réttur", IFERROR(_xlfn.SINGLE(_xlfn.XLOOKUP(G212, Réttabanki!A:A, Réttabanki!AU:AU, "")), ""), "")))</f>
        <v/>
      </c>
      <c r="O212" s="26" t="str">
        <f>IF(OR(F212 = "", G212 = "", I212 = ""), "", IF(F212 = "Vara", IFERROR(_xlfn.SINGLE(_xlfn.XLOOKUP(G212, Vöruskrá!A:A, Vöruskrá!I:I, "")) * I212 / 100, ""), IF(F212 = "Réttur", IFERROR(_xlfn.SINGLE(_xlfn.XLOOKUP(G212, Réttabanki!A:A, Réttabanki!AV:AV, "")) * I212 / 100, ""), "")))</f>
        <v/>
      </c>
      <c r="P212" s="26" t="str">
        <f>IF(OR(F212 = "", G212 = "", I212 = ""), "", IF(F212 = "Vara", IFERROR(_xlfn.SINGLE(_xlfn.XLOOKUP(G212, Vöruskrá!A:A, Vöruskrá!J:J, "")) * I212 / 100, ""), IF(F212 = "Réttur", IFERROR(_xlfn.SINGLE(_xlfn.XLOOKUP(G212, Réttabanki!A:A, Réttabanki!AW:AW, "")) * I212 / 100, ""), "")))</f>
        <v/>
      </c>
      <c r="Q212" s="26" t="str">
        <f>IF(OR(F212 = "", G212 = "", I212 = ""), "", IF(F212 = "Vara", IFERROR(_xlfn.SINGLE(_xlfn.XLOOKUP(G212, Vöruskrá!A:A, Vöruskrá!N:N, "")) * I212 / 100, ""), IF(F212 = "Réttur", IFERROR(_xlfn.SINGLE(_xlfn.XLOOKUP(G212, Réttabanki!A:A, Réttabanki!BB:BB, "")) * I212 / 100, ""), "")))</f>
        <v/>
      </c>
    </row>
    <row r="213" spans="2:17">
      <c r="B213" s="33" t="str">
        <f>IF(A213&lt;&gt;"",CHOOSE(WEEKDAY(A213,2),"Mánudagur","Þriðjudagur","Miðvikudagur","Fimmtudagur","Föstudagur","Laugardagur","Sunnudagur"),IF(B212&lt;&gt;"",B212,""))</f>
        <v>Fimmtudagur</v>
      </c>
      <c r="C213" s="33">
        <f>IF(A213&lt;&gt;"",WEEKNUM(A213,21),IF(C212&lt;&gt;"",C212,""))</f>
        <v>27</v>
      </c>
      <c r="D213" s="34"/>
      <c r="E213" s="34"/>
      <c r="F213" s="34"/>
      <c r="G213" s="34"/>
      <c r="H213" s="34"/>
      <c r="I213" s="35"/>
      <c r="J213" s="35"/>
      <c r="K213" s="36"/>
      <c r="L213" s="26" t="str">
        <f>IF(OR(F213 = "", G213 = ""), "", IF(F213 = "Vara", IFERROR(_xlfn.SINGLE(_xlfn.XLOOKUP(G213, Vöruskrá!A:A, Vöruskrá!E:E, "")), ""), IF(F213 = "Réttur", IFERROR(_xlfn.SINGLE(_xlfn.XLOOKUP(G213, Réttabanki!A:A, Réttabanki!AS:AS, "")), ""), "")))</f>
        <v/>
      </c>
      <c r="M213" s="26" t="str">
        <f>IF(OR(F213 = "", G213 = ""), "", IF(F213 = "Vara", IFERROR(_xlfn.SINGLE(_xlfn.XLOOKUP(G213, Vöruskrá!A:A, Vöruskrá!F:F, "")), ""), IF(F213 = "Réttur", IFERROR(_xlfn.SINGLE(_xlfn.XLOOKUP(G213, Réttabanki!A:A, Réttabanki!AT:AT, "")), ""), "")))</f>
        <v/>
      </c>
      <c r="N213" s="26" t="str">
        <f>IF(OR(F213 = "", G213 = ""), "", IF(F213 = "Vara", IFERROR(_xlfn.SINGLE(_xlfn.XLOOKUP(G213, Vöruskrá!A:A, Vöruskrá!G:G, "")), ""), IF(F213 = "Réttur", IFERROR(_xlfn.SINGLE(_xlfn.XLOOKUP(G213, Réttabanki!A:A, Réttabanki!AU:AU, "")), ""), "")))</f>
        <v/>
      </c>
      <c r="O213" s="26" t="str">
        <f>IF(OR(F213 = "", G213 = "", I213 = ""), "", IF(F213 = "Vara", IFERROR(_xlfn.SINGLE(_xlfn.XLOOKUP(G213, Vöruskrá!A:A, Vöruskrá!I:I, "")) * I213 / 100, ""), IF(F213 = "Réttur", IFERROR(_xlfn.SINGLE(_xlfn.XLOOKUP(G213, Réttabanki!A:A, Réttabanki!AV:AV, "")) * I213 / 100, ""), "")))</f>
        <v/>
      </c>
      <c r="P213" s="26" t="str">
        <f>IF(OR(F213 = "", G213 = "", I213 = ""), "", IF(F213 = "Vara", IFERROR(_xlfn.SINGLE(_xlfn.XLOOKUP(G213, Vöruskrá!A:A, Vöruskrá!J:J, "")) * I213 / 100, ""), IF(F213 = "Réttur", IFERROR(_xlfn.SINGLE(_xlfn.XLOOKUP(G213, Réttabanki!A:A, Réttabanki!AW:AW, "")) * I213 / 100, ""), "")))</f>
        <v/>
      </c>
      <c r="Q213" s="26" t="str">
        <f>IF(OR(F213 = "", G213 = "", I213 = ""), "", IF(F213 = "Vara", IFERROR(_xlfn.SINGLE(_xlfn.XLOOKUP(G213, Vöruskrá!A:A, Vöruskrá!N:N, "")) * I213 / 100, ""), IF(F213 = "Réttur", IFERROR(_xlfn.SINGLE(_xlfn.XLOOKUP(G213, Réttabanki!A:A, Réttabanki!BB:BB, "")) * I213 / 100, ""), "")))</f>
        <v/>
      </c>
    </row>
    <row r="214" spans="2:17">
      <c r="B214" s="33" t="str">
        <f>IF(A214&lt;&gt;"",CHOOSE(WEEKDAY(A214,2),"Mánudagur","Þriðjudagur","Miðvikudagur","Fimmtudagur","Föstudagur","Laugardagur","Sunnudagur"),IF(B213&lt;&gt;"",B213,""))</f>
        <v>Fimmtudagur</v>
      </c>
      <c r="C214" s="33">
        <f>IF(A214&lt;&gt;"",WEEKNUM(A214,21),IF(C213&lt;&gt;"",C213,""))</f>
        <v>27</v>
      </c>
      <c r="D214" s="34"/>
      <c r="E214" s="34"/>
      <c r="F214" s="34"/>
      <c r="G214" s="34"/>
      <c r="H214" s="34"/>
      <c r="I214" s="35"/>
      <c r="J214" s="35"/>
      <c r="K214" s="36"/>
      <c r="L214" s="26" t="str">
        <f>IF(OR(F214 = "", G214 = ""), "", IF(F214 = "Vara", IFERROR(_xlfn.SINGLE(_xlfn.XLOOKUP(G214, Vöruskrá!A:A, Vöruskrá!E:E, "")), ""), IF(F214 = "Réttur", IFERROR(_xlfn.SINGLE(_xlfn.XLOOKUP(G214, Réttabanki!A:A, Réttabanki!AS:AS, "")), ""), "")))</f>
        <v/>
      </c>
      <c r="M214" s="26" t="str">
        <f>IF(OR(F214 = "", G214 = ""), "", IF(F214 = "Vara", IFERROR(_xlfn.SINGLE(_xlfn.XLOOKUP(G214, Vöruskrá!A:A, Vöruskrá!F:F, "")), ""), IF(F214 = "Réttur", IFERROR(_xlfn.SINGLE(_xlfn.XLOOKUP(G214, Réttabanki!A:A, Réttabanki!AT:AT, "")), ""), "")))</f>
        <v/>
      </c>
      <c r="N214" s="26" t="str">
        <f>IF(OR(F214 = "", G214 = ""), "", IF(F214 = "Vara", IFERROR(_xlfn.SINGLE(_xlfn.XLOOKUP(G214, Vöruskrá!A:A, Vöruskrá!G:G, "")), ""), IF(F214 = "Réttur", IFERROR(_xlfn.SINGLE(_xlfn.XLOOKUP(G214, Réttabanki!A:A, Réttabanki!AU:AU, "")), ""), "")))</f>
        <v/>
      </c>
      <c r="O214" s="26" t="str">
        <f>IF(OR(F214 = "", G214 = "", I214 = ""), "", IF(F214 = "Vara", IFERROR(_xlfn.SINGLE(_xlfn.XLOOKUP(G214, Vöruskrá!A:A, Vöruskrá!I:I, "")) * I214 / 100, ""), IF(F214 = "Réttur", IFERROR(_xlfn.SINGLE(_xlfn.XLOOKUP(G214, Réttabanki!A:A, Réttabanki!AV:AV, "")) * I214 / 100, ""), "")))</f>
        <v/>
      </c>
      <c r="P214" s="26" t="str">
        <f>IF(OR(F214 = "", G214 = "", I214 = ""), "", IF(F214 = "Vara", IFERROR(_xlfn.SINGLE(_xlfn.XLOOKUP(G214, Vöruskrá!A:A, Vöruskrá!J:J, "")) * I214 / 100, ""), IF(F214 = "Réttur", IFERROR(_xlfn.SINGLE(_xlfn.XLOOKUP(G214, Réttabanki!A:A, Réttabanki!AW:AW, "")) * I214 / 100, ""), "")))</f>
        <v/>
      </c>
      <c r="Q214" s="26" t="str">
        <f>IF(OR(F214 = "", G214 = "", I214 = ""), "", IF(F214 = "Vara", IFERROR(_xlfn.SINGLE(_xlfn.XLOOKUP(G214, Vöruskrá!A:A, Vöruskrá!N:N, "")) * I214 / 100, ""), IF(F214 = "Réttur", IFERROR(_xlfn.SINGLE(_xlfn.XLOOKUP(G214, Réttabanki!A:A, Réttabanki!BB:BB, "")) * I214 / 100, ""), "")))</f>
        <v/>
      </c>
    </row>
    <row r="215" spans="2:17">
      <c r="B215" s="33" t="str">
        <f>IF(A215&lt;&gt;"",CHOOSE(WEEKDAY(A215,2),"Mánudagur","Þriðjudagur","Miðvikudagur","Fimmtudagur","Föstudagur","Laugardagur","Sunnudagur"),IF(B214&lt;&gt;"",B214,""))</f>
        <v>Fimmtudagur</v>
      </c>
      <c r="C215" s="33">
        <f>IF(A215&lt;&gt;"",WEEKNUM(A215,21),IF(C214&lt;&gt;"",C214,""))</f>
        <v>27</v>
      </c>
      <c r="D215" s="34"/>
      <c r="E215" s="34"/>
      <c r="F215" s="34"/>
      <c r="G215" s="34"/>
      <c r="H215" s="34"/>
      <c r="I215" s="35"/>
      <c r="J215" s="35"/>
      <c r="K215" s="36"/>
      <c r="L215" s="26" t="str">
        <f>IF(OR(F215 = "", G215 = ""), "", IF(F215 = "Vara", IFERROR(_xlfn.SINGLE(_xlfn.XLOOKUP(G215, Vöruskrá!A:A, Vöruskrá!E:E, "")), ""), IF(F215 = "Réttur", IFERROR(_xlfn.SINGLE(_xlfn.XLOOKUP(G215, Réttabanki!A:A, Réttabanki!AS:AS, "")), ""), "")))</f>
        <v/>
      </c>
      <c r="M215" s="26" t="str">
        <f>IF(OR(F215 = "", G215 = ""), "", IF(F215 = "Vara", IFERROR(_xlfn.SINGLE(_xlfn.XLOOKUP(G215, Vöruskrá!A:A, Vöruskrá!F:F, "")), ""), IF(F215 = "Réttur", IFERROR(_xlfn.SINGLE(_xlfn.XLOOKUP(G215, Réttabanki!A:A, Réttabanki!AT:AT, "")), ""), "")))</f>
        <v/>
      </c>
      <c r="N215" s="26" t="str">
        <f>IF(OR(F215 = "", G215 = ""), "", IF(F215 = "Vara", IFERROR(_xlfn.SINGLE(_xlfn.XLOOKUP(G215, Vöruskrá!A:A, Vöruskrá!G:G, "")), ""), IF(F215 = "Réttur", IFERROR(_xlfn.SINGLE(_xlfn.XLOOKUP(G215, Réttabanki!A:A, Réttabanki!AU:AU, "")), ""), "")))</f>
        <v/>
      </c>
      <c r="O215" s="26" t="str">
        <f>IF(OR(F215 = "", G215 = "", I215 = ""), "", IF(F215 = "Vara", IFERROR(_xlfn.SINGLE(_xlfn.XLOOKUP(G215, Vöruskrá!A:A, Vöruskrá!I:I, "")) * I215 / 100, ""), IF(F215 = "Réttur", IFERROR(_xlfn.SINGLE(_xlfn.XLOOKUP(G215, Réttabanki!A:A, Réttabanki!AV:AV, "")) * I215 / 100, ""), "")))</f>
        <v/>
      </c>
      <c r="P215" s="26" t="str">
        <f>IF(OR(F215 = "", G215 = "", I215 = ""), "", IF(F215 = "Vara", IFERROR(_xlfn.SINGLE(_xlfn.XLOOKUP(G215, Vöruskrá!A:A, Vöruskrá!J:J, "")) * I215 / 100, ""), IF(F215 = "Réttur", IFERROR(_xlfn.SINGLE(_xlfn.XLOOKUP(G215, Réttabanki!A:A, Réttabanki!AW:AW, "")) * I215 / 100, ""), "")))</f>
        <v/>
      </c>
      <c r="Q215" s="26" t="str">
        <f>IF(OR(F215 = "", G215 = "", I215 = ""), "", IF(F215 = "Vara", IFERROR(_xlfn.SINGLE(_xlfn.XLOOKUP(G215, Vöruskrá!A:A, Vöruskrá!N:N, "")) * I215 / 100, ""), IF(F215 = "Réttur", IFERROR(_xlfn.SINGLE(_xlfn.XLOOKUP(G215, Réttabanki!A:A, Réttabanki!BB:BB, "")) * I215 / 100, ""), "")))</f>
        <v/>
      </c>
    </row>
    <row r="216" spans="2:17">
      <c r="B216" s="33" t="str">
        <f>IF(A216&lt;&gt;"",CHOOSE(WEEKDAY(A216,2),"Mánudagur","Þriðjudagur","Miðvikudagur","Fimmtudagur","Föstudagur","Laugardagur","Sunnudagur"),IF(B215&lt;&gt;"",B215,""))</f>
        <v>Fimmtudagur</v>
      </c>
      <c r="C216" s="33">
        <f>IF(A216&lt;&gt;"",WEEKNUM(A216,21),IF(C215&lt;&gt;"",C215,""))</f>
        <v>27</v>
      </c>
      <c r="D216" s="34"/>
      <c r="E216" s="34"/>
      <c r="F216" s="34"/>
      <c r="G216" s="34"/>
      <c r="H216" s="34"/>
      <c r="I216" s="35"/>
      <c r="J216" s="35"/>
      <c r="K216" s="36"/>
      <c r="L216" s="26" t="str">
        <f>IF(OR(F216 = "", G216 = ""), "", IF(F216 = "Vara", IFERROR(_xlfn.SINGLE(_xlfn.XLOOKUP(G216, Vöruskrá!A:A, Vöruskrá!E:E, "")), ""), IF(F216 = "Réttur", IFERROR(_xlfn.SINGLE(_xlfn.XLOOKUP(G216, Réttabanki!A:A, Réttabanki!AS:AS, "")), ""), "")))</f>
        <v/>
      </c>
      <c r="M216" s="26" t="str">
        <f>IF(OR(F216 = "", G216 = ""), "", IF(F216 = "Vara", IFERROR(_xlfn.SINGLE(_xlfn.XLOOKUP(G216, Vöruskrá!A:A, Vöruskrá!F:F, "")), ""), IF(F216 = "Réttur", IFERROR(_xlfn.SINGLE(_xlfn.XLOOKUP(G216, Réttabanki!A:A, Réttabanki!AT:AT, "")), ""), "")))</f>
        <v/>
      </c>
      <c r="N216" s="26" t="str">
        <f>IF(OR(F216 = "", G216 = ""), "", IF(F216 = "Vara", IFERROR(_xlfn.SINGLE(_xlfn.XLOOKUP(G216, Vöruskrá!A:A, Vöruskrá!G:G, "")), ""), IF(F216 = "Réttur", IFERROR(_xlfn.SINGLE(_xlfn.XLOOKUP(G216, Réttabanki!A:A, Réttabanki!AU:AU, "")), ""), "")))</f>
        <v/>
      </c>
      <c r="O216" s="26" t="str">
        <f>IF(OR(F216 = "", G216 = "", I216 = ""), "", IF(F216 = "Vara", IFERROR(_xlfn.SINGLE(_xlfn.XLOOKUP(G216, Vöruskrá!A:A, Vöruskrá!I:I, "")) * I216 / 100, ""), IF(F216 = "Réttur", IFERROR(_xlfn.SINGLE(_xlfn.XLOOKUP(G216, Réttabanki!A:A, Réttabanki!AV:AV, "")) * I216 / 100, ""), "")))</f>
        <v/>
      </c>
      <c r="P216" s="26" t="str">
        <f>IF(OR(F216 = "", G216 = "", I216 = ""), "", IF(F216 = "Vara", IFERROR(_xlfn.SINGLE(_xlfn.XLOOKUP(G216, Vöruskrá!A:A, Vöruskrá!J:J, "")) * I216 / 100, ""), IF(F216 = "Réttur", IFERROR(_xlfn.SINGLE(_xlfn.XLOOKUP(G216, Réttabanki!A:A, Réttabanki!AW:AW, "")) * I216 / 100, ""), "")))</f>
        <v/>
      </c>
      <c r="Q216" s="26" t="str">
        <f>IF(OR(F216 = "", G216 = "", I216 = ""), "", IF(F216 = "Vara", IFERROR(_xlfn.SINGLE(_xlfn.XLOOKUP(G216, Vöruskrá!A:A, Vöruskrá!N:N, "")) * I216 / 100, ""), IF(F216 = "Réttur", IFERROR(_xlfn.SINGLE(_xlfn.XLOOKUP(G216, Réttabanki!A:A, Réttabanki!BB:BB, "")) * I216 / 100, ""), "")))</f>
        <v/>
      </c>
    </row>
    <row r="217" spans="2:17">
      <c r="B217" s="33" t="str">
        <f>IF(A217&lt;&gt;"",CHOOSE(WEEKDAY(A217,2),"Mánudagur","Þriðjudagur","Miðvikudagur","Fimmtudagur","Föstudagur","Laugardagur","Sunnudagur"),IF(B216&lt;&gt;"",B216,""))</f>
        <v>Fimmtudagur</v>
      </c>
      <c r="C217" s="33">
        <f>IF(A217&lt;&gt;"",WEEKNUM(A217,21),IF(C216&lt;&gt;"",C216,""))</f>
        <v>27</v>
      </c>
      <c r="D217" s="34"/>
      <c r="E217" s="34"/>
      <c r="F217" s="34"/>
      <c r="G217" s="34"/>
      <c r="H217" s="34"/>
      <c r="I217" s="35"/>
      <c r="J217" s="35"/>
      <c r="K217" s="36"/>
      <c r="L217" s="26" t="str">
        <f>IF(OR(F217 = "", G217 = ""), "", IF(F217 = "Vara", IFERROR(_xlfn.SINGLE(_xlfn.XLOOKUP(G217, Vöruskrá!A:A, Vöruskrá!E:E, "")), ""), IF(F217 = "Réttur", IFERROR(_xlfn.SINGLE(_xlfn.XLOOKUP(G217, Réttabanki!A:A, Réttabanki!AS:AS, "")), ""), "")))</f>
        <v/>
      </c>
      <c r="M217" s="26" t="str">
        <f>IF(OR(F217 = "", G217 = ""), "", IF(F217 = "Vara", IFERROR(_xlfn.SINGLE(_xlfn.XLOOKUP(G217, Vöruskrá!A:A, Vöruskrá!F:F, "")), ""), IF(F217 = "Réttur", IFERROR(_xlfn.SINGLE(_xlfn.XLOOKUP(G217, Réttabanki!A:A, Réttabanki!AT:AT, "")), ""), "")))</f>
        <v/>
      </c>
      <c r="N217" s="26" t="str">
        <f>IF(OR(F217 = "", G217 = ""), "", IF(F217 = "Vara", IFERROR(_xlfn.SINGLE(_xlfn.XLOOKUP(G217, Vöruskrá!A:A, Vöruskrá!G:G, "")), ""), IF(F217 = "Réttur", IFERROR(_xlfn.SINGLE(_xlfn.XLOOKUP(G217, Réttabanki!A:A, Réttabanki!AU:AU, "")), ""), "")))</f>
        <v/>
      </c>
      <c r="O217" s="26" t="str">
        <f>IF(OR(F217 = "", G217 = "", I217 = ""), "", IF(F217 = "Vara", IFERROR(_xlfn.SINGLE(_xlfn.XLOOKUP(G217, Vöruskrá!A:A, Vöruskrá!I:I, "")) * I217 / 100, ""), IF(F217 = "Réttur", IFERROR(_xlfn.SINGLE(_xlfn.XLOOKUP(G217, Réttabanki!A:A, Réttabanki!AV:AV, "")) * I217 / 100, ""), "")))</f>
        <v/>
      </c>
      <c r="P217" s="26" t="str">
        <f>IF(OR(F217 = "", G217 = "", I217 = ""), "", IF(F217 = "Vara", IFERROR(_xlfn.SINGLE(_xlfn.XLOOKUP(G217, Vöruskrá!A:A, Vöruskrá!J:J, "")) * I217 / 100, ""), IF(F217 = "Réttur", IFERROR(_xlfn.SINGLE(_xlfn.XLOOKUP(G217, Réttabanki!A:A, Réttabanki!AW:AW, "")) * I217 / 100, ""), "")))</f>
        <v/>
      </c>
      <c r="Q217" s="26" t="str">
        <f>IF(OR(F217 = "", G217 = "", I217 = ""), "", IF(F217 = "Vara", IFERROR(_xlfn.SINGLE(_xlfn.XLOOKUP(G217, Vöruskrá!A:A, Vöruskrá!N:N, "")) * I217 / 100, ""), IF(F217 = "Réttur", IFERROR(_xlfn.SINGLE(_xlfn.XLOOKUP(G217, Réttabanki!A:A, Réttabanki!BB:BB, "")) * I217 / 100, ""), "")))</f>
        <v/>
      </c>
    </row>
    <row r="218" spans="2:17">
      <c r="B218" s="33" t="str">
        <f>IF(A218&lt;&gt;"",CHOOSE(WEEKDAY(A218,2),"Mánudagur","Þriðjudagur","Miðvikudagur","Fimmtudagur","Föstudagur","Laugardagur","Sunnudagur"),IF(B217&lt;&gt;"",B217,""))</f>
        <v>Fimmtudagur</v>
      </c>
      <c r="C218" s="33">
        <f>IF(A218&lt;&gt;"",WEEKNUM(A218,21),IF(C217&lt;&gt;"",C217,""))</f>
        <v>27</v>
      </c>
      <c r="D218" s="34"/>
      <c r="E218" s="34"/>
      <c r="F218" s="34"/>
      <c r="G218" s="34"/>
      <c r="H218" s="34"/>
      <c r="I218" s="35"/>
      <c r="J218" s="35"/>
      <c r="K218" s="36"/>
      <c r="L218" s="26" t="str">
        <f>IF(OR(F218 = "", G218 = ""), "", IF(F218 = "Vara", IFERROR(_xlfn.SINGLE(_xlfn.XLOOKUP(G218, Vöruskrá!A:A, Vöruskrá!E:E, "")), ""), IF(F218 = "Réttur", IFERROR(_xlfn.SINGLE(_xlfn.XLOOKUP(G218, Réttabanki!A:A, Réttabanki!AS:AS, "")), ""), "")))</f>
        <v/>
      </c>
      <c r="M218" s="26" t="str">
        <f>IF(OR(F218 = "", G218 = ""), "", IF(F218 = "Vara", IFERROR(_xlfn.SINGLE(_xlfn.XLOOKUP(G218, Vöruskrá!A:A, Vöruskrá!F:F, "")), ""), IF(F218 = "Réttur", IFERROR(_xlfn.SINGLE(_xlfn.XLOOKUP(G218, Réttabanki!A:A, Réttabanki!AT:AT, "")), ""), "")))</f>
        <v/>
      </c>
      <c r="N218" s="26" t="str">
        <f>IF(OR(F218 = "", G218 = ""), "", IF(F218 = "Vara", IFERROR(_xlfn.SINGLE(_xlfn.XLOOKUP(G218, Vöruskrá!A:A, Vöruskrá!G:G, "")), ""), IF(F218 = "Réttur", IFERROR(_xlfn.SINGLE(_xlfn.XLOOKUP(G218, Réttabanki!A:A, Réttabanki!AU:AU, "")), ""), "")))</f>
        <v/>
      </c>
      <c r="O218" s="26" t="str">
        <f>IF(OR(F218 = "", G218 = "", I218 = ""), "", IF(F218 = "Vara", IFERROR(_xlfn.SINGLE(_xlfn.XLOOKUP(G218, Vöruskrá!A:A, Vöruskrá!I:I, "")) * I218 / 100, ""), IF(F218 = "Réttur", IFERROR(_xlfn.SINGLE(_xlfn.XLOOKUP(G218, Réttabanki!A:A, Réttabanki!AV:AV, "")) * I218 / 100, ""), "")))</f>
        <v/>
      </c>
      <c r="P218" s="26" t="str">
        <f>IF(OR(F218 = "", G218 = "", I218 = ""), "", IF(F218 = "Vara", IFERROR(_xlfn.SINGLE(_xlfn.XLOOKUP(G218, Vöruskrá!A:A, Vöruskrá!J:J, "")) * I218 / 100, ""), IF(F218 = "Réttur", IFERROR(_xlfn.SINGLE(_xlfn.XLOOKUP(G218, Réttabanki!A:A, Réttabanki!AW:AW, "")) * I218 / 100, ""), "")))</f>
        <v/>
      </c>
      <c r="Q218" s="26" t="str">
        <f>IF(OR(F218 = "", G218 = "", I218 = ""), "", IF(F218 = "Vara", IFERROR(_xlfn.SINGLE(_xlfn.XLOOKUP(G218, Vöruskrá!A:A, Vöruskrá!N:N, "")) * I218 / 100, ""), IF(F218 = "Réttur", IFERROR(_xlfn.SINGLE(_xlfn.XLOOKUP(G218, Réttabanki!A:A, Réttabanki!BB:BB, "")) * I218 / 100, ""), "")))</f>
        <v/>
      </c>
    </row>
    <row r="219" spans="2:17">
      <c r="B219" s="33" t="str">
        <f>IF(A219&lt;&gt;"",CHOOSE(WEEKDAY(A219,2),"Mánudagur","Þriðjudagur","Miðvikudagur","Fimmtudagur","Föstudagur","Laugardagur","Sunnudagur"),IF(B218&lt;&gt;"",B218,""))</f>
        <v>Fimmtudagur</v>
      </c>
      <c r="C219" s="33">
        <f>IF(A219&lt;&gt;"",WEEKNUM(A219,21),IF(C218&lt;&gt;"",C218,""))</f>
        <v>27</v>
      </c>
      <c r="D219" s="34"/>
      <c r="E219" s="34"/>
      <c r="F219" s="34"/>
      <c r="G219" s="34"/>
      <c r="H219" s="34"/>
      <c r="I219" s="35"/>
      <c r="J219" s="35"/>
      <c r="K219" s="36"/>
      <c r="L219" s="26" t="str">
        <f>IF(OR(F219 = "", G219 = ""), "", IF(F219 = "Vara", IFERROR(_xlfn.SINGLE(_xlfn.XLOOKUP(G219, Vöruskrá!A:A, Vöruskrá!E:E, "")), ""), IF(F219 = "Réttur", IFERROR(_xlfn.SINGLE(_xlfn.XLOOKUP(G219, Réttabanki!A:A, Réttabanki!AS:AS, "")), ""), "")))</f>
        <v/>
      </c>
      <c r="M219" s="26" t="str">
        <f>IF(OR(F219 = "", G219 = ""), "", IF(F219 = "Vara", IFERROR(_xlfn.SINGLE(_xlfn.XLOOKUP(G219, Vöruskrá!A:A, Vöruskrá!F:F, "")), ""), IF(F219 = "Réttur", IFERROR(_xlfn.SINGLE(_xlfn.XLOOKUP(G219, Réttabanki!A:A, Réttabanki!AT:AT, "")), ""), "")))</f>
        <v/>
      </c>
      <c r="N219" s="26" t="str">
        <f>IF(OR(F219 = "", G219 = ""), "", IF(F219 = "Vara", IFERROR(_xlfn.SINGLE(_xlfn.XLOOKUP(G219, Vöruskrá!A:A, Vöruskrá!G:G, "")), ""), IF(F219 = "Réttur", IFERROR(_xlfn.SINGLE(_xlfn.XLOOKUP(G219, Réttabanki!A:A, Réttabanki!AU:AU, "")), ""), "")))</f>
        <v/>
      </c>
      <c r="O219" s="26" t="str">
        <f>IF(OR(F219 = "", G219 = "", I219 = ""), "", IF(F219 = "Vara", IFERROR(_xlfn.SINGLE(_xlfn.XLOOKUP(G219, Vöruskrá!A:A, Vöruskrá!I:I, "")) * I219 / 100, ""), IF(F219 = "Réttur", IFERROR(_xlfn.SINGLE(_xlfn.XLOOKUP(G219, Réttabanki!A:A, Réttabanki!AV:AV, "")) * I219 / 100, ""), "")))</f>
        <v/>
      </c>
      <c r="P219" s="26" t="str">
        <f>IF(OR(F219 = "", G219 = "", I219 = ""), "", IF(F219 = "Vara", IFERROR(_xlfn.SINGLE(_xlfn.XLOOKUP(G219, Vöruskrá!A:A, Vöruskrá!J:J, "")) * I219 / 100, ""), IF(F219 = "Réttur", IFERROR(_xlfn.SINGLE(_xlfn.XLOOKUP(G219, Réttabanki!A:A, Réttabanki!AW:AW, "")) * I219 / 100, ""), "")))</f>
        <v/>
      </c>
      <c r="Q219" s="26" t="str">
        <f>IF(OR(F219 = "", G219 = "", I219 = ""), "", IF(F219 = "Vara", IFERROR(_xlfn.SINGLE(_xlfn.XLOOKUP(G219, Vöruskrá!A:A, Vöruskrá!N:N, "")) * I219 / 100, ""), IF(F219 = "Réttur", IFERROR(_xlfn.SINGLE(_xlfn.XLOOKUP(G219, Réttabanki!A:A, Réttabanki!BB:BB, "")) * I219 / 100, ""), "")))</f>
        <v/>
      </c>
    </row>
    <row r="220" spans="2:17">
      <c r="B220" s="33" t="str">
        <f>IF(A220&lt;&gt;"",CHOOSE(WEEKDAY(A220,2),"Mánudagur","Þriðjudagur","Miðvikudagur","Fimmtudagur","Föstudagur","Laugardagur","Sunnudagur"),IF(B219&lt;&gt;"",B219,""))</f>
        <v>Fimmtudagur</v>
      </c>
      <c r="C220" s="33">
        <f>IF(A220&lt;&gt;"",WEEKNUM(A220,21),IF(C219&lt;&gt;"",C219,""))</f>
        <v>27</v>
      </c>
      <c r="D220" s="34"/>
      <c r="E220" s="34"/>
      <c r="F220" s="34"/>
      <c r="G220" s="34"/>
      <c r="H220" s="34"/>
      <c r="I220" s="35"/>
      <c r="J220" s="35"/>
      <c r="K220" s="36"/>
      <c r="L220" s="26" t="str">
        <f>IF(OR(F220 = "", G220 = ""), "", IF(F220 = "Vara", IFERROR(_xlfn.SINGLE(_xlfn.XLOOKUP(G220, Vöruskrá!A:A, Vöruskrá!E:E, "")), ""), IF(F220 = "Réttur", IFERROR(_xlfn.SINGLE(_xlfn.XLOOKUP(G220, Réttabanki!A:A, Réttabanki!AS:AS, "")), ""), "")))</f>
        <v/>
      </c>
      <c r="M220" s="26" t="str">
        <f>IF(OR(F220 = "", G220 = ""), "", IF(F220 = "Vara", IFERROR(_xlfn.SINGLE(_xlfn.XLOOKUP(G220, Vöruskrá!A:A, Vöruskrá!F:F, "")), ""), IF(F220 = "Réttur", IFERROR(_xlfn.SINGLE(_xlfn.XLOOKUP(G220, Réttabanki!A:A, Réttabanki!AT:AT, "")), ""), "")))</f>
        <v/>
      </c>
      <c r="N220" s="26" t="str">
        <f>IF(OR(F220 = "", G220 = ""), "", IF(F220 = "Vara", IFERROR(_xlfn.SINGLE(_xlfn.XLOOKUP(G220, Vöruskrá!A:A, Vöruskrá!G:G, "")), ""), IF(F220 = "Réttur", IFERROR(_xlfn.SINGLE(_xlfn.XLOOKUP(G220, Réttabanki!A:A, Réttabanki!AU:AU, "")), ""), "")))</f>
        <v/>
      </c>
      <c r="O220" s="26" t="str">
        <f>IF(OR(F220 = "", G220 = "", I220 = ""), "", IF(F220 = "Vara", IFERROR(_xlfn.SINGLE(_xlfn.XLOOKUP(G220, Vöruskrá!A:A, Vöruskrá!I:I, "")) * I220 / 100, ""), IF(F220 = "Réttur", IFERROR(_xlfn.SINGLE(_xlfn.XLOOKUP(G220, Réttabanki!A:A, Réttabanki!AV:AV, "")) * I220 / 100, ""), "")))</f>
        <v/>
      </c>
      <c r="P220" s="26" t="str">
        <f>IF(OR(F220 = "", G220 = "", I220 = ""), "", IF(F220 = "Vara", IFERROR(_xlfn.SINGLE(_xlfn.XLOOKUP(G220, Vöruskrá!A:A, Vöruskrá!J:J, "")) * I220 / 100, ""), IF(F220 = "Réttur", IFERROR(_xlfn.SINGLE(_xlfn.XLOOKUP(G220, Réttabanki!A:A, Réttabanki!AW:AW, "")) * I220 / 100, ""), "")))</f>
        <v/>
      </c>
      <c r="Q220" s="26" t="str">
        <f>IF(OR(F220 = "", G220 = "", I220 = ""), "", IF(F220 = "Vara", IFERROR(_xlfn.SINGLE(_xlfn.XLOOKUP(G220, Vöruskrá!A:A, Vöruskrá!N:N, "")) * I220 / 100, ""), IF(F220 = "Réttur", IFERROR(_xlfn.SINGLE(_xlfn.XLOOKUP(G220, Réttabanki!A:A, Réttabanki!BB:BB, "")) * I220 / 100, ""), "")))</f>
        <v/>
      </c>
    </row>
    <row r="221" spans="2:17">
      <c r="B221" s="33" t="str">
        <f>IF(A221&lt;&gt;"",CHOOSE(WEEKDAY(A221,2),"Mánudagur","Þriðjudagur","Miðvikudagur","Fimmtudagur","Föstudagur","Laugardagur","Sunnudagur"),IF(B220&lt;&gt;"",B220,""))</f>
        <v>Fimmtudagur</v>
      </c>
      <c r="C221" s="33">
        <f>IF(A221&lt;&gt;"",WEEKNUM(A221,21),IF(C220&lt;&gt;"",C220,""))</f>
        <v>27</v>
      </c>
      <c r="D221" s="34"/>
      <c r="E221" s="34"/>
      <c r="F221" s="34"/>
      <c r="G221" s="34"/>
      <c r="H221" s="34"/>
      <c r="I221" s="35"/>
      <c r="J221" s="35"/>
      <c r="K221" s="36"/>
      <c r="L221" s="26" t="str">
        <f>IF(OR(F221 = "", G221 = ""), "", IF(F221 = "Vara", IFERROR(_xlfn.SINGLE(_xlfn.XLOOKUP(G221, Vöruskrá!A:A, Vöruskrá!E:E, "")), ""), IF(F221 = "Réttur", IFERROR(_xlfn.SINGLE(_xlfn.XLOOKUP(G221, Réttabanki!A:A, Réttabanki!AS:AS, "")), ""), "")))</f>
        <v/>
      </c>
      <c r="M221" s="26" t="str">
        <f>IF(OR(F221 = "", G221 = ""), "", IF(F221 = "Vara", IFERROR(_xlfn.SINGLE(_xlfn.XLOOKUP(G221, Vöruskrá!A:A, Vöruskrá!F:F, "")), ""), IF(F221 = "Réttur", IFERROR(_xlfn.SINGLE(_xlfn.XLOOKUP(G221, Réttabanki!A:A, Réttabanki!AT:AT, "")), ""), "")))</f>
        <v/>
      </c>
      <c r="N221" s="26" t="str">
        <f>IF(OR(F221 = "", G221 = ""), "", IF(F221 = "Vara", IFERROR(_xlfn.SINGLE(_xlfn.XLOOKUP(G221, Vöruskrá!A:A, Vöruskrá!G:G, "")), ""), IF(F221 = "Réttur", IFERROR(_xlfn.SINGLE(_xlfn.XLOOKUP(G221, Réttabanki!A:A, Réttabanki!AU:AU, "")), ""), "")))</f>
        <v/>
      </c>
      <c r="O221" s="26" t="str">
        <f>IF(OR(F221 = "", G221 = "", I221 = ""), "", IF(F221 = "Vara", IFERROR(_xlfn.SINGLE(_xlfn.XLOOKUP(G221, Vöruskrá!A:A, Vöruskrá!I:I, "")) * I221 / 100, ""), IF(F221 = "Réttur", IFERROR(_xlfn.SINGLE(_xlfn.XLOOKUP(G221, Réttabanki!A:A, Réttabanki!AV:AV, "")) * I221 / 100, ""), "")))</f>
        <v/>
      </c>
      <c r="P221" s="26" t="str">
        <f>IF(OR(F221 = "", G221 = "", I221 = ""), "", IF(F221 = "Vara", IFERROR(_xlfn.SINGLE(_xlfn.XLOOKUP(G221, Vöruskrá!A:A, Vöruskrá!J:J, "")) * I221 / 100, ""), IF(F221 = "Réttur", IFERROR(_xlfn.SINGLE(_xlfn.XLOOKUP(G221, Réttabanki!A:A, Réttabanki!AW:AW, "")) * I221 / 100, ""), "")))</f>
        <v/>
      </c>
      <c r="Q221" s="26" t="str">
        <f>IF(OR(F221 = "", G221 = "", I221 = ""), "", IF(F221 = "Vara", IFERROR(_xlfn.SINGLE(_xlfn.XLOOKUP(G221, Vöruskrá!A:A, Vöruskrá!N:N, "")) * I221 / 100, ""), IF(F221 = "Réttur", IFERROR(_xlfn.SINGLE(_xlfn.XLOOKUP(G221, Réttabanki!A:A, Réttabanki!BB:BB, "")) * I221 / 100, ""), "")))</f>
        <v/>
      </c>
    </row>
    <row r="222" spans="2:17">
      <c r="B222" s="33" t="str">
        <f>IF(A222&lt;&gt;"",CHOOSE(WEEKDAY(A222,2),"Mánudagur","Þriðjudagur","Miðvikudagur","Fimmtudagur","Föstudagur","Laugardagur","Sunnudagur"),IF(B221&lt;&gt;"",B221,""))</f>
        <v>Fimmtudagur</v>
      </c>
      <c r="C222" s="33">
        <f>IF(A222&lt;&gt;"",WEEKNUM(A222,21),IF(C221&lt;&gt;"",C221,""))</f>
        <v>27</v>
      </c>
      <c r="D222" s="34"/>
      <c r="E222" s="34"/>
      <c r="F222" s="34"/>
      <c r="G222" s="34"/>
      <c r="H222" s="34"/>
      <c r="I222" s="35"/>
      <c r="J222" s="35"/>
      <c r="K222" s="36"/>
      <c r="L222" s="26" t="str">
        <f>IF(OR(F222 = "", G222 = ""), "", IF(F222 = "Vara", IFERROR(_xlfn.SINGLE(_xlfn.XLOOKUP(G222, Vöruskrá!A:A, Vöruskrá!E:E, "")), ""), IF(F222 = "Réttur", IFERROR(_xlfn.SINGLE(_xlfn.XLOOKUP(G222, Réttabanki!A:A, Réttabanki!AS:AS, "")), ""), "")))</f>
        <v/>
      </c>
      <c r="M222" s="26" t="str">
        <f>IF(OR(F222 = "", G222 = ""), "", IF(F222 = "Vara", IFERROR(_xlfn.SINGLE(_xlfn.XLOOKUP(G222, Vöruskrá!A:A, Vöruskrá!F:F, "")), ""), IF(F222 = "Réttur", IFERROR(_xlfn.SINGLE(_xlfn.XLOOKUP(G222, Réttabanki!A:A, Réttabanki!AT:AT, "")), ""), "")))</f>
        <v/>
      </c>
      <c r="N222" s="26" t="str">
        <f>IF(OR(F222 = "", G222 = ""), "", IF(F222 = "Vara", IFERROR(_xlfn.SINGLE(_xlfn.XLOOKUP(G222, Vöruskrá!A:A, Vöruskrá!G:G, "")), ""), IF(F222 = "Réttur", IFERROR(_xlfn.SINGLE(_xlfn.XLOOKUP(G222, Réttabanki!A:A, Réttabanki!AU:AU, "")), ""), "")))</f>
        <v/>
      </c>
      <c r="O222" s="26" t="str">
        <f>IF(OR(F222 = "", G222 = "", I222 = ""), "", IF(F222 = "Vara", IFERROR(_xlfn.SINGLE(_xlfn.XLOOKUP(G222, Vöruskrá!A:A, Vöruskrá!I:I, "")) * I222 / 100, ""), IF(F222 = "Réttur", IFERROR(_xlfn.SINGLE(_xlfn.XLOOKUP(G222, Réttabanki!A:A, Réttabanki!AV:AV, "")) * I222 / 100, ""), "")))</f>
        <v/>
      </c>
      <c r="P222" s="26" t="str">
        <f>IF(OR(F222 = "", G222 = "", I222 = ""), "", IF(F222 = "Vara", IFERROR(_xlfn.SINGLE(_xlfn.XLOOKUP(G222, Vöruskrá!A:A, Vöruskrá!J:J, "")) * I222 / 100, ""), IF(F222 = "Réttur", IFERROR(_xlfn.SINGLE(_xlfn.XLOOKUP(G222, Réttabanki!A:A, Réttabanki!AW:AW, "")) * I222 / 100, ""), "")))</f>
        <v/>
      </c>
      <c r="Q222" s="26" t="str">
        <f>IF(OR(F222 = "", G222 = "", I222 = ""), "", IF(F222 = "Vara", IFERROR(_xlfn.SINGLE(_xlfn.XLOOKUP(G222, Vöruskrá!A:A, Vöruskrá!N:N, "")) * I222 / 100, ""), IF(F222 = "Réttur", IFERROR(_xlfn.SINGLE(_xlfn.XLOOKUP(G222, Réttabanki!A:A, Réttabanki!BB:BB, "")) * I222 / 100, ""), "")))</f>
        <v/>
      </c>
    </row>
    <row r="223" spans="2:17">
      <c r="B223" s="33" t="str">
        <f>IF(A223&lt;&gt;"",CHOOSE(WEEKDAY(A223,2),"Mánudagur","Þriðjudagur","Miðvikudagur","Fimmtudagur","Föstudagur","Laugardagur","Sunnudagur"),IF(B222&lt;&gt;"",B222,""))</f>
        <v>Fimmtudagur</v>
      </c>
      <c r="C223" s="33">
        <f>IF(A223&lt;&gt;"",WEEKNUM(A223,21),IF(C222&lt;&gt;"",C222,""))</f>
        <v>27</v>
      </c>
      <c r="D223" s="34"/>
      <c r="E223" s="34"/>
      <c r="F223" s="34"/>
      <c r="G223" s="34"/>
      <c r="H223" s="34"/>
      <c r="I223" s="35"/>
      <c r="J223" s="35"/>
      <c r="K223" s="36"/>
      <c r="L223" s="26" t="str">
        <f>IF(OR(F223 = "", G223 = ""), "", IF(F223 = "Vara", IFERROR(_xlfn.SINGLE(_xlfn.XLOOKUP(G223, Vöruskrá!A:A, Vöruskrá!E:E, "")), ""), IF(F223 = "Réttur", IFERROR(_xlfn.SINGLE(_xlfn.XLOOKUP(G223, Réttabanki!A:A, Réttabanki!AS:AS, "")), ""), "")))</f>
        <v/>
      </c>
      <c r="M223" s="26" t="str">
        <f>IF(OR(F223 = "", G223 = ""), "", IF(F223 = "Vara", IFERROR(_xlfn.SINGLE(_xlfn.XLOOKUP(G223, Vöruskrá!A:A, Vöruskrá!F:F, "")), ""), IF(F223 = "Réttur", IFERROR(_xlfn.SINGLE(_xlfn.XLOOKUP(G223, Réttabanki!A:A, Réttabanki!AT:AT, "")), ""), "")))</f>
        <v/>
      </c>
      <c r="N223" s="26" t="str">
        <f>IF(OR(F223 = "", G223 = ""), "", IF(F223 = "Vara", IFERROR(_xlfn.SINGLE(_xlfn.XLOOKUP(G223, Vöruskrá!A:A, Vöruskrá!G:G, "")), ""), IF(F223 = "Réttur", IFERROR(_xlfn.SINGLE(_xlfn.XLOOKUP(G223, Réttabanki!A:A, Réttabanki!AU:AU, "")), ""), "")))</f>
        <v/>
      </c>
      <c r="O223" s="26" t="str">
        <f>IF(OR(F223 = "", G223 = "", I223 = ""), "", IF(F223 = "Vara", IFERROR(_xlfn.SINGLE(_xlfn.XLOOKUP(G223, Vöruskrá!A:A, Vöruskrá!I:I, "")) * I223 / 100, ""), IF(F223 = "Réttur", IFERROR(_xlfn.SINGLE(_xlfn.XLOOKUP(G223, Réttabanki!A:A, Réttabanki!AV:AV, "")) * I223 / 100, ""), "")))</f>
        <v/>
      </c>
      <c r="P223" s="26" t="str">
        <f>IF(OR(F223 = "", G223 = "", I223 = ""), "", IF(F223 = "Vara", IFERROR(_xlfn.SINGLE(_xlfn.XLOOKUP(G223, Vöruskrá!A:A, Vöruskrá!J:J, "")) * I223 / 100, ""), IF(F223 = "Réttur", IFERROR(_xlfn.SINGLE(_xlfn.XLOOKUP(G223, Réttabanki!A:A, Réttabanki!AW:AW, "")) * I223 / 100, ""), "")))</f>
        <v/>
      </c>
      <c r="Q223" s="26" t="str">
        <f>IF(OR(F223 = "", G223 = "", I223 = ""), "", IF(F223 = "Vara", IFERROR(_xlfn.SINGLE(_xlfn.XLOOKUP(G223, Vöruskrá!A:A, Vöruskrá!N:N, "")) * I223 / 100, ""), IF(F223 = "Réttur", IFERROR(_xlfn.SINGLE(_xlfn.XLOOKUP(G223, Réttabanki!A:A, Réttabanki!BB:BB, "")) * I223 / 100, ""), "")))</f>
        <v/>
      </c>
    </row>
    <row r="224" spans="2:17">
      <c r="B224" s="33" t="str">
        <f>IF(A224&lt;&gt;"",CHOOSE(WEEKDAY(A224,2),"Mánudagur","Þriðjudagur","Miðvikudagur","Fimmtudagur","Föstudagur","Laugardagur","Sunnudagur"),IF(B223&lt;&gt;"",B223,""))</f>
        <v>Fimmtudagur</v>
      </c>
      <c r="C224" s="33">
        <f>IF(A224&lt;&gt;"",WEEKNUM(A224,21),IF(C223&lt;&gt;"",C223,""))</f>
        <v>27</v>
      </c>
      <c r="D224" s="34"/>
      <c r="E224" s="34"/>
      <c r="F224" s="34"/>
      <c r="G224" s="34"/>
      <c r="H224" s="34"/>
      <c r="I224" s="35"/>
      <c r="J224" s="35"/>
      <c r="K224" s="36"/>
      <c r="L224" s="26" t="str">
        <f>IF(OR(F224 = "", G224 = ""), "", IF(F224 = "Vara", IFERROR(_xlfn.SINGLE(_xlfn.XLOOKUP(G224, Vöruskrá!A:A, Vöruskrá!E:E, "")), ""), IF(F224 = "Réttur", IFERROR(_xlfn.SINGLE(_xlfn.XLOOKUP(G224, Réttabanki!A:A, Réttabanki!AS:AS, "")), ""), "")))</f>
        <v/>
      </c>
      <c r="M224" s="26" t="str">
        <f>IF(OR(F224 = "", G224 = ""), "", IF(F224 = "Vara", IFERROR(_xlfn.SINGLE(_xlfn.XLOOKUP(G224, Vöruskrá!A:A, Vöruskrá!F:F, "")), ""), IF(F224 = "Réttur", IFERROR(_xlfn.SINGLE(_xlfn.XLOOKUP(G224, Réttabanki!A:A, Réttabanki!AT:AT, "")), ""), "")))</f>
        <v/>
      </c>
      <c r="N224" s="26" t="str">
        <f>IF(OR(F224 = "", G224 = ""), "", IF(F224 = "Vara", IFERROR(_xlfn.SINGLE(_xlfn.XLOOKUP(G224, Vöruskrá!A:A, Vöruskrá!G:G, "")), ""), IF(F224 = "Réttur", IFERROR(_xlfn.SINGLE(_xlfn.XLOOKUP(G224, Réttabanki!A:A, Réttabanki!AU:AU, "")), ""), "")))</f>
        <v/>
      </c>
      <c r="O224" s="26" t="str">
        <f>IF(OR(F224 = "", G224 = "", I224 = ""), "", IF(F224 = "Vara", IFERROR(_xlfn.SINGLE(_xlfn.XLOOKUP(G224, Vöruskrá!A:A, Vöruskrá!I:I, "")) * I224 / 100, ""), IF(F224 = "Réttur", IFERROR(_xlfn.SINGLE(_xlfn.XLOOKUP(G224, Réttabanki!A:A, Réttabanki!AV:AV, "")) * I224 / 100, ""), "")))</f>
        <v/>
      </c>
      <c r="P224" s="26" t="str">
        <f>IF(OR(F224 = "", G224 = "", I224 = ""), "", IF(F224 = "Vara", IFERROR(_xlfn.SINGLE(_xlfn.XLOOKUP(G224, Vöruskrá!A:A, Vöruskrá!J:J, "")) * I224 / 100, ""), IF(F224 = "Réttur", IFERROR(_xlfn.SINGLE(_xlfn.XLOOKUP(G224, Réttabanki!A:A, Réttabanki!AW:AW, "")) * I224 / 100, ""), "")))</f>
        <v/>
      </c>
      <c r="Q224" s="26" t="str">
        <f>IF(OR(F224 = "", G224 = "", I224 = ""), "", IF(F224 = "Vara", IFERROR(_xlfn.SINGLE(_xlfn.XLOOKUP(G224, Vöruskrá!A:A, Vöruskrá!N:N, "")) * I224 / 100, ""), IF(F224 = "Réttur", IFERROR(_xlfn.SINGLE(_xlfn.XLOOKUP(G224, Réttabanki!A:A, Réttabanki!BB:BB, "")) * I224 / 100, ""), "")))</f>
        <v/>
      </c>
    </row>
    <row r="225" spans="2:17">
      <c r="B225" s="33" t="str">
        <f>IF(A225&lt;&gt;"",CHOOSE(WEEKDAY(A225,2),"Mánudagur","Þriðjudagur","Miðvikudagur","Fimmtudagur","Föstudagur","Laugardagur","Sunnudagur"),IF(B224&lt;&gt;"",B224,""))</f>
        <v>Fimmtudagur</v>
      </c>
      <c r="C225" s="33">
        <f>IF(A225&lt;&gt;"",WEEKNUM(A225,21),IF(C224&lt;&gt;"",C224,""))</f>
        <v>27</v>
      </c>
      <c r="D225" s="34"/>
      <c r="E225" s="34"/>
      <c r="F225" s="34"/>
      <c r="G225" s="34"/>
      <c r="H225" s="34"/>
      <c r="I225" s="35"/>
      <c r="J225" s="35"/>
      <c r="K225" s="36"/>
      <c r="L225" s="26" t="str">
        <f>IF(OR(F225 = "", G225 = ""), "", IF(F225 = "Vara", IFERROR(_xlfn.SINGLE(_xlfn.XLOOKUP(G225, Vöruskrá!A:A, Vöruskrá!E:E, "")), ""), IF(F225 = "Réttur", IFERROR(_xlfn.SINGLE(_xlfn.XLOOKUP(G225, Réttabanki!A:A, Réttabanki!AS:AS, "")), ""), "")))</f>
        <v/>
      </c>
      <c r="M225" s="26" t="str">
        <f>IF(OR(F225 = "", G225 = ""), "", IF(F225 = "Vara", IFERROR(_xlfn.SINGLE(_xlfn.XLOOKUP(G225, Vöruskrá!A:A, Vöruskrá!F:F, "")), ""), IF(F225 = "Réttur", IFERROR(_xlfn.SINGLE(_xlfn.XLOOKUP(G225, Réttabanki!A:A, Réttabanki!AT:AT, "")), ""), "")))</f>
        <v/>
      </c>
      <c r="N225" s="26" t="str">
        <f>IF(OR(F225 = "", G225 = ""), "", IF(F225 = "Vara", IFERROR(_xlfn.SINGLE(_xlfn.XLOOKUP(G225, Vöruskrá!A:A, Vöruskrá!G:G, "")), ""), IF(F225 = "Réttur", IFERROR(_xlfn.SINGLE(_xlfn.XLOOKUP(G225, Réttabanki!A:A, Réttabanki!AU:AU, "")), ""), "")))</f>
        <v/>
      </c>
      <c r="O225" s="26" t="str">
        <f>IF(OR(F225 = "", G225 = "", I225 = ""), "", IF(F225 = "Vara", IFERROR(_xlfn.SINGLE(_xlfn.XLOOKUP(G225, Vöruskrá!A:A, Vöruskrá!I:I, "")) * I225 / 100, ""), IF(F225 = "Réttur", IFERROR(_xlfn.SINGLE(_xlfn.XLOOKUP(G225, Réttabanki!A:A, Réttabanki!AV:AV, "")) * I225 / 100, ""), "")))</f>
        <v/>
      </c>
      <c r="P225" s="26" t="str">
        <f>IF(OR(F225 = "", G225 = "", I225 = ""), "", IF(F225 = "Vara", IFERROR(_xlfn.SINGLE(_xlfn.XLOOKUP(G225, Vöruskrá!A:A, Vöruskrá!J:J, "")) * I225 / 100, ""), IF(F225 = "Réttur", IFERROR(_xlfn.SINGLE(_xlfn.XLOOKUP(G225, Réttabanki!A:A, Réttabanki!AW:AW, "")) * I225 / 100, ""), "")))</f>
        <v/>
      </c>
      <c r="Q225" s="26" t="str">
        <f>IF(OR(F225 = "", G225 = "", I225 = ""), "", IF(F225 = "Vara", IFERROR(_xlfn.SINGLE(_xlfn.XLOOKUP(G225, Vöruskrá!A:A, Vöruskrá!N:N, "")) * I225 / 100, ""), IF(F225 = "Réttur", IFERROR(_xlfn.SINGLE(_xlfn.XLOOKUP(G225, Réttabanki!A:A, Réttabanki!BB:BB, "")) * I225 / 100, ""), "")))</f>
        <v/>
      </c>
    </row>
    <row r="226" spans="2:17">
      <c r="B226" s="33" t="str">
        <f>IF(A226&lt;&gt;"",CHOOSE(WEEKDAY(A226,2),"Mánudagur","Þriðjudagur","Miðvikudagur","Fimmtudagur","Föstudagur","Laugardagur","Sunnudagur"),IF(B225&lt;&gt;"",B225,""))</f>
        <v>Fimmtudagur</v>
      </c>
      <c r="C226" s="33">
        <f>IF(A226&lt;&gt;"",WEEKNUM(A226,21),IF(C225&lt;&gt;"",C225,""))</f>
        <v>27</v>
      </c>
      <c r="D226" s="34"/>
      <c r="E226" s="34"/>
      <c r="F226" s="34"/>
      <c r="G226" s="34"/>
      <c r="H226" s="34"/>
      <c r="I226" s="35"/>
      <c r="J226" s="35"/>
      <c r="K226" s="36"/>
      <c r="L226" s="26" t="str">
        <f>IF(OR(F226 = "", G226 = ""), "", IF(F226 = "Vara", IFERROR(_xlfn.SINGLE(_xlfn.XLOOKUP(G226, Vöruskrá!A:A, Vöruskrá!E:E, "")), ""), IF(F226 = "Réttur", IFERROR(_xlfn.SINGLE(_xlfn.XLOOKUP(G226, Réttabanki!A:A, Réttabanki!AS:AS, "")), ""), "")))</f>
        <v/>
      </c>
      <c r="M226" s="26" t="str">
        <f>IF(OR(F226 = "", G226 = ""), "", IF(F226 = "Vara", IFERROR(_xlfn.SINGLE(_xlfn.XLOOKUP(G226, Vöruskrá!A:A, Vöruskrá!F:F, "")), ""), IF(F226 = "Réttur", IFERROR(_xlfn.SINGLE(_xlfn.XLOOKUP(G226, Réttabanki!A:A, Réttabanki!AT:AT, "")), ""), "")))</f>
        <v/>
      </c>
      <c r="N226" s="26" t="str">
        <f>IF(OR(F226 = "", G226 = ""), "", IF(F226 = "Vara", IFERROR(_xlfn.SINGLE(_xlfn.XLOOKUP(G226, Vöruskrá!A:A, Vöruskrá!G:G, "")), ""), IF(F226 = "Réttur", IFERROR(_xlfn.SINGLE(_xlfn.XLOOKUP(G226, Réttabanki!A:A, Réttabanki!AU:AU, "")), ""), "")))</f>
        <v/>
      </c>
      <c r="O226" s="26" t="str">
        <f>IF(OR(F226 = "", G226 = "", I226 = ""), "", IF(F226 = "Vara", IFERROR(_xlfn.SINGLE(_xlfn.XLOOKUP(G226, Vöruskrá!A:A, Vöruskrá!I:I, "")) * I226 / 100, ""), IF(F226 = "Réttur", IFERROR(_xlfn.SINGLE(_xlfn.XLOOKUP(G226, Réttabanki!A:A, Réttabanki!AV:AV, "")) * I226 / 100, ""), "")))</f>
        <v/>
      </c>
      <c r="P226" s="26" t="str">
        <f>IF(OR(F226 = "", G226 = "", I226 = ""), "", IF(F226 = "Vara", IFERROR(_xlfn.SINGLE(_xlfn.XLOOKUP(G226, Vöruskrá!A:A, Vöruskrá!J:J, "")) * I226 / 100, ""), IF(F226 = "Réttur", IFERROR(_xlfn.SINGLE(_xlfn.XLOOKUP(G226, Réttabanki!A:A, Réttabanki!AW:AW, "")) * I226 / 100, ""), "")))</f>
        <v/>
      </c>
      <c r="Q226" s="26" t="str">
        <f>IF(OR(F226 = "", G226 = "", I226 = ""), "", IF(F226 = "Vara", IFERROR(_xlfn.SINGLE(_xlfn.XLOOKUP(G226, Vöruskrá!A:A, Vöruskrá!N:N, "")) * I226 / 100, ""), IF(F226 = "Réttur", IFERROR(_xlfn.SINGLE(_xlfn.XLOOKUP(G226, Réttabanki!A:A, Réttabanki!BB:BB, "")) * I226 / 100, ""), "")))</f>
        <v/>
      </c>
    </row>
    <row r="227" spans="2:17">
      <c r="B227" s="33" t="str">
        <f>IF(A227&lt;&gt;"",CHOOSE(WEEKDAY(A227,2),"Mánudagur","Þriðjudagur","Miðvikudagur","Fimmtudagur","Föstudagur","Laugardagur","Sunnudagur"),IF(B226&lt;&gt;"",B226,""))</f>
        <v>Fimmtudagur</v>
      </c>
      <c r="C227" s="33">
        <f>IF(A227&lt;&gt;"",WEEKNUM(A227,21),IF(C226&lt;&gt;"",C226,""))</f>
        <v>27</v>
      </c>
      <c r="D227" s="34"/>
      <c r="E227" s="34"/>
      <c r="F227" s="34"/>
      <c r="G227" s="34"/>
      <c r="H227" s="34"/>
      <c r="I227" s="35"/>
      <c r="J227" s="35"/>
      <c r="K227" s="36"/>
      <c r="L227" s="26" t="str">
        <f>IF(OR(F227 = "", G227 = ""), "", IF(F227 = "Vara", IFERROR(_xlfn.SINGLE(_xlfn.XLOOKUP(G227, Vöruskrá!A:A, Vöruskrá!E:E, "")), ""), IF(F227 = "Réttur", IFERROR(_xlfn.SINGLE(_xlfn.XLOOKUP(G227, Réttabanki!A:A, Réttabanki!AS:AS, "")), ""), "")))</f>
        <v/>
      </c>
      <c r="M227" s="26" t="str">
        <f>IF(OR(F227 = "", G227 = ""), "", IF(F227 = "Vara", IFERROR(_xlfn.SINGLE(_xlfn.XLOOKUP(G227, Vöruskrá!A:A, Vöruskrá!F:F, "")), ""), IF(F227 = "Réttur", IFERROR(_xlfn.SINGLE(_xlfn.XLOOKUP(G227, Réttabanki!A:A, Réttabanki!AT:AT, "")), ""), "")))</f>
        <v/>
      </c>
      <c r="N227" s="26" t="str">
        <f>IF(OR(F227 = "", G227 = ""), "", IF(F227 = "Vara", IFERROR(_xlfn.SINGLE(_xlfn.XLOOKUP(G227, Vöruskrá!A:A, Vöruskrá!G:G, "")), ""), IF(F227 = "Réttur", IFERROR(_xlfn.SINGLE(_xlfn.XLOOKUP(G227, Réttabanki!A:A, Réttabanki!AU:AU, "")), ""), "")))</f>
        <v/>
      </c>
      <c r="O227" s="26" t="str">
        <f>IF(OR(F227 = "", G227 = "", I227 = ""), "", IF(F227 = "Vara", IFERROR(_xlfn.SINGLE(_xlfn.XLOOKUP(G227, Vöruskrá!A:A, Vöruskrá!I:I, "")) * I227 / 100, ""), IF(F227 = "Réttur", IFERROR(_xlfn.SINGLE(_xlfn.XLOOKUP(G227, Réttabanki!A:A, Réttabanki!AV:AV, "")) * I227 / 100, ""), "")))</f>
        <v/>
      </c>
      <c r="P227" s="26" t="str">
        <f>IF(OR(F227 = "", G227 = "", I227 = ""), "", IF(F227 = "Vara", IFERROR(_xlfn.SINGLE(_xlfn.XLOOKUP(G227, Vöruskrá!A:A, Vöruskrá!J:J, "")) * I227 / 100, ""), IF(F227 = "Réttur", IFERROR(_xlfn.SINGLE(_xlfn.XLOOKUP(G227, Réttabanki!A:A, Réttabanki!AW:AW, "")) * I227 / 100, ""), "")))</f>
        <v/>
      </c>
      <c r="Q227" s="26" t="str">
        <f>IF(OR(F227 = "", G227 = "", I227 = ""), "", IF(F227 = "Vara", IFERROR(_xlfn.SINGLE(_xlfn.XLOOKUP(G227, Vöruskrá!A:A, Vöruskrá!N:N, "")) * I227 / 100, ""), IF(F227 = "Réttur", IFERROR(_xlfn.SINGLE(_xlfn.XLOOKUP(G227, Réttabanki!A:A, Réttabanki!BB:BB, "")) * I227 / 100, ""), "")))</f>
        <v/>
      </c>
    </row>
    <row r="228" spans="2:17">
      <c r="B228" s="33" t="str">
        <f>IF(A228&lt;&gt;"",CHOOSE(WEEKDAY(A228,2),"Mánudagur","Þriðjudagur","Miðvikudagur","Fimmtudagur","Föstudagur","Laugardagur","Sunnudagur"),IF(B227&lt;&gt;"",B227,""))</f>
        <v>Fimmtudagur</v>
      </c>
      <c r="C228" s="33">
        <f>IF(A228&lt;&gt;"",WEEKNUM(A228,21),IF(C227&lt;&gt;"",C227,""))</f>
        <v>27</v>
      </c>
      <c r="D228" s="34"/>
      <c r="E228" s="34"/>
      <c r="F228" s="34"/>
      <c r="G228" s="34"/>
      <c r="H228" s="34"/>
      <c r="I228" s="35"/>
      <c r="J228" s="35"/>
      <c r="K228" s="36"/>
      <c r="L228" s="26" t="str">
        <f>IF(OR(F228 = "", G228 = ""), "", IF(F228 = "Vara", IFERROR(_xlfn.SINGLE(_xlfn.XLOOKUP(G228, Vöruskrá!A:A, Vöruskrá!E:E, "")), ""), IF(F228 = "Réttur", IFERROR(_xlfn.SINGLE(_xlfn.XLOOKUP(G228, Réttabanki!A:A, Réttabanki!AS:AS, "")), ""), "")))</f>
        <v/>
      </c>
      <c r="M228" s="26" t="str">
        <f>IF(OR(F228 = "", G228 = ""), "", IF(F228 = "Vara", IFERROR(_xlfn.SINGLE(_xlfn.XLOOKUP(G228, Vöruskrá!A:A, Vöruskrá!F:F, "")), ""), IF(F228 = "Réttur", IFERROR(_xlfn.SINGLE(_xlfn.XLOOKUP(G228, Réttabanki!A:A, Réttabanki!AT:AT, "")), ""), "")))</f>
        <v/>
      </c>
      <c r="N228" s="26" t="str">
        <f>IF(OR(F228 = "", G228 = ""), "", IF(F228 = "Vara", IFERROR(_xlfn.SINGLE(_xlfn.XLOOKUP(G228, Vöruskrá!A:A, Vöruskrá!G:G, "")), ""), IF(F228 = "Réttur", IFERROR(_xlfn.SINGLE(_xlfn.XLOOKUP(G228, Réttabanki!A:A, Réttabanki!AU:AU, "")), ""), "")))</f>
        <v/>
      </c>
      <c r="O228" s="26" t="str">
        <f>IF(OR(F228 = "", G228 = "", I228 = ""), "", IF(F228 = "Vara", IFERROR(_xlfn.SINGLE(_xlfn.XLOOKUP(G228, Vöruskrá!A:A, Vöruskrá!I:I, "")) * I228 / 100, ""), IF(F228 = "Réttur", IFERROR(_xlfn.SINGLE(_xlfn.XLOOKUP(G228, Réttabanki!A:A, Réttabanki!AV:AV, "")) * I228 / 100, ""), "")))</f>
        <v/>
      </c>
      <c r="P228" s="26" t="str">
        <f>IF(OR(F228 = "", G228 = "", I228 = ""), "", IF(F228 = "Vara", IFERROR(_xlfn.SINGLE(_xlfn.XLOOKUP(G228, Vöruskrá!A:A, Vöruskrá!J:J, "")) * I228 / 100, ""), IF(F228 = "Réttur", IFERROR(_xlfn.SINGLE(_xlfn.XLOOKUP(G228, Réttabanki!A:A, Réttabanki!AW:AW, "")) * I228 / 100, ""), "")))</f>
        <v/>
      </c>
      <c r="Q228" s="26" t="str">
        <f>IF(OR(F228 = "", G228 = "", I228 = ""), "", IF(F228 = "Vara", IFERROR(_xlfn.SINGLE(_xlfn.XLOOKUP(G228, Vöruskrá!A:A, Vöruskrá!N:N, "")) * I228 / 100, ""), IF(F228 = "Réttur", IFERROR(_xlfn.SINGLE(_xlfn.XLOOKUP(G228, Réttabanki!A:A, Réttabanki!BB:BB, "")) * I228 / 100, ""), "")))</f>
        <v/>
      </c>
    </row>
    <row r="229" spans="2:17">
      <c r="B229" s="33" t="str">
        <f>IF(A229&lt;&gt;"",CHOOSE(WEEKDAY(A229,2),"Mánudagur","Þriðjudagur","Miðvikudagur","Fimmtudagur","Föstudagur","Laugardagur","Sunnudagur"),IF(B228&lt;&gt;"",B228,""))</f>
        <v>Fimmtudagur</v>
      </c>
      <c r="C229" s="33">
        <f>IF(A229&lt;&gt;"",WEEKNUM(A229,21),IF(C228&lt;&gt;"",C228,""))</f>
        <v>27</v>
      </c>
      <c r="D229" s="34"/>
      <c r="E229" s="34"/>
      <c r="F229" s="34"/>
      <c r="G229" s="34"/>
      <c r="H229" s="34"/>
      <c r="I229" s="35"/>
      <c r="J229" s="35"/>
      <c r="K229" s="36"/>
      <c r="L229" s="26" t="str">
        <f>IF(OR(F229 = "", G229 = ""), "", IF(F229 = "Vara", IFERROR(_xlfn.SINGLE(_xlfn.XLOOKUP(G229, Vöruskrá!A:A, Vöruskrá!E:E, "")), ""), IF(F229 = "Réttur", IFERROR(_xlfn.SINGLE(_xlfn.XLOOKUP(G229, Réttabanki!A:A, Réttabanki!AS:AS, "")), ""), "")))</f>
        <v/>
      </c>
      <c r="M229" s="26" t="str">
        <f>IF(OR(F229 = "", G229 = ""), "", IF(F229 = "Vara", IFERROR(_xlfn.SINGLE(_xlfn.XLOOKUP(G229, Vöruskrá!A:A, Vöruskrá!F:F, "")), ""), IF(F229 = "Réttur", IFERROR(_xlfn.SINGLE(_xlfn.XLOOKUP(G229, Réttabanki!A:A, Réttabanki!AT:AT, "")), ""), "")))</f>
        <v/>
      </c>
      <c r="N229" s="26" t="str">
        <f>IF(OR(F229 = "", G229 = ""), "", IF(F229 = "Vara", IFERROR(_xlfn.SINGLE(_xlfn.XLOOKUP(G229, Vöruskrá!A:A, Vöruskrá!G:G, "")), ""), IF(F229 = "Réttur", IFERROR(_xlfn.SINGLE(_xlfn.XLOOKUP(G229, Réttabanki!A:A, Réttabanki!AU:AU, "")), ""), "")))</f>
        <v/>
      </c>
      <c r="O229" s="26" t="str">
        <f>IF(OR(F229 = "", G229 = "", I229 = ""), "", IF(F229 = "Vara", IFERROR(_xlfn.SINGLE(_xlfn.XLOOKUP(G229, Vöruskrá!A:A, Vöruskrá!I:I, "")) * I229 / 100, ""), IF(F229 = "Réttur", IFERROR(_xlfn.SINGLE(_xlfn.XLOOKUP(G229, Réttabanki!A:A, Réttabanki!AV:AV, "")) * I229 / 100, ""), "")))</f>
        <v/>
      </c>
      <c r="P229" s="26" t="str">
        <f>IF(OR(F229 = "", G229 = "", I229 = ""), "", IF(F229 = "Vara", IFERROR(_xlfn.SINGLE(_xlfn.XLOOKUP(G229, Vöruskrá!A:A, Vöruskrá!J:J, "")) * I229 / 100, ""), IF(F229 = "Réttur", IFERROR(_xlfn.SINGLE(_xlfn.XLOOKUP(G229, Réttabanki!A:A, Réttabanki!AW:AW, "")) * I229 / 100, ""), "")))</f>
        <v/>
      </c>
      <c r="Q229" s="26" t="str">
        <f>IF(OR(F229 = "", G229 = "", I229 = ""), "", IF(F229 = "Vara", IFERROR(_xlfn.SINGLE(_xlfn.XLOOKUP(G229, Vöruskrá!A:A, Vöruskrá!N:N, "")) * I229 / 100, ""), IF(F229 = "Réttur", IFERROR(_xlfn.SINGLE(_xlfn.XLOOKUP(G229, Réttabanki!A:A, Réttabanki!BB:BB, "")) * I229 / 100, ""), "")))</f>
        <v/>
      </c>
    </row>
    <row r="230" spans="2:17">
      <c r="B230" s="33" t="str">
        <f>IF(A230&lt;&gt;"",CHOOSE(WEEKDAY(A230,2),"Mánudagur","Þriðjudagur","Miðvikudagur","Fimmtudagur","Föstudagur","Laugardagur","Sunnudagur"),IF(B229&lt;&gt;"",B229,""))</f>
        <v>Fimmtudagur</v>
      </c>
      <c r="C230" s="33">
        <f>IF(A230&lt;&gt;"",WEEKNUM(A230,21),IF(C229&lt;&gt;"",C229,""))</f>
        <v>27</v>
      </c>
      <c r="D230" s="34"/>
      <c r="E230" s="34"/>
      <c r="F230" s="34"/>
      <c r="G230" s="34"/>
      <c r="H230" s="34"/>
      <c r="I230" s="35"/>
      <c r="J230" s="35"/>
      <c r="K230" s="36"/>
      <c r="L230" s="26" t="str">
        <f>IF(OR(F230 = "", G230 = ""), "", IF(F230 = "Vara", IFERROR(_xlfn.SINGLE(_xlfn.XLOOKUP(G230, Vöruskrá!A:A, Vöruskrá!E:E, "")), ""), IF(F230 = "Réttur", IFERROR(_xlfn.SINGLE(_xlfn.XLOOKUP(G230, Réttabanki!A:A, Réttabanki!AS:AS, "")), ""), "")))</f>
        <v/>
      </c>
      <c r="M230" s="26" t="str">
        <f>IF(OR(F230 = "", G230 = ""), "", IF(F230 = "Vara", IFERROR(_xlfn.SINGLE(_xlfn.XLOOKUP(G230, Vöruskrá!A:A, Vöruskrá!F:F, "")), ""), IF(F230 = "Réttur", IFERROR(_xlfn.SINGLE(_xlfn.XLOOKUP(G230, Réttabanki!A:A, Réttabanki!AT:AT, "")), ""), "")))</f>
        <v/>
      </c>
      <c r="N230" s="26" t="str">
        <f>IF(OR(F230 = "", G230 = ""), "", IF(F230 = "Vara", IFERROR(_xlfn.SINGLE(_xlfn.XLOOKUP(G230, Vöruskrá!A:A, Vöruskrá!G:G, "")), ""), IF(F230 = "Réttur", IFERROR(_xlfn.SINGLE(_xlfn.XLOOKUP(G230, Réttabanki!A:A, Réttabanki!AU:AU, "")), ""), "")))</f>
        <v/>
      </c>
      <c r="O230" s="26" t="str">
        <f>IF(OR(F230 = "", G230 = "", I230 = ""), "", IF(F230 = "Vara", IFERROR(_xlfn.SINGLE(_xlfn.XLOOKUP(G230, Vöruskrá!A:A, Vöruskrá!I:I, "")) * I230 / 100, ""), IF(F230 = "Réttur", IFERROR(_xlfn.SINGLE(_xlfn.XLOOKUP(G230, Réttabanki!A:A, Réttabanki!AV:AV, "")) * I230 / 100, ""), "")))</f>
        <v/>
      </c>
      <c r="P230" s="26" t="str">
        <f>IF(OR(F230 = "", G230 = "", I230 = ""), "", IF(F230 = "Vara", IFERROR(_xlfn.SINGLE(_xlfn.XLOOKUP(G230, Vöruskrá!A:A, Vöruskrá!J:J, "")) * I230 / 100, ""), IF(F230 = "Réttur", IFERROR(_xlfn.SINGLE(_xlfn.XLOOKUP(G230, Réttabanki!A:A, Réttabanki!AW:AW, "")) * I230 / 100, ""), "")))</f>
        <v/>
      </c>
      <c r="Q230" s="26" t="str">
        <f>IF(OR(F230 = "", G230 = "", I230 = ""), "", IF(F230 = "Vara", IFERROR(_xlfn.SINGLE(_xlfn.XLOOKUP(G230, Vöruskrá!A:A, Vöruskrá!N:N, "")) * I230 / 100, ""), IF(F230 = "Réttur", IFERROR(_xlfn.SINGLE(_xlfn.XLOOKUP(G230, Réttabanki!A:A, Réttabanki!BB:BB, "")) * I230 / 100, ""), "")))</f>
        <v/>
      </c>
    </row>
    <row r="231" spans="2:17">
      <c r="B231" s="33" t="str">
        <f>IF(A231&lt;&gt;"",CHOOSE(WEEKDAY(A231,2),"Mánudagur","Þriðjudagur","Miðvikudagur","Fimmtudagur","Föstudagur","Laugardagur","Sunnudagur"),IF(B230&lt;&gt;"",B230,""))</f>
        <v>Fimmtudagur</v>
      </c>
      <c r="C231" s="33">
        <f>IF(A231&lt;&gt;"",WEEKNUM(A231,21),IF(C230&lt;&gt;"",C230,""))</f>
        <v>27</v>
      </c>
      <c r="D231" s="34"/>
      <c r="E231" s="34"/>
      <c r="F231" s="34"/>
      <c r="G231" s="34"/>
      <c r="H231" s="34"/>
      <c r="I231" s="35"/>
      <c r="J231" s="35"/>
      <c r="K231" s="36"/>
      <c r="L231" s="26" t="str">
        <f>IF(OR(F231 = "", G231 = ""), "", IF(F231 = "Vara", IFERROR(_xlfn.SINGLE(_xlfn.XLOOKUP(G231, Vöruskrá!A:A, Vöruskrá!E:E, "")), ""), IF(F231 = "Réttur", IFERROR(_xlfn.SINGLE(_xlfn.XLOOKUP(G231, Réttabanki!A:A, Réttabanki!AS:AS, "")), ""), "")))</f>
        <v/>
      </c>
      <c r="M231" s="26" t="str">
        <f>IF(OR(F231 = "", G231 = ""), "", IF(F231 = "Vara", IFERROR(_xlfn.SINGLE(_xlfn.XLOOKUP(G231, Vöruskrá!A:A, Vöruskrá!F:F, "")), ""), IF(F231 = "Réttur", IFERROR(_xlfn.SINGLE(_xlfn.XLOOKUP(G231, Réttabanki!A:A, Réttabanki!AT:AT, "")), ""), "")))</f>
        <v/>
      </c>
      <c r="N231" s="26" t="str">
        <f>IF(OR(F231 = "", G231 = ""), "", IF(F231 = "Vara", IFERROR(_xlfn.SINGLE(_xlfn.XLOOKUP(G231, Vöruskrá!A:A, Vöruskrá!G:G, "")), ""), IF(F231 = "Réttur", IFERROR(_xlfn.SINGLE(_xlfn.XLOOKUP(G231, Réttabanki!A:A, Réttabanki!AU:AU, "")), ""), "")))</f>
        <v/>
      </c>
      <c r="O231" s="26" t="str">
        <f>IF(OR(F231 = "", G231 = "", I231 = ""), "", IF(F231 = "Vara", IFERROR(_xlfn.SINGLE(_xlfn.XLOOKUP(G231, Vöruskrá!A:A, Vöruskrá!I:I, "")) * I231 / 100, ""), IF(F231 = "Réttur", IFERROR(_xlfn.SINGLE(_xlfn.XLOOKUP(G231, Réttabanki!A:A, Réttabanki!AV:AV, "")) * I231 / 100, ""), "")))</f>
        <v/>
      </c>
      <c r="P231" s="26" t="str">
        <f>IF(OR(F231 = "", G231 = "", I231 = ""), "", IF(F231 = "Vara", IFERROR(_xlfn.SINGLE(_xlfn.XLOOKUP(G231, Vöruskrá!A:A, Vöruskrá!J:J, "")) * I231 / 100, ""), IF(F231 = "Réttur", IFERROR(_xlfn.SINGLE(_xlfn.XLOOKUP(G231, Réttabanki!A:A, Réttabanki!AW:AW, "")) * I231 / 100, ""), "")))</f>
        <v/>
      </c>
      <c r="Q231" s="26" t="str">
        <f>IF(OR(F231 = "", G231 = "", I231 = ""), "", IF(F231 = "Vara", IFERROR(_xlfn.SINGLE(_xlfn.XLOOKUP(G231, Vöruskrá!A:A, Vöruskrá!N:N, "")) * I231 / 100, ""), IF(F231 = "Réttur", IFERROR(_xlfn.SINGLE(_xlfn.XLOOKUP(G231, Réttabanki!A:A, Réttabanki!BB:BB, "")) * I231 / 100, ""), "")))</f>
        <v/>
      </c>
    </row>
    <row r="232" spans="2:17">
      <c r="B232" s="33" t="str">
        <f>IF(A232&lt;&gt;"",CHOOSE(WEEKDAY(A232,2),"Mánudagur","Þriðjudagur","Miðvikudagur","Fimmtudagur","Föstudagur","Laugardagur","Sunnudagur"),IF(B231&lt;&gt;"",B231,""))</f>
        <v>Fimmtudagur</v>
      </c>
      <c r="C232" s="33">
        <f>IF(A232&lt;&gt;"",WEEKNUM(A232,21),IF(C231&lt;&gt;"",C231,""))</f>
        <v>27</v>
      </c>
      <c r="D232" s="34"/>
      <c r="E232" s="34"/>
      <c r="F232" s="34"/>
      <c r="G232" s="34"/>
      <c r="H232" s="34"/>
      <c r="I232" s="35"/>
      <c r="J232" s="35"/>
      <c r="K232" s="36"/>
      <c r="L232" s="26" t="str">
        <f>IF(OR(F232 = "", G232 = ""), "", IF(F232 = "Vara", IFERROR(_xlfn.SINGLE(_xlfn.XLOOKUP(G232, Vöruskrá!A:A, Vöruskrá!E:E, "")), ""), IF(F232 = "Réttur", IFERROR(_xlfn.SINGLE(_xlfn.XLOOKUP(G232, Réttabanki!A:A, Réttabanki!AS:AS, "")), ""), "")))</f>
        <v/>
      </c>
      <c r="M232" s="26" t="str">
        <f>IF(OR(F232 = "", G232 = ""), "", IF(F232 = "Vara", IFERROR(_xlfn.SINGLE(_xlfn.XLOOKUP(G232, Vöruskrá!A:A, Vöruskrá!F:F, "")), ""), IF(F232 = "Réttur", IFERROR(_xlfn.SINGLE(_xlfn.XLOOKUP(G232, Réttabanki!A:A, Réttabanki!AT:AT, "")), ""), "")))</f>
        <v/>
      </c>
      <c r="N232" s="26" t="str">
        <f>IF(OR(F232 = "", G232 = ""), "", IF(F232 = "Vara", IFERROR(_xlfn.SINGLE(_xlfn.XLOOKUP(G232, Vöruskrá!A:A, Vöruskrá!G:G, "")), ""), IF(F232 = "Réttur", IFERROR(_xlfn.SINGLE(_xlfn.XLOOKUP(G232, Réttabanki!A:A, Réttabanki!AU:AU, "")), ""), "")))</f>
        <v/>
      </c>
      <c r="O232" s="26" t="str">
        <f>IF(OR(F232 = "", G232 = "", I232 = ""), "", IF(F232 = "Vara", IFERROR(_xlfn.SINGLE(_xlfn.XLOOKUP(G232, Vöruskrá!A:A, Vöruskrá!I:I, "")) * I232 / 100, ""), IF(F232 = "Réttur", IFERROR(_xlfn.SINGLE(_xlfn.XLOOKUP(G232, Réttabanki!A:A, Réttabanki!AV:AV, "")) * I232 / 100, ""), "")))</f>
        <v/>
      </c>
      <c r="P232" s="26" t="str">
        <f>IF(OR(F232 = "", G232 = "", I232 = ""), "", IF(F232 = "Vara", IFERROR(_xlfn.SINGLE(_xlfn.XLOOKUP(G232, Vöruskrá!A:A, Vöruskrá!J:J, "")) * I232 / 100, ""), IF(F232 = "Réttur", IFERROR(_xlfn.SINGLE(_xlfn.XLOOKUP(G232, Réttabanki!A:A, Réttabanki!AW:AW, "")) * I232 / 100, ""), "")))</f>
        <v/>
      </c>
      <c r="Q232" s="26" t="str">
        <f>IF(OR(F232 = "", G232 = "", I232 = ""), "", IF(F232 = "Vara", IFERROR(_xlfn.SINGLE(_xlfn.XLOOKUP(G232, Vöruskrá!A:A, Vöruskrá!N:N, "")) * I232 / 100, ""), IF(F232 = "Réttur", IFERROR(_xlfn.SINGLE(_xlfn.XLOOKUP(G232, Réttabanki!A:A, Réttabanki!BB:BB, "")) * I232 / 100, ""), "")))</f>
        <v/>
      </c>
    </row>
    <row r="233" spans="2:17">
      <c r="B233" s="33" t="str">
        <f>IF(A233&lt;&gt;"",CHOOSE(WEEKDAY(A233,2),"Mánudagur","Þriðjudagur","Miðvikudagur","Fimmtudagur","Föstudagur","Laugardagur","Sunnudagur"),IF(B232&lt;&gt;"",B232,""))</f>
        <v>Fimmtudagur</v>
      </c>
      <c r="C233" s="33">
        <f>IF(A233&lt;&gt;"",WEEKNUM(A233,21),IF(C232&lt;&gt;"",C232,""))</f>
        <v>27</v>
      </c>
      <c r="D233" s="34"/>
      <c r="E233" s="34"/>
      <c r="F233" s="34"/>
      <c r="G233" s="34"/>
      <c r="H233" s="34"/>
      <c r="I233" s="35"/>
      <c r="J233" s="35"/>
      <c r="K233" s="36"/>
      <c r="L233" s="26" t="str">
        <f>IF(OR(F233 = "", G233 = ""), "", IF(F233 = "Vara", IFERROR(_xlfn.SINGLE(_xlfn.XLOOKUP(G233, Vöruskrá!A:A, Vöruskrá!E:E, "")), ""), IF(F233 = "Réttur", IFERROR(_xlfn.SINGLE(_xlfn.XLOOKUP(G233, Réttabanki!A:A, Réttabanki!AS:AS, "")), ""), "")))</f>
        <v/>
      </c>
      <c r="M233" s="26" t="str">
        <f>IF(OR(F233 = "", G233 = ""), "", IF(F233 = "Vara", IFERROR(_xlfn.SINGLE(_xlfn.XLOOKUP(G233, Vöruskrá!A:A, Vöruskrá!F:F, "")), ""), IF(F233 = "Réttur", IFERROR(_xlfn.SINGLE(_xlfn.XLOOKUP(G233, Réttabanki!A:A, Réttabanki!AT:AT, "")), ""), "")))</f>
        <v/>
      </c>
      <c r="N233" s="26" t="str">
        <f>IF(OR(F233 = "", G233 = ""), "", IF(F233 = "Vara", IFERROR(_xlfn.SINGLE(_xlfn.XLOOKUP(G233, Vöruskrá!A:A, Vöruskrá!G:G, "")), ""), IF(F233 = "Réttur", IFERROR(_xlfn.SINGLE(_xlfn.XLOOKUP(G233, Réttabanki!A:A, Réttabanki!AU:AU, "")), ""), "")))</f>
        <v/>
      </c>
      <c r="O233" s="26" t="str">
        <f>IF(OR(F233 = "", G233 = "", I233 = ""), "", IF(F233 = "Vara", IFERROR(_xlfn.SINGLE(_xlfn.XLOOKUP(G233, Vöruskrá!A:A, Vöruskrá!I:I, "")) * I233 / 100, ""), IF(F233 = "Réttur", IFERROR(_xlfn.SINGLE(_xlfn.XLOOKUP(G233, Réttabanki!A:A, Réttabanki!AV:AV, "")) * I233 / 100, ""), "")))</f>
        <v/>
      </c>
      <c r="P233" s="26" t="str">
        <f>IF(OR(F233 = "", G233 = "", I233 = ""), "", IF(F233 = "Vara", IFERROR(_xlfn.SINGLE(_xlfn.XLOOKUP(G233, Vöruskrá!A:A, Vöruskrá!J:J, "")) * I233 / 100, ""), IF(F233 = "Réttur", IFERROR(_xlfn.SINGLE(_xlfn.XLOOKUP(G233, Réttabanki!A:A, Réttabanki!AW:AW, "")) * I233 / 100, ""), "")))</f>
        <v/>
      </c>
      <c r="Q233" s="26" t="str">
        <f>IF(OR(F233 = "", G233 = "", I233 = ""), "", IF(F233 = "Vara", IFERROR(_xlfn.SINGLE(_xlfn.XLOOKUP(G233, Vöruskrá!A:A, Vöruskrá!N:N, "")) * I233 / 100, ""), IF(F233 = "Réttur", IFERROR(_xlfn.SINGLE(_xlfn.XLOOKUP(G233, Réttabanki!A:A, Réttabanki!BB:BB, "")) * I233 / 100, ""), "")))</f>
        <v/>
      </c>
    </row>
    <row r="234" spans="2:17">
      <c r="B234" s="33" t="str">
        <f>IF(A234&lt;&gt;"",CHOOSE(WEEKDAY(A234,2),"Mánudagur","Þriðjudagur","Miðvikudagur","Fimmtudagur","Föstudagur","Laugardagur","Sunnudagur"),IF(B233&lt;&gt;"",B233,""))</f>
        <v>Fimmtudagur</v>
      </c>
      <c r="C234" s="33">
        <f>IF(A234&lt;&gt;"",WEEKNUM(A234,21),IF(C233&lt;&gt;"",C233,""))</f>
        <v>27</v>
      </c>
      <c r="D234" s="34"/>
      <c r="E234" s="34"/>
      <c r="F234" s="34"/>
      <c r="G234" s="34"/>
      <c r="H234" s="34"/>
      <c r="I234" s="35"/>
      <c r="J234" s="35"/>
      <c r="K234" s="36"/>
      <c r="L234" s="26" t="str">
        <f>IF(OR(F234 = "", G234 = ""), "", IF(F234 = "Vara", IFERROR(_xlfn.SINGLE(_xlfn.XLOOKUP(G234, Vöruskrá!A:A, Vöruskrá!E:E, "")), ""), IF(F234 = "Réttur", IFERROR(_xlfn.SINGLE(_xlfn.XLOOKUP(G234, Réttabanki!A:A, Réttabanki!AS:AS, "")), ""), "")))</f>
        <v/>
      </c>
      <c r="M234" s="26" t="str">
        <f>IF(OR(F234 = "", G234 = ""), "", IF(F234 = "Vara", IFERROR(_xlfn.SINGLE(_xlfn.XLOOKUP(G234, Vöruskrá!A:A, Vöruskrá!F:F, "")), ""), IF(F234 = "Réttur", IFERROR(_xlfn.SINGLE(_xlfn.XLOOKUP(G234, Réttabanki!A:A, Réttabanki!AT:AT, "")), ""), "")))</f>
        <v/>
      </c>
      <c r="N234" s="26" t="str">
        <f>IF(OR(F234 = "", G234 = ""), "", IF(F234 = "Vara", IFERROR(_xlfn.SINGLE(_xlfn.XLOOKUP(G234, Vöruskrá!A:A, Vöruskrá!G:G, "")), ""), IF(F234 = "Réttur", IFERROR(_xlfn.SINGLE(_xlfn.XLOOKUP(G234, Réttabanki!A:A, Réttabanki!AU:AU, "")), ""), "")))</f>
        <v/>
      </c>
      <c r="O234" s="26" t="str">
        <f>IF(OR(F234 = "", G234 = "", I234 = ""), "", IF(F234 = "Vara", IFERROR(_xlfn.SINGLE(_xlfn.XLOOKUP(G234, Vöruskrá!A:A, Vöruskrá!I:I, "")) * I234 / 100, ""), IF(F234 = "Réttur", IFERROR(_xlfn.SINGLE(_xlfn.XLOOKUP(G234, Réttabanki!A:A, Réttabanki!AV:AV, "")) * I234 / 100, ""), "")))</f>
        <v/>
      </c>
      <c r="P234" s="26" t="str">
        <f>IF(OR(F234 = "", G234 = "", I234 = ""), "", IF(F234 = "Vara", IFERROR(_xlfn.SINGLE(_xlfn.XLOOKUP(G234, Vöruskrá!A:A, Vöruskrá!J:J, "")) * I234 / 100, ""), IF(F234 = "Réttur", IFERROR(_xlfn.SINGLE(_xlfn.XLOOKUP(G234, Réttabanki!A:A, Réttabanki!AW:AW, "")) * I234 / 100, ""), "")))</f>
        <v/>
      </c>
      <c r="Q234" s="26" t="str">
        <f>IF(OR(F234 = "", G234 = "", I234 = ""), "", IF(F234 = "Vara", IFERROR(_xlfn.SINGLE(_xlfn.XLOOKUP(G234, Vöruskrá!A:A, Vöruskrá!N:N, "")) * I234 / 100, ""), IF(F234 = "Réttur", IFERROR(_xlfn.SINGLE(_xlfn.XLOOKUP(G234, Réttabanki!A:A, Réttabanki!BB:BB, "")) * I234 / 100, ""), "")))</f>
        <v/>
      </c>
    </row>
    <row r="235" spans="2:17">
      <c r="B235" s="33" t="str">
        <f>IF(A235&lt;&gt;"",CHOOSE(WEEKDAY(A235,2),"Mánudagur","Þriðjudagur","Miðvikudagur","Fimmtudagur","Föstudagur","Laugardagur","Sunnudagur"),IF(B234&lt;&gt;"",B234,""))</f>
        <v>Fimmtudagur</v>
      </c>
      <c r="C235" s="33">
        <f>IF(A235&lt;&gt;"",WEEKNUM(A235,21),IF(C234&lt;&gt;"",C234,""))</f>
        <v>27</v>
      </c>
      <c r="D235" s="34"/>
      <c r="E235" s="34"/>
      <c r="F235" s="34"/>
      <c r="G235" s="34"/>
      <c r="H235" s="34"/>
      <c r="I235" s="35"/>
      <c r="J235" s="35"/>
      <c r="K235" s="36"/>
      <c r="L235" s="26" t="str">
        <f>IF(OR(F235 = "", G235 = ""), "", IF(F235 = "Vara", IFERROR(_xlfn.SINGLE(_xlfn.XLOOKUP(G235, Vöruskrá!A:A, Vöruskrá!E:E, "")), ""), IF(F235 = "Réttur", IFERROR(_xlfn.SINGLE(_xlfn.XLOOKUP(G235, Réttabanki!A:A, Réttabanki!AS:AS, "")), ""), "")))</f>
        <v/>
      </c>
      <c r="M235" s="26" t="str">
        <f>IF(OR(F235 = "", G235 = ""), "", IF(F235 = "Vara", IFERROR(_xlfn.SINGLE(_xlfn.XLOOKUP(G235, Vöruskrá!A:A, Vöruskrá!F:F, "")), ""), IF(F235 = "Réttur", IFERROR(_xlfn.SINGLE(_xlfn.XLOOKUP(G235, Réttabanki!A:A, Réttabanki!AT:AT, "")), ""), "")))</f>
        <v/>
      </c>
      <c r="N235" s="26" t="str">
        <f>IF(OR(F235 = "", G235 = ""), "", IF(F235 = "Vara", IFERROR(_xlfn.SINGLE(_xlfn.XLOOKUP(G235, Vöruskrá!A:A, Vöruskrá!G:G, "")), ""), IF(F235 = "Réttur", IFERROR(_xlfn.SINGLE(_xlfn.XLOOKUP(G235, Réttabanki!A:A, Réttabanki!AU:AU, "")), ""), "")))</f>
        <v/>
      </c>
      <c r="O235" s="26" t="str">
        <f>IF(OR(F235 = "", G235 = "", I235 = ""), "", IF(F235 = "Vara", IFERROR(_xlfn.SINGLE(_xlfn.XLOOKUP(G235, Vöruskrá!A:A, Vöruskrá!I:I, "")) * I235 / 100, ""), IF(F235 = "Réttur", IFERROR(_xlfn.SINGLE(_xlfn.XLOOKUP(G235, Réttabanki!A:A, Réttabanki!AV:AV, "")) * I235 / 100, ""), "")))</f>
        <v/>
      </c>
      <c r="P235" s="26" t="str">
        <f>IF(OR(F235 = "", G235 = "", I235 = ""), "", IF(F235 = "Vara", IFERROR(_xlfn.SINGLE(_xlfn.XLOOKUP(G235, Vöruskrá!A:A, Vöruskrá!J:J, "")) * I235 / 100, ""), IF(F235 = "Réttur", IFERROR(_xlfn.SINGLE(_xlfn.XLOOKUP(G235, Réttabanki!A:A, Réttabanki!AW:AW, "")) * I235 / 100, ""), "")))</f>
        <v/>
      </c>
      <c r="Q235" s="26" t="str">
        <f>IF(OR(F235 = "", G235 = "", I235 = ""), "", IF(F235 = "Vara", IFERROR(_xlfn.SINGLE(_xlfn.XLOOKUP(G235, Vöruskrá!A:A, Vöruskrá!N:N, "")) * I235 / 100, ""), IF(F235 = "Réttur", IFERROR(_xlfn.SINGLE(_xlfn.XLOOKUP(G235, Réttabanki!A:A, Réttabanki!BB:BB, "")) * I235 / 100, ""), "")))</f>
        <v/>
      </c>
    </row>
    <row r="236" spans="2:17">
      <c r="B236" s="33" t="str">
        <f>IF(A236&lt;&gt;"",CHOOSE(WEEKDAY(A236,2),"Mánudagur","Þriðjudagur","Miðvikudagur","Fimmtudagur","Föstudagur","Laugardagur","Sunnudagur"),IF(B235&lt;&gt;"",B235,""))</f>
        <v>Fimmtudagur</v>
      </c>
      <c r="C236" s="33">
        <f>IF(A236&lt;&gt;"",WEEKNUM(A236,21),IF(C235&lt;&gt;"",C235,""))</f>
        <v>27</v>
      </c>
      <c r="D236" s="34"/>
      <c r="E236" s="34"/>
      <c r="F236" s="34"/>
      <c r="G236" s="34"/>
      <c r="H236" s="34"/>
      <c r="I236" s="35"/>
      <c r="J236" s="35"/>
      <c r="K236" s="36"/>
      <c r="L236" s="26" t="str">
        <f>IF(OR(F236 = "", G236 = ""), "", IF(F236 = "Vara", IFERROR(_xlfn.SINGLE(_xlfn.XLOOKUP(G236, Vöruskrá!A:A, Vöruskrá!E:E, "")), ""), IF(F236 = "Réttur", IFERROR(_xlfn.SINGLE(_xlfn.XLOOKUP(G236, Réttabanki!A:A, Réttabanki!AS:AS, "")), ""), "")))</f>
        <v/>
      </c>
      <c r="M236" s="26" t="str">
        <f>IF(OR(F236 = "", G236 = ""), "", IF(F236 = "Vara", IFERROR(_xlfn.SINGLE(_xlfn.XLOOKUP(G236, Vöruskrá!A:A, Vöruskrá!F:F, "")), ""), IF(F236 = "Réttur", IFERROR(_xlfn.SINGLE(_xlfn.XLOOKUP(G236, Réttabanki!A:A, Réttabanki!AT:AT, "")), ""), "")))</f>
        <v/>
      </c>
      <c r="N236" s="26" t="str">
        <f>IF(OR(F236 = "", G236 = ""), "", IF(F236 = "Vara", IFERROR(_xlfn.SINGLE(_xlfn.XLOOKUP(G236, Vöruskrá!A:A, Vöruskrá!G:G, "")), ""), IF(F236 = "Réttur", IFERROR(_xlfn.SINGLE(_xlfn.XLOOKUP(G236, Réttabanki!A:A, Réttabanki!AU:AU, "")), ""), "")))</f>
        <v/>
      </c>
      <c r="O236" s="26" t="str">
        <f>IF(OR(F236 = "", G236 = "", I236 = ""), "", IF(F236 = "Vara", IFERROR(_xlfn.SINGLE(_xlfn.XLOOKUP(G236, Vöruskrá!A:A, Vöruskrá!I:I, "")) * I236 / 100, ""), IF(F236 = "Réttur", IFERROR(_xlfn.SINGLE(_xlfn.XLOOKUP(G236, Réttabanki!A:A, Réttabanki!AV:AV, "")) * I236 / 100, ""), "")))</f>
        <v/>
      </c>
      <c r="P236" s="26" t="str">
        <f>IF(OR(F236 = "", G236 = "", I236 = ""), "", IF(F236 = "Vara", IFERROR(_xlfn.SINGLE(_xlfn.XLOOKUP(G236, Vöruskrá!A:A, Vöruskrá!J:J, "")) * I236 / 100, ""), IF(F236 = "Réttur", IFERROR(_xlfn.SINGLE(_xlfn.XLOOKUP(G236, Réttabanki!A:A, Réttabanki!AW:AW, "")) * I236 / 100, ""), "")))</f>
        <v/>
      </c>
      <c r="Q236" s="26" t="str">
        <f>IF(OR(F236 = "", G236 = "", I236 = ""), "", IF(F236 = "Vara", IFERROR(_xlfn.SINGLE(_xlfn.XLOOKUP(G236, Vöruskrá!A:A, Vöruskrá!N:N, "")) * I236 / 100, ""), IF(F236 = "Réttur", IFERROR(_xlfn.SINGLE(_xlfn.XLOOKUP(G236, Réttabanki!A:A, Réttabanki!BB:BB, "")) * I236 / 100, ""), "")))</f>
        <v/>
      </c>
    </row>
    <row r="237" spans="2:17">
      <c r="B237" s="33" t="str">
        <f>IF(A237&lt;&gt;"",CHOOSE(WEEKDAY(A237,2),"Mánudagur","Þriðjudagur","Miðvikudagur","Fimmtudagur","Föstudagur","Laugardagur","Sunnudagur"),IF(B236&lt;&gt;"",B236,""))</f>
        <v>Fimmtudagur</v>
      </c>
      <c r="C237" s="33">
        <f>IF(A237&lt;&gt;"",WEEKNUM(A237,21),IF(C236&lt;&gt;"",C236,""))</f>
        <v>27</v>
      </c>
      <c r="D237" s="34"/>
      <c r="E237" s="34"/>
      <c r="F237" s="34"/>
      <c r="G237" s="34"/>
      <c r="H237" s="34"/>
      <c r="I237" s="35"/>
      <c r="J237" s="35"/>
      <c r="K237" s="36"/>
      <c r="L237" s="26" t="str">
        <f>IF(OR(F237 = "", G237 = ""), "", IF(F237 = "Vara", IFERROR(_xlfn.SINGLE(_xlfn.XLOOKUP(G237, Vöruskrá!A:A, Vöruskrá!E:E, "")), ""), IF(F237 = "Réttur", IFERROR(_xlfn.SINGLE(_xlfn.XLOOKUP(G237, Réttabanki!A:A, Réttabanki!AS:AS, "")), ""), "")))</f>
        <v/>
      </c>
      <c r="M237" s="26" t="str">
        <f>IF(OR(F237 = "", G237 = ""), "", IF(F237 = "Vara", IFERROR(_xlfn.SINGLE(_xlfn.XLOOKUP(G237, Vöruskrá!A:A, Vöruskrá!F:F, "")), ""), IF(F237 = "Réttur", IFERROR(_xlfn.SINGLE(_xlfn.XLOOKUP(G237, Réttabanki!A:A, Réttabanki!AT:AT, "")), ""), "")))</f>
        <v/>
      </c>
      <c r="N237" s="26" t="str">
        <f>IF(OR(F237 = "", G237 = ""), "", IF(F237 = "Vara", IFERROR(_xlfn.SINGLE(_xlfn.XLOOKUP(G237, Vöruskrá!A:A, Vöruskrá!G:G, "")), ""), IF(F237 = "Réttur", IFERROR(_xlfn.SINGLE(_xlfn.XLOOKUP(G237, Réttabanki!A:A, Réttabanki!AU:AU, "")), ""), "")))</f>
        <v/>
      </c>
      <c r="O237" s="26" t="str">
        <f>IF(OR(F237 = "", G237 = "", I237 = ""), "", IF(F237 = "Vara", IFERROR(_xlfn.SINGLE(_xlfn.XLOOKUP(G237, Vöruskrá!A:A, Vöruskrá!I:I, "")) * I237 / 100, ""), IF(F237 = "Réttur", IFERROR(_xlfn.SINGLE(_xlfn.XLOOKUP(G237, Réttabanki!A:A, Réttabanki!AV:AV, "")) * I237 / 100, ""), "")))</f>
        <v/>
      </c>
      <c r="P237" s="26" t="str">
        <f>IF(OR(F237 = "", G237 = "", I237 = ""), "", IF(F237 = "Vara", IFERROR(_xlfn.SINGLE(_xlfn.XLOOKUP(G237, Vöruskrá!A:A, Vöruskrá!J:J, "")) * I237 / 100, ""), IF(F237 = "Réttur", IFERROR(_xlfn.SINGLE(_xlfn.XLOOKUP(G237, Réttabanki!A:A, Réttabanki!AW:AW, "")) * I237 / 100, ""), "")))</f>
        <v/>
      </c>
      <c r="Q237" s="26" t="str">
        <f>IF(OR(F237 = "", G237 = "", I237 = ""), "", IF(F237 = "Vara", IFERROR(_xlfn.SINGLE(_xlfn.XLOOKUP(G237, Vöruskrá!A:A, Vöruskrá!N:N, "")) * I237 / 100, ""), IF(F237 = "Réttur", IFERROR(_xlfn.SINGLE(_xlfn.XLOOKUP(G237, Réttabanki!A:A, Réttabanki!BB:BB, "")) * I237 / 100, ""), "")))</f>
        <v/>
      </c>
    </row>
    <row r="238" spans="2:17">
      <c r="B238" s="33" t="str">
        <f>IF(A238&lt;&gt;"",CHOOSE(WEEKDAY(A238,2),"Mánudagur","Þriðjudagur","Miðvikudagur","Fimmtudagur","Föstudagur","Laugardagur","Sunnudagur"),IF(B237&lt;&gt;"",B237,""))</f>
        <v>Fimmtudagur</v>
      </c>
      <c r="C238" s="33">
        <f>IF(A238&lt;&gt;"",WEEKNUM(A238,21),IF(C237&lt;&gt;"",C237,""))</f>
        <v>27</v>
      </c>
      <c r="D238" s="34"/>
      <c r="E238" s="34"/>
      <c r="F238" s="34"/>
      <c r="G238" s="34"/>
      <c r="H238" s="34"/>
      <c r="I238" s="35"/>
      <c r="J238" s="35"/>
      <c r="K238" s="36"/>
      <c r="L238" s="26" t="str">
        <f>IF(OR(F238 = "", G238 = ""), "", IF(F238 = "Vara", IFERROR(_xlfn.SINGLE(_xlfn.XLOOKUP(G238, Vöruskrá!A:A, Vöruskrá!E:E, "")), ""), IF(F238 = "Réttur", IFERROR(_xlfn.SINGLE(_xlfn.XLOOKUP(G238, Réttabanki!A:A, Réttabanki!AS:AS, "")), ""), "")))</f>
        <v/>
      </c>
      <c r="M238" s="26" t="str">
        <f>IF(OR(F238 = "", G238 = ""), "", IF(F238 = "Vara", IFERROR(_xlfn.SINGLE(_xlfn.XLOOKUP(G238, Vöruskrá!A:A, Vöruskrá!F:F, "")), ""), IF(F238 = "Réttur", IFERROR(_xlfn.SINGLE(_xlfn.XLOOKUP(G238, Réttabanki!A:A, Réttabanki!AT:AT, "")), ""), "")))</f>
        <v/>
      </c>
      <c r="N238" s="26" t="str">
        <f>IF(OR(F238 = "", G238 = ""), "", IF(F238 = "Vara", IFERROR(_xlfn.SINGLE(_xlfn.XLOOKUP(G238, Vöruskrá!A:A, Vöruskrá!G:G, "")), ""), IF(F238 = "Réttur", IFERROR(_xlfn.SINGLE(_xlfn.XLOOKUP(G238, Réttabanki!A:A, Réttabanki!AU:AU, "")), ""), "")))</f>
        <v/>
      </c>
      <c r="O238" s="26" t="str">
        <f>IF(OR(F238 = "", G238 = "", I238 = ""), "", IF(F238 = "Vara", IFERROR(_xlfn.SINGLE(_xlfn.XLOOKUP(G238, Vöruskrá!A:A, Vöruskrá!I:I, "")) * I238 / 100, ""), IF(F238 = "Réttur", IFERROR(_xlfn.SINGLE(_xlfn.XLOOKUP(G238, Réttabanki!A:A, Réttabanki!AV:AV, "")) * I238 / 100, ""), "")))</f>
        <v/>
      </c>
      <c r="P238" s="26" t="str">
        <f>IF(OR(F238 = "", G238 = "", I238 = ""), "", IF(F238 = "Vara", IFERROR(_xlfn.SINGLE(_xlfn.XLOOKUP(G238, Vöruskrá!A:A, Vöruskrá!J:J, "")) * I238 / 100, ""), IF(F238 = "Réttur", IFERROR(_xlfn.SINGLE(_xlfn.XLOOKUP(G238, Réttabanki!A:A, Réttabanki!AW:AW, "")) * I238 / 100, ""), "")))</f>
        <v/>
      </c>
      <c r="Q238" s="26" t="str">
        <f>IF(OR(F238 = "", G238 = "", I238 = ""), "", IF(F238 = "Vara", IFERROR(_xlfn.SINGLE(_xlfn.XLOOKUP(G238, Vöruskrá!A:A, Vöruskrá!N:N, "")) * I238 / 100, ""), IF(F238 = "Réttur", IFERROR(_xlfn.SINGLE(_xlfn.XLOOKUP(G238, Réttabanki!A:A, Réttabanki!BB:BB, "")) * I238 / 100, ""), "")))</f>
        <v/>
      </c>
    </row>
    <row r="239" spans="2:17">
      <c r="B239" s="33" t="str">
        <f>IF(A239&lt;&gt;"",CHOOSE(WEEKDAY(A239,2),"Mánudagur","Þriðjudagur","Miðvikudagur","Fimmtudagur","Föstudagur","Laugardagur","Sunnudagur"),IF(B238&lt;&gt;"",B238,""))</f>
        <v>Fimmtudagur</v>
      </c>
      <c r="C239" s="33">
        <f>IF(A239&lt;&gt;"",WEEKNUM(A239,21),IF(C238&lt;&gt;"",C238,""))</f>
        <v>27</v>
      </c>
      <c r="D239" s="34"/>
      <c r="E239" s="34"/>
      <c r="F239" s="34"/>
      <c r="G239" s="34"/>
      <c r="H239" s="34"/>
      <c r="I239" s="35"/>
      <c r="J239" s="35"/>
      <c r="K239" s="36"/>
      <c r="L239" s="26" t="str">
        <f>IF(OR(F239 = "", G239 = ""), "", IF(F239 = "Vara", IFERROR(_xlfn.SINGLE(_xlfn.XLOOKUP(G239, Vöruskrá!A:A, Vöruskrá!E:E, "")), ""), IF(F239 = "Réttur", IFERROR(_xlfn.SINGLE(_xlfn.XLOOKUP(G239, Réttabanki!A:A, Réttabanki!AS:AS, "")), ""), "")))</f>
        <v/>
      </c>
      <c r="M239" s="26" t="str">
        <f>IF(OR(F239 = "", G239 = ""), "", IF(F239 = "Vara", IFERROR(_xlfn.SINGLE(_xlfn.XLOOKUP(G239, Vöruskrá!A:A, Vöruskrá!F:F, "")), ""), IF(F239 = "Réttur", IFERROR(_xlfn.SINGLE(_xlfn.XLOOKUP(G239, Réttabanki!A:A, Réttabanki!AT:AT, "")), ""), "")))</f>
        <v/>
      </c>
      <c r="N239" s="26" t="str">
        <f>IF(OR(F239 = "", G239 = ""), "", IF(F239 = "Vara", IFERROR(_xlfn.SINGLE(_xlfn.XLOOKUP(G239, Vöruskrá!A:A, Vöruskrá!G:G, "")), ""), IF(F239 = "Réttur", IFERROR(_xlfn.SINGLE(_xlfn.XLOOKUP(G239, Réttabanki!A:A, Réttabanki!AU:AU, "")), ""), "")))</f>
        <v/>
      </c>
      <c r="O239" s="26" t="str">
        <f>IF(OR(F239 = "", G239 = "", I239 = ""), "", IF(F239 = "Vara", IFERROR(_xlfn.SINGLE(_xlfn.XLOOKUP(G239, Vöruskrá!A:A, Vöruskrá!I:I, "")) * I239 / 100, ""), IF(F239 = "Réttur", IFERROR(_xlfn.SINGLE(_xlfn.XLOOKUP(G239, Réttabanki!A:A, Réttabanki!AV:AV, "")) * I239 / 100, ""), "")))</f>
        <v/>
      </c>
      <c r="P239" s="26" t="str">
        <f>IF(OR(F239 = "", G239 = "", I239 = ""), "", IF(F239 = "Vara", IFERROR(_xlfn.SINGLE(_xlfn.XLOOKUP(G239, Vöruskrá!A:A, Vöruskrá!J:J, "")) * I239 / 100, ""), IF(F239 = "Réttur", IFERROR(_xlfn.SINGLE(_xlfn.XLOOKUP(G239, Réttabanki!A:A, Réttabanki!AW:AW, "")) * I239 / 100, ""), "")))</f>
        <v/>
      </c>
      <c r="Q239" s="26" t="str">
        <f>IF(OR(F239 = "", G239 = "", I239 = ""), "", IF(F239 = "Vara", IFERROR(_xlfn.SINGLE(_xlfn.XLOOKUP(G239, Vöruskrá!A:A, Vöruskrá!N:N, "")) * I239 / 100, ""), IF(F239 = "Réttur", IFERROR(_xlfn.SINGLE(_xlfn.XLOOKUP(G239, Réttabanki!A:A, Réttabanki!BB:BB, "")) * I239 / 100, ""), "")))</f>
        <v/>
      </c>
    </row>
    <row r="240" spans="2:17">
      <c r="B240" s="33" t="str">
        <f>IF(A240&lt;&gt;"",CHOOSE(WEEKDAY(A240,2),"Mánudagur","Þriðjudagur","Miðvikudagur","Fimmtudagur","Föstudagur","Laugardagur","Sunnudagur"),IF(B239&lt;&gt;"",B239,""))</f>
        <v>Fimmtudagur</v>
      </c>
      <c r="C240" s="33">
        <f>IF(A240&lt;&gt;"",WEEKNUM(A240,21),IF(C239&lt;&gt;"",C239,""))</f>
        <v>27</v>
      </c>
      <c r="D240" s="34"/>
      <c r="E240" s="34"/>
      <c r="F240" s="34"/>
      <c r="G240" s="34"/>
      <c r="H240" s="34"/>
      <c r="I240" s="35"/>
      <c r="J240" s="35"/>
      <c r="K240" s="36"/>
      <c r="L240" s="26" t="str">
        <f>IF(OR(F240 = "", G240 = ""), "", IF(F240 = "Vara", IFERROR(_xlfn.SINGLE(_xlfn.XLOOKUP(G240, Vöruskrá!A:A, Vöruskrá!E:E, "")), ""), IF(F240 = "Réttur", IFERROR(_xlfn.SINGLE(_xlfn.XLOOKUP(G240, Réttabanki!A:A, Réttabanki!AS:AS, "")), ""), "")))</f>
        <v/>
      </c>
      <c r="M240" s="26" t="str">
        <f>IF(OR(F240 = "", G240 = ""), "", IF(F240 = "Vara", IFERROR(_xlfn.SINGLE(_xlfn.XLOOKUP(G240, Vöruskrá!A:A, Vöruskrá!F:F, "")), ""), IF(F240 = "Réttur", IFERROR(_xlfn.SINGLE(_xlfn.XLOOKUP(G240, Réttabanki!A:A, Réttabanki!AT:AT, "")), ""), "")))</f>
        <v/>
      </c>
      <c r="N240" s="26" t="str">
        <f>IF(OR(F240 = "", G240 = ""), "", IF(F240 = "Vara", IFERROR(_xlfn.SINGLE(_xlfn.XLOOKUP(G240, Vöruskrá!A:A, Vöruskrá!G:G, "")), ""), IF(F240 = "Réttur", IFERROR(_xlfn.SINGLE(_xlfn.XLOOKUP(G240, Réttabanki!A:A, Réttabanki!AU:AU, "")), ""), "")))</f>
        <v/>
      </c>
      <c r="O240" s="26" t="str">
        <f>IF(OR(F240 = "", G240 = "", I240 = ""), "", IF(F240 = "Vara", IFERROR(_xlfn.SINGLE(_xlfn.XLOOKUP(G240, Vöruskrá!A:A, Vöruskrá!I:I, "")) * I240 / 100, ""), IF(F240 = "Réttur", IFERROR(_xlfn.SINGLE(_xlfn.XLOOKUP(G240, Réttabanki!A:A, Réttabanki!AV:AV, "")) * I240 / 100, ""), "")))</f>
        <v/>
      </c>
      <c r="P240" s="26" t="str">
        <f>IF(OR(F240 = "", G240 = "", I240 = ""), "", IF(F240 = "Vara", IFERROR(_xlfn.SINGLE(_xlfn.XLOOKUP(G240, Vöruskrá!A:A, Vöruskrá!J:J, "")) * I240 / 100, ""), IF(F240 = "Réttur", IFERROR(_xlfn.SINGLE(_xlfn.XLOOKUP(G240, Réttabanki!A:A, Réttabanki!AW:AW, "")) * I240 / 100, ""), "")))</f>
        <v/>
      </c>
      <c r="Q240" s="26" t="str">
        <f>IF(OR(F240 = "", G240 = "", I240 = ""), "", IF(F240 = "Vara", IFERROR(_xlfn.SINGLE(_xlfn.XLOOKUP(G240, Vöruskrá!A:A, Vöruskrá!N:N, "")) * I240 / 100, ""), IF(F240 = "Réttur", IFERROR(_xlfn.SINGLE(_xlfn.XLOOKUP(G240, Réttabanki!A:A, Réttabanki!BB:BB, "")) * I240 / 100, ""), "")))</f>
        <v/>
      </c>
    </row>
    <row r="241" spans="2:17">
      <c r="B241" s="33" t="str">
        <f>IF(A241&lt;&gt;"",CHOOSE(WEEKDAY(A241,2),"Mánudagur","Þriðjudagur","Miðvikudagur","Fimmtudagur","Föstudagur","Laugardagur","Sunnudagur"),IF(B240&lt;&gt;"",B240,""))</f>
        <v>Fimmtudagur</v>
      </c>
      <c r="C241" s="33">
        <f>IF(A241&lt;&gt;"",WEEKNUM(A241,21),IF(C240&lt;&gt;"",C240,""))</f>
        <v>27</v>
      </c>
      <c r="D241" s="34"/>
      <c r="E241" s="34"/>
      <c r="F241" s="34"/>
      <c r="G241" s="34"/>
      <c r="H241" s="34"/>
      <c r="I241" s="35"/>
      <c r="J241" s="35"/>
      <c r="K241" s="36"/>
      <c r="L241" s="26" t="str">
        <f>IF(OR(F241 = "", G241 = ""), "", IF(F241 = "Vara", IFERROR(_xlfn.SINGLE(_xlfn.XLOOKUP(G241, Vöruskrá!A:A, Vöruskrá!E:E, "")), ""), IF(F241 = "Réttur", IFERROR(_xlfn.SINGLE(_xlfn.XLOOKUP(G241, Réttabanki!A:A, Réttabanki!AS:AS, "")), ""), "")))</f>
        <v/>
      </c>
      <c r="M241" s="26" t="str">
        <f>IF(OR(F241 = "", G241 = ""), "", IF(F241 = "Vara", IFERROR(_xlfn.SINGLE(_xlfn.XLOOKUP(G241, Vöruskrá!A:A, Vöruskrá!F:F, "")), ""), IF(F241 = "Réttur", IFERROR(_xlfn.SINGLE(_xlfn.XLOOKUP(G241, Réttabanki!A:A, Réttabanki!AT:AT, "")), ""), "")))</f>
        <v/>
      </c>
      <c r="N241" s="26" t="str">
        <f>IF(OR(F241 = "", G241 = ""), "", IF(F241 = "Vara", IFERROR(_xlfn.SINGLE(_xlfn.XLOOKUP(G241, Vöruskrá!A:A, Vöruskrá!G:G, "")), ""), IF(F241 = "Réttur", IFERROR(_xlfn.SINGLE(_xlfn.XLOOKUP(G241, Réttabanki!A:A, Réttabanki!AU:AU, "")), ""), "")))</f>
        <v/>
      </c>
      <c r="O241" s="26" t="str">
        <f>IF(OR(F241 = "", G241 = "", I241 = ""), "", IF(F241 = "Vara", IFERROR(_xlfn.SINGLE(_xlfn.XLOOKUP(G241, Vöruskrá!A:A, Vöruskrá!I:I, "")) * I241 / 100, ""), IF(F241 = "Réttur", IFERROR(_xlfn.SINGLE(_xlfn.XLOOKUP(G241, Réttabanki!A:A, Réttabanki!AV:AV, "")) * I241 / 100, ""), "")))</f>
        <v/>
      </c>
      <c r="P241" s="26" t="str">
        <f>IF(OR(F241 = "", G241 = "", I241 = ""), "", IF(F241 = "Vara", IFERROR(_xlfn.SINGLE(_xlfn.XLOOKUP(G241, Vöruskrá!A:A, Vöruskrá!J:J, "")) * I241 / 100, ""), IF(F241 = "Réttur", IFERROR(_xlfn.SINGLE(_xlfn.XLOOKUP(G241, Réttabanki!A:A, Réttabanki!AW:AW, "")) * I241 / 100, ""), "")))</f>
        <v/>
      </c>
      <c r="Q241" s="26" t="str">
        <f>IF(OR(F241 = "", G241 = "", I241 = ""), "", IF(F241 = "Vara", IFERROR(_xlfn.SINGLE(_xlfn.XLOOKUP(G241, Vöruskrá!A:A, Vöruskrá!N:N, "")) * I241 / 100, ""), IF(F241 = "Réttur", IFERROR(_xlfn.SINGLE(_xlfn.XLOOKUP(G241, Réttabanki!A:A, Réttabanki!BB:BB, "")) * I241 / 100, ""), "")))</f>
        <v/>
      </c>
    </row>
    <row r="242" spans="2:17">
      <c r="B242" s="33" t="str">
        <f>IF(A242&lt;&gt;"",CHOOSE(WEEKDAY(A242,2),"Mánudagur","Þriðjudagur","Miðvikudagur","Fimmtudagur","Föstudagur","Laugardagur","Sunnudagur"),IF(B241&lt;&gt;"",B241,""))</f>
        <v>Fimmtudagur</v>
      </c>
      <c r="C242" s="33">
        <f>IF(A242&lt;&gt;"",WEEKNUM(A242,21),IF(C241&lt;&gt;"",C241,""))</f>
        <v>27</v>
      </c>
      <c r="D242" s="34"/>
      <c r="E242" s="34"/>
      <c r="F242" s="34"/>
      <c r="G242" s="34"/>
      <c r="H242" s="34"/>
      <c r="I242" s="35"/>
      <c r="J242" s="35"/>
      <c r="K242" s="36"/>
      <c r="L242" s="26" t="str">
        <f>IF(OR(F242 = "", G242 = ""), "", IF(F242 = "Vara", IFERROR(_xlfn.SINGLE(_xlfn.XLOOKUP(G242, Vöruskrá!A:A, Vöruskrá!E:E, "")), ""), IF(F242 = "Réttur", IFERROR(_xlfn.SINGLE(_xlfn.XLOOKUP(G242, Réttabanki!A:A, Réttabanki!AS:AS, "")), ""), "")))</f>
        <v/>
      </c>
      <c r="M242" s="26" t="str">
        <f>IF(OR(F242 = "", G242 = ""), "", IF(F242 = "Vara", IFERROR(_xlfn.SINGLE(_xlfn.XLOOKUP(G242, Vöruskrá!A:A, Vöruskrá!F:F, "")), ""), IF(F242 = "Réttur", IFERROR(_xlfn.SINGLE(_xlfn.XLOOKUP(G242, Réttabanki!A:A, Réttabanki!AT:AT, "")), ""), "")))</f>
        <v/>
      </c>
      <c r="N242" s="26" t="str">
        <f>IF(OR(F242 = "", G242 = ""), "", IF(F242 = "Vara", IFERROR(_xlfn.SINGLE(_xlfn.XLOOKUP(G242, Vöruskrá!A:A, Vöruskrá!G:G, "")), ""), IF(F242 = "Réttur", IFERROR(_xlfn.SINGLE(_xlfn.XLOOKUP(G242, Réttabanki!A:A, Réttabanki!AU:AU, "")), ""), "")))</f>
        <v/>
      </c>
      <c r="O242" s="26" t="str">
        <f>IF(OR(F242 = "", G242 = "", I242 = ""), "", IF(F242 = "Vara", IFERROR(_xlfn.SINGLE(_xlfn.XLOOKUP(G242, Vöruskrá!A:A, Vöruskrá!I:I, "")) * I242 / 100, ""), IF(F242 = "Réttur", IFERROR(_xlfn.SINGLE(_xlfn.XLOOKUP(G242, Réttabanki!A:A, Réttabanki!AV:AV, "")) * I242 / 100, ""), "")))</f>
        <v/>
      </c>
      <c r="P242" s="26" t="str">
        <f>IF(OR(F242 = "", G242 = "", I242 = ""), "", IF(F242 = "Vara", IFERROR(_xlfn.SINGLE(_xlfn.XLOOKUP(G242, Vöruskrá!A:A, Vöruskrá!J:J, "")) * I242 / 100, ""), IF(F242 = "Réttur", IFERROR(_xlfn.SINGLE(_xlfn.XLOOKUP(G242, Réttabanki!A:A, Réttabanki!AW:AW, "")) * I242 / 100, ""), "")))</f>
        <v/>
      </c>
      <c r="Q242" s="26" t="str">
        <f>IF(OR(F242 = "", G242 = "", I242 = ""), "", IF(F242 = "Vara", IFERROR(_xlfn.SINGLE(_xlfn.XLOOKUP(G242, Vöruskrá!A:A, Vöruskrá!N:N, "")) * I242 / 100, ""), IF(F242 = "Réttur", IFERROR(_xlfn.SINGLE(_xlfn.XLOOKUP(G242, Réttabanki!A:A, Réttabanki!BB:BB, "")) * I242 / 100, ""), "")))</f>
        <v/>
      </c>
    </row>
    <row r="243" spans="2:17">
      <c r="B243" s="33" t="str">
        <f>IF(A243&lt;&gt;"",CHOOSE(WEEKDAY(A243,2),"Mánudagur","Þriðjudagur","Miðvikudagur","Fimmtudagur","Föstudagur","Laugardagur","Sunnudagur"),IF(B242&lt;&gt;"",B242,""))</f>
        <v>Fimmtudagur</v>
      </c>
      <c r="C243" s="33">
        <f>IF(A243&lt;&gt;"",WEEKNUM(A243,21),IF(C242&lt;&gt;"",C242,""))</f>
        <v>27</v>
      </c>
      <c r="D243" s="34"/>
      <c r="E243" s="34"/>
      <c r="F243" s="34"/>
      <c r="G243" s="34"/>
      <c r="H243" s="34"/>
      <c r="I243" s="35"/>
      <c r="J243" s="35"/>
      <c r="K243" s="36"/>
      <c r="L243" s="26" t="str">
        <f>IF(OR(F243 = "", G243 = ""), "", IF(F243 = "Vara", IFERROR(_xlfn.SINGLE(_xlfn.XLOOKUP(G243, Vöruskrá!A:A, Vöruskrá!E:E, "")), ""), IF(F243 = "Réttur", IFERROR(_xlfn.SINGLE(_xlfn.XLOOKUP(G243, Réttabanki!A:A, Réttabanki!AS:AS, "")), ""), "")))</f>
        <v/>
      </c>
      <c r="M243" s="26" t="str">
        <f>IF(OR(F243 = "", G243 = ""), "", IF(F243 = "Vara", IFERROR(_xlfn.SINGLE(_xlfn.XLOOKUP(G243, Vöruskrá!A:A, Vöruskrá!F:F, "")), ""), IF(F243 = "Réttur", IFERROR(_xlfn.SINGLE(_xlfn.XLOOKUP(G243, Réttabanki!A:A, Réttabanki!AT:AT, "")), ""), "")))</f>
        <v/>
      </c>
      <c r="N243" s="26" t="str">
        <f>IF(OR(F243 = "", G243 = ""), "", IF(F243 = "Vara", IFERROR(_xlfn.SINGLE(_xlfn.XLOOKUP(G243, Vöruskrá!A:A, Vöruskrá!G:G, "")), ""), IF(F243 = "Réttur", IFERROR(_xlfn.SINGLE(_xlfn.XLOOKUP(G243, Réttabanki!A:A, Réttabanki!AU:AU, "")), ""), "")))</f>
        <v/>
      </c>
      <c r="O243" s="26" t="str">
        <f>IF(OR(F243 = "", G243 = "", I243 = ""), "", IF(F243 = "Vara", IFERROR(_xlfn.SINGLE(_xlfn.XLOOKUP(G243, Vöruskrá!A:A, Vöruskrá!I:I, "")) * I243 / 100, ""), IF(F243 = "Réttur", IFERROR(_xlfn.SINGLE(_xlfn.XLOOKUP(G243, Réttabanki!A:A, Réttabanki!AV:AV, "")) * I243 / 100, ""), "")))</f>
        <v/>
      </c>
      <c r="P243" s="26" t="str">
        <f>IF(OR(F243 = "", G243 = "", I243 = ""), "", IF(F243 = "Vara", IFERROR(_xlfn.SINGLE(_xlfn.XLOOKUP(G243, Vöruskrá!A:A, Vöruskrá!J:J, "")) * I243 / 100, ""), IF(F243 = "Réttur", IFERROR(_xlfn.SINGLE(_xlfn.XLOOKUP(G243, Réttabanki!A:A, Réttabanki!AW:AW, "")) * I243 / 100, ""), "")))</f>
        <v/>
      </c>
      <c r="Q243" s="26" t="str">
        <f>IF(OR(F243 = "", G243 = "", I243 = ""), "", IF(F243 = "Vara", IFERROR(_xlfn.SINGLE(_xlfn.XLOOKUP(G243, Vöruskrá!A:A, Vöruskrá!N:N, "")) * I243 / 100, ""), IF(F243 = "Réttur", IFERROR(_xlfn.SINGLE(_xlfn.XLOOKUP(G243, Réttabanki!A:A, Réttabanki!BB:BB, "")) * I243 / 100, ""), "")))</f>
        <v/>
      </c>
    </row>
    <row r="244" spans="2:17">
      <c r="B244" s="33" t="str">
        <f>IF(A244&lt;&gt;"",CHOOSE(WEEKDAY(A244,2),"Mánudagur","Þriðjudagur","Miðvikudagur","Fimmtudagur","Föstudagur","Laugardagur","Sunnudagur"),IF(B243&lt;&gt;"",B243,""))</f>
        <v>Fimmtudagur</v>
      </c>
      <c r="C244" s="33">
        <f>IF(A244&lt;&gt;"",WEEKNUM(A244,21),IF(C243&lt;&gt;"",C243,""))</f>
        <v>27</v>
      </c>
      <c r="D244" s="34"/>
      <c r="E244" s="34"/>
      <c r="F244" s="34"/>
      <c r="G244" s="34"/>
      <c r="H244" s="34"/>
      <c r="I244" s="35"/>
      <c r="J244" s="35"/>
      <c r="K244" s="36"/>
      <c r="L244" s="26" t="str">
        <f>IF(OR(F244 = "", G244 = ""), "", IF(F244 = "Vara", IFERROR(_xlfn.SINGLE(_xlfn.XLOOKUP(G244, Vöruskrá!A:A, Vöruskrá!E:E, "")), ""), IF(F244 = "Réttur", IFERROR(_xlfn.SINGLE(_xlfn.XLOOKUP(G244, Réttabanki!A:A, Réttabanki!AS:AS, "")), ""), "")))</f>
        <v/>
      </c>
      <c r="M244" s="26" t="str">
        <f>IF(OR(F244 = "", G244 = ""), "", IF(F244 = "Vara", IFERROR(_xlfn.SINGLE(_xlfn.XLOOKUP(G244, Vöruskrá!A:A, Vöruskrá!F:F, "")), ""), IF(F244 = "Réttur", IFERROR(_xlfn.SINGLE(_xlfn.XLOOKUP(G244, Réttabanki!A:A, Réttabanki!AT:AT, "")), ""), "")))</f>
        <v/>
      </c>
      <c r="N244" s="26" t="str">
        <f>IF(OR(F244 = "", G244 = ""), "", IF(F244 = "Vara", IFERROR(_xlfn.SINGLE(_xlfn.XLOOKUP(G244, Vöruskrá!A:A, Vöruskrá!G:G, "")), ""), IF(F244 = "Réttur", IFERROR(_xlfn.SINGLE(_xlfn.XLOOKUP(G244, Réttabanki!A:A, Réttabanki!AU:AU, "")), ""), "")))</f>
        <v/>
      </c>
      <c r="O244" s="26" t="str">
        <f>IF(OR(F244 = "", G244 = "", I244 = ""), "", IF(F244 = "Vara", IFERROR(_xlfn.SINGLE(_xlfn.XLOOKUP(G244, Vöruskrá!A:A, Vöruskrá!I:I, "")) * I244 / 100, ""), IF(F244 = "Réttur", IFERROR(_xlfn.SINGLE(_xlfn.XLOOKUP(G244, Réttabanki!A:A, Réttabanki!AV:AV, "")) * I244 / 100, ""), "")))</f>
        <v/>
      </c>
      <c r="P244" s="26" t="str">
        <f>IF(OR(F244 = "", G244 = "", I244 = ""), "", IF(F244 = "Vara", IFERROR(_xlfn.SINGLE(_xlfn.XLOOKUP(G244, Vöruskrá!A:A, Vöruskrá!J:J, "")) * I244 / 100, ""), IF(F244 = "Réttur", IFERROR(_xlfn.SINGLE(_xlfn.XLOOKUP(G244, Réttabanki!A:A, Réttabanki!AW:AW, "")) * I244 / 100, ""), "")))</f>
        <v/>
      </c>
      <c r="Q244" s="26" t="str">
        <f>IF(OR(F244 = "", G244 = "", I244 = ""), "", IF(F244 = "Vara", IFERROR(_xlfn.SINGLE(_xlfn.XLOOKUP(G244, Vöruskrá!A:A, Vöruskrá!N:N, "")) * I244 / 100, ""), IF(F244 = "Réttur", IFERROR(_xlfn.SINGLE(_xlfn.XLOOKUP(G244, Réttabanki!A:A, Réttabanki!BB:BB, "")) * I244 / 100, ""), "")))</f>
        <v/>
      </c>
    </row>
    <row r="245" spans="2:17">
      <c r="B245" s="33" t="str">
        <f>IF(A245&lt;&gt;"",CHOOSE(WEEKDAY(A245,2),"Mánudagur","Þriðjudagur","Miðvikudagur","Fimmtudagur","Föstudagur","Laugardagur","Sunnudagur"),IF(B244&lt;&gt;"",B244,""))</f>
        <v>Fimmtudagur</v>
      </c>
      <c r="C245" s="33">
        <f>IF(A245&lt;&gt;"",WEEKNUM(A245,21),IF(C244&lt;&gt;"",C244,""))</f>
        <v>27</v>
      </c>
      <c r="D245" s="34"/>
      <c r="E245" s="34"/>
      <c r="F245" s="34"/>
      <c r="G245" s="34"/>
      <c r="H245" s="34"/>
      <c r="I245" s="35"/>
      <c r="J245" s="35"/>
      <c r="K245" s="36"/>
      <c r="L245" s="26" t="str">
        <f>IF(OR(F245 = "", G245 = ""), "", IF(F245 = "Vara", IFERROR(_xlfn.SINGLE(_xlfn.XLOOKUP(G245, Vöruskrá!A:A, Vöruskrá!E:E, "")), ""), IF(F245 = "Réttur", IFERROR(_xlfn.SINGLE(_xlfn.XLOOKUP(G245, Réttabanki!A:A, Réttabanki!AS:AS, "")), ""), "")))</f>
        <v/>
      </c>
      <c r="M245" s="26" t="str">
        <f>IF(OR(F245 = "", G245 = ""), "", IF(F245 = "Vara", IFERROR(_xlfn.SINGLE(_xlfn.XLOOKUP(G245, Vöruskrá!A:A, Vöruskrá!F:F, "")), ""), IF(F245 = "Réttur", IFERROR(_xlfn.SINGLE(_xlfn.XLOOKUP(G245, Réttabanki!A:A, Réttabanki!AT:AT, "")), ""), "")))</f>
        <v/>
      </c>
      <c r="N245" s="26" t="str">
        <f>IF(OR(F245 = "", G245 = ""), "", IF(F245 = "Vara", IFERROR(_xlfn.SINGLE(_xlfn.XLOOKUP(G245, Vöruskrá!A:A, Vöruskrá!G:G, "")), ""), IF(F245 = "Réttur", IFERROR(_xlfn.SINGLE(_xlfn.XLOOKUP(G245, Réttabanki!A:A, Réttabanki!AU:AU, "")), ""), "")))</f>
        <v/>
      </c>
      <c r="O245" s="26" t="str">
        <f>IF(OR(F245 = "", G245 = "", I245 = ""), "", IF(F245 = "Vara", IFERROR(_xlfn.SINGLE(_xlfn.XLOOKUP(G245, Vöruskrá!A:A, Vöruskrá!I:I, "")) * I245 / 100, ""), IF(F245 = "Réttur", IFERROR(_xlfn.SINGLE(_xlfn.XLOOKUP(G245, Réttabanki!A:A, Réttabanki!AV:AV, "")) * I245 / 100, ""), "")))</f>
        <v/>
      </c>
      <c r="P245" s="26" t="str">
        <f>IF(OR(F245 = "", G245 = "", I245 = ""), "", IF(F245 = "Vara", IFERROR(_xlfn.SINGLE(_xlfn.XLOOKUP(G245, Vöruskrá!A:A, Vöruskrá!J:J, "")) * I245 / 100, ""), IF(F245 = "Réttur", IFERROR(_xlfn.SINGLE(_xlfn.XLOOKUP(G245, Réttabanki!A:A, Réttabanki!AW:AW, "")) * I245 / 100, ""), "")))</f>
        <v/>
      </c>
      <c r="Q245" s="26" t="str">
        <f>IF(OR(F245 = "", G245 = "", I245 = ""), "", IF(F245 = "Vara", IFERROR(_xlfn.SINGLE(_xlfn.XLOOKUP(G245, Vöruskrá!A:A, Vöruskrá!N:N, "")) * I245 / 100, ""), IF(F245 = "Réttur", IFERROR(_xlfn.SINGLE(_xlfn.XLOOKUP(G245, Réttabanki!A:A, Réttabanki!BB:BB, "")) * I245 / 100, ""), "")))</f>
        <v/>
      </c>
    </row>
    <row r="246" spans="2:17">
      <c r="B246" s="33" t="str">
        <f>IF(A246&lt;&gt;"",CHOOSE(WEEKDAY(A246,2),"Mánudagur","Þriðjudagur","Miðvikudagur","Fimmtudagur","Föstudagur","Laugardagur","Sunnudagur"),IF(B245&lt;&gt;"",B245,""))</f>
        <v>Fimmtudagur</v>
      </c>
      <c r="C246" s="33">
        <f>IF(A246&lt;&gt;"",WEEKNUM(A246,21),IF(C245&lt;&gt;"",C245,""))</f>
        <v>27</v>
      </c>
      <c r="D246" s="34"/>
      <c r="E246" s="34"/>
      <c r="F246" s="34"/>
      <c r="G246" s="34"/>
      <c r="H246" s="34"/>
      <c r="I246" s="35"/>
      <c r="J246" s="35"/>
      <c r="K246" s="36"/>
      <c r="L246" s="26" t="str">
        <f>IF(OR(F246 = "", G246 = ""), "", IF(F246 = "Vara", IFERROR(_xlfn.SINGLE(_xlfn.XLOOKUP(G246, Vöruskrá!A:A, Vöruskrá!E:E, "")), ""), IF(F246 = "Réttur", IFERROR(_xlfn.SINGLE(_xlfn.XLOOKUP(G246, Réttabanki!A:A, Réttabanki!AS:AS, "")), ""), "")))</f>
        <v/>
      </c>
      <c r="M246" s="26" t="str">
        <f>IF(OR(F246 = "", G246 = ""), "", IF(F246 = "Vara", IFERROR(_xlfn.SINGLE(_xlfn.XLOOKUP(G246, Vöruskrá!A:A, Vöruskrá!F:F, "")), ""), IF(F246 = "Réttur", IFERROR(_xlfn.SINGLE(_xlfn.XLOOKUP(G246, Réttabanki!A:A, Réttabanki!AT:AT, "")), ""), "")))</f>
        <v/>
      </c>
      <c r="N246" s="26" t="str">
        <f>IF(OR(F246 = "", G246 = ""), "", IF(F246 = "Vara", IFERROR(_xlfn.SINGLE(_xlfn.XLOOKUP(G246, Vöruskrá!A:A, Vöruskrá!G:G, "")), ""), IF(F246 = "Réttur", IFERROR(_xlfn.SINGLE(_xlfn.XLOOKUP(G246, Réttabanki!A:A, Réttabanki!AU:AU, "")), ""), "")))</f>
        <v/>
      </c>
      <c r="O246" s="26" t="str">
        <f>IF(OR(F246 = "", G246 = "", I246 = ""), "", IF(F246 = "Vara", IFERROR(_xlfn.SINGLE(_xlfn.XLOOKUP(G246, Vöruskrá!A:A, Vöruskrá!I:I, "")) * I246 / 100, ""), IF(F246 = "Réttur", IFERROR(_xlfn.SINGLE(_xlfn.XLOOKUP(G246, Réttabanki!A:A, Réttabanki!AV:AV, "")) * I246 / 100, ""), "")))</f>
        <v/>
      </c>
      <c r="P246" s="26" t="str">
        <f>IF(OR(F246 = "", G246 = "", I246 = ""), "", IF(F246 = "Vara", IFERROR(_xlfn.SINGLE(_xlfn.XLOOKUP(G246, Vöruskrá!A:A, Vöruskrá!J:J, "")) * I246 / 100, ""), IF(F246 = "Réttur", IFERROR(_xlfn.SINGLE(_xlfn.XLOOKUP(G246, Réttabanki!A:A, Réttabanki!AW:AW, "")) * I246 / 100, ""), "")))</f>
        <v/>
      </c>
      <c r="Q246" s="26" t="str">
        <f>IF(OR(F246 = "", G246 = "", I246 = ""), "", IF(F246 = "Vara", IFERROR(_xlfn.SINGLE(_xlfn.XLOOKUP(G246, Vöruskrá!A:A, Vöruskrá!N:N, "")) * I246 / 100, ""), IF(F246 = "Réttur", IFERROR(_xlfn.SINGLE(_xlfn.XLOOKUP(G246, Réttabanki!A:A, Réttabanki!BB:BB, "")) * I246 / 100, ""), "")))</f>
        <v/>
      </c>
    </row>
    <row r="247" spans="2:17">
      <c r="B247" s="33" t="str">
        <f>IF(A247&lt;&gt;"",CHOOSE(WEEKDAY(A247,2),"Mánudagur","Þriðjudagur","Miðvikudagur","Fimmtudagur","Föstudagur","Laugardagur","Sunnudagur"),IF(B246&lt;&gt;"",B246,""))</f>
        <v>Fimmtudagur</v>
      </c>
      <c r="C247" s="33">
        <f>IF(A247&lt;&gt;"",WEEKNUM(A247,21),IF(C246&lt;&gt;"",C246,""))</f>
        <v>27</v>
      </c>
      <c r="D247" s="34"/>
      <c r="E247" s="34"/>
      <c r="F247" s="34"/>
      <c r="G247" s="34"/>
      <c r="H247" s="34"/>
      <c r="I247" s="35"/>
      <c r="J247" s="35"/>
      <c r="K247" s="36"/>
      <c r="L247" s="26" t="str">
        <f>IF(OR(F247 = "", G247 = ""), "", IF(F247 = "Vara", IFERROR(_xlfn.SINGLE(_xlfn.XLOOKUP(G247, Vöruskrá!A:A, Vöruskrá!E:E, "")), ""), IF(F247 = "Réttur", IFERROR(_xlfn.SINGLE(_xlfn.XLOOKUP(G247, Réttabanki!A:A, Réttabanki!AS:AS, "")), ""), "")))</f>
        <v/>
      </c>
      <c r="M247" s="26" t="str">
        <f>IF(OR(F247 = "", G247 = ""), "", IF(F247 = "Vara", IFERROR(_xlfn.SINGLE(_xlfn.XLOOKUP(G247, Vöruskrá!A:A, Vöruskrá!F:F, "")), ""), IF(F247 = "Réttur", IFERROR(_xlfn.SINGLE(_xlfn.XLOOKUP(G247, Réttabanki!A:A, Réttabanki!AT:AT, "")), ""), "")))</f>
        <v/>
      </c>
      <c r="N247" s="26" t="str">
        <f>IF(OR(F247 = "", G247 = ""), "", IF(F247 = "Vara", IFERROR(_xlfn.SINGLE(_xlfn.XLOOKUP(G247, Vöruskrá!A:A, Vöruskrá!G:G, "")), ""), IF(F247 = "Réttur", IFERROR(_xlfn.SINGLE(_xlfn.XLOOKUP(G247, Réttabanki!A:A, Réttabanki!AU:AU, "")), ""), "")))</f>
        <v/>
      </c>
      <c r="O247" s="26" t="str">
        <f>IF(OR(F247 = "", G247 = "", I247 = ""), "", IF(F247 = "Vara", IFERROR(_xlfn.SINGLE(_xlfn.XLOOKUP(G247, Vöruskrá!A:A, Vöruskrá!I:I, "")) * I247 / 100, ""), IF(F247 = "Réttur", IFERROR(_xlfn.SINGLE(_xlfn.XLOOKUP(G247, Réttabanki!A:A, Réttabanki!AV:AV, "")) * I247 / 100, ""), "")))</f>
        <v/>
      </c>
      <c r="P247" s="26" t="str">
        <f>IF(OR(F247 = "", G247 = "", I247 = ""), "", IF(F247 = "Vara", IFERROR(_xlfn.SINGLE(_xlfn.XLOOKUP(G247, Vöruskrá!A:A, Vöruskrá!J:J, "")) * I247 / 100, ""), IF(F247 = "Réttur", IFERROR(_xlfn.SINGLE(_xlfn.XLOOKUP(G247, Réttabanki!A:A, Réttabanki!AW:AW, "")) * I247 / 100, ""), "")))</f>
        <v/>
      </c>
      <c r="Q247" s="26" t="str">
        <f>IF(OR(F247 = "", G247 = "", I247 = ""), "", IF(F247 = "Vara", IFERROR(_xlfn.SINGLE(_xlfn.XLOOKUP(G247, Vöruskrá!A:A, Vöruskrá!N:N, "")) * I247 / 100, ""), IF(F247 = "Réttur", IFERROR(_xlfn.SINGLE(_xlfn.XLOOKUP(G247, Réttabanki!A:A, Réttabanki!BB:BB, "")) * I247 / 100, ""), "")))</f>
        <v/>
      </c>
    </row>
    <row r="248" spans="2:17">
      <c r="B248" s="33" t="str">
        <f>IF(A248&lt;&gt;"",CHOOSE(WEEKDAY(A248,2),"Mánudagur","Þriðjudagur","Miðvikudagur","Fimmtudagur","Föstudagur","Laugardagur","Sunnudagur"),IF(B247&lt;&gt;"",B247,""))</f>
        <v>Fimmtudagur</v>
      </c>
      <c r="C248" s="33">
        <f>IF(A248&lt;&gt;"",WEEKNUM(A248,21),IF(C247&lt;&gt;"",C247,""))</f>
        <v>27</v>
      </c>
      <c r="D248" s="34"/>
      <c r="E248" s="34"/>
      <c r="F248" s="34"/>
      <c r="G248" s="34"/>
      <c r="H248" s="34"/>
      <c r="I248" s="35"/>
      <c r="J248" s="35"/>
      <c r="K248" s="36"/>
      <c r="L248" s="26" t="str">
        <f>IF(OR(F248 = "", G248 = ""), "", IF(F248 = "Vara", IFERROR(_xlfn.SINGLE(_xlfn.XLOOKUP(G248, Vöruskrá!A:A, Vöruskrá!E:E, "")), ""), IF(F248 = "Réttur", IFERROR(_xlfn.SINGLE(_xlfn.XLOOKUP(G248, Réttabanki!A:A, Réttabanki!AS:AS, "")), ""), "")))</f>
        <v/>
      </c>
      <c r="M248" s="26" t="str">
        <f>IF(OR(F248 = "", G248 = ""), "", IF(F248 = "Vara", IFERROR(_xlfn.SINGLE(_xlfn.XLOOKUP(G248, Vöruskrá!A:A, Vöruskrá!F:F, "")), ""), IF(F248 = "Réttur", IFERROR(_xlfn.SINGLE(_xlfn.XLOOKUP(G248, Réttabanki!A:A, Réttabanki!AT:AT, "")), ""), "")))</f>
        <v/>
      </c>
      <c r="N248" s="26" t="str">
        <f>IF(OR(F248 = "", G248 = ""), "", IF(F248 = "Vara", IFERROR(_xlfn.SINGLE(_xlfn.XLOOKUP(G248, Vöruskrá!A:A, Vöruskrá!G:G, "")), ""), IF(F248 = "Réttur", IFERROR(_xlfn.SINGLE(_xlfn.XLOOKUP(G248, Réttabanki!A:A, Réttabanki!AU:AU, "")), ""), "")))</f>
        <v/>
      </c>
      <c r="O248" s="26" t="str">
        <f>IF(OR(F248 = "", G248 = "", I248 = ""), "", IF(F248 = "Vara", IFERROR(_xlfn.SINGLE(_xlfn.XLOOKUP(G248, Vöruskrá!A:A, Vöruskrá!I:I, "")) * I248 / 100, ""), IF(F248 = "Réttur", IFERROR(_xlfn.SINGLE(_xlfn.XLOOKUP(G248, Réttabanki!A:A, Réttabanki!AV:AV, "")) * I248 / 100, ""), "")))</f>
        <v/>
      </c>
      <c r="P248" s="26" t="str">
        <f>IF(OR(F248 = "", G248 = "", I248 = ""), "", IF(F248 = "Vara", IFERROR(_xlfn.SINGLE(_xlfn.XLOOKUP(G248, Vöruskrá!A:A, Vöruskrá!J:J, "")) * I248 / 100, ""), IF(F248 = "Réttur", IFERROR(_xlfn.SINGLE(_xlfn.XLOOKUP(G248, Réttabanki!A:A, Réttabanki!AW:AW, "")) * I248 / 100, ""), "")))</f>
        <v/>
      </c>
      <c r="Q248" s="26" t="str">
        <f>IF(OR(F248 = "", G248 = "", I248 = ""), "", IF(F248 = "Vara", IFERROR(_xlfn.SINGLE(_xlfn.XLOOKUP(G248, Vöruskrá!A:A, Vöruskrá!N:N, "")) * I248 / 100, ""), IF(F248 = "Réttur", IFERROR(_xlfn.SINGLE(_xlfn.XLOOKUP(G248, Réttabanki!A:A, Réttabanki!BB:BB, "")) * I248 / 100, ""), "")))</f>
        <v/>
      </c>
    </row>
    <row r="249" spans="2:17">
      <c r="B249" s="33" t="str">
        <f>IF(A249&lt;&gt;"",CHOOSE(WEEKDAY(A249,2),"Mánudagur","Þriðjudagur","Miðvikudagur","Fimmtudagur","Föstudagur","Laugardagur","Sunnudagur"),IF(B248&lt;&gt;"",B248,""))</f>
        <v>Fimmtudagur</v>
      </c>
      <c r="C249" s="33">
        <f>IF(A249&lt;&gt;"",WEEKNUM(A249,21),IF(C248&lt;&gt;"",C248,""))</f>
        <v>27</v>
      </c>
      <c r="D249" s="34"/>
      <c r="E249" s="34"/>
      <c r="F249" s="34"/>
      <c r="G249" s="34"/>
      <c r="H249" s="34"/>
      <c r="I249" s="35"/>
      <c r="J249" s="35"/>
      <c r="K249" s="36"/>
      <c r="L249" s="26" t="str">
        <f>IF(OR(F249 = "", G249 = ""), "", IF(F249 = "Vara", IFERROR(_xlfn.SINGLE(_xlfn.XLOOKUP(G249, Vöruskrá!A:A, Vöruskrá!E:E, "")), ""), IF(F249 = "Réttur", IFERROR(_xlfn.SINGLE(_xlfn.XLOOKUP(G249, Réttabanki!A:A, Réttabanki!AS:AS, "")), ""), "")))</f>
        <v/>
      </c>
      <c r="M249" s="26" t="str">
        <f>IF(OR(F249 = "", G249 = ""), "", IF(F249 = "Vara", IFERROR(_xlfn.SINGLE(_xlfn.XLOOKUP(G249, Vöruskrá!A:A, Vöruskrá!F:F, "")), ""), IF(F249 = "Réttur", IFERROR(_xlfn.SINGLE(_xlfn.XLOOKUP(G249, Réttabanki!A:A, Réttabanki!AT:AT, "")), ""), "")))</f>
        <v/>
      </c>
      <c r="N249" s="26" t="str">
        <f>IF(OR(F249 = "", G249 = ""), "", IF(F249 = "Vara", IFERROR(_xlfn.SINGLE(_xlfn.XLOOKUP(G249, Vöruskrá!A:A, Vöruskrá!G:G, "")), ""), IF(F249 = "Réttur", IFERROR(_xlfn.SINGLE(_xlfn.XLOOKUP(G249, Réttabanki!A:A, Réttabanki!AU:AU, "")), ""), "")))</f>
        <v/>
      </c>
      <c r="O249" s="26" t="str">
        <f>IF(OR(F249 = "", G249 = "", I249 = ""), "", IF(F249 = "Vara", IFERROR(_xlfn.SINGLE(_xlfn.XLOOKUP(G249, Vöruskrá!A:A, Vöruskrá!I:I, "")) * I249 / 100, ""), IF(F249 = "Réttur", IFERROR(_xlfn.SINGLE(_xlfn.XLOOKUP(G249, Réttabanki!A:A, Réttabanki!AV:AV, "")) * I249 / 100, ""), "")))</f>
        <v/>
      </c>
      <c r="P249" s="26" t="str">
        <f>IF(OR(F249 = "", G249 = "", I249 = ""), "", IF(F249 = "Vara", IFERROR(_xlfn.SINGLE(_xlfn.XLOOKUP(G249, Vöruskrá!A:A, Vöruskrá!J:J, "")) * I249 / 100, ""), IF(F249 = "Réttur", IFERROR(_xlfn.SINGLE(_xlfn.XLOOKUP(G249, Réttabanki!A:A, Réttabanki!AW:AW, "")) * I249 / 100, ""), "")))</f>
        <v/>
      </c>
      <c r="Q249" s="26" t="str">
        <f>IF(OR(F249 = "", G249 = "", I249 = ""), "", IF(F249 = "Vara", IFERROR(_xlfn.SINGLE(_xlfn.XLOOKUP(G249, Vöruskrá!A:A, Vöruskrá!N:N, "")) * I249 / 100, ""), IF(F249 = "Réttur", IFERROR(_xlfn.SINGLE(_xlfn.XLOOKUP(G249, Réttabanki!A:A, Réttabanki!BB:BB, "")) * I249 / 100, ""), "")))</f>
        <v/>
      </c>
    </row>
    <row r="250" spans="2:17">
      <c r="B250" s="33" t="str">
        <f>IF(A250&lt;&gt;"",CHOOSE(WEEKDAY(A250,2),"Mánudagur","Þriðjudagur","Miðvikudagur","Fimmtudagur","Föstudagur","Laugardagur","Sunnudagur"),IF(B249&lt;&gt;"",B249,""))</f>
        <v>Fimmtudagur</v>
      </c>
      <c r="C250" s="33">
        <f>IF(A250&lt;&gt;"",WEEKNUM(A250,21),IF(C249&lt;&gt;"",C249,""))</f>
        <v>27</v>
      </c>
      <c r="D250" s="34"/>
      <c r="E250" s="34"/>
      <c r="F250" s="34"/>
      <c r="G250" s="34"/>
      <c r="H250" s="34"/>
      <c r="I250" s="35"/>
      <c r="J250" s="35"/>
      <c r="K250" s="36"/>
      <c r="L250" s="26" t="str">
        <f>IF(OR(F250 = "", G250 = ""), "", IF(F250 = "Vara", IFERROR(_xlfn.SINGLE(_xlfn.XLOOKUP(G250, Vöruskrá!A:A, Vöruskrá!E:E, "")), ""), IF(F250 = "Réttur", IFERROR(_xlfn.SINGLE(_xlfn.XLOOKUP(G250, Réttabanki!A:A, Réttabanki!AS:AS, "")), ""), "")))</f>
        <v/>
      </c>
      <c r="M250" s="26" t="str">
        <f>IF(OR(F250 = "", G250 = ""), "", IF(F250 = "Vara", IFERROR(_xlfn.SINGLE(_xlfn.XLOOKUP(G250, Vöruskrá!A:A, Vöruskrá!F:F, "")), ""), IF(F250 = "Réttur", IFERROR(_xlfn.SINGLE(_xlfn.XLOOKUP(G250, Réttabanki!A:A, Réttabanki!AT:AT, "")), ""), "")))</f>
        <v/>
      </c>
      <c r="N250" s="26" t="str">
        <f>IF(OR(F250 = "", G250 = ""), "", IF(F250 = "Vara", IFERROR(_xlfn.SINGLE(_xlfn.XLOOKUP(G250, Vöruskrá!A:A, Vöruskrá!G:G, "")), ""), IF(F250 = "Réttur", IFERROR(_xlfn.SINGLE(_xlfn.XLOOKUP(G250, Réttabanki!A:A, Réttabanki!AU:AU, "")), ""), "")))</f>
        <v/>
      </c>
      <c r="O250" s="26" t="str">
        <f>IF(OR(F250 = "", G250 = "", I250 = ""), "", IF(F250 = "Vara", IFERROR(_xlfn.SINGLE(_xlfn.XLOOKUP(G250, Vöruskrá!A:A, Vöruskrá!I:I, "")) * I250 / 100, ""), IF(F250 = "Réttur", IFERROR(_xlfn.SINGLE(_xlfn.XLOOKUP(G250, Réttabanki!A:A, Réttabanki!AV:AV, "")) * I250 / 100, ""), "")))</f>
        <v/>
      </c>
      <c r="P250" s="26" t="str">
        <f>IF(OR(F250 = "", G250 = "", I250 = ""), "", IF(F250 = "Vara", IFERROR(_xlfn.SINGLE(_xlfn.XLOOKUP(G250, Vöruskrá!A:A, Vöruskrá!J:J, "")) * I250 / 100, ""), IF(F250 = "Réttur", IFERROR(_xlfn.SINGLE(_xlfn.XLOOKUP(G250, Réttabanki!A:A, Réttabanki!AW:AW, "")) * I250 / 100, ""), "")))</f>
        <v/>
      </c>
      <c r="Q250" s="26" t="str">
        <f>IF(OR(F250 = "", G250 = "", I250 = ""), "", IF(F250 = "Vara", IFERROR(_xlfn.SINGLE(_xlfn.XLOOKUP(G250, Vöruskrá!A:A, Vöruskrá!N:N, "")) * I250 / 100, ""), IF(F250 = "Réttur", IFERROR(_xlfn.SINGLE(_xlfn.XLOOKUP(G250, Réttabanki!A:A, Réttabanki!BB:BB, "")) * I250 / 100, ""), "")))</f>
        <v/>
      </c>
    </row>
    <row r="251" spans="2:17">
      <c r="B251" s="33" t="str">
        <f>IF(A251&lt;&gt;"",CHOOSE(WEEKDAY(A251,2),"Mánudagur","Þriðjudagur","Miðvikudagur","Fimmtudagur","Föstudagur","Laugardagur","Sunnudagur"),IF(B250&lt;&gt;"",B250,""))</f>
        <v>Fimmtudagur</v>
      </c>
      <c r="C251" s="33">
        <f>IF(A251&lt;&gt;"",WEEKNUM(A251,21),IF(C250&lt;&gt;"",C250,""))</f>
        <v>27</v>
      </c>
      <c r="D251" s="34"/>
      <c r="E251" s="34"/>
      <c r="F251" s="34"/>
      <c r="G251" s="34"/>
      <c r="H251" s="34"/>
      <c r="I251" s="35"/>
      <c r="J251" s="35"/>
      <c r="K251" s="36"/>
      <c r="L251" s="26" t="str">
        <f>IF(OR(F251 = "", G251 = ""), "", IF(F251 = "Vara", IFERROR(_xlfn.SINGLE(_xlfn.XLOOKUP(G251, Vöruskrá!A:A, Vöruskrá!E:E, "")), ""), IF(F251 = "Réttur", IFERROR(_xlfn.SINGLE(_xlfn.XLOOKUP(G251, Réttabanki!A:A, Réttabanki!AS:AS, "")), ""), "")))</f>
        <v/>
      </c>
      <c r="M251" s="26" t="str">
        <f>IF(OR(F251 = "", G251 = ""), "", IF(F251 = "Vara", IFERROR(_xlfn.SINGLE(_xlfn.XLOOKUP(G251, Vöruskrá!A:A, Vöruskrá!F:F, "")), ""), IF(F251 = "Réttur", IFERROR(_xlfn.SINGLE(_xlfn.XLOOKUP(G251, Réttabanki!A:A, Réttabanki!AT:AT, "")), ""), "")))</f>
        <v/>
      </c>
      <c r="N251" s="26" t="str">
        <f>IF(OR(F251 = "", G251 = ""), "", IF(F251 = "Vara", IFERROR(_xlfn.SINGLE(_xlfn.XLOOKUP(G251, Vöruskrá!A:A, Vöruskrá!G:G, "")), ""), IF(F251 = "Réttur", IFERROR(_xlfn.SINGLE(_xlfn.XLOOKUP(G251, Réttabanki!A:A, Réttabanki!AU:AU, "")), ""), "")))</f>
        <v/>
      </c>
      <c r="O251" s="26" t="str">
        <f>IF(OR(F251 = "", G251 = "", I251 = ""), "", IF(F251 = "Vara", IFERROR(_xlfn.SINGLE(_xlfn.XLOOKUP(G251, Vöruskrá!A:A, Vöruskrá!I:I, "")) * I251 / 100, ""), IF(F251 = "Réttur", IFERROR(_xlfn.SINGLE(_xlfn.XLOOKUP(G251, Réttabanki!A:A, Réttabanki!AV:AV, "")) * I251 / 100, ""), "")))</f>
        <v/>
      </c>
      <c r="P251" s="26" t="str">
        <f>IF(OR(F251 = "", G251 = "", I251 = ""), "", IF(F251 = "Vara", IFERROR(_xlfn.SINGLE(_xlfn.XLOOKUP(G251, Vöruskrá!A:A, Vöruskrá!J:J, "")) * I251 / 100, ""), IF(F251 = "Réttur", IFERROR(_xlfn.SINGLE(_xlfn.XLOOKUP(G251, Réttabanki!A:A, Réttabanki!AW:AW, "")) * I251 / 100, ""), "")))</f>
        <v/>
      </c>
      <c r="Q251" s="26" t="str">
        <f>IF(OR(F251 = "", G251 = "", I251 = ""), "", IF(F251 = "Vara", IFERROR(_xlfn.SINGLE(_xlfn.XLOOKUP(G251, Vöruskrá!A:A, Vöruskrá!N:N, "")) * I251 / 100, ""), IF(F251 = "Réttur", IFERROR(_xlfn.SINGLE(_xlfn.XLOOKUP(G251, Réttabanki!A:A, Réttabanki!BB:BB, "")) * I251 / 100, ""), "")))</f>
        <v/>
      </c>
    </row>
    <row r="252" spans="2:17">
      <c r="B252" s="33" t="str">
        <f>IF(A252&lt;&gt;"",CHOOSE(WEEKDAY(A252,2),"Mánudagur","Þriðjudagur","Miðvikudagur","Fimmtudagur","Föstudagur","Laugardagur","Sunnudagur"),IF(B251&lt;&gt;"",B251,""))</f>
        <v>Fimmtudagur</v>
      </c>
      <c r="C252" s="33">
        <f>IF(A252&lt;&gt;"",WEEKNUM(A252,21),IF(C251&lt;&gt;"",C251,""))</f>
        <v>27</v>
      </c>
      <c r="D252" s="34"/>
      <c r="E252" s="34"/>
      <c r="F252" s="34"/>
      <c r="G252" s="34"/>
      <c r="H252" s="34"/>
      <c r="I252" s="35"/>
      <c r="J252" s="35"/>
      <c r="K252" s="36"/>
      <c r="L252" s="26" t="str">
        <f>IF(OR(F252 = "", G252 = ""), "", IF(F252 = "Vara", IFERROR(_xlfn.SINGLE(_xlfn.XLOOKUP(G252, Vöruskrá!A:A, Vöruskrá!E:E, "")), ""), IF(F252 = "Réttur", IFERROR(_xlfn.SINGLE(_xlfn.XLOOKUP(G252, Réttabanki!A:A, Réttabanki!AS:AS, "")), ""), "")))</f>
        <v/>
      </c>
      <c r="M252" s="26" t="str">
        <f>IF(OR(F252 = "", G252 = ""), "", IF(F252 = "Vara", IFERROR(_xlfn.SINGLE(_xlfn.XLOOKUP(G252, Vöruskrá!A:A, Vöruskrá!F:F, "")), ""), IF(F252 = "Réttur", IFERROR(_xlfn.SINGLE(_xlfn.XLOOKUP(G252, Réttabanki!A:A, Réttabanki!AT:AT, "")), ""), "")))</f>
        <v/>
      </c>
      <c r="N252" s="26" t="str">
        <f>IF(OR(F252 = "", G252 = ""), "", IF(F252 = "Vara", IFERROR(_xlfn.SINGLE(_xlfn.XLOOKUP(G252, Vöruskrá!A:A, Vöruskrá!G:G, "")), ""), IF(F252 = "Réttur", IFERROR(_xlfn.SINGLE(_xlfn.XLOOKUP(G252, Réttabanki!A:A, Réttabanki!AU:AU, "")), ""), "")))</f>
        <v/>
      </c>
      <c r="O252" s="26" t="str">
        <f>IF(OR(F252 = "", G252 = "", I252 = ""), "", IF(F252 = "Vara", IFERROR(_xlfn.SINGLE(_xlfn.XLOOKUP(G252, Vöruskrá!A:A, Vöruskrá!I:I, "")) * I252 / 100, ""), IF(F252 = "Réttur", IFERROR(_xlfn.SINGLE(_xlfn.XLOOKUP(G252, Réttabanki!A:A, Réttabanki!AV:AV, "")) * I252 / 100, ""), "")))</f>
        <v/>
      </c>
      <c r="P252" s="26" t="str">
        <f>IF(OR(F252 = "", G252 = "", I252 = ""), "", IF(F252 = "Vara", IFERROR(_xlfn.SINGLE(_xlfn.XLOOKUP(G252, Vöruskrá!A:A, Vöruskrá!J:J, "")) * I252 / 100, ""), IF(F252 = "Réttur", IFERROR(_xlfn.SINGLE(_xlfn.XLOOKUP(G252, Réttabanki!A:A, Réttabanki!AW:AW, "")) * I252 / 100, ""), "")))</f>
        <v/>
      </c>
      <c r="Q252" s="26" t="str">
        <f>IF(OR(F252 = "", G252 = "", I252 = ""), "", IF(F252 = "Vara", IFERROR(_xlfn.SINGLE(_xlfn.XLOOKUP(G252, Vöruskrá!A:A, Vöruskrá!N:N, "")) * I252 / 100, ""), IF(F252 = "Réttur", IFERROR(_xlfn.SINGLE(_xlfn.XLOOKUP(G252, Réttabanki!A:A, Réttabanki!BB:BB, "")) * I252 / 100, ""), "")))</f>
        <v/>
      </c>
    </row>
    <row r="253" spans="2:17">
      <c r="B253" s="33" t="str">
        <f>IF(A253&lt;&gt;"",CHOOSE(WEEKDAY(A253,2),"Mánudagur","Þriðjudagur","Miðvikudagur","Fimmtudagur","Föstudagur","Laugardagur","Sunnudagur"),IF(B252&lt;&gt;"",B252,""))</f>
        <v>Fimmtudagur</v>
      </c>
      <c r="C253" s="33">
        <f>IF(A253&lt;&gt;"",WEEKNUM(A253,21),IF(C252&lt;&gt;"",C252,""))</f>
        <v>27</v>
      </c>
      <c r="D253" s="34"/>
      <c r="E253" s="34"/>
      <c r="F253" s="34"/>
      <c r="G253" s="34"/>
      <c r="H253" s="34"/>
      <c r="I253" s="35"/>
      <c r="J253" s="35"/>
      <c r="K253" s="36"/>
      <c r="L253" s="26" t="str">
        <f>IF(OR(F253 = "", G253 = ""), "", IF(F253 = "Vara", IFERROR(_xlfn.SINGLE(_xlfn.XLOOKUP(G253, Vöruskrá!A:A, Vöruskrá!E:E, "")), ""), IF(F253 = "Réttur", IFERROR(_xlfn.SINGLE(_xlfn.XLOOKUP(G253, Réttabanki!A:A, Réttabanki!AS:AS, "")), ""), "")))</f>
        <v/>
      </c>
      <c r="M253" s="26" t="str">
        <f>IF(OR(F253 = "", G253 = ""), "", IF(F253 = "Vara", IFERROR(_xlfn.SINGLE(_xlfn.XLOOKUP(G253, Vöruskrá!A:A, Vöruskrá!F:F, "")), ""), IF(F253 = "Réttur", IFERROR(_xlfn.SINGLE(_xlfn.XLOOKUP(G253, Réttabanki!A:A, Réttabanki!AT:AT, "")), ""), "")))</f>
        <v/>
      </c>
      <c r="N253" s="26" t="str">
        <f>IF(OR(F253 = "", G253 = ""), "", IF(F253 = "Vara", IFERROR(_xlfn.SINGLE(_xlfn.XLOOKUP(G253, Vöruskrá!A:A, Vöruskrá!G:G, "")), ""), IF(F253 = "Réttur", IFERROR(_xlfn.SINGLE(_xlfn.XLOOKUP(G253, Réttabanki!A:A, Réttabanki!AU:AU, "")), ""), "")))</f>
        <v/>
      </c>
      <c r="O253" s="26" t="str">
        <f>IF(OR(F253 = "", G253 = "", I253 = ""), "", IF(F253 = "Vara", IFERROR(_xlfn.SINGLE(_xlfn.XLOOKUP(G253, Vöruskrá!A:A, Vöruskrá!I:I, "")) * I253 / 100, ""), IF(F253 = "Réttur", IFERROR(_xlfn.SINGLE(_xlfn.XLOOKUP(G253, Réttabanki!A:A, Réttabanki!AV:AV, "")) * I253 / 100, ""), "")))</f>
        <v/>
      </c>
      <c r="P253" s="26" t="str">
        <f>IF(OR(F253 = "", G253 = "", I253 = ""), "", IF(F253 = "Vara", IFERROR(_xlfn.SINGLE(_xlfn.XLOOKUP(G253, Vöruskrá!A:A, Vöruskrá!J:J, "")) * I253 / 100, ""), IF(F253 = "Réttur", IFERROR(_xlfn.SINGLE(_xlfn.XLOOKUP(G253, Réttabanki!A:A, Réttabanki!AW:AW, "")) * I253 / 100, ""), "")))</f>
        <v/>
      </c>
      <c r="Q253" s="26" t="str">
        <f>IF(OR(F253 = "", G253 = "", I253 = ""), "", IF(F253 = "Vara", IFERROR(_xlfn.SINGLE(_xlfn.XLOOKUP(G253, Vöruskrá!A:A, Vöruskrá!N:N, "")) * I253 / 100, ""), IF(F253 = "Réttur", IFERROR(_xlfn.SINGLE(_xlfn.XLOOKUP(G253, Réttabanki!A:A, Réttabanki!BB:BB, "")) * I253 / 100, ""), "")))</f>
        <v/>
      </c>
    </row>
    <row r="254" spans="2:17">
      <c r="B254" s="33" t="str">
        <f>IF(A254&lt;&gt;"",CHOOSE(WEEKDAY(A254,2),"Mánudagur","Þriðjudagur","Miðvikudagur","Fimmtudagur","Föstudagur","Laugardagur","Sunnudagur"),IF(B253&lt;&gt;"",B253,""))</f>
        <v>Fimmtudagur</v>
      </c>
      <c r="C254" s="33">
        <f>IF(A254&lt;&gt;"",WEEKNUM(A254,21),IF(C253&lt;&gt;"",C253,""))</f>
        <v>27</v>
      </c>
      <c r="D254" s="34"/>
      <c r="E254" s="34"/>
      <c r="F254" s="34"/>
      <c r="G254" s="34"/>
      <c r="H254" s="34"/>
      <c r="I254" s="35"/>
      <c r="J254" s="35"/>
      <c r="K254" s="36"/>
      <c r="L254" s="26" t="str">
        <f>IF(OR(F254 = "", G254 = ""), "", IF(F254 = "Vara", IFERROR(_xlfn.SINGLE(_xlfn.XLOOKUP(G254, Vöruskrá!A:A, Vöruskrá!E:E, "")), ""), IF(F254 = "Réttur", IFERROR(_xlfn.SINGLE(_xlfn.XLOOKUP(G254, Réttabanki!A:A, Réttabanki!AS:AS, "")), ""), "")))</f>
        <v/>
      </c>
      <c r="M254" s="26" t="str">
        <f>IF(OR(F254 = "", G254 = ""), "", IF(F254 = "Vara", IFERROR(_xlfn.SINGLE(_xlfn.XLOOKUP(G254, Vöruskrá!A:A, Vöruskrá!F:F, "")), ""), IF(F254 = "Réttur", IFERROR(_xlfn.SINGLE(_xlfn.XLOOKUP(G254, Réttabanki!A:A, Réttabanki!AT:AT, "")), ""), "")))</f>
        <v/>
      </c>
      <c r="N254" s="26" t="str">
        <f>IF(OR(F254 = "", G254 = ""), "", IF(F254 = "Vara", IFERROR(_xlfn.SINGLE(_xlfn.XLOOKUP(G254, Vöruskrá!A:A, Vöruskrá!G:G, "")), ""), IF(F254 = "Réttur", IFERROR(_xlfn.SINGLE(_xlfn.XLOOKUP(G254, Réttabanki!A:A, Réttabanki!AU:AU, "")), ""), "")))</f>
        <v/>
      </c>
      <c r="O254" s="26" t="str">
        <f>IF(OR(F254 = "", G254 = "", I254 = ""), "", IF(F254 = "Vara", IFERROR(_xlfn.SINGLE(_xlfn.XLOOKUP(G254, Vöruskrá!A:A, Vöruskrá!I:I, "")) * I254 / 100, ""), IF(F254 = "Réttur", IFERROR(_xlfn.SINGLE(_xlfn.XLOOKUP(G254, Réttabanki!A:A, Réttabanki!AV:AV, "")) * I254 / 100, ""), "")))</f>
        <v/>
      </c>
      <c r="P254" s="26" t="str">
        <f>IF(OR(F254 = "", G254 = "", I254 = ""), "", IF(F254 = "Vara", IFERROR(_xlfn.SINGLE(_xlfn.XLOOKUP(G254, Vöruskrá!A:A, Vöruskrá!J:J, "")) * I254 / 100, ""), IF(F254 = "Réttur", IFERROR(_xlfn.SINGLE(_xlfn.XLOOKUP(G254, Réttabanki!A:A, Réttabanki!AW:AW, "")) * I254 / 100, ""), "")))</f>
        <v/>
      </c>
      <c r="Q254" s="26" t="str">
        <f>IF(OR(F254 = "", G254 = "", I254 = ""), "", IF(F254 = "Vara", IFERROR(_xlfn.SINGLE(_xlfn.XLOOKUP(G254, Vöruskrá!A:A, Vöruskrá!N:N, "")) * I254 / 100, ""), IF(F254 = "Réttur", IFERROR(_xlfn.SINGLE(_xlfn.XLOOKUP(G254, Réttabanki!A:A, Réttabanki!BB:BB, "")) * I254 / 100, ""), "")))</f>
        <v/>
      </c>
    </row>
    <row r="255" spans="2:17">
      <c r="B255" s="33" t="str">
        <f>IF(A255&lt;&gt;"",CHOOSE(WEEKDAY(A255,2),"Mánudagur","Þriðjudagur","Miðvikudagur","Fimmtudagur","Föstudagur","Laugardagur","Sunnudagur"),IF(B254&lt;&gt;"",B254,""))</f>
        <v>Fimmtudagur</v>
      </c>
      <c r="C255" s="33">
        <f>IF(A255&lt;&gt;"",WEEKNUM(A255,21),IF(C254&lt;&gt;"",C254,""))</f>
        <v>27</v>
      </c>
      <c r="D255" s="34"/>
      <c r="E255" s="34"/>
      <c r="F255" s="34"/>
      <c r="G255" s="34"/>
      <c r="H255" s="34"/>
      <c r="I255" s="35"/>
      <c r="J255" s="35"/>
      <c r="K255" s="36"/>
      <c r="L255" s="26" t="str">
        <f>IF(OR(F255 = "", G255 = ""), "", IF(F255 = "Vara", IFERROR(_xlfn.SINGLE(_xlfn.XLOOKUP(G255, Vöruskrá!A:A, Vöruskrá!E:E, "")), ""), IF(F255 = "Réttur", IFERROR(_xlfn.SINGLE(_xlfn.XLOOKUP(G255, Réttabanki!A:A, Réttabanki!AS:AS, "")), ""), "")))</f>
        <v/>
      </c>
      <c r="M255" s="26" t="str">
        <f>IF(OR(F255 = "", G255 = ""), "", IF(F255 = "Vara", IFERROR(_xlfn.SINGLE(_xlfn.XLOOKUP(G255, Vöruskrá!A:A, Vöruskrá!F:F, "")), ""), IF(F255 = "Réttur", IFERROR(_xlfn.SINGLE(_xlfn.XLOOKUP(G255, Réttabanki!A:A, Réttabanki!AT:AT, "")), ""), "")))</f>
        <v/>
      </c>
      <c r="N255" s="26" t="str">
        <f>IF(OR(F255 = "", G255 = ""), "", IF(F255 = "Vara", IFERROR(_xlfn.SINGLE(_xlfn.XLOOKUP(G255, Vöruskrá!A:A, Vöruskrá!G:G, "")), ""), IF(F255 = "Réttur", IFERROR(_xlfn.SINGLE(_xlfn.XLOOKUP(G255, Réttabanki!A:A, Réttabanki!AU:AU, "")), ""), "")))</f>
        <v/>
      </c>
      <c r="O255" s="26" t="str">
        <f>IF(OR(F255 = "", G255 = "", I255 = ""), "", IF(F255 = "Vara", IFERROR(_xlfn.SINGLE(_xlfn.XLOOKUP(G255, Vöruskrá!A:A, Vöruskrá!I:I, "")) * I255 / 100, ""), IF(F255 = "Réttur", IFERROR(_xlfn.SINGLE(_xlfn.XLOOKUP(G255, Réttabanki!A:A, Réttabanki!AV:AV, "")) * I255 / 100, ""), "")))</f>
        <v/>
      </c>
      <c r="P255" s="26" t="str">
        <f>IF(OR(F255 = "", G255 = "", I255 = ""), "", IF(F255 = "Vara", IFERROR(_xlfn.SINGLE(_xlfn.XLOOKUP(G255, Vöruskrá!A:A, Vöruskrá!J:J, "")) * I255 / 100, ""), IF(F255 = "Réttur", IFERROR(_xlfn.SINGLE(_xlfn.XLOOKUP(G255, Réttabanki!A:A, Réttabanki!AW:AW, "")) * I255 / 100, ""), "")))</f>
        <v/>
      </c>
      <c r="Q255" s="26" t="str">
        <f>IF(OR(F255 = "", G255 = "", I255 = ""), "", IF(F255 = "Vara", IFERROR(_xlfn.SINGLE(_xlfn.XLOOKUP(G255, Vöruskrá!A:A, Vöruskrá!N:N, "")) * I255 / 100, ""), IF(F255 = "Réttur", IFERROR(_xlfn.SINGLE(_xlfn.XLOOKUP(G255, Réttabanki!A:A, Réttabanki!BB:BB, "")) * I255 / 100, ""), "")))</f>
        <v/>
      </c>
    </row>
    <row r="256" spans="2:17">
      <c r="B256" s="33" t="str">
        <f>IF(A256&lt;&gt;"",CHOOSE(WEEKDAY(A256,2),"Mánudagur","Þriðjudagur","Miðvikudagur","Fimmtudagur","Föstudagur","Laugardagur","Sunnudagur"),IF(B255&lt;&gt;"",B255,""))</f>
        <v>Fimmtudagur</v>
      </c>
      <c r="C256" s="33">
        <f>IF(A256&lt;&gt;"",WEEKNUM(A256,21),IF(C255&lt;&gt;"",C255,""))</f>
        <v>27</v>
      </c>
      <c r="D256" s="34"/>
      <c r="E256" s="34"/>
      <c r="F256" s="34"/>
      <c r="G256" s="34"/>
      <c r="H256" s="34"/>
      <c r="I256" s="35"/>
      <c r="J256" s="35"/>
      <c r="K256" s="36"/>
      <c r="L256" s="26" t="str">
        <f>IF(OR(F256 = "", G256 = ""), "", IF(F256 = "Vara", IFERROR(_xlfn.SINGLE(_xlfn.XLOOKUP(G256, Vöruskrá!A:A, Vöruskrá!E:E, "")), ""), IF(F256 = "Réttur", IFERROR(_xlfn.SINGLE(_xlfn.XLOOKUP(G256, Réttabanki!A:A, Réttabanki!AS:AS, "")), ""), "")))</f>
        <v/>
      </c>
      <c r="M256" s="26" t="str">
        <f>IF(OR(F256 = "", G256 = ""), "", IF(F256 = "Vara", IFERROR(_xlfn.SINGLE(_xlfn.XLOOKUP(G256, Vöruskrá!A:A, Vöruskrá!F:F, "")), ""), IF(F256 = "Réttur", IFERROR(_xlfn.SINGLE(_xlfn.XLOOKUP(G256, Réttabanki!A:A, Réttabanki!AT:AT, "")), ""), "")))</f>
        <v/>
      </c>
      <c r="N256" s="26" t="str">
        <f>IF(OR(F256 = "", G256 = ""), "", IF(F256 = "Vara", IFERROR(_xlfn.SINGLE(_xlfn.XLOOKUP(G256, Vöruskrá!A:A, Vöruskrá!G:G, "")), ""), IF(F256 = "Réttur", IFERROR(_xlfn.SINGLE(_xlfn.XLOOKUP(G256, Réttabanki!A:A, Réttabanki!AU:AU, "")), ""), "")))</f>
        <v/>
      </c>
      <c r="O256" s="26" t="str">
        <f>IF(OR(F256 = "", G256 = "", I256 = ""), "", IF(F256 = "Vara", IFERROR(_xlfn.SINGLE(_xlfn.XLOOKUP(G256, Vöruskrá!A:A, Vöruskrá!I:I, "")) * I256 / 100, ""), IF(F256 = "Réttur", IFERROR(_xlfn.SINGLE(_xlfn.XLOOKUP(G256, Réttabanki!A:A, Réttabanki!AV:AV, "")) * I256 / 100, ""), "")))</f>
        <v/>
      </c>
      <c r="P256" s="26" t="str">
        <f>IF(OR(F256 = "", G256 = "", I256 = ""), "", IF(F256 = "Vara", IFERROR(_xlfn.SINGLE(_xlfn.XLOOKUP(G256, Vöruskrá!A:A, Vöruskrá!J:J, "")) * I256 / 100, ""), IF(F256 = "Réttur", IFERROR(_xlfn.SINGLE(_xlfn.XLOOKUP(G256, Réttabanki!A:A, Réttabanki!AW:AW, "")) * I256 / 100, ""), "")))</f>
        <v/>
      </c>
      <c r="Q256" s="26" t="str">
        <f>IF(OR(F256 = "", G256 = "", I256 = ""), "", IF(F256 = "Vara", IFERROR(_xlfn.SINGLE(_xlfn.XLOOKUP(G256, Vöruskrá!A:A, Vöruskrá!N:N, "")) * I256 / 100, ""), IF(F256 = "Réttur", IFERROR(_xlfn.SINGLE(_xlfn.XLOOKUP(G256, Réttabanki!A:A, Réttabanki!BB:BB, "")) * I256 / 100, ""), "")))</f>
        <v/>
      </c>
    </row>
    <row r="257" spans="2:17">
      <c r="B257" s="33" t="str">
        <f>IF(A257&lt;&gt;"",CHOOSE(WEEKDAY(A257,2),"Mánudagur","Þriðjudagur","Miðvikudagur","Fimmtudagur","Föstudagur","Laugardagur","Sunnudagur"),IF(B256&lt;&gt;"",B256,""))</f>
        <v>Fimmtudagur</v>
      </c>
      <c r="C257" s="33">
        <f>IF(A257&lt;&gt;"",WEEKNUM(A257,21),IF(C256&lt;&gt;"",C256,""))</f>
        <v>27</v>
      </c>
      <c r="D257" s="34"/>
      <c r="E257" s="34"/>
      <c r="F257" s="34"/>
      <c r="G257" s="34"/>
      <c r="H257" s="34"/>
      <c r="I257" s="35"/>
      <c r="J257" s="35"/>
      <c r="K257" s="36"/>
      <c r="L257" s="26" t="str">
        <f>IF(OR(F257 = "", G257 = ""), "", IF(F257 = "Vara", IFERROR(_xlfn.SINGLE(_xlfn.XLOOKUP(G257, Vöruskrá!A:A, Vöruskrá!E:E, "")), ""), IF(F257 = "Réttur", IFERROR(_xlfn.SINGLE(_xlfn.XLOOKUP(G257, Réttabanki!A:A, Réttabanki!AS:AS, "")), ""), "")))</f>
        <v/>
      </c>
      <c r="M257" s="26" t="str">
        <f>IF(OR(F257 = "", G257 = ""), "", IF(F257 = "Vara", IFERROR(_xlfn.SINGLE(_xlfn.XLOOKUP(G257, Vöruskrá!A:A, Vöruskrá!F:F, "")), ""), IF(F257 = "Réttur", IFERROR(_xlfn.SINGLE(_xlfn.XLOOKUP(G257, Réttabanki!A:A, Réttabanki!AT:AT, "")), ""), "")))</f>
        <v/>
      </c>
      <c r="N257" s="26" t="str">
        <f>IF(OR(F257 = "", G257 = ""), "", IF(F257 = "Vara", IFERROR(_xlfn.SINGLE(_xlfn.XLOOKUP(G257, Vöruskrá!A:A, Vöruskrá!G:G, "")), ""), IF(F257 = "Réttur", IFERROR(_xlfn.SINGLE(_xlfn.XLOOKUP(G257, Réttabanki!A:A, Réttabanki!AU:AU, "")), ""), "")))</f>
        <v/>
      </c>
      <c r="O257" s="26" t="str">
        <f>IF(OR(F257 = "", G257 = "", I257 = ""), "", IF(F257 = "Vara", IFERROR(_xlfn.SINGLE(_xlfn.XLOOKUP(G257, Vöruskrá!A:A, Vöruskrá!I:I, "")) * I257 / 100, ""), IF(F257 = "Réttur", IFERROR(_xlfn.SINGLE(_xlfn.XLOOKUP(G257, Réttabanki!A:A, Réttabanki!AV:AV, "")) * I257 / 100, ""), "")))</f>
        <v/>
      </c>
      <c r="P257" s="26" t="str">
        <f>IF(OR(F257 = "", G257 = "", I257 = ""), "", IF(F257 = "Vara", IFERROR(_xlfn.SINGLE(_xlfn.XLOOKUP(G257, Vöruskrá!A:A, Vöruskrá!J:J, "")) * I257 / 100, ""), IF(F257 = "Réttur", IFERROR(_xlfn.SINGLE(_xlfn.XLOOKUP(G257, Réttabanki!A:A, Réttabanki!AW:AW, "")) * I257 / 100, ""), "")))</f>
        <v/>
      </c>
      <c r="Q257" s="26" t="str">
        <f>IF(OR(F257 = "", G257 = "", I257 = ""), "", IF(F257 = "Vara", IFERROR(_xlfn.SINGLE(_xlfn.XLOOKUP(G257, Vöruskrá!A:A, Vöruskrá!N:N, "")) * I257 / 100, ""), IF(F257 = "Réttur", IFERROR(_xlfn.SINGLE(_xlfn.XLOOKUP(G257, Réttabanki!A:A, Réttabanki!BB:BB, "")) * I257 / 100, ""), "")))</f>
        <v/>
      </c>
    </row>
    <row r="258" spans="2:17">
      <c r="B258" s="33" t="str">
        <f>IF(A258&lt;&gt;"",CHOOSE(WEEKDAY(A258,2),"Mánudagur","Þriðjudagur","Miðvikudagur","Fimmtudagur","Föstudagur","Laugardagur","Sunnudagur"),IF(B257&lt;&gt;"",B257,""))</f>
        <v>Fimmtudagur</v>
      </c>
      <c r="C258" s="33">
        <f>IF(A258&lt;&gt;"",WEEKNUM(A258,21),IF(C257&lt;&gt;"",C257,""))</f>
        <v>27</v>
      </c>
      <c r="D258" s="34"/>
      <c r="E258" s="34"/>
      <c r="F258" s="34"/>
      <c r="G258" s="34"/>
      <c r="H258" s="34"/>
      <c r="I258" s="35"/>
      <c r="J258" s="35"/>
      <c r="K258" s="36"/>
      <c r="L258" s="26" t="str">
        <f>IF(OR(F258 = "", G258 = ""), "", IF(F258 = "Vara", IFERROR(_xlfn.SINGLE(_xlfn.XLOOKUP(G258, Vöruskrá!A:A, Vöruskrá!E:E, "")), ""), IF(F258 = "Réttur", IFERROR(_xlfn.SINGLE(_xlfn.XLOOKUP(G258, Réttabanki!A:A, Réttabanki!AS:AS, "")), ""), "")))</f>
        <v/>
      </c>
      <c r="M258" s="26" t="str">
        <f>IF(OR(F258 = "", G258 = ""), "", IF(F258 = "Vara", IFERROR(_xlfn.SINGLE(_xlfn.XLOOKUP(G258, Vöruskrá!A:A, Vöruskrá!F:F, "")), ""), IF(F258 = "Réttur", IFERROR(_xlfn.SINGLE(_xlfn.XLOOKUP(G258, Réttabanki!A:A, Réttabanki!AT:AT, "")), ""), "")))</f>
        <v/>
      </c>
      <c r="N258" s="26" t="str">
        <f>IF(OR(F258 = "", G258 = ""), "", IF(F258 = "Vara", IFERROR(_xlfn.SINGLE(_xlfn.XLOOKUP(G258, Vöruskrá!A:A, Vöruskrá!G:G, "")), ""), IF(F258 = "Réttur", IFERROR(_xlfn.SINGLE(_xlfn.XLOOKUP(G258, Réttabanki!A:A, Réttabanki!AU:AU, "")), ""), "")))</f>
        <v/>
      </c>
      <c r="O258" s="26" t="str">
        <f>IF(OR(F258 = "", G258 = "", I258 = ""), "", IF(F258 = "Vara", IFERROR(_xlfn.SINGLE(_xlfn.XLOOKUP(G258, Vöruskrá!A:A, Vöruskrá!I:I, "")) * I258 / 100, ""), IF(F258 = "Réttur", IFERROR(_xlfn.SINGLE(_xlfn.XLOOKUP(G258, Réttabanki!A:A, Réttabanki!AV:AV, "")) * I258 / 100, ""), "")))</f>
        <v/>
      </c>
      <c r="P258" s="26" t="str">
        <f>IF(OR(F258 = "", G258 = "", I258 = ""), "", IF(F258 = "Vara", IFERROR(_xlfn.SINGLE(_xlfn.XLOOKUP(G258, Vöruskrá!A:A, Vöruskrá!J:J, "")) * I258 / 100, ""), IF(F258 = "Réttur", IFERROR(_xlfn.SINGLE(_xlfn.XLOOKUP(G258, Réttabanki!A:A, Réttabanki!AW:AW, "")) * I258 / 100, ""), "")))</f>
        <v/>
      </c>
      <c r="Q258" s="26" t="str">
        <f>IF(OR(F258 = "", G258 = "", I258 = ""), "", IF(F258 = "Vara", IFERROR(_xlfn.SINGLE(_xlfn.XLOOKUP(G258, Vöruskrá!A:A, Vöruskrá!N:N, "")) * I258 / 100, ""), IF(F258 = "Réttur", IFERROR(_xlfn.SINGLE(_xlfn.XLOOKUP(G258, Réttabanki!A:A, Réttabanki!BB:BB, "")) * I258 / 100, ""), "")))</f>
        <v/>
      </c>
    </row>
    <row r="259" spans="2:17">
      <c r="B259" s="33" t="str">
        <f>IF(A259&lt;&gt;"",CHOOSE(WEEKDAY(A259,2),"Mánudagur","Þriðjudagur","Miðvikudagur","Fimmtudagur","Föstudagur","Laugardagur","Sunnudagur"),IF(B258&lt;&gt;"",B258,""))</f>
        <v>Fimmtudagur</v>
      </c>
      <c r="C259" s="33">
        <f>IF(A259&lt;&gt;"",WEEKNUM(A259,21),IF(C258&lt;&gt;"",C258,""))</f>
        <v>27</v>
      </c>
      <c r="D259" s="34"/>
      <c r="E259" s="34"/>
      <c r="F259" s="34"/>
      <c r="G259" s="34"/>
      <c r="H259" s="34"/>
      <c r="I259" s="35"/>
      <c r="J259" s="35"/>
      <c r="K259" s="36"/>
      <c r="L259" s="26" t="str">
        <f>IF(OR(F259 = "", G259 = ""), "", IF(F259 = "Vara", IFERROR(_xlfn.SINGLE(_xlfn.XLOOKUP(G259, Vöruskrá!A:A, Vöruskrá!E:E, "")), ""), IF(F259 = "Réttur", IFERROR(_xlfn.SINGLE(_xlfn.XLOOKUP(G259, Réttabanki!A:A, Réttabanki!AS:AS, "")), ""), "")))</f>
        <v/>
      </c>
      <c r="M259" s="26" t="str">
        <f>IF(OR(F259 = "", G259 = ""), "", IF(F259 = "Vara", IFERROR(_xlfn.SINGLE(_xlfn.XLOOKUP(G259, Vöruskrá!A:A, Vöruskrá!F:F, "")), ""), IF(F259 = "Réttur", IFERROR(_xlfn.SINGLE(_xlfn.XLOOKUP(G259, Réttabanki!A:A, Réttabanki!AT:AT, "")), ""), "")))</f>
        <v/>
      </c>
      <c r="N259" s="26" t="str">
        <f>IF(OR(F259 = "", G259 = ""), "", IF(F259 = "Vara", IFERROR(_xlfn.SINGLE(_xlfn.XLOOKUP(G259, Vöruskrá!A:A, Vöruskrá!G:G, "")), ""), IF(F259 = "Réttur", IFERROR(_xlfn.SINGLE(_xlfn.XLOOKUP(G259, Réttabanki!A:A, Réttabanki!AU:AU, "")), ""), "")))</f>
        <v/>
      </c>
      <c r="O259" s="26" t="str">
        <f>IF(OR(F259 = "", G259 = "", I259 = ""), "", IF(F259 = "Vara", IFERROR(_xlfn.SINGLE(_xlfn.XLOOKUP(G259, Vöruskrá!A:A, Vöruskrá!I:I, "")) * I259 / 100, ""), IF(F259 = "Réttur", IFERROR(_xlfn.SINGLE(_xlfn.XLOOKUP(G259, Réttabanki!A:A, Réttabanki!AV:AV, "")) * I259 / 100, ""), "")))</f>
        <v/>
      </c>
      <c r="P259" s="26" t="str">
        <f>IF(OR(F259 = "", G259 = "", I259 = ""), "", IF(F259 = "Vara", IFERROR(_xlfn.SINGLE(_xlfn.XLOOKUP(G259, Vöruskrá!A:A, Vöruskrá!J:J, "")) * I259 / 100, ""), IF(F259 = "Réttur", IFERROR(_xlfn.SINGLE(_xlfn.XLOOKUP(G259, Réttabanki!A:A, Réttabanki!AW:AW, "")) * I259 / 100, ""), "")))</f>
        <v/>
      </c>
      <c r="Q259" s="26" t="str">
        <f>IF(OR(F259 = "", G259 = "", I259 = ""), "", IF(F259 = "Vara", IFERROR(_xlfn.SINGLE(_xlfn.XLOOKUP(G259, Vöruskrá!A:A, Vöruskrá!N:N, "")) * I259 / 100, ""), IF(F259 = "Réttur", IFERROR(_xlfn.SINGLE(_xlfn.XLOOKUP(G259, Réttabanki!A:A, Réttabanki!BB:BB, "")) * I259 / 100, ""), "")))</f>
        <v/>
      </c>
    </row>
    <row r="260" spans="2:17">
      <c r="B260" s="33" t="str">
        <f>IF(A260&lt;&gt;"",CHOOSE(WEEKDAY(A260,2),"Mánudagur","Þriðjudagur","Miðvikudagur","Fimmtudagur","Föstudagur","Laugardagur","Sunnudagur"),IF(B259&lt;&gt;"",B259,""))</f>
        <v>Fimmtudagur</v>
      </c>
      <c r="C260" s="33">
        <f>IF(A260&lt;&gt;"",WEEKNUM(A260,21),IF(C259&lt;&gt;"",C259,""))</f>
        <v>27</v>
      </c>
      <c r="D260" s="34"/>
      <c r="E260" s="34"/>
      <c r="F260" s="34"/>
      <c r="G260" s="34"/>
      <c r="H260" s="34"/>
      <c r="I260" s="35"/>
      <c r="J260" s="35"/>
      <c r="K260" s="36"/>
      <c r="L260" s="26" t="str">
        <f>IF(OR(F260 = "", G260 = ""), "", IF(F260 = "Vara", IFERROR(_xlfn.SINGLE(_xlfn.XLOOKUP(G260, Vöruskrá!A:A, Vöruskrá!E:E, "")), ""), IF(F260 = "Réttur", IFERROR(_xlfn.SINGLE(_xlfn.XLOOKUP(G260, Réttabanki!A:A, Réttabanki!AS:AS, "")), ""), "")))</f>
        <v/>
      </c>
      <c r="M260" s="26" t="str">
        <f>IF(OR(F260 = "", G260 = ""), "", IF(F260 = "Vara", IFERROR(_xlfn.SINGLE(_xlfn.XLOOKUP(G260, Vöruskrá!A:A, Vöruskrá!F:F, "")), ""), IF(F260 = "Réttur", IFERROR(_xlfn.SINGLE(_xlfn.XLOOKUP(G260, Réttabanki!A:A, Réttabanki!AT:AT, "")), ""), "")))</f>
        <v/>
      </c>
      <c r="N260" s="26" t="str">
        <f>IF(OR(F260 = "", G260 = ""), "", IF(F260 = "Vara", IFERROR(_xlfn.SINGLE(_xlfn.XLOOKUP(G260, Vöruskrá!A:A, Vöruskrá!G:G, "")), ""), IF(F260 = "Réttur", IFERROR(_xlfn.SINGLE(_xlfn.XLOOKUP(G260, Réttabanki!A:A, Réttabanki!AU:AU, "")), ""), "")))</f>
        <v/>
      </c>
      <c r="O260" s="26" t="str">
        <f>IF(OR(F260 = "", G260 = "", I260 = ""), "", IF(F260 = "Vara", IFERROR(_xlfn.SINGLE(_xlfn.XLOOKUP(G260, Vöruskrá!A:A, Vöruskrá!I:I, "")) * I260 / 100, ""), IF(F260 = "Réttur", IFERROR(_xlfn.SINGLE(_xlfn.XLOOKUP(G260, Réttabanki!A:A, Réttabanki!AV:AV, "")) * I260 / 100, ""), "")))</f>
        <v/>
      </c>
      <c r="P260" s="26" t="str">
        <f>IF(OR(F260 = "", G260 = "", I260 = ""), "", IF(F260 = "Vara", IFERROR(_xlfn.SINGLE(_xlfn.XLOOKUP(G260, Vöruskrá!A:A, Vöruskrá!J:J, "")) * I260 / 100, ""), IF(F260 = "Réttur", IFERROR(_xlfn.SINGLE(_xlfn.XLOOKUP(G260, Réttabanki!A:A, Réttabanki!AW:AW, "")) * I260 / 100, ""), "")))</f>
        <v/>
      </c>
      <c r="Q260" s="26" t="str">
        <f>IF(OR(F260 = "", G260 = "", I260 = ""), "", IF(F260 = "Vara", IFERROR(_xlfn.SINGLE(_xlfn.XLOOKUP(G260, Vöruskrá!A:A, Vöruskrá!N:N, "")) * I260 / 100, ""), IF(F260 = "Réttur", IFERROR(_xlfn.SINGLE(_xlfn.XLOOKUP(G260, Réttabanki!A:A, Réttabanki!BB:BB, "")) * I260 / 100, ""), "")))</f>
        <v/>
      </c>
    </row>
    <row r="261" spans="2:17">
      <c r="B261" s="33" t="str">
        <f>IF(A261&lt;&gt;"",CHOOSE(WEEKDAY(A261,2),"Mánudagur","Þriðjudagur","Miðvikudagur","Fimmtudagur","Föstudagur","Laugardagur","Sunnudagur"),IF(B260&lt;&gt;"",B260,""))</f>
        <v>Fimmtudagur</v>
      </c>
      <c r="C261" s="33">
        <f>IF(A261&lt;&gt;"",WEEKNUM(A261,21),IF(C260&lt;&gt;"",C260,""))</f>
        <v>27</v>
      </c>
      <c r="D261" s="34"/>
      <c r="E261" s="34"/>
      <c r="F261" s="34"/>
      <c r="G261" s="34"/>
      <c r="H261" s="34"/>
      <c r="I261" s="35"/>
      <c r="J261" s="35"/>
      <c r="K261" s="36"/>
      <c r="L261" s="26" t="str">
        <f>IF(OR(F261 = "", G261 = ""), "", IF(F261 = "Vara", IFERROR(_xlfn.SINGLE(_xlfn.XLOOKUP(G261, Vöruskrá!A:A, Vöruskrá!E:E, "")), ""), IF(F261 = "Réttur", IFERROR(_xlfn.SINGLE(_xlfn.XLOOKUP(G261, Réttabanki!A:A, Réttabanki!AS:AS, "")), ""), "")))</f>
        <v/>
      </c>
      <c r="M261" s="26" t="str">
        <f>IF(OR(F261 = "", G261 = ""), "", IF(F261 = "Vara", IFERROR(_xlfn.SINGLE(_xlfn.XLOOKUP(G261, Vöruskrá!A:A, Vöruskrá!F:F, "")), ""), IF(F261 = "Réttur", IFERROR(_xlfn.SINGLE(_xlfn.XLOOKUP(G261, Réttabanki!A:A, Réttabanki!AT:AT, "")), ""), "")))</f>
        <v/>
      </c>
      <c r="N261" s="26" t="str">
        <f>IF(OR(F261 = "", G261 = ""), "", IF(F261 = "Vara", IFERROR(_xlfn.SINGLE(_xlfn.XLOOKUP(G261, Vöruskrá!A:A, Vöruskrá!G:G, "")), ""), IF(F261 = "Réttur", IFERROR(_xlfn.SINGLE(_xlfn.XLOOKUP(G261, Réttabanki!A:A, Réttabanki!AU:AU, "")), ""), "")))</f>
        <v/>
      </c>
      <c r="O261" s="26" t="str">
        <f>IF(OR(F261 = "", G261 = "", I261 = ""), "", IF(F261 = "Vara", IFERROR(_xlfn.SINGLE(_xlfn.XLOOKUP(G261, Vöruskrá!A:A, Vöruskrá!I:I, "")) * I261 / 100, ""), IF(F261 = "Réttur", IFERROR(_xlfn.SINGLE(_xlfn.XLOOKUP(G261, Réttabanki!A:A, Réttabanki!AV:AV, "")) * I261 / 100, ""), "")))</f>
        <v/>
      </c>
      <c r="P261" s="26" t="str">
        <f>IF(OR(F261 = "", G261 = "", I261 = ""), "", IF(F261 = "Vara", IFERROR(_xlfn.SINGLE(_xlfn.XLOOKUP(G261, Vöruskrá!A:A, Vöruskrá!J:J, "")) * I261 / 100, ""), IF(F261 = "Réttur", IFERROR(_xlfn.SINGLE(_xlfn.XLOOKUP(G261, Réttabanki!A:A, Réttabanki!AW:AW, "")) * I261 / 100, ""), "")))</f>
        <v/>
      </c>
      <c r="Q261" s="26" t="str">
        <f>IF(OR(F261 = "", G261 = "", I261 = ""), "", IF(F261 = "Vara", IFERROR(_xlfn.SINGLE(_xlfn.XLOOKUP(G261, Vöruskrá!A:A, Vöruskrá!N:N, "")) * I261 / 100, ""), IF(F261 = "Réttur", IFERROR(_xlfn.SINGLE(_xlfn.XLOOKUP(G261, Réttabanki!A:A, Réttabanki!BB:BB, "")) * I261 / 100, ""), "")))</f>
        <v/>
      </c>
    </row>
    <row r="262" spans="2:17">
      <c r="B262" s="33" t="str">
        <f>IF(A262&lt;&gt;"",CHOOSE(WEEKDAY(A262,2),"Mánudagur","Þriðjudagur","Miðvikudagur","Fimmtudagur","Föstudagur","Laugardagur","Sunnudagur"),IF(B261&lt;&gt;"",B261,""))</f>
        <v>Fimmtudagur</v>
      </c>
      <c r="C262" s="33">
        <f>IF(A262&lt;&gt;"",WEEKNUM(A262,21),IF(C261&lt;&gt;"",C261,""))</f>
        <v>27</v>
      </c>
      <c r="D262" s="34"/>
      <c r="E262" s="34"/>
      <c r="F262" s="34"/>
      <c r="G262" s="34"/>
      <c r="H262" s="34"/>
      <c r="I262" s="35"/>
      <c r="J262" s="35"/>
      <c r="K262" s="36"/>
      <c r="L262" s="26" t="str">
        <f>IF(OR(F262 = "", G262 = ""), "", IF(F262 = "Vara", IFERROR(_xlfn.SINGLE(_xlfn.XLOOKUP(G262, Vöruskrá!A:A, Vöruskrá!E:E, "")), ""), IF(F262 = "Réttur", IFERROR(_xlfn.SINGLE(_xlfn.XLOOKUP(G262, Réttabanki!A:A, Réttabanki!AS:AS, "")), ""), "")))</f>
        <v/>
      </c>
      <c r="M262" s="26" t="str">
        <f>IF(OR(F262 = "", G262 = ""), "", IF(F262 = "Vara", IFERROR(_xlfn.SINGLE(_xlfn.XLOOKUP(G262, Vöruskrá!A:A, Vöruskrá!F:F, "")), ""), IF(F262 = "Réttur", IFERROR(_xlfn.SINGLE(_xlfn.XLOOKUP(G262, Réttabanki!A:A, Réttabanki!AT:AT, "")), ""), "")))</f>
        <v/>
      </c>
      <c r="N262" s="26" t="str">
        <f>IF(OR(F262 = "", G262 = ""), "", IF(F262 = "Vara", IFERROR(_xlfn.SINGLE(_xlfn.XLOOKUP(G262, Vöruskrá!A:A, Vöruskrá!G:G, "")), ""), IF(F262 = "Réttur", IFERROR(_xlfn.SINGLE(_xlfn.XLOOKUP(G262, Réttabanki!A:A, Réttabanki!AU:AU, "")), ""), "")))</f>
        <v/>
      </c>
      <c r="O262" s="26" t="str">
        <f>IF(OR(F262 = "", G262 = "", I262 = ""), "", IF(F262 = "Vara", IFERROR(_xlfn.SINGLE(_xlfn.XLOOKUP(G262, Vöruskrá!A:A, Vöruskrá!I:I, "")) * I262 / 100, ""), IF(F262 = "Réttur", IFERROR(_xlfn.SINGLE(_xlfn.XLOOKUP(G262, Réttabanki!A:A, Réttabanki!AV:AV, "")) * I262 / 100, ""), "")))</f>
        <v/>
      </c>
      <c r="P262" s="26" t="str">
        <f>IF(OR(F262 = "", G262 = "", I262 = ""), "", IF(F262 = "Vara", IFERROR(_xlfn.SINGLE(_xlfn.XLOOKUP(G262, Vöruskrá!A:A, Vöruskrá!J:J, "")) * I262 / 100, ""), IF(F262 = "Réttur", IFERROR(_xlfn.SINGLE(_xlfn.XLOOKUP(G262, Réttabanki!A:A, Réttabanki!AW:AW, "")) * I262 / 100, ""), "")))</f>
        <v/>
      </c>
      <c r="Q262" s="26" t="str">
        <f>IF(OR(F262 = "", G262 = "", I262 = ""), "", IF(F262 = "Vara", IFERROR(_xlfn.SINGLE(_xlfn.XLOOKUP(G262, Vöruskrá!A:A, Vöruskrá!N:N, "")) * I262 / 100, ""), IF(F262 = "Réttur", IFERROR(_xlfn.SINGLE(_xlfn.XLOOKUP(G262, Réttabanki!A:A, Réttabanki!BB:BB, "")) * I262 / 100, ""), "")))</f>
        <v/>
      </c>
    </row>
    <row r="263" spans="2:17">
      <c r="B263" s="33" t="str">
        <f>IF(A263&lt;&gt;"",CHOOSE(WEEKDAY(A263,2),"Mánudagur","Þriðjudagur","Miðvikudagur","Fimmtudagur","Föstudagur","Laugardagur","Sunnudagur"),IF(B262&lt;&gt;"",B262,""))</f>
        <v>Fimmtudagur</v>
      </c>
      <c r="C263" s="33">
        <f>IF(A263&lt;&gt;"",WEEKNUM(A263,21),IF(C262&lt;&gt;"",C262,""))</f>
        <v>27</v>
      </c>
      <c r="D263" s="34"/>
      <c r="E263" s="34"/>
      <c r="F263" s="34"/>
      <c r="G263" s="34"/>
      <c r="H263" s="34"/>
      <c r="I263" s="35"/>
      <c r="J263" s="35"/>
      <c r="K263" s="36"/>
      <c r="L263" s="26" t="str">
        <f>IF(OR(F263 = "", G263 = ""), "", IF(F263 = "Vara", IFERROR(_xlfn.SINGLE(_xlfn.XLOOKUP(G263, Vöruskrá!A:A, Vöruskrá!E:E, "")), ""), IF(F263 = "Réttur", IFERROR(_xlfn.SINGLE(_xlfn.XLOOKUP(G263, Réttabanki!A:A, Réttabanki!AS:AS, "")), ""), "")))</f>
        <v/>
      </c>
      <c r="M263" s="26" t="str">
        <f>IF(OR(F263 = "", G263 = ""), "", IF(F263 = "Vara", IFERROR(_xlfn.SINGLE(_xlfn.XLOOKUP(G263, Vöruskrá!A:A, Vöruskrá!F:F, "")), ""), IF(F263 = "Réttur", IFERROR(_xlfn.SINGLE(_xlfn.XLOOKUP(G263, Réttabanki!A:A, Réttabanki!AT:AT, "")), ""), "")))</f>
        <v/>
      </c>
      <c r="N263" s="26" t="str">
        <f>IF(OR(F263 = "", G263 = ""), "", IF(F263 = "Vara", IFERROR(_xlfn.SINGLE(_xlfn.XLOOKUP(G263, Vöruskrá!A:A, Vöruskrá!G:G, "")), ""), IF(F263 = "Réttur", IFERROR(_xlfn.SINGLE(_xlfn.XLOOKUP(G263, Réttabanki!A:A, Réttabanki!AU:AU, "")), ""), "")))</f>
        <v/>
      </c>
      <c r="O263" s="26" t="str">
        <f>IF(OR(F263 = "", G263 = "", I263 = ""), "", IF(F263 = "Vara", IFERROR(_xlfn.SINGLE(_xlfn.XLOOKUP(G263, Vöruskrá!A:A, Vöruskrá!I:I, "")) * I263 / 100, ""), IF(F263 = "Réttur", IFERROR(_xlfn.SINGLE(_xlfn.XLOOKUP(G263, Réttabanki!A:A, Réttabanki!AV:AV, "")) * I263 / 100, ""), "")))</f>
        <v/>
      </c>
      <c r="P263" s="26" t="str">
        <f>IF(OR(F263 = "", G263 = "", I263 = ""), "", IF(F263 = "Vara", IFERROR(_xlfn.SINGLE(_xlfn.XLOOKUP(G263, Vöruskrá!A:A, Vöruskrá!J:J, "")) * I263 / 100, ""), IF(F263 = "Réttur", IFERROR(_xlfn.SINGLE(_xlfn.XLOOKUP(G263, Réttabanki!A:A, Réttabanki!AW:AW, "")) * I263 / 100, ""), "")))</f>
        <v/>
      </c>
      <c r="Q263" s="26" t="str">
        <f>IF(OR(F263 = "", G263 = "", I263 = ""), "", IF(F263 = "Vara", IFERROR(_xlfn.SINGLE(_xlfn.XLOOKUP(G263, Vöruskrá!A:A, Vöruskrá!N:N, "")) * I263 / 100, ""), IF(F263 = "Réttur", IFERROR(_xlfn.SINGLE(_xlfn.XLOOKUP(G263, Réttabanki!A:A, Réttabanki!BB:BB, "")) * I263 / 100, ""), "")))</f>
        <v/>
      </c>
    </row>
    <row r="264" spans="2:17">
      <c r="B264" s="33" t="str">
        <f>IF(A264&lt;&gt;"",CHOOSE(WEEKDAY(A264,2),"Mánudagur","Þriðjudagur","Miðvikudagur","Fimmtudagur","Föstudagur","Laugardagur","Sunnudagur"),IF(B263&lt;&gt;"",B263,""))</f>
        <v>Fimmtudagur</v>
      </c>
      <c r="C264" s="33">
        <f>IF(A264&lt;&gt;"",WEEKNUM(A264,21),IF(C263&lt;&gt;"",C263,""))</f>
        <v>27</v>
      </c>
      <c r="D264" s="34"/>
      <c r="E264" s="34"/>
      <c r="F264" s="34"/>
      <c r="G264" s="34"/>
      <c r="H264" s="34"/>
      <c r="I264" s="35"/>
      <c r="J264" s="35"/>
      <c r="K264" s="36"/>
      <c r="L264" s="26" t="str">
        <f>IF(OR(F264 = "", G264 = ""), "", IF(F264 = "Vara", IFERROR(_xlfn.SINGLE(_xlfn.XLOOKUP(G264, Vöruskrá!A:A, Vöruskrá!E:E, "")), ""), IF(F264 = "Réttur", IFERROR(_xlfn.SINGLE(_xlfn.XLOOKUP(G264, Réttabanki!A:A, Réttabanki!AS:AS, "")), ""), "")))</f>
        <v/>
      </c>
      <c r="M264" s="26" t="str">
        <f>IF(OR(F264 = "", G264 = ""), "", IF(F264 = "Vara", IFERROR(_xlfn.SINGLE(_xlfn.XLOOKUP(G264, Vöruskrá!A:A, Vöruskrá!F:F, "")), ""), IF(F264 = "Réttur", IFERROR(_xlfn.SINGLE(_xlfn.XLOOKUP(G264, Réttabanki!A:A, Réttabanki!AT:AT, "")), ""), "")))</f>
        <v/>
      </c>
      <c r="N264" s="26" t="str">
        <f>IF(OR(F264 = "", G264 = ""), "", IF(F264 = "Vara", IFERROR(_xlfn.SINGLE(_xlfn.XLOOKUP(G264, Vöruskrá!A:A, Vöruskrá!G:G, "")), ""), IF(F264 = "Réttur", IFERROR(_xlfn.SINGLE(_xlfn.XLOOKUP(G264, Réttabanki!A:A, Réttabanki!AU:AU, "")), ""), "")))</f>
        <v/>
      </c>
      <c r="O264" s="26" t="str">
        <f>IF(OR(F264 = "", G264 = "", I264 = ""), "", IF(F264 = "Vara", IFERROR(_xlfn.SINGLE(_xlfn.XLOOKUP(G264, Vöruskrá!A:A, Vöruskrá!I:I, "")) * I264 / 100, ""), IF(F264 = "Réttur", IFERROR(_xlfn.SINGLE(_xlfn.XLOOKUP(G264, Réttabanki!A:A, Réttabanki!AV:AV, "")) * I264 / 100, ""), "")))</f>
        <v/>
      </c>
      <c r="P264" s="26" t="str">
        <f>IF(OR(F264 = "", G264 = "", I264 = ""), "", IF(F264 = "Vara", IFERROR(_xlfn.SINGLE(_xlfn.XLOOKUP(G264, Vöruskrá!A:A, Vöruskrá!J:J, "")) * I264 / 100, ""), IF(F264 = "Réttur", IFERROR(_xlfn.SINGLE(_xlfn.XLOOKUP(G264, Réttabanki!A:A, Réttabanki!AW:AW, "")) * I264 / 100, ""), "")))</f>
        <v/>
      </c>
      <c r="Q264" s="26" t="str">
        <f>IF(OR(F264 = "", G264 = "", I264 = ""), "", IF(F264 = "Vara", IFERROR(_xlfn.SINGLE(_xlfn.XLOOKUP(G264, Vöruskrá!A:A, Vöruskrá!N:N, "")) * I264 / 100, ""), IF(F264 = "Réttur", IFERROR(_xlfn.SINGLE(_xlfn.XLOOKUP(G264, Réttabanki!A:A, Réttabanki!BB:BB, "")) * I264 / 100, ""), "")))</f>
        <v/>
      </c>
    </row>
    <row r="265" spans="2:17">
      <c r="B265" s="33" t="str">
        <f>IF(A265&lt;&gt;"",CHOOSE(WEEKDAY(A265,2),"Mánudagur","Þriðjudagur","Miðvikudagur","Fimmtudagur","Föstudagur","Laugardagur","Sunnudagur"),IF(B264&lt;&gt;"",B264,""))</f>
        <v>Fimmtudagur</v>
      </c>
      <c r="C265" s="33">
        <f>IF(A265&lt;&gt;"",WEEKNUM(A265,21),IF(C264&lt;&gt;"",C264,""))</f>
        <v>27</v>
      </c>
      <c r="D265" s="34"/>
      <c r="E265" s="34"/>
      <c r="F265" s="34"/>
      <c r="G265" s="34"/>
      <c r="H265" s="34"/>
      <c r="I265" s="35"/>
      <c r="J265" s="35"/>
      <c r="K265" s="36"/>
      <c r="L265" s="26" t="str">
        <f>IF(OR(F265 = "", G265 = ""), "", IF(F265 = "Vara", IFERROR(_xlfn.SINGLE(_xlfn.XLOOKUP(G265, Vöruskrá!A:A, Vöruskrá!E:E, "")), ""), IF(F265 = "Réttur", IFERROR(_xlfn.SINGLE(_xlfn.XLOOKUP(G265, Réttabanki!A:A, Réttabanki!AS:AS, "")), ""), "")))</f>
        <v/>
      </c>
      <c r="M265" s="26" t="str">
        <f>IF(OR(F265 = "", G265 = ""), "", IF(F265 = "Vara", IFERROR(_xlfn.SINGLE(_xlfn.XLOOKUP(G265, Vöruskrá!A:A, Vöruskrá!F:F, "")), ""), IF(F265 = "Réttur", IFERROR(_xlfn.SINGLE(_xlfn.XLOOKUP(G265, Réttabanki!A:A, Réttabanki!AT:AT, "")), ""), "")))</f>
        <v/>
      </c>
      <c r="N265" s="26" t="str">
        <f>IF(OR(F265 = "", G265 = ""), "", IF(F265 = "Vara", IFERROR(_xlfn.SINGLE(_xlfn.XLOOKUP(G265, Vöruskrá!A:A, Vöruskrá!G:G, "")), ""), IF(F265 = "Réttur", IFERROR(_xlfn.SINGLE(_xlfn.XLOOKUP(G265, Réttabanki!A:A, Réttabanki!AU:AU, "")), ""), "")))</f>
        <v/>
      </c>
      <c r="O265" s="26" t="str">
        <f>IF(OR(F265 = "", G265 = "", I265 = ""), "", IF(F265 = "Vara", IFERROR(_xlfn.SINGLE(_xlfn.XLOOKUP(G265, Vöruskrá!A:A, Vöruskrá!I:I, "")) * I265 / 100, ""), IF(F265 = "Réttur", IFERROR(_xlfn.SINGLE(_xlfn.XLOOKUP(G265, Réttabanki!A:A, Réttabanki!AV:AV, "")) * I265 / 100, ""), "")))</f>
        <v/>
      </c>
      <c r="P265" s="26" t="str">
        <f>IF(OR(F265 = "", G265 = "", I265 = ""), "", IF(F265 = "Vara", IFERROR(_xlfn.SINGLE(_xlfn.XLOOKUP(G265, Vöruskrá!A:A, Vöruskrá!J:J, "")) * I265 / 100, ""), IF(F265 = "Réttur", IFERROR(_xlfn.SINGLE(_xlfn.XLOOKUP(G265, Réttabanki!A:A, Réttabanki!AW:AW, "")) * I265 / 100, ""), "")))</f>
        <v/>
      </c>
      <c r="Q265" s="26" t="str">
        <f>IF(OR(F265 = "", G265 = "", I265 = ""), "", IF(F265 = "Vara", IFERROR(_xlfn.SINGLE(_xlfn.XLOOKUP(G265, Vöruskrá!A:A, Vöruskrá!N:N, "")) * I265 / 100, ""), IF(F265 = "Réttur", IFERROR(_xlfn.SINGLE(_xlfn.XLOOKUP(G265, Réttabanki!A:A, Réttabanki!BB:BB, "")) * I265 / 100, ""), "")))</f>
        <v/>
      </c>
    </row>
    <row r="266" spans="2:17">
      <c r="B266" s="33" t="str">
        <f>IF(A266&lt;&gt;"",CHOOSE(WEEKDAY(A266,2),"Mánudagur","Þriðjudagur","Miðvikudagur","Fimmtudagur","Föstudagur","Laugardagur","Sunnudagur"),IF(B265&lt;&gt;"",B265,""))</f>
        <v>Fimmtudagur</v>
      </c>
      <c r="C266" s="33">
        <f>IF(A266&lt;&gt;"",WEEKNUM(A266,21),IF(C265&lt;&gt;"",C265,""))</f>
        <v>27</v>
      </c>
      <c r="D266" s="34"/>
      <c r="E266" s="34"/>
      <c r="F266" s="34"/>
      <c r="G266" s="34"/>
      <c r="H266" s="34"/>
      <c r="I266" s="35"/>
      <c r="J266" s="35"/>
      <c r="K266" s="36"/>
      <c r="L266" s="26" t="str">
        <f>IF(OR(F266 = "", G266 = ""), "", IF(F266 = "Vara", IFERROR(_xlfn.SINGLE(_xlfn.XLOOKUP(G266, Vöruskrá!A:A, Vöruskrá!E:E, "")), ""), IF(F266 = "Réttur", IFERROR(_xlfn.SINGLE(_xlfn.XLOOKUP(G266, Réttabanki!A:A, Réttabanki!AS:AS, "")), ""), "")))</f>
        <v/>
      </c>
      <c r="M266" s="26" t="str">
        <f>IF(OR(F266 = "", G266 = ""), "", IF(F266 = "Vara", IFERROR(_xlfn.SINGLE(_xlfn.XLOOKUP(G266, Vöruskrá!A:A, Vöruskrá!F:F, "")), ""), IF(F266 = "Réttur", IFERROR(_xlfn.SINGLE(_xlfn.XLOOKUP(G266, Réttabanki!A:A, Réttabanki!AT:AT, "")), ""), "")))</f>
        <v/>
      </c>
      <c r="N266" s="26" t="str">
        <f>IF(OR(F266 = "", G266 = ""), "", IF(F266 = "Vara", IFERROR(_xlfn.SINGLE(_xlfn.XLOOKUP(G266, Vöruskrá!A:A, Vöruskrá!G:G, "")), ""), IF(F266 = "Réttur", IFERROR(_xlfn.SINGLE(_xlfn.XLOOKUP(G266, Réttabanki!A:A, Réttabanki!AU:AU, "")), ""), "")))</f>
        <v/>
      </c>
      <c r="O266" s="26" t="str">
        <f>IF(OR(F266 = "", G266 = "", I266 = ""), "", IF(F266 = "Vara", IFERROR(_xlfn.SINGLE(_xlfn.XLOOKUP(G266, Vöruskrá!A:A, Vöruskrá!I:I, "")) * I266 / 100, ""), IF(F266 = "Réttur", IFERROR(_xlfn.SINGLE(_xlfn.XLOOKUP(G266, Réttabanki!A:A, Réttabanki!AV:AV, "")) * I266 / 100, ""), "")))</f>
        <v/>
      </c>
      <c r="P266" s="26" t="str">
        <f>IF(OR(F266 = "", G266 = "", I266 = ""), "", IF(F266 = "Vara", IFERROR(_xlfn.SINGLE(_xlfn.XLOOKUP(G266, Vöruskrá!A:A, Vöruskrá!J:J, "")) * I266 / 100, ""), IF(F266 = "Réttur", IFERROR(_xlfn.SINGLE(_xlfn.XLOOKUP(G266, Réttabanki!A:A, Réttabanki!AW:AW, "")) * I266 / 100, ""), "")))</f>
        <v/>
      </c>
      <c r="Q266" s="26" t="str">
        <f>IF(OR(F266 = "", G266 = "", I266 = ""), "", IF(F266 = "Vara", IFERROR(_xlfn.SINGLE(_xlfn.XLOOKUP(G266, Vöruskrá!A:A, Vöruskrá!N:N, "")) * I266 / 100, ""), IF(F266 = "Réttur", IFERROR(_xlfn.SINGLE(_xlfn.XLOOKUP(G266, Réttabanki!A:A, Réttabanki!BB:BB, "")) * I266 / 100, ""), "")))</f>
        <v/>
      </c>
    </row>
    <row r="267" spans="2:17">
      <c r="B267" s="33" t="str">
        <f>IF(A267&lt;&gt;"",CHOOSE(WEEKDAY(A267,2),"Mánudagur","Þriðjudagur","Miðvikudagur","Fimmtudagur","Föstudagur","Laugardagur","Sunnudagur"),IF(B266&lt;&gt;"",B266,""))</f>
        <v>Fimmtudagur</v>
      </c>
      <c r="C267" s="33">
        <f>IF(A267&lt;&gt;"",WEEKNUM(A267,21),IF(C266&lt;&gt;"",C266,""))</f>
        <v>27</v>
      </c>
      <c r="D267" s="34"/>
      <c r="E267" s="34"/>
      <c r="F267" s="34"/>
      <c r="G267" s="34"/>
      <c r="H267" s="34"/>
      <c r="I267" s="35"/>
      <c r="J267" s="35"/>
      <c r="K267" s="36"/>
      <c r="L267" s="26" t="str">
        <f>IF(OR(F267 = "", G267 = ""), "", IF(F267 = "Vara", IFERROR(_xlfn.SINGLE(_xlfn.XLOOKUP(G267, Vöruskrá!A:A, Vöruskrá!E:E, "")), ""), IF(F267 = "Réttur", IFERROR(_xlfn.SINGLE(_xlfn.XLOOKUP(G267, Réttabanki!A:A, Réttabanki!AS:AS, "")), ""), "")))</f>
        <v/>
      </c>
      <c r="M267" s="26" t="str">
        <f>IF(OR(F267 = "", G267 = ""), "", IF(F267 = "Vara", IFERROR(_xlfn.SINGLE(_xlfn.XLOOKUP(G267, Vöruskrá!A:A, Vöruskrá!F:F, "")), ""), IF(F267 = "Réttur", IFERROR(_xlfn.SINGLE(_xlfn.XLOOKUP(G267, Réttabanki!A:A, Réttabanki!AT:AT, "")), ""), "")))</f>
        <v/>
      </c>
      <c r="N267" s="26" t="str">
        <f>IF(OR(F267 = "", G267 = ""), "", IF(F267 = "Vara", IFERROR(_xlfn.SINGLE(_xlfn.XLOOKUP(G267, Vöruskrá!A:A, Vöruskrá!G:G, "")), ""), IF(F267 = "Réttur", IFERROR(_xlfn.SINGLE(_xlfn.XLOOKUP(G267, Réttabanki!A:A, Réttabanki!AU:AU, "")), ""), "")))</f>
        <v/>
      </c>
      <c r="O267" s="26" t="str">
        <f>IF(OR(F267 = "", G267 = "", I267 = ""), "", IF(F267 = "Vara", IFERROR(_xlfn.SINGLE(_xlfn.XLOOKUP(G267, Vöruskrá!A:A, Vöruskrá!I:I, "")) * I267 / 100, ""), IF(F267 = "Réttur", IFERROR(_xlfn.SINGLE(_xlfn.XLOOKUP(G267, Réttabanki!A:A, Réttabanki!AV:AV, "")) * I267 / 100, ""), "")))</f>
        <v/>
      </c>
      <c r="P267" s="26" t="str">
        <f>IF(OR(F267 = "", G267 = "", I267 = ""), "", IF(F267 = "Vara", IFERROR(_xlfn.SINGLE(_xlfn.XLOOKUP(G267, Vöruskrá!A:A, Vöruskrá!J:J, "")) * I267 / 100, ""), IF(F267 = "Réttur", IFERROR(_xlfn.SINGLE(_xlfn.XLOOKUP(G267, Réttabanki!A:A, Réttabanki!AW:AW, "")) * I267 / 100, ""), "")))</f>
        <v/>
      </c>
      <c r="Q267" s="26" t="str">
        <f>IF(OR(F267 = "", G267 = "", I267 = ""), "", IF(F267 = "Vara", IFERROR(_xlfn.SINGLE(_xlfn.XLOOKUP(G267, Vöruskrá!A:A, Vöruskrá!N:N, "")) * I267 / 100, ""), IF(F267 = "Réttur", IFERROR(_xlfn.SINGLE(_xlfn.XLOOKUP(G267, Réttabanki!A:A, Réttabanki!BB:BB, "")) * I267 / 100, ""), "")))</f>
        <v/>
      </c>
    </row>
    <row r="268" spans="2:17">
      <c r="B268" s="33" t="str">
        <f>IF(A268&lt;&gt;"",CHOOSE(WEEKDAY(A268,2),"Mánudagur","Þriðjudagur","Miðvikudagur","Fimmtudagur","Föstudagur","Laugardagur","Sunnudagur"),IF(B267&lt;&gt;"",B267,""))</f>
        <v>Fimmtudagur</v>
      </c>
      <c r="C268" s="33">
        <f>IF(A268&lt;&gt;"",WEEKNUM(A268,21),IF(C267&lt;&gt;"",C267,""))</f>
        <v>27</v>
      </c>
      <c r="D268" s="34"/>
      <c r="E268" s="34"/>
      <c r="F268" s="34"/>
      <c r="G268" s="34"/>
      <c r="H268" s="34"/>
      <c r="I268" s="35"/>
      <c r="J268" s="35"/>
      <c r="K268" s="36"/>
      <c r="L268" s="26" t="str">
        <f>IF(OR(F268 = "", G268 = ""), "", IF(F268 = "Vara", IFERROR(_xlfn.SINGLE(_xlfn.XLOOKUP(G268, Vöruskrá!A:A, Vöruskrá!E:E, "")), ""), IF(F268 = "Réttur", IFERROR(_xlfn.SINGLE(_xlfn.XLOOKUP(G268, Réttabanki!A:A, Réttabanki!AS:AS, "")), ""), "")))</f>
        <v/>
      </c>
      <c r="M268" s="26" t="str">
        <f>IF(OR(F268 = "", G268 = ""), "", IF(F268 = "Vara", IFERROR(_xlfn.SINGLE(_xlfn.XLOOKUP(G268, Vöruskrá!A:A, Vöruskrá!F:F, "")), ""), IF(F268 = "Réttur", IFERROR(_xlfn.SINGLE(_xlfn.XLOOKUP(G268, Réttabanki!A:A, Réttabanki!AT:AT, "")), ""), "")))</f>
        <v/>
      </c>
      <c r="N268" s="26" t="str">
        <f>IF(OR(F268 = "", G268 = ""), "", IF(F268 = "Vara", IFERROR(_xlfn.SINGLE(_xlfn.XLOOKUP(G268, Vöruskrá!A:A, Vöruskrá!G:G, "")), ""), IF(F268 = "Réttur", IFERROR(_xlfn.SINGLE(_xlfn.XLOOKUP(G268, Réttabanki!A:A, Réttabanki!AU:AU, "")), ""), "")))</f>
        <v/>
      </c>
      <c r="O268" s="26" t="str">
        <f>IF(OR(F268 = "", G268 = "", I268 = ""), "", IF(F268 = "Vara", IFERROR(_xlfn.SINGLE(_xlfn.XLOOKUP(G268, Vöruskrá!A:A, Vöruskrá!I:I, "")) * I268 / 100, ""), IF(F268 = "Réttur", IFERROR(_xlfn.SINGLE(_xlfn.XLOOKUP(G268, Réttabanki!A:A, Réttabanki!AV:AV, "")) * I268 / 100, ""), "")))</f>
        <v/>
      </c>
      <c r="P268" s="26" t="str">
        <f>IF(OR(F268 = "", G268 = "", I268 = ""), "", IF(F268 = "Vara", IFERROR(_xlfn.SINGLE(_xlfn.XLOOKUP(G268, Vöruskrá!A:A, Vöruskrá!J:J, "")) * I268 / 100, ""), IF(F268 = "Réttur", IFERROR(_xlfn.SINGLE(_xlfn.XLOOKUP(G268, Réttabanki!A:A, Réttabanki!AW:AW, "")) * I268 / 100, ""), "")))</f>
        <v/>
      </c>
      <c r="Q268" s="26" t="str">
        <f>IF(OR(F268 = "", G268 = "", I268 = ""), "", IF(F268 = "Vara", IFERROR(_xlfn.SINGLE(_xlfn.XLOOKUP(G268, Vöruskrá!A:A, Vöruskrá!N:N, "")) * I268 / 100, ""), IF(F268 = "Réttur", IFERROR(_xlfn.SINGLE(_xlfn.XLOOKUP(G268, Réttabanki!A:A, Réttabanki!BB:BB, "")) * I268 / 100, ""), "")))</f>
        <v/>
      </c>
    </row>
    <row r="269" spans="2:17">
      <c r="B269" s="33" t="str">
        <f>IF(A269&lt;&gt;"",CHOOSE(WEEKDAY(A269,2),"Mánudagur","Þriðjudagur","Miðvikudagur","Fimmtudagur","Föstudagur","Laugardagur","Sunnudagur"),IF(B268&lt;&gt;"",B268,""))</f>
        <v>Fimmtudagur</v>
      </c>
      <c r="C269" s="33">
        <f>IF(A269&lt;&gt;"",WEEKNUM(A269,21),IF(C268&lt;&gt;"",C268,""))</f>
        <v>27</v>
      </c>
      <c r="D269" s="34"/>
      <c r="E269" s="34"/>
      <c r="F269" s="34"/>
      <c r="G269" s="34"/>
      <c r="H269" s="34"/>
      <c r="I269" s="35"/>
      <c r="J269" s="35"/>
      <c r="K269" s="36"/>
      <c r="L269" s="26" t="str">
        <f>IF(OR(F269 = "", G269 = ""), "", IF(F269 = "Vara", IFERROR(_xlfn.SINGLE(_xlfn.XLOOKUP(G269, Vöruskrá!A:A, Vöruskrá!E:E, "")), ""), IF(F269 = "Réttur", IFERROR(_xlfn.SINGLE(_xlfn.XLOOKUP(G269, Réttabanki!A:A, Réttabanki!AS:AS, "")), ""), "")))</f>
        <v/>
      </c>
      <c r="M269" s="26" t="str">
        <f>IF(OR(F269 = "", G269 = ""), "", IF(F269 = "Vara", IFERROR(_xlfn.SINGLE(_xlfn.XLOOKUP(G269, Vöruskrá!A:A, Vöruskrá!F:F, "")), ""), IF(F269 = "Réttur", IFERROR(_xlfn.SINGLE(_xlfn.XLOOKUP(G269, Réttabanki!A:A, Réttabanki!AT:AT, "")), ""), "")))</f>
        <v/>
      </c>
      <c r="N269" s="26" t="str">
        <f>IF(OR(F269 = "", G269 = ""), "", IF(F269 = "Vara", IFERROR(_xlfn.SINGLE(_xlfn.XLOOKUP(G269, Vöruskrá!A:A, Vöruskrá!G:G, "")), ""), IF(F269 = "Réttur", IFERROR(_xlfn.SINGLE(_xlfn.XLOOKUP(G269, Réttabanki!A:A, Réttabanki!AU:AU, "")), ""), "")))</f>
        <v/>
      </c>
      <c r="O269" s="26" t="str">
        <f>IF(OR(F269 = "", G269 = "", I269 = ""), "", IF(F269 = "Vara", IFERROR(_xlfn.SINGLE(_xlfn.XLOOKUP(G269, Vöruskrá!A:A, Vöruskrá!I:I, "")) * I269 / 100, ""), IF(F269 = "Réttur", IFERROR(_xlfn.SINGLE(_xlfn.XLOOKUP(G269, Réttabanki!A:A, Réttabanki!AV:AV, "")) * I269 / 100, ""), "")))</f>
        <v/>
      </c>
      <c r="P269" s="26" t="str">
        <f>IF(OR(F269 = "", G269 = "", I269 = ""), "", IF(F269 = "Vara", IFERROR(_xlfn.SINGLE(_xlfn.XLOOKUP(G269, Vöruskrá!A:A, Vöruskrá!J:J, "")) * I269 / 100, ""), IF(F269 = "Réttur", IFERROR(_xlfn.SINGLE(_xlfn.XLOOKUP(G269, Réttabanki!A:A, Réttabanki!AW:AW, "")) * I269 / 100, ""), "")))</f>
        <v/>
      </c>
      <c r="Q269" s="26" t="str">
        <f>IF(OR(F269 = "", G269 = "", I269 = ""), "", IF(F269 = "Vara", IFERROR(_xlfn.SINGLE(_xlfn.XLOOKUP(G269, Vöruskrá!A:A, Vöruskrá!N:N, "")) * I269 / 100, ""), IF(F269 = "Réttur", IFERROR(_xlfn.SINGLE(_xlfn.XLOOKUP(G269, Réttabanki!A:A, Réttabanki!BB:BB, "")) * I269 / 100, ""), "")))</f>
        <v/>
      </c>
    </row>
    <row r="270" spans="2:17">
      <c r="B270" s="33" t="str">
        <f>IF(A270&lt;&gt;"",CHOOSE(WEEKDAY(A270,2),"Mánudagur","Þriðjudagur","Miðvikudagur","Fimmtudagur","Föstudagur","Laugardagur","Sunnudagur"),IF(B269&lt;&gt;"",B269,""))</f>
        <v>Fimmtudagur</v>
      </c>
      <c r="C270" s="33">
        <f>IF(A270&lt;&gt;"",WEEKNUM(A270,21),IF(C269&lt;&gt;"",C269,""))</f>
        <v>27</v>
      </c>
      <c r="D270" s="34"/>
      <c r="E270" s="34"/>
      <c r="F270" s="34"/>
      <c r="G270" s="34"/>
      <c r="H270" s="34"/>
      <c r="I270" s="35"/>
      <c r="J270" s="35"/>
      <c r="K270" s="36"/>
      <c r="L270" s="26" t="str">
        <f>IF(OR(F270 = "", G270 = ""), "", IF(F270 = "Vara", IFERROR(_xlfn.SINGLE(_xlfn.XLOOKUP(G270, Vöruskrá!A:A, Vöruskrá!E:E, "")), ""), IF(F270 = "Réttur", IFERROR(_xlfn.SINGLE(_xlfn.XLOOKUP(G270, Réttabanki!A:A, Réttabanki!AS:AS, "")), ""), "")))</f>
        <v/>
      </c>
      <c r="M270" s="26" t="str">
        <f>IF(OR(F270 = "", G270 = ""), "", IF(F270 = "Vara", IFERROR(_xlfn.SINGLE(_xlfn.XLOOKUP(G270, Vöruskrá!A:A, Vöruskrá!F:F, "")), ""), IF(F270 = "Réttur", IFERROR(_xlfn.SINGLE(_xlfn.XLOOKUP(G270, Réttabanki!A:A, Réttabanki!AT:AT, "")), ""), "")))</f>
        <v/>
      </c>
      <c r="N270" s="26" t="str">
        <f>IF(OR(F270 = "", G270 = ""), "", IF(F270 = "Vara", IFERROR(_xlfn.SINGLE(_xlfn.XLOOKUP(G270, Vöruskrá!A:A, Vöruskrá!G:G, "")), ""), IF(F270 = "Réttur", IFERROR(_xlfn.SINGLE(_xlfn.XLOOKUP(G270, Réttabanki!A:A, Réttabanki!AU:AU, "")), ""), "")))</f>
        <v/>
      </c>
      <c r="O270" s="26" t="str">
        <f>IF(OR(F270 = "", G270 = "", I270 = ""), "", IF(F270 = "Vara", IFERROR(_xlfn.SINGLE(_xlfn.XLOOKUP(G270, Vöruskrá!A:A, Vöruskrá!I:I, "")) * I270 / 100, ""), IF(F270 = "Réttur", IFERROR(_xlfn.SINGLE(_xlfn.XLOOKUP(G270, Réttabanki!A:A, Réttabanki!AV:AV, "")) * I270 / 100, ""), "")))</f>
        <v/>
      </c>
      <c r="P270" s="26" t="str">
        <f>IF(OR(F270 = "", G270 = "", I270 = ""), "", IF(F270 = "Vara", IFERROR(_xlfn.SINGLE(_xlfn.XLOOKUP(G270, Vöruskrá!A:A, Vöruskrá!J:J, "")) * I270 / 100, ""), IF(F270 = "Réttur", IFERROR(_xlfn.SINGLE(_xlfn.XLOOKUP(G270, Réttabanki!A:A, Réttabanki!AW:AW, "")) * I270 / 100, ""), "")))</f>
        <v/>
      </c>
      <c r="Q270" s="26" t="str">
        <f>IF(OR(F270 = "", G270 = "", I270 = ""), "", IF(F270 = "Vara", IFERROR(_xlfn.SINGLE(_xlfn.XLOOKUP(G270, Vöruskrá!A:A, Vöruskrá!N:N, "")) * I270 / 100, ""), IF(F270 = "Réttur", IFERROR(_xlfn.SINGLE(_xlfn.XLOOKUP(G270, Réttabanki!A:A, Réttabanki!BB:BB, "")) * I270 / 100, ""), "")))</f>
        <v/>
      </c>
    </row>
    <row r="271" spans="2:17">
      <c r="B271" s="33" t="str">
        <f>IF(A271&lt;&gt;"",CHOOSE(WEEKDAY(A271,2),"Mánudagur","Þriðjudagur","Miðvikudagur","Fimmtudagur","Föstudagur","Laugardagur","Sunnudagur"),IF(B270&lt;&gt;"",B270,""))</f>
        <v>Fimmtudagur</v>
      </c>
      <c r="C271" s="33">
        <f>IF(A271&lt;&gt;"",WEEKNUM(A271,21),IF(C270&lt;&gt;"",C270,""))</f>
        <v>27</v>
      </c>
      <c r="D271" s="34"/>
      <c r="E271" s="34"/>
      <c r="F271" s="34"/>
      <c r="G271" s="34"/>
      <c r="H271" s="34"/>
      <c r="I271" s="35"/>
      <c r="J271" s="35"/>
      <c r="K271" s="36"/>
      <c r="L271" s="26" t="str">
        <f>IF(OR(F271 = "", G271 = ""), "", IF(F271 = "Vara", IFERROR(_xlfn.SINGLE(_xlfn.XLOOKUP(G271, Vöruskrá!A:A, Vöruskrá!E:E, "")), ""), IF(F271 = "Réttur", IFERROR(_xlfn.SINGLE(_xlfn.XLOOKUP(G271, Réttabanki!A:A, Réttabanki!AS:AS, "")), ""), "")))</f>
        <v/>
      </c>
      <c r="M271" s="26" t="str">
        <f>IF(OR(F271 = "", G271 = ""), "", IF(F271 = "Vara", IFERROR(_xlfn.SINGLE(_xlfn.XLOOKUP(G271, Vöruskrá!A:A, Vöruskrá!F:F, "")), ""), IF(F271 = "Réttur", IFERROR(_xlfn.SINGLE(_xlfn.XLOOKUP(G271, Réttabanki!A:A, Réttabanki!AT:AT, "")), ""), "")))</f>
        <v/>
      </c>
      <c r="N271" s="26" t="str">
        <f>IF(OR(F271 = "", G271 = ""), "", IF(F271 = "Vara", IFERROR(_xlfn.SINGLE(_xlfn.XLOOKUP(G271, Vöruskrá!A:A, Vöruskrá!G:G, "")), ""), IF(F271 = "Réttur", IFERROR(_xlfn.SINGLE(_xlfn.XLOOKUP(G271, Réttabanki!A:A, Réttabanki!AU:AU, "")), ""), "")))</f>
        <v/>
      </c>
      <c r="O271" s="26" t="str">
        <f>IF(OR(F271 = "", G271 = "", I271 = ""), "", IF(F271 = "Vara", IFERROR(_xlfn.SINGLE(_xlfn.XLOOKUP(G271, Vöruskrá!A:A, Vöruskrá!I:I, "")) * I271 / 100, ""), IF(F271 = "Réttur", IFERROR(_xlfn.SINGLE(_xlfn.XLOOKUP(G271, Réttabanki!A:A, Réttabanki!AV:AV, "")) * I271 / 100, ""), "")))</f>
        <v/>
      </c>
      <c r="P271" s="26" t="str">
        <f>IF(OR(F271 = "", G271 = "", I271 = ""), "", IF(F271 = "Vara", IFERROR(_xlfn.SINGLE(_xlfn.XLOOKUP(G271, Vöruskrá!A:A, Vöruskrá!J:J, "")) * I271 / 100, ""), IF(F271 = "Réttur", IFERROR(_xlfn.SINGLE(_xlfn.XLOOKUP(G271, Réttabanki!A:A, Réttabanki!AW:AW, "")) * I271 / 100, ""), "")))</f>
        <v/>
      </c>
      <c r="Q271" s="26" t="str">
        <f>IF(OR(F271 = "", G271 = "", I271 = ""), "", IF(F271 = "Vara", IFERROR(_xlfn.SINGLE(_xlfn.XLOOKUP(G271, Vöruskrá!A:A, Vöruskrá!N:N, "")) * I271 / 100, ""), IF(F271 = "Réttur", IFERROR(_xlfn.SINGLE(_xlfn.XLOOKUP(G271, Réttabanki!A:A, Réttabanki!BB:BB, "")) * I271 / 100, ""), "")))</f>
        <v/>
      </c>
    </row>
    <row r="272" spans="2:17">
      <c r="B272" s="33" t="str">
        <f>IF(A272&lt;&gt;"",CHOOSE(WEEKDAY(A272,2),"Mánudagur","Þriðjudagur","Miðvikudagur","Fimmtudagur","Föstudagur","Laugardagur","Sunnudagur"),IF(B271&lt;&gt;"",B271,""))</f>
        <v>Fimmtudagur</v>
      </c>
      <c r="C272" s="33">
        <f>IF(A272&lt;&gt;"",WEEKNUM(A272,21),IF(C271&lt;&gt;"",C271,""))</f>
        <v>27</v>
      </c>
      <c r="D272" s="34"/>
      <c r="E272" s="34"/>
      <c r="F272" s="34"/>
      <c r="G272" s="34"/>
      <c r="H272" s="34"/>
      <c r="I272" s="35"/>
      <c r="J272" s="35"/>
      <c r="K272" s="36"/>
      <c r="L272" s="26" t="str">
        <f>IF(OR(F272 = "", G272 = ""), "", IF(F272 = "Vara", IFERROR(_xlfn.SINGLE(_xlfn.XLOOKUP(G272, Vöruskrá!A:A, Vöruskrá!E:E, "")), ""), IF(F272 = "Réttur", IFERROR(_xlfn.SINGLE(_xlfn.XLOOKUP(G272, Réttabanki!A:A, Réttabanki!AS:AS, "")), ""), "")))</f>
        <v/>
      </c>
      <c r="M272" s="26" t="str">
        <f>IF(OR(F272 = "", G272 = ""), "", IF(F272 = "Vara", IFERROR(_xlfn.SINGLE(_xlfn.XLOOKUP(G272, Vöruskrá!A:A, Vöruskrá!F:F, "")), ""), IF(F272 = "Réttur", IFERROR(_xlfn.SINGLE(_xlfn.XLOOKUP(G272, Réttabanki!A:A, Réttabanki!AT:AT, "")), ""), "")))</f>
        <v/>
      </c>
      <c r="N272" s="26" t="str">
        <f>IF(OR(F272 = "", G272 = ""), "", IF(F272 = "Vara", IFERROR(_xlfn.SINGLE(_xlfn.XLOOKUP(G272, Vöruskrá!A:A, Vöruskrá!G:G, "")), ""), IF(F272 = "Réttur", IFERROR(_xlfn.SINGLE(_xlfn.XLOOKUP(G272, Réttabanki!A:A, Réttabanki!AU:AU, "")), ""), "")))</f>
        <v/>
      </c>
      <c r="O272" s="26" t="str">
        <f>IF(OR(F272 = "", G272 = "", I272 = ""), "", IF(F272 = "Vara", IFERROR(_xlfn.SINGLE(_xlfn.XLOOKUP(G272, Vöruskrá!A:A, Vöruskrá!I:I, "")) * I272 / 100, ""), IF(F272 = "Réttur", IFERROR(_xlfn.SINGLE(_xlfn.XLOOKUP(G272, Réttabanki!A:A, Réttabanki!AV:AV, "")) * I272 / 100, ""), "")))</f>
        <v/>
      </c>
      <c r="P272" s="26" t="str">
        <f>IF(OR(F272 = "", G272 = "", I272 = ""), "", IF(F272 = "Vara", IFERROR(_xlfn.SINGLE(_xlfn.XLOOKUP(G272, Vöruskrá!A:A, Vöruskrá!J:J, "")) * I272 / 100, ""), IF(F272 = "Réttur", IFERROR(_xlfn.SINGLE(_xlfn.XLOOKUP(G272, Réttabanki!A:A, Réttabanki!AW:AW, "")) * I272 / 100, ""), "")))</f>
        <v/>
      </c>
      <c r="Q272" s="26" t="str">
        <f>IF(OR(F272 = "", G272 = "", I272 = ""), "", IF(F272 = "Vara", IFERROR(_xlfn.SINGLE(_xlfn.XLOOKUP(G272, Vöruskrá!A:A, Vöruskrá!N:N, "")) * I272 / 100, ""), IF(F272 = "Réttur", IFERROR(_xlfn.SINGLE(_xlfn.XLOOKUP(G272, Réttabanki!A:A, Réttabanki!BB:BB, "")) * I272 / 100, ""), "")))</f>
        <v/>
      </c>
    </row>
    <row r="273" spans="2:17">
      <c r="B273" s="33" t="str">
        <f>IF(A273&lt;&gt;"",CHOOSE(WEEKDAY(A273,2),"Mánudagur","Þriðjudagur","Miðvikudagur","Fimmtudagur","Föstudagur","Laugardagur","Sunnudagur"),IF(B272&lt;&gt;"",B272,""))</f>
        <v>Fimmtudagur</v>
      </c>
      <c r="C273" s="33">
        <f>IF(A273&lt;&gt;"",WEEKNUM(A273,21),IF(C272&lt;&gt;"",C272,""))</f>
        <v>27</v>
      </c>
      <c r="D273" s="34"/>
      <c r="E273" s="34"/>
      <c r="F273" s="34"/>
      <c r="G273" s="34"/>
      <c r="H273" s="34"/>
      <c r="I273" s="35"/>
      <c r="J273" s="35"/>
      <c r="K273" s="36"/>
      <c r="L273" s="26" t="str">
        <f>IF(OR(F273 = "", G273 = ""), "", IF(F273 = "Vara", IFERROR(_xlfn.SINGLE(_xlfn.XLOOKUP(G273, Vöruskrá!A:A, Vöruskrá!E:E, "")), ""), IF(F273 = "Réttur", IFERROR(_xlfn.SINGLE(_xlfn.XLOOKUP(G273, Réttabanki!A:A, Réttabanki!AS:AS, "")), ""), "")))</f>
        <v/>
      </c>
      <c r="M273" s="26" t="str">
        <f>IF(OR(F273 = "", G273 = ""), "", IF(F273 = "Vara", IFERROR(_xlfn.SINGLE(_xlfn.XLOOKUP(G273, Vöruskrá!A:A, Vöruskrá!F:F, "")), ""), IF(F273 = "Réttur", IFERROR(_xlfn.SINGLE(_xlfn.XLOOKUP(G273, Réttabanki!A:A, Réttabanki!AT:AT, "")), ""), "")))</f>
        <v/>
      </c>
      <c r="N273" s="26" t="str">
        <f>IF(OR(F273 = "", G273 = ""), "", IF(F273 = "Vara", IFERROR(_xlfn.SINGLE(_xlfn.XLOOKUP(G273, Vöruskrá!A:A, Vöruskrá!G:G, "")), ""), IF(F273 = "Réttur", IFERROR(_xlfn.SINGLE(_xlfn.XLOOKUP(G273, Réttabanki!A:A, Réttabanki!AU:AU, "")), ""), "")))</f>
        <v/>
      </c>
      <c r="O273" s="26" t="str">
        <f>IF(OR(F273 = "", G273 = "", I273 = ""), "", IF(F273 = "Vara", IFERROR(_xlfn.SINGLE(_xlfn.XLOOKUP(G273, Vöruskrá!A:A, Vöruskrá!I:I, "")) * I273 / 100, ""), IF(F273 = "Réttur", IFERROR(_xlfn.SINGLE(_xlfn.XLOOKUP(G273, Réttabanki!A:A, Réttabanki!AV:AV, "")) * I273 / 100, ""), "")))</f>
        <v/>
      </c>
      <c r="P273" s="26" t="str">
        <f>IF(OR(F273 = "", G273 = "", I273 = ""), "", IF(F273 = "Vara", IFERROR(_xlfn.SINGLE(_xlfn.XLOOKUP(G273, Vöruskrá!A:A, Vöruskrá!J:J, "")) * I273 / 100, ""), IF(F273 = "Réttur", IFERROR(_xlfn.SINGLE(_xlfn.XLOOKUP(G273, Réttabanki!A:A, Réttabanki!AW:AW, "")) * I273 / 100, ""), "")))</f>
        <v/>
      </c>
      <c r="Q273" s="26" t="str">
        <f>IF(OR(F273 = "", G273 = "", I273 = ""), "", IF(F273 = "Vara", IFERROR(_xlfn.SINGLE(_xlfn.XLOOKUP(G273, Vöruskrá!A:A, Vöruskrá!N:N, "")) * I273 / 100, ""), IF(F273 = "Réttur", IFERROR(_xlfn.SINGLE(_xlfn.XLOOKUP(G273, Réttabanki!A:A, Réttabanki!BB:BB, "")) * I273 / 100, ""), "")))</f>
        <v/>
      </c>
    </row>
    <row r="274" spans="2:17">
      <c r="B274" s="33" t="str">
        <f>IF(A274&lt;&gt;"",CHOOSE(WEEKDAY(A274,2),"Mánudagur","Þriðjudagur","Miðvikudagur","Fimmtudagur","Föstudagur","Laugardagur","Sunnudagur"),IF(B273&lt;&gt;"",B273,""))</f>
        <v>Fimmtudagur</v>
      </c>
      <c r="C274" s="33">
        <f>IF(A274&lt;&gt;"",WEEKNUM(A274,21),IF(C273&lt;&gt;"",C273,""))</f>
        <v>27</v>
      </c>
      <c r="D274" s="34"/>
      <c r="E274" s="34"/>
      <c r="F274" s="34"/>
      <c r="G274" s="34"/>
      <c r="H274" s="34"/>
      <c r="I274" s="35"/>
      <c r="J274" s="35"/>
      <c r="K274" s="36"/>
      <c r="L274" s="26" t="str">
        <f>IF(OR(F274 = "", G274 = ""), "", IF(F274 = "Vara", IFERROR(_xlfn.SINGLE(_xlfn.XLOOKUP(G274, Vöruskrá!A:A, Vöruskrá!E:E, "")), ""), IF(F274 = "Réttur", IFERROR(_xlfn.SINGLE(_xlfn.XLOOKUP(G274, Réttabanki!A:A, Réttabanki!AS:AS, "")), ""), "")))</f>
        <v/>
      </c>
      <c r="M274" s="26" t="str">
        <f>IF(OR(F274 = "", G274 = ""), "", IF(F274 = "Vara", IFERROR(_xlfn.SINGLE(_xlfn.XLOOKUP(G274, Vöruskrá!A:A, Vöruskrá!F:F, "")), ""), IF(F274 = "Réttur", IFERROR(_xlfn.SINGLE(_xlfn.XLOOKUP(G274, Réttabanki!A:A, Réttabanki!AT:AT, "")), ""), "")))</f>
        <v/>
      </c>
      <c r="N274" s="26" t="str">
        <f>IF(OR(F274 = "", G274 = ""), "", IF(F274 = "Vara", IFERROR(_xlfn.SINGLE(_xlfn.XLOOKUP(G274, Vöruskrá!A:A, Vöruskrá!G:G, "")), ""), IF(F274 = "Réttur", IFERROR(_xlfn.SINGLE(_xlfn.XLOOKUP(G274, Réttabanki!A:A, Réttabanki!AU:AU, "")), ""), "")))</f>
        <v/>
      </c>
      <c r="O274" s="26" t="str">
        <f>IF(OR(F274 = "", G274 = "", I274 = ""), "", IF(F274 = "Vara", IFERROR(_xlfn.SINGLE(_xlfn.XLOOKUP(G274, Vöruskrá!A:A, Vöruskrá!I:I, "")) * I274 / 100, ""), IF(F274 = "Réttur", IFERROR(_xlfn.SINGLE(_xlfn.XLOOKUP(G274, Réttabanki!A:A, Réttabanki!AV:AV, "")) * I274 / 100, ""), "")))</f>
        <v/>
      </c>
      <c r="P274" s="26" t="str">
        <f>IF(OR(F274 = "", G274 = "", I274 = ""), "", IF(F274 = "Vara", IFERROR(_xlfn.SINGLE(_xlfn.XLOOKUP(G274, Vöruskrá!A:A, Vöruskrá!J:J, "")) * I274 / 100, ""), IF(F274 = "Réttur", IFERROR(_xlfn.SINGLE(_xlfn.XLOOKUP(G274, Réttabanki!A:A, Réttabanki!AW:AW, "")) * I274 / 100, ""), "")))</f>
        <v/>
      </c>
      <c r="Q274" s="26" t="str">
        <f>IF(OR(F274 = "", G274 = "", I274 = ""), "", IF(F274 = "Vara", IFERROR(_xlfn.SINGLE(_xlfn.XLOOKUP(G274, Vöruskrá!A:A, Vöruskrá!N:N, "")) * I274 / 100, ""), IF(F274 = "Réttur", IFERROR(_xlfn.SINGLE(_xlfn.XLOOKUP(G274, Réttabanki!A:A, Réttabanki!BB:BB, "")) * I274 / 100, ""), "")))</f>
        <v/>
      </c>
    </row>
    <row r="275" spans="2:17">
      <c r="B275" s="33" t="str">
        <f>IF(A275&lt;&gt;"",CHOOSE(WEEKDAY(A275,2),"Mánudagur","Þriðjudagur","Miðvikudagur","Fimmtudagur","Föstudagur","Laugardagur","Sunnudagur"),IF(B274&lt;&gt;"",B274,""))</f>
        <v>Fimmtudagur</v>
      </c>
      <c r="C275" s="33">
        <f>IF(A275&lt;&gt;"",WEEKNUM(A275,21),IF(C274&lt;&gt;"",C274,""))</f>
        <v>27</v>
      </c>
      <c r="D275" s="34"/>
      <c r="E275" s="34"/>
      <c r="F275" s="34"/>
      <c r="G275" s="34"/>
      <c r="H275" s="34"/>
      <c r="I275" s="35"/>
      <c r="J275" s="35"/>
      <c r="K275" s="36"/>
      <c r="L275" s="26" t="str">
        <f>IF(OR(F275 = "", G275 = ""), "", IF(F275 = "Vara", IFERROR(_xlfn.SINGLE(_xlfn.XLOOKUP(G275, Vöruskrá!A:A, Vöruskrá!E:E, "")), ""), IF(F275 = "Réttur", IFERROR(_xlfn.SINGLE(_xlfn.XLOOKUP(G275, Réttabanki!A:A, Réttabanki!AS:AS, "")), ""), "")))</f>
        <v/>
      </c>
      <c r="M275" s="26" t="str">
        <f>IF(OR(F275 = "", G275 = ""), "", IF(F275 = "Vara", IFERROR(_xlfn.SINGLE(_xlfn.XLOOKUP(G275, Vöruskrá!A:A, Vöruskrá!F:F, "")), ""), IF(F275 = "Réttur", IFERROR(_xlfn.SINGLE(_xlfn.XLOOKUP(G275, Réttabanki!A:A, Réttabanki!AT:AT, "")), ""), "")))</f>
        <v/>
      </c>
      <c r="N275" s="26" t="str">
        <f>IF(OR(F275 = "", G275 = ""), "", IF(F275 = "Vara", IFERROR(_xlfn.SINGLE(_xlfn.XLOOKUP(G275, Vöruskrá!A:A, Vöruskrá!G:G, "")), ""), IF(F275 = "Réttur", IFERROR(_xlfn.SINGLE(_xlfn.XLOOKUP(G275, Réttabanki!A:A, Réttabanki!AU:AU, "")), ""), "")))</f>
        <v/>
      </c>
      <c r="O275" s="26" t="str">
        <f>IF(OR(F275 = "", G275 = "", I275 = ""), "", IF(F275 = "Vara", IFERROR(_xlfn.SINGLE(_xlfn.XLOOKUP(G275, Vöruskrá!A:A, Vöruskrá!I:I, "")) * I275 / 100, ""), IF(F275 = "Réttur", IFERROR(_xlfn.SINGLE(_xlfn.XLOOKUP(G275, Réttabanki!A:A, Réttabanki!AV:AV, "")) * I275 / 100, ""), "")))</f>
        <v/>
      </c>
      <c r="P275" s="26" t="str">
        <f>IF(OR(F275 = "", G275 = "", I275 = ""), "", IF(F275 = "Vara", IFERROR(_xlfn.SINGLE(_xlfn.XLOOKUP(G275, Vöruskrá!A:A, Vöruskrá!J:J, "")) * I275 / 100, ""), IF(F275 = "Réttur", IFERROR(_xlfn.SINGLE(_xlfn.XLOOKUP(G275, Réttabanki!A:A, Réttabanki!AW:AW, "")) * I275 / 100, ""), "")))</f>
        <v/>
      </c>
      <c r="Q275" s="26" t="str">
        <f>IF(OR(F275 = "", G275 = "", I275 = ""), "", IF(F275 = "Vara", IFERROR(_xlfn.SINGLE(_xlfn.XLOOKUP(G275, Vöruskrá!A:A, Vöruskrá!N:N, "")) * I275 / 100, ""), IF(F275 = "Réttur", IFERROR(_xlfn.SINGLE(_xlfn.XLOOKUP(G275, Réttabanki!A:A, Réttabanki!BB:BB, "")) * I275 / 100, ""), "")))</f>
        <v/>
      </c>
    </row>
    <row r="276" spans="2:17">
      <c r="B276" s="33" t="str">
        <f>IF(A276&lt;&gt;"",CHOOSE(WEEKDAY(A276,2),"Mánudagur","Þriðjudagur","Miðvikudagur","Fimmtudagur","Föstudagur","Laugardagur","Sunnudagur"),IF(B275&lt;&gt;"",B275,""))</f>
        <v>Fimmtudagur</v>
      </c>
      <c r="C276" s="33">
        <f>IF(A276&lt;&gt;"",WEEKNUM(A276,21),IF(C275&lt;&gt;"",C275,""))</f>
        <v>27</v>
      </c>
      <c r="D276" s="34"/>
      <c r="E276" s="34"/>
      <c r="F276" s="34"/>
      <c r="G276" s="34"/>
      <c r="H276" s="34"/>
      <c r="I276" s="35"/>
      <c r="J276" s="35"/>
      <c r="K276" s="36"/>
      <c r="L276" s="26" t="str">
        <f>IF(OR(F276 = "", G276 = ""), "", IF(F276 = "Vara", IFERROR(_xlfn.SINGLE(_xlfn.XLOOKUP(G276, Vöruskrá!A:A, Vöruskrá!E:E, "")), ""), IF(F276 = "Réttur", IFERROR(_xlfn.SINGLE(_xlfn.XLOOKUP(G276, Réttabanki!A:A, Réttabanki!AS:AS, "")), ""), "")))</f>
        <v/>
      </c>
      <c r="M276" s="26" t="str">
        <f>IF(OR(F276 = "", G276 = ""), "", IF(F276 = "Vara", IFERROR(_xlfn.SINGLE(_xlfn.XLOOKUP(G276, Vöruskrá!A:A, Vöruskrá!F:F, "")), ""), IF(F276 = "Réttur", IFERROR(_xlfn.SINGLE(_xlfn.XLOOKUP(G276, Réttabanki!A:A, Réttabanki!AT:AT, "")), ""), "")))</f>
        <v/>
      </c>
      <c r="N276" s="26" t="str">
        <f>IF(OR(F276 = "", G276 = ""), "", IF(F276 = "Vara", IFERROR(_xlfn.SINGLE(_xlfn.XLOOKUP(G276, Vöruskrá!A:A, Vöruskrá!G:G, "")), ""), IF(F276 = "Réttur", IFERROR(_xlfn.SINGLE(_xlfn.XLOOKUP(G276, Réttabanki!A:A, Réttabanki!AU:AU, "")), ""), "")))</f>
        <v/>
      </c>
      <c r="O276" s="26" t="str">
        <f>IF(OR(F276 = "", G276 = "", I276 = ""), "", IF(F276 = "Vara", IFERROR(_xlfn.SINGLE(_xlfn.XLOOKUP(G276, Vöruskrá!A:A, Vöruskrá!I:I, "")) * I276 / 100, ""), IF(F276 = "Réttur", IFERROR(_xlfn.SINGLE(_xlfn.XLOOKUP(G276, Réttabanki!A:A, Réttabanki!AV:AV, "")) * I276 / 100, ""), "")))</f>
        <v/>
      </c>
      <c r="P276" s="26" t="str">
        <f>IF(OR(F276 = "", G276 = "", I276 = ""), "", IF(F276 = "Vara", IFERROR(_xlfn.SINGLE(_xlfn.XLOOKUP(G276, Vöruskrá!A:A, Vöruskrá!J:J, "")) * I276 / 100, ""), IF(F276 = "Réttur", IFERROR(_xlfn.SINGLE(_xlfn.XLOOKUP(G276, Réttabanki!A:A, Réttabanki!AW:AW, "")) * I276 / 100, ""), "")))</f>
        <v/>
      </c>
      <c r="Q276" s="26" t="str">
        <f>IF(OR(F276 = "", G276 = "", I276 = ""), "", IF(F276 = "Vara", IFERROR(_xlfn.SINGLE(_xlfn.XLOOKUP(G276, Vöruskrá!A:A, Vöruskrá!N:N, "")) * I276 / 100, ""), IF(F276 = "Réttur", IFERROR(_xlfn.SINGLE(_xlfn.XLOOKUP(G276, Réttabanki!A:A, Réttabanki!BB:BB, "")) * I276 / 100, ""), "")))</f>
        <v/>
      </c>
    </row>
    <row r="277" spans="2:17">
      <c r="B277" s="33" t="str">
        <f>IF(A277&lt;&gt;"",CHOOSE(WEEKDAY(A277,2),"Mánudagur","Þriðjudagur","Miðvikudagur","Fimmtudagur","Föstudagur","Laugardagur","Sunnudagur"),IF(B276&lt;&gt;"",B276,""))</f>
        <v>Fimmtudagur</v>
      </c>
      <c r="C277" s="33">
        <f>IF(A277&lt;&gt;"",WEEKNUM(A277,21),IF(C276&lt;&gt;"",C276,""))</f>
        <v>27</v>
      </c>
      <c r="D277" s="34"/>
      <c r="E277" s="34"/>
      <c r="F277" s="34"/>
      <c r="G277" s="34"/>
      <c r="H277" s="34"/>
      <c r="I277" s="35"/>
      <c r="J277" s="35"/>
      <c r="K277" s="36"/>
      <c r="L277" s="26" t="str">
        <f>IF(OR(F277 = "", G277 = ""), "", IF(F277 = "Vara", IFERROR(_xlfn.SINGLE(_xlfn.XLOOKUP(G277, Vöruskrá!A:A, Vöruskrá!E:E, "")), ""), IF(F277 = "Réttur", IFERROR(_xlfn.SINGLE(_xlfn.XLOOKUP(G277, Réttabanki!A:A, Réttabanki!AS:AS, "")), ""), "")))</f>
        <v/>
      </c>
      <c r="M277" s="26" t="str">
        <f>IF(OR(F277 = "", G277 = ""), "", IF(F277 = "Vara", IFERROR(_xlfn.SINGLE(_xlfn.XLOOKUP(G277, Vöruskrá!A:A, Vöruskrá!F:F, "")), ""), IF(F277 = "Réttur", IFERROR(_xlfn.SINGLE(_xlfn.XLOOKUP(G277, Réttabanki!A:A, Réttabanki!AT:AT, "")), ""), "")))</f>
        <v/>
      </c>
      <c r="N277" s="26" t="str">
        <f>IF(OR(F277 = "", G277 = ""), "", IF(F277 = "Vara", IFERROR(_xlfn.SINGLE(_xlfn.XLOOKUP(G277, Vöruskrá!A:A, Vöruskrá!G:G, "")), ""), IF(F277 = "Réttur", IFERROR(_xlfn.SINGLE(_xlfn.XLOOKUP(G277, Réttabanki!A:A, Réttabanki!AU:AU, "")), ""), "")))</f>
        <v/>
      </c>
      <c r="O277" s="26" t="str">
        <f>IF(OR(F277 = "", G277 = "", I277 = ""), "", IF(F277 = "Vara", IFERROR(_xlfn.SINGLE(_xlfn.XLOOKUP(G277, Vöruskrá!A:A, Vöruskrá!I:I, "")) * I277 / 100, ""), IF(F277 = "Réttur", IFERROR(_xlfn.SINGLE(_xlfn.XLOOKUP(G277, Réttabanki!A:A, Réttabanki!AV:AV, "")) * I277 / 100, ""), "")))</f>
        <v/>
      </c>
      <c r="P277" s="26" t="str">
        <f>IF(OR(F277 = "", G277 = "", I277 = ""), "", IF(F277 = "Vara", IFERROR(_xlfn.SINGLE(_xlfn.XLOOKUP(G277, Vöruskrá!A:A, Vöruskrá!J:J, "")) * I277 / 100, ""), IF(F277 = "Réttur", IFERROR(_xlfn.SINGLE(_xlfn.XLOOKUP(G277, Réttabanki!A:A, Réttabanki!AW:AW, "")) * I277 / 100, ""), "")))</f>
        <v/>
      </c>
      <c r="Q277" s="26" t="str">
        <f>IF(OR(F277 = "", G277 = "", I277 = ""), "", IF(F277 = "Vara", IFERROR(_xlfn.SINGLE(_xlfn.XLOOKUP(G277, Vöruskrá!A:A, Vöruskrá!N:N, "")) * I277 / 100, ""), IF(F277 = "Réttur", IFERROR(_xlfn.SINGLE(_xlfn.XLOOKUP(G277, Réttabanki!A:A, Réttabanki!BB:BB, "")) * I277 / 100, ""), "")))</f>
        <v/>
      </c>
    </row>
    <row r="278" spans="2:17">
      <c r="B278" s="33" t="str">
        <f>IF(A278&lt;&gt;"",CHOOSE(WEEKDAY(A278,2),"Mánudagur","Þriðjudagur","Miðvikudagur","Fimmtudagur","Föstudagur","Laugardagur","Sunnudagur"),IF(B277&lt;&gt;"",B277,""))</f>
        <v>Fimmtudagur</v>
      </c>
      <c r="C278" s="33">
        <f>IF(A278&lt;&gt;"",WEEKNUM(A278,21),IF(C277&lt;&gt;"",C277,""))</f>
        <v>27</v>
      </c>
      <c r="D278" s="34"/>
      <c r="E278" s="34"/>
      <c r="F278" s="34"/>
      <c r="G278" s="34"/>
      <c r="H278" s="34"/>
      <c r="I278" s="35"/>
      <c r="J278" s="35"/>
      <c r="K278" s="36"/>
      <c r="L278" s="26" t="str">
        <f>IF(OR(F278 = "", G278 = ""), "", IF(F278 = "Vara", IFERROR(_xlfn.SINGLE(_xlfn.XLOOKUP(G278, Vöruskrá!A:A, Vöruskrá!E:E, "")), ""), IF(F278 = "Réttur", IFERROR(_xlfn.SINGLE(_xlfn.XLOOKUP(G278, Réttabanki!A:A, Réttabanki!AS:AS, "")), ""), "")))</f>
        <v/>
      </c>
      <c r="M278" s="26" t="str">
        <f>IF(OR(F278 = "", G278 = ""), "", IF(F278 = "Vara", IFERROR(_xlfn.SINGLE(_xlfn.XLOOKUP(G278, Vöruskrá!A:A, Vöruskrá!F:F, "")), ""), IF(F278 = "Réttur", IFERROR(_xlfn.SINGLE(_xlfn.XLOOKUP(G278, Réttabanki!A:A, Réttabanki!AT:AT, "")), ""), "")))</f>
        <v/>
      </c>
      <c r="N278" s="26" t="str">
        <f>IF(OR(F278 = "", G278 = ""), "", IF(F278 = "Vara", IFERROR(_xlfn.SINGLE(_xlfn.XLOOKUP(G278, Vöruskrá!A:A, Vöruskrá!G:G, "")), ""), IF(F278 = "Réttur", IFERROR(_xlfn.SINGLE(_xlfn.XLOOKUP(G278, Réttabanki!A:A, Réttabanki!AU:AU, "")), ""), "")))</f>
        <v/>
      </c>
      <c r="O278" s="26" t="str">
        <f>IF(OR(F278 = "", G278 = "", I278 = ""), "", IF(F278 = "Vara", IFERROR(_xlfn.SINGLE(_xlfn.XLOOKUP(G278, Vöruskrá!A:A, Vöruskrá!I:I, "")) * I278 / 100, ""), IF(F278 = "Réttur", IFERROR(_xlfn.SINGLE(_xlfn.XLOOKUP(G278, Réttabanki!A:A, Réttabanki!AV:AV, "")) * I278 / 100, ""), "")))</f>
        <v/>
      </c>
      <c r="P278" s="26" t="str">
        <f>IF(OR(F278 = "", G278 = "", I278 = ""), "", IF(F278 = "Vara", IFERROR(_xlfn.SINGLE(_xlfn.XLOOKUP(G278, Vöruskrá!A:A, Vöruskrá!J:J, "")) * I278 / 100, ""), IF(F278 = "Réttur", IFERROR(_xlfn.SINGLE(_xlfn.XLOOKUP(G278, Réttabanki!A:A, Réttabanki!AW:AW, "")) * I278 / 100, ""), "")))</f>
        <v/>
      </c>
      <c r="Q278" s="26" t="str">
        <f>IF(OR(F278 = "", G278 = "", I278 = ""), "", IF(F278 = "Vara", IFERROR(_xlfn.SINGLE(_xlfn.XLOOKUP(G278, Vöruskrá!A:A, Vöruskrá!N:N, "")) * I278 / 100, ""), IF(F278 = "Réttur", IFERROR(_xlfn.SINGLE(_xlfn.XLOOKUP(G278, Réttabanki!A:A, Réttabanki!BB:BB, "")) * I278 / 100, ""), "")))</f>
        <v/>
      </c>
    </row>
    <row r="279" spans="2:17">
      <c r="B279" s="33" t="str">
        <f>IF(A279&lt;&gt;"",CHOOSE(WEEKDAY(A279,2),"Mánudagur","Þriðjudagur","Miðvikudagur","Fimmtudagur","Föstudagur","Laugardagur","Sunnudagur"),IF(B278&lt;&gt;"",B278,""))</f>
        <v>Fimmtudagur</v>
      </c>
      <c r="C279" s="33">
        <f>IF(A279&lt;&gt;"",WEEKNUM(A279,21),IF(C278&lt;&gt;"",C278,""))</f>
        <v>27</v>
      </c>
      <c r="D279" s="34"/>
      <c r="E279" s="34"/>
      <c r="F279" s="34"/>
      <c r="G279" s="34"/>
      <c r="H279" s="34"/>
      <c r="I279" s="35"/>
      <c r="J279" s="35"/>
      <c r="K279" s="36"/>
      <c r="L279" s="26" t="str">
        <f>IF(OR(F279 = "", G279 = ""), "", IF(F279 = "Vara", IFERROR(_xlfn.SINGLE(_xlfn.XLOOKUP(G279, Vöruskrá!A:A, Vöruskrá!E:E, "")), ""), IF(F279 = "Réttur", IFERROR(_xlfn.SINGLE(_xlfn.XLOOKUP(G279, Réttabanki!A:A, Réttabanki!AS:AS, "")), ""), "")))</f>
        <v/>
      </c>
      <c r="M279" s="26" t="str">
        <f>IF(OR(F279 = "", G279 = ""), "", IF(F279 = "Vara", IFERROR(_xlfn.SINGLE(_xlfn.XLOOKUP(G279, Vöruskrá!A:A, Vöruskrá!F:F, "")), ""), IF(F279 = "Réttur", IFERROR(_xlfn.SINGLE(_xlfn.XLOOKUP(G279, Réttabanki!A:A, Réttabanki!AT:AT, "")), ""), "")))</f>
        <v/>
      </c>
      <c r="N279" s="26" t="str">
        <f>IF(OR(F279 = "", G279 = ""), "", IF(F279 = "Vara", IFERROR(_xlfn.SINGLE(_xlfn.XLOOKUP(G279, Vöruskrá!A:A, Vöruskrá!G:G, "")), ""), IF(F279 = "Réttur", IFERROR(_xlfn.SINGLE(_xlfn.XLOOKUP(G279, Réttabanki!A:A, Réttabanki!AU:AU, "")), ""), "")))</f>
        <v/>
      </c>
      <c r="O279" s="26" t="str">
        <f>IF(OR(F279 = "", G279 = "", I279 = ""), "", IF(F279 = "Vara", IFERROR(_xlfn.SINGLE(_xlfn.XLOOKUP(G279, Vöruskrá!A:A, Vöruskrá!I:I, "")) * I279 / 100, ""), IF(F279 = "Réttur", IFERROR(_xlfn.SINGLE(_xlfn.XLOOKUP(G279, Réttabanki!A:A, Réttabanki!AV:AV, "")) * I279 / 100, ""), "")))</f>
        <v/>
      </c>
      <c r="P279" s="26" t="str">
        <f>IF(OR(F279 = "", G279 = "", I279 = ""), "", IF(F279 = "Vara", IFERROR(_xlfn.SINGLE(_xlfn.XLOOKUP(G279, Vöruskrá!A:A, Vöruskrá!J:J, "")) * I279 / 100, ""), IF(F279 = "Réttur", IFERROR(_xlfn.SINGLE(_xlfn.XLOOKUP(G279, Réttabanki!A:A, Réttabanki!AW:AW, "")) * I279 / 100, ""), "")))</f>
        <v/>
      </c>
      <c r="Q279" s="26" t="str">
        <f>IF(OR(F279 = "", G279 = "", I279 = ""), "", IF(F279 = "Vara", IFERROR(_xlfn.SINGLE(_xlfn.XLOOKUP(G279, Vöruskrá!A:A, Vöruskrá!N:N, "")) * I279 / 100, ""), IF(F279 = "Réttur", IFERROR(_xlfn.SINGLE(_xlfn.XLOOKUP(G279, Réttabanki!A:A, Réttabanki!BB:BB, "")) * I279 / 100, ""), "")))</f>
        <v/>
      </c>
    </row>
    <row r="280" spans="2:17">
      <c r="B280" s="33" t="str">
        <f>IF(A280&lt;&gt;"",CHOOSE(WEEKDAY(A280,2),"Mánudagur","Þriðjudagur","Miðvikudagur","Fimmtudagur","Föstudagur","Laugardagur","Sunnudagur"),IF(B279&lt;&gt;"",B279,""))</f>
        <v>Fimmtudagur</v>
      </c>
      <c r="C280" s="33">
        <f>IF(A280&lt;&gt;"",WEEKNUM(A280,21),IF(C279&lt;&gt;"",C279,""))</f>
        <v>27</v>
      </c>
      <c r="D280" s="34"/>
      <c r="E280" s="34"/>
      <c r="F280" s="34"/>
      <c r="G280" s="34"/>
      <c r="H280" s="34"/>
      <c r="I280" s="35"/>
      <c r="J280" s="35"/>
      <c r="K280" s="36"/>
      <c r="L280" s="26" t="str">
        <f>IF(OR(F280 = "", G280 = ""), "", IF(F280 = "Vara", IFERROR(_xlfn.SINGLE(_xlfn.XLOOKUP(G280, Vöruskrá!A:A, Vöruskrá!E:E, "")), ""), IF(F280 = "Réttur", IFERROR(_xlfn.SINGLE(_xlfn.XLOOKUP(G280, Réttabanki!A:A, Réttabanki!AS:AS, "")), ""), "")))</f>
        <v/>
      </c>
      <c r="M280" s="26" t="str">
        <f>IF(OR(F280 = "", G280 = ""), "", IF(F280 = "Vara", IFERROR(_xlfn.SINGLE(_xlfn.XLOOKUP(G280, Vöruskrá!A:A, Vöruskrá!F:F, "")), ""), IF(F280 = "Réttur", IFERROR(_xlfn.SINGLE(_xlfn.XLOOKUP(G280, Réttabanki!A:A, Réttabanki!AT:AT, "")), ""), "")))</f>
        <v/>
      </c>
      <c r="N280" s="26" t="str">
        <f>IF(OR(F280 = "", G280 = ""), "", IF(F280 = "Vara", IFERROR(_xlfn.SINGLE(_xlfn.XLOOKUP(G280, Vöruskrá!A:A, Vöruskrá!G:G, "")), ""), IF(F280 = "Réttur", IFERROR(_xlfn.SINGLE(_xlfn.XLOOKUP(G280, Réttabanki!A:A, Réttabanki!AU:AU, "")), ""), "")))</f>
        <v/>
      </c>
      <c r="O280" s="26" t="str">
        <f>IF(OR(F280 = "", G280 = "", I280 = ""), "", IF(F280 = "Vara", IFERROR(_xlfn.SINGLE(_xlfn.XLOOKUP(G280, Vöruskrá!A:A, Vöruskrá!I:I, "")) * I280 / 100, ""), IF(F280 = "Réttur", IFERROR(_xlfn.SINGLE(_xlfn.XLOOKUP(G280, Réttabanki!A:A, Réttabanki!AV:AV, "")) * I280 / 100, ""), "")))</f>
        <v/>
      </c>
      <c r="P280" s="26" t="str">
        <f>IF(OR(F280 = "", G280 = "", I280 = ""), "", IF(F280 = "Vara", IFERROR(_xlfn.SINGLE(_xlfn.XLOOKUP(G280, Vöruskrá!A:A, Vöruskrá!J:J, "")) * I280 / 100, ""), IF(F280 = "Réttur", IFERROR(_xlfn.SINGLE(_xlfn.XLOOKUP(G280, Réttabanki!A:A, Réttabanki!AW:AW, "")) * I280 / 100, ""), "")))</f>
        <v/>
      </c>
      <c r="Q280" s="26" t="str">
        <f>IF(OR(F280 = "", G280 = "", I280 = ""), "", IF(F280 = "Vara", IFERROR(_xlfn.SINGLE(_xlfn.XLOOKUP(G280, Vöruskrá!A:A, Vöruskrá!N:N, "")) * I280 / 100, ""), IF(F280 = "Réttur", IFERROR(_xlfn.SINGLE(_xlfn.XLOOKUP(G280, Réttabanki!A:A, Réttabanki!BB:BB, "")) * I280 / 100, ""), "")))</f>
        <v/>
      </c>
    </row>
    <row r="281" spans="2:17">
      <c r="B281" s="33" t="str">
        <f>IF(A281&lt;&gt;"",CHOOSE(WEEKDAY(A281,2),"Mánudagur","Þriðjudagur","Miðvikudagur","Fimmtudagur","Föstudagur","Laugardagur","Sunnudagur"),IF(B280&lt;&gt;"",B280,""))</f>
        <v>Fimmtudagur</v>
      </c>
      <c r="C281" s="33">
        <f>IF(A281&lt;&gt;"",WEEKNUM(A281,21),IF(C280&lt;&gt;"",C280,""))</f>
        <v>27</v>
      </c>
      <c r="D281" s="34"/>
      <c r="E281" s="34"/>
      <c r="F281" s="34"/>
      <c r="G281" s="34"/>
      <c r="H281" s="34"/>
      <c r="I281" s="35"/>
      <c r="J281" s="35"/>
      <c r="K281" s="36"/>
      <c r="L281" s="26" t="str">
        <f>IF(OR(F281 = "", G281 = ""), "", IF(F281 = "Vara", IFERROR(_xlfn.SINGLE(_xlfn.XLOOKUP(G281, Vöruskrá!A:A, Vöruskrá!E:E, "")), ""), IF(F281 = "Réttur", IFERROR(_xlfn.SINGLE(_xlfn.XLOOKUP(G281, Réttabanki!A:A, Réttabanki!AS:AS, "")), ""), "")))</f>
        <v/>
      </c>
      <c r="M281" s="26" t="str">
        <f>IF(OR(F281 = "", G281 = ""), "", IF(F281 = "Vara", IFERROR(_xlfn.SINGLE(_xlfn.XLOOKUP(G281, Vöruskrá!A:A, Vöruskrá!F:F, "")), ""), IF(F281 = "Réttur", IFERROR(_xlfn.SINGLE(_xlfn.XLOOKUP(G281, Réttabanki!A:A, Réttabanki!AT:AT, "")), ""), "")))</f>
        <v/>
      </c>
      <c r="N281" s="26" t="str">
        <f>IF(OR(F281 = "", G281 = ""), "", IF(F281 = "Vara", IFERROR(_xlfn.SINGLE(_xlfn.XLOOKUP(G281, Vöruskrá!A:A, Vöruskrá!G:G, "")), ""), IF(F281 = "Réttur", IFERROR(_xlfn.SINGLE(_xlfn.XLOOKUP(G281, Réttabanki!A:A, Réttabanki!AU:AU, "")), ""), "")))</f>
        <v/>
      </c>
      <c r="O281" s="26" t="str">
        <f>IF(OR(F281 = "", G281 = "", I281 = ""), "", IF(F281 = "Vara", IFERROR(_xlfn.SINGLE(_xlfn.XLOOKUP(G281, Vöruskrá!A:A, Vöruskrá!I:I, "")) * I281 / 100, ""), IF(F281 = "Réttur", IFERROR(_xlfn.SINGLE(_xlfn.XLOOKUP(G281, Réttabanki!A:A, Réttabanki!AV:AV, "")) * I281 / 100, ""), "")))</f>
        <v/>
      </c>
      <c r="P281" s="26" t="str">
        <f>IF(OR(F281 = "", G281 = "", I281 = ""), "", IF(F281 = "Vara", IFERROR(_xlfn.SINGLE(_xlfn.XLOOKUP(G281, Vöruskrá!A:A, Vöruskrá!J:J, "")) * I281 / 100, ""), IF(F281 = "Réttur", IFERROR(_xlfn.SINGLE(_xlfn.XLOOKUP(G281, Réttabanki!A:A, Réttabanki!AW:AW, "")) * I281 / 100, ""), "")))</f>
        <v/>
      </c>
      <c r="Q281" s="26" t="str">
        <f>IF(OR(F281 = "", G281 = "", I281 = ""), "", IF(F281 = "Vara", IFERROR(_xlfn.SINGLE(_xlfn.XLOOKUP(G281, Vöruskrá!A:A, Vöruskrá!N:N, "")) * I281 / 100, ""), IF(F281 = "Réttur", IFERROR(_xlfn.SINGLE(_xlfn.XLOOKUP(G281, Réttabanki!A:A, Réttabanki!BB:BB, "")) * I281 / 100, ""), "")))</f>
        <v/>
      </c>
    </row>
    <row r="282" spans="2:17">
      <c r="B282" s="33" t="str">
        <f>IF(A282&lt;&gt;"",CHOOSE(WEEKDAY(A282,2),"Mánudagur","Þriðjudagur","Miðvikudagur","Fimmtudagur","Föstudagur","Laugardagur","Sunnudagur"),IF(B281&lt;&gt;"",B281,""))</f>
        <v>Fimmtudagur</v>
      </c>
      <c r="C282" s="33">
        <f>IF(A282&lt;&gt;"",WEEKNUM(A282,21),IF(C281&lt;&gt;"",C281,""))</f>
        <v>27</v>
      </c>
      <c r="D282" s="34"/>
      <c r="E282" s="34"/>
      <c r="F282" s="34"/>
      <c r="G282" s="34"/>
      <c r="H282" s="34"/>
      <c r="I282" s="35"/>
      <c r="J282" s="35"/>
      <c r="K282" s="36"/>
      <c r="L282" s="26" t="str">
        <f>IF(OR(F282 = "", G282 = ""), "", IF(F282 = "Vara", IFERROR(_xlfn.SINGLE(_xlfn.XLOOKUP(G282, Vöruskrá!A:A, Vöruskrá!E:E, "")), ""), IF(F282 = "Réttur", IFERROR(_xlfn.SINGLE(_xlfn.XLOOKUP(G282, Réttabanki!A:A, Réttabanki!AS:AS, "")), ""), "")))</f>
        <v/>
      </c>
      <c r="M282" s="26" t="str">
        <f>IF(OR(F282 = "", G282 = ""), "", IF(F282 = "Vara", IFERROR(_xlfn.SINGLE(_xlfn.XLOOKUP(G282, Vöruskrá!A:A, Vöruskrá!F:F, "")), ""), IF(F282 = "Réttur", IFERROR(_xlfn.SINGLE(_xlfn.XLOOKUP(G282, Réttabanki!A:A, Réttabanki!AT:AT, "")), ""), "")))</f>
        <v/>
      </c>
      <c r="N282" s="26" t="str">
        <f>IF(OR(F282 = "", G282 = ""), "", IF(F282 = "Vara", IFERROR(_xlfn.SINGLE(_xlfn.XLOOKUP(G282, Vöruskrá!A:A, Vöruskrá!G:G, "")), ""), IF(F282 = "Réttur", IFERROR(_xlfn.SINGLE(_xlfn.XLOOKUP(G282, Réttabanki!A:A, Réttabanki!AU:AU, "")), ""), "")))</f>
        <v/>
      </c>
      <c r="O282" s="26" t="str">
        <f>IF(OR(F282 = "", G282 = "", I282 = ""), "", IF(F282 = "Vara", IFERROR(_xlfn.SINGLE(_xlfn.XLOOKUP(G282, Vöruskrá!A:A, Vöruskrá!I:I, "")) * I282 / 100, ""), IF(F282 = "Réttur", IFERROR(_xlfn.SINGLE(_xlfn.XLOOKUP(G282, Réttabanki!A:A, Réttabanki!AV:AV, "")) * I282 / 100, ""), "")))</f>
        <v/>
      </c>
      <c r="P282" s="26" t="str">
        <f>IF(OR(F282 = "", G282 = "", I282 = ""), "", IF(F282 = "Vara", IFERROR(_xlfn.SINGLE(_xlfn.XLOOKUP(G282, Vöruskrá!A:A, Vöruskrá!J:J, "")) * I282 / 100, ""), IF(F282 = "Réttur", IFERROR(_xlfn.SINGLE(_xlfn.XLOOKUP(G282, Réttabanki!A:A, Réttabanki!AW:AW, "")) * I282 / 100, ""), "")))</f>
        <v/>
      </c>
      <c r="Q282" s="26" t="str">
        <f>IF(OR(F282 = "", G282 = "", I282 = ""), "", IF(F282 = "Vara", IFERROR(_xlfn.SINGLE(_xlfn.XLOOKUP(G282, Vöruskrá!A:A, Vöruskrá!N:N, "")) * I282 / 100, ""), IF(F282 = "Réttur", IFERROR(_xlfn.SINGLE(_xlfn.XLOOKUP(G282, Réttabanki!A:A, Réttabanki!BB:BB, "")) * I282 / 100, ""), "")))</f>
        <v/>
      </c>
    </row>
    <row r="283" spans="2:17">
      <c r="B283" s="33" t="str">
        <f>IF(A283&lt;&gt;"",CHOOSE(WEEKDAY(A283,2),"Mánudagur","Þriðjudagur","Miðvikudagur","Fimmtudagur","Föstudagur","Laugardagur","Sunnudagur"),IF(B282&lt;&gt;"",B282,""))</f>
        <v>Fimmtudagur</v>
      </c>
      <c r="C283" s="33">
        <f>IF(A283&lt;&gt;"",WEEKNUM(A283,21),IF(C282&lt;&gt;"",C282,""))</f>
        <v>27</v>
      </c>
      <c r="D283" s="34"/>
      <c r="E283" s="34"/>
      <c r="F283" s="34"/>
      <c r="G283" s="34"/>
      <c r="H283" s="34"/>
      <c r="I283" s="35"/>
      <c r="J283" s="35"/>
      <c r="K283" s="36"/>
      <c r="L283" s="26" t="str">
        <f>IF(OR(F283 = "", G283 = ""), "", IF(F283 = "Vara", IFERROR(_xlfn.SINGLE(_xlfn.XLOOKUP(G283, Vöruskrá!A:A, Vöruskrá!E:E, "")), ""), IF(F283 = "Réttur", IFERROR(_xlfn.SINGLE(_xlfn.XLOOKUP(G283, Réttabanki!A:A, Réttabanki!AS:AS, "")), ""), "")))</f>
        <v/>
      </c>
      <c r="M283" s="26" t="str">
        <f>IF(OR(F283 = "", G283 = ""), "", IF(F283 = "Vara", IFERROR(_xlfn.SINGLE(_xlfn.XLOOKUP(G283, Vöruskrá!A:A, Vöruskrá!F:F, "")), ""), IF(F283 = "Réttur", IFERROR(_xlfn.SINGLE(_xlfn.XLOOKUP(G283, Réttabanki!A:A, Réttabanki!AT:AT, "")), ""), "")))</f>
        <v/>
      </c>
      <c r="N283" s="26" t="str">
        <f>IF(OR(F283 = "", G283 = ""), "", IF(F283 = "Vara", IFERROR(_xlfn.SINGLE(_xlfn.XLOOKUP(G283, Vöruskrá!A:A, Vöruskrá!G:G, "")), ""), IF(F283 = "Réttur", IFERROR(_xlfn.SINGLE(_xlfn.XLOOKUP(G283, Réttabanki!A:A, Réttabanki!AU:AU, "")), ""), "")))</f>
        <v/>
      </c>
      <c r="O283" s="26" t="str">
        <f>IF(OR(F283 = "", G283 = "", I283 = ""), "", IF(F283 = "Vara", IFERROR(_xlfn.SINGLE(_xlfn.XLOOKUP(G283, Vöruskrá!A:A, Vöruskrá!I:I, "")) * I283 / 100, ""), IF(F283 = "Réttur", IFERROR(_xlfn.SINGLE(_xlfn.XLOOKUP(G283, Réttabanki!A:A, Réttabanki!AV:AV, "")) * I283 / 100, ""), "")))</f>
        <v/>
      </c>
      <c r="P283" s="26" t="str">
        <f>IF(OR(F283 = "", G283 = "", I283 = ""), "", IF(F283 = "Vara", IFERROR(_xlfn.SINGLE(_xlfn.XLOOKUP(G283, Vöruskrá!A:A, Vöruskrá!J:J, "")) * I283 / 100, ""), IF(F283 = "Réttur", IFERROR(_xlfn.SINGLE(_xlfn.XLOOKUP(G283, Réttabanki!A:A, Réttabanki!AW:AW, "")) * I283 / 100, ""), "")))</f>
        <v/>
      </c>
      <c r="Q283" s="26" t="str">
        <f>IF(OR(F283 = "", G283 = "", I283 = ""), "", IF(F283 = "Vara", IFERROR(_xlfn.SINGLE(_xlfn.XLOOKUP(G283, Vöruskrá!A:A, Vöruskrá!N:N, "")) * I283 / 100, ""), IF(F283 = "Réttur", IFERROR(_xlfn.SINGLE(_xlfn.XLOOKUP(G283, Réttabanki!A:A, Réttabanki!BB:BB, "")) * I283 / 100, ""), "")))</f>
        <v/>
      </c>
    </row>
    <row r="284" spans="2:17">
      <c r="B284" s="33" t="str">
        <f>IF(A284&lt;&gt;"",CHOOSE(WEEKDAY(A284,2),"Mánudagur","Þriðjudagur","Miðvikudagur","Fimmtudagur","Föstudagur","Laugardagur","Sunnudagur"),IF(B283&lt;&gt;"",B283,""))</f>
        <v>Fimmtudagur</v>
      </c>
      <c r="C284" s="33">
        <f>IF(A284&lt;&gt;"",WEEKNUM(A284,21),IF(C283&lt;&gt;"",C283,""))</f>
        <v>27</v>
      </c>
      <c r="D284" s="34"/>
      <c r="E284" s="34"/>
      <c r="F284" s="34"/>
      <c r="G284" s="34"/>
      <c r="H284" s="34"/>
      <c r="I284" s="35"/>
      <c r="J284" s="35"/>
      <c r="K284" s="36"/>
      <c r="L284" s="26" t="str">
        <f>IF(OR(F284 = "", G284 = ""), "", IF(F284 = "Vara", IFERROR(_xlfn.SINGLE(_xlfn.XLOOKUP(G284, Vöruskrá!A:A, Vöruskrá!E:E, "")), ""), IF(F284 = "Réttur", IFERROR(_xlfn.SINGLE(_xlfn.XLOOKUP(G284, Réttabanki!A:A, Réttabanki!AS:AS, "")), ""), "")))</f>
        <v/>
      </c>
      <c r="M284" s="26" t="str">
        <f>IF(OR(F284 = "", G284 = ""), "", IF(F284 = "Vara", IFERROR(_xlfn.SINGLE(_xlfn.XLOOKUP(G284, Vöruskrá!A:A, Vöruskrá!F:F, "")), ""), IF(F284 = "Réttur", IFERROR(_xlfn.SINGLE(_xlfn.XLOOKUP(G284, Réttabanki!A:A, Réttabanki!AT:AT, "")), ""), "")))</f>
        <v/>
      </c>
      <c r="N284" s="26" t="str">
        <f>IF(OR(F284 = "", G284 = ""), "", IF(F284 = "Vara", IFERROR(_xlfn.SINGLE(_xlfn.XLOOKUP(G284, Vöruskrá!A:A, Vöruskrá!G:G, "")), ""), IF(F284 = "Réttur", IFERROR(_xlfn.SINGLE(_xlfn.XLOOKUP(G284, Réttabanki!A:A, Réttabanki!AU:AU, "")), ""), "")))</f>
        <v/>
      </c>
      <c r="O284" s="26" t="str">
        <f>IF(OR(F284 = "", G284 = "", I284 = ""), "", IF(F284 = "Vara", IFERROR(_xlfn.SINGLE(_xlfn.XLOOKUP(G284, Vöruskrá!A:A, Vöruskrá!I:I, "")) * I284 / 100, ""), IF(F284 = "Réttur", IFERROR(_xlfn.SINGLE(_xlfn.XLOOKUP(G284, Réttabanki!A:A, Réttabanki!AV:AV, "")) * I284 / 100, ""), "")))</f>
        <v/>
      </c>
      <c r="P284" s="26" t="str">
        <f>IF(OR(F284 = "", G284 = "", I284 = ""), "", IF(F284 = "Vara", IFERROR(_xlfn.SINGLE(_xlfn.XLOOKUP(G284, Vöruskrá!A:A, Vöruskrá!J:J, "")) * I284 / 100, ""), IF(F284 = "Réttur", IFERROR(_xlfn.SINGLE(_xlfn.XLOOKUP(G284, Réttabanki!A:A, Réttabanki!AW:AW, "")) * I284 / 100, ""), "")))</f>
        <v/>
      </c>
      <c r="Q284" s="26" t="str">
        <f>IF(OR(F284 = "", G284 = "", I284 = ""), "", IF(F284 = "Vara", IFERROR(_xlfn.SINGLE(_xlfn.XLOOKUP(G284, Vöruskrá!A:A, Vöruskrá!N:N, "")) * I284 / 100, ""), IF(F284 = "Réttur", IFERROR(_xlfn.SINGLE(_xlfn.XLOOKUP(G284, Réttabanki!A:A, Réttabanki!BB:BB, "")) * I284 / 100, ""), "")))</f>
        <v/>
      </c>
    </row>
    <row r="285" spans="2:17">
      <c r="B285" s="33" t="str">
        <f>IF(A285&lt;&gt;"",CHOOSE(WEEKDAY(A285,2),"Mánudagur","Þriðjudagur","Miðvikudagur","Fimmtudagur","Föstudagur","Laugardagur","Sunnudagur"),IF(B284&lt;&gt;"",B284,""))</f>
        <v>Fimmtudagur</v>
      </c>
      <c r="C285" s="33">
        <f>IF(A285&lt;&gt;"",WEEKNUM(A285,21),IF(C284&lt;&gt;"",C284,""))</f>
        <v>27</v>
      </c>
      <c r="D285" s="34"/>
      <c r="E285" s="34"/>
      <c r="F285" s="34"/>
      <c r="G285" s="34"/>
      <c r="H285" s="34"/>
      <c r="I285" s="35"/>
      <c r="J285" s="35"/>
      <c r="K285" s="36"/>
      <c r="L285" s="26" t="str">
        <f>IF(OR(F285 = "", G285 = ""), "", IF(F285 = "Vara", IFERROR(_xlfn.SINGLE(_xlfn.XLOOKUP(G285, Vöruskrá!A:A, Vöruskrá!E:E, "")), ""), IF(F285 = "Réttur", IFERROR(_xlfn.SINGLE(_xlfn.XLOOKUP(G285, Réttabanki!A:A, Réttabanki!AS:AS, "")), ""), "")))</f>
        <v/>
      </c>
      <c r="M285" s="26" t="str">
        <f>IF(OR(F285 = "", G285 = ""), "", IF(F285 = "Vara", IFERROR(_xlfn.SINGLE(_xlfn.XLOOKUP(G285, Vöruskrá!A:A, Vöruskrá!F:F, "")), ""), IF(F285 = "Réttur", IFERROR(_xlfn.SINGLE(_xlfn.XLOOKUP(G285, Réttabanki!A:A, Réttabanki!AT:AT, "")), ""), "")))</f>
        <v/>
      </c>
      <c r="N285" s="26" t="str">
        <f>IF(OR(F285 = "", G285 = ""), "", IF(F285 = "Vara", IFERROR(_xlfn.SINGLE(_xlfn.XLOOKUP(G285, Vöruskrá!A:A, Vöruskrá!G:G, "")), ""), IF(F285 = "Réttur", IFERROR(_xlfn.SINGLE(_xlfn.XLOOKUP(G285, Réttabanki!A:A, Réttabanki!AU:AU, "")), ""), "")))</f>
        <v/>
      </c>
      <c r="O285" s="26" t="str">
        <f>IF(OR(F285 = "", G285 = "", I285 = ""), "", IF(F285 = "Vara", IFERROR(_xlfn.SINGLE(_xlfn.XLOOKUP(G285, Vöruskrá!A:A, Vöruskrá!I:I, "")) * I285 / 100, ""), IF(F285 = "Réttur", IFERROR(_xlfn.SINGLE(_xlfn.XLOOKUP(G285, Réttabanki!A:A, Réttabanki!AV:AV, "")) * I285 / 100, ""), "")))</f>
        <v/>
      </c>
      <c r="P285" s="26" t="str">
        <f>IF(OR(F285 = "", G285 = "", I285 = ""), "", IF(F285 = "Vara", IFERROR(_xlfn.SINGLE(_xlfn.XLOOKUP(G285, Vöruskrá!A:A, Vöruskrá!J:J, "")) * I285 / 100, ""), IF(F285 = "Réttur", IFERROR(_xlfn.SINGLE(_xlfn.XLOOKUP(G285, Réttabanki!A:A, Réttabanki!AW:AW, "")) * I285 / 100, ""), "")))</f>
        <v/>
      </c>
      <c r="Q285" s="26" t="str">
        <f>IF(OR(F285 = "", G285 = "", I285 = ""), "", IF(F285 = "Vara", IFERROR(_xlfn.SINGLE(_xlfn.XLOOKUP(G285, Vöruskrá!A:A, Vöruskrá!N:N, "")) * I285 / 100, ""), IF(F285 = "Réttur", IFERROR(_xlfn.SINGLE(_xlfn.XLOOKUP(G285, Réttabanki!A:A, Réttabanki!BB:BB, "")) * I285 / 100, ""), "")))</f>
        <v/>
      </c>
    </row>
    <row r="286" spans="2:17">
      <c r="B286" s="33" t="str">
        <f>IF(A286&lt;&gt;"",CHOOSE(WEEKDAY(A286,2),"Mánudagur","Þriðjudagur","Miðvikudagur","Fimmtudagur","Föstudagur","Laugardagur","Sunnudagur"),IF(B285&lt;&gt;"",B285,""))</f>
        <v>Fimmtudagur</v>
      </c>
      <c r="C286" s="33">
        <f>IF(A286&lt;&gt;"",WEEKNUM(A286,21),IF(C285&lt;&gt;"",C285,""))</f>
        <v>27</v>
      </c>
      <c r="D286" s="34"/>
      <c r="E286" s="34"/>
      <c r="F286" s="34"/>
      <c r="G286" s="34"/>
      <c r="H286" s="34"/>
      <c r="I286" s="35"/>
      <c r="J286" s="35"/>
      <c r="K286" s="36"/>
      <c r="L286" s="26" t="str">
        <f>IF(OR(F286 = "", G286 = ""), "", IF(F286 = "Vara", IFERROR(_xlfn.SINGLE(_xlfn.XLOOKUP(G286, Vöruskrá!A:A, Vöruskrá!E:E, "")), ""), IF(F286 = "Réttur", IFERROR(_xlfn.SINGLE(_xlfn.XLOOKUP(G286, Réttabanki!A:A, Réttabanki!AS:AS, "")), ""), "")))</f>
        <v/>
      </c>
      <c r="M286" s="26" t="str">
        <f>IF(OR(F286 = "", G286 = ""), "", IF(F286 = "Vara", IFERROR(_xlfn.SINGLE(_xlfn.XLOOKUP(G286, Vöruskrá!A:A, Vöruskrá!F:F, "")), ""), IF(F286 = "Réttur", IFERROR(_xlfn.SINGLE(_xlfn.XLOOKUP(G286, Réttabanki!A:A, Réttabanki!AT:AT, "")), ""), "")))</f>
        <v/>
      </c>
      <c r="N286" s="26" t="str">
        <f>IF(OR(F286 = "", G286 = ""), "", IF(F286 = "Vara", IFERROR(_xlfn.SINGLE(_xlfn.XLOOKUP(G286, Vöruskrá!A:A, Vöruskrá!G:G, "")), ""), IF(F286 = "Réttur", IFERROR(_xlfn.SINGLE(_xlfn.XLOOKUP(G286, Réttabanki!A:A, Réttabanki!AU:AU, "")), ""), "")))</f>
        <v/>
      </c>
      <c r="O286" s="26" t="str">
        <f>IF(OR(F286 = "", G286 = "", I286 = ""), "", IF(F286 = "Vara", IFERROR(_xlfn.SINGLE(_xlfn.XLOOKUP(G286, Vöruskrá!A:A, Vöruskrá!I:I, "")) * I286 / 100, ""), IF(F286 = "Réttur", IFERROR(_xlfn.SINGLE(_xlfn.XLOOKUP(G286, Réttabanki!A:A, Réttabanki!AV:AV, "")) * I286 / 100, ""), "")))</f>
        <v/>
      </c>
      <c r="P286" s="26" t="str">
        <f>IF(OR(F286 = "", G286 = "", I286 = ""), "", IF(F286 = "Vara", IFERROR(_xlfn.SINGLE(_xlfn.XLOOKUP(G286, Vöruskrá!A:A, Vöruskrá!J:J, "")) * I286 / 100, ""), IF(F286 = "Réttur", IFERROR(_xlfn.SINGLE(_xlfn.XLOOKUP(G286, Réttabanki!A:A, Réttabanki!AW:AW, "")) * I286 / 100, ""), "")))</f>
        <v/>
      </c>
      <c r="Q286" s="26" t="str">
        <f>IF(OR(F286 = "", G286 = "", I286 = ""), "", IF(F286 = "Vara", IFERROR(_xlfn.SINGLE(_xlfn.XLOOKUP(G286, Vöruskrá!A:A, Vöruskrá!N:N, "")) * I286 / 100, ""), IF(F286 = "Réttur", IFERROR(_xlfn.SINGLE(_xlfn.XLOOKUP(G286, Réttabanki!A:A, Réttabanki!BB:BB, "")) * I286 / 100, ""), "")))</f>
        <v/>
      </c>
    </row>
    <row r="287" spans="2:17">
      <c r="B287" s="33" t="str">
        <f>IF(A287&lt;&gt;"",CHOOSE(WEEKDAY(A287,2),"Mánudagur","Þriðjudagur","Miðvikudagur","Fimmtudagur","Föstudagur","Laugardagur","Sunnudagur"),IF(B286&lt;&gt;"",B286,""))</f>
        <v>Fimmtudagur</v>
      </c>
      <c r="C287" s="33">
        <f>IF(A287&lt;&gt;"",WEEKNUM(A287,21),IF(C286&lt;&gt;"",C286,""))</f>
        <v>27</v>
      </c>
      <c r="D287" s="34"/>
      <c r="E287" s="34"/>
      <c r="F287" s="34"/>
      <c r="G287" s="34"/>
      <c r="H287" s="34"/>
      <c r="I287" s="35"/>
      <c r="J287" s="35"/>
      <c r="K287" s="36"/>
      <c r="L287" s="26" t="str">
        <f>IF(OR(F287 = "", G287 = ""), "", IF(F287 = "Vara", IFERROR(_xlfn.SINGLE(_xlfn.XLOOKUP(G287, Vöruskrá!A:A, Vöruskrá!E:E, "")), ""), IF(F287 = "Réttur", IFERROR(_xlfn.SINGLE(_xlfn.XLOOKUP(G287, Réttabanki!A:A, Réttabanki!AS:AS, "")), ""), "")))</f>
        <v/>
      </c>
      <c r="M287" s="26" t="str">
        <f>IF(OR(F287 = "", G287 = ""), "", IF(F287 = "Vara", IFERROR(_xlfn.SINGLE(_xlfn.XLOOKUP(G287, Vöruskrá!A:A, Vöruskrá!F:F, "")), ""), IF(F287 = "Réttur", IFERROR(_xlfn.SINGLE(_xlfn.XLOOKUP(G287, Réttabanki!A:A, Réttabanki!AT:AT, "")), ""), "")))</f>
        <v/>
      </c>
      <c r="N287" s="26" t="str">
        <f>IF(OR(F287 = "", G287 = ""), "", IF(F287 = "Vara", IFERROR(_xlfn.SINGLE(_xlfn.XLOOKUP(G287, Vöruskrá!A:A, Vöruskrá!G:G, "")), ""), IF(F287 = "Réttur", IFERROR(_xlfn.SINGLE(_xlfn.XLOOKUP(G287, Réttabanki!A:A, Réttabanki!AU:AU, "")), ""), "")))</f>
        <v/>
      </c>
      <c r="O287" s="26" t="str">
        <f>IF(OR(F287 = "", G287 = "", I287 = ""), "", IF(F287 = "Vara", IFERROR(_xlfn.SINGLE(_xlfn.XLOOKUP(G287, Vöruskrá!A:A, Vöruskrá!I:I, "")) * I287 / 100, ""), IF(F287 = "Réttur", IFERROR(_xlfn.SINGLE(_xlfn.XLOOKUP(G287, Réttabanki!A:A, Réttabanki!AV:AV, "")) * I287 / 100, ""), "")))</f>
        <v/>
      </c>
      <c r="P287" s="26" t="str">
        <f>IF(OR(F287 = "", G287 = "", I287 = ""), "", IF(F287 = "Vara", IFERROR(_xlfn.SINGLE(_xlfn.XLOOKUP(G287, Vöruskrá!A:A, Vöruskrá!J:J, "")) * I287 / 100, ""), IF(F287 = "Réttur", IFERROR(_xlfn.SINGLE(_xlfn.XLOOKUP(G287, Réttabanki!A:A, Réttabanki!AW:AW, "")) * I287 / 100, ""), "")))</f>
        <v/>
      </c>
      <c r="Q287" s="26" t="str">
        <f>IF(OR(F287 = "", G287 = "", I287 = ""), "", IF(F287 = "Vara", IFERROR(_xlfn.SINGLE(_xlfn.XLOOKUP(G287, Vöruskrá!A:A, Vöruskrá!N:N, "")) * I287 / 100, ""), IF(F287 = "Réttur", IFERROR(_xlfn.SINGLE(_xlfn.XLOOKUP(G287, Réttabanki!A:A, Réttabanki!BB:BB, "")) * I287 / 100, ""), "")))</f>
        <v/>
      </c>
    </row>
    <row r="288" spans="2:17">
      <c r="B288" s="33" t="str">
        <f>IF(A288&lt;&gt;"",CHOOSE(WEEKDAY(A288,2),"Mánudagur","Þriðjudagur","Miðvikudagur","Fimmtudagur","Föstudagur","Laugardagur","Sunnudagur"),IF(B287&lt;&gt;"",B287,""))</f>
        <v>Fimmtudagur</v>
      </c>
      <c r="C288" s="33">
        <f>IF(A288&lt;&gt;"",WEEKNUM(A288,21),IF(C287&lt;&gt;"",C287,""))</f>
        <v>27</v>
      </c>
      <c r="D288" s="34"/>
      <c r="E288" s="34"/>
      <c r="F288" s="34"/>
      <c r="G288" s="34"/>
      <c r="H288" s="34"/>
      <c r="I288" s="35"/>
      <c r="J288" s="35"/>
      <c r="K288" s="36"/>
      <c r="L288" s="26" t="str">
        <f>IF(OR(F288 = "", G288 = ""), "", IF(F288 = "Vara", IFERROR(_xlfn.SINGLE(_xlfn.XLOOKUP(G288, Vöruskrá!A:A, Vöruskrá!E:E, "")), ""), IF(F288 = "Réttur", IFERROR(_xlfn.SINGLE(_xlfn.XLOOKUP(G288, Réttabanki!A:A, Réttabanki!AS:AS, "")), ""), "")))</f>
        <v/>
      </c>
      <c r="M288" s="26" t="str">
        <f>IF(OR(F288 = "", G288 = ""), "", IF(F288 = "Vara", IFERROR(_xlfn.SINGLE(_xlfn.XLOOKUP(G288, Vöruskrá!A:A, Vöruskrá!F:F, "")), ""), IF(F288 = "Réttur", IFERROR(_xlfn.SINGLE(_xlfn.XLOOKUP(G288, Réttabanki!A:A, Réttabanki!AT:AT, "")), ""), "")))</f>
        <v/>
      </c>
      <c r="N288" s="26" t="str">
        <f>IF(OR(F288 = "", G288 = ""), "", IF(F288 = "Vara", IFERROR(_xlfn.SINGLE(_xlfn.XLOOKUP(G288, Vöruskrá!A:A, Vöruskrá!G:G, "")), ""), IF(F288 = "Réttur", IFERROR(_xlfn.SINGLE(_xlfn.XLOOKUP(G288, Réttabanki!A:A, Réttabanki!AU:AU, "")), ""), "")))</f>
        <v/>
      </c>
      <c r="O288" s="26" t="str">
        <f>IF(OR(F288 = "", G288 = "", I288 = ""), "", IF(F288 = "Vara", IFERROR(_xlfn.SINGLE(_xlfn.XLOOKUP(G288, Vöruskrá!A:A, Vöruskrá!I:I, "")) * I288 / 100, ""), IF(F288 = "Réttur", IFERROR(_xlfn.SINGLE(_xlfn.XLOOKUP(G288, Réttabanki!A:A, Réttabanki!AV:AV, "")) * I288 / 100, ""), "")))</f>
        <v/>
      </c>
      <c r="P288" s="26" t="str">
        <f>IF(OR(F288 = "", G288 = "", I288 = ""), "", IF(F288 = "Vara", IFERROR(_xlfn.SINGLE(_xlfn.XLOOKUP(G288, Vöruskrá!A:A, Vöruskrá!J:J, "")) * I288 / 100, ""), IF(F288 = "Réttur", IFERROR(_xlfn.SINGLE(_xlfn.XLOOKUP(G288, Réttabanki!A:A, Réttabanki!AW:AW, "")) * I288 / 100, ""), "")))</f>
        <v/>
      </c>
      <c r="Q288" s="26" t="str">
        <f>IF(OR(F288 = "", G288 = "", I288 = ""), "", IF(F288 = "Vara", IFERROR(_xlfn.SINGLE(_xlfn.XLOOKUP(G288, Vöruskrá!A:A, Vöruskrá!N:N, "")) * I288 / 100, ""), IF(F288 = "Réttur", IFERROR(_xlfn.SINGLE(_xlfn.XLOOKUP(G288, Réttabanki!A:A, Réttabanki!BB:BB, "")) * I288 / 100, ""), "")))</f>
        <v/>
      </c>
    </row>
    <row r="289" spans="2:17">
      <c r="B289" s="33" t="str">
        <f>IF(A289&lt;&gt;"",CHOOSE(WEEKDAY(A289,2),"Mánudagur","Þriðjudagur","Miðvikudagur","Fimmtudagur","Föstudagur","Laugardagur","Sunnudagur"),IF(B288&lt;&gt;"",B288,""))</f>
        <v>Fimmtudagur</v>
      </c>
      <c r="C289" s="33">
        <f>IF(A289&lt;&gt;"",WEEKNUM(A289,21),IF(C288&lt;&gt;"",C288,""))</f>
        <v>27</v>
      </c>
      <c r="D289" s="34"/>
      <c r="E289" s="34"/>
      <c r="F289" s="34"/>
      <c r="G289" s="34"/>
      <c r="H289" s="34"/>
      <c r="I289" s="35"/>
      <c r="J289" s="35"/>
      <c r="K289" s="36"/>
      <c r="L289" s="26" t="str">
        <f>IF(OR(F289 = "", G289 = ""), "", IF(F289 = "Vara", IFERROR(_xlfn.SINGLE(_xlfn.XLOOKUP(G289, Vöruskrá!A:A, Vöruskrá!E:E, "")), ""), IF(F289 = "Réttur", IFERROR(_xlfn.SINGLE(_xlfn.XLOOKUP(G289, Réttabanki!A:A, Réttabanki!AS:AS, "")), ""), "")))</f>
        <v/>
      </c>
      <c r="M289" s="26" t="str">
        <f>IF(OR(F289 = "", G289 = ""), "", IF(F289 = "Vara", IFERROR(_xlfn.SINGLE(_xlfn.XLOOKUP(G289, Vöruskrá!A:A, Vöruskrá!F:F, "")), ""), IF(F289 = "Réttur", IFERROR(_xlfn.SINGLE(_xlfn.XLOOKUP(G289, Réttabanki!A:A, Réttabanki!AT:AT, "")), ""), "")))</f>
        <v/>
      </c>
      <c r="N289" s="26" t="str">
        <f>IF(OR(F289 = "", G289 = ""), "", IF(F289 = "Vara", IFERROR(_xlfn.SINGLE(_xlfn.XLOOKUP(G289, Vöruskrá!A:A, Vöruskrá!G:G, "")), ""), IF(F289 = "Réttur", IFERROR(_xlfn.SINGLE(_xlfn.XLOOKUP(G289, Réttabanki!A:A, Réttabanki!AU:AU, "")), ""), "")))</f>
        <v/>
      </c>
      <c r="O289" s="26" t="str">
        <f>IF(OR(F289 = "", G289 = "", I289 = ""), "", IF(F289 = "Vara", IFERROR(_xlfn.SINGLE(_xlfn.XLOOKUP(G289, Vöruskrá!A:A, Vöruskrá!I:I, "")) * I289 / 100, ""), IF(F289 = "Réttur", IFERROR(_xlfn.SINGLE(_xlfn.XLOOKUP(G289, Réttabanki!A:A, Réttabanki!AV:AV, "")) * I289 / 100, ""), "")))</f>
        <v/>
      </c>
      <c r="P289" s="26" t="str">
        <f>IF(OR(F289 = "", G289 = "", I289 = ""), "", IF(F289 = "Vara", IFERROR(_xlfn.SINGLE(_xlfn.XLOOKUP(G289, Vöruskrá!A:A, Vöruskrá!J:J, "")) * I289 / 100, ""), IF(F289 = "Réttur", IFERROR(_xlfn.SINGLE(_xlfn.XLOOKUP(G289, Réttabanki!A:A, Réttabanki!AW:AW, "")) * I289 / 100, ""), "")))</f>
        <v/>
      </c>
      <c r="Q289" s="26" t="str">
        <f>IF(OR(F289 = "", G289 = "", I289 = ""), "", IF(F289 = "Vara", IFERROR(_xlfn.SINGLE(_xlfn.XLOOKUP(G289, Vöruskrá!A:A, Vöruskrá!N:N, "")) * I289 / 100, ""), IF(F289 = "Réttur", IFERROR(_xlfn.SINGLE(_xlfn.XLOOKUP(G289, Réttabanki!A:A, Réttabanki!BB:BB, "")) * I289 / 100, ""), "")))</f>
        <v/>
      </c>
    </row>
    <row r="290" spans="2:17">
      <c r="B290" s="33" t="str">
        <f>IF(A290&lt;&gt;"",CHOOSE(WEEKDAY(A290,2),"Mánudagur","Þriðjudagur","Miðvikudagur","Fimmtudagur","Föstudagur","Laugardagur","Sunnudagur"),IF(B289&lt;&gt;"",B289,""))</f>
        <v>Fimmtudagur</v>
      </c>
      <c r="C290" s="33">
        <f>IF(A290&lt;&gt;"",WEEKNUM(A290,21),IF(C289&lt;&gt;"",C289,""))</f>
        <v>27</v>
      </c>
      <c r="D290" s="34"/>
      <c r="E290" s="34"/>
      <c r="F290" s="34"/>
      <c r="G290" s="34"/>
      <c r="H290" s="34"/>
      <c r="I290" s="35"/>
      <c r="J290" s="35"/>
      <c r="K290" s="36"/>
      <c r="L290" s="26" t="str">
        <f>IF(OR(F290 = "", G290 = ""), "", IF(F290 = "Vara", IFERROR(_xlfn.SINGLE(_xlfn.XLOOKUP(G290, Vöruskrá!A:A, Vöruskrá!E:E, "")), ""), IF(F290 = "Réttur", IFERROR(_xlfn.SINGLE(_xlfn.XLOOKUP(G290, Réttabanki!A:A, Réttabanki!AS:AS, "")), ""), "")))</f>
        <v/>
      </c>
      <c r="M290" s="26" t="str">
        <f>IF(OR(F290 = "", G290 = ""), "", IF(F290 = "Vara", IFERROR(_xlfn.SINGLE(_xlfn.XLOOKUP(G290, Vöruskrá!A:A, Vöruskrá!F:F, "")), ""), IF(F290 = "Réttur", IFERROR(_xlfn.SINGLE(_xlfn.XLOOKUP(G290, Réttabanki!A:A, Réttabanki!AT:AT, "")), ""), "")))</f>
        <v/>
      </c>
      <c r="N290" s="26" t="str">
        <f>IF(OR(F290 = "", G290 = ""), "", IF(F290 = "Vara", IFERROR(_xlfn.SINGLE(_xlfn.XLOOKUP(G290, Vöruskrá!A:A, Vöruskrá!G:G, "")), ""), IF(F290 = "Réttur", IFERROR(_xlfn.SINGLE(_xlfn.XLOOKUP(G290, Réttabanki!A:A, Réttabanki!AU:AU, "")), ""), "")))</f>
        <v/>
      </c>
      <c r="O290" s="26" t="str">
        <f>IF(OR(F290 = "", G290 = "", I290 = ""), "", IF(F290 = "Vara", IFERROR(_xlfn.SINGLE(_xlfn.XLOOKUP(G290, Vöruskrá!A:A, Vöruskrá!I:I, "")) * I290 / 100, ""), IF(F290 = "Réttur", IFERROR(_xlfn.SINGLE(_xlfn.XLOOKUP(G290, Réttabanki!A:A, Réttabanki!AV:AV, "")) * I290 / 100, ""), "")))</f>
        <v/>
      </c>
      <c r="P290" s="26" t="str">
        <f>IF(OR(F290 = "", G290 = "", I290 = ""), "", IF(F290 = "Vara", IFERROR(_xlfn.SINGLE(_xlfn.XLOOKUP(G290, Vöruskrá!A:A, Vöruskrá!J:J, "")) * I290 / 100, ""), IF(F290 = "Réttur", IFERROR(_xlfn.SINGLE(_xlfn.XLOOKUP(G290, Réttabanki!A:A, Réttabanki!AW:AW, "")) * I290 / 100, ""), "")))</f>
        <v/>
      </c>
      <c r="Q290" s="26" t="str">
        <f>IF(OR(F290 = "", G290 = "", I290 = ""), "", IF(F290 = "Vara", IFERROR(_xlfn.SINGLE(_xlfn.XLOOKUP(G290, Vöruskrá!A:A, Vöruskrá!N:N, "")) * I290 / 100, ""), IF(F290 = "Réttur", IFERROR(_xlfn.SINGLE(_xlfn.XLOOKUP(G290, Réttabanki!A:A, Réttabanki!BB:BB, "")) * I290 / 100, ""), "")))</f>
        <v/>
      </c>
    </row>
    <row r="291" spans="2:17">
      <c r="B291" s="33" t="str">
        <f>IF(A291&lt;&gt;"",CHOOSE(WEEKDAY(A291,2),"Mánudagur","Þriðjudagur","Miðvikudagur","Fimmtudagur","Föstudagur","Laugardagur","Sunnudagur"),IF(B290&lt;&gt;"",B290,""))</f>
        <v>Fimmtudagur</v>
      </c>
      <c r="C291" s="33">
        <f>IF(A291&lt;&gt;"",WEEKNUM(A291,21),IF(C290&lt;&gt;"",C290,""))</f>
        <v>27</v>
      </c>
      <c r="D291" s="34"/>
      <c r="E291" s="34"/>
      <c r="F291" s="34"/>
      <c r="G291" s="34"/>
      <c r="H291" s="34"/>
      <c r="I291" s="35"/>
      <c r="J291" s="35"/>
      <c r="K291" s="36"/>
      <c r="L291" s="26" t="str">
        <f>IF(OR(F291 = "", G291 = ""), "", IF(F291 = "Vara", IFERROR(_xlfn.SINGLE(_xlfn.XLOOKUP(G291, Vöruskrá!A:A, Vöruskrá!E:E, "")), ""), IF(F291 = "Réttur", IFERROR(_xlfn.SINGLE(_xlfn.XLOOKUP(G291, Réttabanki!A:A, Réttabanki!AS:AS, "")), ""), "")))</f>
        <v/>
      </c>
      <c r="M291" s="26" t="str">
        <f>IF(OR(F291 = "", G291 = ""), "", IF(F291 = "Vara", IFERROR(_xlfn.SINGLE(_xlfn.XLOOKUP(G291, Vöruskrá!A:A, Vöruskrá!F:F, "")), ""), IF(F291 = "Réttur", IFERROR(_xlfn.SINGLE(_xlfn.XLOOKUP(G291, Réttabanki!A:A, Réttabanki!AT:AT, "")), ""), "")))</f>
        <v/>
      </c>
      <c r="N291" s="26" t="str">
        <f>IF(OR(F291 = "", G291 = ""), "", IF(F291 = "Vara", IFERROR(_xlfn.SINGLE(_xlfn.XLOOKUP(G291, Vöruskrá!A:A, Vöruskrá!G:G, "")), ""), IF(F291 = "Réttur", IFERROR(_xlfn.SINGLE(_xlfn.XLOOKUP(G291, Réttabanki!A:A, Réttabanki!AU:AU, "")), ""), "")))</f>
        <v/>
      </c>
      <c r="O291" s="26" t="str">
        <f>IF(OR(F291 = "", G291 = "", I291 = ""), "", IF(F291 = "Vara", IFERROR(_xlfn.SINGLE(_xlfn.XLOOKUP(G291, Vöruskrá!A:A, Vöruskrá!I:I, "")) * I291 / 100, ""), IF(F291 = "Réttur", IFERROR(_xlfn.SINGLE(_xlfn.XLOOKUP(G291, Réttabanki!A:A, Réttabanki!AV:AV, "")) * I291 / 100, ""), "")))</f>
        <v/>
      </c>
      <c r="P291" s="26" t="str">
        <f>IF(OR(F291 = "", G291 = "", I291 = ""), "", IF(F291 = "Vara", IFERROR(_xlfn.SINGLE(_xlfn.XLOOKUP(G291, Vöruskrá!A:A, Vöruskrá!J:J, "")) * I291 / 100, ""), IF(F291 = "Réttur", IFERROR(_xlfn.SINGLE(_xlfn.XLOOKUP(G291, Réttabanki!A:A, Réttabanki!AW:AW, "")) * I291 / 100, ""), "")))</f>
        <v/>
      </c>
      <c r="Q291" s="26" t="str">
        <f>IF(OR(F291 = "", G291 = "", I291 = ""), "", IF(F291 = "Vara", IFERROR(_xlfn.SINGLE(_xlfn.XLOOKUP(G291, Vöruskrá!A:A, Vöruskrá!N:N, "")) * I291 / 100, ""), IF(F291 = "Réttur", IFERROR(_xlfn.SINGLE(_xlfn.XLOOKUP(G291, Réttabanki!A:A, Réttabanki!BB:BB, "")) * I291 / 100, ""), "")))</f>
        <v/>
      </c>
    </row>
    <row r="292" spans="2:17">
      <c r="B292" s="33" t="str">
        <f>IF(A292&lt;&gt;"",CHOOSE(WEEKDAY(A292,2),"Mánudagur","Þriðjudagur","Miðvikudagur","Fimmtudagur","Föstudagur","Laugardagur","Sunnudagur"),IF(B291&lt;&gt;"",B291,""))</f>
        <v>Fimmtudagur</v>
      </c>
      <c r="C292" s="33">
        <f>IF(A292&lt;&gt;"",WEEKNUM(A292,21),IF(C291&lt;&gt;"",C291,""))</f>
        <v>27</v>
      </c>
      <c r="D292" s="34"/>
      <c r="E292" s="34"/>
      <c r="F292" s="34"/>
      <c r="G292" s="34"/>
      <c r="H292" s="34"/>
      <c r="I292" s="35"/>
      <c r="J292" s="35"/>
      <c r="K292" s="36"/>
      <c r="L292" s="26" t="str">
        <f>IF(OR(F292 = "", G292 = ""), "", IF(F292 = "Vara", IFERROR(_xlfn.SINGLE(_xlfn.XLOOKUP(G292, Vöruskrá!A:A, Vöruskrá!E:E, "")), ""), IF(F292 = "Réttur", IFERROR(_xlfn.SINGLE(_xlfn.XLOOKUP(G292, Réttabanki!A:A, Réttabanki!AS:AS, "")), ""), "")))</f>
        <v/>
      </c>
      <c r="M292" s="26" t="str">
        <f>IF(OR(F292 = "", G292 = ""), "", IF(F292 = "Vara", IFERROR(_xlfn.SINGLE(_xlfn.XLOOKUP(G292, Vöruskrá!A:A, Vöruskrá!F:F, "")), ""), IF(F292 = "Réttur", IFERROR(_xlfn.SINGLE(_xlfn.XLOOKUP(G292, Réttabanki!A:A, Réttabanki!AT:AT, "")), ""), "")))</f>
        <v/>
      </c>
      <c r="N292" s="26" t="str">
        <f>IF(OR(F292 = "", G292 = ""), "", IF(F292 = "Vara", IFERROR(_xlfn.SINGLE(_xlfn.XLOOKUP(G292, Vöruskrá!A:A, Vöruskrá!G:G, "")), ""), IF(F292 = "Réttur", IFERROR(_xlfn.SINGLE(_xlfn.XLOOKUP(G292, Réttabanki!A:A, Réttabanki!AU:AU, "")), ""), "")))</f>
        <v/>
      </c>
      <c r="O292" s="26" t="str">
        <f>IF(OR(F292 = "", G292 = "", I292 = ""), "", IF(F292 = "Vara", IFERROR(_xlfn.SINGLE(_xlfn.XLOOKUP(G292, Vöruskrá!A:A, Vöruskrá!I:I, "")) * I292 / 100, ""), IF(F292 = "Réttur", IFERROR(_xlfn.SINGLE(_xlfn.XLOOKUP(G292, Réttabanki!A:A, Réttabanki!AV:AV, "")) * I292 / 100, ""), "")))</f>
        <v/>
      </c>
      <c r="P292" s="26" t="str">
        <f>IF(OR(F292 = "", G292 = "", I292 = ""), "", IF(F292 = "Vara", IFERROR(_xlfn.SINGLE(_xlfn.XLOOKUP(G292, Vöruskrá!A:A, Vöruskrá!J:J, "")) * I292 / 100, ""), IF(F292 = "Réttur", IFERROR(_xlfn.SINGLE(_xlfn.XLOOKUP(G292, Réttabanki!A:A, Réttabanki!AW:AW, "")) * I292 / 100, ""), "")))</f>
        <v/>
      </c>
      <c r="Q292" s="26" t="str">
        <f>IF(OR(F292 = "", G292 = "", I292 = ""), "", IF(F292 = "Vara", IFERROR(_xlfn.SINGLE(_xlfn.XLOOKUP(G292, Vöruskrá!A:A, Vöruskrá!N:N, "")) * I292 / 100, ""), IF(F292 = "Réttur", IFERROR(_xlfn.SINGLE(_xlfn.XLOOKUP(G292, Réttabanki!A:A, Réttabanki!BB:BB, "")) * I292 / 100, ""), "")))</f>
        <v/>
      </c>
    </row>
    <row r="293" spans="2:17">
      <c r="B293" s="33" t="str">
        <f>IF(A293&lt;&gt;"",CHOOSE(WEEKDAY(A293,2),"Mánudagur","Þriðjudagur","Miðvikudagur","Fimmtudagur","Föstudagur","Laugardagur","Sunnudagur"),IF(B292&lt;&gt;"",B292,""))</f>
        <v>Fimmtudagur</v>
      </c>
      <c r="C293" s="33">
        <f>IF(A293&lt;&gt;"",WEEKNUM(A293,21),IF(C292&lt;&gt;"",C292,""))</f>
        <v>27</v>
      </c>
      <c r="D293" s="34"/>
      <c r="E293" s="34"/>
      <c r="F293" s="34"/>
      <c r="G293" s="34"/>
      <c r="H293" s="34"/>
      <c r="I293" s="35"/>
      <c r="J293" s="35"/>
      <c r="K293" s="36"/>
      <c r="L293" s="26" t="str">
        <f>IF(OR(F293 = "", G293 = ""), "", IF(F293 = "Vara", IFERROR(_xlfn.SINGLE(_xlfn.XLOOKUP(G293, Vöruskrá!A:A, Vöruskrá!E:E, "")), ""), IF(F293 = "Réttur", IFERROR(_xlfn.SINGLE(_xlfn.XLOOKUP(G293, Réttabanki!A:A, Réttabanki!AS:AS, "")), ""), "")))</f>
        <v/>
      </c>
      <c r="M293" s="26" t="str">
        <f>IF(OR(F293 = "", G293 = ""), "", IF(F293 = "Vara", IFERROR(_xlfn.SINGLE(_xlfn.XLOOKUP(G293, Vöruskrá!A:A, Vöruskrá!F:F, "")), ""), IF(F293 = "Réttur", IFERROR(_xlfn.SINGLE(_xlfn.XLOOKUP(G293, Réttabanki!A:A, Réttabanki!AT:AT, "")), ""), "")))</f>
        <v/>
      </c>
      <c r="N293" s="26" t="str">
        <f>IF(OR(F293 = "", G293 = ""), "", IF(F293 = "Vara", IFERROR(_xlfn.SINGLE(_xlfn.XLOOKUP(G293, Vöruskrá!A:A, Vöruskrá!G:G, "")), ""), IF(F293 = "Réttur", IFERROR(_xlfn.SINGLE(_xlfn.XLOOKUP(G293, Réttabanki!A:A, Réttabanki!AU:AU, "")), ""), "")))</f>
        <v/>
      </c>
      <c r="O293" s="26" t="str">
        <f>IF(OR(F293 = "", G293 = "", I293 = ""), "", IF(F293 = "Vara", IFERROR(_xlfn.SINGLE(_xlfn.XLOOKUP(G293, Vöruskrá!A:A, Vöruskrá!I:I, "")) * I293 / 100, ""), IF(F293 = "Réttur", IFERROR(_xlfn.SINGLE(_xlfn.XLOOKUP(G293, Réttabanki!A:A, Réttabanki!AV:AV, "")) * I293 / 100, ""), "")))</f>
        <v/>
      </c>
      <c r="P293" s="26" t="str">
        <f>IF(OR(F293 = "", G293 = "", I293 = ""), "", IF(F293 = "Vara", IFERROR(_xlfn.SINGLE(_xlfn.XLOOKUP(G293, Vöruskrá!A:A, Vöruskrá!J:J, "")) * I293 / 100, ""), IF(F293 = "Réttur", IFERROR(_xlfn.SINGLE(_xlfn.XLOOKUP(G293, Réttabanki!A:A, Réttabanki!AW:AW, "")) * I293 / 100, ""), "")))</f>
        <v/>
      </c>
      <c r="Q293" s="26" t="str">
        <f>IF(OR(F293 = "", G293 = "", I293 = ""), "", IF(F293 = "Vara", IFERROR(_xlfn.SINGLE(_xlfn.XLOOKUP(G293, Vöruskrá!A:A, Vöruskrá!N:N, "")) * I293 / 100, ""), IF(F293 = "Réttur", IFERROR(_xlfn.SINGLE(_xlfn.XLOOKUP(G293, Réttabanki!A:A, Réttabanki!BB:BB, "")) * I293 / 100, ""), "")))</f>
        <v/>
      </c>
    </row>
    <row r="294" spans="2:17">
      <c r="B294" s="33" t="str">
        <f>IF(A294&lt;&gt;"",CHOOSE(WEEKDAY(A294,2),"Mánudagur","Þriðjudagur","Miðvikudagur","Fimmtudagur","Föstudagur","Laugardagur","Sunnudagur"),IF(B293&lt;&gt;"",B293,""))</f>
        <v>Fimmtudagur</v>
      </c>
      <c r="C294" s="33">
        <f>IF(A294&lt;&gt;"",WEEKNUM(A294,21),IF(C293&lt;&gt;"",C293,""))</f>
        <v>27</v>
      </c>
      <c r="D294" s="34"/>
      <c r="E294" s="34"/>
      <c r="F294" s="34"/>
      <c r="G294" s="34"/>
      <c r="H294" s="34"/>
      <c r="I294" s="35"/>
      <c r="J294" s="35"/>
      <c r="K294" s="36"/>
      <c r="L294" s="26" t="str">
        <f>IF(OR(F294 = "", G294 = ""), "", IF(F294 = "Vara", IFERROR(_xlfn.SINGLE(_xlfn.XLOOKUP(G294, Vöruskrá!A:A, Vöruskrá!E:E, "")), ""), IF(F294 = "Réttur", IFERROR(_xlfn.SINGLE(_xlfn.XLOOKUP(G294, Réttabanki!A:A, Réttabanki!AS:AS, "")), ""), "")))</f>
        <v/>
      </c>
      <c r="M294" s="26" t="str">
        <f>IF(OR(F294 = "", G294 = ""), "", IF(F294 = "Vara", IFERROR(_xlfn.SINGLE(_xlfn.XLOOKUP(G294, Vöruskrá!A:A, Vöruskrá!F:F, "")), ""), IF(F294 = "Réttur", IFERROR(_xlfn.SINGLE(_xlfn.XLOOKUP(G294, Réttabanki!A:A, Réttabanki!AT:AT, "")), ""), "")))</f>
        <v/>
      </c>
      <c r="N294" s="26" t="str">
        <f>IF(OR(F294 = "", G294 = ""), "", IF(F294 = "Vara", IFERROR(_xlfn.SINGLE(_xlfn.XLOOKUP(G294, Vöruskrá!A:A, Vöruskrá!G:G, "")), ""), IF(F294 = "Réttur", IFERROR(_xlfn.SINGLE(_xlfn.XLOOKUP(G294, Réttabanki!A:A, Réttabanki!AU:AU, "")), ""), "")))</f>
        <v/>
      </c>
      <c r="O294" s="26" t="str">
        <f>IF(OR(F294 = "", G294 = "", I294 = ""), "", IF(F294 = "Vara", IFERROR(_xlfn.SINGLE(_xlfn.XLOOKUP(G294, Vöruskrá!A:A, Vöruskrá!I:I, "")) * I294 / 100, ""), IF(F294 = "Réttur", IFERROR(_xlfn.SINGLE(_xlfn.XLOOKUP(G294, Réttabanki!A:A, Réttabanki!AV:AV, "")) * I294 / 100, ""), "")))</f>
        <v/>
      </c>
      <c r="P294" s="26" t="str">
        <f>IF(OR(F294 = "", G294 = "", I294 = ""), "", IF(F294 = "Vara", IFERROR(_xlfn.SINGLE(_xlfn.XLOOKUP(G294, Vöruskrá!A:A, Vöruskrá!J:J, "")) * I294 / 100, ""), IF(F294 = "Réttur", IFERROR(_xlfn.SINGLE(_xlfn.XLOOKUP(G294, Réttabanki!A:A, Réttabanki!AW:AW, "")) * I294 / 100, ""), "")))</f>
        <v/>
      </c>
      <c r="Q294" s="26" t="str">
        <f>IF(OR(F294 = "", G294 = "", I294 = ""), "", IF(F294 = "Vara", IFERROR(_xlfn.SINGLE(_xlfn.XLOOKUP(G294, Vöruskrá!A:A, Vöruskrá!N:N, "")) * I294 / 100, ""), IF(F294 = "Réttur", IFERROR(_xlfn.SINGLE(_xlfn.XLOOKUP(G294, Réttabanki!A:A, Réttabanki!BB:BB, "")) * I294 / 100, ""), "")))</f>
        <v/>
      </c>
    </row>
    <row r="295" spans="2:17">
      <c r="B295" s="33" t="str">
        <f>IF(A295&lt;&gt;"",CHOOSE(WEEKDAY(A295,2),"Mánudagur","Þriðjudagur","Miðvikudagur","Fimmtudagur","Föstudagur","Laugardagur","Sunnudagur"),IF(B294&lt;&gt;"",B294,""))</f>
        <v>Fimmtudagur</v>
      </c>
      <c r="C295" s="33">
        <f>IF(A295&lt;&gt;"",WEEKNUM(A295,21),IF(C294&lt;&gt;"",C294,""))</f>
        <v>27</v>
      </c>
      <c r="D295" s="34"/>
      <c r="E295" s="34"/>
      <c r="F295" s="34"/>
      <c r="G295" s="34"/>
      <c r="H295" s="34"/>
      <c r="I295" s="35"/>
      <c r="J295" s="35"/>
      <c r="K295" s="36"/>
      <c r="L295" s="26" t="str">
        <f>IF(OR(F295 = "", G295 = ""), "", IF(F295 = "Vara", IFERROR(_xlfn.SINGLE(_xlfn.XLOOKUP(G295, Vöruskrá!A:A, Vöruskrá!E:E, "")), ""), IF(F295 = "Réttur", IFERROR(_xlfn.SINGLE(_xlfn.XLOOKUP(G295, Réttabanki!A:A, Réttabanki!AS:AS, "")), ""), "")))</f>
        <v/>
      </c>
      <c r="M295" s="26" t="str">
        <f>IF(OR(F295 = "", G295 = ""), "", IF(F295 = "Vara", IFERROR(_xlfn.SINGLE(_xlfn.XLOOKUP(G295, Vöruskrá!A:A, Vöruskrá!F:F, "")), ""), IF(F295 = "Réttur", IFERROR(_xlfn.SINGLE(_xlfn.XLOOKUP(G295, Réttabanki!A:A, Réttabanki!AT:AT, "")), ""), "")))</f>
        <v/>
      </c>
      <c r="N295" s="26" t="str">
        <f>IF(OR(F295 = "", G295 = ""), "", IF(F295 = "Vara", IFERROR(_xlfn.SINGLE(_xlfn.XLOOKUP(G295, Vöruskrá!A:A, Vöruskrá!G:G, "")), ""), IF(F295 = "Réttur", IFERROR(_xlfn.SINGLE(_xlfn.XLOOKUP(G295, Réttabanki!A:A, Réttabanki!AU:AU, "")), ""), "")))</f>
        <v/>
      </c>
      <c r="O295" s="26" t="str">
        <f>IF(OR(F295 = "", G295 = "", I295 = ""), "", IF(F295 = "Vara", IFERROR(_xlfn.SINGLE(_xlfn.XLOOKUP(G295, Vöruskrá!A:A, Vöruskrá!I:I, "")) * I295 / 100, ""), IF(F295 = "Réttur", IFERROR(_xlfn.SINGLE(_xlfn.XLOOKUP(G295, Réttabanki!A:A, Réttabanki!AV:AV, "")) * I295 / 100, ""), "")))</f>
        <v/>
      </c>
      <c r="P295" s="26" t="str">
        <f>IF(OR(F295 = "", G295 = "", I295 = ""), "", IF(F295 = "Vara", IFERROR(_xlfn.SINGLE(_xlfn.XLOOKUP(G295, Vöruskrá!A:A, Vöruskrá!J:J, "")) * I295 / 100, ""), IF(F295 = "Réttur", IFERROR(_xlfn.SINGLE(_xlfn.XLOOKUP(G295, Réttabanki!A:A, Réttabanki!AW:AW, "")) * I295 / 100, ""), "")))</f>
        <v/>
      </c>
      <c r="Q295" s="26" t="str">
        <f>IF(OR(F295 = "", G295 = "", I295 = ""), "", IF(F295 = "Vara", IFERROR(_xlfn.SINGLE(_xlfn.XLOOKUP(G295, Vöruskrá!A:A, Vöruskrá!N:N, "")) * I295 / 100, ""), IF(F295 = "Réttur", IFERROR(_xlfn.SINGLE(_xlfn.XLOOKUP(G295, Réttabanki!A:A, Réttabanki!BB:BB, "")) * I295 / 100, ""), "")))</f>
        <v/>
      </c>
    </row>
    <row r="296" spans="2:17">
      <c r="B296" s="33" t="str">
        <f>IF(A296&lt;&gt;"",CHOOSE(WEEKDAY(A296,2),"Mánudagur","Þriðjudagur","Miðvikudagur","Fimmtudagur","Föstudagur","Laugardagur","Sunnudagur"),IF(B295&lt;&gt;"",B295,""))</f>
        <v>Fimmtudagur</v>
      </c>
      <c r="C296" s="33">
        <f>IF(A296&lt;&gt;"",WEEKNUM(A296,21),IF(C295&lt;&gt;"",C295,""))</f>
        <v>27</v>
      </c>
      <c r="D296" s="34"/>
      <c r="E296" s="34"/>
      <c r="F296" s="34"/>
      <c r="G296" s="34"/>
      <c r="H296" s="34"/>
      <c r="I296" s="35"/>
      <c r="J296" s="35"/>
      <c r="K296" s="36"/>
      <c r="L296" s="26" t="str">
        <f>IF(OR(F296 = "", G296 = ""), "", IF(F296 = "Vara", IFERROR(_xlfn.SINGLE(_xlfn.XLOOKUP(G296, Vöruskrá!A:A, Vöruskrá!E:E, "")), ""), IF(F296 = "Réttur", IFERROR(_xlfn.SINGLE(_xlfn.XLOOKUP(G296, Réttabanki!A:A, Réttabanki!AS:AS, "")), ""), "")))</f>
        <v/>
      </c>
      <c r="M296" s="26" t="str">
        <f>IF(OR(F296 = "", G296 = ""), "", IF(F296 = "Vara", IFERROR(_xlfn.SINGLE(_xlfn.XLOOKUP(G296, Vöruskrá!A:A, Vöruskrá!F:F, "")), ""), IF(F296 = "Réttur", IFERROR(_xlfn.SINGLE(_xlfn.XLOOKUP(G296, Réttabanki!A:A, Réttabanki!AT:AT, "")), ""), "")))</f>
        <v/>
      </c>
      <c r="N296" s="26" t="str">
        <f>IF(OR(F296 = "", G296 = ""), "", IF(F296 = "Vara", IFERROR(_xlfn.SINGLE(_xlfn.XLOOKUP(G296, Vöruskrá!A:A, Vöruskrá!G:G, "")), ""), IF(F296 = "Réttur", IFERROR(_xlfn.SINGLE(_xlfn.XLOOKUP(G296, Réttabanki!A:A, Réttabanki!AU:AU, "")), ""), "")))</f>
        <v/>
      </c>
      <c r="O296" s="26" t="str">
        <f>IF(OR(F296 = "", G296 = "", I296 = ""), "", IF(F296 = "Vara", IFERROR(_xlfn.SINGLE(_xlfn.XLOOKUP(G296, Vöruskrá!A:A, Vöruskrá!I:I, "")) * I296 / 100, ""), IF(F296 = "Réttur", IFERROR(_xlfn.SINGLE(_xlfn.XLOOKUP(G296, Réttabanki!A:A, Réttabanki!AV:AV, "")) * I296 / 100, ""), "")))</f>
        <v/>
      </c>
      <c r="P296" s="26" t="str">
        <f>IF(OR(F296 = "", G296 = "", I296 = ""), "", IF(F296 = "Vara", IFERROR(_xlfn.SINGLE(_xlfn.XLOOKUP(G296, Vöruskrá!A:A, Vöruskrá!J:J, "")) * I296 / 100, ""), IF(F296 = "Réttur", IFERROR(_xlfn.SINGLE(_xlfn.XLOOKUP(G296, Réttabanki!A:A, Réttabanki!AW:AW, "")) * I296 / 100, ""), "")))</f>
        <v/>
      </c>
      <c r="Q296" s="26" t="str">
        <f>IF(OR(F296 = "", G296 = "", I296 = ""), "", IF(F296 = "Vara", IFERROR(_xlfn.SINGLE(_xlfn.XLOOKUP(G296, Vöruskrá!A:A, Vöruskrá!N:N, "")) * I296 / 100, ""), IF(F296 = "Réttur", IFERROR(_xlfn.SINGLE(_xlfn.XLOOKUP(G296, Réttabanki!A:A, Réttabanki!BB:BB, "")) * I296 / 100, ""), "")))</f>
        <v/>
      </c>
    </row>
    <row r="297" spans="2:17">
      <c r="B297" s="33" t="str">
        <f>IF(A297&lt;&gt;"",CHOOSE(WEEKDAY(A297,2),"Mánudagur","Þriðjudagur","Miðvikudagur","Fimmtudagur","Föstudagur","Laugardagur","Sunnudagur"),IF(B296&lt;&gt;"",B296,""))</f>
        <v>Fimmtudagur</v>
      </c>
      <c r="C297" s="33">
        <f>IF(A297&lt;&gt;"",WEEKNUM(A297,21),IF(C296&lt;&gt;"",C296,""))</f>
        <v>27</v>
      </c>
      <c r="D297" s="34"/>
      <c r="E297" s="34"/>
      <c r="F297" s="34"/>
      <c r="G297" s="34"/>
      <c r="H297" s="34"/>
      <c r="I297" s="35"/>
      <c r="J297" s="35"/>
      <c r="K297" s="36"/>
      <c r="L297" s="26" t="str">
        <f>IF(OR(F297 = "", G297 = ""), "", IF(F297 = "Vara", IFERROR(_xlfn.SINGLE(_xlfn.XLOOKUP(G297, Vöruskrá!A:A, Vöruskrá!E:E, "")), ""), IF(F297 = "Réttur", IFERROR(_xlfn.SINGLE(_xlfn.XLOOKUP(G297, Réttabanki!A:A, Réttabanki!AS:AS, "")), ""), "")))</f>
        <v/>
      </c>
      <c r="M297" s="26" t="str">
        <f>IF(OR(F297 = "", G297 = ""), "", IF(F297 = "Vara", IFERROR(_xlfn.SINGLE(_xlfn.XLOOKUP(G297, Vöruskrá!A:A, Vöruskrá!F:F, "")), ""), IF(F297 = "Réttur", IFERROR(_xlfn.SINGLE(_xlfn.XLOOKUP(G297, Réttabanki!A:A, Réttabanki!AT:AT, "")), ""), "")))</f>
        <v/>
      </c>
      <c r="N297" s="26" t="str">
        <f>IF(OR(F297 = "", G297 = ""), "", IF(F297 = "Vara", IFERROR(_xlfn.SINGLE(_xlfn.XLOOKUP(G297, Vöruskrá!A:A, Vöruskrá!G:G, "")), ""), IF(F297 = "Réttur", IFERROR(_xlfn.SINGLE(_xlfn.XLOOKUP(G297, Réttabanki!A:A, Réttabanki!AU:AU, "")), ""), "")))</f>
        <v/>
      </c>
      <c r="O297" s="26" t="str">
        <f>IF(OR(F297 = "", G297 = "", I297 = ""), "", IF(F297 = "Vara", IFERROR(_xlfn.SINGLE(_xlfn.XLOOKUP(G297, Vöruskrá!A:A, Vöruskrá!I:I, "")) * I297 / 100, ""), IF(F297 = "Réttur", IFERROR(_xlfn.SINGLE(_xlfn.XLOOKUP(G297, Réttabanki!A:A, Réttabanki!AV:AV, "")) * I297 / 100, ""), "")))</f>
        <v/>
      </c>
      <c r="P297" s="26" t="str">
        <f>IF(OR(F297 = "", G297 = "", I297 = ""), "", IF(F297 = "Vara", IFERROR(_xlfn.SINGLE(_xlfn.XLOOKUP(G297, Vöruskrá!A:A, Vöruskrá!J:J, "")) * I297 / 100, ""), IF(F297 = "Réttur", IFERROR(_xlfn.SINGLE(_xlfn.XLOOKUP(G297, Réttabanki!A:A, Réttabanki!AW:AW, "")) * I297 / 100, ""), "")))</f>
        <v/>
      </c>
      <c r="Q297" s="26" t="str">
        <f>IF(OR(F297 = "", G297 = "", I297 = ""), "", IF(F297 = "Vara", IFERROR(_xlfn.SINGLE(_xlfn.XLOOKUP(G297, Vöruskrá!A:A, Vöruskrá!N:N, "")) * I297 / 100, ""), IF(F297 = "Réttur", IFERROR(_xlfn.SINGLE(_xlfn.XLOOKUP(G297, Réttabanki!A:A, Réttabanki!BB:BB, "")) * I297 / 100, ""), "")))</f>
        <v/>
      </c>
    </row>
    <row r="298" spans="2:17">
      <c r="B298" s="33" t="str">
        <f>IF(A298&lt;&gt;"",CHOOSE(WEEKDAY(A298,2),"Mánudagur","Þriðjudagur","Miðvikudagur","Fimmtudagur","Föstudagur","Laugardagur","Sunnudagur"),IF(B297&lt;&gt;"",B297,""))</f>
        <v>Fimmtudagur</v>
      </c>
      <c r="C298" s="33">
        <f>IF(A298&lt;&gt;"",WEEKNUM(A298,21),IF(C297&lt;&gt;"",C297,""))</f>
        <v>27</v>
      </c>
      <c r="D298" s="34"/>
      <c r="E298" s="34"/>
      <c r="F298" s="34"/>
      <c r="G298" s="34"/>
      <c r="H298" s="34"/>
      <c r="I298" s="35"/>
      <c r="J298" s="35"/>
      <c r="K298" s="36"/>
      <c r="L298" s="26" t="str">
        <f>IF(OR(F298 = "", G298 = ""), "", IF(F298 = "Vara", IFERROR(_xlfn.SINGLE(_xlfn.XLOOKUP(G298, Vöruskrá!A:A, Vöruskrá!E:E, "")), ""), IF(F298 = "Réttur", IFERROR(_xlfn.SINGLE(_xlfn.XLOOKUP(G298, Réttabanki!A:A, Réttabanki!AS:AS, "")), ""), "")))</f>
        <v/>
      </c>
      <c r="M298" s="26" t="str">
        <f>IF(OR(F298 = "", G298 = ""), "", IF(F298 = "Vara", IFERROR(_xlfn.SINGLE(_xlfn.XLOOKUP(G298, Vöruskrá!A:A, Vöruskrá!F:F, "")), ""), IF(F298 = "Réttur", IFERROR(_xlfn.SINGLE(_xlfn.XLOOKUP(G298, Réttabanki!A:A, Réttabanki!AT:AT, "")), ""), "")))</f>
        <v/>
      </c>
      <c r="N298" s="26" t="str">
        <f>IF(OR(F298 = "", G298 = ""), "", IF(F298 = "Vara", IFERROR(_xlfn.SINGLE(_xlfn.XLOOKUP(G298, Vöruskrá!A:A, Vöruskrá!G:G, "")), ""), IF(F298 = "Réttur", IFERROR(_xlfn.SINGLE(_xlfn.XLOOKUP(G298, Réttabanki!A:A, Réttabanki!AU:AU, "")), ""), "")))</f>
        <v/>
      </c>
      <c r="O298" s="26" t="str">
        <f>IF(OR(F298 = "", G298 = "", I298 = ""), "", IF(F298 = "Vara", IFERROR(_xlfn.SINGLE(_xlfn.XLOOKUP(G298, Vöruskrá!A:A, Vöruskrá!I:I, "")) * I298 / 100, ""), IF(F298 = "Réttur", IFERROR(_xlfn.SINGLE(_xlfn.XLOOKUP(G298, Réttabanki!A:A, Réttabanki!AV:AV, "")) * I298 / 100, ""), "")))</f>
        <v/>
      </c>
      <c r="P298" s="26" t="str">
        <f>IF(OR(F298 = "", G298 = "", I298 = ""), "", IF(F298 = "Vara", IFERROR(_xlfn.SINGLE(_xlfn.XLOOKUP(G298, Vöruskrá!A:A, Vöruskrá!J:J, "")) * I298 / 100, ""), IF(F298 = "Réttur", IFERROR(_xlfn.SINGLE(_xlfn.XLOOKUP(G298, Réttabanki!A:A, Réttabanki!AW:AW, "")) * I298 / 100, ""), "")))</f>
        <v/>
      </c>
      <c r="Q298" s="26" t="str">
        <f>IF(OR(F298 = "", G298 = "", I298 = ""), "", IF(F298 = "Vara", IFERROR(_xlfn.SINGLE(_xlfn.XLOOKUP(G298, Vöruskrá!A:A, Vöruskrá!N:N, "")) * I298 / 100, ""), IF(F298 = "Réttur", IFERROR(_xlfn.SINGLE(_xlfn.XLOOKUP(G298, Réttabanki!A:A, Réttabanki!BB:BB, "")) * I298 / 100, ""), "")))</f>
        <v/>
      </c>
    </row>
    <row r="299" spans="2:17">
      <c r="B299" s="33" t="str">
        <f>IF(A299&lt;&gt;"",CHOOSE(WEEKDAY(A299,2),"Mánudagur","Þriðjudagur","Miðvikudagur","Fimmtudagur","Föstudagur","Laugardagur","Sunnudagur"),IF(B298&lt;&gt;"",B298,""))</f>
        <v>Fimmtudagur</v>
      </c>
      <c r="C299" s="33">
        <f>IF(A299&lt;&gt;"",WEEKNUM(A299,21),IF(C298&lt;&gt;"",C298,""))</f>
        <v>27</v>
      </c>
      <c r="D299" s="34"/>
      <c r="E299" s="34"/>
      <c r="F299" s="34"/>
      <c r="G299" s="34"/>
      <c r="H299" s="34"/>
      <c r="I299" s="35"/>
      <c r="J299" s="35"/>
      <c r="K299" s="36"/>
      <c r="L299" s="26" t="str">
        <f>IF(OR(F299 = "", G299 = ""), "", IF(F299 = "Vara", IFERROR(_xlfn.SINGLE(_xlfn.XLOOKUP(G299, Vöruskrá!A:A, Vöruskrá!E:E, "")), ""), IF(F299 = "Réttur", IFERROR(_xlfn.SINGLE(_xlfn.XLOOKUP(G299, Réttabanki!A:A, Réttabanki!AS:AS, "")), ""), "")))</f>
        <v/>
      </c>
      <c r="M299" s="26" t="str">
        <f>IF(OR(F299 = "", G299 = ""), "", IF(F299 = "Vara", IFERROR(_xlfn.SINGLE(_xlfn.XLOOKUP(G299, Vöruskrá!A:A, Vöruskrá!F:F, "")), ""), IF(F299 = "Réttur", IFERROR(_xlfn.SINGLE(_xlfn.XLOOKUP(G299, Réttabanki!A:A, Réttabanki!AT:AT, "")), ""), "")))</f>
        <v/>
      </c>
      <c r="N299" s="26" t="str">
        <f>IF(OR(F299 = "", G299 = ""), "", IF(F299 = "Vara", IFERROR(_xlfn.SINGLE(_xlfn.XLOOKUP(G299, Vöruskrá!A:A, Vöruskrá!G:G, "")), ""), IF(F299 = "Réttur", IFERROR(_xlfn.SINGLE(_xlfn.XLOOKUP(G299, Réttabanki!A:A, Réttabanki!AU:AU, "")), ""), "")))</f>
        <v/>
      </c>
      <c r="O299" s="26" t="str">
        <f>IF(OR(F299 = "", G299 = "", I299 = ""), "", IF(F299 = "Vara", IFERROR(_xlfn.SINGLE(_xlfn.XLOOKUP(G299, Vöruskrá!A:A, Vöruskrá!I:I, "")) * I299 / 100, ""), IF(F299 = "Réttur", IFERROR(_xlfn.SINGLE(_xlfn.XLOOKUP(G299, Réttabanki!A:A, Réttabanki!AV:AV, "")) * I299 / 100, ""), "")))</f>
        <v/>
      </c>
      <c r="P299" s="26" t="str">
        <f>IF(OR(F299 = "", G299 = "", I299 = ""), "", IF(F299 = "Vara", IFERROR(_xlfn.SINGLE(_xlfn.XLOOKUP(G299, Vöruskrá!A:A, Vöruskrá!J:J, "")) * I299 / 100, ""), IF(F299 = "Réttur", IFERROR(_xlfn.SINGLE(_xlfn.XLOOKUP(G299, Réttabanki!A:A, Réttabanki!AW:AW, "")) * I299 / 100, ""), "")))</f>
        <v/>
      </c>
      <c r="Q299" s="26" t="str">
        <f>IF(OR(F299 = "", G299 = "", I299 = ""), "", IF(F299 = "Vara", IFERROR(_xlfn.SINGLE(_xlfn.XLOOKUP(G299, Vöruskrá!A:A, Vöruskrá!N:N, "")) * I299 / 100, ""), IF(F299 = "Réttur", IFERROR(_xlfn.SINGLE(_xlfn.XLOOKUP(G299, Réttabanki!A:A, Réttabanki!BB:BB, "")) * I299 / 100, ""), "")))</f>
        <v/>
      </c>
    </row>
    <row r="300" spans="2:17">
      <c r="B300" s="33" t="str">
        <f>IF(A300&lt;&gt;"",CHOOSE(WEEKDAY(A300,2),"Mánudagur","Þriðjudagur","Miðvikudagur","Fimmtudagur","Föstudagur","Laugardagur","Sunnudagur"),IF(B299&lt;&gt;"",B299,""))</f>
        <v>Fimmtudagur</v>
      </c>
      <c r="C300" s="33">
        <f>IF(A300&lt;&gt;"",WEEKNUM(A300,21),IF(C299&lt;&gt;"",C299,""))</f>
        <v>27</v>
      </c>
      <c r="D300" s="34"/>
      <c r="E300" s="34"/>
      <c r="F300" s="34"/>
      <c r="G300" s="34"/>
      <c r="H300" s="34"/>
      <c r="I300" s="35"/>
      <c r="J300" s="35"/>
      <c r="K300" s="36"/>
      <c r="L300" s="26" t="str">
        <f>IF(OR(F300 = "", G300 = ""), "", IF(F300 = "Vara", IFERROR(_xlfn.SINGLE(_xlfn.XLOOKUP(G300, Vöruskrá!A:A, Vöruskrá!E:E, "")), ""), IF(F300 = "Réttur", IFERROR(_xlfn.SINGLE(_xlfn.XLOOKUP(G300, Réttabanki!A:A, Réttabanki!AS:AS, "")), ""), "")))</f>
        <v/>
      </c>
      <c r="M300" s="26" t="str">
        <f>IF(OR(F300 = "", G300 = ""), "", IF(F300 = "Vara", IFERROR(_xlfn.SINGLE(_xlfn.XLOOKUP(G300, Vöruskrá!A:A, Vöruskrá!F:F, "")), ""), IF(F300 = "Réttur", IFERROR(_xlfn.SINGLE(_xlfn.XLOOKUP(G300, Réttabanki!A:A, Réttabanki!AT:AT, "")), ""), "")))</f>
        <v/>
      </c>
      <c r="N300" s="26" t="str">
        <f>IF(OR(F300 = "", G300 = ""), "", IF(F300 = "Vara", IFERROR(_xlfn.SINGLE(_xlfn.XLOOKUP(G300, Vöruskrá!A:A, Vöruskrá!G:G, "")), ""), IF(F300 = "Réttur", IFERROR(_xlfn.SINGLE(_xlfn.XLOOKUP(G300, Réttabanki!A:A, Réttabanki!AU:AU, "")), ""), "")))</f>
        <v/>
      </c>
      <c r="O300" s="26" t="str">
        <f>IF(OR(F300 = "", G300 = "", I300 = ""), "", IF(F300 = "Vara", IFERROR(_xlfn.SINGLE(_xlfn.XLOOKUP(G300, Vöruskrá!A:A, Vöruskrá!I:I, "")) * I300 / 100, ""), IF(F300 = "Réttur", IFERROR(_xlfn.SINGLE(_xlfn.XLOOKUP(G300, Réttabanki!A:A, Réttabanki!AV:AV, "")) * I300 / 100, ""), "")))</f>
        <v/>
      </c>
      <c r="P300" s="26" t="str">
        <f>IF(OR(F300 = "", G300 = "", I300 = ""), "", IF(F300 = "Vara", IFERROR(_xlfn.SINGLE(_xlfn.XLOOKUP(G300, Vöruskrá!A:A, Vöruskrá!J:J, "")) * I300 / 100, ""), IF(F300 = "Réttur", IFERROR(_xlfn.SINGLE(_xlfn.XLOOKUP(G300, Réttabanki!A:A, Réttabanki!AW:AW, "")) * I300 / 100, ""), "")))</f>
        <v/>
      </c>
      <c r="Q300" s="26" t="str">
        <f>IF(OR(F300 = "", G300 = "", I300 = ""), "", IF(F300 = "Vara", IFERROR(_xlfn.SINGLE(_xlfn.XLOOKUP(G300, Vöruskrá!A:A, Vöruskrá!N:N, "")) * I300 / 100, ""), IF(F300 = "Réttur", IFERROR(_xlfn.SINGLE(_xlfn.XLOOKUP(G300, Réttabanki!A:A, Réttabanki!BB:BB, "")) * I300 / 100, ""), "")))</f>
        <v/>
      </c>
    </row>
    <row r="301" spans="2:17">
      <c r="B301" s="33" t="str">
        <f>IF(A301&lt;&gt;"",CHOOSE(WEEKDAY(A301,2),"Mánudagur","Þriðjudagur","Miðvikudagur","Fimmtudagur","Föstudagur","Laugardagur","Sunnudagur"),IF(B300&lt;&gt;"",B300,""))</f>
        <v>Fimmtudagur</v>
      </c>
      <c r="C301" s="33">
        <f>IF(A301&lt;&gt;"",WEEKNUM(A301,21),IF(C300&lt;&gt;"",C300,""))</f>
        <v>27</v>
      </c>
      <c r="D301" s="34"/>
      <c r="E301" s="34"/>
      <c r="F301" s="34"/>
      <c r="G301" s="34"/>
      <c r="H301" s="34"/>
      <c r="I301" s="35"/>
      <c r="J301" s="35"/>
      <c r="K301" s="36"/>
      <c r="L301" s="26" t="str">
        <f>IF(OR(F301 = "", G301 = ""), "", IF(F301 = "Vara", IFERROR(_xlfn.SINGLE(_xlfn.XLOOKUP(G301, Vöruskrá!A:A, Vöruskrá!E:E, "")), ""), IF(F301 = "Réttur", IFERROR(_xlfn.SINGLE(_xlfn.XLOOKUP(G301, Réttabanki!A:A, Réttabanki!AS:AS, "")), ""), "")))</f>
        <v/>
      </c>
      <c r="M301" s="26" t="str">
        <f>IF(OR(F301 = "", G301 = ""), "", IF(F301 = "Vara", IFERROR(_xlfn.SINGLE(_xlfn.XLOOKUP(G301, Vöruskrá!A:A, Vöruskrá!F:F, "")), ""), IF(F301 = "Réttur", IFERROR(_xlfn.SINGLE(_xlfn.XLOOKUP(G301, Réttabanki!A:A, Réttabanki!AT:AT, "")), ""), "")))</f>
        <v/>
      </c>
      <c r="N301" s="26" t="str">
        <f>IF(OR(F301 = "", G301 = ""), "", IF(F301 = "Vara", IFERROR(_xlfn.SINGLE(_xlfn.XLOOKUP(G301, Vöruskrá!A:A, Vöruskrá!G:G, "")), ""), IF(F301 = "Réttur", IFERROR(_xlfn.SINGLE(_xlfn.XLOOKUP(G301, Réttabanki!A:A, Réttabanki!AU:AU, "")), ""), "")))</f>
        <v/>
      </c>
      <c r="O301" s="26" t="str">
        <f>IF(OR(F301 = "", G301 = "", I301 = ""), "", IF(F301 = "Vara", IFERROR(_xlfn.SINGLE(_xlfn.XLOOKUP(G301, Vöruskrá!A:A, Vöruskrá!I:I, "")) * I301 / 100, ""), IF(F301 = "Réttur", IFERROR(_xlfn.SINGLE(_xlfn.XLOOKUP(G301, Réttabanki!A:A, Réttabanki!AV:AV, "")) * I301 / 100, ""), "")))</f>
        <v/>
      </c>
      <c r="P301" s="26" t="str">
        <f>IF(OR(F301 = "", G301 = "", I301 = ""), "", IF(F301 = "Vara", IFERROR(_xlfn.SINGLE(_xlfn.XLOOKUP(G301, Vöruskrá!A:A, Vöruskrá!J:J, "")) * I301 / 100, ""), IF(F301 = "Réttur", IFERROR(_xlfn.SINGLE(_xlfn.XLOOKUP(G301, Réttabanki!A:A, Réttabanki!AW:AW, "")) * I301 / 100, ""), "")))</f>
        <v/>
      </c>
      <c r="Q301" s="26" t="str">
        <f>IF(OR(F301 = "", G301 = "", I301 = ""), "", IF(F301 = "Vara", IFERROR(_xlfn.SINGLE(_xlfn.XLOOKUP(G301, Vöruskrá!A:A, Vöruskrá!N:N, "")) * I301 / 100, ""), IF(F301 = "Réttur", IFERROR(_xlfn.SINGLE(_xlfn.XLOOKUP(G301, Réttabanki!A:A, Réttabanki!BB:BB, "")) * I301 / 100, ""), "")))</f>
        <v/>
      </c>
    </row>
    <row r="302" spans="2:17">
      <c r="B302" s="33" t="str">
        <f>IF(A302&lt;&gt;"",CHOOSE(WEEKDAY(A302,2),"Mánudagur","Þriðjudagur","Miðvikudagur","Fimmtudagur","Föstudagur","Laugardagur","Sunnudagur"),IF(B301&lt;&gt;"",B301,""))</f>
        <v>Fimmtudagur</v>
      </c>
      <c r="C302" s="33">
        <f>IF(A302&lt;&gt;"",WEEKNUM(A302,21),IF(C301&lt;&gt;"",C301,""))</f>
        <v>27</v>
      </c>
      <c r="D302" s="34"/>
      <c r="E302" s="34"/>
      <c r="F302" s="34"/>
      <c r="G302" s="34"/>
      <c r="H302" s="34"/>
      <c r="I302" s="35"/>
      <c r="J302" s="35"/>
      <c r="K302" s="36"/>
      <c r="L302" s="26" t="str">
        <f>IF(OR(F302 = "", G302 = ""), "", IF(F302 = "Vara", IFERROR(_xlfn.SINGLE(_xlfn.XLOOKUP(G302, Vöruskrá!A:A, Vöruskrá!E:E, "")), ""), IF(F302 = "Réttur", IFERROR(_xlfn.SINGLE(_xlfn.XLOOKUP(G302, Réttabanki!A:A, Réttabanki!AS:AS, "")), ""), "")))</f>
        <v/>
      </c>
      <c r="M302" s="26" t="str">
        <f>IF(OR(F302 = "", G302 = ""), "", IF(F302 = "Vara", IFERROR(_xlfn.SINGLE(_xlfn.XLOOKUP(G302, Vöruskrá!A:A, Vöruskrá!F:F, "")), ""), IF(F302 = "Réttur", IFERROR(_xlfn.SINGLE(_xlfn.XLOOKUP(G302, Réttabanki!A:A, Réttabanki!AT:AT, "")), ""), "")))</f>
        <v/>
      </c>
      <c r="N302" s="26" t="str">
        <f>IF(OR(F302 = "", G302 = ""), "", IF(F302 = "Vara", IFERROR(_xlfn.SINGLE(_xlfn.XLOOKUP(G302, Vöruskrá!A:A, Vöruskrá!G:G, "")), ""), IF(F302 = "Réttur", IFERROR(_xlfn.SINGLE(_xlfn.XLOOKUP(G302, Réttabanki!A:A, Réttabanki!AU:AU, "")), ""), "")))</f>
        <v/>
      </c>
      <c r="O302" s="26" t="str">
        <f>IF(OR(F302 = "", G302 = "", I302 = ""), "", IF(F302 = "Vara", IFERROR(_xlfn.SINGLE(_xlfn.XLOOKUP(G302, Vöruskrá!A:A, Vöruskrá!I:I, "")) * I302 / 100, ""), IF(F302 = "Réttur", IFERROR(_xlfn.SINGLE(_xlfn.XLOOKUP(G302, Réttabanki!A:A, Réttabanki!AV:AV, "")) * I302 / 100, ""), "")))</f>
        <v/>
      </c>
      <c r="P302" s="26" t="str">
        <f>IF(OR(F302 = "", G302 = "", I302 = ""), "", IF(F302 = "Vara", IFERROR(_xlfn.SINGLE(_xlfn.XLOOKUP(G302, Vöruskrá!A:A, Vöruskrá!J:J, "")) * I302 / 100, ""), IF(F302 = "Réttur", IFERROR(_xlfn.SINGLE(_xlfn.XLOOKUP(G302, Réttabanki!A:A, Réttabanki!AW:AW, "")) * I302 / 100, ""), "")))</f>
        <v/>
      </c>
      <c r="Q302" s="26" t="str">
        <f>IF(OR(F302 = "", G302 = "", I302 = ""), "", IF(F302 = "Vara", IFERROR(_xlfn.SINGLE(_xlfn.XLOOKUP(G302, Vöruskrá!A:A, Vöruskrá!N:N, "")) * I302 / 100, ""), IF(F302 = "Réttur", IFERROR(_xlfn.SINGLE(_xlfn.XLOOKUP(G302, Réttabanki!A:A, Réttabanki!BB:BB, "")) * I302 / 100, ""), "")))</f>
        <v/>
      </c>
    </row>
    <row r="303" spans="2:17">
      <c r="B303" s="33" t="str">
        <f>IF(A303&lt;&gt;"",CHOOSE(WEEKDAY(A303,2),"Mánudagur","Þriðjudagur","Miðvikudagur","Fimmtudagur","Föstudagur","Laugardagur","Sunnudagur"),IF(B302&lt;&gt;"",B302,""))</f>
        <v>Fimmtudagur</v>
      </c>
      <c r="C303" s="33">
        <f>IF(A303&lt;&gt;"",WEEKNUM(A303,21),IF(C302&lt;&gt;"",C302,""))</f>
        <v>27</v>
      </c>
      <c r="D303" s="34"/>
      <c r="E303" s="34"/>
      <c r="F303" s="34"/>
      <c r="G303" s="34"/>
      <c r="H303" s="34"/>
      <c r="I303" s="35"/>
      <c r="J303" s="35"/>
      <c r="K303" s="36"/>
      <c r="L303" s="26" t="str">
        <f>IF(OR(F303 = "", G303 = ""), "", IF(F303 = "Vara", IFERROR(_xlfn.SINGLE(_xlfn.XLOOKUP(G303, Vöruskrá!A:A, Vöruskrá!E:E, "")), ""), IF(F303 = "Réttur", IFERROR(_xlfn.SINGLE(_xlfn.XLOOKUP(G303, Réttabanki!A:A, Réttabanki!AS:AS, "")), ""), "")))</f>
        <v/>
      </c>
      <c r="M303" s="26" t="str">
        <f>IF(OR(F303 = "", G303 = ""), "", IF(F303 = "Vara", IFERROR(_xlfn.SINGLE(_xlfn.XLOOKUP(G303, Vöruskrá!A:A, Vöruskrá!F:F, "")), ""), IF(F303 = "Réttur", IFERROR(_xlfn.SINGLE(_xlfn.XLOOKUP(G303, Réttabanki!A:A, Réttabanki!AT:AT, "")), ""), "")))</f>
        <v/>
      </c>
      <c r="N303" s="26" t="str">
        <f>IF(OR(F303 = "", G303 = ""), "", IF(F303 = "Vara", IFERROR(_xlfn.SINGLE(_xlfn.XLOOKUP(G303, Vöruskrá!A:A, Vöruskrá!G:G, "")), ""), IF(F303 = "Réttur", IFERROR(_xlfn.SINGLE(_xlfn.XLOOKUP(G303, Réttabanki!A:A, Réttabanki!AU:AU, "")), ""), "")))</f>
        <v/>
      </c>
      <c r="O303" s="26" t="str">
        <f>IF(OR(F303 = "", G303 = "", I303 = ""), "", IF(F303 = "Vara", IFERROR(_xlfn.SINGLE(_xlfn.XLOOKUP(G303, Vöruskrá!A:A, Vöruskrá!I:I, "")) * I303 / 100, ""), IF(F303 = "Réttur", IFERROR(_xlfn.SINGLE(_xlfn.XLOOKUP(G303, Réttabanki!A:A, Réttabanki!AV:AV, "")) * I303 / 100, ""), "")))</f>
        <v/>
      </c>
      <c r="P303" s="26" t="str">
        <f>IF(OR(F303 = "", G303 = "", I303 = ""), "", IF(F303 = "Vara", IFERROR(_xlfn.SINGLE(_xlfn.XLOOKUP(G303, Vöruskrá!A:A, Vöruskrá!J:J, "")) * I303 / 100, ""), IF(F303 = "Réttur", IFERROR(_xlfn.SINGLE(_xlfn.XLOOKUP(G303, Réttabanki!A:A, Réttabanki!AW:AW, "")) * I303 / 100, ""), "")))</f>
        <v/>
      </c>
      <c r="Q303" s="26" t="str">
        <f>IF(OR(F303 = "", G303 = "", I303 = ""), "", IF(F303 = "Vara", IFERROR(_xlfn.SINGLE(_xlfn.XLOOKUP(G303, Vöruskrá!A:A, Vöruskrá!N:N, "")) * I303 / 100, ""), IF(F303 = "Réttur", IFERROR(_xlfn.SINGLE(_xlfn.XLOOKUP(G303, Réttabanki!A:A, Réttabanki!BB:BB, "")) * I303 / 100, ""), "")))</f>
        <v/>
      </c>
    </row>
    <row r="304" spans="2:17">
      <c r="B304" s="33" t="str">
        <f>IF(A304&lt;&gt;"",CHOOSE(WEEKDAY(A304,2),"Mánudagur","Þriðjudagur","Miðvikudagur","Fimmtudagur","Föstudagur","Laugardagur","Sunnudagur"),IF(B303&lt;&gt;"",B303,""))</f>
        <v>Fimmtudagur</v>
      </c>
      <c r="C304" s="33">
        <f>IF(A304&lt;&gt;"",WEEKNUM(A304,21),IF(C303&lt;&gt;"",C303,""))</f>
        <v>27</v>
      </c>
      <c r="D304" s="34"/>
      <c r="E304" s="34"/>
      <c r="F304" s="34"/>
      <c r="G304" s="34"/>
      <c r="H304" s="34"/>
      <c r="I304" s="35"/>
      <c r="J304" s="35"/>
      <c r="K304" s="36"/>
      <c r="L304" s="26" t="str">
        <f>IF(OR(F304 = "", G304 = ""), "", IF(F304 = "Vara", IFERROR(_xlfn.SINGLE(_xlfn.XLOOKUP(G304, Vöruskrá!A:A, Vöruskrá!E:E, "")), ""), IF(F304 = "Réttur", IFERROR(_xlfn.SINGLE(_xlfn.XLOOKUP(G304, Réttabanki!A:A, Réttabanki!AS:AS, "")), ""), "")))</f>
        <v/>
      </c>
      <c r="M304" s="26" t="str">
        <f>IF(OR(F304 = "", G304 = ""), "", IF(F304 = "Vara", IFERROR(_xlfn.SINGLE(_xlfn.XLOOKUP(G304, Vöruskrá!A:A, Vöruskrá!F:F, "")), ""), IF(F304 = "Réttur", IFERROR(_xlfn.SINGLE(_xlfn.XLOOKUP(G304, Réttabanki!A:A, Réttabanki!AT:AT, "")), ""), "")))</f>
        <v/>
      </c>
      <c r="N304" s="26" t="str">
        <f>IF(OR(F304 = "", G304 = ""), "", IF(F304 = "Vara", IFERROR(_xlfn.SINGLE(_xlfn.XLOOKUP(G304, Vöruskrá!A:A, Vöruskrá!G:G, "")), ""), IF(F304 = "Réttur", IFERROR(_xlfn.SINGLE(_xlfn.XLOOKUP(G304, Réttabanki!A:A, Réttabanki!AU:AU, "")), ""), "")))</f>
        <v/>
      </c>
      <c r="O304" s="26" t="str">
        <f>IF(OR(F304 = "", G304 = "", I304 = ""), "", IF(F304 = "Vara", IFERROR(_xlfn.SINGLE(_xlfn.XLOOKUP(G304, Vöruskrá!A:A, Vöruskrá!I:I, "")) * I304 / 100, ""), IF(F304 = "Réttur", IFERROR(_xlfn.SINGLE(_xlfn.XLOOKUP(G304, Réttabanki!A:A, Réttabanki!AV:AV, "")) * I304 / 100, ""), "")))</f>
        <v/>
      </c>
      <c r="P304" s="26" t="str">
        <f>IF(OR(F304 = "", G304 = "", I304 = ""), "", IF(F304 = "Vara", IFERROR(_xlfn.SINGLE(_xlfn.XLOOKUP(G304, Vöruskrá!A:A, Vöruskrá!J:J, "")) * I304 / 100, ""), IF(F304 = "Réttur", IFERROR(_xlfn.SINGLE(_xlfn.XLOOKUP(G304, Réttabanki!A:A, Réttabanki!AW:AW, "")) * I304 / 100, ""), "")))</f>
        <v/>
      </c>
      <c r="Q304" s="26" t="str">
        <f>IF(OR(F304 = "", G304 = "", I304 = ""), "", IF(F304 = "Vara", IFERROR(_xlfn.SINGLE(_xlfn.XLOOKUP(G304, Vöruskrá!A:A, Vöruskrá!N:N, "")) * I304 / 100, ""), IF(F304 = "Réttur", IFERROR(_xlfn.SINGLE(_xlfn.XLOOKUP(G304, Réttabanki!A:A, Réttabanki!BB:BB, "")) * I304 / 100, ""), "")))</f>
        <v/>
      </c>
    </row>
    <row r="305" spans="2:17">
      <c r="B305" s="33" t="str">
        <f>IF(A305&lt;&gt;"",CHOOSE(WEEKDAY(A305,2),"Mánudagur","Þriðjudagur","Miðvikudagur","Fimmtudagur","Föstudagur","Laugardagur","Sunnudagur"),IF(B304&lt;&gt;"",B304,""))</f>
        <v>Fimmtudagur</v>
      </c>
      <c r="C305" s="33">
        <f>IF(A305&lt;&gt;"",WEEKNUM(A305,21),IF(C304&lt;&gt;"",C304,""))</f>
        <v>27</v>
      </c>
      <c r="D305" s="34"/>
      <c r="E305" s="34"/>
      <c r="F305" s="34"/>
      <c r="G305" s="34"/>
      <c r="H305" s="34"/>
      <c r="I305" s="35"/>
      <c r="J305" s="35"/>
      <c r="K305" s="36"/>
      <c r="L305" s="26" t="str">
        <f>IF(OR(F305 = "", G305 = ""), "", IF(F305 = "Vara", IFERROR(_xlfn.SINGLE(_xlfn.XLOOKUP(G305, Vöruskrá!A:A, Vöruskrá!E:E, "")), ""), IF(F305 = "Réttur", IFERROR(_xlfn.SINGLE(_xlfn.XLOOKUP(G305, Réttabanki!A:A, Réttabanki!AS:AS, "")), ""), "")))</f>
        <v/>
      </c>
      <c r="M305" s="26" t="str">
        <f>IF(OR(F305 = "", G305 = ""), "", IF(F305 = "Vara", IFERROR(_xlfn.SINGLE(_xlfn.XLOOKUP(G305, Vöruskrá!A:A, Vöruskrá!F:F, "")), ""), IF(F305 = "Réttur", IFERROR(_xlfn.SINGLE(_xlfn.XLOOKUP(G305, Réttabanki!A:A, Réttabanki!AT:AT, "")), ""), "")))</f>
        <v/>
      </c>
      <c r="N305" s="26" t="str">
        <f>IF(OR(F305 = "", G305 = ""), "", IF(F305 = "Vara", IFERROR(_xlfn.SINGLE(_xlfn.XLOOKUP(G305, Vöruskrá!A:A, Vöruskrá!G:G, "")), ""), IF(F305 = "Réttur", IFERROR(_xlfn.SINGLE(_xlfn.XLOOKUP(G305, Réttabanki!A:A, Réttabanki!AU:AU, "")), ""), "")))</f>
        <v/>
      </c>
      <c r="O305" s="26" t="str">
        <f>IF(OR(F305 = "", G305 = "", I305 = ""), "", IF(F305 = "Vara", IFERROR(_xlfn.SINGLE(_xlfn.XLOOKUP(G305, Vöruskrá!A:A, Vöruskrá!I:I, "")) * I305 / 100, ""), IF(F305 = "Réttur", IFERROR(_xlfn.SINGLE(_xlfn.XLOOKUP(G305, Réttabanki!A:A, Réttabanki!AV:AV, "")) * I305 / 100, ""), "")))</f>
        <v/>
      </c>
      <c r="P305" s="26" t="str">
        <f>IF(OR(F305 = "", G305 = "", I305 = ""), "", IF(F305 = "Vara", IFERROR(_xlfn.SINGLE(_xlfn.XLOOKUP(G305, Vöruskrá!A:A, Vöruskrá!J:J, "")) * I305 / 100, ""), IF(F305 = "Réttur", IFERROR(_xlfn.SINGLE(_xlfn.XLOOKUP(G305, Réttabanki!A:A, Réttabanki!AW:AW, "")) * I305 / 100, ""), "")))</f>
        <v/>
      </c>
      <c r="Q305" s="26" t="str">
        <f>IF(OR(F305 = "", G305 = "", I305 = ""), "", IF(F305 = "Vara", IFERROR(_xlfn.SINGLE(_xlfn.XLOOKUP(G305, Vöruskrá!A:A, Vöruskrá!N:N, "")) * I305 / 100, ""), IF(F305 = "Réttur", IFERROR(_xlfn.SINGLE(_xlfn.XLOOKUP(G305, Réttabanki!A:A, Réttabanki!BB:BB, "")) * I305 / 100, ""), "")))</f>
        <v/>
      </c>
    </row>
    <row r="306" spans="2:17">
      <c r="B306" s="33" t="str">
        <f>IF(A306&lt;&gt;"",CHOOSE(WEEKDAY(A306,2),"Mánudagur","Þriðjudagur","Miðvikudagur","Fimmtudagur","Föstudagur","Laugardagur","Sunnudagur"),IF(B305&lt;&gt;"",B305,""))</f>
        <v>Fimmtudagur</v>
      </c>
      <c r="C306" s="33">
        <f>IF(A306&lt;&gt;"",WEEKNUM(A306,21),IF(C305&lt;&gt;"",C305,""))</f>
        <v>27</v>
      </c>
      <c r="D306" s="34"/>
      <c r="E306" s="34"/>
      <c r="F306" s="34"/>
      <c r="G306" s="34"/>
      <c r="H306" s="34"/>
      <c r="I306" s="35"/>
      <c r="J306" s="35"/>
      <c r="K306" s="36"/>
      <c r="L306" s="26" t="str">
        <f>IF(OR(F306 = "", G306 = ""), "", IF(F306 = "Vara", IFERROR(_xlfn.SINGLE(_xlfn.XLOOKUP(G306, Vöruskrá!A:A, Vöruskrá!E:E, "")), ""), IF(F306 = "Réttur", IFERROR(_xlfn.SINGLE(_xlfn.XLOOKUP(G306, Réttabanki!A:A, Réttabanki!AS:AS, "")), ""), "")))</f>
        <v/>
      </c>
      <c r="M306" s="26" t="str">
        <f>IF(OR(F306 = "", G306 = ""), "", IF(F306 = "Vara", IFERROR(_xlfn.SINGLE(_xlfn.XLOOKUP(G306, Vöruskrá!A:A, Vöruskrá!F:F, "")), ""), IF(F306 = "Réttur", IFERROR(_xlfn.SINGLE(_xlfn.XLOOKUP(G306, Réttabanki!A:A, Réttabanki!AT:AT, "")), ""), "")))</f>
        <v/>
      </c>
      <c r="N306" s="26" t="str">
        <f>IF(OR(F306 = "", G306 = ""), "", IF(F306 = "Vara", IFERROR(_xlfn.SINGLE(_xlfn.XLOOKUP(G306, Vöruskrá!A:A, Vöruskrá!G:G, "")), ""), IF(F306 = "Réttur", IFERROR(_xlfn.SINGLE(_xlfn.XLOOKUP(G306, Réttabanki!A:A, Réttabanki!AU:AU, "")), ""), "")))</f>
        <v/>
      </c>
      <c r="O306" s="26" t="str">
        <f>IF(OR(F306 = "", G306 = "", I306 = ""), "", IF(F306 = "Vara", IFERROR(_xlfn.SINGLE(_xlfn.XLOOKUP(G306, Vöruskrá!A:A, Vöruskrá!I:I, "")) * I306 / 100, ""), IF(F306 = "Réttur", IFERROR(_xlfn.SINGLE(_xlfn.XLOOKUP(G306, Réttabanki!A:A, Réttabanki!AV:AV, "")) * I306 / 100, ""), "")))</f>
        <v/>
      </c>
      <c r="P306" s="26" t="str">
        <f>IF(OR(F306 = "", G306 = "", I306 = ""), "", IF(F306 = "Vara", IFERROR(_xlfn.SINGLE(_xlfn.XLOOKUP(G306, Vöruskrá!A:A, Vöruskrá!J:J, "")) * I306 / 100, ""), IF(F306 = "Réttur", IFERROR(_xlfn.SINGLE(_xlfn.XLOOKUP(G306, Réttabanki!A:A, Réttabanki!AW:AW, "")) * I306 / 100, ""), "")))</f>
        <v/>
      </c>
      <c r="Q306" s="26" t="str">
        <f>IF(OR(F306 = "", G306 = "", I306 = ""), "", IF(F306 = "Vara", IFERROR(_xlfn.SINGLE(_xlfn.XLOOKUP(G306, Vöruskrá!A:A, Vöruskrá!N:N, "")) * I306 / 100, ""), IF(F306 = "Réttur", IFERROR(_xlfn.SINGLE(_xlfn.XLOOKUP(G306, Réttabanki!A:A, Réttabanki!BB:BB, "")) * I306 / 100, ""), "")))</f>
        <v/>
      </c>
    </row>
    <row r="307" spans="2:17">
      <c r="B307" s="33" t="str">
        <f>IF(A307&lt;&gt;"",CHOOSE(WEEKDAY(A307,2),"Mánudagur","Þriðjudagur","Miðvikudagur","Fimmtudagur","Föstudagur","Laugardagur","Sunnudagur"),IF(B306&lt;&gt;"",B306,""))</f>
        <v>Fimmtudagur</v>
      </c>
      <c r="C307" s="33">
        <f>IF(A307&lt;&gt;"",WEEKNUM(A307,21),IF(C306&lt;&gt;"",C306,""))</f>
        <v>27</v>
      </c>
      <c r="D307" s="34"/>
      <c r="E307" s="34"/>
      <c r="F307" s="34"/>
      <c r="G307" s="34"/>
      <c r="H307" s="34"/>
      <c r="I307" s="35"/>
      <c r="J307" s="35"/>
      <c r="K307" s="36"/>
      <c r="L307" s="26" t="str">
        <f>IF(OR(F307 = "", G307 = ""), "", IF(F307 = "Vara", IFERROR(_xlfn.SINGLE(_xlfn.XLOOKUP(G307, Vöruskrá!A:A, Vöruskrá!E:E, "")), ""), IF(F307 = "Réttur", IFERROR(_xlfn.SINGLE(_xlfn.XLOOKUP(G307, Réttabanki!A:A, Réttabanki!AS:AS, "")), ""), "")))</f>
        <v/>
      </c>
      <c r="M307" s="26" t="str">
        <f>IF(OR(F307 = "", G307 = ""), "", IF(F307 = "Vara", IFERROR(_xlfn.SINGLE(_xlfn.XLOOKUP(G307, Vöruskrá!A:A, Vöruskrá!F:F, "")), ""), IF(F307 = "Réttur", IFERROR(_xlfn.SINGLE(_xlfn.XLOOKUP(G307, Réttabanki!A:A, Réttabanki!AT:AT, "")), ""), "")))</f>
        <v/>
      </c>
      <c r="N307" s="26" t="str">
        <f>IF(OR(F307 = "", G307 = ""), "", IF(F307 = "Vara", IFERROR(_xlfn.SINGLE(_xlfn.XLOOKUP(G307, Vöruskrá!A:A, Vöruskrá!G:G, "")), ""), IF(F307 = "Réttur", IFERROR(_xlfn.SINGLE(_xlfn.XLOOKUP(G307, Réttabanki!A:A, Réttabanki!AU:AU, "")), ""), "")))</f>
        <v/>
      </c>
      <c r="O307" s="26" t="str">
        <f>IF(OR(F307 = "", G307 = "", I307 = ""), "", IF(F307 = "Vara", IFERROR(_xlfn.SINGLE(_xlfn.XLOOKUP(G307, Vöruskrá!A:A, Vöruskrá!I:I, "")) * I307 / 100, ""), IF(F307 = "Réttur", IFERROR(_xlfn.SINGLE(_xlfn.XLOOKUP(G307, Réttabanki!A:A, Réttabanki!AV:AV, "")) * I307 / 100, ""), "")))</f>
        <v/>
      </c>
      <c r="P307" s="26" t="str">
        <f>IF(OR(F307 = "", G307 = "", I307 = ""), "", IF(F307 = "Vara", IFERROR(_xlfn.SINGLE(_xlfn.XLOOKUP(G307, Vöruskrá!A:A, Vöruskrá!J:J, "")) * I307 / 100, ""), IF(F307 = "Réttur", IFERROR(_xlfn.SINGLE(_xlfn.XLOOKUP(G307, Réttabanki!A:A, Réttabanki!AW:AW, "")) * I307 / 100, ""), "")))</f>
        <v/>
      </c>
      <c r="Q307" s="26" t="str">
        <f>IF(OR(F307 = "", G307 = "", I307 = ""), "", IF(F307 = "Vara", IFERROR(_xlfn.SINGLE(_xlfn.XLOOKUP(G307, Vöruskrá!A:A, Vöruskrá!N:N, "")) * I307 / 100, ""), IF(F307 = "Réttur", IFERROR(_xlfn.SINGLE(_xlfn.XLOOKUP(G307, Réttabanki!A:A, Réttabanki!BB:BB, "")) * I307 / 100, ""), "")))</f>
        <v/>
      </c>
    </row>
    <row r="308" spans="2:17">
      <c r="B308" s="33" t="str">
        <f>IF(A308&lt;&gt;"",CHOOSE(WEEKDAY(A308,2),"Mánudagur","Þriðjudagur","Miðvikudagur","Fimmtudagur","Föstudagur","Laugardagur","Sunnudagur"),IF(B307&lt;&gt;"",B307,""))</f>
        <v>Fimmtudagur</v>
      </c>
      <c r="C308" s="33">
        <f>IF(A308&lt;&gt;"",WEEKNUM(A308,21),IF(C307&lt;&gt;"",C307,""))</f>
        <v>27</v>
      </c>
      <c r="D308" s="34"/>
      <c r="E308" s="34"/>
      <c r="F308" s="34"/>
      <c r="G308" s="34"/>
      <c r="H308" s="34"/>
      <c r="I308" s="35"/>
      <c r="J308" s="35"/>
      <c r="K308" s="36"/>
      <c r="L308" s="26" t="str">
        <f>IF(OR(F308 = "", G308 = ""), "", IF(F308 = "Vara", IFERROR(_xlfn.SINGLE(_xlfn.XLOOKUP(G308, Vöruskrá!A:A, Vöruskrá!E:E, "")), ""), IF(F308 = "Réttur", IFERROR(_xlfn.SINGLE(_xlfn.XLOOKUP(G308, Réttabanki!A:A, Réttabanki!AS:AS, "")), ""), "")))</f>
        <v/>
      </c>
      <c r="M308" s="26" t="str">
        <f>IF(OR(F308 = "", G308 = ""), "", IF(F308 = "Vara", IFERROR(_xlfn.SINGLE(_xlfn.XLOOKUP(G308, Vöruskrá!A:A, Vöruskrá!F:F, "")), ""), IF(F308 = "Réttur", IFERROR(_xlfn.SINGLE(_xlfn.XLOOKUP(G308, Réttabanki!A:A, Réttabanki!AT:AT, "")), ""), "")))</f>
        <v/>
      </c>
      <c r="N308" s="26" t="str">
        <f>IF(OR(F308 = "", G308 = ""), "", IF(F308 = "Vara", IFERROR(_xlfn.SINGLE(_xlfn.XLOOKUP(G308, Vöruskrá!A:A, Vöruskrá!G:G, "")), ""), IF(F308 = "Réttur", IFERROR(_xlfn.SINGLE(_xlfn.XLOOKUP(G308, Réttabanki!A:A, Réttabanki!AU:AU, "")), ""), "")))</f>
        <v/>
      </c>
      <c r="O308" s="26" t="str">
        <f>IF(OR(F308 = "", G308 = "", I308 = ""), "", IF(F308 = "Vara", IFERROR(_xlfn.SINGLE(_xlfn.XLOOKUP(G308, Vöruskrá!A:A, Vöruskrá!I:I, "")) * I308 / 100, ""), IF(F308 = "Réttur", IFERROR(_xlfn.SINGLE(_xlfn.XLOOKUP(G308, Réttabanki!A:A, Réttabanki!AV:AV, "")) * I308 / 100, ""), "")))</f>
        <v/>
      </c>
      <c r="P308" s="26" t="str">
        <f>IF(OR(F308 = "", G308 = "", I308 = ""), "", IF(F308 = "Vara", IFERROR(_xlfn.SINGLE(_xlfn.XLOOKUP(G308, Vöruskrá!A:A, Vöruskrá!J:J, "")) * I308 / 100, ""), IF(F308 = "Réttur", IFERROR(_xlfn.SINGLE(_xlfn.XLOOKUP(G308, Réttabanki!A:A, Réttabanki!AW:AW, "")) * I308 / 100, ""), "")))</f>
        <v/>
      </c>
      <c r="Q308" s="26" t="str">
        <f>IF(OR(F308 = "", G308 = "", I308 = ""), "", IF(F308 = "Vara", IFERROR(_xlfn.SINGLE(_xlfn.XLOOKUP(G308, Vöruskrá!A:A, Vöruskrá!N:N, "")) * I308 / 100, ""), IF(F308 = "Réttur", IFERROR(_xlfn.SINGLE(_xlfn.XLOOKUP(G308, Réttabanki!A:A, Réttabanki!BB:BB, "")) * I308 / 100, ""), "")))</f>
        <v/>
      </c>
    </row>
    <row r="309" spans="2:17">
      <c r="B309" s="33" t="str">
        <f>IF(A309&lt;&gt;"",CHOOSE(WEEKDAY(A309,2),"Mánudagur","Þriðjudagur","Miðvikudagur","Fimmtudagur","Föstudagur","Laugardagur","Sunnudagur"),IF(B308&lt;&gt;"",B308,""))</f>
        <v>Fimmtudagur</v>
      </c>
      <c r="C309" s="33">
        <f>IF(A309&lt;&gt;"",WEEKNUM(A309,21),IF(C308&lt;&gt;"",C308,""))</f>
        <v>27</v>
      </c>
      <c r="D309" s="34"/>
      <c r="E309" s="34"/>
      <c r="F309" s="34"/>
      <c r="G309" s="34"/>
      <c r="H309" s="34"/>
      <c r="I309" s="35"/>
      <c r="J309" s="35"/>
      <c r="K309" s="36"/>
      <c r="L309" s="26" t="str">
        <f>IF(OR(F309 = "", G309 = ""), "", IF(F309 = "Vara", IFERROR(_xlfn.SINGLE(_xlfn.XLOOKUP(G309, Vöruskrá!A:A, Vöruskrá!E:E, "")), ""), IF(F309 = "Réttur", IFERROR(_xlfn.SINGLE(_xlfn.XLOOKUP(G309, Réttabanki!A:A, Réttabanki!AS:AS, "")), ""), "")))</f>
        <v/>
      </c>
      <c r="M309" s="26" t="str">
        <f>IF(OR(F309 = "", G309 = ""), "", IF(F309 = "Vara", IFERROR(_xlfn.SINGLE(_xlfn.XLOOKUP(G309, Vöruskrá!A:A, Vöruskrá!F:F, "")), ""), IF(F309 = "Réttur", IFERROR(_xlfn.SINGLE(_xlfn.XLOOKUP(G309, Réttabanki!A:A, Réttabanki!AT:AT, "")), ""), "")))</f>
        <v/>
      </c>
      <c r="N309" s="26" t="str">
        <f>IF(OR(F309 = "", G309 = ""), "", IF(F309 = "Vara", IFERROR(_xlfn.SINGLE(_xlfn.XLOOKUP(G309, Vöruskrá!A:A, Vöruskrá!G:G, "")), ""), IF(F309 = "Réttur", IFERROR(_xlfn.SINGLE(_xlfn.XLOOKUP(G309, Réttabanki!A:A, Réttabanki!AU:AU, "")), ""), "")))</f>
        <v/>
      </c>
      <c r="O309" s="26" t="str">
        <f>IF(OR(F309 = "", G309 = "", I309 = ""), "", IF(F309 = "Vara", IFERROR(_xlfn.SINGLE(_xlfn.XLOOKUP(G309, Vöruskrá!A:A, Vöruskrá!I:I, "")) * I309 / 100, ""), IF(F309 = "Réttur", IFERROR(_xlfn.SINGLE(_xlfn.XLOOKUP(G309, Réttabanki!A:A, Réttabanki!AV:AV, "")) * I309 / 100, ""), "")))</f>
        <v/>
      </c>
      <c r="P309" s="26" t="str">
        <f>IF(OR(F309 = "", G309 = "", I309 = ""), "", IF(F309 = "Vara", IFERROR(_xlfn.SINGLE(_xlfn.XLOOKUP(G309, Vöruskrá!A:A, Vöruskrá!J:J, "")) * I309 / 100, ""), IF(F309 = "Réttur", IFERROR(_xlfn.SINGLE(_xlfn.XLOOKUP(G309, Réttabanki!A:A, Réttabanki!AW:AW, "")) * I309 / 100, ""), "")))</f>
        <v/>
      </c>
      <c r="Q309" s="26" t="str">
        <f>IF(OR(F309 = "", G309 = "", I309 = ""), "", IF(F309 = "Vara", IFERROR(_xlfn.SINGLE(_xlfn.XLOOKUP(G309, Vöruskrá!A:A, Vöruskrá!N:N, "")) * I309 / 100, ""), IF(F309 = "Réttur", IFERROR(_xlfn.SINGLE(_xlfn.XLOOKUP(G309, Réttabanki!A:A, Réttabanki!BB:BB, "")) * I309 / 100, ""), "")))</f>
        <v/>
      </c>
    </row>
    <row r="310" spans="2:17">
      <c r="B310" s="33" t="str">
        <f>IF(A310&lt;&gt;"",CHOOSE(WEEKDAY(A310,2),"Mánudagur","Þriðjudagur","Miðvikudagur","Fimmtudagur","Föstudagur","Laugardagur","Sunnudagur"),IF(B309&lt;&gt;"",B309,""))</f>
        <v>Fimmtudagur</v>
      </c>
      <c r="C310" s="33">
        <f>IF(A310&lt;&gt;"",WEEKNUM(A310,21),IF(C309&lt;&gt;"",C309,""))</f>
        <v>27</v>
      </c>
      <c r="D310" s="34"/>
      <c r="E310" s="34"/>
      <c r="F310" s="34"/>
      <c r="G310" s="34"/>
      <c r="H310" s="34"/>
      <c r="I310" s="35"/>
      <c r="J310" s="35"/>
      <c r="K310" s="36"/>
      <c r="L310" s="26" t="str">
        <f>IF(OR(F310 = "", G310 = ""), "", IF(F310 = "Vara", IFERROR(_xlfn.SINGLE(_xlfn.XLOOKUP(G310, Vöruskrá!A:A, Vöruskrá!E:E, "")), ""), IF(F310 = "Réttur", IFERROR(_xlfn.SINGLE(_xlfn.XLOOKUP(G310, Réttabanki!A:A, Réttabanki!AS:AS, "")), ""), "")))</f>
        <v/>
      </c>
      <c r="M310" s="26" t="str">
        <f>IF(OR(F310 = "", G310 = ""), "", IF(F310 = "Vara", IFERROR(_xlfn.SINGLE(_xlfn.XLOOKUP(G310, Vöruskrá!A:A, Vöruskrá!F:F, "")), ""), IF(F310 = "Réttur", IFERROR(_xlfn.SINGLE(_xlfn.XLOOKUP(G310, Réttabanki!A:A, Réttabanki!AT:AT, "")), ""), "")))</f>
        <v/>
      </c>
      <c r="N310" s="26" t="str">
        <f>IF(OR(F310 = "", G310 = ""), "", IF(F310 = "Vara", IFERROR(_xlfn.SINGLE(_xlfn.XLOOKUP(G310, Vöruskrá!A:A, Vöruskrá!G:G, "")), ""), IF(F310 = "Réttur", IFERROR(_xlfn.SINGLE(_xlfn.XLOOKUP(G310, Réttabanki!A:A, Réttabanki!AU:AU, "")), ""), "")))</f>
        <v/>
      </c>
      <c r="O310" s="26" t="str">
        <f>IF(OR(F310 = "", G310 = "", I310 = ""), "", IF(F310 = "Vara", IFERROR(_xlfn.SINGLE(_xlfn.XLOOKUP(G310, Vöruskrá!A:A, Vöruskrá!I:I, "")) * I310 / 100, ""), IF(F310 = "Réttur", IFERROR(_xlfn.SINGLE(_xlfn.XLOOKUP(G310, Réttabanki!A:A, Réttabanki!AV:AV, "")) * I310 / 100, ""), "")))</f>
        <v/>
      </c>
      <c r="P310" s="26" t="str">
        <f>IF(OR(F310 = "", G310 = "", I310 = ""), "", IF(F310 = "Vara", IFERROR(_xlfn.SINGLE(_xlfn.XLOOKUP(G310, Vöruskrá!A:A, Vöruskrá!J:J, "")) * I310 / 100, ""), IF(F310 = "Réttur", IFERROR(_xlfn.SINGLE(_xlfn.XLOOKUP(G310, Réttabanki!A:A, Réttabanki!AW:AW, "")) * I310 / 100, ""), "")))</f>
        <v/>
      </c>
      <c r="Q310" s="26" t="str">
        <f>IF(OR(F310 = "", G310 = "", I310 = ""), "", IF(F310 = "Vara", IFERROR(_xlfn.SINGLE(_xlfn.XLOOKUP(G310, Vöruskrá!A:A, Vöruskrá!N:N, "")) * I310 / 100, ""), IF(F310 = "Réttur", IFERROR(_xlfn.SINGLE(_xlfn.XLOOKUP(G310, Réttabanki!A:A, Réttabanki!BB:BB, "")) * I310 / 100, ""), "")))</f>
        <v/>
      </c>
    </row>
    <row r="311" spans="2:17">
      <c r="B311" s="33" t="str">
        <f>IF(A311&lt;&gt;"",CHOOSE(WEEKDAY(A311,2),"Mánudagur","Þriðjudagur","Miðvikudagur","Fimmtudagur","Föstudagur","Laugardagur","Sunnudagur"),IF(B310&lt;&gt;"",B310,""))</f>
        <v>Fimmtudagur</v>
      </c>
      <c r="C311" s="33">
        <f>IF(A311&lt;&gt;"",WEEKNUM(A311,21),IF(C310&lt;&gt;"",C310,""))</f>
        <v>27</v>
      </c>
      <c r="D311" s="34"/>
      <c r="E311" s="34"/>
      <c r="F311" s="34"/>
      <c r="G311" s="34"/>
      <c r="H311" s="34"/>
      <c r="I311" s="35"/>
      <c r="J311" s="35"/>
      <c r="K311" s="36"/>
      <c r="L311" s="26" t="str">
        <f>IF(OR(F311 = "", G311 = ""), "", IF(F311 = "Vara", IFERROR(_xlfn.SINGLE(_xlfn.XLOOKUP(G311, Vöruskrá!A:A, Vöruskrá!E:E, "")), ""), IF(F311 = "Réttur", IFERROR(_xlfn.SINGLE(_xlfn.XLOOKUP(G311, Réttabanki!A:A, Réttabanki!AS:AS, "")), ""), "")))</f>
        <v/>
      </c>
      <c r="M311" s="26" t="str">
        <f>IF(OR(F311 = "", G311 = ""), "", IF(F311 = "Vara", IFERROR(_xlfn.SINGLE(_xlfn.XLOOKUP(G311, Vöruskrá!A:A, Vöruskrá!F:F, "")), ""), IF(F311 = "Réttur", IFERROR(_xlfn.SINGLE(_xlfn.XLOOKUP(G311, Réttabanki!A:A, Réttabanki!AT:AT, "")), ""), "")))</f>
        <v/>
      </c>
      <c r="N311" s="26" t="str">
        <f>IF(OR(F311 = "", G311 = ""), "", IF(F311 = "Vara", IFERROR(_xlfn.SINGLE(_xlfn.XLOOKUP(G311, Vöruskrá!A:A, Vöruskrá!G:G, "")), ""), IF(F311 = "Réttur", IFERROR(_xlfn.SINGLE(_xlfn.XLOOKUP(G311, Réttabanki!A:A, Réttabanki!AU:AU, "")), ""), "")))</f>
        <v/>
      </c>
      <c r="O311" s="26" t="str">
        <f>IF(OR(F311 = "", G311 = "", I311 = ""), "", IF(F311 = "Vara", IFERROR(_xlfn.SINGLE(_xlfn.XLOOKUP(G311, Vöruskrá!A:A, Vöruskrá!I:I, "")) * I311 / 100, ""), IF(F311 = "Réttur", IFERROR(_xlfn.SINGLE(_xlfn.XLOOKUP(G311, Réttabanki!A:A, Réttabanki!AV:AV, "")) * I311 / 100, ""), "")))</f>
        <v/>
      </c>
      <c r="P311" s="26" t="str">
        <f>IF(OR(F311 = "", G311 = "", I311 = ""), "", IF(F311 = "Vara", IFERROR(_xlfn.SINGLE(_xlfn.XLOOKUP(G311, Vöruskrá!A:A, Vöruskrá!J:J, "")) * I311 / 100, ""), IF(F311 = "Réttur", IFERROR(_xlfn.SINGLE(_xlfn.XLOOKUP(G311, Réttabanki!A:A, Réttabanki!AW:AW, "")) * I311 / 100, ""), "")))</f>
        <v/>
      </c>
      <c r="Q311" s="26" t="str">
        <f>IF(OR(F311 = "", G311 = "", I311 = ""), "", IF(F311 = "Vara", IFERROR(_xlfn.SINGLE(_xlfn.XLOOKUP(G311, Vöruskrá!A:A, Vöruskrá!N:N, "")) * I311 / 100, ""), IF(F311 = "Réttur", IFERROR(_xlfn.SINGLE(_xlfn.XLOOKUP(G311, Réttabanki!A:A, Réttabanki!BB:BB, "")) * I311 / 100, ""), "")))</f>
        <v/>
      </c>
    </row>
    <row r="312" spans="2:17">
      <c r="B312" s="33" t="str">
        <f>IF(A312&lt;&gt;"",CHOOSE(WEEKDAY(A312,2),"Mánudagur","Þriðjudagur","Miðvikudagur","Fimmtudagur","Föstudagur","Laugardagur","Sunnudagur"),IF(B311&lt;&gt;"",B311,""))</f>
        <v>Fimmtudagur</v>
      </c>
      <c r="C312" s="33">
        <f>IF(A312&lt;&gt;"",WEEKNUM(A312,21),IF(C311&lt;&gt;"",C311,""))</f>
        <v>27</v>
      </c>
      <c r="D312" s="34"/>
      <c r="E312" s="34"/>
      <c r="F312" s="34"/>
      <c r="G312" s="34"/>
      <c r="H312" s="34"/>
      <c r="I312" s="35"/>
      <c r="J312" s="35"/>
      <c r="K312" s="36"/>
      <c r="L312" s="26" t="str">
        <f>IF(OR(F312 = "", G312 = ""), "", IF(F312 = "Vara", IFERROR(_xlfn.SINGLE(_xlfn.XLOOKUP(G312, Vöruskrá!A:A, Vöruskrá!E:E, "")), ""), IF(F312 = "Réttur", IFERROR(_xlfn.SINGLE(_xlfn.XLOOKUP(G312, Réttabanki!A:A, Réttabanki!AS:AS, "")), ""), "")))</f>
        <v/>
      </c>
      <c r="M312" s="26" t="str">
        <f>IF(OR(F312 = "", G312 = ""), "", IF(F312 = "Vara", IFERROR(_xlfn.SINGLE(_xlfn.XLOOKUP(G312, Vöruskrá!A:A, Vöruskrá!F:F, "")), ""), IF(F312 = "Réttur", IFERROR(_xlfn.SINGLE(_xlfn.XLOOKUP(G312, Réttabanki!A:A, Réttabanki!AT:AT, "")), ""), "")))</f>
        <v/>
      </c>
      <c r="N312" s="26" t="str">
        <f>IF(OR(F312 = "", G312 = ""), "", IF(F312 = "Vara", IFERROR(_xlfn.SINGLE(_xlfn.XLOOKUP(G312, Vöruskrá!A:A, Vöruskrá!G:G, "")), ""), IF(F312 = "Réttur", IFERROR(_xlfn.SINGLE(_xlfn.XLOOKUP(G312, Réttabanki!A:A, Réttabanki!AU:AU, "")), ""), "")))</f>
        <v/>
      </c>
      <c r="O312" s="26" t="str">
        <f>IF(OR(F312 = "", G312 = "", I312 = ""), "", IF(F312 = "Vara", IFERROR(_xlfn.SINGLE(_xlfn.XLOOKUP(G312, Vöruskrá!A:A, Vöruskrá!I:I, "")) * I312 / 100, ""), IF(F312 = "Réttur", IFERROR(_xlfn.SINGLE(_xlfn.XLOOKUP(G312, Réttabanki!A:A, Réttabanki!AV:AV, "")) * I312 / 100, ""), "")))</f>
        <v/>
      </c>
      <c r="P312" s="26" t="str">
        <f>IF(OR(F312 = "", G312 = "", I312 = ""), "", IF(F312 = "Vara", IFERROR(_xlfn.SINGLE(_xlfn.XLOOKUP(G312, Vöruskrá!A:A, Vöruskrá!J:J, "")) * I312 / 100, ""), IF(F312 = "Réttur", IFERROR(_xlfn.SINGLE(_xlfn.XLOOKUP(G312, Réttabanki!A:A, Réttabanki!AW:AW, "")) * I312 / 100, ""), "")))</f>
        <v/>
      </c>
      <c r="Q312" s="26" t="str">
        <f>IF(OR(F312 = "", G312 = "", I312 = ""), "", IF(F312 = "Vara", IFERROR(_xlfn.SINGLE(_xlfn.XLOOKUP(G312, Vöruskrá!A:A, Vöruskrá!N:N, "")) * I312 / 100, ""), IF(F312 = "Réttur", IFERROR(_xlfn.SINGLE(_xlfn.XLOOKUP(G312, Réttabanki!A:A, Réttabanki!BB:BB, "")) * I312 / 100, ""), "")))</f>
        <v/>
      </c>
    </row>
    <row r="313" spans="2:17">
      <c r="B313" s="33" t="str">
        <f>IF(A313&lt;&gt;"",CHOOSE(WEEKDAY(A313,2),"Mánudagur","Þriðjudagur","Miðvikudagur","Fimmtudagur","Föstudagur","Laugardagur","Sunnudagur"),IF(B312&lt;&gt;"",B312,""))</f>
        <v>Fimmtudagur</v>
      </c>
      <c r="C313" s="33">
        <f>IF(A313&lt;&gt;"",WEEKNUM(A313,21),IF(C312&lt;&gt;"",C312,""))</f>
        <v>27</v>
      </c>
      <c r="D313" s="34"/>
      <c r="E313" s="34"/>
      <c r="F313" s="34"/>
      <c r="G313" s="34"/>
      <c r="H313" s="34"/>
      <c r="I313" s="35"/>
      <c r="J313" s="35"/>
      <c r="K313" s="36"/>
      <c r="L313" s="26" t="str">
        <f>IF(OR(F313 = "", G313 = ""), "", IF(F313 = "Vara", IFERROR(_xlfn.SINGLE(_xlfn.XLOOKUP(G313, Vöruskrá!A:A, Vöruskrá!E:E, "")), ""), IF(F313 = "Réttur", IFERROR(_xlfn.SINGLE(_xlfn.XLOOKUP(G313, Réttabanki!A:A, Réttabanki!AS:AS, "")), ""), "")))</f>
        <v/>
      </c>
      <c r="M313" s="26" t="str">
        <f>IF(OR(F313 = "", G313 = ""), "", IF(F313 = "Vara", IFERROR(_xlfn.SINGLE(_xlfn.XLOOKUP(G313, Vöruskrá!A:A, Vöruskrá!F:F, "")), ""), IF(F313 = "Réttur", IFERROR(_xlfn.SINGLE(_xlfn.XLOOKUP(G313, Réttabanki!A:A, Réttabanki!AT:AT, "")), ""), "")))</f>
        <v/>
      </c>
      <c r="N313" s="26" t="str">
        <f>IF(OR(F313 = "", G313 = ""), "", IF(F313 = "Vara", IFERROR(_xlfn.SINGLE(_xlfn.XLOOKUP(G313, Vöruskrá!A:A, Vöruskrá!G:G, "")), ""), IF(F313 = "Réttur", IFERROR(_xlfn.SINGLE(_xlfn.XLOOKUP(G313, Réttabanki!A:A, Réttabanki!AU:AU, "")), ""), "")))</f>
        <v/>
      </c>
      <c r="O313" s="26" t="str">
        <f>IF(OR(F313 = "", G313 = "", I313 = ""), "", IF(F313 = "Vara", IFERROR(_xlfn.SINGLE(_xlfn.XLOOKUP(G313, Vöruskrá!A:A, Vöruskrá!I:I, "")) * I313 / 100, ""), IF(F313 = "Réttur", IFERROR(_xlfn.SINGLE(_xlfn.XLOOKUP(G313, Réttabanki!A:A, Réttabanki!AV:AV, "")) * I313 / 100, ""), "")))</f>
        <v/>
      </c>
      <c r="P313" s="26" t="str">
        <f>IF(OR(F313 = "", G313 = "", I313 = ""), "", IF(F313 = "Vara", IFERROR(_xlfn.SINGLE(_xlfn.XLOOKUP(G313, Vöruskrá!A:A, Vöruskrá!J:J, "")) * I313 / 100, ""), IF(F313 = "Réttur", IFERROR(_xlfn.SINGLE(_xlfn.XLOOKUP(G313, Réttabanki!A:A, Réttabanki!AW:AW, "")) * I313 / 100, ""), "")))</f>
        <v/>
      </c>
      <c r="Q313" s="26" t="str">
        <f>IF(OR(F313 = "", G313 = "", I313 = ""), "", IF(F313 = "Vara", IFERROR(_xlfn.SINGLE(_xlfn.XLOOKUP(G313, Vöruskrá!A:A, Vöruskrá!N:N, "")) * I313 / 100, ""), IF(F313 = "Réttur", IFERROR(_xlfn.SINGLE(_xlfn.XLOOKUP(G313, Réttabanki!A:A, Réttabanki!BB:BB, "")) * I313 / 100, ""), "")))</f>
        <v/>
      </c>
    </row>
    <row r="314" spans="2:17">
      <c r="B314" s="33" t="str">
        <f>IF(A314&lt;&gt;"",CHOOSE(WEEKDAY(A314,2),"Mánudagur","Þriðjudagur","Miðvikudagur","Fimmtudagur","Föstudagur","Laugardagur","Sunnudagur"),IF(B313&lt;&gt;"",B313,""))</f>
        <v>Fimmtudagur</v>
      </c>
      <c r="C314" s="33">
        <f>IF(A314&lt;&gt;"",WEEKNUM(A314,21),IF(C313&lt;&gt;"",C313,""))</f>
        <v>27</v>
      </c>
      <c r="D314" s="34"/>
      <c r="E314" s="34"/>
      <c r="F314" s="34"/>
      <c r="G314" s="34"/>
      <c r="H314" s="34"/>
      <c r="I314" s="35"/>
      <c r="J314" s="35"/>
      <c r="K314" s="36"/>
      <c r="L314" s="26" t="str">
        <f>IF(OR(F314 = "", G314 = ""), "", IF(F314 = "Vara", IFERROR(_xlfn.SINGLE(_xlfn.XLOOKUP(G314, Vöruskrá!A:A, Vöruskrá!E:E, "")), ""), IF(F314 = "Réttur", IFERROR(_xlfn.SINGLE(_xlfn.XLOOKUP(G314, Réttabanki!A:A, Réttabanki!AS:AS, "")), ""), "")))</f>
        <v/>
      </c>
      <c r="M314" s="26" t="str">
        <f>IF(OR(F314 = "", G314 = ""), "", IF(F314 = "Vara", IFERROR(_xlfn.SINGLE(_xlfn.XLOOKUP(G314, Vöruskrá!A:A, Vöruskrá!F:F, "")), ""), IF(F314 = "Réttur", IFERROR(_xlfn.SINGLE(_xlfn.XLOOKUP(G314, Réttabanki!A:A, Réttabanki!AT:AT, "")), ""), "")))</f>
        <v/>
      </c>
      <c r="N314" s="26" t="str">
        <f>IF(OR(F314 = "", G314 = ""), "", IF(F314 = "Vara", IFERROR(_xlfn.SINGLE(_xlfn.XLOOKUP(G314, Vöruskrá!A:A, Vöruskrá!G:G, "")), ""), IF(F314 = "Réttur", IFERROR(_xlfn.SINGLE(_xlfn.XLOOKUP(G314, Réttabanki!A:A, Réttabanki!AU:AU, "")), ""), "")))</f>
        <v/>
      </c>
      <c r="O314" s="26" t="str">
        <f>IF(OR(F314 = "", G314 = "", I314 = ""), "", IF(F314 = "Vara", IFERROR(_xlfn.SINGLE(_xlfn.XLOOKUP(G314, Vöruskrá!A:A, Vöruskrá!I:I, "")) * I314 / 100, ""), IF(F314 = "Réttur", IFERROR(_xlfn.SINGLE(_xlfn.XLOOKUP(G314, Réttabanki!A:A, Réttabanki!AV:AV, "")) * I314 / 100, ""), "")))</f>
        <v/>
      </c>
      <c r="P314" s="26" t="str">
        <f>IF(OR(F314 = "", G314 = "", I314 = ""), "", IF(F314 = "Vara", IFERROR(_xlfn.SINGLE(_xlfn.XLOOKUP(G314, Vöruskrá!A:A, Vöruskrá!J:J, "")) * I314 / 100, ""), IF(F314 = "Réttur", IFERROR(_xlfn.SINGLE(_xlfn.XLOOKUP(G314, Réttabanki!A:A, Réttabanki!AW:AW, "")) * I314 / 100, ""), "")))</f>
        <v/>
      </c>
      <c r="Q314" s="26" t="str">
        <f>IF(OR(F314 = "", G314 = "", I314 = ""), "", IF(F314 = "Vara", IFERROR(_xlfn.SINGLE(_xlfn.XLOOKUP(G314, Vöruskrá!A:A, Vöruskrá!N:N, "")) * I314 / 100, ""), IF(F314 = "Réttur", IFERROR(_xlfn.SINGLE(_xlfn.XLOOKUP(G314, Réttabanki!A:A, Réttabanki!BB:BB, "")) * I314 / 100, ""), "")))</f>
        <v/>
      </c>
    </row>
    <row r="315" spans="2:17">
      <c r="B315" s="33" t="str">
        <f>IF(A315&lt;&gt;"",CHOOSE(WEEKDAY(A315,2),"Mánudagur","Þriðjudagur","Miðvikudagur","Fimmtudagur","Föstudagur","Laugardagur","Sunnudagur"),IF(B314&lt;&gt;"",B314,""))</f>
        <v>Fimmtudagur</v>
      </c>
      <c r="C315" s="33">
        <f>IF(A315&lt;&gt;"",WEEKNUM(A315,21),IF(C314&lt;&gt;"",C314,""))</f>
        <v>27</v>
      </c>
      <c r="D315" s="34"/>
      <c r="E315" s="34"/>
      <c r="F315" s="34"/>
      <c r="G315" s="34"/>
      <c r="H315" s="34"/>
      <c r="I315" s="35"/>
      <c r="J315" s="35"/>
      <c r="K315" s="36"/>
      <c r="L315" s="26" t="str">
        <f>IF(OR(F315 = "", G315 = ""), "", IF(F315 = "Vara", IFERROR(_xlfn.SINGLE(_xlfn.XLOOKUP(G315, Vöruskrá!A:A, Vöruskrá!E:E, "")), ""), IF(F315 = "Réttur", IFERROR(_xlfn.SINGLE(_xlfn.XLOOKUP(G315, Réttabanki!A:A, Réttabanki!AS:AS, "")), ""), "")))</f>
        <v/>
      </c>
      <c r="M315" s="26" t="str">
        <f>IF(OR(F315 = "", G315 = ""), "", IF(F315 = "Vara", IFERROR(_xlfn.SINGLE(_xlfn.XLOOKUP(G315, Vöruskrá!A:A, Vöruskrá!F:F, "")), ""), IF(F315 = "Réttur", IFERROR(_xlfn.SINGLE(_xlfn.XLOOKUP(G315, Réttabanki!A:A, Réttabanki!AT:AT, "")), ""), "")))</f>
        <v/>
      </c>
      <c r="N315" s="26" t="str">
        <f>IF(OR(F315 = "", G315 = ""), "", IF(F315 = "Vara", IFERROR(_xlfn.SINGLE(_xlfn.XLOOKUP(G315, Vöruskrá!A:A, Vöruskrá!G:G, "")), ""), IF(F315 = "Réttur", IFERROR(_xlfn.SINGLE(_xlfn.XLOOKUP(G315, Réttabanki!A:A, Réttabanki!AU:AU, "")), ""), "")))</f>
        <v/>
      </c>
      <c r="O315" s="26" t="str">
        <f>IF(OR(F315 = "", G315 = "", I315 = ""), "", IF(F315 = "Vara", IFERROR(_xlfn.SINGLE(_xlfn.XLOOKUP(G315, Vöruskrá!A:A, Vöruskrá!I:I, "")) * I315 / 100, ""), IF(F315 = "Réttur", IFERROR(_xlfn.SINGLE(_xlfn.XLOOKUP(G315, Réttabanki!A:A, Réttabanki!AV:AV, "")) * I315 / 100, ""), "")))</f>
        <v/>
      </c>
      <c r="P315" s="26" t="str">
        <f>IF(OR(F315 = "", G315 = "", I315 = ""), "", IF(F315 = "Vara", IFERROR(_xlfn.SINGLE(_xlfn.XLOOKUP(G315, Vöruskrá!A:A, Vöruskrá!J:J, "")) * I315 / 100, ""), IF(F315 = "Réttur", IFERROR(_xlfn.SINGLE(_xlfn.XLOOKUP(G315, Réttabanki!A:A, Réttabanki!AW:AW, "")) * I315 / 100, ""), "")))</f>
        <v/>
      </c>
      <c r="Q315" s="26" t="str">
        <f>IF(OR(F315 = "", G315 = "", I315 = ""), "", IF(F315 = "Vara", IFERROR(_xlfn.SINGLE(_xlfn.XLOOKUP(G315, Vöruskrá!A:A, Vöruskrá!N:N, "")) * I315 / 100, ""), IF(F315 = "Réttur", IFERROR(_xlfn.SINGLE(_xlfn.XLOOKUP(G315, Réttabanki!A:A, Réttabanki!BB:BB, "")) * I315 / 100, ""), "")))</f>
        <v/>
      </c>
    </row>
    <row r="316" spans="2:17">
      <c r="B316" s="33" t="str">
        <f>IF(A316&lt;&gt;"",CHOOSE(WEEKDAY(A316,2),"Mánudagur","Þriðjudagur","Miðvikudagur","Fimmtudagur","Föstudagur","Laugardagur","Sunnudagur"),IF(B315&lt;&gt;"",B315,""))</f>
        <v>Fimmtudagur</v>
      </c>
      <c r="C316" s="33">
        <f>IF(A316&lt;&gt;"",WEEKNUM(A316,21),IF(C315&lt;&gt;"",C315,""))</f>
        <v>27</v>
      </c>
      <c r="D316" s="34"/>
      <c r="E316" s="34"/>
      <c r="F316" s="34"/>
      <c r="G316" s="34"/>
      <c r="H316" s="34"/>
      <c r="I316" s="35"/>
      <c r="J316" s="35"/>
      <c r="K316" s="36"/>
      <c r="L316" s="26" t="str">
        <f>IF(OR(F316 = "", G316 = ""), "", IF(F316 = "Vara", IFERROR(_xlfn.SINGLE(_xlfn.XLOOKUP(G316, Vöruskrá!A:A, Vöruskrá!E:E, "")), ""), IF(F316 = "Réttur", IFERROR(_xlfn.SINGLE(_xlfn.XLOOKUP(G316, Réttabanki!A:A, Réttabanki!AS:AS, "")), ""), "")))</f>
        <v/>
      </c>
      <c r="M316" s="26" t="str">
        <f>IF(OR(F316 = "", G316 = ""), "", IF(F316 = "Vara", IFERROR(_xlfn.SINGLE(_xlfn.XLOOKUP(G316, Vöruskrá!A:A, Vöruskrá!F:F, "")), ""), IF(F316 = "Réttur", IFERROR(_xlfn.SINGLE(_xlfn.XLOOKUP(G316, Réttabanki!A:A, Réttabanki!AT:AT, "")), ""), "")))</f>
        <v/>
      </c>
      <c r="N316" s="26" t="str">
        <f>IF(OR(F316 = "", G316 = ""), "", IF(F316 = "Vara", IFERROR(_xlfn.SINGLE(_xlfn.XLOOKUP(G316, Vöruskrá!A:A, Vöruskrá!G:G, "")), ""), IF(F316 = "Réttur", IFERROR(_xlfn.SINGLE(_xlfn.XLOOKUP(G316, Réttabanki!A:A, Réttabanki!AU:AU, "")), ""), "")))</f>
        <v/>
      </c>
      <c r="O316" s="26" t="str">
        <f>IF(OR(F316 = "", G316 = "", I316 = ""), "", IF(F316 = "Vara", IFERROR(_xlfn.SINGLE(_xlfn.XLOOKUP(G316, Vöruskrá!A:A, Vöruskrá!I:I, "")) * I316 / 100, ""), IF(F316 = "Réttur", IFERROR(_xlfn.SINGLE(_xlfn.XLOOKUP(G316, Réttabanki!A:A, Réttabanki!AV:AV, "")) * I316 / 100, ""), "")))</f>
        <v/>
      </c>
      <c r="P316" s="26" t="str">
        <f>IF(OR(F316 = "", G316 = "", I316 = ""), "", IF(F316 = "Vara", IFERROR(_xlfn.SINGLE(_xlfn.XLOOKUP(G316, Vöruskrá!A:A, Vöruskrá!J:J, "")) * I316 / 100, ""), IF(F316 = "Réttur", IFERROR(_xlfn.SINGLE(_xlfn.XLOOKUP(G316, Réttabanki!A:A, Réttabanki!AW:AW, "")) * I316 / 100, ""), "")))</f>
        <v/>
      </c>
      <c r="Q316" s="26" t="str">
        <f>IF(OR(F316 = "", G316 = "", I316 = ""), "", IF(F316 = "Vara", IFERROR(_xlfn.SINGLE(_xlfn.XLOOKUP(G316, Vöruskrá!A:A, Vöruskrá!N:N, "")) * I316 / 100, ""), IF(F316 = "Réttur", IFERROR(_xlfn.SINGLE(_xlfn.XLOOKUP(G316, Réttabanki!A:A, Réttabanki!BB:BB, "")) * I316 / 100, ""), "")))</f>
        <v/>
      </c>
    </row>
    <row r="317" spans="2:17">
      <c r="B317" s="33" t="str">
        <f>IF(A317&lt;&gt;"",CHOOSE(WEEKDAY(A317,2),"Mánudagur","Þriðjudagur","Miðvikudagur","Fimmtudagur","Föstudagur","Laugardagur","Sunnudagur"),IF(B316&lt;&gt;"",B316,""))</f>
        <v>Fimmtudagur</v>
      </c>
      <c r="C317" s="33">
        <f>IF(A317&lt;&gt;"",WEEKNUM(A317,21),IF(C316&lt;&gt;"",C316,""))</f>
        <v>27</v>
      </c>
      <c r="D317" s="34"/>
      <c r="E317" s="34"/>
      <c r="F317" s="34"/>
      <c r="G317" s="34"/>
      <c r="H317" s="34"/>
      <c r="I317" s="35"/>
      <c r="J317" s="35"/>
      <c r="K317" s="36"/>
      <c r="L317" s="26" t="str">
        <f>IF(OR(F317 = "", G317 = ""), "", IF(F317 = "Vara", IFERROR(_xlfn.SINGLE(_xlfn.XLOOKUP(G317, Vöruskrá!A:A, Vöruskrá!E:E, "")), ""), IF(F317 = "Réttur", IFERROR(_xlfn.SINGLE(_xlfn.XLOOKUP(G317, Réttabanki!A:A, Réttabanki!AS:AS, "")), ""), "")))</f>
        <v/>
      </c>
      <c r="M317" s="26" t="str">
        <f>IF(OR(F317 = "", G317 = ""), "", IF(F317 = "Vara", IFERROR(_xlfn.SINGLE(_xlfn.XLOOKUP(G317, Vöruskrá!A:A, Vöruskrá!F:F, "")), ""), IF(F317 = "Réttur", IFERROR(_xlfn.SINGLE(_xlfn.XLOOKUP(G317, Réttabanki!A:A, Réttabanki!AT:AT, "")), ""), "")))</f>
        <v/>
      </c>
      <c r="N317" s="26" t="str">
        <f>IF(OR(F317 = "", G317 = ""), "", IF(F317 = "Vara", IFERROR(_xlfn.SINGLE(_xlfn.XLOOKUP(G317, Vöruskrá!A:A, Vöruskrá!G:G, "")), ""), IF(F317 = "Réttur", IFERROR(_xlfn.SINGLE(_xlfn.XLOOKUP(G317, Réttabanki!A:A, Réttabanki!AU:AU, "")), ""), "")))</f>
        <v/>
      </c>
      <c r="O317" s="26" t="str">
        <f>IF(OR(F317 = "", G317 = "", I317 = ""), "", IF(F317 = "Vara", IFERROR(_xlfn.SINGLE(_xlfn.XLOOKUP(G317, Vöruskrá!A:A, Vöruskrá!I:I, "")) * I317 / 100, ""), IF(F317 = "Réttur", IFERROR(_xlfn.SINGLE(_xlfn.XLOOKUP(G317, Réttabanki!A:A, Réttabanki!AV:AV, "")) * I317 / 100, ""), "")))</f>
        <v/>
      </c>
      <c r="P317" s="26" t="str">
        <f>IF(OR(F317 = "", G317 = "", I317 = ""), "", IF(F317 = "Vara", IFERROR(_xlfn.SINGLE(_xlfn.XLOOKUP(G317, Vöruskrá!A:A, Vöruskrá!J:J, "")) * I317 / 100, ""), IF(F317 = "Réttur", IFERROR(_xlfn.SINGLE(_xlfn.XLOOKUP(G317, Réttabanki!A:A, Réttabanki!AW:AW, "")) * I317 / 100, ""), "")))</f>
        <v/>
      </c>
      <c r="Q317" s="26" t="str">
        <f>IF(OR(F317 = "", G317 = "", I317 = ""), "", IF(F317 = "Vara", IFERROR(_xlfn.SINGLE(_xlfn.XLOOKUP(G317, Vöruskrá!A:A, Vöruskrá!N:N, "")) * I317 / 100, ""), IF(F317 = "Réttur", IFERROR(_xlfn.SINGLE(_xlfn.XLOOKUP(G317, Réttabanki!A:A, Réttabanki!BB:BB, "")) * I317 / 100, ""), "")))</f>
        <v/>
      </c>
    </row>
    <row r="318" spans="2:17">
      <c r="B318" s="33" t="str">
        <f>IF(A318&lt;&gt;"",CHOOSE(WEEKDAY(A318,2),"Mánudagur","Þriðjudagur","Miðvikudagur","Fimmtudagur","Föstudagur","Laugardagur","Sunnudagur"),IF(B317&lt;&gt;"",B317,""))</f>
        <v>Fimmtudagur</v>
      </c>
      <c r="C318" s="33">
        <f>IF(A318&lt;&gt;"",WEEKNUM(A318,21),IF(C317&lt;&gt;"",C317,""))</f>
        <v>27</v>
      </c>
      <c r="D318" s="34"/>
      <c r="E318" s="34"/>
      <c r="F318" s="34"/>
      <c r="G318" s="34"/>
      <c r="H318" s="34"/>
      <c r="I318" s="35"/>
      <c r="J318" s="35"/>
      <c r="K318" s="36"/>
      <c r="L318" s="26" t="str">
        <f>IF(OR(F318 = "", G318 = ""), "", IF(F318 = "Vara", IFERROR(_xlfn.SINGLE(_xlfn.XLOOKUP(G318, Vöruskrá!A:A, Vöruskrá!E:E, "")), ""), IF(F318 = "Réttur", IFERROR(_xlfn.SINGLE(_xlfn.XLOOKUP(G318, Réttabanki!A:A, Réttabanki!AS:AS, "")), ""), "")))</f>
        <v/>
      </c>
      <c r="M318" s="26" t="str">
        <f>IF(OR(F318 = "", G318 = ""), "", IF(F318 = "Vara", IFERROR(_xlfn.SINGLE(_xlfn.XLOOKUP(G318, Vöruskrá!A:A, Vöruskrá!F:F, "")), ""), IF(F318 = "Réttur", IFERROR(_xlfn.SINGLE(_xlfn.XLOOKUP(G318, Réttabanki!A:A, Réttabanki!AT:AT, "")), ""), "")))</f>
        <v/>
      </c>
      <c r="N318" s="26" t="str">
        <f>IF(OR(F318 = "", G318 = ""), "", IF(F318 = "Vara", IFERROR(_xlfn.SINGLE(_xlfn.XLOOKUP(G318, Vöruskrá!A:A, Vöruskrá!G:G, "")), ""), IF(F318 = "Réttur", IFERROR(_xlfn.SINGLE(_xlfn.XLOOKUP(G318, Réttabanki!A:A, Réttabanki!AU:AU, "")), ""), "")))</f>
        <v/>
      </c>
      <c r="O318" s="26" t="str">
        <f>IF(OR(F318 = "", G318 = "", I318 = ""), "", IF(F318 = "Vara", IFERROR(_xlfn.SINGLE(_xlfn.XLOOKUP(G318, Vöruskrá!A:A, Vöruskrá!I:I, "")) * I318 / 100, ""), IF(F318 = "Réttur", IFERROR(_xlfn.SINGLE(_xlfn.XLOOKUP(G318, Réttabanki!A:A, Réttabanki!AV:AV, "")) * I318 / 100, ""), "")))</f>
        <v/>
      </c>
      <c r="P318" s="26" t="str">
        <f>IF(OR(F318 = "", G318 = "", I318 = ""), "", IF(F318 = "Vara", IFERROR(_xlfn.SINGLE(_xlfn.XLOOKUP(G318, Vöruskrá!A:A, Vöruskrá!J:J, "")) * I318 / 100, ""), IF(F318 = "Réttur", IFERROR(_xlfn.SINGLE(_xlfn.XLOOKUP(G318, Réttabanki!A:A, Réttabanki!AW:AW, "")) * I318 / 100, ""), "")))</f>
        <v/>
      </c>
      <c r="Q318" s="26" t="str">
        <f>IF(OR(F318 = "", G318 = "", I318 = ""), "", IF(F318 = "Vara", IFERROR(_xlfn.SINGLE(_xlfn.XLOOKUP(G318, Vöruskrá!A:A, Vöruskrá!N:N, "")) * I318 / 100, ""), IF(F318 = "Réttur", IFERROR(_xlfn.SINGLE(_xlfn.XLOOKUP(G318, Réttabanki!A:A, Réttabanki!BB:BB, "")) * I318 / 100, ""), "")))</f>
        <v/>
      </c>
    </row>
    <row r="319" spans="2:17">
      <c r="B319" s="33" t="str">
        <f>IF(A319&lt;&gt;"",CHOOSE(WEEKDAY(A319,2),"Mánudagur","Þriðjudagur","Miðvikudagur","Fimmtudagur","Föstudagur","Laugardagur","Sunnudagur"),IF(B318&lt;&gt;"",B318,""))</f>
        <v>Fimmtudagur</v>
      </c>
      <c r="C319" s="33">
        <f>IF(A319&lt;&gt;"",WEEKNUM(A319,21),IF(C318&lt;&gt;"",C318,""))</f>
        <v>27</v>
      </c>
      <c r="D319" s="34"/>
      <c r="E319" s="34"/>
      <c r="F319" s="34"/>
      <c r="G319" s="34"/>
      <c r="H319" s="34"/>
      <c r="I319" s="35"/>
      <c r="J319" s="35"/>
      <c r="K319" s="36"/>
      <c r="L319" s="26" t="str">
        <f>IF(OR(F319 = "", G319 = ""), "", IF(F319 = "Vara", IFERROR(_xlfn.SINGLE(_xlfn.XLOOKUP(G319, Vöruskrá!A:A, Vöruskrá!E:E, "")), ""), IF(F319 = "Réttur", IFERROR(_xlfn.SINGLE(_xlfn.XLOOKUP(G319, Réttabanki!A:A, Réttabanki!AS:AS, "")), ""), "")))</f>
        <v/>
      </c>
      <c r="M319" s="26" t="str">
        <f>IF(OR(F319 = "", G319 = ""), "", IF(F319 = "Vara", IFERROR(_xlfn.SINGLE(_xlfn.XLOOKUP(G319, Vöruskrá!A:A, Vöruskrá!F:F, "")), ""), IF(F319 = "Réttur", IFERROR(_xlfn.SINGLE(_xlfn.XLOOKUP(G319, Réttabanki!A:A, Réttabanki!AT:AT, "")), ""), "")))</f>
        <v/>
      </c>
      <c r="N319" s="26" t="str">
        <f>IF(OR(F319 = "", G319 = ""), "", IF(F319 = "Vara", IFERROR(_xlfn.SINGLE(_xlfn.XLOOKUP(G319, Vöruskrá!A:A, Vöruskrá!G:G, "")), ""), IF(F319 = "Réttur", IFERROR(_xlfn.SINGLE(_xlfn.XLOOKUP(G319, Réttabanki!A:A, Réttabanki!AU:AU, "")), ""), "")))</f>
        <v/>
      </c>
      <c r="O319" s="26" t="str">
        <f>IF(OR(F319 = "", G319 = "", I319 = ""), "", IF(F319 = "Vara", IFERROR(_xlfn.SINGLE(_xlfn.XLOOKUP(G319, Vöruskrá!A:A, Vöruskrá!I:I, "")) * I319 / 100, ""), IF(F319 = "Réttur", IFERROR(_xlfn.SINGLE(_xlfn.XLOOKUP(G319, Réttabanki!A:A, Réttabanki!AV:AV, "")) * I319 / 100, ""), "")))</f>
        <v/>
      </c>
      <c r="P319" s="26" t="str">
        <f>IF(OR(F319 = "", G319 = "", I319 = ""), "", IF(F319 = "Vara", IFERROR(_xlfn.SINGLE(_xlfn.XLOOKUP(G319, Vöruskrá!A:A, Vöruskrá!J:J, "")) * I319 / 100, ""), IF(F319 = "Réttur", IFERROR(_xlfn.SINGLE(_xlfn.XLOOKUP(G319, Réttabanki!A:A, Réttabanki!AW:AW, "")) * I319 / 100, ""), "")))</f>
        <v/>
      </c>
      <c r="Q319" s="26" t="str">
        <f>IF(OR(F319 = "", G319 = "", I319 = ""), "", IF(F319 = "Vara", IFERROR(_xlfn.SINGLE(_xlfn.XLOOKUP(G319, Vöruskrá!A:A, Vöruskrá!N:N, "")) * I319 / 100, ""), IF(F319 = "Réttur", IFERROR(_xlfn.SINGLE(_xlfn.XLOOKUP(G319, Réttabanki!A:A, Réttabanki!BB:BB, "")) * I319 / 100, ""), "")))</f>
        <v/>
      </c>
    </row>
    <row r="320" spans="2:17">
      <c r="B320" s="33" t="str">
        <f>IF(A320&lt;&gt;"",CHOOSE(WEEKDAY(A320,2),"Mánudagur","Þriðjudagur","Miðvikudagur","Fimmtudagur","Föstudagur","Laugardagur","Sunnudagur"),IF(B319&lt;&gt;"",B319,""))</f>
        <v>Fimmtudagur</v>
      </c>
      <c r="C320" s="33">
        <f>IF(A320&lt;&gt;"",WEEKNUM(A320,21),IF(C319&lt;&gt;"",C319,""))</f>
        <v>27</v>
      </c>
      <c r="D320" s="34"/>
      <c r="E320" s="34"/>
      <c r="F320" s="34"/>
      <c r="G320" s="34"/>
      <c r="H320" s="34"/>
      <c r="I320" s="35"/>
      <c r="J320" s="35"/>
      <c r="K320" s="36"/>
      <c r="L320" s="26" t="str">
        <f>IF(OR(F320 = "", G320 = ""), "", IF(F320 = "Vara", IFERROR(_xlfn.SINGLE(_xlfn.XLOOKUP(G320, Vöruskrá!A:A, Vöruskrá!E:E, "")), ""), IF(F320 = "Réttur", IFERROR(_xlfn.SINGLE(_xlfn.XLOOKUP(G320, Réttabanki!A:A, Réttabanki!AS:AS, "")), ""), "")))</f>
        <v/>
      </c>
      <c r="M320" s="26" t="str">
        <f>IF(OR(F320 = "", G320 = ""), "", IF(F320 = "Vara", IFERROR(_xlfn.SINGLE(_xlfn.XLOOKUP(G320, Vöruskrá!A:A, Vöruskrá!F:F, "")), ""), IF(F320 = "Réttur", IFERROR(_xlfn.SINGLE(_xlfn.XLOOKUP(G320, Réttabanki!A:A, Réttabanki!AT:AT, "")), ""), "")))</f>
        <v/>
      </c>
      <c r="N320" s="26" t="str">
        <f>IF(OR(F320 = "", G320 = ""), "", IF(F320 = "Vara", IFERROR(_xlfn.SINGLE(_xlfn.XLOOKUP(G320, Vöruskrá!A:A, Vöruskrá!G:G, "")), ""), IF(F320 = "Réttur", IFERROR(_xlfn.SINGLE(_xlfn.XLOOKUP(G320, Réttabanki!A:A, Réttabanki!AU:AU, "")), ""), "")))</f>
        <v/>
      </c>
      <c r="O320" s="26" t="str">
        <f>IF(OR(F320 = "", G320 = "", I320 = ""), "", IF(F320 = "Vara", IFERROR(_xlfn.SINGLE(_xlfn.XLOOKUP(G320, Vöruskrá!A:A, Vöruskrá!I:I, "")) * I320 / 100, ""), IF(F320 = "Réttur", IFERROR(_xlfn.SINGLE(_xlfn.XLOOKUP(G320, Réttabanki!A:A, Réttabanki!AV:AV, "")) * I320 / 100, ""), "")))</f>
        <v/>
      </c>
      <c r="P320" s="26" t="str">
        <f>IF(OR(F320 = "", G320 = "", I320 = ""), "", IF(F320 = "Vara", IFERROR(_xlfn.SINGLE(_xlfn.XLOOKUP(G320, Vöruskrá!A:A, Vöruskrá!J:J, "")) * I320 / 100, ""), IF(F320 = "Réttur", IFERROR(_xlfn.SINGLE(_xlfn.XLOOKUP(G320, Réttabanki!A:A, Réttabanki!AW:AW, "")) * I320 / 100, ""), "")))</f>
        <v/>
      </c>
      <c r="Q320" s="26" t="str">
        <f>IF(OR(F320 = "", G320 = "", I320 = ""), "", IF(F320 = "Vara", IFERROR(_xlfn.SINGLE(_xlfn.XLOOKUP(G320, Vöruskrá!A:A, Vöruskrá!N:N, "")) * I320 / 100, ""), IF(F320 = "Réttur", IFERROR(_xlfn.SINGLE(_xlfn.XLOOKUP(G320, Réttabanki!A:A, Réttabanki!BB:BB, "")) * I320 / 100, ""), "")))</f>
        <v/>
      </c>
    </row>
    <row r="321" spans="2:17">
      <c r="B321" s="33" t="str">
        <f>IF(A321&lt;&gt;"",CHOOSE(WEEKDAY(A321,2),"Mánudagur","Þriðjudagur","Miðvikudagur","Fimmtudagur","Föstudagur","Laugardagur","Sunnudagur"),IF(B320&lt;&gt;"",B320,""))</f>
        <v>Fimmtudagur</v>
      </c>
      <c r="C321" s="33">
        <f>IF(A321&lt;&gt;"",WEEKNUM(A321,21),IF(C320&lt;&gt;"",C320,""))</f>
        <v>27</v>
      </c>
      <c r="D321" s="34"/>
      <c r="E321" s="34"/>
      <c r="F321" s="34"/>
      <c r="G321" s="34"/>
      <c r="H321" s="34"/>
      <c r="I321" s="35"/>
      <c r="J321" s="35"/>
      <c r="K321" s="36"/>
      <c r="L321" s="26" t="str">
        <f>IF(OR(F321 = "", G321 = ""), "", IF(F321 = "Vara", IFERROR(_xlfn.SINGLE(_xlfn.XLOOKUP(G321, Vöruskrá!A:A, Vöruskrá!E:E, "")), ""), IF(F321 = "Réttur", IFERROR(_xlfn.SINGLE(_xlfn.XLOOKUP(G321, Réttabanki!A:A, Réttabanki!AS:AS, "")), ""), "")))</f>
        <v/>
      </c>
      <c r="M321" s="26" t="str">
        <f>IF(OR(F321 = "", G321 = ""), "", IF(F321 = "Vara", IFERROR(_xlfn.SINGLE(_xlfn.XLOOKUP(G321, Vöruskrá!A:A, Vöruskrá!F:F, "")), ""), IF(F321 = "Réttur", IFERROR(_xlfn.SINGLE(_xlfn.XLOOKUP(G321, Réttabanki!A:A, Réttabanki!AT:AT, "")), ""), "")))</f>
        <v/>
      </c>
      <c r="N321" s="26" t="str">
        <f>IF(OR(F321 = "", G321 = ""), "", IF(F321 = "Vara", IFERROR(_xlfn.SINGLE(_xlfn.XLOOKUP(G321, Vöruskrá!A:A, Vöruskrá!G:G, "")), ""), IF(F321 = "Réttur", IFERROR(_xlfn.SINGLE(_xlfn.XLOOKUP(G321, Réttabanki!A:A, Réttabanki!AU:AU, "")), ""), "")))</f>
        <v/>
      </c>
      <c r="O321" s="26" t="str">
        <f>IF(OR(F321 = "", G321 = "", I321 = ""), "", IF(F321 = "Vara", IFERROR(_xlfn.SINGLE(_xlfn.XLOOKUP(G321, Vöruskrá!A:A, Vöruskrá!I:I, "")) * I321 / 100, ""), IF(F321 = "Réttur", IFERROR(_xlfn.SINGLE(_xlfn.XLOOKUP(G321, Réttabanki!A:A, Réttabanki!AV:AV, "")) * I321 / 100, ""), "")))</f>
        <v/>
      </c>
      <c r="P321" s="26" t="str">
        <f>IF(OR(F321 = "", G321 = "", I321 = ""), "", IF(F321 = "Vara", IFERROR(_xlfn.SINGLE(_xlfn.XLOOKUP(G321, Vöruskrá!A:A, Vöruskrá!J:J, "")) * I321 / 100, ""), IF(F321 = "Réttur", IFERROR(_xlfn.SINGLE(_xlfn.XLOOKUP(G321, Réttabanki!A:A, Réttabanki!AW:AW, "")) * I321 / 100, ""), "")))</f>
        <v/>
      </c>
      <c r="Q321" s="26" t="str">
        <f>IF(OR(F321 = "", G321 = "", I321 = ""), "", IF(F321 = "Vara", IFERROR(_xlfn.SINGLE(_xlfn.XLOOKUP(G321, Vöruskrá!A:A, Vöruskrá!N:N, "")) * I321 / 100, ""), IF(F321 = "Réttur", IFERROR(_xlfn.SINGLE(_xlfn.XLOOKUP(G321, Réttabanki!A:A, Réttabanki!BB:BB, "")) * I321 / 100, ""), "")))</f>
        <v/>
      </c>
    </row>
    <row r="322" spans="2:17">
      <c r="B322" s="33" t="str">
        <f>IF(A322&lt;&gt;"",CHOOSE(WEEKDAY(A322,2),"Mánudagur","Þriðjudagur","Miðvikudagur","Fimmtudagur","Föstudagur","Laugardagur","Sunnudagur"),IF(B321&lt;&gt;"",B321,""))</f>
        <v>Fimmtudagur</v>
      </c>
      <c r="C322" s="33">
        <f>IF(A322&lt;&gt;"",WEEKNUM(A322,21),IF(C321&lt;&gt;"",C321,""))</f>
        <v>27</v>
      </c>
      <c r="D322" s="34"/>
      <c r="E322" s="34"/>
      <c r="F322" s="34"/>
      <c r="G322" s="34"/>
      <c r="H322" s="34"/>
      <c r="I322" s="35"/>
      <c r="J322" s="35"/>
      <c r="K322" s="36"/>
      <c r="L322" s="26" t="str">
        <f>IF(OR(F322 = "", G322 = ""), "", IF(F322 = "Vara", IFERROR(_xlfn.SINGLE(_xlfn.XLOOKUP(G322, Vöruskrá!A:A, Vöruskrá!E:E, "")), ""), IF(F322 = "Réttur", IFERROR(_xlfn.SINGLE(_xlfn.XLOOKUP(G322, Réttabanki!A:A, Réttabanki!AS:AS, "")), ""), "")))</f>
        <v/>
      </c>
      <c r="M322" s="26" t="str">
        <f>IF(OR(F322 = "", G322 = ""), "", IF(F322 = "Vara", IFERROR(_xlfn.SINGLE(_xlfn.XLOOKUP(G322, Vöruskrá!A:A, Vöruskrá!F:F, "")), ""), IF(F322 = "Réttur", IFERROR(_xlfn.SINGLE(_xlfn.XLOOKUP(G322, Réttabanki!A:A, Réttabanki!AT:AT, "")), ""), "")))</f>
        <v/>
      </c>
      <c r="N322" s="26" t="str">
        <f>IF(OR(F322 = "", G322 = ""), "", IF(F322 = "Vara", IFERROR(_xlfn.SINGLE(_xlfn.XLOOKUP(G322, Vöruskrá!A:A, Vöruskrá!G:G, "")), ""), IF(F322 = "Réttur", IFERROR(_xlfn.SINGLE(_xlfn.XLOOKUP(G322, Réttabanki!A:A, Réttabanki!AU:AU, "")), ""), "")))</f>
        <v/>
      </c>
      <c r="O322" s="26" t="str">
        <f>IF(OR(F322 = "", G322 = "", I322 = ""), "", IF(F322 = "Vara", IFERROR(_xlfn.SINGLE(_xlfn.XLOOKUP(G322, Vöruskrá!A:A, Vöruskrá!I:I, "")) * I322 / 100, ""), IF(F322 = "Réttur", IFERROR(_xlfn.SINGLE(_xlfn.XLOOKUP(G322, Réttabanki!A:A, Réttabanki!AV:AV, "")) * I322 / 100, ""), "")))</f>
        <v/>
      </c>
      <c r="P322" s="26" t="str">
        <f>IF(OR(F322 = "", G322 = "", I322 = ""), "", IF(F322 = "Vara", IFERROR(_xlfn.SINGLE(_xlfn.XLOOKUP(G322, Vöruskrá!A:A, Vöruskrá!J:J, "")) * I322 / 100, ""), IF(F322 = "Réttur", IFERROR(_xlfn.SINGLE(_xlfn.XLOOKUP(G322, Réttabanki!A:A, Réttabanki!AW:AW, "")) * I322 / 100, ""), "")))</f>
        <v/>
      </c>
      <c r="Q322" s="26" t="str">
        <f>IF(OR(F322 = "", G322 = "", I322 = ""), "", IF(F322 = "Vara", IFERROR(_xlfn.SINGLE(_xlfn.XLOOKUP(G322, Vöruskrá!A:A, Vöruskrá!N:N, "")) * I322 / 100, ""), IF(F322 = "Réttur", IFERROR(_xlfn.SINGLE(_xlfn.XLOOKUP(G322, Réttabanki!A:A, Réttabanki!BB:BB, "")) * I322 / 100, ""), "")))</f>
        <v/>
      </c>
    </row>
    <row r="323" spans="2:17">
      <c r="B323" s="33" t="str">
        <f>IF(A323&lt;&gt;"",CHOOSE(WEEKDAY(A323,2),"Mánudagur","Þriðjudagur","Miðvikudagur","Fimmtudagur","Föstudagur","Laugardagur","Sunnudagur"),IF(B322&lt;&gt;"",B322,""))</f>
        <v>Fimmtudagur</v>
      </c>
      <c r="C323" s="33">
        <f>IF(A323&lt;&gt;"",WEEKNUM(A323,21),IF(C322&lt;&gt;"",C322,""))</f>
        <v>27</v>
      </c>
      <c r="D323" s="34"/>
      <c r="E323" s="34"/>
      <c r="F323" s="34"/>
      <c r="G323" s="34"/>
      <c r="H323" s="34"/>
      <c r="I323" s="35"/>
      <c r="J323" s="35"/>
      <c r="K323" s="36"/>
      <c r="L323" s="26" t="str">
        <f>IF(OR(F323 = "", G323 = ""), "", IF(F323 = "Vara", IFERROR(_xlfn.SINGLE(_xlfn.XLOOKUP(G323, Vöruskrá!A:A, Vöruskrá!E:E, "")), ""), IF(F323 = "Réttur", IFERROR(_xlfn.SINGLE(_xlfn.XLOOKUP(G323, Réttabanki!A:A, Réttabanki!AS:AS, "")), ""), "")))</f>
        <v/>
      </c>
      <c r="M323" s="26" t="str">
        <f>IF(OR(F323 = "", G323 = ""), "", IF(F323 = "Vara", IFERROR(_xlfn.SINGLE(_xlfn.XLOOKUP(G323, Vöruskrá!A:A, Vöruskrá!F:F, "")), ""), IF(F323 = "Réttur", IFERROR(_xlfn.SINGLE(_xlfn.XLOOKUP(G323, Réttabanki!A:A, Réttabanki!AT:AT, "")), ""), "")))</f>
        <v/>
      </c>
      <c r="N323" s="26" t="str">
        <f>IF(OR(F323 = "", G323 = ""), "", IF(F323 = "Vara", IFERROR(_xlfn.SINGLE(_xlfn.XLOOKUP(G323, Vöruskrá!A:A, Vöruskrá!G:G, "")), ""), IF(F323 = "Réttur", IFERROR(_xlfn.SINGLE(_xlfn.XLOOKUP(G323, Réttabanki!A:A, Réttabanki!AU:AU, "")), ""), "")))</f>
        <v/>
      </c>
      <c r="O323" s="26" t="str">
        <f>IF(OR(F323 = "", G323 = "", I323 = ""), "", IF(F323 = "Vara", IFERROR(_xlfn.SINGLE(_xlfn.XLOOKUP(G323, Vöruskrá!A:A, Vöruskrá!I:I, "")) * I323 / 100, ""), IF(F323 = "Réttur", IFERROR(_xlfn.SINGLE(_xlfn.XLOOKUP(G323, Réttabanki!A:A, Réttabanki!AV:AV, "")) * I323 / 100, ""), "")))</f>
        <v/>
      </c>
      <c r="P323" s="26" t="str">
        <f>IF(OR(F323 = "", G323 = "", I323 = ""), "", IF(F323 = "Vara", IFERROR(_xlfn.SINGLE(_xlfn.XLOOKUP(G323, Vöruskrá!A:A, Vöruskrá!J:J, "")) * I323 / 100, ""), IF(F323 = "Réttur", IFERROR(_xlfn.SINGLE(_xlfn.XLOOKUP(G323, Réttabanki!A:A, Réttabanki!AW:AW, "")) * I323 / 100, ""), "")))</f>
        <v/>
      </c>
      <c r="Q323" s="26" t="str">
        <f>IF(OR(F323 = "", G323 = "", I323 = ""), "", IF(F323 = "Vara", IFERROR(_xlfn.SINGLE(_xlfn.XLOOKUP(G323, Vöruskrá!A:A, Vöruskrá!N:N, "")) * I323 / 100, ""), IF(F323 = "Réttur", IFERROR(_xlfn.SINGLE(_xlfn.XLOOKUP(G323, Réttabanki!A:A, Réttabanki!BB:BB, "")) * I323 / 100, ""), "")))</f>
        <v/>
      </c>
    </row>
    <row r="324" spans="2:17">
      <c r="B324" s="33" t="str">
        <f>IF(A324&lt;&gt;"",CHOOSE(WEEKDAY(A324,2),"Mánudagur","Þriðjudagur","Miðvikudagur","Fimmtudagur","Föstudagur","Laugardagur","Sunnudagur"),IF(B323&lt;&gt;"",B323,""))</f>
        <v>Fimmtudagur</v>
      </c>
      <c r="C324" s="33">
        <f>IF(A324&lt;&gt;"",WEEKNUM(A324,21),IF(C323&lt;&gt;"",C323,""))</f>
        <v>27</v>
      </c>
      <c r="D324" s="34"/>
      <c r="E324" s="34"/>
      <c r="F324" s="34"/>
      <c r="G324" s="34"/>
      <c r="H324" s="34"/>
      <c r="I324" s="35"/>
      <c r="J324" s="35"/>
      <c r="K324" s="36"/>
      <c r="L324" s="26" t="str">
        <f>IF(OR(F324 = "", G324 = ""), "", IF(F324 = "Vara", IFERROR(_xlfn.SINGLE(_xlfn.XLOOKUP(G324, Vöruskrá!A:A, Vöruskrá!E:E, "")), ""), IF(F324 = "Réttur", IFERROR(_xlfn.SINGLE(_xlfn.XLOOKUP(G324, Réttabanki!A:A, Réttabanki!AS:AS, "")), ""), "")))</f>
        <v/>
      </c>
      <c r="M324" s="26" t="str">
        <f>IF(OR(F324 = "", G324 = ""), "", IF(F324 = "Vara", IFERROR(_xlfn.SINGLE(_xlfn.XLOOKUP(G324, Vöruskrá!A:A, Vöruskrá!F:F, "")), ""), IF(F324 = "Réttur", IFERROR(_xlfn.SINGLE(_xlfn.XLOOKUP(G324, Réttabanki!A:A, Réttabanki!AT:AT, "")), ""), "")))</f>
        <v/>
      </c>
      <c r="N324" s="26" t="str">
        <f>IF(OR(F324 = "", G324 = ""), "", IF(F324 = "Vara", IFERROR(_xlfn.SINGLE(_xlfn.XLOOKUP(G324, Vöruskrá!A:A, Vöruskrá!G:G, "")), ""), IF(F324 = "Réttur", IFERROR(_xlfn.SINGLE(_xlfn.XLOOKUP(G324, Réttabanki!A:A, Réttabanki!AU:AU, "")), ""), "")))</f>
        <v/>
      </c>
      <c r="O324" s="26" t="str">
        <f>IF(OR(F324 = "", G324 = "", I324 = ""), "", IF(F324 = "Vara", IFERROR(_xlfn.SINGLE(_xlfn.XLOOKUP(G324, Vöruskrá!A:A, Vöruskrá!I:I, "")) * I324 / 100, ""), IF(F324 = "Réttur", IFERROR(_xlfn.SINGLE(_xlfn.XLOOKUP(G324, Réttabanki!A:A, Réttabanki!AV:AV, "")) * I324 / 100, ""), "")))</f>
        <v/>
      </c>
      <c r="P324" s="26" t="str">
        <f>IF(OR(F324 = "", G324 = "", I324 = ""), "", IF(F324 = "Vara", IFERROR(_xlfn.SINGLE(_xlfn.XLOOKUP(G324, Vöruskrá!A:A, Vöruskrá!J:J, "")) * I324 / 100, ""), IF(F324 = "Réttur", IFERROR(_xlfn.SINGLE(_xlfn.XLOOKUP(G324, Réttabanki!A:A, Réttabanki!AW:AW, "")) * I324 / 100, ""), "")))</f>
        <v/>
      </c>
      <c r="Q324" s="26" t="str">
        <f>IF(OR(F324 = "", G324 = "", I324 = ""), "", IF(F324 = "Vara", IFERROR(_xlfn.SINGLE(_xlfn.XLOOKUP(G324, Vöruskrá!A:A, Vöruskrá!N:N, "")) * I324 / 100, ""), IF(F324 = "Réttur", IFERROR(_xlfn.SINGLE(_xlfn.XLOOKUP(G324, Réttabanki!A:A, Réttabanki!BB:BB, "")) * I324 / 100, ""), "")))</f>
        <v/>
      </c>
    </row>
    <row r="325" spans="2:17">
      <c r="B325" s="33" t="str">
        <f>IF(A325&lt;&gt;"",CHOOSE(WEEKDAY(A325,2),"Mánudagur","Þriðjudagur","Miðvikudagur","Fimmtudagur","Föstudagur","Laugardagur","Sunnudagur"),IF(B324&lt;&gt;"",B324,""))</f>
        <v>Fimmtudagur</v>
      </c>
      <c r="C325" s="33">
        <f>IF(A325&lt;&gt;"",WEEKNUM(A325,21),IF(C324&lt;&gt;"",C324,""))</f>
        <v>27</v>
      </c>
      <c r="D325" s="34"/>
      <c r="E325" s="34"/>
      <c r="F325" s="34"/>
      <c r="G325" s="34"/>
      <c r="H325" s="34"/>
      <c r="I325" s="35"/>
      <c r="J325" s="35"/>
      <c r="K325" s="36"/>
      <c r="L325" s="26" t="str">
        <f>IF(OR(F325 = "", G325 = ""), "", IF(F325 = "Vara", IFERROR(_xlfn.SINGLE(_xlfn.XLOOKUP(G325, Vöruskrá!A:A, Vöruskrá!E:E, "")), ""), IF(F325 = "Réttur", IFERROR(_xlfn.SINGLE(_xlfn.XLOOKUP(G325, Réttabanki!A:A, Réttabanki!AS:AS, "")), ""), "")))</f>
        <v/>
      </c>
      <c r="M325" s="26" t="str">
        <f>IF(OR(F325 = "", G325 = ""), "", IF(F325 = "Vara", IFERROR(_xlfn.SINGLE(_xlfn.XLOOKUP(G325, Vöruskrá!A:A, Vöruskrá!F:F, "")), ""), IF(F325 = "Réttur", IFERROR(_xlfn.SINGLE(_xlfn.XLOOKUP(G325, Réttabanki!A:A, Réttabanki!AT:AT, "")), ""), "")))</f>
        <v/>
      </c>
      <c r="N325" s="26" t="str">
        <f>IF(OR(F325 = "", G325 = ""), "", IF(F325 = "Vara", IFERROR(_xlfn.SINGLE(_xlfn.XLOOKUP(G325, Vöruskrá!A:A, Vöruskrá!G:G, "")), ""), IF(F325 = "Réttur", IFERROR(_xlfn.SINGLE(_xlfn.XLOOKUP(G325, Réttabanki!A:A, Réttabanki!AU:AU, "")), ""), "")))</f>
        <v/>
      </c>
      <c r="O325" s="26" t="str">
        <f>IF(OR(F325 = "", G325 = "", I325 = ""), "", IF(F325 = "Vara", IFERROR(_xlfn.SINGLE(_xlfn.XLOOKUP(G325, Vöruskrá!A:A, Vöruskrá!I:I, "")) * I325 / 100, ""), IF(F325 = "Réttur", IFERROR(_xlfn.SINGLE(_xlfn.XLOOKUP(G325, Réttabanki!A:A, Réttabanki!AV:AV, "")) * I325 / 100, ""), "")))</f>
        <v/>
      </c>
      <c r="P325" s="26" t="str">
        <f>IF(OR(F325 = "", G325 = "", I325 = ""), "", IF(F325 = "Vara", IFERROR(_xlfn.SINGLE(_xlfn.XLOOKUP(G325, Vöruskrá!A:A, Vöruskrá!J:J, "")) * I325 / 100, ""), IF(F325 = "Réttur", IFERROR(_xlfn.SINGLE(_xlfn.XLOOKUP(G325, Réttabanki!A:A, Réttabanki!AW:AW, "")) * I325 / 100, ""), "")))</f>
        <v/>
      </c>
      <c r="Q325" s="26" t="str">
        <f>IF(OR(F325 = "", G325 = "", I325 = ""), "", IF(F325 = "Vara", IFERROR(_xlfn.SINGLE(_xlfn.XLOOKUP(G325, Vöruskrá!A:A, Vöruskrá!N:N, "")) * I325 / 100, ""), IF(F325 = "Réttur", IFERROR(_xlfn.SINGLE(_xlfn.XLOOKUP(G325, Réttabanki!A:A, Réttabanki!BB:BB, "")) * I325 / 100, ""), "")))</f>
        <v/>
      </c>
    </row>
    <row r="326" spans="2:17">
      <c r="B326" s="33" t="str">
        <f>IF(A326&lt;&gt;"",CHOOSE(WEEKDAY(A326,2),"Mánudagur","Þriðjudagur","Miðvikudagur","Fimmtudagur","Föstudagur","Laugardagur","Sunnudagur"),IF(B325&lt;&gt;"",B325,""))</f>
        <v>Fimmtudagur</v>
      </c>
      <c r="C326" s="33">
        <f>IF(A326&lt;&gt;"",WEEKNUM(A326,21),IF(C325&lt;&gt;"",C325,""))</f>
        <v>27</v>
      </c>
      <c r="D326" s="34"/>
      <c r="E326" s="34"/>
      <c r="F326" s="34"/>
      <c r="G326" s="34"/>
      <c r="H326" s="34"/>
      <c r="I326" s="35"/>
      <c r="J326" s="35"/>
      <c r="K326" s="36"/>
      <c r="L326" s="26" t="str">
        <f>IF(OR(F326 = "", G326 = ""), "", IF(F326 = "Vara", IFERROR(_xlfn.SINGLE(_xlfn.XLOOKUP(G326, Vöruskrá!A:A, Vöruskrá!E:E, "")), ""), IF(F326 = "Réttur", IFERROR(_xlfn.SINGLE(_xlfn.XLOOKUP(G326, Réttabanki!A:A, Réttabanki!AS:AS, "")), ""), "")))</f>
        <v/>
      </c>
      <c r="M326" s="26" t="str">
        <f>IF(OR(F326 = "", G326 = ""), "", IF(F326 = "Vara", IFERROR(_xlfn.SINGLE(_xlfn.XLOOKUP(G326, Vöruskrá!A:A, Vöruskrá!F:F, "")), ""), IF(F326 = "Réttur", IFERROR(_xlfn.SINGLE(_xlfn.XLOOKUP(G326, Réttabanki!A:A, Réttabanki!AT:AT, "")), ""), "")))</f>
        <v/>
      </c>
      <c r="N326" s="26" t="str">
        <f>IF(OR(F326 = "", G326 = ""), "", IF(F326 = "Vara", IFERROR(_xlfn.SINGLE(_xlfn.XLOOKUP(G326, Vöruskrá!A:A, Vöruskrá!G:G, "")), ""), IF(F326 = "Réttur", IFERROR(_xlfn.SINGLE(_xlfn.XLOOKUP(G326, Réttabanki!A:A, Réttabanki!AU:AU, "")), ""), "")))</f>
        <v/>
      </c>
      <c r="O326" s="26" t="str">
        <f>IF(OR(F326 = "", G326 = "", I326 = ""), "", IF(F326 = "Vara", IFERROR(_xlfn.SINGLE(_xlfn.XLOOKUP(G326, Vöruskrá!A:A, Vöruskrá!I:I, "")) * I326 / 100, ""), IF(F326 = "Réttur", IFERROR(_xlfn.SINGLE(_xlfn.XLOOKUP(G326, Réttabanki!A:A, Réttabanki!AV:AV, "")) * I326 / 100, ""), "")))</f>
        <v/>
      </c>
      <c r="P326" s="26" t="str">
        <f>IF(OR(F326 = "", G326 = "", I326 = ""), "", IF(F326 = "Vara", IFERROR(_xlfn.SINGLE(_xlfn.XLOOKUP(G326, Vöruskrá!A:A, Vöruskrá!J:J, "")) * I326 / 100, ""), IF(F326 = "Réttur", IFERROR(_xlfn.SINGLE(_xlfn.XLOOKUP(G326, Réttabanki!A:A, Réttabanki!AW:AW, "")) * I326 / 100, ""), "")))</f>
        <v/>
      </c>
      <c r="Q326" s="26" t="str">
        <f>IF(OR(F326 = "", G326 = "", I326 = ""), "", IF(F326 = "Vara", IFERROR(_xlfn.SINGLE(_xlfn.XLOOKUP(G326, Vöruskrá!A:A, Vöruskrá!N:N, "")) * I326 / 100, ""), IF(F326 = "Réttur", IFERROR(_xlfn.SINGLE(_xlfn.XLOOKUP(G326, Réttabanki!A:A, Réttabanki!BB:BB, "")) * I326 / 100, ""), "")))</f>
        <v/>
      </c>
    </row>
    <row r="327" spans="2:17">
      <c r="B327" s="33" t="str">
        <f>IF(A327&lt;&gt;"",CHOOSE(WEEKDAY(A327,2),"Mánudagur","Þriðjudagur","Miðvikudagur","Fimmtudagur","Föstudagur","Laugardagur","Sunnudagur"),IF(B326&lt;&gt;"",B326,""))</f>
        <v>Fimmtudagur</v>
      </c>
      <c r="C327" s="33">
        <f>IF(A327&lt;&gt;"",WEEKNUM(A327,21),IF(C326&lt;&gt;"",C326,""))</f>
        <v>27</v>
      </c>
      <c r="D327" s="34"/>
      <c r="E327" s="34"/>
      <c r="F327" s="34"/>
      <c r="G327" s="34"/>
      <c r="H327" s="34"/>
      <c r="I327" s="35"/>
      <c r="J327" s="35"/>
      <c r="K327" s="36"/>
      <c r="L327" s="26" t="str">
        <f>IF(OR(F327 = "", G327 = ""), "", IF(F327 = "Vara", IFERROR(_xlfn.SINGLE(_xlfn.XLOOKUP(G327, Vöruskrá!A:A, Vöruskrá!E:E, "")), ""), IF(F327 = "Réttur", IFERROR(_xlfn.SINGLE(_xlfn.XLOOKUP(G327, Réttabanki!A:A, Réttabanki!AS:AS, "")), ""), "")))</f>
        <v/>
      </c>
      <c r="M327" s="26" t="str">
        <f>IF(OR(F327 = "", G327 = ""), "", IF(F327 = "Vara", IFERROR(_xlfn.SINGLE(_xlfn.XLOOKUP(G327, Vöruskrá!A:A, Vöruskrá!F:F, "")), ""), IF(F327 = "Réttur", IFERROR(_xlfn.SINGLE(_xlfn.XLOOKUP(G327, Réttabanki!A:A, Réttabanki!AT:AT, "")), ""), "")))</f>
        <v/>
      </c>
      <c r="N327" s="26" t="str">
        <f>IF(OR(F327 = "", G327 = ""), "", IF(F327 = "Vara", IFERROR(_xlfn.SINGLE(_xlfn.XLOOKUP(G327, Vöruskrá!A:A, Vöruskrá!G:G, "")), ""), IF(F327 = "Réttur", IFERROR(_xlfn.SINGLE(_xlfn.XLOOKUP(G327, Réttabanki!A:A, Réttabanki!AU:AU, "")), ""), "")))</f>
        <v/>
      </c>
      <c r="O327" s="26" t="str">
        <f>IF(OR(F327 = "", G327 = "", I327 = ""), "", IF(F327 = "Vara", IFERROR(_xlfn.SINGLE(_xlfn.XLOOKUP(G327, Vöruskrá!A:A, Vöruskrá!I:I, "")) * I327 / 100, ""), IF(F327 = "Réttur", IFERROR(_xlfn.SINGLE(_xlfn.XLOOKUP(G327, Réttabanki!A:A, Réttabanki!AV:AV, "")) * I327 / 100, ""), "")))</f>
        <v/>
      </c>
      <c r="P327" s="26" t="str">
        <f>IF(OR(F327 = "", G327 = "", I327 = ""), "", IF(F327 = "Vara", IFERROR(_xlfn.SINGLE(_xlfn.XLOOKUP(G327, Vöruskrá!A:A, Vöruskrá!J:J, "")) * I327 / 100, ""), IF(F327 = "Réttur", IFERROR(_xlfn.SINGLE(_xlfn.XLOOKUP(G327, Réttabanki!A:A, Réttabanki!AW:AW, "")) * I327 / 100, ""), "")))</f>
        <v/>
      </c>
      <c r="Q327" s="26" t="str">
        <f>IF(OR(F327 = "", G327 = "", I327 = ""), "", IF(F327 = "Vara", IFERROR(_xlfn.SINGLE(_xlfn.XLOOKUP(G327, Vöruskrá!A:A, Vöruskrá!N:N, "")) * I327 / 100, ""), IF(F327 = "Réttur", IFERROR(_xlfn.SINGLE(_xlfn.XLOOKUP(G327, Réttabanki!A:A, Réttabanki!BB:BB, "")) * I327 / 100, ""), "")))</f>
        <v/>
      </c>
    </row>
    <row r="328" spans="2:17">
      <c r="B328" s="33" t="str">
        <f>IF(A328&lt;&gt;"",CHOOSE(WEEKDAY(A328,2),"Mánudagur","Þriðjudagur","Miðvikudagur","Fimmtudagur","Föstudagur","Laugardagur","Sunnudagur"),IF(B327&lt;&gt;"",B327,""))</f>
        <v>Fimmtudagur</v>
      </c>
      <c r="C328" s="33">
        <f>IF(A328&lt;&gt;"",WEEKNUM(A328,21),IF(C327&lt;&gt;"",C327,""))</f>
        <v>27</v>
      </c>
      <c r="D328" s="34"/>
      <c r="E328" s="34"/>
      <c r="F328" s="34"/>
      <c r="G328" s="34"/>
      <c r="H328" s="34"/>
      <c r="I328" s="35"/>
      <c r="J328" s="35"/>
      <c r="K328" s="36"/>
      <c r="L328" s="26" t="str">
        <f>IF(OR(F328 = "", G328 = ""), "", IF(F328 = "Vara", IFERROR(_xlfn.SINGLE(_xlfn.XLOOKUP(G328, Vöruskrá!A:A, Vöruskrá!E:E, "")), ""), IF(F328 = "Réttur", IFERROR(_xlfn.SINGLE(_xlfn.XLOOKUP(G328, Réttabanki!A:A, Réttabanki!AS:AS, "")), ""), "")))</f>
        <v/>
      </c>
      <c r="M328" s="26" t="str">
        <f>IF(OR(F328 = "", G328 = ""), "", IF(F328 = "Vara", IFERROR(_xlfn.SINGLE(_xlfn.XLOOKUP(G328, Vöruskrá!A:A, Vöruskrá!F:F, "")), ""), IF(F328 = "Réttur", IFERROR(_xlfn.SINGLE(_xlfn.XLOOKUP(G328, Réttabanki!A:A, Réttabanki!AT:AT, "")), ""), "")))</f>
        <v/>
      </c>
      <c r="N328" s="26" t="str">
        <f>IF(OR(F328 = "", G328 = ""), "", IF(F328 = "Vara", IFERROR(_xlfn.SINGLE(_xlfn.XLOOKUP(G328, Vöruskrá!A:A, Vöruskrá!G:G, "")), ""), IF(F328 = "Réttur", IFERROR(_xlfn.SINGLE(_xlfn.XLOOKUP(G328, Réttabanki!A:A, Réttabanki!AU:AU, "")), ""), "")))</f>
        <v/>
      </c>
      <c r="O328" s="26" t="str">
        <f>IF(OR(F328 = "", G328 = "", I328 = ""), "", IF(F328 = "Vara", IFERROR(_xlfn.SINGLE(_xlfn.XLOOKUP(G328, Vöruskrá!A:A, Vöruskrá!I:I, "")) * I328 / 100, ""), IF(F328 = "Réttur", IFERROR(_xlfn.SINGLE(_xlfn.XLOOKUP(G328, Réttabanki!A:A, Réttabanki!AV:AV, "")) * I328 / 100, ""), "")))</f>
        <v/>
      </c>
      <c r="P328" s="26" t="str">
        <f>IF(OR(F328 = "", G328 = "", I328 = ""), "", IF(F328 = "Vara", IFERROR(_xlfn.SINGLE(_xlfn.XLOOKUP(G328, Vöruskrá!A:A, Vöruskrá!J:J, "")) * I328 / 100, ""), IF(F328 = "Réttur", IFERROR(_xlfn.SINGLE(_xlfn.XLOOKUP(G328, Réttabanki!A:A, Réttabanki!AW:AW, "")) * I328 / 100, ""), "")))</f>
        <v/>
      </c>
      <c r="Q328" s="26" t="str">
        <f>IF(OR(F328 = "", G328 = "", I328 = ""), "", IF(F328 = "Vara", IFERROR(_xlfn.SINGLE(_xlfn.XLOOKUP(G328, Vöruskrá!A:A, Vöruskrá!N:N, "")) * I328 / 100, ""), IF(F328 = "Réttur", IFERROR(_xlfn.SINGLE(_xlfn.XLOOKUP(G328, Réttabanki!A:A, Réttabanki!BB:BB, "")) * I328 / 100, ""), "")))</f>
        <v/>
      </c>
    </row>
    <row r="329" spans="2:17">
      <c r="B329" s="33" t="str">
        <f>IF(A329&lt;&gt;"",CHOOSE(WEEKDAY(A329,2),"Mánudagur","Þriðjudagur","Miðvikudagur","Fimmtudagur","Föstudagur","Laugardagur","Sunnudagur"),IF(B328&lt;&gt;"",B328,""))</f>
        <v>Fimmtudagur</v>
      </c>
      <c r="C329" s="33">
        <f>IF(A329&lt;&gt;"",WEEKNUM(A329,21),IF(C328&lt;&gt;"",C328,""))</f>
        <v>27</v>
      </c>
      <c r="D329" s="34"/>
      <c r="E329" s="34"/>
      <c r="F329" s="34"/>
      <c r="G329" s="34"/>
      <c r="H329" s="34"/>
      <c r="I329" s="35"/>
      <c r="J329" s="35"/>
      <c r="K329" s="36"/>
      <c r="L329" s="26" t="str">
        <f>IF(OR(F329 = "", G329 = ""), "", IF(F329 = "Vara", IFERROR(_xlfn.SINGLE(_xlfn.XLOOKUP(G329, Vöruskrá!A:A, Vöruskrá!E:E, "")), ""), IF(F329 = "Réttur", IFERROR(_xlfn.SINGLE(_xlfn.XLOOKUP(G329, Réttabanki!A:A, Réttabanki!AS:AS, "")), ""), "")))</f>
        <v/>
      </c>
      <c r="M329" s="26" t="str">
        <f>IF(OR(F329 = "", G329 = ""), "", IF(F329 = "Vara", IFERROR(_xlfn.SINGLE(_xlfn.XLOOKUP(G329, Vöruskrá!A:A, Vöruskrá!F:F, "")), ""), IF(F329 = "Réttur", IFERROR(_xlfn.SINGLE(_xlfn.XLOOKUP(G329, Réttabanki!A:A, Réttabanki!AT:AT, "")), ""), "")))</f>
        <v/>
      </c>
      <c r="N329" s="26" t="str">
        <f>IF(OR(F329 = "", G329 = ""), "", IF(F329 = "Vara", IFERROR(_xlfn.SINGLE(_xlfn.XLOOKUP(G329, Vöruskrá!A:A, Vöruskrá!G:G, "")), ""), IF(F329 = "Réttur", IFERROR(_xlfn.SINGLE(_xlfn.XLOOKUP(G329, Réttabanki!A:A, Réttabanki!AU:AU, "")), ""), "")))</f>
        <v/>
      </c>
      <c r="O329" s="26" t="str">
        <f>IF(OR(F329 = "", G329 = "", I329 = ""), "", IF(F329 = "Vara", IFERROR(_xlfn.SINGLE(_xlfn.XLOOKUP(G329, Vöruskrá!A:A, Vöruskrá!I:I, "")) * I329 / 100, ""), IF(F329 = "Réttur", IFERROR(_xlfn.SINGLE(_xlfn.XLOOKUP(G329, Réttabanki!A:A, Réttabanki!AV:AV, "")) * I329 / 100, ""), "")))</f>
        <v/>
      </c>
      <c r="P329" s="26" t="str">
        <f>IF(OR(F329 = "", G329 = "", I329 = ""), "", IF(F329 = "Vara", IFERROR(_xlfn.SINGLE(_xlfn.XLOOKUP(G329, Vöruskrá!A:A, Vöruskrá!J:J, "")) * I329 / 100, ""), IF(F329 = "Réttur", IFERROR(_xlfn.SINGLE(_xlfn.XLOOKUP(G329, Réttabanki!A:A, Réttabanki!AW:AW, "")) * I329 / 100, ""), "")))</f>
        <v/>
      </c>
      <c r="Q329" s="26" t="str">
        <f>IF(OR(F329 = "", G329 = "", I329 = ""), "", IF(F329 = "Vara", IFERROR(_xlfn.SINGLE(_xlfn.XLOOKUP(G329, Vöruskrá!A:A, Vöruskrá!N:N, "")) * I329 / 100, ""), IF(F329 = "Réttur", IFERROR(_xlfn.SINGLE(_xlfn.XLOOKUP(G329, Réttabanki!A:A, Réttabanki!BB:BB, "")) * I329 / 100, ""), "")))</f>
        <v/>
      </c>
    </row>
    <row r="330" spans="2:17">
      <c r="B330" s="33" t="str">
        <f>IF(A330&lt;&gt;"",CHOOSE(WEEKDAY(A330,2),"Mánudagur","Þriðjudagur","Miðvikudagur","Fimmtudagur","Föstudagur","Laugardagur","Sunnudagur"),IF(B329&lt;&gt;"",B329,""))</f>
        <v>Fimmtudagur</v>
      </c>
      <c r="C330" s="33">
        <f>IF(A330&lt;&gt;"",WEEKNUM(A330,21),IF(C329&lt;&gt;"",C329,""))</f>
        <v>27</v>
      </c>
      <c r="D330" s="34"/>
      <c r="E330" s="34"/>
      <c r="F330" s="34"/>
      <c r="G330" s="34"/>
      <c r="H330" s="34"/>
      <c r="I330" s="35"/>
      <c r="J330" s="35"/>
      <c r="K330" s="36"/>
      <c r="L330" s="26" t="str">
        <f>IF(OR(F330 = "", G330 = ""), "", IF(F330 = "Vara", IFERROR(_xlfn.SINGLE(_xlfn.XLOOKUP(G330, Vöruskrá!A:A, Vöruskrá!E:E, "")), ""), IF(F330 = "Réttur", IFERROR(_xlfn.SINGLE(_xlfn.XLOOKUP(G330, Réttabanki!A:A, Réttabanki!AS:AS, "")), ""), "")))</f>
        <v/>
      </c>
      <c r="M330" s="26" t="str">
        <f>IF(OR(F330 = "", G330 = ""), "", IF(F330 = "Vara", IFERROR(_xlfn.SINGLE(_xlfn.XLOOKUP(G330, Vöruskrá!A:A, Vöruskrá!F:F, "")), ""), IF(F330 = "Réttur", IFERROR(_xlfn.SINGLE(_xlfn.XLOOKUP(G330, Réttabanki!A:A, Réttabanki!AT:AT, "")), ""), "")))</f>
        <v/>
      </c>
      <c r="N330" s="26" t="str">
        <f>IF(OR(F330 = "", G330 = ""), "", IF(F330 = "Vara", IFERROR(_xlfn.SINGLE(_xlfn.XLOOKUP(G330, Vöruskrá!A:A, Vöruskrá!G:G, "")), ""), IF(F330 = "Réttur", IFERROR(_xlfn.SINGLE(_xlfn.XLOOKUP(G330, Réttabanki!A:A, Réttabanki!AU:AU, "")), ""), "")))</f>
        <v/>
      </c>
      <c r="O330" s="26" t="str">
        <f>IF(OR(F330 = "", G330 = "", I330 = ""), "", IF(F330 = "Vara", IFERROR(_xlfn.SINGLE(_xlfn.XLOOKUP(G330, Vöruskrá!A:A, Vöruskrá!I:I, "")) * I330 / 100, ""), IF(F330 = "Réttur", IFERROR(_xlfn.SINGLE(_xlfn.XLOOKUP(G330, Réttabanki!A:A, Réttabanki!AV:AV, "")) * I330 / 100, ""), "")))</f>
        <v/>
      </c>
      <c r="P330" s="26" t="str">
        <f>IF(OR(F330 = "", G330 = "", I330 = ""), "", IF(F330 = "Vara", IFERROR(_xlfn.SINGLE(_xlfn.XLOOKUP(G330, Vöruskrá!A:A, Vöruskrá!J:J, "")) * I330 / 100, ""), IF(F330 = "Réttur", IFERROR(_xlfn.SINGLE(_xlfn.XLOOKUP(G330, Réttabanki!A:A, Réttabanki!AW:AW, "")) * I330 / 100, ""), "")))</f>
        <v/>
      </c>
      <c r="Q330" s="26" t="str">
        <f>IF(OR(F330 = "", G330 = "", I330 = ""), "", IF(F330 = "Vara", IFERROR(_xlfn.SINGLE(_xlfn.XLOOKUP(G330, Vöruskrá!A:A, Vöruskrá!N:N, "")) * I330 / 100, ""), IF(F330 = "Réttur", IFERROR(_xlfn.SINGLE(_xlfn.XLOOKUP(G330, Réttabanki!A:A, Réttabanki!BB:BB, "")) * I330 / 100, ""), "")))</f>
        <v/>
      </c>
    </row>
    <row r="331" spans="2:17">
      <c r="B331" s="33" t="str">
        <f>IF(A331&lt;&gt;"",CHOOSE(WEEKDAY(A331,2),"Mánudagur","Þriðjudagur","Miðvikudagur","Fimmtudagur","Föstudagur","Laugardagur","Sunnudagur"),IF(B330&lt;&gt;"",B330,""))</f>
        <v>Fimmtudagur</v>
      </c>
      <c r="C331" s="33">
        <f>IF(A331&lt;&gt;"",WEEKNUM(A331,21),IF(C330&lt;&gt;"",C330,""))</f>
        <v>27</v>
      </c>
      <c r="D331" s="34"/>
      <c r="E331" s="34"/>
      <c r="F331" s="34"/>
      <c r="G331" s="34"/>
      <c r="H331" s="34"/>
      <c r="I331" s="35"/>
      <c r="J331" s="35"/>
      <c r="K331" s="36"/>
      <c r="L331" s="26" t="str">
        <f>IF(OR(F331 = "", G331 = ""), "", IF(F331 = "Vara", IFERROR(_xlfn.SINGLE(_xlfn.XLOOKUP(G331, Vöruskrá!A:A, Vöruskrá!E:E, "")), ""), IF(F331 = "Réttur", IFERROR(_xlfn.SINGLE(_xlfn.XLOOKUP(G331, Réttabanki!A:A, Réttabanki!AS:AS, "")), ""), "")))</f>
        <v/>
      </c>
      <c r="M331" s="26" t="str">
        <f>IF(OR(F331 = "", G331 = ""), "", IF(F331 = "Vara", IFERROR(_xlfn.SINGLE(_xlfn.XLOOKUP(G331, Vöruskrá!A:A, Vöruskrá!F:F, "")), ""), IF(F331 = "Réttur", IFERROR(_xlfn.SINGLE(_xlfn.XLOOKUP(G331, Réttabanki!A:A, Réttabanki!AT:AT, "")), ""), "")))</f>
        <v/>
      </c>
      <c r="N331" s="26" t="str">
        <f>IF(OR(F331 = "", G331 = ""), "", IF(F331 = "Vara", IFERROR(_xlfn.SINGLE(_xlfn.XLOOKUP(G331, Vöruskrá!A:A, Vöruskrá!G:G, "")), ""), IF(F331 = "Réttur", IFERROR(_xlfn.SINGLE(_xlfn.XLOOKUP(G331, Réttabanki!A:A, Réttabanki!AU:AU, "")), ""), "")))</f>
        <v/>
      </c>
      <c r="O331" s="26" t="str">
        <f>IF(OR(F331 = "", G331 = "", I331 = ""), "", IF(F331 = "Vara", IFERROR(_xlfn.SINGLE(_xlfn.XLOOKUP(G331, Vöruskrá!A:A, Vöruskrá!I:I, "")) * I331 / 100, ""), IF(F331 = "Réttur", IFERROR(_xlfn.SINGLE(_xlfn.XLOOKUP(G331, Réttabanki!A:A, Réttabanki!AV:AV, "")) * I331 / 100, ""), "")))</f>
        <v/>
      </c>
      <c r="P331" s="26" t="str">
        <f>IF(OR(F331 = "", G331 = "", I331 = ""), "", IF(F331 = "Vara", IFERROR(_xlfn.SINGLE(_xlfn.XLOOKUP(G331, Vöruskrá!A:A, Vöruskrá!J:J, "")) * I331 / 100, ""), IF(F331 = "Réttur", IFERROR(_xlfn.SINGLE(_xlfn.XLOOKUP(G331, Réttabanki!A:A, Réttabanki!AW:AW, "")) * I331 / 100, ""), "")))</f>
        <v/>
      </c>
      <c r="Q331" s="26" t="str">
        <f>IF(OR(F331 = "", G331 = "", I331 = ""), "", IF(F331 = "Vara", IFERROR(_xlfn.SINGLE(_xlfn.XLOOKUP(G331, Vöruskrá!A:A, Vöruskrá!N:N, "")) * I331 / 100, ""), IF(F331 = "Réttur", IFERROR(_xlfn.SINGLE(_xlfn.XLOOKUP(G331, Réttabanki!A:A, Réttabanki!BB:BB, "")) * I331 / 100, ""), "")))</f>
        <v/>
      </c>
    </row>
    <row r="332" spans="2:17">
      <c r="B332" s="33" t="str">
        <f>IF(A332&lt;&gt;"",CHOOSE(WEEKDAY(A332,2),"Mánudagur","Þriðjudagur","Miðvikudagur","Fimmtudagur","Föstudagur","Laugardagur","Sunnudagur"),IF(B331&lt;&gt;"",B331,""))</f>
        <v>Fimmtudagur</v>
      </c>
      <c r="C332" s="33">
        <f>IF(A332&lt;&gt;"",WEEKNUM(A332,21),IF(C331&lt;&gt;"",C331,""))</f>
        <v>27</v>
      </c>
      <c r="D332" s="34"/>
      <c r="E332" s="34"/>
      <c r="F332" s="34"/>
      <c r="G332" s="34"/>
      <c r="H332" s="34"/>
      <c r="I332" s="35"/>
      <c r="J332" s="35"/>
      <c r="K332" s="36"/>
      <c r="L332" s="26" t="str">
        <f>IF(OR(F332 = "", G332 = ""), "", IF(F332 = "Vara", IFERROR(_xlfn.SINGLE(_xlfn.XLOOKUP(G332, Vöruskrá!A:A, Vöruskrá!E:E, "")), ""), IF(F332 = "Réttur", IFERROR(_xlfn.SINGLE(_xlfn.XLOOKUP(G332, Réttabanki!A:A, Réttabanki!AS:AS, "")), ""), "")))</f>
        <v/>
      </c>
      <c r="M332" s="26" t="str">
        <f>IF(OR(F332 = "", G332 = ""), "", IF(F332 = "Vara", IFERROR(_xlfn.SINGLE(_xlfn.XLOOKUP(G332, Vöruskrá!A:A, Vöruskrá!F:F, "")), ""), IF(F332 = "Réttur", IFERROR(_xlfn.SINGLE(_xlfn.XLOOKUP(G332, Réttabanki!A:A, Réttabanki!AT:AT, "")), ""), "")))</f>
        <v/>
      </c>
      <c r="N332" s="26" t="str">
        <f>IF(OR(F332 = "", G332 = ""), "", IF(F332 = "Vara", IFERROR(_xlfn.SINGLE(_xlfn.XLOOKUP(G332, Vöruskrá!A:A, Vöruskrá!G:G, "")), ""), IF(F332 = "Réttur", IFERROR(_xlfn.SINGLE(_xlfn.XLOOKUP(G332, Réttabanki!A:A, Réttabanki!AU:AU, "")), ""), "")))</f>
        <v/>
      </c>
      <c r="O332" s="26" t="str">
        <f>IF(OR(F332 = "", G332 = "", I332 = ""), "", IF(F332 = "Vara", IFERROR(_xlfn.SINGLE(_xlfn.XLOOKUP(G332, Vöruskrá!A:A, Vöruskrá!I:I, "")) * I332 / 100, ""), IF(F332 = "Réttur", IFERROR(_xlfn.SINGLE(_xlfn.XLOOKUP(G332, Réttabanki!A:A, Réttabanki!AV:AV, "")) * I332 / 100, ""), "")))</f>
        <v/>
      </c>
      <c r="P332" s="26" t="str">
        <f>IF(OR(F332 = "", G332 = "", I332 = ""), "", IF(F332 = "Vara", IFERROR(_xlfn.SINGLE(_xlfn.XLOOKUP(G332, Vöruskrá!A:A, Vöruskrá!J:J, "")) * I332 / 100, ""), IF(F332 = "Réttur", IFERROR(_xlfn.SINGLE(_xlfn.XLOOKUP(G332, Réttabanki!A:A, Réttabanki!AW:AW, "")) * I332 / 100, ""), "")))</f>
        <v/>
      </c>
      <c r="Q332" s="26" t="str">
        <f>IF(OR(F332 = "", G332 = "", I332 = ""), "", IF(F332 = "Vara", IFERROR(_xlfn.SINGLE(_xlfn.XLOOKUP(G332, Vöruskrá!A:A, Vöruskrá!N:N, "")) * I332 / 100, ""), IF(F332 = "Réttur", IFERROR(_xlfn.SINGLE(_xlfn.XLOOKUP(G332, Réttabanki!A:A, Réttabanki!BB:BB, "")) * I332 / 100, ""), "")))</f>
        <v/>
      </c>
    </row>
    <row r="333" spans="2:17">
      <c r="B333" s="33" t="str">
        <f>IF(A333&lt;&gt;"",CHOOSE(WEEKDAY(A333,2),"Mánudagur","Þriðjudagur","Miðvikudagur","Fimmtudagur","Föstudagur","Laugardagur","Sunnudagur"),IF(B332&lt;&gt;"",B332,""))</f>
        <v>Fimmtudagur</v>
      </c>
      <c r="C333" s="33">
        <f>IF(A333&lt;&gt;"",WEEKNUM(A333,21),IF(C332&lt;&gt;"",C332,""))</f>
        <v>27</v>
      </c>
      <c r="D333" s="34"/>
      <c r="E333" s="34"/>
      <c r="F333" s="34"/>
      <c r="G333" s="34"/>
      <c r="H333" s="34"/>
      <c r="I333" s="35"/>
      <c r="J333" s="35"/>
      <c r="K333" s="36"/>
      <c r="L333" s="26" t="str">
        <f>IF(OR(F333 = "", G333 = ""), "", IF(F333 = "Vara", IFERROR(_xlfn.SINGLE(_xlfn.XLOOKUP(G333, Vöruskrá!A:A, Vöruskrá!E:E, "")), ""), IF(F333 = "Réttur", IFERROR(_xlfn.SINGLE(_xlfn.XLOOKUP(G333, Réttabanki!A:A, Réttabanki!AS:AS, "")), ""), "")))</f>
        <v/>
      </c>
      <c r="M333" s="26" t="str">
        <f>IF(OR(F333 = "", G333 = ""), "", IF(F333 = "Vara", IFERROR(_xlfn.SINGLE(_xlfn.XLOOKUP(G333, Vöruskrá!A:A, Vöruskrá!F:F, "")), ""), IF(F333 = "Réttur", IFERROR(_xlfn.SINGLE(_xlfn.XLOOKUP(G333, Réttabanki!A:A, Réttabanki!AT:AT, "")), ""), "")))</f>
        <v/>
      </c>
      <c r="N333" s="26" t="str">
        <f>IF(OR(F333 = "", G333 = ""), "", IF(F333 = "Vara", IFERROR(_xlfn.SINGLE(_xlfn.XLOOKUP(G333, Vöruskrá!A:A, Vöruskrá!G:G, "")), ""), IF(F333 = "Réttur", IFERROR(_xlfn.SINGLE(_xlfn.XLOOKUP(G333, Réttabanki!A:A, Réttabanki!AU:AU, "")), ""), "")))</f>
        <v/>
      </c>
      <c r="O333" s="26" t="str">
        <f>IF(OR(F333 = "", G333 = "", I333 = ""), "", IF(F333 = "Vara", IFERROR(_xlfn.SINGLE(_xlfn.XLOOKUP(G333, Vöruskrá!A:A, Vöruskrá!I:I, "")) * I333 / 100, ""), IF(F333 = "Réttur", IFERROR(_xlfn.SINGLE(_xlfn.XLOOKUP(G333, Réttabanki!A:A, Réttabanki!AV:AV, "")) * I333 / 100, ""), "")))</f>
        <v/>
      </c>
      <c r="P333" s="26" t="str">
        <f>IF(OR(F333 = "", G333 = "", I333 = ""), "", IF(F333 = "Vara", IFERROR(_xlfn.SINGLE(_xlfn.XLOOKUP(G333, Vöruskrá!A:A, Vöruskrá!J:J, "")) * I333 / 100, ""), IF(F333 = "Réttur", IFERROR(_xlfn.SINGLE(_xlfn.XLOOKUP(G333, Réttabanki!A:A, Réttabanki!AW:AW, "")) * I333 / 100, ""), "")))</f>
        <v/>
      </c>
      <c r="Q333" s="26" t="str">
        <f>IF(OR(F333 = "", G333 = "", I333 = ""), "", IF(F333 = "Vara", IFERROR(_xlfn.SINGLE(_xlfn.XLOOKUP(G333, Vöruskrá!A:A, Vöruskrá!N:N, "")) * I333 / 100, ""), IF(F333 = "Réttur", IFERROR(_xlfn.SINGLE(_xlfn.XLOOKUP(G333, Réttabanki!A:A, Réttabanki!BB:BB, "")) * I333 / 100, ""), "")))</f>
        <v/>
      </c>
    </row>
    <row r="334" spans="2:17">
      <c r="B334" s="33" t="str">
        <f>IF(A334&lt;&gt;"",CHOOSE(WEEKDAY(A334,2),"Mánudagur","Þriðjudagur","Miðvikudagur","Fimmtudagur","Föstudagur","Laugardagur","Sunnudagur"),IF(B333&lt;&gt;"",B333,""))</f>
        <v>Fimmtudagur</v>
      </c>
      <c r="C334" s="33">
        <f>IF(A334&lt;&gt;"",WEEKNUM(A334,21),IF(C333&lt;&gt;"",C333,""))</f>
        <v>27</v>
      </c>
      <c r="D334" s="34"/>
      <c r="E334" s="34"/>
      <c r="F334" s="34"/>
      <c r="G334" s="34"/>
      <c r="H334" s="34"/>
      <c r="I334" s="35"/>
      <c r="J334" s="35"/>
      <c r="K334" s="36"/>
      <c r="L334" s="26" t="str">
        <f>IF(OR(F334 = "", G334 = ""), "", IF(F334 = "Vara", IFERROR(_xlfn.SINGLE(_xlfn.XLOOKUP(G334, Vöruskrá!A:A, Vöruskrá!E:E, "")), ""), IF(F334 = "Réttur", IFERROR(_xlfn.SINGLE(_xlfn.XLOOKUP(G334, Réttabanki!A:A, Réttabanki!AS:AS, "")), ""), "")))</f>
        <v/>
      </c>
      <c r="M334" s="26" t="str">
        <f>IF(OR(F334 = "", G334 = ""), "", IF(F334 = "Vara", IFERROR(_xlfn.SINGLE(_xlfn.XLOOKUP(G334, Vöruskrá!A:A, Vöruskrá!F:F, "")), ""), IF(F334 = "Réttur", IFERROR(_xlfn.SINGLE(_xlfn.XLOOKUP(G334, Réttabanki!A:A, Réttabanki!AT:AT, "")), ""), "")))</f>
        <v/>
      </c>
      <c r="N334" s="26" t="str">
        <f>IF(OR(F334 = "", G334 = ""), "", IF(F334 = "Vara", IFERROR(_xlfn.SINGLE(_xlfn.XLOOKUP(G334, Vöruskrá!A:A, Vöruskrá!G:G, "")), ""), IF(F334 = "Réttur", IFERROR(_xlfn.SINGLE(_xlfn.XLOOKUP(G334, Réttabanki!A:A, Réttabanki!AU:AU, "")), ""), "")))</f>
        <v/>
      </c>
      <c r="O334" s="26" t="str">
        <f>IF(OR(F334 = "", G334 = "", I334 = ""), "", IF(F334 = "Vara", IFERROR(_xlfn.SINGLE(_xlfn.XLOOKUP(G334, Vöruskrá!A:A, Vöruskrá!I:I, "")) * I334 / 100, ""), IF(F334 = "Réttur", IFERROR(_xlfn.SINGLE(_xlfn.XLOOKUP(G334, Réttabanki!A:A, Réttabanki!AV:AV, "")) * I334 / 100, ""), "")))</f>
        <v/>
      </c>
      <c r="P334" s="26" t="str">
        <f>IF(OR(F334 = "", G334 = "", I334 = ""), "", IF(F334 = "Vara", IFERROR(_xlfn.SINGLE(_xlfn.XLOOKUP(G334, Vöruskrá!A:A, Vöruskrá!J:J, "")) * I334 / 100, ""), IF(F334 = "Réttur", IFERROR(_xlfn.SINGLE(_xlfn.XLOOKUP(G334, Réttabanki!A:A, Réttabanki!AW:AW, "")) * I334 / 100, ""), "")))</f>
        <v/>
      </c>
      <c r="Q334" s="26" t="str">
        <f>IF(OR(F334 = "", G334 = "", I334 = ""), "", IF(F334 = "Vara", IFERROR(_xlfn.SINGLE(_xlfn.XLOOKUP(G334, Vöruskrá!A:A, Vöruskrá!N:N, "")) * I334 / 100, ""), IF(F334 = "Réttur", IFERROR(_xlfn.SINGLE(_xlfn.XLOOKUP(G334, Réttabanki!A:A, Réttabanki!BB:BB, "")) * I334 / 100, ""), "")))</f>
        <v/>
      </c>
    </row>
    <row r="335" spans="2:17">
      <c r="B335" s="33" t="str">
        <f>IF(A335&lt;&gt;"",CHOOSE(WEEKDAY(A335,2),"Mánudagur","Þriðjudagur","Miðvikudagur","Fimmtudagur","Föstudagur","Laugardagur","Sunnudagur"),IF(B334&lt;&gt;"",B334,""))</f>
        <v>Fimmtudagur</v>
      </c>
      <c r="C335" s="33">
        <f>IF(A335&lt;&gt;"",WEEKNUM(A335,21),IF(C334&lt;&gt;"",C334,""))</f>
        <v>27</v>
      </c>
      <c r="D335" s="34"/>
      <c r="E335" s="34"/>
      <c r="F335" s="34"/>
      <c r="G335" s="34"/>
      <c r="H335" s="34"/>
      <c r="I335" s="35"/>
      <c r="J335" s="35"/>
      <c r="K335" s="36"/>
      <c r="L335" s="26" t="str">
        <f>IF(OR(F335 = "", G335 = ""), "", IF(F335 = "Vara", IFERROR(_xlfn.SINGLE(_xlfn.XLOOKUP(G335, Vöruskrá!A:A, Vöruskrá!E:E, "")), ""), IF(F335 = "Réttur", IFERROR(_xlfn.SINGLE(_xlfn.XLOOKUP(G335, Réttabanki!A:A, Réttabanki!AS:AS, "")), ""), "")))</f>
        <v/>
      </c>
      <c r="M335" s="26" t="str">
        <f>IF(OR(F335 = "", G335 = ""), "", IF(F335 = "Vara", IFERROR(_xlfn.SINGLE(_xlfn.XLOOKUP(G335, Vöruskrá!A:A, Vöruskrá!F:F, "")), ""), IF(F335 = "Réttur", IFERROR(_xlfn.SINGLE(_xlfn.XLOOKUP(G335, Réttabanki!A:A, Réttabanki!AT:AT, "")), ""), "")))</f>
        <v/>
      </c>
      <c r="N335" s="26" t="str">
        <f>IF(OR(F335 = "", G335 = ""), "", IF(F335 = "Vara", IFERROR(_xlfn.SINGLE(_xlfn.XLOOKUP(G335, Vöruskrá!A:A, Vöruskrá!G:G, "")), ""), IF(F335 = "Réttur", IFERROR(_xlfn.SINGLE(_xlfn.XLOOKUP(G335, Réttabanki!A:A, Réttabanki!AU:AU, "")), ""), "")))</f>
        <v/>
      </c>
      <c r="O335" s="26" t="str">
        <f>IF(OR(F335 = "", G335 = "", I335 = ""), "", IF(F335 = "Vara", IFERROR(_xlfn.SINGLE(_xlfn.XLOOKUP(G335, Vöruskrá!A:A, Vöruskrá!I:I, "")) * I335 / 100, ""), IF(F335 = "Réttur", IFERROR(_xlfn.SINGLE(_xlfn.XLOOKUP(G335, Réttabanki!A:A, Réttabanki!AV:AV, "")) * I335 / 100, ""), "")))</f>
        <v/>
      </c>
      <c r="P335" s="26" t="str">
        <f>IF(OR(F335 = "", G335 = "", I335 = ""), "", IF(F335 = "Vara", IFERROR(_xlfn.SINGLE(_xlfn.XLOOKUP(G335, Vöruskrá!A:A, Vöruskrá!J:J, "")) * I335 / 100, ""), IF(F335 = "Réttur", IFERROR(_xlfn.SINGLE(_xlfn.XLOOKUP(G335, Réttabanki!A:A, Réttabanki!AW:AW, "")) * I335 / 100, ""), "")))</f>
        <v/>
      </c>
      <c r="Q335" s="26" t="str">
        <f>IF(OR(F335 = "", G335 = "", I335 = ""), "", IF(F335 = "Vara", IFERROR(_xlfn.SINGLE(_xlfn.XLOOKUP(G335, Vöruskrá!A:A, Vöruskrá!N:N, "")) * I335 / 100, ""), IF(F335 = "Réttur", IFERROR(_xlfn.SINGLE(_xlfn.XLOOKUP(G335, Réttabanki!A:A, Réttabanki!BB:BB, "")) * I335 / 100, ""), "")))</f>
        <v/>
      </c>
    </row>
    <row r="336" spans="2:17">
      <c r="B336" s="33" t="str">
        <f>IF(A336&lt;&gt;"",CHOOSE(WEEKDAY(A336,2),"Mánudagur","Þriðjudagur","Miðvikudagur","Fimmtudagur","Föstudagur","Laugardagur","Sunnudagur"),IF(B335&lt;&gt;"",B335,""))</f>
        <v>Fimmtudagur</v>
      </c>
      <c r="C336" s="33">
        <f>IF(A336&lt;&gt;"",WEEKNUM(A336,21),IF(C335&lt;&gt;"",C335,""))</f>
        <v>27</v>
      </c>
      <c r="D336" s="34"/>
      <c r="E336" s="34"/>
      <c r="F336" s="34"/>
      <c r="G336" s="34"/>
      <c r="H336" s="34"/>
      <c r="I336" s="35"/>
      <c r="J336" s="35"/>
      <c r="K336" s="36"/>
      <c r="L336" s="26" t="str">
        <f>IF(OR(F336 = "", G336 = ""), "", IF(F336 = "Vara", IFERROR(_xlfn.SINGLE(_xlfn.XLOOKUP(G336, Vöruskrá!A:A, Vöruskrá!E:E, "")), ""), IF(F336 = "Réttur", IFERROR(_xlfn.SINGLE(_xlfn.XLOOKUP(G336, Réttabanki!A:A, Réttabanki!AS:AS, "")), ""), "")))</f>
        <v/>
      </c>
      <c r="M336" s="26" t="str">
        <f>IF(OR(F336 = "", G336 = ""), "", IF(F336 = "Vara", IFERROR(_xlfn.SINGLE(_xlfn.XLOOKUP(G336, Vöruskrá!A:A, Vöruskrá!F:F, "")), ""), IF(F336 = "Réttur", IFERROR(_xlfn.SINGLE(_xlfn.XLOOKUP(G336, Réttabanki!A:A, Réttabanki!AT:AT, "")), ""), "")))</f>
        <v/>
      </c>
      <c r="N336" s="26" t="str">
        <f>IF(OR(F336 = "", G336 = ""), "", IF(F336 = "Vara", IFERROR(_xlfn.SINGLE(_xlfn.XLOOKUP(G336, Vöruskrá!A:A, Vöruskrá!G:G, "")), ""), IF(F336 = "Réttur", IFERROR(_xlfn.SINGLE(_xlfn.XLOOKUP(G336, Réttabanki!A:A, Réttabanki!AU:AU, "")), ""), "")))</f>
        <v/>
      </c>
      <c r="O336" s="26" t="str">
        <f>IF(OR(F336 = "", G336 = "", I336 = ""), "", IF(F336 = "Vara", IFERROR(_xlfn.SINGLE(_xlfn.XLOOKUP(G336, Vöruskrá!A:A, Vöruskrá!I:I, "")) * I336 / 100, ""), IF(F336 = "Réttur", IFERROR(_xlfn.SINGLE(_xlfn.XLOOKUP(G336, Réttabanki!A:A, Réttabanki!AV:AV, "")) * I336 / 100, ""), "")))</f>
        <v/>
      </c>
      <c r="P336" s="26" t="str">
        <f>IF(OR(F336 = "", G336 = "", I336 = ""), "", IF(F336 = "Vara", IFERROR(_xlfn.SINGLE(_xlfn.XLOOKUP(G336, Vöruskrá!A:A, Vöruskrá!J:J, "")) * I336 / 100, ""), IF(F336 = "Réttur", IFERROR(_xlfn.SINGLE(_xlfn.XLOOKUP(G336, Réttabanki!A:A, Réttabanki!AW:AW, "")) * I336 / 100, ""), "")))</f>
        <v/>
      </c>
      <c r="Q336" s="26" t="str">
        <f>IF(OR(F336 = "", G336 = "", I336 = ""), "", IF(F336 = "Vara", IFERROR(_xlfn.SINGLE(_xlfn.XLOOKUP(G336, Vöruskrá!A:A, Vöruskrá!N:N, "")) * I336 / 100, ""), IF(F336 = "Réttur", IFERROR(_xlfn.SINGLE(_xlfn.XLOOKUP(G336, Réttabanki!A:A, Réttabanki!BB:BB, "")) * I336 / 100, ""), "")))</f>
        <v/>
      </c>
    </row>
    <row r="337" spans="2:17">
      <c r="B337" s="33" t="str">
        <f>IF(A337&lt;&gt;"",CHOOSE(WEEKDAY(A337,2),"Mánudagur","Þriðjudagur","Miðvikudagur","Fimmtudagur","Föstudagur","Laugardagur","Sunnudagur"),IF(B336&lt;&gt;"",B336,""))</f>
        <v>Fimmtudagur</v>
      </c>
      <c r="C337" s="33">
        <f>IF(A337&lt;&gt;"",WEEKNUM(A337,21),IF(C336&lt;&gt;"",C336,""))</f>
        <v>27</v>
      </c>
      <c r="D337" s="34"/>
      <c r="E337" s="34"/>
      <c r="F337" s="34"/>
      <c r="G337" s="34"/>
      <c r="H337" s="34"/>
      <c r="I337" s="35"/>
      <c r="J337" s="35"/>
      <c r="K337" s="36"/>
      <c r="L337" s="26" t="str">
        <f>IF(OR(F337 = "", G337 = ""), "", IF(F337 = "Vara", IFERROR(_xlfn.SINGLE(_xlfn.XLOOKUP(G337, Vöruskrá!A:A, Vöruskrá!E:E, "")), ""), IF(F337 = "Réttur", IFERROR(_xlfn.SINGLE(_xlfn.XLOOKUP(G337, Réttabanki!A:A, Réttabanki!AS:AS, "")), ""), "")))</f>
        <v/>
      </c>
      <c r="M337" s="26" t="str">
        <f>IF(OR(F337 = "", G337 = ""), "", IF(F337 = "Vara", IFERROR(_xlfn.SINGLE(_xlfn.XLOOKUP(G337, Vöruskrá!A:A, Vöruskrá!F:F, "")), ""), IF(F337 = "Réttur", IFERROR(_xlfn.SINGLE(_xlfn.XLOOKUP(G337, Réttabanki!A:A, Réttabanki!AT:AT, "")), ""), "")))</f>
        <v/>
      </c>
      <c r="N337" s="26" t="str">
        <f>IF(OR(F337 = "", G337 = ""), "", IF(F337 = "Vara", IFERROR(_xlfn.SINGLE(_xlfn.XLOOKUP(G337, Vöruskrá!A:A, Vöruskrá!G:G, "")), ""), IF(F337 = "Réttur", IFERROR(_xlfn.SINGLE(_xlfn.XLOOKUP(G337, Réttabanki!A:A, Réttabanki!AU:AU, "")), ""), "")))</f>
        <v/>
      </c>
      <c r="O337" s="26" t="str">
        <f>IF(OR(F337 = "", G337 = "", I337 = ""), "", IF(F337 = "Vara", IFERROR(_xlfn.SINGLE(_xlfn.XLOOKUP(G337, Vöruskrá!A:A, Vöruskrá!I:I, "")) * I337 / 100, ""), IF(F337 = "Réttur", IFERROR(_xlfn.SINGLE(_xlfn.XLOOKUP(G337, Réttabanki!A:A, Réttabanki!AV:AV, "")) * I337 / 100, ""), "")))</f>
        <v/>
      </c>
      <c r="P337" s="26" t="str">
        <f>IF(OR(F337 = "", G337 = "", I337 = ""), "", IF(F337 = "Vara", IFERROR(_xlfn.SINGLE(_xlfn.XLOOKUP(G337, Vöruskrá!A:A, Vöruskrá!J:J, "")) * I337 / 100, ""), IF(F337 = "Réttur", IFERROR(_xlfn.SINGLE(_xlfn.XLOOKUP(G337, Réttabanki!A:A, Réttabanki!AW:AW, "")) * I337 / 100, ""), "")))</f>
        <v/>
      </c>
      <c r="Q337" s="26" t="str">
        <f>IF(OR(F337 = "", G337 = "", I337 = ""), "", IF(F337 = "Vara", IFERROR(_xlfn.SINGLE(_xlfn.XLOOKUP(G337, Vöruskrá!A:A, Vöruskrá!N:N, "")) * I337 / 100, ""), IF(F337 = "Réttur", IFERROR(_xlfn.SINGLE(_xlfn.XLOOKUP(G337, Réttabanki!A:A, Réttabanki!BB:BB, "")) * I337 / 100, ""), "")))</f>
        <v/>
      </c>
    </row>
    <row r="338" spans="2:17">
      <c r="B338" s="33" t="str">
        <f>IF(A338&lt;&gt;"",CHOOSE(WEEKDAY(A338,2),"Mánudagur","Þriðjudagur","Miðvikudagur","Fimmtudagur","Föstudagur","Laugardagur","Sunnudagur"),IF(B337&lt;&gt;"",B337,""))</f>
        <v>Fimmtudagur</v>
      </c>
      <c r="C338" s="33">
        <f>IF(A338&lt;&gt;"",WEEKNUM(A338,21),IF(C337&lt;&gt;"",C337,""))</f>
        <v>27</v>
      </c>
      <c r="D338" s="34"/>
      <c r="E338" s="34"/>
      <c r="F338" s="34"/>
      <c r="G338" s="34"/>
      <c r="H338" s="34"/>
      <c r="I338" s="35"/>
      <c r="J338" s="35"/>
      <c r="K338" s="36"/>
      <c r="L338" s="26" t="str">
        <f>IF(OR(F338 = "", G338 = ""), "", IF(F338 = "Vara", IFERROR(_xlfn.SINGLE(_xlfn.XLOOKUP(G338, Vöruskrá!A:A, Vöruskrá!E:E, "")), ""), IF(F338 = "Réttur", IFERROR(_xlfn.SINGLE(_xlfn.XLOOKUP(G338, Réttabanki!A:A, Réttabanki!AS:AS, "")), ""), "")))</f>
        <v/>
      </c>
      <c r="M338" s="26" t="str">
        <f>IF(OR(F338 = "", G338 = ""), "", IF(F338 = "Vara", IFERROR(_xlfn.SINGLE(_xlfn.XLOOKUP(G338, Vöruskrá!A:A, Vöruskrá!F:F, "")), ""), IF(F338 = "Réttur", IFERROR(_xlfn.SINGLE(_xlfn.XLOOKUP(G338, Réttabanki!A:A, Réttabanki!AT:AT, "")), ""), "")))</f>
        <v/>
      </c>
      <c r="N338" s="26" t="str">
        <f>IF(OR(F338 = "", G338 = ""), "", IF(F338 = "Vara", IFERROR(_xlfn.SINGLE(_xlfn.XLOOKUP(G338, Vöruskrá!A:A, Vöruskrá!G:G, "")), ""), IF(F338 = "Réttur", IFERROR(_xlfn.SINGLE(_xlfn.XLOOKUP(G338, Réttabanki!A:A, Réttabanki!AU:AU, "")), ""), "")))</f>
        <v/>
      </c>
      <c r="O338" s="26" t="str">
        <f>IF(OR(F338 = "", G338 = "", I338 = ""), "", IF(F338 = "Vara", IFERROR(_xlfn.SINGLE(_xlfn.XLOOKUP(G338, Vöruskrá!A:A, Vöruskrá!I:I, "")) * I338 / 100, ""), IF(F338 = "Réttur", IFERROR(_xlfn.SINGLE(_xlfn.XLOOKUP(G338, Réttabanki!A:A, Réttabanki!AV:AV, "")) * I338 / 100, ""), "")))</f>
        <v/>
      </c>
      <c r="P338" s="26" t="str">
        <f>IF(OR(F338 = "", G338 = "", I338 = ""), "", IF(F338 = "Vara", IFERROR(_xlfn.SINGLE(_xlfn.XLOOKUP(G338, Vöruskrá!A:A, Vöruskrá!J:J, "")) * I338 / 100, ""), IF(F338 = "Réttur", IFERROR(_xlfn.SINGLE(_xlfn.XLOOKUP(G338, Réttabanki!A:A, Réttabanki!AW:AW, "")) * I338 / 100, ""), "")))</f>
        <v/>
      </c>
      <c r="Q338" s="26" t="str">
        <f>IF(OR(F338 = "", G338 = "", I338 = ""), "", IF(F338 = "Vara", IFERROR(_xlfn.SINGLE(_xlfn.XLOOKUP(G338, Vöruskrá!A:A, Vöruskrá!N:N, "")) * I338 / 100, ""), IF(F338 = "Réttur", IFERROR(_xlfn.SINGLE(_xlfn.XLOOKUP(G338, Réttabanki!A:A, Réttabanki!BB:BB, "")) * I338 / 100, ""), "")))</f>
        <v/>
      </c>
    </row>
    <row r="339" spans="2:17">
      <c r="B339" s="33" t="str">
        <f>IF(A339&lt;&gt;"",CHOOSE(WEEKDAY(A339,2),"Mánudagur","Þriðjudagur","Miðvikudagur","Fimmtudagur","Föstudagur","Laugardagur","Sunnudagur"),IF(B338&lt;&gt;"",B338,""))</f>
        <v>Fimmtudagur</v>
      </c>
      <c r="C339" s="33">
        <f>IF(A339&lt;&gt;"",WEEKNUM(A339,21),IF(C338&lt;&gt;"",C338,""))</f>
        <v>27</v>
      </c>
      <c r="D339" s="34"/>
      <c r="E339" s="34"/>
      <c r="F339" s="34"/>
      <c r="G339" s="34"/>
      <c r="H339" s="34"/>
      <c r="I339" s="35"/>
      <c r="J339" s="35"/>
      <c r="K339" s="36"/>
      <c r="L339" s="26" t="str">
        <f>IF(OR(F339 = "", G339 = ""), "", IF(F339 = "Vara", IFERROR(_xlfn.SINGLE(_xlfn.XLOOKUP(G339, Vöruskrá!A:A, Vöruskrá!E:E, "")), ""), IF(F339 = "Réttur", IFERROR(_xlfn.SINGLE(_xlfn.XLOOKUP(G339, Réttabanki!A:A, Réttabanki!AS:AS, "")), ""), "")))</f>
        <v/>
      </c>
      <c r="M339" s="26" t="str">
        <f>IF(OR(F339 = "", G339 = ""), "", IF(F339 = "Vara", IFERROR(_xlfn.SINGLE(_xlfn.XLOOKUP(G339, Vöruskrá!A:A, Vöruskrá!F:F, "")), ""), IF(F339 = "Réttur", IFERROR(_xlfn.SINGLE(_xlfn.XLOOKUP(G339, Réttabanki!A:A, Réttabanki!AT:AT, "")), ""), "")))</f>
        <v/>
      </c>
      <c r="N339" s="26" t="str">
        <f>IF(OR(F339 = "", G339 = ""), "", IF(F339 = "Vara", IFERROR(_xlfn.SINGLE(_xlfn.XLOOKUP(G339, Vöruskrá!A:A, Vöruskrá!G:G, "")), ""), IF(F339 = "Réttur", IFERROR(_xlfn.SINGLE(_xlfn.XLOOKUP(G339, Réttabanki!A:A, Réttabanki!AU:AU, "")), ""), "")))</f>
        <v/>
      </c>
      <c r="O339" s="26" t="str">
        <f>IF(OR(F339 = "", G339 = "", I339 = ""), "", IF(F339 = "Vara", IFERROR(_xlfn.SINGLE(_xlfn.XLOOKUP(G339, Vöruskrá!A:A, Vöruskrá!I:I, "")) * I339 / 100, ""), IF(F339 = "Réttur", IFERROR(_xlfn.SINGLE(_xlfn.XLOOKUP(G339, Réttabanki!A:A, Réttabanki!AV:AV, "")) * I339 / 100, ""), "")))</f>
        <v/>
      </c>
      <c r="P339" s="26" t="str">
        <f>IF(OR(F339 = "", G339 = "", I339 = ""), "", IF(F339 = "Vara", IFERROR(_xlfn.SINGLE(_xlfn.XLOOKUP(G339, Vöruskrá!A:A, Vöruskrá!J:J, "")) * I339 / 100, ""), IF(F339 = "Réttur", IFERROR(_xlfn.SINGLE(_xlfn.XLOOKUP(G339, Réttabanki!A:A, Réttabanki!AW:AW, "")) * I339 / 100, ""), "")))</f>
        <v/>
      </c>
      <c r="Q339" s="26" t="str">
        <f>IF(OR(F339 = "", G339 = "", I339 = ""), "", IF(F339 = "Vara", IFERROR(_xlfn.SINGLE(_xlfn.XLOOKUP(G339, Vöruskrá!A:A, Vöruskrá!N:N, "")) * I339 / 100, ""), IF(F339 = "Réttur", IFERROR(_xlfn.SINGLE(_xlfn.XLOOKUP(G339, Réttabanki!A:A, Réttabanki!BB:BB, "")) * I339 / 100, ""), "")))</f>
        <v/>
      </c>
    </row>
    <row r="340" spans="2:17">
      <c r="B340" s="33" t="str">
        <f>IF(A340&lt;&gt;"",CHOOSE(WEEKDAY(A340,2),"Mánudagur","Þriðjudagur","Miðvikudagur","Fimmtudagur","Föstudagur","Laugardagur","Sunnudagur"),IF(B339&lt;&gt;"",B339,""))</f>
        <v>Fimmtudagur</v>
      </c>
      <c r="C340" s="33">
        <f>IF(A340&lt;&gt;"",WEEKNUM(A340,21),IF(C339&lt;&gt;"",C339,""))</f>
        <v>27</v>
      </c>
      <c r="D340" s="34"/>
      <c r="E340" s="34"/>
      <c r="F340" s="34"/>
      <c r="G340" s="34"/>
      <c r="H340" s="34"/>
      <c r="I340" s="35"/>
      <c r="J340" s="35"/>
      <c r="K340" s="36"/>
      <c r="L340" s="26" t="str">
        <f>IF(OR(F340 = "", G340 = ""), "", IF(F340 = "Vara", IFERROR(_xlfn.SINGLE(_xlfn.XLOOKUP(G340, Vöruskrá!A:A, Vöruskrá!E:E, "")), ""), IF(F340 = "Réttur", IFERROR(_xlfn.SINGLE(_xlfn.XLOOKUP(G340, Réttabanki!A:A, Réttabanki!AS:AS, "")), ""), "")))</f>
        <v/>
      </c>
      <c r="M340" s="26" t="str">
        <f>IF(OR(F340 = "", G340 = ""), "", IF(F340 = "Vara", IFERROR(_xlfn.SINGLE(_xlfn.XLOOKUP(G340, Vöruskrá!A:A, Vöruskrá!F:F, "")), ""), IF(F340 = "Réttur", IFERROR(_xlfn.SINGLE(_xlfn.XLOOKUP(G340, Réttabanki!A:A, Réttabanki!AT:AT, "")), ""), "")))</f>
        <v/>
      </c>
      <c r="N340" s="26" t="str">
        <f>IF(OR(F340 = "", G340 = ""), "", IF(F340 = "Vara", IFERROR(_xlfn.SINGLE(_xlfn.XLOOKUP(G340, Vöruskrá!A:A, Vöruskrá!G:G, "")), ""), IF(F340 = "Réttur", IFERROR(_xlfn.SINGLE(_xlfn.XLOOKUP(G340, Réttabanki!A:A, Réttabanki!AU:AU, "")), ""), "")))</f>
        <v/>
      </c>
      <c r="O340" s="26" t="str">
        <f>IF(OR(F340 = "", G340 = "", I340 = ""), "", IF(F340 = "Vara", IFERROR(_xlfn.SINGLE(_xlfn.XLOOKUP(G340, Vöruskrá!A:A, Vöruskrá!I:I, "")) * I340 / 100, ""), IF(F340 = "Réttur", IFERROR(_xlfn.SINGLE(_xlfn.XLOOKUP(G340, Réttabanki!A:A, Réttabanki!AV:AV, "")) * I340 / 100, ""), "")))</f>
        <v/>
      </c>
      <c r="P340" s="26" t="str">
        <f>IF(OR(F340 = "", G340 = "", I340 = ""), "", IF(F340 = "Vara", IFERROR(_xlfn.SINGLE(_xlfn.XLOOKUP(G340, Vöruskrá!A:A, Vöruskrá!J:J, "")) * I340 / 100, ""), IF(F340 = "Réttur", IFERROR(_xlfn.SINGLE(_xlfn.XLOOKUP(G340, Réttabanki!A:A, Réttabanki!AW:AW, "")) * I340 / 100, ""), "")))</f>
        <v/>
      </c>
      <c r="Q340" s="26" t="str">
        <f>IF(OR(F340 = "", G340 = "", I340 = ""), "", IF(F340 = "Vara", IFERROR(_xlfn.SINGLE(_xlfn.XLOOKUP(G340, Vöruskrá!A:A, Vöruskrá!N:N, "")) * I340 / 100, ""), IF(F340 = "Réttur", IFERROR(_xlfn.SINGLE(_xlfn.XLOOKUP(G340, Réttabanki!A:A, Réttabanki!BB:BB, "")) * I340 / 100, ""), "")))</f>
        <v/>
      </c>
    </row>
    <row r="341" spans="2:17">
      <c r="B341" s="33" t="str">
        <f>IF(A341&lt;&gt;"",CHOOSE(WEEKDAY(A341,2),"Mánudagur","Þriðjudagur","Miðvikudagur","Fimmtudagur","Föstudagur","Laugardagur","Sunnudagur"),IF(B340&lt;&gt;"",B340,""))</f>
        <v>Fimmtudagur</v>
      </c>
      <c r="C341" s="33">
        <f>IF(A341&lt;&gt;"",WEEKNUM(A341,21),IF(C340&lt;&gt;"",C340,""))</f>
        <v>27</v>
      </c>
      <c r="D341" s="34"/>
      <c r="E341" s="34"/>
      <c r="F341" s="34"/>
      <c r="G341" s="34"/>
      <c r="H341" s="34"/>
      <c r="I341" s="35"/>
      <c r="J341" s="35"/>
      <c r="K341" s="36"/>
      <c r="L341" s="26" t="str">
        <f>IF(OR(F341 = "", G341 = ""), "", IF(F341 = "Vara", IFERROR(_xlfn.SINGLE(_xlfn.XLOOKUP(G341, Vöruskrá!A:A, Vöruskrá!E:E, "")), ""), IF(F341 = "Réttur", IFERROR(_xlfn.SINGLE(_xlfn.XLOOKUP(G341, Réttabanki!A:A, Réttabanki!AS:AS, "")), ""), "")))</f>
        <v/>
      </c>
      <c r="M341" s="26" t="str">
        <f>IF(OR(F341 = "", G341 = ""), "", IF(F341 = "Vara", IFERROR(_xlfn.SINGLE(_xlfn.XLOOKUP(G341, Vöruskrá!A:A, Vöruskrá!F:F, "")), ""), IF(F341 = "Réttur", IFERROR(_xlfn.SINGLE(_xlfn.XLOOKUP(G341, Réttabanki!A:A, Réttabanki!AT:AT, "")), ""), "")))</f>
        <v/>
      </c>
      <c r="N341" s="26" t="str">
        <f>IF(OR(F341 = "", G341 = ""), "", IF(F341 = "Vara", IFERROR(_xlfn.SINGLE(_xlfn.XLOOKUP(G341, Vöruskrá!A:A, Vöruskrá!G:G, "")), ""), IF(F341 = "Réttur", IFERROR(_xlfn.SINGLE(_xlfn.XLOOKUP(G341, Réttabanki!A:A, Réttabanki!AU:AU, "")), ""), "")))</f>
        <v/>
      </c>
      <c r="O341" s="26" t="str">
        <f>IF(OR(F341 = "", G341 = "", I341 = ""), "", IF(F341 = "Vara", IFERROR(_xlfn.SINGLE(_xlfn.XLOOKUP(G341, Vöruskrá!A:A, Vöruskrá!I:I, "")) * I341 / 100, ""), IF(F341 = "Réttur", IFERROR(_xlfn.SINGLE(_xlfn.XLOOKUP(G341, Réttabanki!A:A, Réttabanki!AV:AV, "")) * I341 / 100, ""), "")))</f>
        <v/>
      </c>
      <c r="P341" s="26" t="str">
        <f>IF(OR(F341 = "", G341 = "", I341 = ""), "", IF(F341 = "Vara", IFERROR(_xlfn.SINGLE(_xlfn.XLOOKUP(G341, Vöruskrá!A:A, Vöruskrá!J:J, "")) * I341 / 100, ""), IF(F341 = "Réttur", IFERROR(_xlfn.SINGLE(_xlfn.XLOOKUP(G341, Réttabanki!A:A, Réttabanki!AW:AW, "")) * I341 / 100, ""), "")))</f>
        <v/>
      </c>
      <c r="Q341" s="26" t="str">
        <f>IF(OR(F341 = "", G341 = "", I341 = ""), "", IF(F341 = "Vara", IFERROR(_xlfn.SINGLE(_xlfn.XLOOKUP(G341, Vöruskrá!A:A, Vöruskrá!N:N, "")) * I341 / 100, ""), IF(F341 = "Réttur", IFERROR(_xlfn.SINGLE(_xlfn.XLOOKUP(G341, Réttabanki!A:A, Réttabanki!BB:BB, "")) * I341 / 100, ""), "")))</f>
        <v/>
      </c>
    </row>
    <row r="342" spans="2:17">
      <c r="B342" s="33" t="str">
        <f>IF(A342&lt;&gt;"",CHOOSE(WEEKDAY(A342,2),"Mánudagur","Þriðjudagur","Miðvikudagur","Fimmtudagur","Föstudagur","Laugardagur","Sunnudagur"),IF(B341&lt;&gt;"",B341,""))</f>
        <v>Fimmtudagur</v>
      </c>
      <c r="C342" s="33">
        <f>IF(A342&lt;&gt;"",WEEKNUM(A342,21),IF(C341&lt;&gt;"",C341,""))</f>
        <v>27</v>
      </c>
      <c r="D342" s="34"/>
      <c r="E342" s="34"/>
      <c r="F342" s="34"/>
      <c r="G342" s="34"/>
      <c r="H342" s="34"/>
      <c r="I342" s="35"/>
      <c r="J342" s="35"/>
      <c r="K342" s="36"/>
      <c r="L342" s="26" t="str">
        <f>IF(OR(F342 = "", G342 = ""), "", IF(F342 = "Vara", IFERROR(_xlfn.SINGLE(_xlfn.XLOOKUP(G342, Vöruskrá!A:A, Vöruskrá!E:E, "")), ""), IF(F342 = "Réttur", IFERROR(_xlfn.SINGLE(_xlfn.XLOOKUP(G342, Réttabanki!A:A, Réttabanki!AS:AS, "")), ""), "")))</f>
        <v/>
      </c>
      <c r="M342" s="26" t="str">
        <f>IF(OR(F342 = "", G342 = ""), "", IF(F342 = "Vara", IFERROR(_xlfn.SINGLE(_xlfn.XLOOKUP(G342, Vöruskrá!A:A, Vöruskrá!F:F, "")), ""), IF(F342 = "Réttur", IFERROR(_xlfn.SINGLE(_xlfn.XLOOKUP(G342, Réttabanki!A:A, Réttabanki!AT:AT, "")), ""), "")))</f>
        <v/>
      </c>
      <c r="N342" s="26" t="str">
        <f>IF(OR(F342 = "", G342 = ""), "", IF(F342 = "Vara", IFERROR(_xlfn.SINGLE(_xlfn.XLOOKUP(G342, Vöruskrá!A:A, Vöruskrá!G:G, "")), ""), IF(F342 = "Réttur", IFERROR(_xlfn.SINGLE(_xlfn.XLOOKUP(G342, Réttabanki!A:A, Réttabanki!AU:AU, "")), ""), "")))</f>
        <v/>
      </c>
      <c r="O342" s="26" t="str">
        <f>IF(OR(F342 = "", G342 = "", I342 = ""), "", IF(F342 = "Vara", IFERROR(_xlfn.SINGLE(_xlfn.XLOOKUP(G342, Vöruskrá!A:A, Vöruskrá!I:I, "")) * I342 / 100, ""), IF(F342 = "Réttur", IFERROR(_xlfn.SINGLE(_xlfn.XLOOKUP(G342, Réttabanki!A:A, Réttabanki!AV:AV, "")) * I342 / 100, ""), "")))</f>
        <v/>
      </c>
      <c r="P342" s="26" t="str">
        <f>IF(OR(F342 = "", G342 = "", I342 = ""), "", IF(F342 = "Vara", IFERROR(_xlfn.SINGLE(_xlfn.XLOOKUP(G342, Vöruskrá!A:A, Vöruskrá!J:J, "")) * I342 / 100, ""), IF(F342 = "Réttur", IFERROR(_xlfn.SINGLE(_xlfn.XLOOKUP(G342, Réttabanki!A:A, Réttabanki!AW:AW, "")) * I342 / 100, ""), "")))</f>
        <v/>
      </c>
      <c r="Q342" s="26" t="str">
        <f>IF(OR(F342 = "", G342 = "", I342 = ""), "", IF(F342 = "Vara", IFERROR(_xlfn.SINGLE(_xlfn.XLOOKUP(G342, Vöruskrá!A:A, Vöruskrá!N:N, "")) * I342 / 100, ""), IF(F342 = "Réttur", IFERROR(_xlfn.SINGLE(_xlfn.XLOOKUP(G342, Réttabanki!A:A, Réttabanki!BB:BB, "")) * I342 / 100, ""), "")))</f>
        <v/>
      </c>
    </row>
    <row r="343" spans="2:17">
      <c r="B343" s="33" t="str">
        <f>IF(A343&lt;&gt;"",CHOOSE(WEEKDAY(A343,2),"Mánudagur","Þriðjudagur","Miðvikudagur","Fimmtudagur","Föstudagur","Laugardagur","Sunnudagur"),IF(B342&lt;&gt;"",B342,""))</f>
        <v>Fimmtudagur</v>
      </c>
      <c r="C343" s="33">
        <f>IF(A343&lt;&gt;"",WEEKNUM(A343,21),IF(C342&lt;&gt;"",C342,""))</f>
        <v>27</v>
      </c>
      <c r="D343" s="34"/>
      <c r="E343" s="34"/>
      <c r="F343" s="34"/>
      <c r="G343" s="34"/>
      <c r="H343" s="34"/>
      <c r="I343" s="35"/>
      <c r="J343" s="35"/>
      <c r="K343" s="36"/>
      <c r="L343" s="26" t="str">
        <f>IF(OR(F343 = "", G343 = ""), "", IF(F343 = "Vara", IFERROR(_xlfn.SINGLE(_xlfn.XLOOKUP(G343, Vöruskrá!A:A, Vöruskrá!E:E, "")), ""), IF(F343 = "Réttur", IFERROR(_xlfn.SINGLE(_xlfn.XLOOKUP(G343, Réttabanki!A:A, Réttabanki!AS:AS, "")), ""), "")))</f>
        <v/>
      </c>
      <c r="M343" s="26" t="str">
        <f>IF(OR(F343 = "", G343 = ""), "", IF(F343 = "Vara", IFERROR(_xlfn.SINGLE(_xlfn.XLOOKUP(G343, Vöruskrá!A:A, Vöruskrá!F:F, "")), ""), IF(F343 = "Réttur", IFERROR(_xlfn.SINGLE(_xlfn.XLOOKUP(G343, Réttabanki!A:A, Réttabanki!AT:AT, "")), ""), "")))</f>
        <v/>
      </c>
      <c r="N343" s="26" t="str">
        <f>IF(OR(F343 = "", G343 = ""), "", IF(F343 = "Vara", IFERROR(_xlfn.SINGLE(_xlfn.XLOOKUP(G343, Vöruskrá!A:A, Vöruskrá!G:G, "")), ""), IF(F343 = "Réttur", IFERROR(_xlfn.SINGLE(_xlfn.XLOOKUP(G343, Réttabanki!A:A, Réttabanki!AU:AU, "")), ""), "")))</f>
        <v/>
      </c>
      <c r="O343" s="26" t="str">
        <f>IF(OR(F343 = "", G343 = "", I343 = ""), "", IF(F343 = "Vara", IFERROR(_xlfn.SINGLE(_xlfn.XLOOKUP(G343, Vöruskrá!A:A, Vöruskrá!I:I, "")) * I343 / 100, ""), IF(F343 = "Réttur", IFERROR(_xlfn.SINGLE(_xlfn.XLOOKUP(G343, Réttabanki!A:A, Réttabanki!AV:AV, "")) * I343 / 100, ""), "")))</f>
        <v/>
      </c>
      <c r="P343" s="26" t="str">
        <f>IF(OR(F343 = "", G343 = "", I343 = ""), "", IF(F343 = "Vara", IFERROR(_xlfn.SINGLE(_xlfn.XLOOKUP(G343, Vöruskrá!A:A, Vöruskrá!J:J, "")) * I343 / 100, ""), IF(F343 = "Réttur", IFERROR(_xlfn.SINGLE(_xlfn.XLOOKUP(G343, Réttabanki!A:A, Réttabanki!AW:AW, "")) * I343 / 100, ""), "")))</f>
        <v/>
      </c>
      <c r="Q343" s="26" t="str">
        <f>IF(OR(F343 = "", G343 = "", I343 = ""), "", IF(F343 = "Vara", IFERROR(_xlfn.SINGLE(_xlfn.XLOOKUP(G343, Vöruskrá!A:A, Vöruskrá!N:N, "")) * I343 / 100, ""), IF(F343 = "Réttur", IFERROR(_xlfn.SINGLE(_xlfn.XLOOKUP(G343, Réttabanki!A:A, Réttabanki!BB:BB, "")) * I343 / 100, ""), "")))</f>
        <v/>
      </c>
    </row>
    <row r="344" spans="2:17">
      <c r="B344" s="33" t="str">
        <f>IF(A344&lt;&gt;"",CHOOSE(WEEKDAY(A344,2),"Mánudagur","Þriðjudagur","Miðvikudagur","Fimmtudagur","Föstudagur","Laugardagur","Sunnudagur"),IF(B343&lt;&gt;"",B343,""))</f>
        <v>Fimmtudagur</v>
      </c>
      <c r="C344" s="33">
        <f>IF(A344&lt;&gt;"",WEEKNUM(A344,21),IF(C343&lt;&gt;"",C343,""))</f>
        <v>27</v>
      </c>
      <c r="D344" s="34"/>
      <c r="E344" s="34"/>
      <c r="F344" s="34"/>
      <c r="G344" s="34"/>
      <c r="H344" s="34"/>
      <c r="I344" s="35"/>
      <c r="J344" s="35"/>
      <c r="K344" s="36"/>
      <c r="L344" s="26" t="str">
        <f>IF(OR(F344 = "", G344 = ""), "", IF(F344 = "Vara", IFERROR(_xlfn.SINGLE(_xlfn.XLOOKUP(G344, Vöruskrá!A:A, Vöruskrá!E:E, "")), ""), IF(F344 = "Réttur", IFERROR(_xlfn.SINGLE(_xlfn.XLOOKUP(G344, Réttabanki!A:A, Réttabanki!AS:AS, "")), ""), "")))</f>
        <v/>
      </c>
      <c r="M344" s="26" t="str">
        <f>IF(OR(F344 = "", G344 = ""), "", IF(F344 = "Vara", IFERROR(_xlfn.SINGLE(_xlfn.XLOOKUP(G344, Vöruskrá!A:A, Vöruskrá!F:F, "")), ""), IF(F344 = "Réttur", IFERROR(_xlfn.SINGLE(_xlfn.XLOOKUP(G344, Réttabanki!A:A, Réttabanki!AT:AT, "")), ""), "")))</f>
        <v/>
      </c>
      <c r="N344" s="26" t="str">
        <f>IF(OR(F344 = "", G344 = ""), "", IF(F344 = "Vara", IFERROR(_xlfn.SINGLE(_xlfn.XLOOKUP(G344, Vöruskrá!A:A, Vöruskrá!G:G, "")), ""), IF(F344 = "Réttur", IFERROR(_xlfn.SINGLE(_xlfn.XLOOKUP(G344, Réttabanki!A:A, Réttabanki!AU:AU, "")), ""), "")))</f>
        <v/>
      </c>
      <c r="O344" s="26" t="str">
        <f>IF(OR(F344 = "", G344 = "", I344 = ""), "", IF(F344 = "Vara", IFERROR(_xlfn.SINGLE(_xlfn.XLOOKUP(G344, Vöruskrá!A:A, Vöruskrá!I:I, "")) * I344 / 100, ""), IF(F344 = "Réttur", IFERROR(_xlfn.SINGLE(_xlfn.XLOOKUP(G344, Réttabanki!A:A, Réttabanki!AV:AV, "")) * I344 / 100, ""), "")))</f>
        <v/>
      </c>
      <c r="P344" s="26" t="str">
        <f>IF(OR(F344 = "", G344 = "", I344 = ""), "", IF(F344 = "Vara", IFERROR(_xlfn.SINGLE(_xlfn.XLOOKUP(G344, Vöruskrá!A:A, Vöruskrá!J:J, "")) * I344 / 100, ""), IF(F344 = "Réttur", IFERROR(_xlfn.SINGLE(_xlfn.XLOOKUP(G344, Réttabanki!A:A, Réttabanki!AW:AW, "")) * I344 / 100, ""), "")))</f>
        <v/>
      </c>
      <c r="Q344" s="26" t="str">
        <f>IF(OR(F344 = "", G344 = "", I344 = ""), "", IF(F344 = "Vara", IFERROR(_xlfn.SINGLE(_xlfn.XLOOKUP(G344, Vöruskrá!A:A, Vöruskrá!N:N, "")) * I344 / 100, ""), IF(F344 = "Réttur", IFERROR(_xlfn.SINGLE(_xlfn.XLOOKUP(G344, Réttabanki!A:A, Réttabanki!BB:BB, "")) * I344 / 100, ""), "")))</f>
        <v/>
      </c>
    </row>
    <row r="345" spans="2:17">
      <c r="B345" s="33" t="str">
        <f>IF(A345&lt;&gt;"",CHOOSE(WEEKDAY(A345,2),"Mánudagur","Þriðjudagur","Miðvikudagur","Fimmtudagur","Föstudagur","Laugardagur","Sunnudagur"),IF(B344&lt;&gt;"",B344,""))</f>
        <v>Fimmtudagur</v>
      </c>
      <c r="C345" s="33">
        <f>IF(A345&lt;&gt;"",WEEKNUM(A345,21),IF(C344&lt;&gt;"",C344,""))</f>
        <v>27</v>
      </c>
      <c r="D345" s="34"/>
      <c r="E345" s="34"/>
      <c r="F345" s="34"/>
      <c r="G345" s="34"/>
      <c r="H345" s="34"/>
      <c r="I345" s="35"/>
      <c r="J345" s="35"/>
      <c r="K345" s="36"/>
      <c r="L345" s="26" t="str">
        <f>IF(OR(F345 = "", G345 = ""), "", IF(F345 = "Vara", IFERROR(_xlfn.SINGLE(_xlfn.XLOOKUP(G345, Vöruskrá!A:A, Vöruskrá!E:E, "")), ""), IF(F345 = "Réttur", IFERROR(_xlfn.SINGLE(_xlfn.XLOOKUP(G345, Réttabanki!A:A, Réttabanki!AS:AS, "")), ""), "")))</f>
        <v/>
      </c>
      <c r="M345" s="26" t="str">
        <f>IF(OR(F345 = "", G345 = ""), "", IF(F345 = "Vara", IFERROR(_xlfn.SINGLE(_xlfn.XLOOKUP(G345, Vöruskrá!A:A, Vöruskrá!F:F, "")), ""), IF(F345 = "Réttur", IFERROR(_xlfn.SINGLE(_xlfn.XLOOKUP(G345, Réttabanki!A:A, Réttabanki!AT:AT, "")), ""), "")))</f>
        <v/>
      </c>
      <c r="N345" s="26" t="str">
        <f>IF(OR(F345 = "", G345 = ""), "", IF(F345 = "Vara", IFERROR(_xlfn.SINGLE(_xlfn.XLOOKUP(G345, Vöruskrá!A:A, Vöruskrá!G:G, "")), ""), IF(F345 = "Réttur", IFERROR(_xlfn.SINGLE(_xlfn.XLOOKUP(G345, Réttabanki!A:A, Réttabanki!AU:AU, "")), ""), "")))</f>
        <v/>
      </c>
      <c r="O345" s="26" t="str">
        <f>IF(OR(F345 = "", G345 = "", I345 = ""), "", IF(F345 = "Vara", IFERROR(_xlfn.SINGLE(_xlfn.XLOOKUP(G345, Vöruskrá!A:A, Vöruskrá!I:I, "")) * I345 / 100, ""), IF(F345 = "Réttur", IFERROR(_xlfn.SINGLE(_xlfn.XLOOKUP(G345, Réttabanki!A:A, Réttabanki!AV:AV, "")) * I345 / 100, ""), "")))</f>
        <v/>
      </c>
      <c r="P345" s="26" t="str">
        <f>IF(OR(F345 = "", G345 = "", I345 = ""), "", IF(F345 = "Vara", IFERROR(_xlfn.SINGLE(_xlfn.XLOOKUP(G345, Vöruskrá!A:A, Vöruskrá!J:J, "")) * I345 / 100, ""), IF(F345 = "Réttur", IFERROR(_xlfn.SINGLE(_xlfn.XLOOKUP(G345, Réttabanki!A:A, Réttabanki!AW:AW, "")) * I345 / 100, ""), "")))</f>
        <v/>
      </c>
      <c r="Q345" s="26" t="str">
        <f>IF(OR(F345 = "", G345 = "", I345 = ""), "", IF(F345 = "Vara", IFERROR(_xlfn.SINGLE(_xlfn.XLOOKUP(G345, Vöruskrá!A:A, Vöruskrá!N:N, "")) * I345 / 100, ""), IF(F345 = "Réttur", IFERROR(_xlfn.SINGLE(_xlfn.XLOOKUP(G345, Réttabanki!A:A, Réttabanki!BB:BB, "")) * I345 / 100, ""), "")))</f>
        <v/>
      </c>
    </row>
    <row r="346" spans="2:17">
      <c r="B346" s="33" t="str">
        <f>IF(A346&lt;&gt;"",CHOOSE(WEEKDAY(A346,2),"Mánudagur","Þriðjudagur","Miðvikudagur","Fimmtudagur","Föstudagur","Laugardagur","Sunnudagur"),IF(B345&lt;&gt;"",B345,""))</f>
        <v>Fimmtudagur</v>
      </c>
      <c r="C346" s="33">
        <f>IF(A346&lt;&gt;"",WEEKNUM(A346,21),IF(C345&lt;&gt;"",C345,""))</f>
        <v>27</v>
      </c>
      <c r="D346" s="34"/>
      <c r="E346" s="34"/>
      <c r="F346" s="34"/>
      <c r="G346" s="34"/>
      <c r="H346" s="34"/>
      <c r="I346" s="35"/>
      <c r="J346" s="35"/>
      <c r="K346" s="36"/>
      <c r="L346" s="26" t="str">
        <f>IF(OR(F346 = "", G346 = ""), "", IF(F346 = "Vara", IFERROR(_xlfn.SINGLE(_xlfn.XLOOKUP(G346, Vöruskrá!A:A, Vöruskrá!E:E, "")), ""), IF(F346 = "Réttur", IFERROR(_xlfn.SINGLE(_xlfn.XLOOKUP(G346, Réttabanki!A:A, Réttabanki!AS:AS, "")), ""), "")))</f>
        <v/>
      </c>
      <c r="M346" s="26" t="str">
        <f>IF(OR(F346 = "", G346 = ""), "", IF(F346 = "Vara", IFERROR(_xlfn.SINGLE(_xlfn.XLOOKUP(G346, Vöruskrá!A:A, Vöruskrá!F:F, "")), ""), IF(F346 = "Réttur", IFERROR(_xlfn.SINGLE(_xlfn.XLOOKUP(G346, Réttabanki!A:A, Réttabanki!AT:AT, "")), ""), "")))</f>
        <v/>
      </c>
      <c r="N346" s="26" t="str">
        <f>IF(OR(F346 = "", G346 = ""), "", IF(F346 = "Vara", IFERROR(_xlfn.SINGLE(_xlfn.XLOOKUP(G346, Vöruskrá!A:A, Vöruskrá!G:G, "")), ""), IF(F346 = "Réttur", IFERROR(_xlfn.SINGLE(_xlfn.XLOOKUP(G346, Réttabanki!A:A, Réttabanki!AU:AU, "")), ""), "")))</f>
        <v/>
      </c>
      <c r="O346" s="26" t="str">
        <f>IF(OR(F346 = "", G346 = "", I346 = ""), "", IF(F346 = "Vara", IFERROR(_xlfn.SINGLE(_xlfn.XLOOKUP(G346, Vöruskrá!A:A, Vöruskrá!I:I, "")) * I346 / 100, ""), IF(F346 = "Réttur", IFERROR(_xlfn.SINGLE(_xlfn.XLOOKUP(G346, Réttabanki!A:A, Réttabanki!AV:AV, "")) * I346 / 100, ""), "")))</f>
        <v/>
      </c>
      <c r="P346" s="26" t="str">
        <f>IF(OR(F346 = "", G346 = "", I346 = ""), "", IF(F346 = "Vara", IFERROR(_xlfn.SINGLE(_xlfn.XLOOKUP(G346, Vöruskrá!A:A, Vöruskrá!J:J, "")) * I346 / 100, ""), IF(F346 = "Réttur", IFERROR(_xlfn.SINGLE(_xlfn.XLOOKUP(G346, Réttabanki!A:A, Réttabanki!AW:AW, "")) * I346 / 100, ""), "")))</f>
        <v/>
      </c>
      <c r="Q346" s="26" t="str">
        <f>IF(OR(F346 = "", G346 = "", I346 = ""), "", IF(F346 = "Vara", IFERROR(_xlfn.SINGLE(_xlfn.XLOOKUP(G346, Vöruskrá!A:A, Vöruskrá!N:N, "")) * I346 / 100, ""), IF(F346 = "Réttur", IFERROR(_xlfn.SINGLE(_xlfn.XLOOKUP(G346, Réttabanki!A:A, Réttabanki!BB:BB, "")) * I346 / 100, ""), "")))</f>
        <v/>
      </c>
    </row>
    <row r="347" spans="2:17">
      <c r="B347" s="33" t="str">
        <f>IF(A347&lt;&gt;"",CHOOSE(WEEKDAY(A347,2),"Mánudagur","Þriðjudagur","Miðvikudagur","Fimmtudagur","Föstudagur","Laugardagur","Sunnudagur"),IF(B346&lt;&gt;"",B346,""))</f>
        <v>Fimmtudagur</v>
      </c>
      <c r="C347" s="33">
        <f>IF(A347&lt;&gt;"",WEEKNUM(A347,21),IF(C346&lt;&gt;"",C346,""))</f>
        <v>27</v>
      </c>
      <c r="D347" s="34"/>
      <c r="E347" s="34"/>
      <c r="F347" s="34"/>
      <c r="G347" s="34"/>
      <c r="H347" s="34"/>
      <c r="I347" s="35"/>
      <c r="J347" s="35"/>
      <c r="K347" s="36"/>
      <c r="L347" s="26" t="str">
        <f>IF(OR(F347 = "", G347 = ""), "", IF(F347 = "Vara", IFERROR(_xlfn.SINGLE(_xlfn.XLOOKUP(G347, Vöruskrá!A:A, Vöruskrá!E:E, "")), ""), IF(F347 = "Réttur", IFERROR(_xlfn.SINGLE(_xlfn.XLOOKUP(G347, Réttabanki!A:A, Réttabanki!AS:AS, "")), ""), "")))</f>
        <v/>
      </c>
      <c r="M347" s="26" t="str">
        <f>IF(OR(F347 = "", G347 = ""), "", IF(F347 = "Vara", IFERROR(_xlfn.SINGLE(_xlfn.XLOOKUP(G347, Vöruskrá!A:A, Vöruskrá!F:F, "")), ""), IF(F347 = "Réttur", IFERROR(_xlfn.SINGLE(_xlfn.XLOOKUP(G347, Réttabanki!A:A, Réttabanki!AT:AT, "")), ""), "")))</f>
        <v/>
      </c>
      <c r="N347" s="26" t="str">
        <f>IF(OR(F347 = "", G347 = ""), "", IF(F347 = "Vara", IFERROR(_xlfn.SINGLE(_xlfn.XLOOKUP(G347, Vöruskrá!A:A, Vöruskrá!G:G, "")), ""), IF(F347 = "Réttur", IFERROR(_xlfn.SINGLE(_xlfn.XLOOKUP(G347, Réttabanki!A:A, Réttabanki!AU:AU, "")), ""), "")))</f>
        <v/>
      </c>
      <c r="O347" s="26" t="str">
        <f>IF(OR(F347 = "", G347 = "", I347 = ""), "", IF(F347 = "Vara", IFERROR(_xlfn.SINGLE(_xlfn.XLOOKUP(G347, Vöruskrá!A:A, Vöruskrá!I:I, "")) * I347 / 100, ""), IF(F347 = "Réttur", IFERROR(_xlfn.SINGLE(_xlfn.XLOOKUP(G347, Réttabanki!A:A, Réttabanki!AV:AV, "")) * I347 / 100, ""), "")))</f>
        <v/>
      </c>
      <c r="P347" s="26" t="str">
        <f>IF(OR(F347 = "", G347 = "", I347 = ""), "", IF(F347 = "Vara", IFERROR(_xlfn.SINGLE(_xlfn.XLOOKUP(G347, Vöruskrá!A:A, Vöruskrá!J:J, "")) * I347 / 100, ""), IF(F347 = "Réttur", IFERROR(_xlfn.SINGLE(_xlfn.XLOOKUP(G347, Réttabanki!A:A, Réttabanki!AW:AW, "")) * I347 / 100, ""), "")))</f>
        <v/>
      </c>
      <c r="Q347" s="26" t="str">
        <f>IF(OR(F347 = "", G347 = "", I347 = ""), "", IF(F347 = "Vara", IFERROR(_xlfn.SINGLE(_xlfn.XLOOKUP(G347, Vöruskrá!A:A, Vöruskrá!N:N, "")) * I347 / 100, ""), IF(F347 = "Réttur", IFERROR(_xlfn.SINGLE(_xlfn.XLOOKUP(G347, Réttabanki!A:A, Réttabanki!BB:BB, "")) * I347 / 100, ""), "")))</f>
        <v/>
      </c>
    </row>
    <row r="348" spans="2:17">
      <c r="B348" s="33" t="str">
        <f>IF(A348&lt;&gt;"",CHOOSE(WEEKDAY(A348,2),"Mánudagur","Þriðjudagur","Miðvikudagur","Fimmtudagur","Föstudagur","Laugardagur","Sunnudagur"),IF(B347&lt;&gt;"",B347,""))</f>
        <v>Fimmtudagur</v>
      </c>
      <c r="C348" s="33">
        <f>IF(A348&lt;&gt;"",WEEKNUM(A348,21),IF(C347&lt;&gt;"",C347,""))</f>
        <v>27</v>
      </c>
      <c r="D348" s="34"/>
      <c r="E348" s="34"/>
      <c r="F348" s="34"/>
      <c r="G348" s="34"/>
      <c r="H348" s="34"/>
      <c r="I348" s="35"/>
      <c r="J348" s="35"/>
      <c r="K348" s="36"/>
      <c r="L348" s="26" t="str">
        <f>IF(OR(F348 = "", G348 = ""), "", IF(F348 = "Vara", IFERROR(_xlfn.SINGLE(_xlfn.XLOOKUP(G348, Vöruskrá!A:A, Vöruskrá!E:E, "")), ""), IF(F348 = "Réttur", IFERROR(_xlfn.SINGLE(_xlfn.XLOOKUP(G348, Réttabanki!A:A, Réttabanki!AS:AS, "")), ""), "")))</f>
        <v/>
      </c>
      <c r="M348" s="26" t="str">
        <f>IF(OR(F348 = "", G348 = ""), "", IF(F348 = "Vara", IFERROR(_xlfn.SINGLE(_xlfn.XLOOKUP(G348, Vöruskrá!A:A, Vöruskrá!F:F, "")), ""), IF(F348 = "Réttur", IFERROR(_xlfn.SINGLE(_xlfn.XLOOKUP(G348, Réttabanki!A:A, Réttabanki!AT:AT, "")), ""), "")))</f>
        <v/>
      </c>
      <c r="N348" s="26" t="str">
        <f>IF(OR(F348 = "", G348 = ""), "", IF(F348 = "Vara", IFERROR(_xlfn.SINGLE(_xlfn.XLOOKUP(G348, Vöruskrá!A:A, Vöruskrá!G:G, "")), ""), IF(F348 = "Réttur", IFERROR(_xlfn.SINGLE(_xlfn.XLOOKUP(G348, Réttabanki!A:A, Réttabanki!AU:AU, "")), ""), "")))</f>
        <v/>
      </c>
      <c r="O348" s="26" t="str">
        <f>IF(OR(F348 = "", G348 = "", I348 = ""), "", IF(F348 = "Vara", IFERROR(_xlfn.SINGLE(_xlfn.XLOOKUP(G348, Vöruskrá!A:A, Vöruskrá!I:I, "")) * I348 / 100, ""), IF(F348 = "Réttur", IFERROR(_xlfn.SINGLE(_xlfn.XLOOKUP(G348, Réttabanki!A:A, Réttabanki!AV:AV, "")) * I348 / 100, ""), "")))</f>
        <v/>
      </c>
      <c r="P348" s="26" t="str">
        <f>IF(OR(F348 = "", G348 = "", I348 = ""), "", IF(F348 = "Vara", IFERROR(_xlfn.SINGLE(_xlfn.XLOOKUP(G348, Vöruskrá!A:A, Vöruskrá!J:J, "")) * I348 / 100, ""), IF(F348 = "Réttur", IFERROR(_xlfn.SINGLE(_xlfn.XLOOKUP(G348, Réttabanki!A:A, Réttabanki!AW:AW, "")) * I348 / 100, ""), "")))</f>
        <v/>
      </c>
      <c r="Q348" s="26" t="str">
        <f>IF(OR(F348 = "", G348 = "", I348 = ""), "", IF(F348 = "Vara", IFERROR(_xlfn.SINGLE(_xlfn.XLOOKUP(G348, Vöruskrá!A:A, Vöruskrá!N:N, "")) * I348 / 100, ""), IF(F348 = "Réttur", IFERROR(_xlfn.SINGLE(_xlfn.XLOOKUP(G348, Réttabanki!A:A, Réttabanki!BB:BB, "")) * I348 / 100, ""), "")))</f>
        <v/>
      </c>
    </row>
    <row r="349" spans="2:17">
      <c r="B349" s="33" t="str">
        <f>IF(A349&lt;&gt;"",CHOOSE(WEEKDAY(A349,2),"Mánudagur","Þriðjudagur","Miðvikudagur","Fimmtudagur","Föstudagur","Laugardagur","Sunnudagur"),IF(B348&lt;&gt;"",B348,""))</f>
        <v>Fimmtudagur</v>
      </c>
      <c r="C349" s="33">
        <f>IF(A349&lt;&gt;"",WEEKNUM(A349,21),IF(C348&lt;&gt;"",C348,""))</f>
        <v>27</v>
      </c>
      <c r="D349" s="34"/>
      <c r="E349" s="34"/>
      <c r="F349" s="34"/>
      <c r="G349" s="34"/>
      <c r="H349" s="34"/>
      <c r="I349" s="35"/>
      <c r="J349" s="35"/>
      <c r="K349" s="36"/>
      <c r="L349" s="26" t="str">
        <f>IF(OR(F349 = "", G349 = ""), "", IF(F349 = "Vara", IFERROR(_xlfn.SINGLE(_xlfn.XLOOKUP(G349, Vöruskrá!A:A, Vöruskrá!E:E, "")), ""), IF(F349 = "Réttur", IFERROR(_xlfn.SINGLE(_xlfn.XLOOKUP(G349, Réttabanki!A:A, Réttabanki!AS:AS, "")), ""), "")))</f>
        <v/>
      </c>
      <c r="M349" s="26" t="str">
        <f>IF(OR(F349 = "", G349 = ""), "", IF(F349 = "Vara", IFERROR(_xlfn.SINGLE(_xlfn.XLOOKUP(G349, Vöruskrá!A:A, Vöruskrá!F:F, "")), ""), IF(F349 = "Réttur", IFERROR(_xlfn.SINGLE(_xlfn.XLOOKUP(G349, Réttabanki!A:A, Réttabanki!AT:AT, "")), ""), "")))</f>
        <v/>
      </c>
      <c r="N349" s="26" t="str">
        <f>IF(OR(F349 = "", G349 = ""), "", IF(F349 = "Vara", IFERROR(_xlfn.SINGLE(_xlfn.XLOOKUP(G349, Vöruskrá!A:A, Vöruskrá!G:G, "")), ""), IF(F349 = "Réttur", IFERROR(_xlfn.SINGLE(_xlfn.XLOOKUP(G349, Réttabanki!A:A, Réttabanki!AU:AU, "")), ""), "")))</f>
        <v/>
      </c>
      <c r="O349" s="26" t="str">
        <f>IF(OR(F349 = "", G349 = "", I349 = ""), "", IF(F349 = "Vara", IFERROR(_xlfn.SINGLE(_xlfn.XLOOKUP(G349, Vöruskrá!A:A, Vöruskrá!I:I, "")) * I349 / 100, ""), IF(F349 = "Réttur", IFERROR(_xlfn.SINGLE(_xlfn.XLOOKUP(G349, Réttabanki!A:A, Réttabanki!AV:AV, "")) * I349 / 100, ""), "")))</f>
        <v/>
      </c>
      <c r="P349" s="26" t="str">
        <f>IF(OR(F349 = "", G349 = "", I349 = ""), "", IF(F349 = "Vara", IFERROR(_xlfn.SINGLE(_xlfn.XLOOKUP(G349, Vöruskrá!A:A, Vöruskrá!J:J, "")) * I349 / 100, ""), IF(F349 = "Réttur", IFERROR(_xlfn.SINGLE(_xlfn.XLOOKUP(G349, Réttabanki!A:A, Réttabanki!AW:AW, "")) * I349 / 100, ""), "")))</f>
        <v/>
      </c>
      <c r="Q349" s="26" t="str">
        <f>IF(OR(F349 = "", G349 = "", I349 = ""), "", IF(F349 = "Vara", IFERROR(_xlfn.SINGLE(_xlfn.XLOOKUP(G349, Vöruskrá!A:A, Vöruskrá!N:N, "")) * I349 / 100, ""), IF(F349 = "Réttur", IFERROR(_xlfn.SINGLE(_xlfn.XLOOKUP(G349, Réttabanki!A:A, Réttabanki!BB:BB, "")) * I349 / 100, ""), "")))</f>
        <v/>
      </c>
    </row>
    <row r="350" spans="2:17">
      <c r="B350" s="33" t="str">
        <f>IF(A350&lt;&gt;"",CHOOSE(WEEKDAY(A350,2),"Mánudagur","Þriðjudagur","Miðvikudagur","Fimmtudagur","Föstudagur","Laugardagur","Sunnudagur"),IF(B349&lt;&gt;"",B349,""))</f>
        <v>Fimmtudagur</v>
      </c>
      <c r="C350" s="33">
        <f>IF(A350&lt;&gt;"",WEEKNUM(A350,21),IF(C349&lt;&gt;"",C349,""))</f>
        <v>27</v>
      </c>
      <c r="D350" s="34"/>
      <c r="E350" s="34"/>
      <c r="F350" s="34"/>
      <c r="G350" s="34"/>
      <c r="H350" s="34"/>
      <c r="I350" s="35"/>
      <c r="J350" s="35"/>
      <c r="K350" s="36"/>
      <c r="L350" s="26" t="str">
        <f>IF(OR(F350 = "", G350 = ""), "", IF(F350 = "Vara", IFERROR(_xlfn.SINGLE(_xlfn.XLOOKUP(G350, Vöruskrá!A:A, Vöruskrá!E:E, "")), ""), IF(F350 = "Réttur", IFERROR(_xlfn.SINGLE(_xlfn.XLOOKUP(G350, Réttabanki!A:A, Réttabanki!AS:AS, "")), ""), "")))</f>
        <v/>
      </c>
      <c r="M350" s="26" t="str">
        <f>IF(OR(F350 = "", G350 = ""), "", IF(F350 = "Vara", IFERROR(_xlfn.SINGLE(_xlfn.XLOOKUP(G350, Vöruskrá!A:A, Vöruskrá!F:F, "")), ""), IF(F350 = "Réttur", IFERROR(_xlfn.SINGLE(_xlfn.XLOOKUP(G350, Réttabanki!A:A, Réttabanki!AT:AT, "")), ""), "")))</f>
        <v/>
      </c>
      <c r="N350" s="26" t="str">
        <f>IF(OR(F350 = "", G350 = ""), "", IF(F350 = "Vara", IFERROR(_xlfn.SINGLE(_xlfn.XLOOKUP(G350, Vöruskrá!A:A, Vöruskrá!G:G, "")), ""), IF(F350 = "Réttur", IFERROR(_xlfn.SINGLE(_xlfn.XLOOKUP(G350, Réttabanki!A:A, Réttabanki!AU:AU, "")), ""), "")))</f>
        <v/>
      </c>
      <c r="O350" s="26" t="str">
        <f>IF(OR(F350 = "", G350 = "", I350 = ""), "", IF(F350 = "Vara", IFERROR(_xlfn.SINGLE(_xlfn.XLOOKUP(G350, Vöruskrá!A:A, Vöruskrá!I:I, "")) * I350 / 100, ""), IF(F350 = "Réttur", IFERROR(_xlfn.SINGLE(_xlfn.XLOOKUP(G350, Réttabanki!A:A, Réttabanki!AV:AV, "")) * I350 / 100, ""), "")))</f>
        <v/>
      </c>
      <c r="P350" s="26" t="str">
        <f>IF(OR(F350 = "", G350 = "", I350 = ""), "", IF(F350 = "Vara", IFERROR(_xlfn.SINGLE(_xlfn.XLOOKUP(G350, Vöruskrá!A:A, Vöruskrá!J:J, "")) * I350 / 100, ""), IF(F350 = "Réttur", IFERROR(_xlfn.SINGLE(_xlfn.XLOOKUP(G350, Réttabanki!A:A, Réttabanki!AW:AW, "")) * I350 / 100, ""), "")))</f>
        <v/>
      </c>
      <c r="Q350" s="26" t="str">
        <f>IF(OR(F350 = "", G350 = "", I350 = ""), "", IF(F350 = "Vara", IFERROR(_xlfn.SINGLE(_xlfn.XLOOKUP(G350, Vöruskrá!A:A, Vöruskrá!N:N, "")) * I350 / 100, ""), IF(F350 = "Réttur", IFERROR(_xlfn.SINGLE(_xlfn.XLOOKUP(G350, Réttabanki!A:A, Réttabanki!BB:BB, "")) * I350 / 100, ""), "")))</f>
        <v/>
      </c>
    </row>
    <row r="351" spans="2:17">
      <c r="B351" s="33" t="str">
        <f>IF(A351&lt;&gt;"",CHOOSE(WEEKDAY(A351,2),"Mánudagur","Þriðjudagur","Miðvikudagur","Fimmtudagur","Föstudagur","Laugardagur","Sunnudagur"),IF(B350&lt;&gt;"",B350,""))</f>
        <v>Fimmtudagur</v>
      </c>
      <c r="C351" s="33">
        <f>IF(A351&lt;&gt;"",WEEKNUM(A351,21),IF(C350&lt;&gt;"",C350,""))</f>
        <v>27</v>
      </c>
      <c r="D351" s="34"/>
      <c r="E351" s="34"/>
      <c r="F351" s="34"/>
      <c r="G351" s="34"/>
      <c r="H351" s="34"/>
      <c r="I351" s="35"/>
      <c r="J351" s="35"/>
      <c r="K351" s="36"/>
      <c r="L351" s="26" t="str">
        <f>IF(OR(F351 = "", G351 = ""), "", IF(F351 = "Vara", IFERROR(_xlfn.SINGLE(_xlfn.XLOOKUP(G351, Vöruskrá!A:A, Vöruskrá!E:E, "")), ""), IF(F351 = "Réttur", IFERROR(_xlfn.SINGLE(_xlfn.XLOOKUP(G351, Réttabanki!A:A, Réttabanki!AS:AS, "")), ""), "")))</f>
        <v/>
      </c>
      <c r="M351" s="26" t="str">
        <f>IF(OR(F351 = "", G351 = ""), "", IF(F351 = "Vara", IFERROR(_xlfn.SINGLE(_xlfn.XLOOKUP(G351, Vöruskrá!A:A, Vöruskrá!F:F, "")), ""), IF(F351 = "Réttur", IFERROR(_xlfn.SINGLE(_xlfn.XLOOKUP(G351, Réttabanki!A:A, Réttabanki!AT:AT, "")), ""), "")))</f>
        <v/>
      </c>
      <c r="N351" s="26" t="str">
        <f>IF(OR(F351 = "", G351 = ""), "", IF(F351 = "Vara", IFERROR(_xlfn.SINGLE(_xlfn.XLOOKUP(G351, Vöruskrá!A:A, Vöruskrá!G:G, "")), ""), IF(F351 = "Réttur", IFERROR(_xlfn.SINGLE(_xlfn.XLOOKUP(G351, Réttabanki!A:A, Réttabanki!AU:AU, "")), ""), "")))</f>
        <v/>
      </c>
      <c r="O351" s="26" t="str">
        <f>IF(OR(F351 = "", G351 = "", I351 = ""), "", IF(F351 = "Vara", IFERROR(_xlfn.SINGLE(_xlfn.XLOOKUP(G351, Vöruskrá!A:A, Vöruskrá!I:I, "")) * I351 / 100, ""), IF(F351 = "Réttur", IFERROR(_xlfn.SINGLE(_xlfn.XLOOKUP(G351, Réttabanki!A:A, Réttabanki!AV:AV, "")) * I351 / 100, ""), "")))</f>
        <v/>
      </c>
      <c r="P351" s="26" t="str">
        <f>IF(OR(F351 = "", G351 = "", I351 = ""), "", IF(F351 = "Vara", IFERROR(_xlfn.SINGLE(_xlfn.XLOOKUP(G351, Vöruskrá!A:A, Vöruskrá!J:J, "")) * I351 / 100, ""), IF(F351 = "Réttur", IFERROR(_xlfn.SINGLE(_xlfn.XLOOKUP(G351, Réttabanki!A:A, Réttabanki!AW:AW, "")) * I351 / 100, ""), "")))</f>
        <v/>
      </c>
      <c r="Q351" s="26" t="str">
        <f>IF(OR(F351 = "", G351 = "", I351 = ""), "", IF(F351 = "Vara", IFERROR(_xlfn.SINGLE(_xlfn.XLOOKUP(G351, Vöruskrá!A:A, Vöruskrá!N:N, "")) * I351 / 100, ""), IF(F351 = "Réttur", IFERROR(_xlfn.SINGLE(_xlfn.XLOOKUP(G351, Réttabanki!A:A, Réttabanki!BB:BB, "")) * I351 / 100, ""), "")))</f>
        <v/>
      </c>
    </row>
    <row r="352" spans="2:17">
      <c r="B352" s="33" t="str">
        <f>IF(A352&lt;&gt;"",CHOOSE(WEEKDAY(A352,2),"Mánudagur","Þriðjudagur","Miðvikudagur","Fimmtudagur","Föstudagur","Laugardagur","Sunnudagur"),IF(B351&lt;&gt;"",B351,""))</f>
        <v>Fimmtudagur</v>
      </c>
      <c r="C352" s="33">
        <f>IF(A352&lt;&gt;"",WEEKNUM(A352,21),IF(C351&lt;&gt;"",C351,""))</f>
        <v>27</v>
      </c>
      <c r="D352" s="34"/>
      <c r="E352" s="34"/>
      <c r="F352" s="34"/>
      <c r="G352" s="34"/>
      <c r="H352" s="34"/>
      <c r="I352" s="35"/>
      <c r="J352" s="35"/>
      <c r="K352" s="36"/>
      <c r="L352" s="26" t="str">
        <f>IF(OR(F352 = "", G352 = ""), "", IF(F352 = "Vara", IFERROR(_xlfn.SINGLE(_xlfn.XLOOKUP(G352, Vöruskrá!A:A, Vöruskrá!E:E, "")), ""), IF(F352 = "Réttur", IFERROR(_xlfn.SINGLE(_xlfn.XLOOKUP(G352, Réttabanki!A:A, Réttabanki!AS:AS, "")), ""), "")))</f>
        <v/>
      </c>
      <c r="M352" s="26" t="str">
        <f>IF(OR(F352 = "", G352 = ""), "", IF(F352 = "Vara", IFERROR(_xlfn.SINGLE(_xlfn.XLOOKUP(G352, Vöruskrá!A:A, Vöruskrá!F:F, "")), ""), IF(F352 = "Réttur", IFERROR(_xlfn.SINGLE(_xlfn.XLOOKUP(G352, Réttabanki!A:A, Réttabanki!AT:AT, "")), ""), "")))</f>
        <v/>
      </c>
      <c r="N352" s="26" t="str">
        <f>IF(OR(F352 = "", G352 = ""), "", IF(F352 = "Vara", IFERROR(_xlfn.SINGLE(_xlfn.XLOOKUP(G352, Vöruskrá!A:A, Vöruskrá!G:G, "")), ""), IF(F352 = "Réttur", IFERROR(_xlfn.SINGLE(_xlfn.XLOOKUP(G352, Réttabanki!A:A, Réttabanki!AU:AU, "")), ""), "")))</f>
        <v/>
      </c>
      <c r="O352" s="26" t="str">
        <f>IF(OR(F352 = "", G352 = "", I352 = ""), "", IF(F352 = "Vara", IFERROR(_xlfn.SINGLE(_xlfn.XLOOKUP(G352, Vöruskrá!A:A, Vöruskrá!I:I, "")) * I352 / 100, ""), IF(F352 = "Réttur", IFERROR(_xlfn.SINGLE(_xlfn.XLOOKUP(G352, Réttabanki!A:A, Réttabanki!AV:AV, "")) * I352 / 100, ""), "")))</f>
        <v/>
      </c>
      <c r="P352" s="26" t="str">
        <f>IF(OR(F352 = "", G352 = "", I352 = ""), "", IF(F352 = "Vara", IFERROR(_xlfn.SINGLE(_xlfn.XLOOKUP(G352, Vöruskrá!A:A, Vöruskrá!J:J, "")) * I352 / 100, ""), IF(F352 = "Réttur", IFERROR(_xlfn.SINGLE(_xlfn.XLOOKUP(G352, Réttabanki!A:A, Réttabanki!AW:AW, "")) * I352 / 100, ""), "")))</f>
        <v/>
      </c>
      <c r="Q352" s="26" t="str">
        <f>IF(OR(F352 = "", G352 = "", I352 = ""), "", IF(F352 = "Vara", IFERROR(_xlfn.SINGLE(_xlfn.XLOOKUP(G352, Vöruskrá!A:A, Vöruskrá!N:N, "")) * I352 / 100, ""), IF(F352 = "Réttur", IFERROR(_xlfn.SINGLE(_xlfn.XLOOKUP(G352, Réttabanki!A:A, Réttabanki!BB:BB, "")) * I352 / 100, ""), "")))</f>
        <v/>
      </c>
    </row>
    <row r="353" spans="2:17">
      <c r="B353" s="33" t="str">
        <f>IF(A353&lt;&gt;"",CHOOSE(WEEKDAY(A353,2),"Mánudagur","Þriðjudagur","Miðvikudagur","Fimmtudagur","Föstudagur","Laugardagur","Sunnudagur"),IF(B352&lt;&gt;"",B352,""))</f>
        <v>Fimmtudagur</v>
      </c>
      <c r="C353" s="33">
        <f>IF(A353&lt;&gt;"",WEEKNUM(A353,21),IF(C352&lt;&gt;"",C352,""))</f>
        <v>27</v>
      </c>
      <c r="D353" s="34"/>
      <c r="E353" s="34"/>
      <c r="F353" s="34"/>
      <c r="G353" s="34"/>
      <c r="H353" s="34"/>
      <c r="I353" s="35"/>
      <c r="J353" s="35"/>
      <c r="K353" s="36"/>
      <c r="L353" s="26" t="str">
        <f>IF(OR(F353 = "", G353 = ""), "", IF(F353 = "Vara", IFERROR(_xlfn.SINGLE(_xlfn.XLOOKUP(G353, Vöruskrá!A:A, Vöruskrá!E:E, "")), ""), IF(F353 = "Réttur", IFERROR(_xlfn.SINGLE(_xlfn.XLOOKUP(G353, Réttabanki!A:A, Réttabanki!AS:AS, "")), ""), "")))</f>
        <v/>
      </c>
      <c r="M353" s="26" t="str">
        <f>IF(OR(F353 = "", G353 = ""), "", IF(F353 = "Vara", IFERROR(_xlfn.SINGLE(_xlfn.XLOOKUP(G353, Vöruskrá!A:A, Vöruskrá!F:F, "")), ""), IF(F353 = "Réttur", IFERROR(_xlfn.SINGLE(_xlfn.XLOOKUP(G353, Réttabanki!A:A, Réttabanki!AT:AT, "")), ""), "")))</f>
        <v/>
      </c>
      <c r="N353" s="26" t="str">
        <f>IF(OR(F353 = "", G353 = ""), "", IF(F353 = "Vara", IFERROR(_xlfn.SINGLE(_xlfn.XLOOKUP(G353, Vöruskrá!A:A, Vöruskrá!G:G, "")), ""), IF(F353 = "Réttur", IFERROR(_xlfn.SINGLE(_xlfn.XLOOKUP(G353, Réttabanki!A:A, Réttabanki!AU:AU, "")), ""), "")))</f>
        <v/>
      </c>
      <c r="O353" s="26" t="str">
        <f>IF(OR(F353 = "", G353 = "", I353 = ""), "", IF(F353 = "Vara", IFERROR(_xlfn.SINGLE(_xlfn.XLOOKUP(G353, Vöruskrá!A:A, Vöruskrá!I:I, "")) * I353 / 100, ""), IF(F353 = "Réttur", IFERROR(_xlfn.SINGLE(_xlfn.XLOOKUP(G353, Réttabanki!A:A, Réttabanki!AV:AV, "")) * I353 / 100, ""), "")))</f>
        <v/>
      </c>
      <c r="P353" s="26" t="str">
        <f>IF(OR(F353 = "", G353 = "", I353 = ""), "", IF(F353 = "Vara", IFERROR(_xlfn.SINGLE(_xlfn.XLOOKUP(G353, Vöruskrá!A:A, Vöruskrá!J:J, "")) * I353 / 100, ""), IF(F353 = "Réttur", IFERROR(_xlfn.SINGLE(_xlfn.XLOOKUP(G353, Réttabanki!A:A, Réttabanki!AW:AW, "")) * I353 / 100, ""), "")))</f>
        <v/>
      </c>
      <c r="Q353" s="26" t="str">
        <f>IF(OR(F353 = "", G353 = "", I353 = ""), "", IF(F353 = "Vara", IFERROR(_xlfn.SINGLE(_xlfn.XLOOKUP(G353, Vöruskrá!A:A, Vöruskrá!N:N, "")) * I353 / 100, ""), IF(F353 = "Réttur", IFERROR(_xlfn.SINGLE(_xlfn.XLOOKUP(G353, Réttabanki!A:A, Réttabanki!BB:BB, "")) * I353 / 100, ""), "")))</f>
        <v/>
      </c>
    </row>
    <row r="354" spans="2:17">
      <c r="B354" s="33" t="str">
        <f>IF(A354&lt;&gt;"",CHOOSE(WEEKDAY(A354,2),"Mánudagur","Þriðjudagur","Miðvikudagur","Fimmtudagur","Föstudagur","Laugardagur","Sunnudagur"),IF(B353&lt;&gt;"",B353,""))</f>
        <v>Fimmtudagur</v>
      </c>
      <c r="C354" s="33">
        <f>IF(A354&lt;&gt;"",WEEKNUM(A354,21),IF(C353&lt;&gt;"",C353,""))</f>
        <v>27</v>
      </c>
      <c r="D354" s="34"/>
      <c r="E354" s="34"/>
      <c r="F354" s="34"/>
      <c r="G354" s="34"/>
      <c r="H354" s="34"/>
      <c r="I354" s="35"/>
      <c r="J354" s="35"/>
      <c r="K354" s="36"/>
      <c r="L354" s="26" t="str">
        <f>IF(OR(F354 = "", G354 = ""), "", IF(F354 = "Vara", IFERROR(_xlfn.SINGLE(_xlfn.XLOOKUP(G354, Vöruskrá!A:A, Vöruskrá!E:E, "")), ""), IF(F354 = "Réttur", IFERROR(_xlfn.SINGLE(_xlfn.XLOOKUP(G354, Réttabanki!A:A, Réttabanki!AS:AS, "")), ""), "")))</f>
        <v/>
      </c>
      <c r="M354" s="26" t="str">
        <f>IF(OR(F354 = "", G354 = ""), "", IF(F354 = "Vara", IFERROR(_xlfn.SINGLE(_xlfn.XLOOKUP(G354, Vöruskrá!A:A, Vöruskrá!F:F, "")), ""), IF(F354 = "Réttur", IFERROR(_xlfn.SINGLE(_xlfn.XLOOKUP(G354, Réttabanki!A:A, Réttabanki!AT:AT, "")), ""), "")))</f>
        <v/>
      </c>
      <c r="N354" s="26" t="str">
        <f>IF(OR(F354 = "", G354 = ""), "", IF(F354 = "Vara", IFERROR(_xlfn.SINGLE(_xlfn.XLOOKUP(G354, Vöruskrá!A:A, Vöruskrá!G:G, "")), ""), IF(F354 = "Réttur", IFERROR(_xlfn.SINGLE(_xlfn.XLOOKUP(G354, Réttabanki!A:A, Réttabanki!AU:AU, "")), ""), "")))</f>
        <v/>
      </c>
      <c r="O354" s="26" t="str">
        <f>IF(OR(F354 = "", G354 = "", I354 = ""), "", IF(F354 = "Vara", IFERROR(_xlfn.SINGLE(_xlfn.XLOOKUP(G354, Vöruskrá!A:A, Vöruskrá!I:I, "")) * I354 / 100, ""), IF(F354 = "Réttur", IFERROR(_xlfn.SINGLE(_xlfn.XLOOKUP(G354, Réttabanki!A:A, Réttabanki!AV:AV, "")) * I354 / 100, ""), "")))</f>
        <v/>
      </c>
      <c r="P354" s="26" t="str">
        <f>IF(OR(F354 = "", G354 = "", I354 = ""), "", IF(F354 = "Vara", IFERROR(_xlfn.SINGLE(_xlfn.XLOOKUP(G354, Vöruskrá!A:A, Vöruskrá!J:J, "")) * I354 / 100, ""), IF(F354 = "Réttur", IFERROR(_xlfn.SINGLE(_xlfn.XLOOKUP(G354, Réttabanki!A:A, Réttabanki!AW:AW, "")) * I354 / 100, ""), "")))</f>
        <v/>
      </c>
      <c r="Q354" s="26" t="str">
        <f>IF(OR(F354 = "", G354 = "", I354 = ""), "", IF(F354 = "Vara", IFERROR(_xlfn.SINGLE(_xlfn.XLOOKUP(G354, Vöruskrá!A:A, Vöruskrá!N:N, "")) * I354 / 100, ""), IF(F354 = "Réttur", IFERROR(_xlfn.SINGLE(_xlfn.XLOOKUP(G354, Réttabanki!A:A, Réttabanki!BB:BB, "")) * I354 / 100, ""), "")))</f>
        <v/>
      </c>
    </row>
    <row r="355" spans="2:17">
      <c r="B355" s="33" t="str">
        <f>IF(A355&lt;&gt;"",CHOOSE(WEEKDAY(A355,2),"Mánudagur","Þriðjudagur","Miðvikudagur","Fimmtudagur","Föstudagur","Laugardagur","Sunnudagur"),IF(B354&lt;&gt;"",B354,""))</f>
        <v>Fimmtudagur</v>
      </c>
      <c r="C355" s="33">
        <f>IF(A355&lt;&gt;"",WEEKNUM(A355,21),IF(C354&lt;&gt;"",C354,""))</f>
        <v>27</v>
      </c>
      <c r="D355" s="34"/>
      <c r="E355" s="34"/>
      <c r="F355" s="34"/>
      <c r="G355" s="34"/>
      <c r="H355" s="34"/>
      <c r="I355" s="35"/>
      <c r="J355" s="35"/>
      <c r="K355" s="36"/>
      <c r="L355" s="26" t="str">
        <f>IF(OR(F355 = "", G355 = ""), "", IF(F355 = "Vara", IFERROR(_xlfn.SINGLE(_xlfn.XLOOKUP(G355, Vöruskrá!A:A, Vöruskrá!E:E, "")), ""), IF(F355 = "Réttur", IFERROR(_xlfn.SINGLE(_xlfn.XLOOKUP(G355, Réttabanki!A:A, Réttabanki!AS:AS, "")), ""), "")))</f>
        <v/>
      </c>
      <c r="M355" s="26" t="str">
        <f>IF(OR(F355 = "", G355 = ""), "", IF(F355 = "Vara", IFERROR(_xlfn.SINGLE(_xlfn.XLOOKUP(G355, Vöruskrá!A:A, Vöruskrá!F:F, "")), ""), IF(F355 = "Réttur", IFERROR(_xlfn.SINGLE(_xlfn.XLOOKUP(G355, Réttabanki!A:A, Réttabanki!AT:AT, "")), ""), "")))</f>
        <v/>
      </c>
      <c r="N355" s="26" t="str">
        <f>IF(OR(F355 = "", G355 = ""), "", IF(F355 = "Vara", IFERROR(_xlfn.SINGLE(_xlfn.XLOOKUP(G355, Vöruskrá!A:A, Vöruskrá!G:G, "")), ""), IF(F355 = "Réttur", IFERROR(_xlfn.SINGLE(_xlfn.XLOOKUP(G355, Réttabanki!A:A, Réttabanki!AU:AU, "")), ""), "")))</f>
        <v/>
      </c>
      <c r="O355" s="26" t="str">
        <f>IF(OR(F355 = "", G355 = "", I355 = ""), "", IF(F355 = "Vara", IFERROR(_xlfn.SINGLE(_xlfn.XLOOKUP(G355, Vöruskrá!A:A, Vöruskrá!I:I, "")) * I355 / 100, ""), IF(F355 = "Réttur", IFERROR(_xlfn.SINGLE(_xlfn.XLOOKUP(G355, Réttabanki!A:A, Réttabanki!AV:AV, "")) * I355 / 100, ""), "")))</f>
        <v/>
      </c>
      <c r="P355" s="26" t="str">
        <f>IF(OR(F355 = "", G355 = "", I355 = ""), "", IF(F355 = "Vara", IFERROR(_xlfn.SINGLE(_xlfn.XLOOKUP(G355, Vöruskrá!A:A, Vöruskrá!J:J, "")) * I355 / 100, ""), IF(F355 = "Réttur", IFERROR(_xlfn.SINGLE(_xlfn.XLOOKUP(G355, Réttabanki!A:A, Réttabanki!AW:AW, "")) * I355 / 100, ""), "")))</f>
        <v/>
      </c>
      <c r="Q355" s="26" t="str">
        <f>IF(OR(F355 = "", G355 = "", I355 = ""), "", IF(F355 = "Vara", IFERROR(_xlfn.SINGLE(_xlfn.XLOOKUP(G355, Vöruskrá!A:A, Vöruskrá!N:N, "")) * I355 / 100, ""), IF(F355 = "Réttur", IFERROR(_xlfn.SINGLE(_xlfn.XLOOKUP(G355, Réttabanki!A:A, Réttabanki!BB:BB, "")) * I355 / 100, ""), "")))</f>
        <v/>
      </c>
    </row>
    <row r="356" spans="2:17">
      <c r="B356" s="33" t="str">
        <f>IF(A356&lt;&gt;"",CHOOSE(WEEKDAY(A356,2),"Mánudagur","Þriðjudagur","Miðvikudagur","Fimmtudagur","Föstudagur","Laugardagur","Sunnudagur"),IF(B355&lt;&gt;"",B355,""))</f>
        <v>Fimmtudagur</v>
      </c>
      <c r="C356" s="33">
        <f>IF(A356&lt;&gt;"",WEEKNUM(A356,21),IF(C355&lt;&gt;"",C355,""))</f>
        <v>27</v>
      </c>
      <c r="D356" s="34"/>
      <c r="E356" s="34"/>
      <c r="F356" s="34"/>
      <c r="G356" s="34"/>
      <c r="H356" s="34"/>
      <c r="I356" s="35"/>
      <c r="J356" s="35"/>
      <c r="K356" s="36"/>
      <c r="L356" s="26" t="str">
        <f>IF(OR(F356 = "", G356 = ""), "", IF(F356 = "Vara", IFERROR(_xlfn.SINGLE(_xlfn.XLOOKUP(G356, Vöruskrá!A:A, Vöruskrá!E:E, "")), ""), IF(F356 = "Réttur", IFERROR(_xlfn.SINGLE(_xlfn.XLOOKUP(G356, Réttabanki!A:A, Réttabanki!AS:AS, "")), ""), "")))</f>
        <v/>
      </c>
      <c r="M356" s="26" t="str">
        <f>IF(OR(F356 = "", G356 = ""), "", IF(F356 = "Vara", IFERROR(_xlfn.SINGLE(_xlfn.XLOOKUP(G356, Vöruskrá!A:A, Vöruskrá!F:F, "")), ""), IF(F356 = "Réttur", IFERROR(_xlfn.SINGLE(_xlfn.XLOOKUP(G356, Réttabanki!A:A, Réttabanki!AT:AT, "")), ""), "")))</f>
        <v/>
      </c>
      <c r="N356" s="26" t="str">
        <f>IF(OR(F356 = "", G356 = ""), "", IF(F356 = "Vara", IFERROR(_xlfn.SINGLE(_xlfn.XLOOKUP(G356, Vöruskrá!A:A, Vöruskrá!G:G, "")), ""), IF(F356 = "Réttur", IFERROR(_xlfn.SINGLE(_xlfn.XLOOKUP(G356, Réttabanki!A:A, Réttabanki!AU:AU, "")), ""), "")))</f>
        <v/>
      </c>
      <c r="O356" s="26" t="str">
        <f>IF(OR(F356 = "", G356 = "", I356 = ""), "", IF(F356 = "Vara", IFERROR(_xlfn.SINGLE(_xlfn.XLOOKUP(G356, Vöruskrá!A:A, Vöruskrá!I:I, "")) * I356 / 100, ""), IF(F356 = "Réttur", IFERROR(_xlfn.SINGLE(_xlfn.XLOOKUP(G356, Réttabanki!A:A, Réttabanki!AV:AV, "")) * I356 / 100, ""), "")))</f>
        <v/>
      </c>
      <c r="P356" s="26" t="str">
        <f>IF(OR(F356 = "", G356 = "", I356 = ""), "", IF(F356 = "Vara", IFERROR(_xlfn.SINGLE(_xlfn.XLOOKUP(G356, Vöruskrá!A:A, Vöruskrá!J:J, "")) * I356 / 100, ""), IF(F356 = "Réttur", IFERROR(_xlfn.SINGLE(_xlfn.XLOOKUP(G356, Réttabanki!A:A, Réttabanki!AW:AW, "")) * I356 / 100, ""), "")))</f>
        <v/>
      </c>
      <c r="Q356" s="26" t="str">
        <f>IF(OR(F356 = "", G356 = "", I356 = ""), "", IF(F356 = "Vara", IFERROR(_xlfn.SINGLE(_xlfn.XLOOKUP(G356, Vöruskrá!A:A, Vöruskrá!N:N, "")) * I356 / 100, ""), IF(F356 = "Réttur", IFERROR(_xlfn.SINGLE(_xlfn.XLOOKUP(G356, Réttabanki!A:A, Réttabanki!BB:BB, "")) * I356 / 100, ""), "")))</f>
        <v/>
      </c>
    </row>
    <row r="357" spans="2:17">
      <c r="B357" s="33" t="str">
        <f>IF(A357&lt;&gt;"",CHOOSE(WEEKDAY(A357,2),"Mánudagur","Þriðjudagur","Miðvikudagur","Fimmtudagur","Föstudagur","Laugardagur","Sunnudagur"),IF(B356&lt;&gt;"",B356,""))</f>
        <v>Fimmtudagur</v>
      </c>
      <c r="C357" s="33">
        <f>IF(A357&lt;&gt;"",WEEKNUM(A357,21),IF(C356&lt;&gt;"",C356,""))</f>
        <v>27</v>
      </c>
      <c r="D357" s="34"/>
      <c r="E357" s="34"/>
      <c r="F357" s="34"/>
      <c r="G357" s="34"/>
      <c r="H357" s="34"/>
      <c r="I357" s="35"/>
      <c r="J357" s="35"/>
      <c r="K357" s="36"/>
      <c r="L357" s="26" t="str">
        <f>IF(OR(F357 = "", G357 = ""), "", IF(F357 = "Vara", IFERROR(_xlfn.SINGLE(_xlfn.XLOOKUP(G357, Vöruskrá!A:A, Vöruskrá!E:E, "")), ""), IF(F357 = "Réttur", IFERROR(_xlfn.SINGLE(_xlfn.XLOOKUP(G357, Réttabanki!A:A, Réttabanki!AS:AS, "")), ""), "")))</f>
        <v/>
      </c>
      <c r="M357" s="26" t="str">
        <f>IF(OR(F357 = "", G357 = ""), "", IF(F357 = "Vara", IFERROR(_xlfn.SINGLE(_xlfn.XLOOKUP(G357, Vöruskrá!A:A, Vöruskrá!F:F, "")), ""), IF(F357 = "Réttur", IFERROR(_xlfn.SINGLE(_xlfn.XLOOKUP(G357, Réttabanki!A:A, Réttabanki!AT:AT, "")), ""), "")))</f>
        <v/>
      </c>
      <c r="N357" s="26" t="str">
        <f>IF(OR(F357 = "", G357 = ""), "", IF(F357 = "Vara", IFERROR(_xlfn.SINGLE(_xlfn.XLOOKUP(G357, Vöruskrá!A:A, Vöruskrá!G:G, "")), ""), IF(F357 = "Réttur", IFERROR(_xlfn.SINGLE(_xlfn.XLOOKUP(G357, Réttabanki!A:A, Réttabanki!AU:AU, "")), ""), "")))</f>
        <v/>
      </c>
      <c r="O357" s="26" t="str">
        <f>IF(OR(F357 = "", G357 = "", I357 = ""), "", IF(F357 = "Vara", IFERROR(_xlfn.SINGLE(_xlfn.XLOOKUP(G357, Vöruskrá!A:A, Vöruskrá!I:I, "")) * I357 / 100, ""), IF(F357 = "Réttur", IFERROR(_xlfn.SINGLE(_xlfn.XLOOKUP(G357, Réttabanki!A:A, Réttabanki!AV:AV, "")) * I357 / 100, ""), "")))</f>
        <v/>
      </c>
      <c r="P357" s="26" t="str">
        <f>IF(OR(F357 = "", G357 = "", I357 = ""), "", IF(F357 = "Vara", IFERROR(_xlfn.SINGLE(_xlfn.XLOOKUP(G357, Vöruskrá!A:A, Vöruskrá!J:J, "")) * I357 / 100, ""), IF(F357 = "Réttur", IFERROR(_xlfn.SINGLE(_xlfn.XLOOKUP(G357, Réttabanki!A:A, Réttabanki!AW:AW, "")) * I357 / 100, ""), "")))</f>
        <v/>
      </c>
      <c r="Q357" s="26" t="str">
        <f>IF(OR(F357 = "", G357 = "", I357 = ""), "", IF(F357 = "Vara", IFERROR(_xlfn.SINGLE(_xlfn.XLOOKUP(G357, Vöruskrá!A:A, Vöruskrá!N:N, "")) * I357 / 100, ""), IF(F357 = "Réttur", IFERROR(_xlfn.SINGLE(_xlfn.XLOOKUP(G357, Réttabanki!A:A, Réttabanki!BB:BB, "")) * I357 / 100, ""), "")))</f>
        <v/>
      </c>
    </row>
    <row r="358" spans="2:17">
      <c r="B358" s="33" t="str">
        <f>IF(A358&lt;&gt;"",CHOOSE(WEEKDAY(A358,2),"Mánudagur","Þriðjudagur","Miðvikudagur","Fimmtudagur","Föstudagur","Laugardagur","Sunnudagur"),IF(B357&lt;&gt;"",B357,""))</f>
        <v>Fimmtudagur</v>
      </c>
      <c r="C358" s="33">
        <f>IF(A358&lt;&gt;"",WEEKNUM(A358,21),IF(C357&lt;&gt;"",C357,""))</f>
        <v>27</v>
      </c>
      <c r="D358" s="34"/>
      <c r="E358" s="34"/>
      <c r="F358" s="34"/>
      <c r="G358" s="34"/>
      <c r="H358" s="34"/>
      <c r="I358" s="35"/>
      <c r="J358" s="35"/>
      <c r="K358" s="36"/>
      <c r="L358" s="26" t="str">
        <f>IF(OR(F358 = "", G358 = ""), "", IF(F358 = "Vara", IFERROR(_xlfn.SINGLE(_xlfn.XLOOKUP(G358, Vöruskrá!A:A, Vöruskrá!E:E, "")), ""), IF(F358 = "Réttur", IFERROR(_xlfn.SINGLE(_xlfn.XLOOKUP(G358, Réttabanki!A:A, Réttabanki!AS:AS, "")), ""), "")))</f>
        <v/>
      </c>
      <c r="M358" s="26" t="str">
        <f>IF(OR(F358 = "", G358 = ""), "", IF(F358 = "Vara", IFERROR(_xlfn.SINGLE(_xlfn.XLOOKUP(G358, Vöruskrá!A:A, Vöruskrá!F:F, "")), ""), IF(F358 = "Réttur", IFERROR(_xlfn.SINGLE(_xlfn.XLOOKUP(G358, Réttabanki!A:A, Réttabanki!AT:AT, "")), ""), "")))</f>
        <v/>
      </c>
      <c r="N358" s="26" t="str">
        <f>IF(OR(F358 = "", G358 = ""), "", IF(F358 = "Vara", IFERROR(_xlfn.SINGLE(_xlfn.XLOOKUP(G358, Vöruskrá!A:A, Vöruskrá!G:G, "")), ""), IF(F358 = "Réttur", IFERROR(_xlfn.SINGLE(_xlfn.XLOOKUP(G358, Réttabanki!A:A, Réttabanki!AU:AU, "")), ""), "")))</f>
        <v/>
      </c>
      <c r="O358" s="26" t="str">
        <f>IF(OR(F358 = "", G358 = "", I358 = ""), "", IF(F358 = "Vara", IFERROR(_xlfn.SINGLE(_xlfn.XLOOKUP(G358, Vöruskrá!A:A, Vöruskrá!I:I, "")) * I358 / 100, ""), IF(F358 = "Réttur", IFERROR(_xlfn.SINGLE(_xlfn.XLOOKUP(G358, Réttabanki!A:A, Réttabanki!AV:AV, "")) * I358 / 100, ""), "")))</f>
        <v/>
      </c>
      <c r="P358" s="26" t="str">
        <f>IF(OR(F358 = "", G358 = "", I358 = ""), "", IF(F358 = "Vara", IFERROR(_xlfn.SINGLE(_xlfn.XLOOKUP(G358, Vöruskrá!A:A, Vöruskrá!J:J, "")) * I358 / 100, ""), IF(F358 = "Réttur", IFERROR(_xlfn.SINGLE(_xlfn.XLOOKUP(G358, Réttabanki!A:A, Réttabanki!AW:AW, "")) * I358 / 100, ""), "")))</f>
        <v/>
      </c>
      <c r="Q358" s="26" t="str">
        <f>IF(OR(F358 = "", G358 = "", I358 = ""), "", IF(F358 = "Vara", IFERROR(_xlfn.SINGLE(_xlfn.XLOOKUP(G358, Vöruskrá!A:A, Vöruskrá!N:N, "")) * I358 / 100, ""), IF(F358 = "Réttur", IFERROR(_xlfn.SINGLE(_xlfn.XLOOKUP(G358, Réttabanki!A:A, Réttabanki!BB:BB, "")) * I358 / 100, ""), "")))</f>
        <v/>
      </c>
    </row>
    <row r="359" spans="2:17">
      <c r="B359" s="33" t="str">
        <f>IF(A359&lt;&gt;"",CHOOSE(WEEKDAY(A359,2),"Mánudagur","Þriðjudagur","Miðvikudagur","Fimmtudagur","Föstudagur","Laugardagur","Sunnudagur"),IF(B358&lt;&gt;"",B358,""))</f>
        <v>Fimmtudagur</v>
      </c>
      <c r="C359" s="33">
        <f>IF(A359&lt;&gt;"",WEEKNUM(A359,21),IF(C358&lt;&gt;"",C358,""))</f>
        <v>27</v>
      </c>
      <c r="D359" s="34"/>
      <c r="E359" s="34"/>
      <c r="F359" s="34"/>
      <c r="G359" s="34"/>
      <c r="H359" s="34"/>
      <c r="I359" s="35"/>
      <c r="J359" s="35"/>
      <c r="K359" s="36"/>
      <c r="L359" s="26" t="str">
        <f>IF(OR(F359 = "", G359 = ""), "", IF(F359 = "Vara", IFERROR(_xlfn.SINGLE(_xlfn.XLOOKUP(G359, Vöruskrá!A:A, Vöruskrá!E:E, "")), ""), IF(F359 = "Réttur", IFERROR(_xlfn.SINGLE(_xlfn.XLOOKUP(G359, Réttabanki!A:A, Réttabanki!AS:AS, "")), ""), "")))</f>
        <v/>
      </c>
      <c r="M359" s="26" t="str">
        <f>IF(OR(F359 = "", G359 = ""), "", IF(F359 = "Vara", IFERROR(_xlfn.SINGLE(_xlfn.XLOOKUP(G359, Vöruskrá!A:A, Vöruskrá!F:F, "")), ""), IF(F359 = "Réttur", IFERROR(_xlfn.SINGLE(_xlfn.XLOOKUP(G359, Réttabanki!A:A, Réttabanki!AT:AT, "")), ""), "")))</f>
        <v/>
      </c>
      <c r="N359" s="26" t="str">
        <f>IF(OR(F359 = "", G359 = ""), "", IF(F359 = "Vara", IFERROR(_xlfn.SINGLE(_xlfn.XLOOKUP(G359, Vöruskrá!A:A, Vöruskrá!G:G, "")), ""), IF(F359 = "Réttur", IFERROR(_xlfn.SINGLE(_xlfn.XLOOKUP(G359, Réttabanki!A:A, Réttabanki!AU:AU, "")), ""), "")))</f>
        <v/>
      </c>
      <c r="O359" s="26" t="str">
        <f>IF(OR(F359 = "", G359 = "", I359 = ""), "", IF(F359 = "Vara", IFERROR(_xlfn.SINGLE(_xlfn.XLOOKUP(G359, Vöruskrá!A:A, Vöruskrá!I:I, "")) * I359 / 100, ""), IF(F359 = "Réttur", IFERROR(_xlfn.SINGLE(_xlfn.XLOOKUP(G359, Réttabanki!A:A, Réttabanki!AV:AV, "")) * I359 / 100, ""), "")))</f>
        <v/>
      </c>
      <c r="P359" s="26" t="str">
        <f>IF(OR(F359 = "", G359 = "", I359 = ""), "", IF(F359 = "Vara", IFERROR(_xlfn.SINGLE(_xlfn.XLOOKUP(G359, Vöruskrá!A:A, Vöruskrá!J:J, "")) * I359 / 100, ""), IF(F359 = "Réttur", IFERROR(_xlfn.SINGLE(_xlfn.XLOOKUP(G359, Réttabanki!A:A, Réttabanki!AW:AW, "")) * I359 / 100, ""), "")))</f>
        <v/>
      </c>
      <c r="Q359" s="26" t="str">
        <f>IF(OR(F359 = "", G359 = "", I359 = ""), "", IF(F359 = "Vara", IFERROR(_xlfn.SINGLE(_xlfn.XLOOKUP(G359, Vöruskrá!A:A, Vöruskrá!N:N, "")) * I359 / 100, ""), IF(F359 = "Réttur", IFERROR(_xlfn.SINGLE(_xlfn.XLOOKUP(G359, Réttabanki!A:A, Réttabanki!BB:BB, "")) * I359 / 100, ""), "")))</f>
        <v/>
      </c>
    </row>
    <row r="360" spans="2:17">
      <c r="B360" s="33" t="str">
        <f>IF(A360&lt;&gt;"",CHOOSE(WEEKDAY(A360,2),"Mánudagur","Þriðjudagur","Miðvikudagur","Fimmtudagur","Föstudagur","Laugardagur","Sunnudagur"),IF(B359&lt;&gt;"",B359,""))</f>
        <v>Fimmtudagur</v>
      </c>
      <c r="C360" s="33">
        <f>IF(A360&lt;&gt;"",WEEKNUM(A360,21),IF(C359&lt;&gt;"",C359,""))</f>
        <v>27</v>
      </c>
      <c r="D360" s="34"/>
      <c r="E360" s="34"/>
      <c r="F360" s="34"/>
      <c r="G360" s="34"/>
      <c r="H360" s="34"/>
      <c r="I360" s="35"/>
      <c r="J360" s="35"/>
      <c r="K360" s="36"/>
      <c r="L360" s="26" t="str">
        <f>IF(OR(F360 = "", G360 = ""), "", IF(F360 = "Vara", IFERROR(_xlfn.SINGLE(_xlfn.XLOOKUP(G360, Vöruskrá!A:A, Vöruskrá!E:E, "")), ""), IF(F360 = "Réttur", IFERROR(_xlfn.SINGLE(_xlfn.XLOOKUP(G360, Réttabanki!A:A, Réttabanki!AS:AS, "")), ""), "")))</f>
        <v/>
      </c>
      <c r="M360" s="26" t="str">
        <f>IF(OR(F360 = "", G360 = ""), "", IF(F360 = "Vara", IFERROR(_xlfn.SINGLE(_xlfn.XLOOKUP(G360, Vöruskrá!A:A, Vöruskrá!F:F, "")), ""), IF(F360 = "Réttur", IFERROR(_xlfn.SINGLE(_xlfn.XLOOKUP(G360, Réttabanki!A:A, Réttabanki!AT:AT, "")), ""), "")))</f>
        <v/>
      </c>
      <c r="N360" s="26" t="str">
        <f>IF(OR(F360 = "", G360 = ""), "", IF(F360 = "Vara", IFERROR(_xlfn.SINGLE(_xlfn.XLOOKUP(G360, Vöruskrá!A:A, Vöruskrá!G:G, "")), ""), IF(F360 = "Réttur", IFERROR(_xlfn.SINGLE(_xlfn.XLOOKUP(G360, Réttabanki!A:A, Réttabanki!AU:AU, "")), ""), "")))</f>
        <v/>
      </c>
      <c r="O360" s="26" t="str">
        <f>IF(OR(F360 = "", G360 = "", I360 = ""), "", IF(F360 = "Vara", IFERROR(_xlfn.SINGLE(_xlfn.XLOOKUP(G360, Vöruskrá!A:A, Vöruskrá!I:I, "")) * I360 / 100, ""), IF(F360 = "Réttur", IFERROR(_xlfn.SINGLE(_xlfn.XLOOKUP(G360, Réttabanki!A:A, Réttabanki!AV:AV, "")) * I360 / 100, ""), "")))</f>
        <v/>
      </c>
      <c r="P360" s="26" t="str">
        <f>IF(OR(F360 = "", G360 = "", I360 = ""), "", IF(F360 = "Vara", IFERROR(_xlfn.SINGLE(_xlfn.XLOOKUP(G360, Vöruskrá!A:A, Vöruskrá!J:J, "")) * I360 / 100, ""), IF(F360 = "Réttur", IFERROR(_xlfn.SINGLE(_xlfn.XLOOKUP(G360, Réttabanki!A:A, Réttabanki!AW:AW, "")) * I360 / 100, ""), "")))</f>
        <v/>
      </c>
      <c r="Q360" s="26" t="str">
        <f>IF(OR(F360 = "", G360 = "", I360 = ""), "", IF(F360 = "Vara", IFERROR(_xlfn.SINGLE(_xlfn.XLOOKUP(G360, Vöruskrá!A:A, Vöruskrá!N:N, "")) * I360 / 100, ""), IF(F360 = "Réttur", IFERROR(_xlfn.SINGLE(_xlfn.XLOOKUP(G360, Réttabanki!A:A, Réttabanki!BB:BB, "")) * I360 / 100, ""), "")))</f>
        <v/>
      </c>
    </row>
    <row r="361" spans="2:17">
      <c r="B361" s="33" t="str">
        <f>IF(A361&lt;&gt;"",CHOOSE(WEEKDAY(A361,2),"Mánudagur","Þriðjudagur","Miðvikudagur","Fimmtudagur","Föstudagur","Laugardagur","Sunnudagur"),IF(B360&lt;&gt;"",B360,""))</f>
        <v>Fimmtudagur</v>
      </c>
      <c r="C361" s="33">
        <f>IF(A361&lt;&gt;"",WEEKNUM(A361,21),IF(C360&lt;&gt;"",C360,""))</f>
        <v>27</v>
      </c>
      <c r="D361" s="34"/>
      <c r="E361" s="34"/>
      <c r="F361" s="34"/>
      <c r="G361" s="34"/>
      <c r="H361" s="34"/>
      <c r="I361" s="35"/>
      <c r="J361" s="35"/>
      <c r="K361" s="36"/>
      <c r="L361" s="26" t="str">
        <f>IF(OR(F361 = "", G361 = ""), "", IF(F361 = "Vara", IFERROR(_xlfn.SINGLE(_xlfn.XLOOKUP(G361, Vöruskrá!A:A, Vöruskrá!E:E, "")), ""), IF(F361 = "Réttur", IFERROR(_xlfn.SINGLE(_xlfn.XLOOKUP(G361, Réttabanki!A:A, Réttabanki!AS:AS, "")), ""), "")))</f>
        <v/>
      </c>
      <c r="M361" s="26" t="str">
        <f>IF(OR(F361 = "", G361 = ""), "", IF(F361 = "Vara", IFERROR(_xlfn.SINGLE(_xlfn.XLOOKUP(G361, Vöruskrá!A:A, Vöruskrá!F:F, "")), ""), IF(F361 = "Réttur", IFERROR(_xlfn.SINGLE(_xlfn.XLOOKUP(G361, Réttabanki!A:A, Réttabanki!AT:AT, "")), ""), "")))</f>
        <v/>
      </c>
      <c r="N361" s="26" t="str">
        <f>IF(OR(F361 = "", G361 = ""), "", IF(F361 = "Vara", IFERROR(_xlfn.SINGLE(_xlfn.XLOOKUP(G361, Vöruskrá!A:A, Vöruskrá!G:G, "")), ""), IF(F361 = "Réttur", IFERROR(_xlfn.SINGLE(_xlfn.XLOOKUP(G361, Réttabanki!A:A, Réttabanki!AU:AU, "")), ""), "")))</f>
        <v/>
      </c>
      <c r="O361" s="26" t="str">
        <f>IF(OR(F361 = "", G361 = "", I361 = ""), "", IF(F361 = "Vara", IFERROR(_xlfn.SINGLE(_xlfn.XLOOKUP(G361, Vöruskrá!A:A, Vöruskrá!I:I, "")) * I361 / 100, ""), IF(F361 = "Réttur", IFERROR(_xlfn.SINGLE(_xlfn.XLOOKUP(G361, Réttabanki!A:A, Réttabanki!AV:AV, "")) * I361 / 100, ""), "")))</f>
        <v/>
      </c>
      <c r="P361" s="26" t="str">
        <f>IF(OR(F361 = "", G361 = "", I361 = ""), "", IF(F361 = "Vara", IFERROR(_xlfn.SINGLE(_xlfn.XLOOKUP(G361, Vöruskrá!A:A, Vöruskrá!J:J, "")) * I361 / 100, ""), IF(F361 = "Réttur", IFERROR(_xlfn.SINGLE(_xlfn.XLOOKUP(G361, Réttabanki!A:A, Réttabanki!AW:AW, "")) * I361 / 100, ""), "")))</f>
        <v/>
      </c>
      <c r="Q361" s="26" t="str">
        <f>IF(OR(F361 = "", G361 = "", I361 = ""), "", IF(F361 = "Vara", IFERROR(_xlfn.SINGLE(_xlfn.XLOOKUP(G361, Vöruskrá!A:A, Vöruskrá!N:N, "")) * I361 / 100, ""), IF(F361 = "Réttur", IFERROR(_xlfn.SINGLE(_xlfn.XLOOKUP(G361, Réttabanki!A:A, Réttabanki!BB:BB, "")) * I361 / 100, ""), "")))</f>
        <v/>
      </c>
    </row>
    <row r="362" spans="2:17">
      <c r="B362" s="33" t="str">
        <f>IF(A362&lt;&gt;"",CHOOSE(WEEKDAY(A362,2),"Mánudagur","Þriðjudagur","Miðvikudagur","Fimmtudagur","Föstudagur","Laugardagur","Sunnudagur"),IF(B361&lt;&gt;"",B361,""))</f>
        <v>Fimmtudagur</v>
      </c>
      <c r="C362" s="33">
        <f>IF(A362&lt;&gt;"",WEEKNUM(A362,21),IF(C361&lt;&gt;"",C361,""))</f>
        <v>27</v>
      </c>
      <c r="D362" s="34"/>
      <c r="E362" s="34"/>
      <c r="F362" s="34"/>
      <c r="G362" s="34"/>
      <c r="H362" s="34"/>
      <c r="I362" s="35"/>
      <c r="J362" s="35"/>
      <c r="K362" s="36"/>
      <c r="L362" s="26" t="str">
        <f>IF(OR(F362 = "", G362 = ""), "", IF(F362 = "Vara", IFERROR(_xlfn.SINGLE(_xlfn.XLOOKUP(G362, Vöruskrá!A:A, Vöruskrá!E:E, "")), ""), IF(F362 = "Réttur", IFERROR(_xlfn.SINGLE(_xlfn.XLOOKUP(G362, Réttabanki!A:A, Réttabanki!AS:AS, "")), ""), "")))</f>
        <v/>
      </c>
      <c r="M362" s="26" t="str">
        <f>IF(OR(F362 = "", G362 = ""), "", IF(F362 = "Vara", IFERROR(_xlfn.SINGLE(_xlfn.XLOOKUP(G362, Vöruskrá!A:A, Vöruskrá!F:F, "")), ""), IF(F362 = "Réttur", IFERROR(_xlfn.SINGLE(_xlfn.XLOOKUP(G362, Réttabanki!A:A, Réttabanki!AT:AT, "")), ""), "")))</f>
        <v/>
      </c>
      <c r="N362" s="26" t="str">
        <f>IF(OR(F362 = "", G362 = ""), "", IF(F362 = "Vara", IFERROR(_xlfn.SINGLE(_xlfn.XLOOKUP(G362, Vöruskrá!A:A, Vöruskrá!G:G, "")), ""), IF(F362 = "Réttur", IFERROR(_xlfn.SINGLE(_xlfn.XLOOKUP(G362, Réttabanki!A:A, Réttabanki!AU:AU, "")), ""), "")))</f>
        <v/>
      </c>
      <c r="O362" s="26" t="str">
        <f>IF(OR(F362 = "", G362 = "", I362 = ""), "", IF(F362 = "Vara", IFERROR(_xlfn.SINGLE(_xlfn.XLOOKUP(G362, Vöruskrá!A:A, Vöruskrá!I:I, "")) * I362 / 100, ""), IF(F362 = "Réttur", IFERROR(_xlfn.SINGLE(_xlfn.XLOOKUP(G362, Réttabanki!A:A, Réttabanki!AV:AV, "")) * I362 / 100, ""), "")))</f>
        <v/>
      </c>
      <c r="P362" s="26" t="str">
        <f>IF(OR(F362 = "", G362 = "", I362 = ""), "", IF(F362 = "Vara", IFERROR(_xlfn.SINGLE(_xlfn.XLOOKUP(G362, Vöruskrá!A:A, Vöruskrá!J:J, "")) * I362 / 100, ""), IF(F362 = "Réttur", IFERROR(_xlfn.SINGLE(_xlfn.XLOOKUP(G362, Réttabanki!A:A, Réttabanki!AW:AW, "")) * I362 / 100, ""), "")))</f>
        <v/>
      </c>
      <c r="Q362" s="26" t="str">
        <f>IF(OR(F362 = "", G362 = "", I362 = ""), "", IF(F362 = "Vara", IFERROR(_xlfn.SINGLE(_xlfn.XLOOKUP(G362, Vöruskrá!A:A, Vöruskrá!N:N, "")) * I362 / 100, ""), IF(F362 = "Réttur", IFERROR(_xlfn.SINGLE(_xlfn.XLOOKUP(G362, Réttabanki!A:A, Réttabanki!BB:BB, "")) * I362 / 100, ""), "")))</f>
        <v/>
      </c>
    </row>
    <row r="363" spans="2:17">
      <c r="B363" s="33" t="str">
        <f>IF(A363&lt;&gt;"",CHOOSE(WEEKDAY(A363,2),"Mánudagur","Þriðjudagur","Miðvikudagur","Fimmtudagur","Föstudagur","Laugardagur","Sunnudagur"),IF(B362&lt;&gt;"",B362,""))</f>
        <v>Fimmtudagur</v>
      </c>
      <c r="C363" s="33">
        <f>IF(A363&lt;&gt;"",WEEKNUM(A363,21),IF(C362&lt;&gt;"",C362,""))</f>
        <v>27</v>
      </c>
      <c r="D363" s="34"/>
      <c r="E363" s="34"/>
      <c r="F363" s="34"/>
      <c r="G363" s="34"/>
      <c r="H363" s="34"/>
      <c r="I363" s="35"/>
      <c r="J363" s="35"/>
      <c r="K363" s="36"/>
      <c r="L363" s="26" t="str">
        <f>IF(OR(F363 = "", G363 = ""), "", IF(F363 = "Vara", IFERROR(_xlfn.SINGLE(_xlfn.XLOOKUP(G363, Vöruskrá!A:A, Vöruskrá!E:E, "")), ""), IF(F363 = "Réttur", IFERROR(_xlfn.SINGLE(_xlfn.XLOOKUP(G363, Réttabanki!A:A, Réttabanki!AS:AS, "")), ""), "")))</f>
        <v/>
      </c>
      <c r="M363" s="26" t="str">
        <f>IF(OR(F363 = "", G363 = ""), "", IF(F363 = "Vara", IFERROR(_xlfn.SINGLE(_xlfn.XLOOKUP(G363, Vöruskrá!A:A, Vöruskrá!F:F, "")), ""), IF(F363 = "Réttur", IFERROR(_xlfn.SINGLE(_xlfn.XLOOKUP(G363, Réttabanki!A:A, Réttabanki!AT:AT, "")), ""), "")))</f>
        <v/>
      </c>
      <c r="N363" s="26" t="str">
        <f>IF(OR(F363 = "", G363 = ""), "", IF(F363 = "Vara", IFERROR(_xlfn.SINGLE(_xlfn.XLOOKUP(G363, Vöruskrá!A:A, Vöruskrá!G:G, "")), ""), IF(F363 = "Réttur", IFERROR(_xlfn.SINGLE(_xlfn.XLOOKUP(G363, Réttabanki!A:A, Réttabanki!AU:AU, "")), ""), "")))</f>
        <v/>
      </c>
      <c r="O363" s="26" t="str">
        <f>IF(OR(F363 = "", G363 = "", I363 = ""), "", IF(F363 = "Vara", IFERROR(_xlfn.SINGLE(_xlfn.XLOOKUP(G363, Vöruskrá!A:A, Vöruskrá!I:I, "")) * I363 / 100, ""), IF(F363 = "Réttur", IFERROR(_xlfn.SINGLE(_xlfn.XLOOKUP(G363, Réttabanki!A:A, Réttabanki!AV:AV, "")) * I363 / 100, ""), "")))</f>
        <v/>
      </c>
      <c r="P363" s="26" t="str">
        <f>IF(OR(F363 = "", G363 = "", I363 = ""), "", IF(F363 = "Vara", IFERROR(_xlfn.SINGLE(_xlfn.XLOOKUP(G363, Vöruskrá!A:A, Vöruskrá!J:J, "")) * I363 / 100, ""), IF(F363 = "Réttur", IFERROR(_xlfn.SINGLE(_xlfn.XLOOKUP(G363, Réttabanki!A:A, Réttabanki!AW:AW, "")) * I363 / 100, ""), "")))</f>
        <v/>
      </c>
      <c r="Q363" s="26" t="str">
        <f>IF(OR(F363 = "", G363 = "", I363 = ""), "", IF(F363 = "Vara", IFERROR(_xlfn.SINGLE(_xlfn.XLOOKUP(G363, Vöruskrá!A:A, Vöruskrá!N:N, "")) * I363 / 100, ""), IF(F363 = "Réttur", IFERROR(_xlfn.SINGLE(_xlfn.XLOOKUP(G363, Réttabanki!A:A, Réttabanki!BB:BB, "")) * I363 / 100, ""), "")))</f>
        <v/>
      </c>
    </row>
    <row r="364" spans="2:17">
      <c r="B364" s="33" t="str">
        <f>IF(A364&lt;&gt;"",CHOOSE(WEEKDAY(A364,2),"Mánudagur","Þriðjudagur","Miðvikudagur","Fimmtudagur","Föstudagur","Laugardagur","Sunnudagur"),IF(B363&lt;&gt;"",B363,""))</f>
        <v>Fimmtudagur</v>
      </c>
      <c r="C364" s="33">
        <f>IF(A364&lt;&gt;"",WEEKNUM(A364,21),IF(C363&lt;&gt;"",C363,""))</f>
        <v>27</v>
      </c>
      <c r="D364" s="34"/>
      <c r="E364" s="34"/>
      <c r="F364" s="34"/>
      <c r="G364" s="34"/>
      <c r="H364" s="34"/>
      <c r="I364" s="35"/>
      <c r="J364" s="35"/>
      <c r="K364" s="36"/>
      <c r="L364" s="26" t="str">
        <f>IF(OR(F364 = "", G364 = ""), "", IF(F364 = "Vara", IFERROR(_xlfn.SINGLE(_xlfn.XLOOKUP(G364, Vöruskrá!A:A, Vöruskrá!E:E, "")), ""), IF(F364 = "Réttur", IFERROR(_xlfn.SINGLE(_xlfn.XLOOKUP(G364, Réttabanki!A:A, Réttabanki!AS:AS, "")), ""), "")))</f>
        <v/>
      </c>
      <c r="M364" s="26" t="str">
        <f>IF(OR(F364 = "", G364 = ""), "", IF(F364 = "Vara", IFERROR(_xlfn.SINGLE(_xlfn.XLOOKUP(G364, Vöruskrá!A:A, Vöruskrá!F:F, "")), ""), IF(F364 = "Réttur", IFERROR(_xlfn.SINGLE(_xlfn.XLOOKUP(G364, Réttabanki!A:A, Réttabanki!AT:AT, "")), ""), "")))</f>
        <v/>
      </c>
      <c r="N364" s="26" t="str">
        <f>IF(OR(F364 = "", G364 = ""), "", IF(F364 = "Vara", IFERROR(_xlfn.SINGLE(_xlfn.XLOOKUP(G364, Vöruskrá!A:A, Vöruskrá!G:G, "")), ""), IF(F364 = "Réttur", IFERROR(_xlfn.SINGLE(_xlfn.XLOOKUP(G364, Réttabanki!A:A, Réttabanki!AU:AU, "")), ""), "")))</f>
        <v/>
      </c>
      <c r="O364" s="26" t="str">
        <f>IF(OR(F364 = "", G364 = "", I364 = ""), "", IF(F364 = "Vara", IFERROR(_xlfn.SINGLE(_xlfn.XLOOKUP(G364, Vöruskrá!A:A, Vöruskrá!I:I, "")) * I364 / 100, ""), IF(F364 = "Réttur", IFERROR(_xlfn.SINGLE(_xlfn.XLOOKUP(G364, Réttabanki!A:A, Réttabanki!AV:AV, "")) * I364 / 100, ""), "")))</f>
        <v/>
      </c>
      <c r="P364" s="26" t="str">
        <f>IF(OR(F364 = "", G364 = "", I364 = ""), "", IF(F364 = "Vara", IFERROR(_xlfn.SINGLE(_xlfn.XLOOKUP(G364, Vöruskrá!A:A, Vöruskrá!J:J, "")) * I364 / 100, ""), IF(F364 = "Réttur", IFERROR(_xlfn.SINGLE(_xlfn.XLOOKUP(G364, Réttabanki!A:A, Réttabanki!AW:AW, "")) * I364 / 100, ""), "")))</f>
        <v/>
      </c>
      <c r="Q364" s="26" t="str">
        <f>IF(OR(F364 = "", G364 = "", I364 = ""), "", IF(F364 = "Vara", IFERROR(_xlfn.SINGLE(_xlfn.XLOOKUP(G364, Vöruskrá!A:A, Vöruskrá!N:N, "")) * I364 / 100, ""), IF(F364 = "Réttur", IFERROR(_xlfn.SINGLE(_xlfn.XLOOKUP(G364, Réttabanki!A:A, Réttabanki!BB:BB, "")) * I364 / 100, ""), "")))</f>
        <v/>
      </c>
    </row>
    <row r="365" spans="2:17">
      <c r="B365" s="33" t="str">
        <f>IF(A365&lt;&gt;"",CHOOSE(WEEKDAY(A365,2),"Mánudagur","Þriðjudagur","Miðvikudagur","Fimmtudagur","Föstudagur","Laugardagur","Sunnudagur"),IF(B364&lt;&gt;"",B364,""))</f>
        <v>Fimmtudagur</v>
      </c>
      <c r="C365" s="33">
        <f>IF(A365&lt;&gt;"",WEEKNUM(A365,21),IF(C364&lt;&gt;"",C364,""))</f>
        <v>27</v>
      </c>
      <c r="D365" s="34"/>
      <c r="E365" s="34"/>
      <c r="F365" s="34"/>
      <c r="G365" s="34"/>
      <c r="H365" s="34"/>
      <c r="I365" s="35"/>
      <c r="J365" s="35"/>
      <c r="K365" s="36"/>
      <c r="L365" s="26" t="str">
        <f>IF(OR(F365 = "", G365 = ""), "", IF(F365 = "Vara", IFERROR(_xlfn.SINGLE(_xlfn.XLOOKUP(G365, Vöruskrá!A:A, Vöruskrá!E:E, "")), ""), IF(F365 = "Réttur", IFERROR(_xlfn.SINGLE(_xlfn.XLOOKUP(G365, Réttabanki!A:A, Réttabanki!AS:AS, "")), ""), "")))</f>
        <v/>
      </c>
      <c r="M365" s="26" t="str">
        <f>IF(OR(F365 = "", G365 = ""), "", IF(F365 = "Vara", IFERROR(_xlfn.SINGLE(_xlfn.XLOOKUP(G365, Vöruskrá!A:A, Vöruskrá!F:F, "")), ""), IF(F365 = "Réttur", IFERROR(_xlfn.SINGLE(_xlfn.XLOOKUP(G365, Réttabanki!A:A, Réttabanki!AT:AT, "")), ""), "")))</f>
        <v/>
      </c>
      <c r="N365" s="26" t="str">
        <f>IF(OR(F365 = "", G365 = ""), "", IF(F365 = "Vara", IFERROR(_xlfn.SINGLE(_xlfn.XLOOKUP(G365, Vöruskrá!A:A, Vöruskrá!G:G, "")), ""), IF(F365 = "Réttur", IFERROR(_xlfn.SINGLE(_xlfn.XLOOKUP(G365, Réttabanki!A:A, Réttabanki!AU:AU, "")), ""), "")))</f>
        <v/>
      </c>
      <c r="O365" s="26" t="str">
        <f>IF(OR(F365 = "", G365 = "", I365 = ""), "", IF(F365 = "Vara", IFERROR(_xlfn.SINGLE(_xlfn.XLOOKUP(G365, Vöruskrá!A:A, Vöruskrá!I:I, "")) * I365 / 100, ""), IF(F365 = "Réttur", IFERROR(_xlfn.SINGLE(_xlfn.XLOOKUP(G365, Réttabanki!A:A, Réttabanki!AV:AV, "")) * I365 / 100, ""), "")))</f>
        <v/>
      </c>
      <c r="P365" s="26" t="str">
        <f>IF(OR(F365 = "", G365 = "", I365 = ""), "", IF(F365 = "Vara", IFERROR(_xlfn.SINGLE(_xlfn.XLOOKUP(G365, Vöruskrá!A:A, Vöruskrá!J:J, "")) * I365 / 100, ""), IF(F365 = "Réttur", IFERROR(_xlfn.SINGLE(_xlfn.XLOOKUP(G365, Réttabanki!A:A, Réttabanki!AW:AW, "")) * I365 / 100, ""), "")))</f>
        <v/>
      </c>
      <c r="Q365" s="26" t="str">
        <f>IF(OR(F365 = "", G365 = "", I365 = ""), "", IF(F365 = "Vara", IFERROR(_xlfn.SINGLE(_xlfn.XLOOKUP(G365, Vöruskrá!A:A, Vöruskrá!N:N, "")) * I365 / 100, ""), IF(F365 = "Réttur", IFERROR(_xlfn.SINGLE(_xlfn.XLOOKUP(G365, Réttabanki!A:A, Réttabanki!BB:BB, "")) * I365 / 100, ""), "")))</f>
        <v/>
      </c>
    </row>
    <row r="366" spans="2:17">
      <c r="B366" s="33" t="str">
        <f>IF(A366&lt;&gt;"",CHOOSE(WEEKDAY(A366,2),"Mánudagur","Þriðjudagur","Miðvikudagur","Fimmtudagur","Föstudagur","Laugardagur","Sunnudagur"),IF(B365&lt;&gt;"",B365,""))</f>
        <v>Fimmtudagur</v>
      </c>
      <c r="C366" s="33">
        <f>IF(A366&lt;&gt;"",WEEKNUM(A366,21),IF(C365&lt;&gt;"",C365,""))</f>
        <v>27</v>
      </c>
      <c r="D366" s="34"/>
      <c r="E366" s="34"/>
      <c r="F366" s="34"/>
      <c r="G366" s="34"/>
      <c r="H366" s="34"/>
      <c r="I366" s="35"/>
      <c r="J366" s="35"/>
      <c r="K366" s="36"/>
      <c r="L366" s="26" t="str">
        <f>IF(OR(F366 = "", G366 = ""), "", IF(F366 = "Vara", IFERROR(_xlfn.SINGLE(_xlfn.XLOOKUP(G366, Vöruskrá!A:A, Vöruskrá!E:E, "")), ""), IF(F366 = "Réttur", IFERROR(_xlfn.SINGLE(_xlfn.XLOOKUP(G366, Réttabanki!A:A, Réttabanki!AS:AS, "")), ""), "")))</f>
        <v/>
      </c>
      <c r="M366" s="26" t="str">
        <f>IF(OR(F366 = "", G366 = ""), "", IF(F366 = "Vara", IFERROR(_xlfn.SINGLE(_xlfn.XLOOKUP(G366, Vöruskrá!A:A, Vöruskrá!F:F, "")), ""), IF(F366 = "Réttur", IFERROR(_xlfn.SINGLE(_xlfn.XLOOKUP(G366, Réttabanki!A:A, Réttabanki!AT:AT, "")), ""), "")))</f>
        <v/>
      </c>
      <c r="N366" s="26" t="str">
        <f>IF(OR(F366 = "", G366 = ""), "", IF(F366 = "Vara", IFERROR(_xlfn.SINGLE(_xlfn.XLOOKUP(G366, Vöruskrá!A:A, Vöruskrá!G:G, "")), ""), IF(F366 = "Réttur", IFERROR(_xlfn.SINGLE(_xlfn.XLOOKUP(G366, Réttabanki!A:A, Réttabanki!AU:AU, "")), ""), "")))</f>
        <v/>
      </c>
      <c r="O366" s="26" t="str">
        <f>IF(OR(F366 = "", G366 = "", I366 = ""), "", IF(F366 = "Vara", IFERROR(_xlfn.SINGLE(_xlfn.XLOOKUP(G366, Vöruskrá!A:A, Vöruskrá!I:I, "")) * I366 / 100, ""), IF(F366 = "Réttur", IFERROR(_xlfn.SINGLE(_xlfn.XLOOKUP(G366, Réttabanki!A:A, Réttabanki!AV:AV, "")) * I366 / 100, ""), "")))</f>
        <v/>
      </c>
      <c r="P366" s="26" t="str">
        <f>IF(OR(F366 = "", G366 = "", I366 = ""), "", IF(F366 = "Vara", IFERROR(_xlfn.SINGLE(_xlfn.XLOOKUP(G366, Vöruskrá!A:A, Vöruskrá!J:J, "")) * I366 / 100, ""), IF(F366 = "Réttur", IFERROR(_xlfn.SINGLE(_xlfn.XLOOKUP(G366, Réttabanki!A:A, Réttabanki!AW:AW, "")) * I366 / 100, ""), "")))</f>
        <v/>
      </c>
      <c r="Q366" s="26" t="str">
        <f>IF(OR(F366 = "", G366 = "", I366 = ""), "", IF(F366 = "Vara", IFERROR(_xlfn.SINGLE(_xlfn.XLOOKUP(G366, Vöruskrá!A:A, Vöruskrá!N:N, "")) * I366 / 100, ""), IF(F366 = "Réttur", IFERROR(_xlfn.SINGLE(_xlfn.XLOOKUP(G366, Réttabanki!A:A, Réttabanki!BB:BB, "")) * I366 / 100, ""), "")))</f>
        <v/>
      </c>
    </row>
    <row r="367" spans="2:17">
      <c r="B367" s="33" t="str">
        <f>IF(A367&lt;&gt;"",CHOOSE(WEEKDAY(A367,2),"Mánudagur","Þriðjudagur","Miðvikudagur","Fimmtudagur","Föstudagur","Laugardagur","Sunnudagur"),IF(B366&lt;&gt;"",B366,""))</f>
        <v>Fimmtudagur</v>
      </c>
      <c r="C367" s="33">
        <f>IF(A367&lt;&gt;"",WEEKNUM(A367,21),IF(C366&lt;&gt;"",C366,""))</f>
        <v>27</v>
      </c>
      <c r="D367" s="34"/>
      <c r="E367" s="34"/>
      <c r="F367" s="34"/>
      <c r="G367" s="34"/>
      <c r="H367" s="34"/>
      <c r="I367" s="35"/>
      <c r="J367" s="35"/>
      <c r="K367" s="36"/>
      <c r="L367" s="26" t="str">
        <f>IF(OR(F367 = "", G367 = ""), "", IF(F367 = "Vara", IFERROR(_xlfn.SINGLE(_xlfn.XLOOKUP(G367, Vöruskrá!A:A, Vöruskrá!E:E, "")), ""), IF(F367 = "Réttur", IFERROR(_xlfn.SINGLE(_xlfn.XLOOKUP(G367, Réttabanki!A:A, Réttabanki!AS:AS, "")), ""), "")))</f>
        <v/>
      </c>
      <c r="M367" s="26" t="str">
        <f>IF(OR(F367 = "", G367 = ""), "", IF(F367 = "Vara", IFERROR(_xlfn.SINGLE(_xlfn.XLOOKUP(G367, Vöruskrá!A:A, Vöruskrá!F:F, "")), ""), IF(F367 = "Réttur", IFERROR(_xlfn.SINGLE(_xlfn.XLOOKUP(G367, Réttabanki!A:A, Réttabanki!AT:AT, "")), ""), "")))</f>
        <v/>
      </c>
      <c r="N367" s="26" t="str">
        <f>IF(OR(F367 = "", G367 = ""), "", IF(F367 = "Vara", IFERROR(_xlfn.SINGLE(_xlfn.XLOOKUP(G367, Vöruskrá!A:A, Vöruskrá!G:G, "")), ""), IF(F367 = "Réttur", IFERROR(_xlfn.SINGLE(_xlfn.XLOOKUP(G367, Réttabanki!A:A, Réttabanki!AU:AU, "")), ""), "")))</f>
        <v/>
      </c>
      <c r="O367" s="26" t="str">
        <f>IF(OR(F367 = "", G367 = "", I367 = ""), "", IF(F367 = "Vara", IFERROR(_xlfn.SINGLE(_xlfn.XLOOKUP(G367, Vöruskrá!A:A, Vöruskrá!I:I, "")) * I367 / 100, ""), IF(F367 = "Réttur", IFERROR(_xlfn.SINGLE(_xlfn.XLOOKUP(G367, Réttabanki!A:A, Réttabanki!AV:AV, "")) * I367 / 100, ""), "")))</f>
        <v/>
      </c>
      <c r="P367" s="26" t="str">
        <f>IF(OR(F367 = "", G367 = "", I367 = ""), "", IF(F367 = "Vara", IFERROR(_xlfn.SINGLE(_xlfn.XLOOKUP(G367, Vöruskrá!A:A, Vöruskrá!J:J, "")) * I367 / 100, ""), IF(F367 = "Réttur", IFERROR(_xlfn.SINGLE(_xlfn.XLOOKUP(G367, Réttabanki!A:A, Réttabanki!AW:AW, "")) * I367 / 100, ""), "")))</f>
        <v/>
      </c>
      <c r="Q367" s="26" t="str">
        <f>IF(OR(F367 = "", G367 = "", I367 = ""), "", IF(F367 = "Vara", IFERROR(_xlfn.SINGLE(_xlfn.XLOOKUP(G367, Vöruskrá!A:A, Vöruskrá!N:N, "")) * I367 / 100, ""), IF(F367 = "Réttur", IFERROR(_xlfn.SINGLE(_xlfn.XLOOKUP(G367, Réttabanki!A:A, Réttabanki!BB:BB, "")) * I367 / 100, ""), "")))</f>
        <v/>
      </c>
    </row>
    <row r="368" spans="2:17">
      <c r="B368" s="33" t="str">
        <f>IF(A368&lt;&gt;"",CHOOSE(WEEKDAY(A368,2),"Mánudagur","Þriðjudagur","Miðvikudagur","Fimmtudagur","Föstudagur","Laugardagur","Sunnudagur"),IF(B367&lt;&gt;"",B367,""))</f>
        <v>Fimmtudagur</v>
      </c>
      <c r="C368" s="33">
        <f>IF(A368&lt;&gt;"",WEEKNUM(A368,21),IF(C367&lt;&gt;"",C367,""))</f>
        <v>27</v>
      </c>
      <c r="D368" s="34"/>
      <c r="E368" s="34"/>
      <c r="F368" s="34"/>
      <c r="G368" s="34"/>
      <c r="H368" s="34"/>
      <c r="I368" s="35"/>
      <c r="J368" s="35"/>
      <c r="K368" s="36"/>
      <c r="L368" s="26" t="str">
        <f>IF(OR(F368 = "", G368 = ""), "", IF(F368 = "Vara", IFERROR(_xlfn.SINGLE(_xlfn.XLOOKUP(G368, Vöruskrá!A:A, Vöruskrá!E:E, "")), ""), IF(F368 = "Réttur", IFERROR(_xlfn.SINGLE(_xlfn.XLOOKUP(G368, Réttabanki!A:A, Réttabanki!AS:AS, "")), ""), "")))</f>
        <v/>
      </c>
      <c r="M368" s="26" t="str">
        <f>IF(OR(F368 = "", G368 = ""), "", IF(F368 = "Vara", IFERROR(_xlfn.SINGLE(_xlfn.XLOOKUP(G368, Vöruskrá!A:A, Vöruskrá!F:F, "")), ""), IF(F368 = "Réttur", IFERROR(_xlfn.SINGLE(_xlfn.XLOOKUP(G368, Réttabanki!A:A, Réttabanki!AT:AT, "")), ""), "")))</f>
        <v/>
      </c>
      <c r="N368" s="26" t="str">
        <f>IF(OR(F368 = "", G368 = ""), "", IF(F368 = "Vara", IFERROR(_xlfn.SINGLE(_xlfn.XLOOKUP(G368, Vöruskrá!A:A, Vöruskrá!G:G, "")), ""), IF(F368 = "Réttur", IFERROR(_xlfn.SINGLE(_xlfn.XLOOKUP(G368, Réttabanki!A:A, Réttabanki!AU:AU, "")), ""), "")))</f>
        <v/>
      </c>
      <c r="O368" s="26" t="str">
        <f>IF(OR(F368 = "", G368 = "", I368 = ""), "", IF(F368 = "Vara", IFERROR(_xlfn.SINGLE(_xlfn.XLOOKUP(G368, Vöruskrá!A:A, Vöruskrá!I:I, "")) * I368 / 100, ""), IF(F368 = "Réttur", IFERROR(_xlfn.SINGLE(_xlfn.XLOOKUP(G368, Réttabanki!A:A, Réttabanki!AV:AV, "")) * I368 / 100, ""), "")))</f>
        <v/>
      </c>
      <c r="P368" s="26" t="str">
        <f>IF(OR(F368 = "", G368 = "", I368 = ""), "", IF(F368 = "Vara", IFERROR(_xlfn.SINGLE(_xlfn.XLOOKUP(G368, Vöruskrá!A:A, Vöruskrá!J:J, "")) * I368 / 100, ""), IF(F368 = "Réttur", IFERROR(_xlfn.SINGLE(_xlfn.XLOOKUP(G368, Réttabanki!A:A, Réttabanki!AW:AW, "")) * I368 / 100, ""), "")))</f>
        <v/>
      </c>
      <c r="Q368" s="26" t="str">
        <f>IF(OR(F368 = "", G368 = "", I368 = ""), "", IF(F368 = "Vara", IFERROR(_xlfn.SINGLE(_xlfn.XLOOKUP(G368, Vöruskrá!A:A, Vöruskrá!N:N, "")) * I368 / 100, ""), IF(F368 = "Réttur", IFERROR(_xlfn.SINGLE(_xlfn.XLOOKUP(G368, Réttabanki!A:A, Réttabanki!BB:BB, "")) * I368 / 100, ""), "")))</f>
        <v/>
      </c>
    </row>
    <row r="369" spans="2:17">
      <c r="B369" s="33" t="str">
        <f>IF(A369&lt;&gt;"",CHOOSE(WEEKDAY(A369,2),"Mánudagur","Þriðjudagur","Miðvikudagur","Fimmtudagur","Föstudagur","Laugardagur","Sunnudagur"),IF(B368&lt;&gt;"",B368,""))</f>
        <v>Fimmtudagur</v>
      </c>
      <c r="C369" s="33">
        <f>IF(A369&lt;&gt;"",WEEKNUM(A369,21),IF(C368&lt;&gt;"",C368,""))</f>
        <v>27</v>
      </c>
      <c r="D369" s="34"/>
      <c r="E369" s="34"/>
      <c r="F369" s="34"/>
      <c r="G369" s="34"/>
      <c r="H369" s="34"/>
      <c r="I369" s="35"/>
      <c r="J369" s="35"/>
      <c r="K369" s="36"/>
      <c r="L369" s="26" t="str">
        <f>IF(OR(F369 = "", G369 = ""), "", IF(F369 = "Vara", IFERROR(_xlfn.SINGLE(_xlfn.XLOOKUP(G369, Vöruskrá!A:A, Vöruskrá!E:E, "")), ""), IF(F369 = "Réttur", IFERROR(_xlfn.SINGLE(_xlfn.XLOOKUP(G369, Réttabanki!A:A, Réttabanki!AS:AS, "")), ""), "")))</f>
        <v/>
      </c>
      <c r="M369" s="26" t="str">
        <f>IF(OR(F369 = "", G369 = ""), "", IF(F369 = "Vara", IFERROR(_xlfn.SINGLE(_xlfn.XLOOKUP(G369, Vöruskrá!A:A, Vöruskrá!F:F, "")), ""), IF(F369 = "Réttur", IFERROR(_xlfn.SINGLE(_xlfn.XLOOKUP(G369, Réttabanki!A:A, Réttabanki!AT:AT, "")), ""), "")))</f>
        <v/>
      </c>
      <c r="N369" s="26" t="str">
        <f>IF(OR(F369 = "", G369 = ""), "", IF(F369 = "Vara", IFERROR(_xlfn.SINGLE(_xlfn.XLOOKUP(G369, Vöruskrá!A:A, Vöruskrá!G:G, "")), ""), IF(F369 = "Réttur", IFERROR(_xlfn.SINGLE(_xlfn.XLOOKUP(G369, Réttabanki!A:A, Réttabanki!AU:AU, "")), ""), "")))</f>
        <v/>
      </c>
      <c r="O369" s="26" t="str">
        <f>IF(OR(F369 = "", G369 = "", I369 = ""), "", IF(F369 = "Vara", IFERROR(_xlfn.SINGLE(_xlfn.XLOOKUP(G369, Vöruskrá!A:A, Vöruskrá!I:I, "")) * I369 / 100, ""), IF(F369 = "Réttur", IFERROR(_xlfn.SINGLE(_xlfn.XLOOKUP(G369, Réttabanki!A:A, Réttabanki!AV:AV, "")) * I369 / 100, ""), "")))</f>
        <v/>
      </c>
      <c r="P369" s="26" t="str">
        <f>IF(OR(F369 = "", G369 = "", I369 = ""), "", IF(F369 = "Vara", IFERROR(_xlfn.SINGLE(_xlfn.XLOOKUP(G369, Vöruskrá!A:A, Vöruskrá!J:J, "")) * I369 / 100, ""), IF(F369 = "Réttur", IFERROR(_xlfn.SINGLE(_xlfn.XLOOKUP(G369, Réttabanki!A:A, Réttabanki!AW:AW, "")) * I369 / 100, ""), "")))</f>
        <v/>
      </c>
      <c r="Q369" s="26" t="str">
        <f>IF(OR(F369 = "", G369 = "", I369 = ""), "", IF(F369 = "Vara", IFERROR(_xlfn.SINGLE(_xlfn.XLOOKUP(G369, Vöruskrá!A:A, Vöruskrá!N:N, "")) * I369 / 100, ""), IF(F369 = "Réttur", IFERROR(_xlfn.SINGLE(_xlfn.XLOOKUP(G369, Réttabanki!A:A, Réttabanki!BB:BB, "")) * I369 / 100, ""), "")))</f>
        <v/>
      </c>
    </row>
    <row r="370" spans="2:17">
      <c r="B370" s="33" t="str">
        <f>IF(A370&lt;&gt;"",CHOOSE(WEEKDAY(A370,2),"Mánudagur","Þriðjudagur","Miðvikudagur","Fimmtudagur","Föstudagur","Laugardagur","Sunnudagur"),IF(B369&lt;&gt;"",B369,""))</f>
        <v>Fimmtudagur</v>
      </c>
      <c r="C370" s="33">
        <f>IF(A370&lt;&gt;"",WEEKNUM(A370,21),IF(C369&lt;&gt;"",C369,""))</f>
        <v>27</v>
      </c>
      <c r="D370" s="34"/>
      <c r="E370" s="34"/>
      <c r="F370" s="34"/>
      <c r="G370" s="34"/>
      <c r="H370" s="34"/>
      <c r="I370" s="35"/>
      <c r="J370" s="35"/>
      <c r="K370" s="36"/>
      <c r="L370" s="26" t="str">
        <f>IF(OR(F370 = "", G370 = ""), "", IF(F370 = "Vara", IFERROR(_xlfn.SINGLE(_xlfn.XLOOKUP(G370, Vöruskrá!A:A, Vöruskrá!E:E, "")), ""), IF(F370 = "Réttur", IFERROR(_xlfn.SINGLE(_xlfn.XLOOKUP(G370, Réttabanki!A:A, Réttabanki!AS:AS, "")), ""), "")))</f>
        <v/>
      </c>
      <c r="M370" s="26" t="str">
        <f>IF(OR(F370 = "", G370 = ""), "", IF(F370 = "Vara", IFERROR(_xlfn.SINGLE(_xlfn.XLOOKUP(G370, Vöruskrá!A:A, Vöruskrá!F:F, "")), ""), IF(F370 = "Réttur", IFERROR(_xlfn.SINGLE(_xlfn.XLOOKUP(G370, Réttabanki!A:A, Réttabanki!AT:AT, "")), ""), "")))</f>
        <v/>
      </c>
      <c r="N370" s="26" t="str">
        <f>IF(OR(F370 = "", G370 = ""), "", IF(F370 = "Vara", IFERROR(_xlfn.SINGLE(_xlfn.XLOOKUP(G370, Vöruskrá!A:A, Vöruskrá!G:G, "")), ""), IF(F370 = "Réttur", IFERROR(_xlfn.SINGLE(_xlfn.XLOOKUP(G370, Réttabanki!A:A, Réttabanki!AU:AU, "")), ""), "")))</f>
        <v/>
      </c>
      <c r="O370" s="26" t="str">
        <f>IF(OR(F370 = "", G370 = "", I370 = ""), "", IF(F370 = "Vara", IFERROR(_xlfn.SINGLE(_xlfn.XLOOKUP(G370, Vöruskrá!A:A, Vöruskrá!I:I, "")) * I370 / 100, ""), IF(F370 = "Réttur", IFERROR(_xlfn.SINGLE(_xlfn.XLOOKUP(G370, Réttabanki!A:A, Réttabanki!AV:AV, "")) * I370 / 100, ""), "")))</f>
        <v/>
      </c>
      <c r="P370" s="26" t="str">
        <f>IF(OR(F370 = "", G370 = "", I370 = ""), "", IF(F370 = "Vara", IFERROR(_xlfn.SINGLE(_xlfn.XLOOKUP(G370, Vöruskrá!A:A, Vöruskrá!J:J, "")) * I370 / 100, ""), IF(F370 = "Réttur", IFERROR(_xlfn.SINGLE(_xlfn.XLOOKUP(G370, Réttabanki!A:A, Réttabanki!AW:AW, "")) * I370 / 100, ""), "")))</f>
        <v/>
      </c>
      <c r="Q370" s="26" t="str">
        <f>IF(OR(F370 = "", G370 = "", I370 = ""), "", IF(F370 = "Vara", IFERROR(_xlfn.SINGLE(_xlfn.XLOOKUP(G370, Vöruskrá!A:A, Vöruskrá!N:N, "")) * I370 / 100, ""), IF(F370 = "Réttur", IFERROR(_xlfn.SINGLE(_xlfn.XLOOKUP(G370, Réttabanki!A:A, Réttabanki!BB:BB, "")) * I370 / 100, ""), "")))</f>
        <v/>
      </c>
    </row>
    <row r="371" spans="2:17">
      <c r="B371" s="33" t="str">
        <f>IF(A371&lt;&gt;"",CHOOSE(WEEKDAY(A371,2),"Mánudagur","Þriðjudagur","Miðvikudagur","Fimmtudagur","Föstudagur","Laugardagur","Sunnudagur"),IF(B370&lt;&gt;"",B370,""))</f>
        <v>Fimmtudagur</v>
      </c>
      <c r="C371" s="33">
        <f>IF(A371&lt;&gt;"",WEEKNUM(A371,21),IF(C370&lt;&gt;"",C370,""))</f>
        <v>27</v>
      </c>
      <c r="D371" s="34"/>
      <c r="E371" s="34"/>
      <c r="F371" s="34"/>
      <c r="G371" s="34"/>
      <c r="H371" s="34"/>
      <c r="I371" s="35"/>
      <c r="J371" s="35"/>
      <c r="K371" s="36"/>
      <c r="L371" s="26" t="str">
        <f>IF(OR(F371 = "", G371 = ""), "", IF(F371 = "Vara", IFERROR(_xlfn.SINGLE(_xlfn.XLOOKUP(G371, Vöruskrá!A:A, Vöruskrá!E:E, "")), ""), IF(F371 = "Réttur", IFERROR(_xlfn.SINGLE(_xlfn.XLOOKUP(G371, Réttabanki!A:A, Réttabanki!AS:AS, "")), ""), "")))</f>
        <v/>
      </c>
      <c r="M371" s="26" t="str">
        <f>IF(OR(F371 = "", G371 = ""), "", IF(F371 = "Vara", IFERROR(_xlfn.SINGLE(_xlfn.XLOOKUP(G371, Vöruskrá!A:A, Vöruskrá!F:F, "")), ""), IF(F371 = "Réttur", IFERROR(_xlfn.SINGLE(_xlfn.XLOOKUP(G371, Réttabanki!A:A, Réttabanki!AT:AT, "")), ""), "")))</f>
        <v/>
      </c>
      <c r="N371" s="26" t="str">
        <f>IF(OR(F371 = "", G371 = ""), "", IF(F371 = "Vara", IFERROR(_xlfn.SINGLE(_xlfn.XLOOKUP(G371, Vöruskrá!A:A, Vöruskrá!G:G, "")), ""), IF(F371 = "Réttur", IFERROR(_xlfn.SINGLE(_xlfn.XLOOKUP(G371, Réttabanki!A:A, Réttabanki!AU:AU, "")), ""), "")))</f>
        <v/>
      </c>
      <c r="O371" s="26" t="str">
        <f>IF(OR(F371 = "", G371 = "", I371 = ""), "", IF(F371 = "Vara", IFERROR(_xlfn.SINGLE(_xlfn.XLOOKUP(G371, Vöruskrá!A:A, Vöruskrá!I:I, "")) * I371 / 100, ""), IF(F371 = "Réttur", IFERROR(_xlfn.SINGLE(_xlfn.XLOOKUP(G371, Réttabanki!A:A, Réttabanki!AV:AV, "")) * I371 / 100, ""), "")))</f>
        <v/>
      </c>
      <c r="P371" s="26" t="str">
        <f>IF(OR(F371 = "", G371 = "", I371 = ""), "", IF(F371 = "Vara", IFERROR(_xlfn.SINGLE(_xlfn.XLOOKUP(G371, Vöruskrá!A:A, Vöruskrá!J:J, "")) * I371 / 100, ""), IF(F371 = "Réttur", IFERROR(_xlfn.SINGLE(_xlfn.XLOOKUP(G371, Réttabanki!A:A, Réttabanki!AW:AW, "")) * I371 / 100, ""), "")))</f>
        <v/>
      </c>
      <c r="Q371" s="26" t="str">
        <f>IF(OR(F371 = "", G371 = "", I371 = ""), "", IF(F371 = "Vara", IFERROR(_xlfn.SINGLE(_xlfn.XLOOKUP(G371, Vöruskrá!A:A, Vöruskrá!N:N, "")) * I371 / 100, ""), IF(F371 = "Réttur", IFERROR(_xlfn.SINGLE(_xlfn.XLOOKUP(G371, Réttabanki!A:A, Réttabanki!BB:BB, "")) * I371 / 100, ""), "")))</f>
        <v/>
      </c>
    </row>
    <row r="372" spans="2:17">
      <c r="B372" s="33" t="str">
        <f>IF(A372&lt;&gt;"",CHOOSE(WEEKDAY(A372,2),"Mánudagur","Þriðjudagur","Miðvikudagur","Fimmtudagur","Föstudagur","Laugardagur","Sunnudagur"),IF(B371&lt;&gt;"",B371,""))</f>
        <v>Fimmtudagur</v>
      </c>
      <c r="C372" s="33">
        <f>IF(A372&lt;&gt;"",WEEKNUM(A372,21),IF(C371&lt;&gt;"",C371,""))</f>
        <v>27</v>
      </c>
      <c r="D372" s="34"/>
      <c r="E372" s="34"/>
      <c r="F372" s="34"/>
      <c r="G372" s="34"/>
      <c r="H372" s="34"/>
      <c r="I372" s="35"/>
      <c r="J372" s="35"/>
      <c r="K372" s="36"/>
      <c r="L372" s="26" t="str">
        <f>IF(OR(F372 = "", G372 = ""), "", IF(F372 = "Vara", IFERROR(_xlfn.SINGLE(_xlfn.XLOOKUP(G372, Vöruskrá!A:A, Vöruskrá!E:E, "")), ""), IF(F372 = "Réttur", IFERROR(_xlfn.SINGLE(_xlfn.XLOOKUP(G372, Réttabanki!A:A, Réttabanki!AS:AS, "")), ""), "")))</f>
        <v/>
      </c>
      <c r="M372" s="26" t="str">
        <f>IF(OR(F372 = "", G372 = ""), "", IF(F372 = "Vara", IFERROR(_xlfn.SINGLE(_xlfn.XLOOKUP(G372, Vöruskrá!A:A, Vöruskrá!F:F, "")), ""), IF(F372 = "Réttur", IFERROR(_xlfn.SINGLE(_xlfn.XLOOKUP(G372, Réttabanki!A:A, Réttabanki!AT:AT, "")), ""), "")))</f>
        <v/>
      </c>
      <c r="N372" s="26" t="str">
        <f>IF(OR(F372 = "", G372 = ""), "", IF(F372 = "Vara", IFERROR(_xlfn.SINGLE(_xlfn.XLOOKUP(G372, Vöruskrá!A:A, Vöruskrá!G:G, "")), ""), IF(F372 = "Réttur", IFERROR(_xlfn.SINGLE(_xlfn.XLOOKUP(G372, Réttabanki!A:A, Réttabanki!AU:AU, "")), ""), "")))</f>
        <v/>
      </c>
      <c r="O372" s="26" t="str">
        <f>IF(OR(F372 = "", G372 = "", I372 = ""), "", IF(F372 = "Vara", IFERROR(_xlfn.SINGLE(_xlfn.XLOOKUP(G372, Vöruskrá!A:A, Vöruskrá!I:I, "")) * I372 / 100, ""), IF(F372 = "Réttur", IFERROR(_xlfn.SINGLE(_xlfn.XLOOKUP(G372, Réttabanki!A:A, Réttabanki!AV:AV, "")) * I372 / 100, ""), "")))</f>
        <v/>
      </c>
      <c r="P372" s="26" t="str">
        <f>IF(OR(F372 = "", G372 = "", I372 = ""), "", IF(F372 = "Vara", IFERROR(_xlfn.SINGLE(_xlfn.XLOOKUP(G372, Vöruskrá!A:A, Vöruskrá!J:J, "")) * I372 / 100, ""), IF(F372 = "Réttur", IFERROR(_xlfn.SINGLE(_xlfn.XLOOKUP(G372, Réttabanki!A:A, Réttabanki!AW:AW, "")) * I372 / 100, ""), "")))</f>
        <v/>
      </c>
      <c r="Q372" s="26" t="str">
        <f>IF(OR(F372 = "", G372 = "", I372 = ""), "", IF(F372 = "Vara", IFERROR(_xlfn.SINGLE(_xlfn.XLOOKUP(G372, Vöruskrá!A:A, Vöruskrá!N:N, "")) * I372 / 100, ""), IF(F372 = "Réttur", IFERROR(_xlfn.SINGLE(_xlfn.XLOOKUP(G372, Réttabanki!A:A, Réttabanki!BB:BB, "")) * I372 / 100, ""), "")))</f>
        <v/>
      </c>
    </row>
    <row r="373" spans="2:17">
      <c r="B373" s="33" t="str">
        <f>IF(A373&lt;&gt;"",CHOOSE(WEEKDAY(A373,2),"Mánudagur","Þriðjudagur","Miðvikudagur","Fimmtudagur","Föstudagur","Laugardagur","Sunnudagur"),IF(B372&lt;&gt;"",B372,""))</f>
        <v>Fimmtudagur</v>
      </c>
      <c r="C373" s="33">
        <f>IF(A373&lt;&gt;"",WEEKNUM(A373,21),IF(C372&lt;&gt;"",C372,""))</f>
        <v>27</v>
      </c>
      <c r="D373" s="34"/>
      <c r="E373" s="34"/>
      <c r="F373" s="34"/>
      <c r="G373" s="34"/>
      <c r="H373" s="34"/>
      <c r="I373" s="35"/>
      <c r="J373" s="35"/>
      <c r="K373" s="36"/>
      <c r="L373" s="26" t="str">
        <f>IF(OR(F373 = "", G373 = ""), "", IF(F373 = "Vara", IFERROR(_xlfn.SINGLE(_xlfn.XLOOKUP(G373, Vöruskrá!A:A, Vöruskrá!E:E, "")), ""), IF(F373 = "Réttur", IFERROR(_xlfn.SINGLE(_xlfn.XLOOKUP(G373, Réttabanki!A:A, Réttabanki!AS:AS, "")), ""), "")))</f>
        <v/>
      </c>
      <c r="M373" s="26" t="str">
        <f>IF(OR(F373 = "", G373 = ""), "", IF(F373 = "Vara", IFERROR(_xlfn.SINGLE(_xlfn.XLOOKUP(G373, Vöruskrá!A:A, Vöruskrá!F:F, "")), ""), IF(F373 = "Réttur", IFERROR(_xlfn.SINGLE(_xlfn.XLOOKUP(G373, Réttabanki!A:A, Réttabanki!AT:AT, "")), ""), "")))</f>
        <v/>
      </c>
      <c r="N373" s="26" t="str">
        <f>IF(OR(F373 = "", G373 = ""), "", IF(F373 = "Vara", IFERROR(_xlfn.SINGLE(_xlfn.XLOOKUP(G373, Vöruskrá!A:A, Vöruskrá!G:G, "")), ""), IF(F373 = "Réttur", IFERROR(_xlfn.SINGLE(_xlfn.XLOOKUP(G373, Réttabanki!A:A, Réttabanki!AU:AU, "")), ""), "")))</f>
        <v/>
      </c>
      <c r="O373" s="26" t="str">
        <f>IF(OR(F373 = "", G373 = "", I373 = ""), "", IF(F373 = "Vara", IFERROR(_xlfn.SINGLE(_xlfn.XLOOKUP(G373, Vöruskrá!A:A, Vöruskrá!I:I, "")) * I373 / 100, ""), IF(F373 = "Réttur", IFERROR(_xlfn.SINGLE(_xlfn.XLOOKUP(G373, Réttabanki!A:A, Réttabanki!AV:AV, "")) * I373 / 100, ""), "")))</f>
        <v/>
      </c>
      <c r="P373" s="26" t="str">
        <f>IF(OR(F373 = "", G373 = "", I373 = ""), "", IF(F373 = "Vara", IFERROR(_xlfn.SINGLE(_xlfn.XLOOKUP(G373, Vöruskrá!A:A, Vöruskrá!J:J, "")) * I373 / 100, ""), IF(F373 = "Réttur", IFERROR(_xlfn.SINGLE(_xlfn.XLOOKUP(G373, Réttabanki!A:A, Réttabanki!AW:AW, "")) * I373 / 100, ""), "")))</f>
        <v/>
      </c>
      <c r="Q373" s="26" t="str">
        <f>IF(OR(F373 = "", G373 = "", I373 = ""), "", IF(F373 = "Vara", IFERROR(_xlfn.SINGLE(_xlfn.XLOOKUP(G373, Vöruskrá!A:A, Vöruskrá!N:N, "")) * I373 / 100, ""), IF(F373 = "Réttur", IFERROR(_xlfn.SINGLE(_xlfn.XLOOKUP(G373, Réttabanki!A:A, Réttabanki!BB:BB, "")) * I373 / 100, ""), "")))</f>
        <v/>
      </c>
    </row>
    <row r="374" spans="2:17">
      <c r="B374" s="33" t="str">
        <f>IF(A374&lt;&gt;"",CHOOSE(WEEKDAY(A374,2),"Mánudagur","Þriðjudagur","Miðvikudagur","Fimmtudagur","Föstudagur","Laugardagur","Sunnudagur"),IF(B373&lt;&gt;"",B373,""))</f>
        <v>Fimmtudagur</v>
      </c>
      <c r="C374" s="33">
        <f>IF(A374&lt;&gt;"",WEEKNUM(A374,21),IF(C373&lt;&gt;"",C373,""))</f>
        <v>27</v>
      </c>
      <c r="D374" s="34"/>
      <c r="E374" s="34"/>
      <c r="F374" s="34"/>
      <c r="G374" s="34"/>
      <c r="H374" s="34"/>
      <c r="I374" s="35"/>
      <c r="J374" s="35"/>
      <c r="K374" s="36"/>
      <c r="L374" s="26" t="str">
        <f>IF(OR(F374 = "", G374 = ""), "", IF(F374 = "Vara", IFERROR(_xlfn.SINGLE(_xlfn.XLOOKUP(G374, Vöruskrá!A:A, Vöruskrá!E:E, "")), ""), IF(F374 = "Réttur", IFERROR(_xlfn.SINGLE(_xlfn.XLOOKUP(G374, Réttabanki!A:A, Réttabanki!AS:AS, "")), ""), "")))</f>
        <v/>
      </c>
      <c r="M374" s="26" t="str">
        <f>IF(OR(F374 = "", G374 = ""), "", IF(F374 = "Vara", IFERROR(_xlfn.SINGLE(_xlfn.XLOOKUP(G374, Vöruskrá!A:A, Vöruskrá!F:F, "")), ""), IF(F374 = "Réttur", IFERROR(_xlfn.SINGLE(_xlfn.XLOOKUP(G374, Réttabanki!A:A, Réttabanki!AT:AT, "")), ""), "")))</f>
        <v/>
      </c>
      <c r="N374" s="26" t="str">
        <f>IF(OR(F374 = "", G374 = ""), "", IF(F374 = "Vara", IFERROR(_xlfn.SINGLE(_xlfn.XLOOKUP(G374, Vöruskrá!A:A, Vöruskrá!G:G, "")), ""), IF(F374 = "Réttur", IFERROR(_xlfn.SINGLE(_xlfn.XLOOKUP(G374, Réttabanki!A:A, Réttabanki!AU:AU, "")), ""), "")))</f>
        <v/>
      </c>
      <c r="O374" s="26" t="str">
        <f>IF(OR(F374 = "", G374 = "", I374 = ""), "", IF(F374 = "Vara", IFERROR(_xlfn.SINGLE(_xlfn.XLOOKUP(G374, Vöruskrá!A:A, Vöruskrá!I:I, "")) * I374 / 100, ""), IF(F374 = "Réttur", IFERROR(_xlfn.SINGLE(_xlfn.XLOOKUP(G374, Réttabanki!A:A, Réttabanki!AV:AV, "")) * I374 / 100, ""), "")))</f>
        <v/>
      </c>
      <c r="P374" s="26" t="str">
        <f>IF(OR(F374 = "", G374 = "", I374 = ""), "", IF(F374 = "Vara", IFERROR(_xlfn.SINGLE(_xlfn.XLOOKUP(G374, Vöruskrá!A:A, Vöruskrá!J:J, "")) * I374 / 100, ""), IF(F374 = "Réttur", IFERROR(_xlfn.SINGLE(_xlfn.XLOOKUP(G374, Réttabanki!A:A, Réttabanki!AW:AW, "")) * I374 / 100, ""), "")))</f>
        <v/>
      </c>
      <c r="Q374" s="26" t="str">
        <f>IF(OR(F374 = "", G374 = "", I374 = ""), "", IF(F374 = "Vara", IFERROR(_xlfn.SINGLE(_xlfn.XLOOKUP(G374, Vöruskrá!A:A, Vöruskrá!N:N, "")) * I374 / 100, ""), IF(F374 = "Réttur", IFERROR(_xlfn.SINGLE(_xlfn.XLOOKUP(G374, Réttabanki!A:A, Réttabanki!BB:BB, "")) * I374 / 100, ""), "")))</f>
        <v/>
      </c>
    </row>
    <row r="375" spans="2:17">
      <c r="B375" s="33" t="str">
        <f>IF(A375&lt;&gt;"",CHOOSE(WEEKDAY(A375,2),"Mánudagur","Þriðjudagur","Miðvikudagur","Fimmtudagur","Föstudagur","Laugardagur","Sunnudagur"),IF(B374&lt;&gt;"",B374,""))</f>
        <v>Fimmtudagur</v>
      </c>
      <c r="C375" s="33">
        <f>IF(A375&lt;&gt;"",WEEKNUM(A375,21),IF(C374&lt;&gt;"",C374,""))</f>
        <v>27</v>
      </c>
      <c r="D375" s="34"/>
      <c r="E375" s="34"/>
      <c r="F375" s="34"/>
      <c r="G375" s="34"/>
      <c r="H375" s="34"/>
      <c r="I375" s="35"/>
      <c r="J375" s="35"/>
      <c r="K375" s="36"/>
      <c r="L375" s="26" t="str">
        <f>IF(OR(F375 = "", G375 = ""), "", IF(F375 = "Vara", IFERROR(_xlfn.SINGLE(_xlfn.XLOOKUP(G375, Vöruskrá!A:A, Vöruskrá!E:E, "")), ""), IF(F375 = "Réttur", IFERROR(_xlfn.SINGLE(_xlfn.XLOOKUP(G375, Réttabanki!A:A, Réttabanki!AS:AS, "")), ""), "")))</f>
        <v/>
      </c>
      <c r="M375" s="26" t="str">
        <f>IF(OR(F375 = "", G375 = ""), "", IF(F375 = "Vara", IFERROR(_xlfn.SINGLE(_xlfn.XLOOKUP(G375, Vöruskrá!A:A, Vöruskrá!F:F, "")), ""), IF(F375 = "Réttur", IFERROR(_xlfn.SINGLE(_xlfn.XLOOKUP(G375, Réttabanki!A:A, Réttabanki!AT:AT, "")), ""), "")))</f>
        <v/>
      </c>
      <c r="N375" s="26" t="str">
        <f>IF(OR(F375 = "", G375 = ""), "", IF(F375 = "Vara", IFERROR(_xlfn.SINGLE(_xlfn.XLOOKUP(G375, Vöruskrá!A:A, Vöruskrá!G:G, "")), ""), IF(F375 = "Réttur", IFERROR(_xlfn.SINGLE(_xlfn.XLOOKUP(G375, Réttabanki!A:A, Réttabanki!AU:AU, "")), ""), "")))</f>
        <v/>
      </c>
      <c r="O375" s="26" t="str">
        <f>IF(OR(F375 = "", G375 = "", I375 = ""), "", IF(F375 = "Vara", IFERROR(_xlfn.SINGLE(_xlfn.XLOOKUP(G375, Vöruskrá!A:A, Vöruskrá!I:I, "")) * I375 / 100, ""), IF(F375 = "Réttur", IFERROR(_xlfn.SINGLE(_xlfn.XLOOKUP(G375, Réttabanki!A:A, Réttabanki!AV:AV, "")) * I375 / 100, ""), "")))</f>
        <v/>
      </c>
      <c r="P375" s="26" t="str">
        <f>IF(OR(F375 = "", G375 = "", I375 = ""), "", IF(F375 = "Vara", IFERROR(_xlfn.SINGLE(_xlfn.XLOOKUP(G375, Vöruskrá!A:A, Vöruskrá!J:J, "")) * I375 / 100, ""), IF(F375 = "Réttur", IFERROR(_xlfn.SINGLE(_xlfn.XLOOKUP(G375, Réttabanki!A:A, Réttabanki!AW:AW, "")) * I375 / 100, ""), "")))</f>
        <v/>
      </c>
      <c r="Q375" s="26" t="str">
        <f>IF(OR(F375 = "", G375 = "", I375 = ""), "", IF(F375 = "Vara", IFERROR(_xlfn.SINGLE(_xlfn.XLOOKUP(G375, Vöruskrá!A:A, Vöruskrá!N:N, "")) * I375 / 100, ""), IF(F375 = "Réttur", IFERROR(_xlfn.SINGLE(_xlfn.XLOOKUP(G375, Réttabanki!A:A, Réttabanki!BB:BB, "")) * I375 / 100, ""), "")))</f>
        <v/>
      </c>
    </row>
    <row r="376" spans="2:17">
      <c r="B376" s="33" t="str">
        <f>IF(A376&lt;&gt;"",CHOOSE(WEEKDAY(A376,2),"Mánudagur","Þriðjudagur","Miðvikudagur","Fimmtudagur","Föstudagur","Laugardagur","Sunnudagur"),IF(B375&lt;&gt;"",B375,""))</f>
        <v>Fimmtudagur</v>
      </c>
      <c r="C376" s="33">
        <f>IF(A376&lt;&gt;"",WEEKNUM(A376,21),IF(C375&lt;&gt;"",C375,""))</f>
        <v>27</v>
      </c>
      <c r="D376" s="34"/>
      <c r="E376" s="34"/>
      <c r="F376" s="34"/>
      <c r="G376" s="34"/>
      <c r="H376" s="34"/>
      <c r="I376" s="35"/>
      <c r="J376" s="35"/>
      <c r="K376" s="36"/>
      <c r="L376" s="26" t="str">
        <f>IF(OR(F376 = "", G376 = ""), "", IF(F376 = "Vara", IFERROR(_xlfn.SINGLE(_xlfn.XLOOKUP(G376, Vöruskrá!A:A, Vöruskrá!E:E, "")), ""), IF(F376 = "Réttur", IFERROR(_xlfn.SINGLE(_xlfn.XLOOKUP(G376, Réttabanki!A:A, Réttabanki!AS:AS, "")), ""), "")))</f>
        <v/>
      </c>
      <c r="M376" s="26" t="str">
        <f>IF(OR(F376 = "", G376 = ""), "", IF(F376 = "Vara", IFERROR(_xlfn.SINGLE(_xlfn.XLOOKUP(G376, Vöruskrá!A:A, Vöruskrá!F:F, "")), ""), IF(F376 = "Réttur", IFERROR(_xlfn.SINGLE(_xlfn.XLOOKUP(G376, Réttabanki!A:A, Réttabanki!AT:AT, "")), ""), "")))</f>
        <v/>
      </c>
      <c r="N376" s="26" t="str">
        <f>IF(OR(F376 = "", G376 = ""), "", IF(F376 = "Vara", IFERROR(_xlfn.SINGLE(_xlfn.XLOOKUP(G376, Vöruskrá!A:A, Vöruskrá!G:G, "")), ""), IF(F376 = "Réttur", IFERROR(_xlfn.SINGLE(_xlfn.XLOOKUP(G376, Réttabanki!A:A, Réttabanki!AU:AU, "")), ""), "")))</f>
        <v/>
      </c>
      <c r="O376" s="26" t="str">
        <f>IF(OR(F376 = "", G376 = "", I376 = ""), "", IF(F376 = "Vara", IFERROR(_xlfn.SINGLE(_xlfn.XLOOKUP(G376, Vöruskrá!A:A, Vöruskrá!I:I, "")) * I376 / 100, ""), IF(F376 = "Réttur", IFERROR(_xlfn.SINGLE(_xlfn.XLOOKUP(G376, Réttabanki!A:A, Réttabanki!AV:AV, "")) * I376 / 100, ""), "")))</f>
        <v/>
      </c>
      <c r="P376" s="26" t="str">
        <f>IF(OR(F376 = "", G376 = "", I376 = ""), "", IF(F376 = "Vara", IFERROR(_xlfn.SINGLE(_xlfn.XLOOKUP(G376, Vöruskrá!A:A, Vöruskrá!J:J, "")) * I376 / 100, ""), IF(F376 = "Réttur", IFERROR(_xlfn.SINGLE(_xlfn.XLOOKUP(G376, Réttabanki!A:A, Réttabanki!AW:AW, "")) * I376 / 100, ""), "")))</f>
        <v/>
      </c>
      <c r="Q376" s="26" t="str">
        <f>IF(OR(F376 = "", G376 = "", I376 = ""), "", IF(F376 = "Vara", IFERROR(_xlfn.SINGLE(_xlfn.XLOOKUP(G376, Vöruskrá!A:A, Vöruskrá!N:N, "")) * I376 / 100, ""), IF(F376 = "Réttur", IFERROR(_xlfn.SINGLE(_xlfn.XLOOKUP(G376, Réttabanki!A:A, Réttabanki!BB:BB, "")) * I376 / 100, ""), "")))</f>
        <v/>
      </c>
    </row>
    <row r="377" spans="2:17">
      <c r="B377" s="33" t="str">
        <f>IF(A377&lt;&gt;"",CHOOSE(WEEKDAY(A377,2),"Mánudagur","Þriðjudagur","Miðvikudagur","Fimmtudagur","Föstudagur","Laugardagur","Sunnudagur"),IF(B376&lt;&gt;"",B376,""))</f>
        <v>Fimmtudagur</v>
      </c>
      <c r="C377" s="33">
        <f>IF(A377&lt;&gt;"",WEEKNUM(A377,21),IF(C376&lt;&gt;"",C376,""))</f>
        <v>27</v>
      </c>
      <c r="D377" s="34"/>
      <c r="E377" s="34"/>
      <c r="F377" s="34"/>
      <c r="G377" s="34"/>
      <c r="H377" s="34"/>
      <c r="I377" s="35"/>
      <c r="J377" s="35"/>
      <c r="K377" s="36"/>
      <c r="L377" s="26" t="str">
        <f>IF(OR(F377 = "", G377 = ""), "", IF(F377 = "Vara", IFERROR(_xlfn.SINGLE(_xlfn.XLOOKUP(G377, Vöruskrá!A:A, Vöruskrá!E:E, "")), ""), IF(F377 = "Réttur", IFERROR(_xlfn.SINGLE(_xlfn.XLOOKUP(G377, Réttabanki!A:A, Réttabanki!AS:AS, "")), ""), "")))</f>
        <v/>
      </c>
      <c r="M377" s="26" t="str">
        <f>IF(OR(F377 = "", G377 = ""), "", IF(F377 = "Vara", IFERROR(_xlfn.SINGLE(_xlfn.XLOOKUP(G377, Vöruskrá!A:A, Vöruskrá!F:F, "")), ""), IF(F377 = "Réttur", IFERROR(_xlfn.SINGLE(_xlfn.XLOOKUP(G377, Réttabanki!A:A, Réttabanki!AT:AT, "")), ""), "")))</f>
        <v/>
      </c>
      <c r="N377" s="26" t="str">
        <f>IF(OR(F377 = "", G377 = ""), "", IF(F377 = "Vara", IFERROR(_xlfn.SINGLE(_xlfn.XLOOKUP(G377, Vöruskrá!A:A, Vöruskrá!G:G, "")), ""), IF(F377 = "Réttur", IFERROR(_xlfn.SINGLE(_xlfn.XLOOKUP(G377, Réttabanki!A:A, Réttabanki!AU:AU, "")), ""), "")))</f>
        <v/>
      </c>
      <c r="O377" s="26" t="str">
        <f>IF(OR(F377 = "", G377 = "", I377 = ""), "", IF(F377 = "Vara", IFERROR(_xlfn.SINGLE(_xlfn.XLOOKUP(G377, Vöruskrá!A:A, Vöruskrá!I:I, "")) * I377 / 100, ""), IF(F377 = "Réttur", IFERROR(_xlfn.SINGLE(_xlfn.XLOOKUP(G377, Réttabanki!A:A, Réttabanki!AV:AV, "")) * I377 / 100, ""), "")))</f>
        <v/>
      </c>
      <c r="P377" s="26" t="str">
        <f>IF(OR(F377 = "", G377 = "", I377 = ""), "", IF(F377 = "Vara", IFERROR(_xlfn.SINGLE(_xlfn.XLOOKUP(G377, Vöruskrá!A:A, Vöruskrá!J:J, "")) * I377 / 100, ""), IF(F377 = "Réttur", IFERROR(_xlfn.SINGLE(_xlfn.XLOOKUP(G377, Réttabanki!A:A, Réttabanki!AW:AW, "")) * I377 / 100, ""), "")))</f>
        <v/>
      </c>
      <c r="Q377" s="26" t="str">
        <f>IF(OR(F377 = "", G377 = "", I377 = ""), "", IF(F377 = "Vara", IFERROR(_xlfn.SINGLE(_xlfn.XLOOKUP(G377, Vöruskrá!A:A, Vöruskrá!N:N, "")) * I377 / 100, ""), IF(F377 = "Réttur", IFERROR(_xlfn.SINGLE(_xlfn.XLOOKUP(G377, Réttabanki!A:A, Réttabanki!BB:BB, "")) * I377 / 100, ""), "")))</f>
        <v/>
      </c>
    </row>
    <row r="378" spans="2:17">
      <c r="B378" s="33" t="str">
        <f>IF(A378&lt;&gt;"",CHOOSE(WEEKDAY(A378,2),"Mánudagur","Þriðjudagur","Miðvikudagur","Fimmtudagur","Föstudagur","Laugardagur","Sunnudagur"),IF(B377&lt;&gt;"",B377,""))</f>
        <v>Fimmtudagur</v>
      </c>
      <c r="C378" s="33">
        <f>IF(A378&lt;&gt;"",WEEKNUM(A378,21),IF(C377&lt;&gt;"",C377,""))</f>
        <v>27</v>
      </c>
      <c r="D378" s="34"/>
      <c r="E378" s="34"/>
      <c r="F378" s="34"/>
      <c r="G378" s="34"/>
      <c r="H378" s="34"/>
      <c r="I378" s="35"/>
      <c r="J378" s="35"/>
      <c r="K378" s="36"/>
      <c r="L378" s="26" t="str">
        <f>IF(OR(F378 = "", G378 = ""), "", IF(F378 = "Vara", IFERROR(_xlfn.SINGLE(_xlfn.XLOOKUP(G378, Vöruskrá!A:A, Vöruskrá!E:E, "")), ""), IF(F378 = "Réttur", IFERROR(_xlfn.SINGLE(_xlfn.XLOOKUP(G378, Réttabanki!A:A, Réttabanki!AS:AS, "")), ""), "")))</f>
        <v/>
      </c>
      <c r="M378" s="26" t="str">
        <f>IF(OR(F378 = "", G378 = ""), "", IF(F378 = "Vara", IFERROR(_xlfn.SINGLE(_xlfn.XLOOKUP(G378, Vöruskrá!A:A, Vöruskrá!F:F, "")), ""), IF(F378 = "Réttur", IFERROR(_xlfn.SINGLE(_xlfn.XLOOKUP(G378, Réttabanki!A:A, Réttabanki!AT:AT, "")), ""), "")))</f>
        <v/>
      </c>
      <c r="N378" s="26" t="str">
        <f>IF(OR(F378 = "", G378 = ""), "", IF(F378 = "Vara", IFERROR(_xlfn.SINGLE(_xlfn.XLOOKUP(G378, Vöruskrá!A:A, Vöruskrá!G:G, "")), ""), IF(F378 = "Réttur", IFERROR(_xlfn.SINGLE(_xlfn.XLOOKUP(G378, Réttabanki!A:A, Réttabanki!AU:AU, "")), ""), "")))</f>
        <v/>
      </c>
      <c r="O378" s="26" t="str">
        <f>IF(OR(F378 = "", G378 = "", I378 = ""), "", IF(F378 = "Vara", IFERROR(_xlfn.SINGLE(_xlfn.XLOOKUP(G378, Vöruskrá!A:A, Vöruskrá!I:I, "")) * I378 / 100, ""), IF(F378 = "Réttur", IFERROR(_xlfn.SINGLE(_xlfn.XLOOKUP(G378, Réttabanki!A:A, Réttabanki!AV:AV, "")) * I378 / 100, ""), "")))</f>
        <v/>
      </c>
      <c r="P378" s="26" t="str">
        <f>IF(OR(F378 = "", G378 = "", I378 = ""), "", IF(F378 = "Vara", IFERROR(_xlfn.SINGLE(_xlfn.XLOOKUP(G378, Vöruskrá!A:A, Vöruskrá!J:J, "")) * I378 / 100, ""), IF(F378 = "Réttur", IFERROR(_xlfn.SINGLE(_xlfn.XLOOKUP(G378, Réttabanki!A:A, Réttabanki!AW:AW, "")) * I378 / 100, ""), "")))</f>
        <v/>
      </c>
      <c r="Q378" s="26" t="str">
        <f>IF(OR(F378 = "", G378 = "", I378 = ""), "", IF(F378 = "Vara", IFERROR(_xlfn.SINGLE(_xlfn.XLOOKUP(G378, Vöruskrá!A:A, Vöruskrá!N:N, "")) * I378 / 100, ""), IF(F378 = "Réttur", IFERROR(_xlfn.SINGLE(_xlfn.XLOOKUP(G378, Réttabanki!A:A, Réttabanki!BB:BB, "")) * I378 / 100, ""), "")))</f>
        <v/>
      </c>
    </row>
    <row r="379" spans="2:17">
      <c r="B379" s="33" t="str">
        <f>IF(A379&lt;&gt;"",CHOOSE(WEEKDAY(A379,2),"Mánudagur","Þriðjudagur","Miðvikudagur","Fimmtudagur","Föstudagur","Laugardagur","Sunnudagur"),IF(B378&lt;&gt;"",B378,""))</f>
        <v>Fimmtudagur</v>
      </c>
      <c r="C379" s="33">
        <f>IF(A379&lt;&gt;"",WEEKNUM(A379,21),IF(C378&lt;&gt;"",C378,""))</f>
        <v>27</v>
      </c>
      <c r="D379" s="34"/>
      <c r="E379" s="34"/>
      <c r="F379" s="34"/>
      <c r="G379" s="34"/>
      <c r="H379" s="34"/>
      <c r="I379" s="35"/>
      <c r="J379" s="35"/>
      <c r="K379" s="36"/>
      <c r="L379" s="26" t="str">
        <f>IF(OR(F379 = "", G379 = ""), "", IF(F379 = "Vara", IFERROR(_xlfn.SINGLE(_xlfn.XLOOKUP(G379, Vöruskrá!A:A, Vöruskrá!E:E, "")), ""), IF(F379 = "Réttur", IFERROR(_xlfn.SINGLE(_xlfn.XLOOKUP(G379, Réttabanki!A:A, Réttabanki!AS:AS, "")), ""), "")))</f>
        <v/>
      </c>
      <c r="M379" s="26" t="str">
        <f>IF(OR(F379 = "", G379 = ""), "", IF(F379 = "Vara", IFERROR(_xlfn.SINGLE(_xlfn.XLOOKUP(G379, Vöruskrá!A:A, Vöruskrá!F:F, "")), ""), IF(F379 = "Réttur", IFERROR(_xlfn.SINGLE(_xlfn.XLOOKUP(G379, Réttabanki!A:A, Réttabanki!AT:AT, "")), ""), "")))</f>
        <v/>
      </c>
      <c r="N379" s="26" t="str">
        <f>IF(OR(F379 = "", G379 = ""), "", IF(F379 = "Vara", IFERROR(_xlfn.SINGLE(_xlfn.XLOOKUP(G379, Vöruskrá!A:A, Vöruskrá!G:G, "")), ""), IF(F379 = "Réttur", IFERROR(_xlfn.SINGLE(_xlfn.XLOOKUP(G379, Réttabanki!A:A, Réttabanki!AU:AU, "")), ""), "")))</f>
        <v/>
      </c>
      <c r="O379" s="26" t="str">
        <f>IF(OR(F379 = "", G379 = "", I379 = ""), "", IF(F379 = "Vara", IFERROR(_xlfn.SINGLE(_xlfn.XLOOKUP(G379, Vöruskrá!A:A, Vöruskrá!I:I, "")) * I379 / 100, ""), IF(F379 = "Réttur", IFERROR(_xlfn.SINGLE(_xlfn.XLOOKUP(G379, Réttabanki!A:A, Réttabanki!AV:AV, "")) * I379 / 100, ""), "")))</f>
        <v/>
      </c>
      <c r="P379" s="26" t="str">
        <f>IF(OR(F379 = "", G379 = "", I379 = ""), "", IF(F379 = "Vara", IFERROR(_xlfn.SINGLE(_xlfn.XLOOKUP(G379, Vöruskrá!A:A, Vöruskrá!J:J, "")) * I379 / 100, ""), IF(F379 = "Réttur", IFERROR(_xlfn.SINGLE(_xlfn.XLOOKUP(G379, Réttabanki!A:A, Réttabanki!AW:AW, "")) * I379 / 100, ""), "")))</f>
        <v/>
      </c>
      <c r="Q379" s="26" t="str">
        <f>IF(OR(F379 = "", G379 = "", I379 = ""), "", IF(F379 = "Vara", IFERROR(_xlfn.SINGLE(_xlfn.XLOOKUP(G379, Vöruskrá!A:A, Vöruskrá!N:N, "")) * I379 / 100, ""), IF(F379 = "Réttur", IFERROR(_xlfn.SINGLE(_xlfn.XLOOKUP(G379, Réttabanki!A:A, Réttabanki!BB:BB, "")) * I379 / 100, ""), "")))</f>
        <v/>
      </c>
    </row>
    <row r="380" spans="2:17">
      <c r="B380" s="33" t="str">
        <f>IF(A380&lt;&gt;"",CHOOSE(WEEKDAY(A380,2),"Mánudagur","Þriðjudagur","Miðvikudagur","Fimmtudagur","Föstudagur","Laugardagur","Sunnudagur"),IF(B379&lt;&gt;"",B379,""))</f>
        <v>Fimmtudagur</v>
      </c>
      <c r="C380" s="33">
        <f>IF(A380&lt;&gt;"",WEEKNUM(A380,21),IF(C379&lt;&gt;"",C379,""))</f>
        <v>27</v>
      </c>
      <c r="D380" s="34"/>
      <c r="E380" s="34"/>
      <c r="F380" s="34"/>
      <c r="G380" s="34"/>
      <c r="H380" s="34"/>
      <c r="I380" s="35"/>
      <c r="J380" s="35"/>
      <c r="K380" s="36"/>
      <c r="L380" s="26" t="str">
        <f>IF(OR(F380 = "", G380 = ""), "", IF(F380 = "Vara", IFERROR(_xlfn.SINGLE(_xlfn.XLOOKUP(G380, Vöruskrá!A:A, Vöruskrá!E:E, "")), ""), IF(F380 = "Réttur", IFERROR(_xlfn.SINGLE(_xlfn.XLOOKUP(G380, Réttabanki!A:A, Réttabanki!AS:AS, "")), ""), "")))</f>
        <v/>
      </c>
      <c r="M380" s="26" t="str">
        <f>IF(OR(F380 = "", G380 = ""), "", IF(F380 = "Vara", IFERROR(_xlfn.SINGLE(_xlfn.XLOOKUP(G380, Vöruskrá!A:A, Vöruskrá!F:F, "")), ""), IF(F380 = "Réttur", IFERROR(_xlfn.SINGLE(_xlfn.XLOOKUP(G380, Réttabanki!A:A, Réttabanki!AT:AT, "")), ""), "")))</f>
        <v/>
      </c>
      <c r="N380" s="26" t="str">
        <f>IF(OR(F380 = "", G380 = ""), "", IF(F380 = "Vara", IFERROR(_xlfn.SINGLE(_xlfn.XLOOKUP(G380, Vöruskrá!A:A, Vöruskrá!G:G, "")), ""), IF(F380 = "Réttur", IFERROR(_xlfn.SINGLE(_xlfn.XLOOKUP(G380, Réttabanki!A:A, Réttabanki!AU:AU, "")), ""), "")))</f>
        <v/>
      </c>
      <c r="O380" s="26" t="str">
        <f>IF(OR(F380 = "", G380 = "", I380 = ""), "", IF(F380 = "Vara", IFERROR(_xlfn.SINGLE(_xlfn.XLOOKUP(G380, Vöruskrá!A:A, Vöruskrá!I:I, "")) * I380 / 100, ""), IF(F380 = "Réttur", IFERROR(_xlfn.SINGLE(_xlfn.XLOOKUP(G380, Réttabanki!A:A, Réttabanki!AV:AV, "")) * I380 / 100, ""), "")))</f>
        <v/>
      </c>
      <c r="P380" s="26" t="str">
        <f>IF(OR(F380 = "", G380 = "", I380 = ""), "", IF(F380 = "Vara", IFERROR(_xlfn.SINGLE(_xlfn.XLOOKUP(G380, Vöruskrá!A:A, Vöruskrá!J:J, "")) * I380 / 100, ""), IF(F380 = "Réttur", IFERROR(_xlfn.SINGLE(_xlfn.XLOOKUP(G380, Réttabanki!A:A, Réttabanki!AW:AW, "")) * I380 / 100, ""), "")))</f>
        <v/>
      </c>
      <c r="Q380" s="26" t="str">
        <f>IF(OR(F380 = "", G380 = "", I380 = ""), "", IF(F380 = "Vara", IFERROR(_xlfn.SINGLE(_xlfn.XLOOKUP(G380, Vöruskrá!A:A, Vöruskrá!N:N, "")) * I380 / 100, ""), IF(F380 = "Réttur", IFERROR(_xlfn.SINGLE(_xlfn.XLOOKUP(G380, Réttabanki!A:A, Réttabanki!BB:BB, "")) * I380 / 100, ""), "")))</f>
        <v/>
      </c>
    </row>
    <row r="381" spans="2:17">
      <c r="B381" s="33" t="str">
        <f>IF(A381&lt;&gt;"",CHOOSE(WEEKDAY(A381,2),"Mánudagur","Þriðjudagur","Miðvikudagur","Fimmtudagur","Föstudagur","Laugardagur","Sunnudagur"),IF(B380&lt;&gt;"",B380,""))</f>
        <v>Fimmtudagur</v>
      </c>
      <c r="C381" s="33">
        <f>IF(A381&lt;&gt;"",WEEKNUM(A381,21),IF(C380&lt;&gt;"",C380,""))</f>
        <v>27</v>
      </c>
      <c r="D381" s="34"/>
      <c r="E381" s="34"/>
      <c r="F381" s="34"/>
      <c r="G381" s="34"/>
      <c r="H381" s="34"/>
      <c r="I381" s="35"/>
      <c r="J381" s="35"/>
      <c r="K381" s="36"/>
      <c r="L381" s="26" t="str">
        <f>IF(OR(F381 = "", G381 = ""), "", IF(F381 = "Vara", IFERROR(_xlfn.SINGLE(_xlfn.XLOOKUP(G381, Vöruskrá!A:A, Vöruskrá!E:E, "")), ""), IF(F381 = "Réttur", IFERROR(_xlfn.SINGLE(_xlfn.XLOOKUP(G381, Réttabanki!A:A, Réttabanki!AS:AS, "")), ""), "")))</f>
        <v/>
      </c>
      <c r="M381" s="26" t="str">
        <f>IF(OR(F381 = "", G381 = ""), "", IF(F381 = "Vara", IFERROR(_xlfn.SINGLE(_xlfn.XLOOKUP(G381, Vöruskrá!A:A, Vöruskrá!F:F, "")), ""), IF(F381 = "Réttur", IFERROR(_xlfn.SINGLE(_xlfn.XLOOKUP(G381, Réttabanki!A:A, Réttabanki!AT:AT, "")), ""), "")))</f>
        <v/>
      </c>
      <c r="N381" s="26" t="str">
        <f>IF(OR(F381 = "", G381 = ""), "", IF(F381 = "Vara", IFERROR(_xlfn.SINGLE(_xlfn.XLOOKUP(G381, Vöruskrá!A:A, Vöruskrá!G:G, "")), ""), IF(F381 = "Réttur", IFERROR(_xlfn.SINGLE(_xlfn.XLOOKUP(G381, Réttabanki!A:A, Réttabanki!AU:AU, "")), ""), "")))</f>
        <v/>
      </c>
      <c r="O381" s="26" t="str">
        <f>IF(OR(F381 = "", G381 = "", I381 = ""), "", IF(F381 = "Vara", IFERROR(_xlfn.SINGLE(_xlfn.XLOOKUP(G381, Vöruskrá!A:A, Vöruskrá!I:I, "")) * I381 / 100, ""), IF(F381 = "Réttur", IFERROR(_xlfn.SINGLE(_xlfn.XLOOKUP(G381, Réttabanki!A:A, Réttabanki!AV:AV, "")) * I381 / 100, ""), "")))</f>
        <v/>
      </c>
      <c r="P381" s="26" t="str">
        <f>IF(OR(F381 = "", G381 = "", I381 = ""), "", IF(F381 = "Vara", IFERROR(_xlfn.SINGLE(_xlfn.XLOOKUP(G381, Vöruskrá!A:A, Vöruskrá!J:J, "")) * I381 / 100, ""), IF(F381 = "Réttur", IFERROR(_xlfn.SINGLE(_xlfn.XLOOKUP(G381, Réttabanki!A:A, Réttabanki!AW:AW, "")) * I381 / 100, ""), "")))</f>
        <v/>
      </c>
      <c r="Q381" s="26" t="str">
        <f>IF(OR(F381 = "", G381 = "", I381 = ""), "", IF(F381 = "Vara", IFERROR(_xlfn.SINGLE(_xlfn.XLOOKUP(G381, Vöruskrá!A:A, Vöruskrá!N:N, "")) * I381 / 100, ""), IF(F381 = "Réttur", IFERROR(_xlfn.SINGLE(_xlfn.XLOOKUP(G381, Réttabanki!A:A, Réttabanki!BB:BB, "")) * I381 / 100, ""), "")))</f>
        <v/>
      </c>
    </row>
    <row r="382" spans="2:17">
      <c r="B382" s="33" t="str">
        <f>IF(A382&lt;&gt;"",CHOOSE(WEEKDAY(A382,2),"Mánudagur","Þriðjudagur","Miðvikudagur","Fimmtudagur","Föstudagur","Laugardagur","Sunnudagur"),IF(B381&lt;&gt;"",B381,""))</f>
        <v>Fimmtudagur</v>
      </c>
      <c r="C382" s="33">
        <f>IF(A382&lt;&gt;"",WEEKNUM(A382,21),IF(C381&lt;&gt;"",C381,""))</f>
        <v>27</v>
      </c>
      <c r="D382" s="34"/>
      <c r="E382" s="34"/>
      <c r="F382" s="34"/>
      <c r="G382" s="34"/>
      <c r="H382" s="34"/>
      <c r="I382" s="35"/>
      <c r="J382" s="35"/>
      <c r="K382" s="36"/>
      <c r="L382" s="26" t="str">
        <f>IF(OR(F382 = "", G382 = ""), "", IF(F382 = "Vara", IFERROR(_xlfn.SINGLE(_xlfn.XLOOKUP(G382, Vöruskrá!A:A, Vöruskrá!E:E, "")), ""), IF(F382 = "Réttur", IFERROR(_xlfn.SINGLE(_xlfn.XLOOKUP(G382, Réttabanki!A:A, Réttabanki!AS:AS, "")), ""), "")))</f>
        <v/>
      </c>
      <c r="M382" s="26" t="str">
        <f>IF(OR(F382 = "", G382 = ""), "", IF(F382 = "Vara", IFERROR(_xlfn.SINGLE(_xlfn.XLOOKUP(G382, Vöruskrá!A:A, Vöruskrá!F:F, "")), ""), IF(F382 = "Réttur", IFERROR(_xlfn.SINGLE(_xlfn.XLOOKUP(G382, Réttabanki!A:A, Réttabanki!AT:AT, "")), ""), "")))</f>
        <v/>
      </c>
      <c r="N382" s="26" t="str">
        <f>IF(OR(F382 = "", G382 = ""), "", IF(F382 = "Vara", IFERROR(_xlfn.SINGLE(_xlfn.XLOOKUP(G382, Vöruskrá!A:A, Vöruskrá!G:G, "")), ""), IF(F382 = "Réttur", IFERROR(_xlfn.SINGLE(_xlfn.XLOOKUP(G382, Réttabanki!A:A, Réttabanki!AU:AU, "")), ""), "")))</f>
        <v/>
      </c>
      <c r="O382" s="26" t="str">
        <f>IF(OR(F382 = "", G382 = "", I382 = ""), "", IF(F382 = "Vara", IFERROR(_xlfn.SINGLE(_xlfn.XLOOKUP(G382, Vöruskrá!A:A, Vöruskrá!I:I, "")) * I382 / 100, ""), IF(F382 = "Réttur", IFERROR(_xlfn.SINGLE(_xlfn.XLOOKUP(G382, Réttabanki!A:A, Réttabanki!AV:AV, "")) * I382 / 100, ""), "")))</f>
        <v/>
      </c>
      <c r="P382" s="26" t="str">
        <f>IF(OR(F382 = "", G382 = "", I382 = ""), "", IF(F382 = "Vara", IFERROR(_xlfn.SINGLE(_xlfn.XLOOKUP(G382, Vöruskrá!A:A, Vöruskrá!J:J, "")) * I382 / 100, ""), IF(F382 = "Réttur", IFERROR(_xlfn.SINGLE(_xlfn.XLOOKUP(G382, Réttabanki!A:A, Réttabanki!AW:AW, "")) * I382 / 100, ""), "")))</f>
        <v/>
      </c>
      <c r="Q382" s="26" t="str">
        <f>IF(OR(F382 = "", G382 = "", I382 = ""), "", IF(F382 = "Vara", IFERROR(_xlfn.SINGLE(_xlfn.XLOOKUP(G382, Vöruskrá!A:A, Vöruskrá!N:N, "")) * I382 / 100, ""), IF(F382 = "Réttur", IFERROR(_xlfn.SINGLE(_xlfn.XLOOKUP(G382, Réttabanki!A:A, Réttabanki!BB:BB, "")) * I382 / 100, ""), "")))</f>
        <v/>
      </c>
    </row>
    <row r="383" spans="2:17">
      <c r="B383" s="33" t="str">
        <f>IF(A383&lt;&gt;"",CHOOSE(WEEKDAY(A383,2),"Mánudagur","Þriðjudagur","Miðvikudagur","Fimmtudagur","Föstudagur","Laugardagur","Sunnudagur"),IF(B382&lt;&gt;"",B382,""))</f>
        <v>Fimmtudagur</v>
      </c>
      <c r="C383" s="33">
        <f>IF(A383&lt;&gt;"",WEEKNUM(A383,21),IF(C382&lt;&gt;"",C382,""))</f>
        <v>27</v>
      </c>
      <c r="D383" s="34"/>
      <c r="E383" s="34"/>
      <c r="F383" s="34"/>
      <c r="G383" s="34"/>
      <c r="H383" s="34"/>
      <c r="I383" s="35"/>
      <c r="J383" s="35"/>
      <c r="K383" s="36"/>
      <c r="L383" s="26" t="str">
        <f>IF(OR(F383 = "", G383 = ""), "", IF(F383 = "Vara", IFERROR(_xlfn.SINGLE(_xlfn.XLOOKUP(G383, Vöruskrá!A:A, Vöruskrá!E:E, "")), ""), IF(F383 = "Réttur", IFERROR(_xlfn.SINGLE(_xlfn.XLOOKUP(G383, Réttabanki!A:A, Réttabanki!AS:AS, "")), ""), "")))</f>
        <v/>
      </c>
      <c r="M383" s="26" t="str">
        <f>IF(OR(F383 = "", G383 = ""), "", IF(F383 = "Vara", IFERROR(_xlfn.SINGLE(_xlfn.XLOOKUP(G383, Vöruskrá!A:A, Vöruskrá!F:F, "")), ""), IF(F383 = "Réttur", IFERROR(_xlfn.SINGLE(_xlfn.XLOOKUP(G383, Réttabanki!A:A, Réttabanki!AT:AT, "")), ""), "")))</f>
        <v/>
      </c>
      <c r="N383" s="26" t="str">
        <f>IF(OR(F383 = "", G383 = ""), "", IF(F383 = "Vara", IFERROR(_xlfn.SINGLE(_xlfn.XLOOKUP(G383, Vöruskrá!A:A, Vöruskrá!G:G, "")), ""), IF(F383 = "Réttur", IFERROR(_xlfn.SINGLE(_xlfn.XLOOKUP(G383, Réttabanki!A:A, Réttabanki!AU:AU, "")), ""), "")))</f>
        <v/>
      </c>
      <c r="O383" s="26" t="str">
        <f>IF(OR(F383 = "", G383 = "", I383 = ""), "", IF(F383 = "Vara", IFERROR(_xlfn.SINGLE(_xlfn.XLOOKUP(G383, Vöruskrá!A:A, Vöruskrá!I:I, "")) * I383 / 100, ""), IF(F383 = "Réttur", IFERROR(_xlfn.SINGLE(_xlfn.XLOOKUP(G383, Réttabanki!A:A, Réttabanki!AV:AV, "")) * I383 / 100, ""), "")))</f>
        <v/>
      </c>
      <c r="P383" s="26" t="str">
        <f>IF(OR(F383 = "", G383 = "", I383 = ""), "", IF(F383 = "Vara", IFERROR(_xlfn.SINGLE(_xlfn.XLOOKUP(G383, Vöruskrá!A:A, Vöruskrá!J:J, "")) * I383 / 100, ""), IF(F383 = "Réttur", IFERROR(_xlfn.SINGLE(_xlfn.XLOOKUP(G383, Réttabanki!A:A, Réttabanki!AW:AW, "")) * I383 / 100, ""), "")))</f>
        <v/>
      </c>
      <c r="Q383" s="26" t="str">
        <f>IF(OR(F383 = "", G383 = "", I383 = ""), "", IF(F383 = "Vara", IFERROR(_xlfn.SINGLE(_xlfn.XLOOKUP(G383, Vöruskrá!A:A, Vöruskrá!N:N, "")) * I383 / 100, ""), IF(F383 = "Réttur", IFERROR(_xlfn.SINGLE(_xlfn.XLOOKUP(G383, Réttabanki!A:A, Réttabanki!BB:BB, "")) * I383 / 100, ""), "")))</f>
        <v/>
      </c>
    </row>
    <row r="384" spans="2:17">
      <c r="B384" s="33" t="str">
        <f>IF(A384&lt;&gt;"",CHOOSE(WEEKDAY(A384,2),"Mánudagur","Þriðjudagur","Miðvikudagur","Fimmtudagur","Föstudagur","Laugardagur","Sunnudagur"),IF(B383&lt;&gt;"",B383,""))</f>
        <v>Fimmtudagur</v>
      </c>
      <c r="C384" s="33">
        <f>IF(A384&lt;&gt;"",WEEKNUM(A384,21),IF(C383&lt;&gt;"",C383,""))</f>
        <v>27</v>
      </c>
      <c r="D384" s="34"/>
      <c r="E384" s="34"/>
      <c r="F384" s="34"/>
      <c r="G384" s="34"/>
      <c r="H384" s="34"/>
      <c r="I384" s="35"/>
      <c r="J384" s="35"/>
      <c r="K384" s="36"/>
      <c r="L384" s="26" t="str">
        <f>IF(OR(F384 = "", G384 = ""), "", IF(F384 = "Vara", IFERROR(_xlfn.SINGLE(_xlfn.XLOOKUP(G384, Vöruskrá!A:A, Vöruskrá!E:E, "")), ""), IF(F384 = "Réttur", IFERROR(_xlfn.SINGLE(_xlfn.XLOOKUP(G384, Réttabanki!A:A, Réttabanki!AS:AS, "")), ""), "")))</f>
        <v/>
      </c>
      <c r="M384" s="26" t="str">
        <f>IF(OR(F384 = "", G384 = ""), "", IF(F384 = "Vara", IFERROR(_xlfn.SINGLE(_xlfn.XLOOKUP(G384, Vöruskrá!A:A, Vöruskrá!F:F, "")), ""), IF(F384 = "Réttur", IFERROR(_xlfn.SINGLE(_xlfn.XLOOKUP(G384, Réttabanki!A:A, Réttabanki!AT:AT, "")), ""), "")))</f>
        <v/>
      </c>
      <c r="N384" s="26" t="str">
        <f>IF(OR(F384 = "", G384 = ""), "", IF(F384 = "Vara", IFERROR(_xlfn.SINGLE(_xlfn.XLOOKUP(G384, Vöruskrá!A:A, Vöruskrá!G:G, "")), ""), IF(F384 = "Réttur", IFERROR(_xlfn.SINGLE(_xlfn.XLOOKUP(G384, Réttabanki!A:A, Réttabanki!AU:AU, "")), ""), "")))</f>
        <v/>
      </c>
      <c r="O384" s="26" t="str">
        <f>IF(OR(F384 = "", G384 = "", I384 = ""), "", IF(F384 = "Vara", IFERROR(_xlfn.SINGLE(_xlfn.XLOOKUP(G384, Vöruskrá!A:A, Vöruskrá!I:I, "")) * I384 / 100, ""), IF(F384 = "Réttur", IFERROR(_xlfn.SINGLE(_xlfn.XLOOKUP(G384, Réttabanki!A:A, Réttabanki!AV:AV, "")) * I384 / 100, ""), "")))</f>
        <v/>
      </c>
      <c r="P384" s="26" t="str">
        <f>IF(OR(F384 = "", G384 = "", I384 = ""), "", IF(F384 = "Vara", IFERROR(_xlfn.SINGLE(_xlfn.XLOOKUP(G384, Vöruskrá!A:A, Vöruskrá!J:J, "")) * I384 / 100, ""), IF(F384 = "Réttur", IFERROR(_xlfn.SINGLE(_xlfn.XLOOKUP(G384, Réttabanki!A:A, Réttabanki!AW:AW, "")) * I384 / 100, ""), "")))</f>
        <v/>
      </c>
      <c r="Q384" s="26" t="str">
        <f>IF(OR(F384 = "", G384 = "", I384 = ""), "", IF(F384 = "Vara", IFERROR(_xlfn.SINGLE(_xlfn.XLOOKUP(G384, Vöruskrá!A:A, Vöruskrá!N:N, "")) * I384 / 100, ""), IF(F384 = "Réttur", IFERROR(_xlfn.SINGLE(_xlfn.XLOOKUP(G384, Réttabanki!A:A, Réttabanki!BB:BB, "")) * I384 / 100, ""), "")))</f>
        <v/>
      </c>
    </row>
    <row r="385" spans="2:17">
      <c r="B385" s="33" t="str">
        <f>IF(A385&lt;&gt;"",CHOOSE(WEEKDAY(A385,2),"Mánudagur","Þriðjudagur","Miðvikudagur","Fimmtudagur","Föstudagur","Laugardagur","Sunnudagur"),IF(B384&lt;&gt;"",B384,""))</f>
        <v>Fimmtudagur</v>
      </c>
      <c r="C385" s="33">
        <f>IF(A385&lt;&gt;"",WEEKNUM(A385,21),IF(C384&lt;&gt;"",C384,""))</f>
        <v>27</v>
      </c>
      <c r="D385" s="34"/>
      <c r="E385" s="34"/>
      <c r="F385" s="34"/>
      <c r="G385" s="34"/>
      <c r="H385" s="34"/>
      <c r="I385" s="35"/>
      <c r="J385" s="35"/>
      <c r="K385" s="36"/>
      <c r="L385" s="26" t="str">
        <f>IF(OR(F385 = "", G385 = ""), "", IF(F385 = "Vara", IFERROR(_xlfn.SINGLE(_xlfn.XLOOKUP(G385, Vöruskrá!A:A, Vöruskrá!E:E, "")), ""), IF(F385 = "Réttur", IFERROR(_xlfn.SINGLE(_xlfn.XLOOKUP(G385, Réttabanki!A:A, Réttabanki!AS:AS, "")), ""), "")))</f>
        <v/>
      </c>
      <c r="M385" s="26" t="str">
        <f>IF(OR(F385 = "", G385 = ""), "", IF(F385 = "Vara", IFERROR(_xlfn.SINGLE(_xlfn.XLOOKUP(G385, Vöruskrá!A:A, Vöruskrá!F:F, "")), ""), IF(F385 = "Réttur", IFERROR(_xlfn.SINGLE(_xlfn.XLOOKUP(G385, Réttabanki!A:A, Réttabanki!AT:AT, "")), ""), "")))</f>
        <v/>
      </c>
      <c r="N385" s="26" t="str">
        <f>IF(OR(F385 = "", G385 = ""), "", IF(F385 = "Vara", IFERROR(_xlfn.SINGLE(_xlfn.XLOOKUP(G385, Vöruskrá!A:A, Vöruskrá!G:G, "")), ""), IF(F385 = "Réttur", IFERROR(_xlfn.SINGLE(_xlfn.XLOOKUP(G385, Réttabanki!A:A, Réttabanki!AU:AU, "")), ""), "")))</f>
        <v/>
      </c>
      <c r="O385" s="26" t="str">
        <f>IF(OR(F385 = "", G385 = "", I385 = ""), "", IF(F385 = "Vara", IFERROR(_xlfn.SINGLE(_xlfn.XLOOKUP(G385, Vöruskrá!A:A, Vöruskrá!I:I, "")) * I385 / 100, ""), IF(F385 = "Réttur", IFERROR(_xlfn.SINGLE(_xlfn.XLOOKUP(G385, Réttabanki!A:A, Réttabanki!AV:AV, "")) * I385 / 100, ""), "")))</f>
        <v/>
      </c>
      <c r="P385" s="26" t="str">
        <f>IF(OR(F385 = "", G385 = "", I385 = ""), "", IF(F385 = "Vara", IFERROR(_xlfn.SINGLE(_xlfn.XLOOKUP(G385, Vöruskrá!A:A, Vöruskrá!J:J, "")) * I385 / 100, ""), IF(F385 = "Réttur", IFERROR(_xlfn.SINGLE(_xlfn.XLOOKUP(G385, Réttabanki!A:A, Réttabanki!AW:AW, "")) * I385 / 100, ""), "")))</f>
        <v/>
      </c>
      <c r="Q385" s="26" t="str">
        <f>IF(OR(F385 = "", G385 = "", I385 = ""), "", IF(F385 = "Vara", IFERROR(_xlfn.SINGLE(_xlfn.XLOOKUP(G385, Vöruskrá!A:A, Vöruskrá!N:N, "")) * I385 / 100, ""), IF(F385 = "Réttur", IFERROR(_xlfn.SINGLE(_xlfn.XLOOKUP(G385, Réttabanki!A:A, Réttabanki!BB:BB, "")) * I385 / 100, ""), "")))</f>
        <v/>
      </c>
    </row>
    <row r="386" spans="2:17">
      <c r="B386" s="33" t="str">
        <f>IF(A386&lt;&gt;"",CHOOSE(WEEKDAY(A386,2),"Mánudagur","Þriðjudagur","Miðvikudagur","Fimmtudagur","Föstudagur","Laugardagur","Sunnudagur"),IF(B385&lt;&gt;"",B385,""))</f>
        <v>Fimmtudagur</v>
      </c>
      <c r="C386" s="33">
        <f>IF(A386&lt;&gt;"",WEEKNUM(A386,21),IF(C385&lt;&gt;"",C385,""))</f>
        <v>27</v>
      </c>
      <c r="D386" s="34"/>
      <c r="E386" s="34"/>
      <c r="F386" s="34"/>
      <c r="G386" s="34"/>
      <c r="H386" s="34"/>
      <c r="I386" s="35"/>
      <c r="J386" s="35"/>
      <c r="K386" s="36"/>
      <c r="L386" s="26" t="str">
        <f>IF(OR(F386 = "", G386 = ""), "", IF(F386 = "Vara", IFERROR(_xlfn.SINGLE(_xlfn.XLOOKUP(G386, Vöruskrá!A:A, Vöruskrá!E:E, "")), ""), IF(F386 = "Réttur", IFERROR(_xlfn.SINGLE(_xlfn.XLOOKUP(G386, Réttabanki!A:A, Réttabanki!AS:AS, "")), ""), "")))</f>
        <v/>
      </c>
      <c r="M386" s="26" t="str">
        <f>IF(OR(F386 = "", G386 = ""), "", IF(F386 = "Vara", IFERROR(_xlfn.SINGLE(_xlfn.XLOOKUP(G386, Vöruskrá!A:A, Vöruskrá!F:F, "")), ""), IF(F386 = "Réttur", IFERROR(_xlfn.SINGLE(_xlfn.XLOOKUP(G386, Réttabanki!A:A, Réttabanki!AT:AT, "")), ""), "")))</f>
        <v/>
      </c>
      <c r="N386" s="26" t="str">
        <f>IF(OR(F386 = "", G386 = ""), "", IF(F386 = "Vara", IFERROR(_xlfn.SINGLE(_xlfn.XLOOKUP(G386, Vöruskrá!A:A, Vöruskrá!G:G, "")), ""), IF(F386 = "Réttur", IFERROR(_xlfn.SINGLE(_xlfn.XLOOKUP(G386, Réttabanki!A:A, Réttabanki!AU:AU, "")), ""), "")))</f>
        <v/>
      </c>
      <c r="O386" s="26" t="str">
        <f>IF(OR(F386 = "", G386 = "", I386 = ""), "", IF(F386 = "Vara", IFERROR(_xlfn.SINGLE(_xlfn.XLOOKUP(G386, Vöruskrá!A:A, Vöruskrá!I:I, "")) * I386 / 100, ""), IF(F386 = "Réttur", IFERROR(_xlfn.SINGLE(_xlfn.XLOOKUP(G386, Réttabanki!A:A, Réttabanki!AV:AV, "")) * I386 / 100, ""), "")))</f>
        <v/>
      </c>
      <c r="P386" s="26" t="str">
        <f>IF(OR(F386 = "", G386 = "", I386 = ""), "", IF(F386 = "Vara", IFERROR(_xlfn.SINGLE(_xlfn.XLOOKUP(G386, Vöruskrá!A:A, Vöruskrá!J:J, "")) * I386 / 100, ""), IF(F386 = "Réttur", IFERROR(_xlfn.SINGLE(_xlfn.XLOOKUP(G386, Réttabanki!A:A, Réttabanki!AW:AW, "")) * I386 / 100, ""), "")))</f>
        <v/>
      </c>
      <c r="Q386" s="26" t="str">
        <f>IF(OR(F386 = "", G386 = "", I386 = ""), "", IF(F386 = "Vara", IFERROR(_xlfn.SINGLE(_xlfn.XLOOKUP(G386, Vöruskrá!A:A, Vöruskrá!N:N, "")) * I386 / 100, ""), IF(F386 = "Réttur", IFERROR(_xlfn.SINGLE(_xlfn.XLOOKUP(G386, Réttabanki!A:A, Réttabanki!BB:BB, "")) * I386 / 100, ""), "")))</f>
        <v/>
      </c>
    </row>
    <row r="387" spans="2:17">
      <c r="B387" s="33" t="str">
        <f>IF(A387&lt;&gt;"",CHOOSE(WEEKDAY(A387,2),"Mánudagur","Þriðjudagur","Miðvikudagur","Fimmtudagur","Föstudagur","Laugardagur","Sunnudagur"),IF(B386&lt;&gt;"",B386,""))</f>
        <v>Fimmtudagur</v>
      </c>
      <c r="C387" s="33">
        <f>IF(A387&lt;&gt;"",WEEKNUM(A387,21),IF(C386&lt;&gt;"",C386,""))</f>
        <v>27</v>
      </c>
      <c r="D387" s="34"/>
      <c r="E387" s="34"/>
      <c r="F387" s="34"/>
      <c r="G387" s="34"/>
      <c r="H387" s="34"/>
      <c r="I387" s="35"/>
      <c r="J387" s="35"/>
      <c r="K387" s="36"/>
      <c r="L387" s="26" t="str">
        <f>IF(OR(F387 = "", G387 = ""), "", IF(F387 = "Vara", IFERROR(_xlfn.SINGLE(_xlfn.XLOOKUP(G387, Vöruskrá!A:A, Vöruskrá!E:E, "")), ""), IF(F387 = "Réttur", IFERROR(_xlfn.SINGLE(_xlfn.XLOOKUP(G387, Réttabanki!A:A, Réttabanki!AS:AS, "")), ""), "")))</f>
        <v/>
      </c>
      <c r="M387" s="26" t="str">
        <f>IF(OR(F387 = "", G387 = ""), "", IF(F387 = "Vara", IFERROR(_xlfn.SINGLE(_xlfn.XLOOKUP(G387, Vöruskrá!A:A, Vöruskrá!F:F, "")), ""), IF(F387 = "Réttur", IFERROR(_xlfn.SINGLE(_xlfn.XLOOKUP(G387, Réttabanki!A:A, Réttabanki!AT:AT, "")), ""), "")))</f>
        <v/>
      </c>
      <c r="N387" s="26" t="str">
        <f>IF(OR(F387 = "", G387 = ""), "", IF(F387 = "Vara", IFERROR(_xlfn.SINGLE(_xlfn.XLOOKUP(G387, Vöruskrá!A:A, Vöruskrá!G:G, "")), ""), IF(F387 = "Réttur", IFERROR(_xlfn.SINGLE(_xlfn.XLOOKUP(G387, Réttabanki!A:A, Réttabanki!AU:AU, "")), ""), "")))</f>
        <v/>
      </c>
      <c r="O387" s="26" t="str">
        <f>IF(OR(F387 = "", G387 = "", I387 = ""), "", IF(F387 = "Vara", IFERROR(_xlfn.SINGLE(_xlfn.XLOOKUP(G387, Vöruskrá!A:A, Vöruskrá!I:I, "")) * I387 / 100, ""), IF(F387 = "Réttur", IFERROR(_xlfn.SINGLE(_xlfn.XLOOKUP(G387, Réttabanki!A:A, Réttabanki!AV:AV, "")) * I387 / 100, ""), "")))</f>
        <v/>
      </c>
      <c r="P387" s="26" t="str">
        <f>IF(OR(F387 = "", G387 = "", I387 = ""), "", IF(F387 = "Vara", IFERROR(_xlfn.SINGLE(_xlfn.XLOOKUP(G387, Vöruskrá!A:A, Vöruskrá!J:J, "")) * I387 / 100, ""), IF(F387 = "Réttur", IFERROR(_xlfn.SINGLE(_xlfn.XLOOKUP(G387, Réttabanki!A:A, Réttabanki!AW:AW, "")) * I387 / 100, ""), "")))</f>
        <v/>
      </c>
      <c r="Q387" s="26" t="str">
        <f>IF(OR(F387 = "", G387 = "", I387 = ""), "", IF(F387 = "Vara", IFERROR(_xlfn.SINGLE(_xlfn.XLOOKUP(G387, Vöruskrá!A:A, Vöruskrá!N:N, "")) * I387 / 100, ""), IF(F387 = "Réttur", IFERROR(_xlfn.SINGLE(_xlfn.XLOOKUP(G387, Réttabanki!A:A, Réttabanki!BB:BB, "")) * I387 / 100, ""), "")))</f>
        <v/>
      </c>
    </row>
    <row r="388" spans="2:17">
      <c r="B388" s="33" t="str">
        <f>IF(A388&lt;&gt;"",CHOOSE(WEEKDAY(A388,2),"Mánudagur","Þriðjudagur","Miðvikudagur","Fimmtudagur","Föstudagur","Laugardagur","Sunnudagur"),IF(B387&lt;&gt;"",B387,""))</f>
        <v>Fimmtudagur</v>
      </c>
      <c r="C388" s="33">
        <f>IF(A388&lt;&gt;"",WEEKNUM(A388,21),IF(C387&lt;&gt;"",C387,""))</f>
        <v>27</v>
      </c>
      <c r="D388" s="34"/>
      <c r="E388" s="34"/>
      <c r="F388" s="34"/>
      <c r="G388" s="34"/>
      <c r="H388" s="34"/>
      <c r="I388" s="35"/>
      <c r="J388" s="35"/>
      <c r="K388" s="36"/>
      <c r="L388" s="26" t="str">
        <f>IF(OR(F388 = "", G388 = ""), "", IF(F388 = "Vara", IFERROR(_xlfn.SINGLE(_xlfn.XLOOKUP(G388, Vöruskrá!A:A, Vöruskrá!E:E, "")), ""), IF(F388 = "Réttur", IFERROR(_xlfn.SINGLE(_xlfn.XLOOKUP(G388, Réttabanki!A:A, Réttabanki!AS:AS, "")), ""), "")))</f>
        <v/>
      </c>
      <c r="M388" s="26" t="str">
        <f>IF(OR(F388 = "", G388 = ""), "", IF(F388 = "Vara", IFERROR(_xlfn.SINGLE(_xlfn.XLOOKUP(G388, Vöruskrá!A:A, Vöruskrá!F:F, "")), ""), IF(F388 = "Réttur", IFERROR(_xlfn.SINGLE(_xlfn.XLOOKUP(G388, Réttabanki!A:A, Réttabanki!AT:AT, "")), ""), "")))</f>
        <v/>
      </c>
      <c r="N388" s="26" t="str">
        <f>IF(OR(F388 = "", G388 = ""), "", IF(F388 = "Vara", IFERROR(_xlfn.SINGLE(_xlfn.XLOOKUP(G388, Vöruskrá!A:A, Vöruskrá!G:G, "")), ""), IF(F388 = "Réttur", IFERROR(_xlfn.SINGLE(_xlfn.XLOOKUP(G388, Réttabanki!A:A, Réttabanki!AU:AU, "")), ""), "")))</f>
        <v/>
      </c>
      <c r="O388" s="26" t="str">
        <f>IF(OR(F388 = "", G388 = "", I388 = ""), "", IF(F388 = "Vara", IFERROR(_xlfn.SINGLE(_xlfn.XLOOKUP(G388, Vöruskrá!A:A, Vöruskrá!I:I, "")) * I388 / 100, ""), IF(F388 = "Réttur", IFERROR(_xlfn.SINGLE(_xlfn.XLOOKUP(G388, Réttabanki!A:A, Réttabanki!AV:AV, "")) * I388 / 100, ""), "")))</f>
        <v/>
      </c>
      <c r="P388" s="26" t="str">
        <f>IF(OR(F388 = "", G388 = "", I388 = ""), "", IF(F388 = "Vara", IFERROR(_xlfn.SINGLE(_xlfn.XLOOKUP(G388, Vöruskrá!A:A, Vöruskrá!J:J, "")) * I388 / 100, ""), IF(F388 = "Réttur", IFERROR(_xlfn.SINGLE(_xlfn.XLOOKUP(G388, Réttabanki!A:A, Réttabanki!AW:AW, "")) * I388 / 100, ""), "")))</f>
        <v/>
      </c>
      <c r="Q388" s="26" t="str">
        <f>IF(OR(F388 = "", G388 = "", I388 = ""), "", IF(F388 = "Vara", IFERROR(_xlfn.SINGLE(_xlfn.XLOOKUP(G388, Vöruskrá!A:A, Vöruskrá!N:N, "")) * I388 / 100, ""), IF(F388 = "Réttur", IFERROR(_xlfn.SINGLE(_xlfn.XLOOKUP(G388, Réttabanki!A:A, Réttabanki!BB:BB, "")) * I388 / 100, ""), "")))</f>
        <v/>
      </c>
    </row>
    <row r="389" spans="2:17">
      <c r="B389" s="33" t="str">
        <f>IF(A389&lt;&gt;"",CHOOSE(WEEKDAY(A389,2),"Mánudagur","Þriðjudagur","Miðvikudagur","Fimmtudagur","Föstudagur","Laugardagur","Sunnudagur"),IF(B388&lt;&gt;"",B388,""))</f>
        <v>Fimmtudagur</v>
      </c>
      <c r="C389" s="33">
        <f>IF(A389&lt;&gt;"",WEEKNUM(A389,21),IF(C388&lt;&gt;"",C388,""))</f>
        <v>27</v>
      </c>
      <c r="D389" s="34"/>
      <c r="E389" s="34"/>
      <c r="F389" s="34"/>
      <c r="G389" s="34"/>
      <c r="H389" s="34"/>
      <c r="I389" s="35"/>
      <c r="J389" s="35"/>
      <c r="K389" s="36"/>
      <c r="L389" s="26" t="str">
        <f>IF(OR(F389 = "", G389 = ""), "", IF(F389 = "Vara", IFERROR(_xlfn.SINGLE(_xlfn.XLOOKUP(G389, Vöruskrá!A:A, Vöruskrá!E:E, "")), ""), IF(F389 = "Réttur", IFERROR(_xlfn.SINGLE(_xlfn.XLOOKUP(G389, Réttabanki!A:A, Réttabanki!AS:AS, "")), ""), "")))</f>
        <v/>
      </c>
      <c r="M389" s="26" t="str">
        <f>IF(OR(F389 = "", G389 = ""), "", IF(F389 = "Vara", IFERROR(_xlfn.SINGLE(_xlfn.XLOOKUP(G389, Vöruskrá!A:A, Vöruskrá!F:F, "")), ""), IF(F389 = "Réttur", IFERROR(_xlfn.SINGLE(_xlfn.XLOOKUP(G389, Réttabanki!A:A, Réttabanki!AT:AT, "")), ""), "")))</f>
        <v/>
      </c>
      <c r="N389" s="26" t="str">
        <f>IF(OR(F389 = "", G389 = ""), "", IF(F389 = "Vara", IFERROR(_xlfn.SINGLE(_xlfn.XLOOKUP(G389, Vöruskrá!A:A, Vöruskrá!G:G, "")), ""), IF(F389 = "Réttur", IFERROR(_xlfn.SINGLE(_xlfn.XLOOKUP(G389, Réttabanki!A:A, Réttabanki!AU:AU, "")), ""), "")))</f>
        <v/>
      </c>
      <c r="O389" s="26" t="str">
        <f>IF(OR(F389 = "", G389 = "", I389 = ""), "", IF(F389 = "Vara", IFERROR(_xlfn.SINGLE(_xlfn.XLOOKUP(G389, Vöruskrá!A:A, Vöruskrá!I:I, "")) * I389 / 100, ""), IF(F389 = "Réttur", IFERROR(_xlfn.SINGLE(_xlfn.XLOOKUP(G389, Réttabanki!A:A, Réttabanki!AV:AV, "")) * I389 / 100, ""), "")))</f>
        <v/>
      </c>
      <c r="P389" s="26" t="str">
        <f>IF(OR(F389 = "", G389 = "", I389 = ""), "", IF(F389 = "Vara", IFERROR(_xlfn.SINGLE(_xlfn.XLOOKUP(G389, Vöruskrá!A:A, Vöruskrá!J:J, "")) * I389 / 100, ""), IF(F389 = "Réttur", IFERROR(_xlfn.SINGLE(_xlfn.XLOOKUP(G389, Réttabanki!A:A, Réttabanki!AW:AW, "")) * I389 / 100, ""), "")))</f>
        <v/>
      </c>
      <c r="Q389" s="26" t="str">
        <f>IF(OR(F389 = "", G389 = "", I389 = ""), "", IF(F389 = "Vara", IFERROR(_xlfn.SINGLE(_xlfn.XLOOKUP(G389, Vöruskrá!A:A, Vöruskrá!N:N, "")) * I389 / 100, ""), IF(F389 = "Réttur", IFERROR(_xlfn.SINGLE(_xlfn.XLOOKUP(G389, Réttabanki!A:A, Réttabanki!BB:BB, "")) * I389 / 100, ""), "")))</f>
        <v/>
      </c>
    </row>
    <row r="390" spans="2:17">
      <c r="B390" s="33" t="str">
        <f>IF(A390&lt;&gt;"",CHOOSE(WEEKDAY(A390,2),"Mánudagur","Þriðjudagur","Miðvikudagur","Fimmtudagur","Föstudagur","Laugardagur","Sunnudagur"),IF(B389&lt;&gt;"",B389,""))</f>
        <v>Fimmtudagur</v>
      </c>
      <c r="C390" s="33">
        <f>IF(A390&lt;&gt;"",WEEKNUM(A390,21),IF(C389&lt;&gt;"",C389,""))</f>
        <v>27</v>
      </c>
      <c r="D390" s="34"/>
      <c r="E390" s="34"/>
      <c r="F390" s="34"/>
      <c r="G390" s="34"/>
      <c r="H390" s="34"/>
      <c r="I390" s="35"/>
      <c r="J390" s="35"/>
      <c r="K390" s="36"/>
      <c r="L390" s="26" t="str">
        <f>IF(OR(F390 = "", G390 = ""), "", IF(F390 = "Vara", IFERROR(_xlfn.SINGLE(_xlfn.XLOOKUP(G390, Vöruskrá!A:A, Vöruskrá!E:E, "")), ""), IF(F390 = "Réttur", IFERROR(_xlfn.SINGLE(_xlfn.XLOOKUP(G390, Réttabanki!A:A, Réttabanki!AS:AS, "")), ""), "")))</f>
        <v/>
      </c>
      <c r="M390" s="26" t="str">
        <f>IF(OR(F390 = "", G390 = ""), "", IF(F390 = "Vara", IFERROR(_xlfn.SINGLE(_xlfn.XLOOKUP(G390, Vöruskrá!A:A, Vöruskrá!F:F, "")), ""), IF(F390 = "Réttur", IFERROR(_xlfn.SINGLE(_xlfn.XLOOKUP(G390, Réttabanki!A:A, Réttabanki!AT:AT, "")), ""), "")))</f>
        <v/>
      </c>
      <c r="N390" s="26" t="str">
        <f>IF(OR(F390 = "", G390 = ""), "", IF(F390 = "Vara", IFERROR(_xlfn.SINGLE(_xlfn.XLOOKUP(G390, Vöruskrá!A:A, Vöruskrá!G:G, "")), ""), IF(F390 = "Réttur", IFERROR(_xlfn.SINGLE(_xlfn.XLOOKUP(G390, Réttabanki!A:A, Réttabanki!AU:AU, "")), ""), "")))</f>
        <v/>
      </c>
      <c r="O390" s="26" t="str">
        <f>IF(OR(F390 = "", G390 = "", I390 = ""), "", IF(F390 = "Vara", IFERROR(_xlfn.SINGLE(_xlfn.XLOOKUP(G390, Vöruskrá!A:A, Vöruskrá!I:I, "")) * I390 / 100, ""), IF(F390 = "Réttur", IFERROR(_xlfn.SINGLE(_xlfn.XLOOKUP(G390, Réttabanki!A:A, Réttabanki!AV:AV, "")) * I390 / 100, ""), "")))</f>
        <v/>
      </c>
      <c r="P390" s="26" t="str">
        <f>IF(OR(F390 = "", G390 = "", I390 = ""), "", IF(F390 = "Vara", IFERROR(_xlfn.SINGLE(_xlfn.XLOOKUP(G390, Vöruskrá!A:A, Vöruskrá!J:J, "")) * I390 / 100, ""), IF(F390 = "Réttur", IFERROR(_xlfn.SINGLE(_xlfn.XLOOKUP(G390, Réttabanki!A:A, Réttabanki!AW:AW, "")) * I390 / 100, ""), "")))</f>
        <v/>
      </c>
      <c r="Q390" s="26" t="str">
        <f>IF(OR(F390 = "", G390 = "", I390 = ""), "", IF(F390 = "Vara", IFERROR(_xlfn.SINGLE(_xlfn.XLOOKUP(G390, Vöruskrá!A:A, Vöruskrá!N:N, "")) * I390 / 100, ""), IF(F390 = "Réttur", IFERROR(_xlfn.SINGLE(_xlfn.XLOOKUP(G390, Réttabanki!A:A, Réttabanki!BB:BB, "")) * I390 / 100, ""), "")))</f>
        <v/>
      </c>
    </row>
    <row r="391" spans="2:17">
      <c r="B391" s="33" t="str">
        <f>IF(A391&lt;&gt;"",CHOOSE(WEEKDAY(A391,2),"Mánudagur","Þriðjudagur","Miðvikudagur","Fimmtudagur","Föstudagur","Laugardagur","Sunnudagur"),IF(B390&lt;&gt;"",B390,""))</f>
        <v>Fimmtudagur</v>
      </c>
      <c r="C391" s="33">
        <f>IF(A391&lt;&gt;"",WEEKNUM(A391,21),IF(C390&lt;&gt;"",C390,""))</f>
        <v>27</v>
      </c>
      <c r="D391" s="34"/>
      <c r="E391" s="34"/>
      <c r="F391" s="34"/>
      <c r="G391" s="34"/>
      <c r="H391" s="34"/>
      <c r="I391" s="35"/>
      <c r="J391" s="35"/>
      <c r="K391" s="36"/>
      <c r="L391" s="26" t="str">
        <f>IF(OR(F391 = "", G391 = ""), "", IF(F391 = "Vara", IFERROR(_xlfn.SINGLE(_xlfn.XLOOKUP(G391, Vöruskrá!A:A, Vöruskrá!E:E, "")), ""), IF(F391 = "Réttur", IFERROR(_xlfn.SINGLE(_xlfn.XLOOKUP(G391, Réttabanki!A:A, Réttabanki!AS:AS, "")), ""), "")))</f>
        <v/>
      </c>
      <c r="M391" s="26" t="str">
        <f>IF(OR(F391 = "", G391 = ""), "", IF(F391 = "Vara", IFERROR(_xlfn.SINGLE(_xlfn.XLOOKUP(G391, Vöruskrá!A:A, Vöruskrá!F:F, "")), ""), IF(F391 = "Réttur", IFERROR(_xlfn.SINGLE(_xlfn.XLOOKUP(G391, Réttabanki!A:A, Réttabanki!AT:AT, "")), ""), "")))</f>
        <v/>
      </c>
      <c r="N391" s="26" t="str">
        <f>IF(OR(F391 = "", G391 = ""), "", IF(F391 = "Vara", IFERROR(_xlfn.SINGLE(_xlfn.XLOOKUP(G391, Vöruskrá!A:A, Vöruskrá!G:G, "")), ""), IF(F391 = "Réttur", IFERROR(_xlfn.SINGLE(_xlfn.XLOOKUP(G391, Réttabanki!A:A, Réttabanki!AU:AU, "")), ""), "")))</f>
        <v/>
      </c>
      <c r="O391" s="26" t="str">
        <f>IF(OR(F391 = "", G391 = "", I391 = ""), "", IF(F391 = "Vara", IFERROR(_xlfn.SINGLE(_xlfn.XLOOKUP(G391, Vöruskrá!A:A, Vöruskrá!I:I, "")) * I391 / 100, ""), IF(F391 = "Réttur", IFERROR(_xlfn.SINGLE(_xlfn.XLOOKUP(G391, Réttabanki!A:A, Réttabanki!AV:AV, "")) * I391 / 100, ""), "")))</f>
        <v/>
      </c>
      <c r="P391" s="26" t="str">
        <f>IF(OR(F391 = "", G391 = "", I391 = ""), "", IF(F391 = "Vara", IFERROR(_xlfn.SINGLE(_xlfn.XLOOKUP(G391, Vöruskrá!A:A, Vöruskrá!J:J, "")) * I391 / 100, ""), IF(F391 = "Réttur", IFERROR(_xlfn.SINGLE(_xlfn.XLOOKUP(G391, Réttabanki!A:A, Réttabanki!AW:AW, "")) * I391 / 100, ""), "")))</f>
        <v/>
      </c>
      <c r="Q391" s="26" t="str">
        <f>IF(OR(F391 = "", G391 = "", I391 = ""), "", IF(F391 = "Vara", IFERROR(_xlfn.SINGLE(_xlfn.XLOOKUP(G391, Vöruskrá!A:A, Vöruskrá!N:N, "")) * I391 / 100, ""), IF(F391 = "Réttur", IFERROR(_xlfn.SINGLE(_xlfn.XLOOKUP(G391, Réttabanki!A:A, Réttabanki!BB:BB, "")) * I391 / 100, ""), "")))</f>
        <v/>
      </c>
    </row>
    <row r="392" spans="2:17">
      <c r="B392" s="33" t="str">
        <f>IF(A392&lt;&gt;"",CHOOSE(WEEKDAY(A392,2),"Mánudagur","Þriðjudagur","Miðvikudagur","Fimmtudagur","Föstudagur","Laugardagur","Sunnudagur"),IF(B391&lt;&gt;"",B391,""))</f>
        <v>Fimmtudagur</v>
      </c>
      <c r="C392" s="33">
        <f>IF(A392&lt;&gt;"",WEEKNUM(A392,21),IF(C391&lt;&gt;"",C391,""))</f>
        <v>27</v>
      </c>
      <c r="D392" s="34"/>
      <c r="E392" s="34"/>
      <c r="F392" s="34"/>
      <c r="G392" s="34"/>
      <c r="H392" s="34"/>
      <c r="I392" s="35"/>
      <c r="J392" s="35"/>
      <c r="K392" s="36"/>
      <c r="L392" s="26" t="str">
        <f>IF(OR(F392 = "", G392 = ""), "", IF(F392 = "Vara", IFERROR(_xlfn.SINGLE(_xlfn.XLOOKUP(G392, Vöruskrá!A:A, Vöruskrá!E:E, "")), ""), IF(F392 = "Réttur", IFERROR(_xlfn.SINGLE(_xlfn.XLOOKUP(G392, Réttabanki!A:A, Réttabanki!AS:AS, "")), ""), "")))</f>
        <v/>
      </c>
      <c r="M392" s="26" t="str">
        <f>IF(OR(F392 = "", G392 = ""), "", IF(F392 = "Vara", IFERROR(_xlfn.SINGLE(_xlfn.XLOOKUP(G392, Vöruskrá!A:A, Vöruskrá!F:F, "")), ""), IF(F392 = "Réttur", IFERROR(_xlfn.SINGLE(_xlfn.XLOOKUP(G392, Réttabanki!A:A, Réttabanki!AT:AT, "")), ""), "")))</f>
        <v/>
      </c>
      <c r="N392" s="26" t="str">
        <f>IF(OR(F392 = "", G392 = ""), "", IF(F392 = "Vara", IFERROR(_xlfn.SINGLE(_xlfn.XLOOKUP(G392, Vöruskrá!A:A, Vöruskrá!G:G, "")), ""), IF(F392 = "Réttur", IFERROR(_xlfn.SINGLE(_xlfn.XLOOKUP(G392, Réttabanki!A:A, Réttabanki!AU:AU, "")), ""), "")))</f>
        <v/>
      </c>
      <c r="O392" s="26" t="str">
        <f>IF(OR(F392 = "", G392 = "", I392 = ""), "", IF(F392 = "Vara", IFERROR(_xlfn.SINGLE(_xlfn.XLOOKUP(G392, Vöruskrá!A:A, Vöruskrá!I:I, "")) * I392 / 100, ""), IF(F392 = "Réttur", IFERROR(_xlfn.SINGLE(_xlfn.XLOOKUP(G392, Réttabanki!A:A, Réttabanki!AV:AV, "")) * I392 / 100, ""), "")))</f>
        <v/>
      </c>
      <c r="P392" s="26" t="str">
        <f>IF(OR(F392 = "", G392 = "", I392 = ""), "", IF(F392 = "Vara", IFERROR(_xlfn.SINGLE(_xlfn.XLOOKUP(G392, Vöruskrá!A:A, Vöruskrá!J:J, "")) * I392 / 100, ""), IF(F392 = "Réttur", IFERROR(_xlfn.SINGLE(_xlfn.XLOOKUP(G392, Réttabanki!A:A, Réttabanki!AW:AW, "")) * I392 / 100, ""), "")))</f>
        <v/>
      </c>
      <c r="Q392" s="26" t="str">
        <f>IF(OR(F392 = "", G392 = "", I392 = ""), "", IF(F392 = "Vara", IFERROR(_xlfn.SINGLE(_xlfn.XLOOKUP(G392, Vöruskrá!A:A, Vöruskrá!N:N, "")) * I392 / 100, ""), IF(F392 = "Réttur", IFERROR(_xlfn.SINGLE(_xlfn.XLOOKUP(G392, Réttabanki!A:A, Réttabanki!BB:BB, "")) * I392 / 100, ""), "")))</f>
        <v/>
      </c>
    </row>
    <row r="393" spans="2:17">
      <c r="B393" s="33" t="str">
        <f>IF(A393&lt;&gt;"",CHOOSE(WEEKDAY(A393,2),"Mánudagur","Þriðjudagur","Miðvikudagur","Fimmtudagur","Föstudagur","Laugardagur","Sunnudagur"),IF(B392&lt;&gt;"",B392,""))</f>
        <v>Fimmtudagur</v>
      </c>
      <c r="C393" s="33">
        <f>IF(A393&lt;&gt;"",WEEKNUM(A393,21),IF(C392&lt;&gt;"",C392,""))</f>
        <v>27</v>
      </c>
      <c r="D393" s="34"/>
      <c r="E393" s="34"/>
      <c r="F393" s="34"/>
      <c r="G393" s="34"/>
      <c r="H393" s="34"/>
      <c r="I393" s="35"/>
      <c r="J393" s="35"/>
      <c r="K393" s="36"/>
      <c r="L393" s="26" t="str">
        <f>IF(OR(F393 = "", G393 = ""), "", IF(F393 = "Vara", IFERROR(_xlfn.SINGLE(_xlfn.XLOOKUP(G393, Vöruskrá!A:A, Vöruskrá!E:E, "")), ""), IF(F393 = "Réttur", IFERROR(_xlfn.SINGLE(_xlfn.XLOOKUP(G393, Réttabanki!A:A, Réttabanki!AS:AS, "")), ""), "")))</f>
        <v/>
      </c>
      <c r="M393" s="26" t="str">
        <f>IF(OR(F393 = "", G393 = ""), "", IF(F393 = "Vara", IFERROR(_xlfn.SINGLE(_xlfn.XLOOKUP(G393, Vöruskrá!A:A, Vöruskrá!F:F, "")), ""), IF(F393 = "Réttur", IFERROR(_xlfn.SINGLE(_xlfn.XLOOKUP(G393, Réttabanki!A:A, Réttabanki!AT:AT, "")), ""), "")))</f>
        <v/>
      </c>
      <c r="N393" s="26" t="str">
        <f>IF(OR(F393 = "", G393 = ""), "", IF(F393 = "Vara", IFERROR(_xlfn.SINGLE(_xlfn.XLOOKUP(G393, Vöruskrá!A:A, Vöruskrá!G:G, "")), ""), IF(F393 = "Réttur", IFERROR(_xlfn.SINGLE(_xlfn.XLOOKUP(G393, Réttabanki!A:A, Réttabanki!AU:AU, "")), ""), "")))</f>
        <v/>
      </c>
      <c r="O393" s="26" t="str">
        <f>IF(OR(F393 = "", G393 = "", I393 = ""), "", IF(F393 = "Vara", IFERROR(_xlfn.SINGLE(_xlfn.XLOOKUP(G393, Vöruskrá!A:A, Vöruskrá!I:I, "")) * I393 / 100, ""), IF(F393 = "Réttur", IFERROR(_xlfn.SINGLE(_xlfn.XLOOKUP(G393, Réttabanki!A:A, Réttabanki!AV:AV, "")) * I393 / 100, ""), "")))</f>
        <v/>
      </c>
      <c r="P393" s="26" t="str">
        <f>IF(OR(F393 = "", G393 = "", I393 = ""), "", IF(F393 = "Vara", IFERROR(_xlfn.SINGLE(_xlfn.XLOOKUP(G393, Vöruskrá!A:A, Vöruskrá!J:J, "")) * I393 / 100, ""), IF(F393 = "Réttur", IFERROR(_xlfn.SINGLE(_xlfn.XLOOKUP(G393, Réttabanki!A:A, Réttabanki!AW:AW, "")) * I393 / 100, ""), "")))</f>
        <v/>
      </c>
      <c r="Q393" s="26" t="str">
        <f>IF(OR(F393 = "", G393 = "", I393 = ""), "", IF(F393 = "Vara", IFERROR(_xlfn.SINGLE(_xlfn.XLOOKUP(G393, Vöruskrá!A:A, Vöruskrá!N:N, "")) * I393 / 100, ""), IF(F393 = "Réttur", IFERROR(_xlfn.SINGLE(_xlfn.XLOOKUP(G393, Réttabanki!A:A, Réttabanki!BB:BB, "")) * I393 / 100, ""), "")))</f>
        <v/>
      </c>
    </row>
    <row r="394" spans="2:17">
      <c r="B394" s="33" t="str">
        <f>IF(A394&lt;&gt;"",CHOOSE(WEEKDAY(A394,2),"Mánudagur","Þriðjudagur","Miðvikudagur","Fimmtudagur","Föstudagur","Laugardagur","Sunnudagur"),IF(B393&lt;&gt;"",B393,""))</f>
        <v>Fimmtudagur</v>
      </c>
      <c r="C394" s="33">
        <f>IF(A394&lt;&gt;"",WEEKNUM(A394,21),IF(C393&lt;&gt;"",C393,""))</f>
        <v>27</v>
      </c>
      <c r="D394" s="34"/>
      <c r="E394" s="34"/>
      <c r="F394" s="34"/>
      <c r="G394" s="34"/>
      <c r="H394" s="34"/>
      <c r="I394" s="35"/>
      <c r="J394" s="35"/>
      <c r="K394" s="36"/>
      <c r="L394" s="26" t="str">
        <f>IF(OR(F394 = "", G394 = ""), "", IF(F394 = "Vara", IFERROR(_xlfn.SINGLE(_xlfn.XLOOKUP(G394, Vöruskrá!A:A, Vöruskrá!E:E, "")), ""), IF(F394 = "Réttur", IFERROR(_xlfn.SINGLE(_xlfn.XLOOKUP(G394, Réttabanki!A:A, Réttabanki!AS:AS, "")), ""), "")))</f>
        <v/>
      </c>
      <c r="M394" s="26" t="str">
        <f>IF(OR(F394 = "", G394 = ""), "", IF(F394 = "Vara", IFERROR(_xlfn.SINGLE(_xlfn.XLOOKUP(G394, Vöruskrá!A:A, Vöruskrá!F:F, "")), ""), IF(F394 = "Réttur", IFERROR(_xlfn.SINGLE(_xlfn.XLOOKUP(G394, Réttabanki!A:A, Réttabanki!AT:AT, "")), ""), "")))</f>
        <v/>
      </c>
      <c r="N394" s="26" t="str">
        <f>IF(OR(F394 = "", G394 = ""), "", IF(F394 = "Vara", IFERROR(_xlfn.SINGLE(_xlfn.XLOOKUP(G394, Vöruskrá!A:A, Vöruskrá!G:G, "")), ""), IF(F394 = "Réttur", IFERROR(_xlfn.SINGLE(_xlfn.XLOOKUP(G394, Réttabanki!A:A, Réttabanki!AU:AU, "")), ""), "")))</f>
        <v/>
      </c>
      <c r="O394" s="26" t="str">
        <f>IF(OR(F394 = "", G394 = "", I394 = ""), "", IF(F394 = "Vara", IFERROR(_xlfn.SINGLE(_xlfn.XLOOKUP(G394, Vöruskrá!A:A, Vöruskrá!I:I, "")) * I394 / 100, ""), IF(F394 = "Réttur", IFERROR(_xlfn.SINGLE(_xlfn.XLOOKUP(G394, Réttabanki!A:A, Réttabanki!AV:AV, "")) * I394 / 100, ""), "")))</f>
        <v/>
      </c>
      <c r="P394" s="26" t="str">
        <f>IF(OR(F394 = "", G394 = "", I394 = ""), "", IF(F394 = "Vara", IFERROR(_xlfn.SINGLE(_xlfn.XLOOKUP(G394, Vöruskrá!A:A, Vöruskrá!J:J, "")) * I394 / 100, ""), IF(F394 = "Réttur", IFERROR(_xlfn.SINGLE(_xlfn.XLOOKUP(G394, Réttabanki!A:A, Réttabanki!AW:AW, "")) * I394 / 100, ""), "")))</f>
        <v/>
      </c>
      <c r="Q394" s="26" t="str">
        <f>IF(OR(F394 = "", G394 = "", I394 = ""), "", IF(F394 = "Vara", IFERROR(_xlfn.SINGLE(_xlfn.XLOOKUP(G394, Vöruskrá!A:A, Vöruskrá!N:N, "")) * I394 / 100, ""), IF(F394 = "Réttur", IFERROR(_xlfn.SINGLE(_xlfn.XLOOKUP(G394, Réttabanki!A:A, Réttabanki!BB:BB, "")) * I394 / 100, ""), "")))</f>
        <v/>
      </c>
    </row>
    <row r="395" spans="2:17">
      <c r="B395" s="33" t="str">
        <f>IF(A395&lt;&gt;"",CHOOSE(WEEKDAY(A395,2),"Mánudagur","Þriðjudagur","Miðvikudagur","Fimmtudagur","Föstudagur","Laugardagur","Sunnudagur"),IF(B394&lt;&gt;"",B394,""))</f>
        <v>Fimmtudagur</v>
      </c>
      <c r="C395" s="33">
        <f>IF(A395&lt;&gt;"",WEEKNUM(A395,21),IF(C394&lt;&gt;"",C394,""))</f>
        <v>27</v>
      </c>
      <c r="D395" s="34"/>
      <c r="E395" s="34"/>
      <c r="F395" s="34"/>
      <c r="G395" s="34"/>
      <c r="H395" s="34"/>
      <c r="I395" s="35"/>
      <c r="J395" s="35"/>
      <c r="K395" s="36"/>
      <c r="L395" s="26" t="str">
        <f>IF(OR(F395 = "", G395 = ""), "", IF(F395 = "Vara", IFERROR(_xlfn.SINGLE(_xlfn.XLOOKUP(G395, Vöruskrá!A:A, Vöruskrá!E:E, "")), ""), IF(F395 = "Réttur", IFERROR(_xlfn.SINGLE(_xlfn.XLOOKUP(G395, Réttabanki!A:A, Réttabanki!AS:AS, "")), ""), "")))</f>
        <v/>
      </c>
      <c r="M395" s="26" t="str">
        <f>IF(OR(F395 = "", G395 = ""), "", IF(F395 = "Vara", IFERROR(_xlfn.SINGLE(_xlfn.XLOOKUP(G395, Vöruskrá!A:A, Vöruskrá!F:F, "")), ""), IF(F395 = "Réttur", IFERROR(_xlfn.SINGLE(_xlfn.XLOOKUP(G395, Réttabanki!A:A, Réttabanki!AT:AT, "")), ""), "")))</f>
        <v/>
      </c>
      <c r="N395" s="26" t="str">
        <f>IF(OR(F395 = "", G395 = ""), "", IF(F395 = "Vara", IFERROR(_xlfn.SINGLE(_xlfn.XLOOKUP(G395, Vöruskrá!A:A, Vöruskrá!G:G, "")), ""), IF(F395 = "Réttur", IFERROR(_xlfn.SINGLE(_xlfn.XLOOKUP(G395, Réttabanki!A:A, Réttabanki!AU:AU, "")), ""), "")))</f>
        <v/>
      </c>
      <c r="O395" s="26" t="str">
        <f>IF(OR(F395 = "", G395 = "", I395 = ""), "", IF(F395 = "Vara", IFERROR(_xlfn.SINGLE(_xlfn.XLOOKUP(G395, Vöruskrá!A:A, Vöruskrá!I:I, "")) * I395 / 100, ""), IF(F395 = "Réttur", IFERROR(_xlfn.SINGLE(_xlfn.XLOOKUP(G395, Réttabanki!A:A, Réttabanki!AV:AV, "")) * I395 / 100, ""), "")))</f>
        <v/>
      </c>
      <c r="P395" s="26" t="str">
        <f>IF(OR(F395 = "", G395 = "", I395 = ""), "", IF(F395 = "Vara", IFERROR(_xlfn.SINGLE(_xlfn.XLOOKUP(G395, Vöruskrá!A:A, Vöruskrá!J:J, "")) * I395 / 100, ""), IF(F395 = "Réttur", IFERROR(_xlfn.SINGLE(_xlfn.XLOOKUP(G395, Réttabanki!A:A, Réttabanki!AW:AW, "")) * I395 / 100, ""), "")))</f>
        <v/>
      </c>
      <c r="Q395" s="26" t="str">
        <f>IF(OR(F395 = "", G395 = "", I395 = ""), "", IF(F395 = "Vara", IFERROR(_xlfn.SINGLE(_xlfn.XLOOKUP(G395, Vöruskrá!A:A, Vöruskrá!N:N, "")) * I395 / 100, ""), IF(F395 = "Réttur", IFERROR(_xlfn.SINGLE(_xlfn.XLOOKUP(G395, Réttabanki!A:A, Réttabanki!BB:BB, "")) * I395 / 100, ""), "")))</f>
        <v/>
      </c>
    </row>
    <row r="396" spans="2:17">
      <c r="B396" s="33" t="str">
        <f>IF(A396&lt;&gt;"",CHOOSE(WEEKDAY(A396,2),"Mánudagur","Þriðjudagur","Miðvikudagur","Fimmtudagur","Föstudagur","Laugardagur","Sunnudagur"),IF(B395&lt;&gt;"",B395,""))</f>
        <v>Fimmtudagur</v>
      </c>
      <c r="C396" s="33">
        <f>IF(A396&lt;&gt;"",WEEKNUM(A396,21),IF(C395&lt;&gt;"",C395,""))</f>
        <v>27</v>
      </c>
      <c r="D396" s="34"/>
      <c r="E396" s="34"/>
      <c r="F396" s="34"/>
      <c r="G396" s="34"/>
      <c r="H396" s="34"/>
      <c r="I396" s="35"/>
      <c r="J396" s="35"/>
      <c r="K396" s="36"/>
      <c r="L396" s="26" t="str">
        <f>IF(OR(F396 = "", G396 = ""), "", IF(F396 = "Vara", IFERROR(_xlfn.SINGLE(_xlfn.XLOOKUP(G396, Vöruskrá!A:A, Vöruskrá!E:E, "")), ""), IF(F396 = "Réttur", IFERROR(_xlfn.SINGLE(_xlfn.XLOOKUP(G396, Réttabanki!A:A, Réttabanki!AS:AS, "")), ""), "")))</f>
        <v/>
      </c>
      <c r="M396" s="26" t="str">
        <f>IF(OR(F396 = "", G396 = ""), "", IF(F396 = "Vara", IFERROR(_xlfn.SINGLE(_xlfn.XLOOKUP(G396, Vöruskrá!A:A, Vöruskrá!F:F, "")), ""), IF(F396 = "Réttur", IFERROR(_xlfn.SINGLE(_xlfn.XLOOKUP(G396, Réttabanki!A:A, Réttabanki!AT:AT, "")), ""), "")))</f>
        <v/>
      </c>
      <c r="N396" s="26" t="str">
        <f>IF(OR(F396 = "", G396 = ""), "", IF(F396 = "Vara", IFERROR(_xlfn.SINGLE(_xlfn.XLOOKUP(G396, Vöruskrá!A:A, Vöruskrá!G:G, "")), ""), IF(F396 = "Réttur", IFERROR(_xlfn.SINGLE(_xlfn.XLOOKUP(G396, Réttabanki!A:A, Réttabanki!AU:AU, "")), ""), "")))</f>
        <v/>
      </c>
      <c r="O396" s="26" t="str">
        <f>IF(OR(F396 = "", G396 = "", I396 = ""), "", IF(F396 = "Vara", IFERROR(_xlfn.SINGLE(_xlfn.XLOOKUP(G396, Vöruskrá!A:A, Vöruskrá!I:I, "")) * I396 / 100, ""), IF(F396 = "Réttur", IFERROR(_xlfn.SINGLE(_xlfn.XLOOKUP(G396, Réttabanki!A:A, Réttabanki!AV:AV, "")) * I396 / 100, ""), "")))</f>
        <v/>
      </c>
      <c r="P396" s="26" t="str">
        <f>IF(OR(F396 = "", G396 = "", I396 = ""), "", IF(F396 = "Vara", IFERROR(_xlfn.SINGLE(_xlfn.XLOOKUP(G396, Vöruskrá!A:A, Vöruskrá!J:J, "")) * I396 / 100, ""), IF(F396 = "Réttur", IFERROR(_xlfn.SINGLE(_xlfn.XLOOKUP(G396, Réttabanki!A:A, Réttabanki!AW:AW, "")) * I396 / 100, ""), "")))</f>
        <v/>
      </c>
      <c r="Q396" s="26" t="str">
        <f>IF(OR(F396 = "", G396 = "", I396 = ""), "", IF(F396 = "Vara", IFERROR(_xlfn.SINGLE(_xlfn.XLOOKUP(G396, Vöruskrá!A:A, Vöruskrá!N:N, "")) * I396 / 100, ""), IF(F396 = "Réttur", IFERROR(_xlfn.SINGLE(_xlfn.XLOOKUP(G396, Réttabanki!A:A, Réttabanki!BB:BB, "")) * I396 / 100, ""), "")))</f>
        <v/>
      </c>
    </row>
    <row r="397" spans="2:17">
      <c r="B397" s="33" t="str">
        <f>IF(A397&lt;&gt;"",CHOOSE(WEEKDAY(A397,2),"Mánudagur","Þriðjudagur","Miðvikudagur","Fimmtudagur","Föstudagur","Laugardagur","Sunnudagur"),IF(B396&lt;&gt;"",B396,""))</f>
        <v>Fimmtudagur</v>
      </c>
      <c r="C397" s="33">
        <f>IF(A397&lt;&gt;"",WEEKNUM(A397,21),IF(C396&lt;&gt;"",C396,""))</f>
        <v>27</v>
      </c>
      <c r="D397" s="34"/>
      <c r="E397" s="34"/>
      <c r="F397" s="34"/>
      <c r="G397" s="34"/>
      <c r="H397" s="34"/>
      <c r="I397" s="35"/>
      <c r="J397" s="35"/>
      <c r="K397" s="36"/>
      <c r="L397" s="26" t="str">
        <f>IF(OR(F397 = "", G397 = ""), "", IF(F397 = "Vara", IFERROR(_xlfn.SINGLE(_xlfn.XLOOKUP(G397, Vöruskrá!A:A, Vöruskrá!E:E, "")), ""), IF(F397 = "Réttur", IFERROR(_xlfn.SINGLE(_xlfn.XLOOKUP(G397, Réttabanki!A:A, Réttabanki!AS:AS, "")), ""), "")))</f>
        <v/>
      </c>
      <c r="M397" s="26" t="str">
        <f>IF(OR(F397 = "", G397 = ""), "", IF(F397 = "Vara", IFERROR(_xlfn.SINGLE(_xlfn.XLOOKUP(G397, Vöruskrá!A:A, Vöruskrá!F:F, "")), ""), IF(F397 = "Réttur", IFERROR(_xlfn.SINGLE(_xlfn.XLOOKUP(G397, Réttabanki!A:A, Réttabanki!AT:AT, "")), ""), "")))</f>
        <v/>
      </c>
      <c r="N397" s="26" t="str">
        <f>IF(OR(F397 = "", G397 = ""), "", IF(F397 = "Vara", IFERROR(_xlfn.SINGLE(_xlfn.XLOOKUP(G397, Vöruskrá!A:A, Vöruskrá!G:G, "")), ""), IF(F397 = "Réttur", IFERROR(_xlfn.SINGLE(_xlfn.XLOOKUP(G397, Réttabanki!A:A, Réttabanki!AU:AU, "")), ""), "")))</f>
        <v/>
      </c>
      <c r="O397" s="26" t="str">
        <f>IF(OR(F397 = "", G397 = "", I397 = ""), "", IF(F397 = "Vara", IFERROR(_xlfn.SINGLE(_xlfn.XLOOKUP(G397, Vöruskrá!A:A, Vöruskrá!I:I, "")) * I397 / 100, ""), IF(F397 = "Réttur", IFERROR(_xlfn.SINGLE(_xlfn.XLOOKUP(G397, Réttabanki!A:A, Réttabanki!AV:AV, "")) * I397 / 100, ""), "")))</f>
        <v/>
      </c>
      <c r="P397" s="26" t="str">
        <f>IF(OR(F397 = "", G397 = "", I397 = ""), "", IF(F397 = "Vara", IFERROR(_xlfn.SINGLE(_xlfn.XLOOKUP(G397, Vöruskrá!A:A, Vöruskrá!J:J, "")) * I397 / 100, ""), IF(F397 = "Réttur", IFERROR(_xlfn.SINGLE(_xlfn.XLOOKUP(G397, Réttabanki!A:A, Réttabanki!AW:AW, "")) * I397 / 100, ""), "")))</f>
        <v/>
      </c>
      <c r="Q397" s="26" t="str">
        <f>IF(OR(F397 = "", G397 = "", I397 = ""), "", IF(F397 = "Vara", IFERROR(_xlfn.SINGLE(_xlfn.XLOOKUP(G397, Vöruskrá!A:A, Vöruskrá!N:N, "")) * I397 / 100, ""), IF(F397 = "Réttur", IFERROR(_xlfn.SINGLE(_xlfn.XLOOKUP(G397, Réttabanki!A:A, Réttabanki!BB:BB, "")) * I397 / 100, ""), "")))</f>
        <v/>
      </c>
    </row>
    <row r="398" spans="2:17">
      <c r="B398" s="33" t="str">
        <f>IF(A398&lt;&gt;"",CHOOSE(WEEKDAY(A398,2),"Mánudagur","Þriðjudagur","Miðvikudagur","Fimmtudagur","Föstudagur","Laugardagur","Sunnudagur"),IF(B397&lt;&gt;"",B397,""))</f>
        <v>Fimmtudagur</v>
      </c>
      <c r="C398" s="33">
        <f>IF(A398&lt;&gt;"",WEEKNUM(A398,21),IF(C397&lt;&gt;"",C397,""))</f>
        <v>27</v>
      </c>
      <c r="D398" s="34"/>
      <c r="E398" s="34"/>
      <c r="F398" s="34"/>
      <c r="G398" s="34"/>
      <c r="H398" s="34"/>
      <c r="I398" s="35"/>
      <c r="J398" s="35"/>
      <c r="K398" s="36"/>
      <c r="L398" s="26" t="str">
        <f>IF(OR(F398 = "", G398 = ""), "", IF(F398 = "Vara", IFERROR(_xlfn.SINGLE(_xlfn.XLOOKUP(G398, Vöruskrá!A:A, Vöruskrá!E:E, "")), ""), IF(F398 = "Réttur", IFERROR(_xlfn.SINGLE(_xlfn.XLOOKUP(G398, Réttabanki!A:A, Réttabanki!AS:AS, "")), ""), "")))</f>
        <v/>
      </c>
      <c r="M398" s="26" t="str">
        <f>IF(OR(F398 = "", G398 = ""), "", IF(F398 = "Vara", IFERROR(_xlfn.SINGLE(_xlfn.XLOOKUP(G398, Vöruskrá!A:A, Vöruskrá!F:F, "")), ""), IF(F398 = "Réttur", IFERROR(_xlfn.SINGLE(_xlfn.XLOOKUP(G398, Réttabanki!A:A, Réttabanki!AT:AT, "")), ""), "")))</f>
        <v/>
      </c>
      <c r="N398" s="26" t="str">
        <f>IF(OR(F398 = "", G398 = ""), "", IF(F398 = "Vara", IFERROR(_xlfn.SINGLE(_xlfn.XLOOKUP(G398, Vöruskrá!A:A, Vöruskrá!G:G, "")), ""), IF(F398 = "Réttur", IFERROR(_xlfn.SINGLE(_xlfn.XLOOKUP(G398, Réttabanki!A:A, Réttabanki!AU:AU, "")), ""), "")))</f>
        <v/>
      </c>
      <c r="O398" s="26" t="str">
        <f>IF(OR(F398 = "", G398 = "", I398 = ""), "", IF(F398 = "Vara", IFERROR(_xlfn.SINGLE(_xlfn.XLOOKUP(G398, Vöruskrá!A:A, Vöruskrá!I:I, "")) * I398 / 100, ""), IF(F398 = "Réttur", IFERROR(_xlfn.SINGLE(_xlfn.XLOOKUP(G398, Réttabanki!A:A, Réttabanki!AV:AV, "")) * I398 / 100, ""), "")))</f>
        <v/>
      </c>
      <c r="P398" s="26" t="str">
        <f>IF(OR(F398 = "", G398 = "", I398 = ""), "", IF(F398 = "Vara", IFERROR(_xlfn.SINGLE(_xlfn.XLOOKUP(G398, Vöruskrá!A:A, Vöruskrá!J:J, "")) * I398 / 100, ""), IF(F398 = "Réttur", IFERROR(_xlfn.SINGLE(_xlfn.XLOOKUP(G398, Réttabanki!A:A, Réttabanki!AW:AW, "")) * I398 / 100, ""), "")))</f>
        <v/>
      </c>
      <c r="Q398" s="26" t="str">
        <f>IF(OR(F398 = "", G398 = "", I398 = ""), "", IF(F398 = "Vara", IFERROR(_xlfn.SINGLE(_xlfn.XLOOKUP(G398, Vöruskrá!A:A, Vöruskrá!N:N, "")) * I398 / 100, ""), IF(F398 = "Réttur", IFERROR(_xlfn.SINGLE(_xlfn.XLOOKUP(G398, Réttabanki!A:A, Réttabanki!BB:BB, "")) * I398 / 100, ""), "")))</f>
        <v/>
      </c>
    </row>
    <row r="399" spans="2:17">
      <c r="B399" s="33" t="str">
        <f>IF(A399&lt;&gt;"",CHOOSE(WEEKDAY(A399,2),"Mánudagur","Þriðjudagur","Miðvikudagur","Fimmtudagur","Föstudagur","Laugardagur","Sunnudagur"),IF(B398&lt;&gt;"",B398,""))</f>
        <v>Fimmtudagur</v>
      </c>
      <c r="C399" s="33">
        <f>IF(A399&lt;&gt;"",WEEKNUM(A399,21),IF(C398&lt;&gt;"",C398,""))</f>
        <v>27</v>
      </c>
      <c r="D399" s="34"/>
      <c r="E399" s="34"/>
      <c r="F399" s="34"/>
      <c r="G399" s="34"/>
      <c r="H399" s="34"/>
      <c r="I399" s="35"/>
      <c r="J399" s="35"/>
      <c r="K399" s="36"/>
      <c r="L399" s="26" t="str">
        <f>IF(OR(F399 = "", G399 = ""), "", IF(F399 = "Vara", IFERROR(_xlfn.SINGLE(_xlfn.XLOOKUP(G399, Vöruskrá!A:A, Vöruskrá!E:E, "")), ""), IF(F399 = "Réttur", IFERROR(_xlfn.SINGLE(_xlfn.XLOOKUP(G399, Réttabanki!A:A, Réttabanki!AS:AS, "")), ""), "")))</f>
        <v/>
      </c>
      <c r="M399" s="26" t="str">
        <f>IF(OR(F399 = "", G399 = ""), "", IF(F399 = "Vara", IFERROR(_xlfn.SINGLE(_xlfn.XLOOKUP(G399, Vöruskrá!A:A, Vöruskrá!F:F, "")), ""), IF(F399 = "Réttur", IFERROR(_xlfn.SINGLE(_xlfn.XLOOKUP(G399, Réttabanki!A:A, Réttabanki!AT:AT, "")), ""), "")))</f>
        <v/>
      </c>
      <c r="N399" s="26" t="str">
        <f>IF(OR(F399 = "", G399 = ""), "", IF(F399 = "Vara", IFERROR(_xlfn.SINGLE(_xlfn.XLOOKUP(G399, Vöruskrá!A:A, Vöruskrá!G:G, "")), ""), IF(F399 = "Réttur", IFERROR(_xlfn.SINGLE(_xlfn.XLOOKUP(G399, Réttabanki!A:A, Réttabanki!AU:AU, "")), ""), "")))</f>
        <v/>
      </c>
      <c r="O399" s="26" t="str">
        <f>IF(OR(F399 = "", G399 = "", I399 = ""), "", IF(F399 = "Vara", IFERROR(_xlfn.SINGLE(_xlfn.XLOOKUP(G399, Vöruskrá!A:A, Vöruskrá!I:I, "")) * I399 / 100, ""), IF(F399 = "Réttur", IFERROR(_xlfn.SINGLE(_xlfn.XLOOKUP(G399, Réttabanki!A:A, Réttabanki!AV:AV, "")) * I399 / 100, ""), "")))</f>
        <v/>
      </c>
      <c r="P399" s="26" t="str">
        <f>IF(OR(F399 = "", G399 = "", I399 = ""), "", IF(F399 = "Vara", IFERROR(_xlfn.SINGLE(_xlfn.XLOOKUP(G399, Vöruskrá!A:A, Vöruskrá!J:J, "")) * I399 / 100, ""), IF(F399 = "Réttur", IFERROR(_xlfn.SINGLE(_xlfn.XLOOKUP(G399, Réttabanki!A:A, Réttabanki!AW:AW, "")) * I399 / 100, ""), "")))</f>
        <v/>
      </c>
      <c r="Q399" s="26" t="str">
        <f>IF(OR(F399 = "", G399 = "", I399 = ""), "", IF(F399 = "Vara", IFERROR(_xlfn.SINGLE(_xlfn.XLOOKUP(G399, Vöruskrá!A:A, Vöruskrá!N:N, "")) * I399 / 100, ""), IF(F399 = "Réttur", IFERROR(_xlfn.SINGLE(_xlfn.XLOOKUP(G399, Réttabanki!A:A, Réttabanki!BB:BB, "")) * I399 / 100, ""), "")))</f>
        <v/>
      </c>
    </row>
    <row r="400" spans="2:17">
      <c r="B400" s="33" t="str">
        <f>IF(A400&lt;&gt;"",CHOOSE(WEEKDAY(A400,2),"Mánudagur","Þriðjudagur","Miðvikudagur","Fimmtudagur","Föstudagur","Laugardagur","Sunnudagur"),IF(B399&lt;&gt;"",B399,""))</f>
        <v>Fimmtudagur</v>
      </c>
      <c r="C400" s="33">
        <f>IF(A400&lt;&gt;"",WEEKNUM(A400,21),IF(C399&lt;&gt;"",C399,""))</f>
        <v>27</v>
      </c>
      <c r="D400" s="34"/>
      <c r="E400" s="34"/>
      <c r="F400" s="34"/>
      <c r="G400" s="34"/>
      <c r="H400" s="34"/>
      <c r="I400" s="35"/>
      <c r="J400" s="35"/>
      <c r="K400" s="36"/>
      <c r="L400" s="26" t="str">
        <f>IF(OR(F400 = "", G400 = ""), "", IF(F400 = "Vara", IFERROR(_xlfn.SINGLE(_xlfn.XLOOKUP(G400, Vöruskrá!A:A, Vöruskrá!E:E, "")), ""), IF(F400 = "Réttur", IFERROR(_xlfn.SINGLE(_xlfn.XLOOKUP(G400, Réttabanki!A:A, Réttabanki!AS:AS, "")), ""), "")))</f>
        <v/>
      </c>
      <c r="M400" s="26" t="str">
        <f>IF(OR(F400 = "", G400 = ""), "", IF(F400 = "Vara", IFERROR(_xlfn.SINGLE(_xlfn.XLOOKUP(G400, Vöruskrá!A:A, Vöruskrá!F:F, "")), ""), IF(F400 = "Réttur", IFERROR(_xlfn.SINGLE(_xlfn.XLOOKUP(G400, Réttabanki!A:A, Réttabanki!AT:AT, "")), ""), "")))</f>
        <v/>
      </c>
      <c r="N400" s="26" t="str">
        <f>IF(OR(F400 = "", G400 = ""), "", IF(F400 = "Vara", IFERROR(_xlfn.SINGLE(_xlfn.XLOOKUP(G400, Vöruskrá!A:A, Vöruskrá!G:G, "")), ""), IF(F400 = "Réttur", IFERROR(_xlfn.SINGLE(_xlfn.XLOOKUP(G400, Réttabanki!A:A, Réttabanki!AU:AU, "")), ""), "")))</f>
        <v/>
      </c>
      <c r="O400" s="26" t="str">
        <f>IF(OR(F400 = "", G400 = "", I400 = ""), "", IF(F400 = "Vara", IFERROR(_xlfn.SINGLE(_xlfn.XLOOKUP(G400, Vöruskrá!A:A, Vöruskrá!I:I, "")) * I400 / 100, ""), IF(F400 = "Réttur", IFERROR(_xlfn.SINGLE(_xlfn.XLOOKUP(G400, Réttabanki!A:A, Réttabanki!AV:AV, "")) * I400 / 100, ""), "")))</f>
        <v/>
      </c>
      <c r="P400" s="26" t="str">
        <f>IF(OR(F400 = "", G400 = "", I400 = ""), "", IF(F400 = "Vara", IFERROR(_xlfn.SINGLE(_xlfn.XLOOKUP(G400, Vöruskrá!A:A, Vöruskrá!J:J, "")) * I400 / 100, ""), IF(F400 = "Réttur", IFERROR(_xlfn.SINGLE(_xlfn.XLOOKUP(G400, Réttabanki!A:A, Réttabanki!AW:AW, "")) * I400 / 100, ""), "")))</f>
        <v/>
      </c>
      <c r="Q400" s="26" t="str">
        <f>IF(OR(F400 = "", G400 = "", I400 = ""), "", IF(F400 = "Vara", IFERROR(_xlfn.SINGLE(_xlfn.XLOOKUP(G400, Vöruskrá!A:A, Vöruskrá!N:N, "")) * I400 / 100, ""), IF(F400 = "Réttur", IFERROR(_xlfn.SINGLE(_xlfn.XLOOKUP(G400, Réttabanki!A:A, Réttabanki!BB:BB, "")) * I400 / 100, ""), "")))</f>
        <v/>
      </c>
    </row>
    <row r="401" spans="2:17">
      <c r="B401" s="33" t="str">
        <f>IF(A401&lt;&gt;"",CHOOSE(WEEKDAY(A401,2),"Mánudagur","Þriðjudagur","Miðvikudagur","Fimmtudagur","Föstudagur","Laugardagur","Sunnudagur"),IF(B400&lt;&gt;"",B400,""))</f>
        <v>Fimmtudagur</v>
      </c>
      <c r="C401" s="33">
        <f>IF(A401&lt;&gt;"",WEEKNUM(A401,21),IF(C400&lt;&gt;"",C400,""))</f>
        <v>27</v>
      </c>
      <c r="D401" s="34"/>
      <c r="E401" s="34"/>
      <c r="F401" s="34"/>
      <c r="G401" s="34"/>
      <c r="H401" s="34"/>
      <c r="I401" s="35"/>
      <c r="J401" s="35"/>
      <c r="K401" s="36"/>
      <c r="L401" s="26" t="str">
        <f>IF(OR(F401 = "", G401 = ""), "", IF(F401 = "Vara", IFERROR(_xlfn.SINGLE(_xlfn.XLOOKUP(G401, Vöruskrá!A:A, Vöruskrá!E:E, "")), ""), IF(F401 = "Réttur", IFERROR(_xlfn.SINGLE(_xlfn.XLOOKUP(G401, Réttabanki!A:A, Réttabanki!AS:AS, "")), ""), "")))</f>
        <v/>
      </c>
      <c r="M401" s="26" t="str">
        <f>IF(OR(F401 = "", G401 = ""), "", IF(F401 = "Vara", IFERROR(_xlfn.SINGLE(_xlfn.XLOOKUP(G401, Vöruskrá!A:A, Vöruskrá!F:F, "")), ""), IF(F401 = "Réttur", IFERROR(_xlfn.SINGLE(_xlfn.XLOOKUP(G401, Réttabanki!A:A, Réttabanki!AT:AT, "")), ""), "")))</f>
        <v/>
      </c>
      <c r="N401" s="26" t="str">
        <f>IF(OR(F401 = "", G401 = ""), "", IF(F401 = "Vara", IFERROR(_xlfn.SINGLE(_xlfn.XLOOKUP(G401, Vöruskrá!A:A, Vöruskrá!G:G, "")), ""), IF(F401 = "Réttur", IFERROR(_xlfn.SINGLE(_xlfn.XLOOKUP(G401, Réttabanki!A:A, Réttabanki!AU:AU, "")), ""), "")))</f>
        <v/>
      </c>
      <c r="O401" s="26" t="str">
        <f>IF(OR(F401 = "", G401 = "", I401 = ""), "", IF(F401 = "Vara", IFERROR(_xlfn.SINGLE(_xlfn.XLOOKUP(G401, Vöruskrá!A:A, Vöruskrá!I:I, "")) * I401 / 100, ""), IF(F401 = "Réttur", IFERROR(_xlfn.SINGLE(_xlfn.XLOOKUP(G401, Réttabanki!A:A, Réttabanki!AV:AV, "")) * I401 / 100, ""), "")))</f>
        <v/>
      </c>
      <c r="P401" s="26" t="str">
        <f>IF(OR(F401 = "", G401 = "", I401 = ""), "", IF(F401 = "Vara", IFERROR(_xlfn.SINGLE(_xlfn.XLOOKUP(G401, Vöruskrá!A:A, Vöruskrá!J:J, "")) * I401 / 100, ""), IF(F401 = "Réttur", IFERROR(_xlfn.SINGLE(_xlfn.XLOOKUP(G401, Réttabanki!A:A, Réttabanki!AW:AW, "")) * I401 / 100, ""), "")))</f>
        <v/>
      </c>
      <c r="Q401" s="26" t="str">
        <f>IF(OR(F401 = "", G401 = "", I401 = ""), "", IF(F401 = "Vara", IFERROR(_xlfn.SINGLE(_xlfn.XLOOKUP(G401, Vöruskrá!A:A, Vöruskrá!N:N, "")) * I401 / 100, ""), IF(F401 = "Réttur", IFERROR(_xlfn.SINGLE(_xlfn.XLOOKUP(G401, Réttabanki!A:A, Réttabanki!BB:BB, "")) * I401 / 100, ""), "")))</f>
        <v/>
      </c>
    </row>
    <row r="402" spans="2:17">
      <c r="B402" s="33" t="str">
        <f>IF(A402&lt;&gt;"",CHOOSE(WEEKDAY(A402,2),"Mánudagur","Þriðjudagur","Miðvikudagur","Fimmtudagur","Föstudagur","Laugardagur","Sunnudagur"),IF(B401&lt;&gt;"",B401,""))</f>
        <v>Fimmtudagur</v>
      </c>
      <c r="C402" s="33">
        <f>IF(A402&lt;&gt;"",WEEKNUM(A402,21),IF(C401&lt;&gt;"",C401,""))</f>
        <v>27</v>
      </c>
      <c r="D402" s="34"/>
      <c r="E402" s="34"/>
      <c r="F402" s="34"/>
      <c r="G402" s="34"/>
      <c r="H402" s="34"/>
      <c r="I402" s="35"/>
      <c r="J402" s="35"/>
      <c r="K402" s="36"/>
      <c r="L402" s="26" t="str">
        <f>IF(OR(F402 = "", G402 = ""), "", IF(F402 = "Vara", IFERROR(_xlfn.SINGLE(_xlfn.XLOOKUP(G402, Vöruskrá!A:A, Vöruskrá!E:E, "")), ""), IF(F402 = "Réttur", IFERROR(_xlfn.SINGLE(_xlfn.XLOOKUP(G402, Réttabanki!A:A, Réttabanki!AS:AS, "")), ""), "")))</f>
        <v/>
      </c>
      <c r="M402" s="26" t="str">
        <f>IF(OR(F402 = "", G402 = ""), "", IF(F402 = "Vara", IFERROR(_xlfn.SINGLE(_xlfn.XLOOKUP(G402, Vöruskrá!A:A, Vöruskrá!F:F, "")), ""), IF(F402 = "Réttur", IFERROR(_xlfn.SINGLE(_xlfn.XLOOKUP(G402, Réttabanki!A:A, Réttabanki!AT:AT, "")), ""), "")))</f>
        <v/>
      </c>
      <c r="N402" s="26" t="str">
        <f>IF(OR(F402 = "", G402 = ""), "", IF(F402 = "Vara", IFERROR(_xlfn.SINGLE(_xlfn.XLOOKUP(G402, Vöruskrá!A:A, Vöruskrá!G:G, "")), ""), IF(F402 = "Réttur", IFERROR(_xlfn.SINGLE(_xlfn.XLOOKUP(G402, Réttabanki!A:A, Réttabanki!AU:AU, "")), ""), "")))</f>
        <v/>
      </c>
      <c r="O402" s="26" t="str">
        <f>IF(OR(F402 = "", G402 = "", I402 = ""), "", IF(F402 = "Vara", IFERROR(_xlfn.SINGLE(_xlfn.XLOOKUP(G402, Vöruskrá!A:A, Vöruskrá!I:I, "")) * I402 / 100, ""), IF(F402 = "Réttur", IFERROR(_xlfn.SINGLE(_xlfn.XLOOKUP(G402, Réttabanki!A:A, Réttabanki!AV:AV, "")) * I402 / 100, ""), "")))</f>
        <v/>
      </c>
      <c r="P402" s="26" t="str">
        <f>IF(OR(F402 = "", G402 = "", I402 = ""), "", IF(F402 = "Vara", IFERROR(_xlfn.SINGLE(_xlfn.XLOOKUP(G402, Vöruskrá!A:A, Vöruskrá!J:J, "")) * I402 / 100, ""), IF(F402 = "Réttur", IFERROR(_xlfn.SINGLE(_xlfn.XLOOKUP(G402, Réttabanki!A:A, Réttabanki!AW:AW, "")) * I402 / 100, ""), "")))</f>
        <v/>
      </c>
      <c r="Q402" s="26" t="str">
        <f>IF(OR(F402 = "", G402 = "", I402 = ""), "", IF(F402 = "Vara", IFERROR(_xlfn.SINGLE(_xlfn.XLOOKUP(G402, Vöruskrá!A:A, Vöruskrá!N:N, "")) * I402 / 100, ""), IF(F402 = "Réttur", IFERROR(_xlfn.SINGLE(_xlfn.XLOOKUP(G402, Réttabanki!A:A, Réttabanki!BB:BB, "")) * I402 / 100, ""), "")))</f>
        <v/>
      </c>
    </row>
    <row r="403" spans="2:17">
      <c r="B403" s="33" t="str">
        <f>IF(A403&lt;&gt;"",CHOOSE(WEEKDAY(A403,2),"Mánudagur","Þriðjudagur","Miðvikudagur","Fimmtudagur","Föstudagur","Laugardagur","Sunnudagur"),IF(B402&lt;&gt;"",B402,""))</f>
        <v>Fimmtudagur</v>
      </c>
      <c r="C403" s="33">
        <f>IF(A403&lt;&gt;"",WEEKNUM(A403,21),IF(C402&lt;&gt;"",C402,""))</f>
        <v>27</v>
      </c>
      <c r="D403" s="34"/>
      <c r="E403" s="34"/>
      <c r="F403" s="34"/>
      <c r="G403" s="34"/>
      <c r="H403" s="34"/>
      <c r="I403" s="35"/>
      <c r="J403" s="35"/>
      <c r="K403" s="36"/>
      <c r="L403" s="26" t="str">
        <f>IF(OR(F403 = "", G403 = ""), "", IF(F403 = "Vara", IFERROR(_xlfn.SINGLE(_xlfn.XLOOKUP(G403, Vöruskrá!A:A, Vöruskrá!E:E, "")), ""), IF(F403 = "Réttur", IFERROR(_xlfn.SINGLE(_xlfn.XLOOKUP(G403, Réttabanki!A:A, Réttabanki!AS:AS, "")), ""), "")))</f>
        <v/>
      </c>
      <c r="M403" s="26" t="str">
        <f>IF(OR(F403 = "", G403 = ""), "", IF(F403 = "Vara", IFERROR(_xlfn.SINGLE(_xlfn.XLOOKUP(G403, Vöruskrá!A:A, Vöruskrá!F:F, "")), ""), IF(F403 = "Réttur", IFERROR(_xlfn.SINGLE(_xlfn.XLOOKUP(G403, Réttabanki!A:A, Réttabanki!AT:AT, "")), ""), "")))</f>
        <v/>
      </c>
      <c r="N403" s="26" t="str">
        <f>IF(OR(F403 = "", G403 = ""), "", IF(F403 = "Vara", IFERROR(_xlfn.SINGLE(_xlfn.XLOOKUP(G403, Vöruskrá!A:A, Vöruskrá!G:G, "")), ""), IF(F403 = "Réttur", IFERROR(_xlfn.SINGLE(_xlfn.XLOOKUP(G403, Réttabanki!A:A, Réttabanki!AU:AU, "")), ""), "")))</f>
        <v/>
      </c>
      <c r="O403" s="26" t="str">
        <f>IF(OR(F403 = "", G403 = "", I403 = ""), "", IF(F403 = "Vara", IFERROR(_xlfn.SINGLE(_xlfn.XLOOKUP(G403, Vöruskrá!A:A, Vöruskrá!I:I, "")) * I403 / 100, ""), IF(F403 = "Réttur", IFERROR(_xlfn.SINGLE(_xlfn.XLOOKUP(G403, Réttabanki!A:A, Réttabanki!AV:AV, "")) * I403 / 100, ""), "")))</f>
        <v/>
      </c>
      <c r="P403" s="26" t="str">
        <f>IF(OR(F403 = "", G403 = "", I403 = ""), "", IF(F403 = "Vara", IFERROR(_xlfn.SINGLE(_xlfn.XLOOKUP(G403, Vöruskrá!A:A, Vöruskrá!J:J, "")) * I403 / 100, ""), IF(F403 = "Réttur", IFERROR(_xlfn.SINGLE(_xlfn.XLOOKUP(G403, Réttabanki!A:A, Réttabanki!AW:AW, "")) * I403 / 100, ""), "")))</f>
        <v/>
      </c>
      <c r="Q403" s="26" t="str">
        <f>IF(OR(F403 = "", G403 = "", I403 = ""), "", IF(F403 = "Vara", IFERROR(_xlfn.SINGLE(_xlfn.XLOOKUP(G403, Vöruskrá!A:A, Vöruskrá!N:N, "")) * I403 / 100, ""), IF(F403 = "Réttur", IFERROR(_xlfn.SINGLE(_xlfn.XLOOKUP(G403, Réttabanki!A:A, Réttabanki!BB:BB, "")) * I403 / 100, ""), "")))</f>
        <v/>
      </c>
    </row>
    <row r="404" spans="2:17">
      <c r="B404" s="33" t="str">
        <f>IF(A404&lt;&gt;"",CHOOSE(WEEKDAY(A404,2),"Mánudagur","Þriðjudagur","Miðvikudagur","Fimmtudagur","Föstudagur","Laugardagur","Sunnudagur"),IF(B403&lt;&gt;"",B403,""))</f>
        <v>Fimmtudagur</v>
      </c>
      <c r="C404" s="33">
        <f>IF(A404&lt;&gt;"",WEEKNUM(A404,21),IF(C403&lt;&gt;"",C403,""))</f>
        <v>27</v>
      </c>
      <c r="D404" s="34"/>
      <c r="E404" s="34"/>
      <c r="F404" s="34"/>
      <c r="G404" s="34"/>
      <c r="H404" s="34"/>
      <c r="I404" s="35"/>
      <c r="J404" s="35"/>
      <c r="K404" s="36"/>
      <c r="L404" s="26" t="str">
        <f>IF(OR(F404 = "", G404 = ""), "", IF(F404 = "Vara", IFERROR(_xlfn.SINGLE(_xlfn.XLOOKUP(G404, Vöruskrá!A:A, Vöruskrá!E:E, "")), ""), IF(F404 = "Réttur", IFERROR(_xlfn.SINGLE(_xlfn.XLOOKUP(G404, Réttabanki!A:A, Réttabanki!AS:AS, "")), ""), "")))</f>
        <v/>
      </c>
      <c r="M404" s="26" t="str">
        <f>IF(OR(F404 = "", G404 = ""), "", IF(F404 = "Vara", IFERROR(_xlfn.SINGLE(_xlfn.XLOOKUP(G404, Vöruskrá!A:A, Vöruskrá!F:F, "")), ""), IF(F404 = "Réttur", IFERROR(_xlfn.SINGLE(_xlfn.XLOOKUP(G404, Réttabanki!A:A, Réttabanki!AT:AT, "")), ""), "")))</f>
        <v/>
      </c>
      <c r="N404" s="26" t="str">
        <f>IF(OR(F404 = "", G404 = ""), "", IF(F404 = "Vara", IFERROR(_xlfn.SINGLE(_xlfn.XLOOKUP(G404, Vöruskrá!A:A, Vöruskrá!G:G, "")), ""), IF(F404 = "Réttur", IFERROR(_xlfn.SINGLE(_xlfn.XLOOKUP(G404, Réttabanki!A:A, Réttabanki!AU:AU, "")), ""), "")))</f>
        <v/>
      </c>
      <c r="O404" s="26" t="str">
        <f>IF(OR(F404 = "", G404 = "", I404 = ""), "", IF(F404 = "Vara", IFERROR(_xlfn.SINGLE(_xlfn.XLOOKUP(G404, Vöruskrá!A:A, Vöruskrá!I:I, "")) * I404 / 100, ""), IF(F404 = "Réttur", IFERROR(_xlfn.SINGLE(_xlfn.XLOOKUP(G404, Réttabanki!A:A, Réttabanki!AV:AV, "")) * I404 / 100, ""), "")))</f>
        <v/>
      </c>
      <c r="P404" s="26" t="str">
        <f>IF(OR(F404 = "", G404 = "", I404 = ""), "", IF(F404 = "Vara", IFERROR(_xlfn.SINGLE(_xlfn.XLOOKUP(G404, Vöruskrá!A:A, Vöruskrá!J:J, "")) * I404 / 100, ""), IF(F404 = "Réttur", IFERROR(_xlfn.SINGLE(_xlfn.XLOOKUP(G404, Réttabanki!A:A, Réttabanki!AW:AW, "")) * I404 / 100, ""), "")))</f>
        <v/>
      </c>
      <c r="Q404" s="26" t="str">
        <f>IF(OR(F404 = "", G404 = "", I404 = ""), "", IF(F404 = "Vara", IFERROR(_xlfn.SINGLE(_xlfn.XLOOKUP(G404, Vöruskrá!A:A, Vöruskrá!N:N, "")) * I404 / 100, ""), IF(F404 = "Réttur", IFERROR(_xlfn.SINGLE(_xlfn.XLOOKUP(G404, Réttabanki!A:A, Réttabanki!BB:BB, "")) * I404 / 100, ""), "")))</f>
        <v/>
      </c>
    </row>
    <row r="405" spans="2:17">
      <c r="B405" s="33" t="str">
        <f>IF(A405&lt;&gt;"",CHOOSE(WEEKDAY(A405,2),"Mánudagur","Þriðjudagur","Miðvikudagur","Fimmtudagur","Föstudagur","Laugardagur","Sunnudagur"),IF(B404&lt;&gt;"",B404,""))</f>
        <v>Fimmtudagur</v>
      </c>
      <c r="C405" s="33">
        <f>IF(A405&lt;&gt;"",WEEKNUM(A405,21),IF(C404&lt;&gt;"",C404,""))</f>
        <v>27</v>
      </c>
      <c r="D405" s="34"/>
      <c r="E405" s="34"/>
      <c r="F405" s="34"/>
      <c r="G405" s="34"/>
      <c r="H405" s="34"/>
      <c r="I405" s="35"/>
      <c r="J405" s="35"/>
      <c r="K405" s="36"/>
      <c r="L405" s="26" t="str">
        <f>IF(OR(F405 = "", G405 = ""), "", IF(F405 = "Vara", IFERROR(_xlfn.SINGLE(_xlfn.XLOOKUP(G405, Vöruskrá!A:A, Vöruskrá!E:E, "")), ""), IF(F405 = "Réttur", IFERROR(_xlfn.SINGLE(_xlfn.XLOOKUP(G405, Réttabanki!A:A, Réttabanki!AS:AS, "")), ""), "")))</f>
        <v/>
      </c>
      <c r="M405" s="26" t="str">
        <f>IF(OR(F405 = "", G405 = ""), "", IF(F405 = "Vara", IFERROR(_xlfn.SINGLE(_xlfn.XLOOKUP(G405, Vöruskrá!A:A, Vöruskrá!F:F, "")), ""), IF(F405 = "Réttur", IFERROR(_xlfn.SINGLE(_xlfn.XLOOKUP(G405, Réttabanki!A:A, Réttabanki!AT:AT, "")), ""), "")))</f>
        <v/>
      </c>
      <c r="N405" s="26" t="str">
        <f>IF(OR(F405 = "", G405 = ""), "", IF(F405 = "Vara", IFERROR(_xlfn.SINGLE(_xlfn.XLOOKUP(G405, Vöruskrá!A:A, Vöruskrá!G:G, "")), ""), IF(F405 = "Réttur", IFERROR(_xlfn.SINGLE(_xlfn.XLOOKUP(G405, Réttabanki!A:A, Réttabanki!AU:AU, "")), ""), "")))</f>
        <v/>
      </c>
      <c r="O405" s="26" t="str">
        <f>IF(OR(F405 = "", G405 = "", I405 = ""), "", IF(F405 = "Vara", IFERROR(_xlfn.SINGLE(_xlfn.XLOOKUP(G405, Vöruskrá!A:A, Vöruskrá!I:I, "")) * I405 / 100, ""), IF(F405 = "Réttur", IFERROR(_xlfn.SINGLE(_xlfn.XLOOKUP(G405, Réttabanki!A:A, Réttabanki!AV:AV, "")) * I405 / 100, ""), "")))</f>
        <v/>
      </c>
      <c r="P405" s="26" t="str">
        <f>IF(OR(F405 = "", G405 = "", I405 = ""), "", IF(F405 = "Vara", IFERROR(_xlfn.SINGLE(_xlfn.XLOOKUP(G405, Vöruskrá!A:A, Vöruskrá!J:J, "")) * I405 / 100, ""), IF(F405 = "Réttur", IFERROR(_xlfn.SINGLE(_xlfn.XLOOKUP(G405, Réttabanki!A:A, Réttabanki!AW:AW, "")) * I405 / 100, ""), "")))</f>
        <v/>
      </c>
      <c r="Q405" s="26" t="str">
        <f>IF(OR(F405 = "", G405 = "", I405 = ""), "", IF(F405 = "Vara", IFERROR(_xlfn.SINGLE(_xlfn.XLOOKUP(G405, Vöruskrá!A:A, Vöruskrá!N:N, "")) * I405 / 100, ""), IF(F405 = "Réttur", IFERROR(_xlfn.SINGLE(_xlfn.XLOOKUP(G405, Réttabanki!A:A, Réttabanki!BB:BB, "")) * I405 / 100, ""), "")))</f>
        <v/>
      </c>
    </row>
    <row r="406" spans="2:17">
      <c r="B406" s="33" t="str">
        <f>IF(A406&lt;&gt;"",CHOOSE(WEEKDAY(A406,2),"Mánudagur","Þriðjudagur","Miðvikudagur","Fimmtudagur","Föstudagur","Laugardagur","Sunnudagur"),IF(B405&lt;&gt;"",B405,""))</f>
        <v>Fimmtudagur</v>
      </c>
      <c r="C406" s="33">
        <f>IF(A406&lt;&gt;"",WEEKNUM(A406,21),IF(C405&lt;&gt;"",C405,""))</f>
        <v>27</v>
      </c>
      <c r="D406" s="34"/>
      <c r="E406" s="34"/>
      <c r="F406" s="34"/>
      <c r="G406" s="34"/>
      <c r="H406" s="34"/>
      <c r="I406" s="35"/>
      <c r="J406" s="35"/>
      <c r="K406" s="36"/>
      <c r="L406" s="26" t="str">
        <f>IF(OR(F406 = "", G406 = ""), "", IF(F406 = "Vara", IFERROR(_xlfn.SINGLE(_xlfn.XLOOKUP(G406, Vöruskrá!A:A, Vöruskrá!E:E, "")), ""), IF(F406 = "Réttur", IFERROR(_xlfn.SINGLE(_xlfn.XLOOKUP(G406, Réttabanki!A:A, Réttabanki!AS:AS, "")), ""), "")))</f>
        <v/>
      </c>
      <c r="M406" s="26" t="str">
        <f>IF(OR(F406 = "", G406 = ""), "", IF(F406 = "Vara", IFERROR(_xlfn.SINGLE(_xlfn.XLOOKUP(G406, Vöruskrá!A:A, Vöruskrá!F:F, "")), ""), IF(F406 = "Réttur", IFERROR(_xlfn.SINGLE(_xlfn.XLOOKUP(G406, Réttabanki!A:A, Réttabanki!AT:AT, "")), ""), "")))</f>
        <v/>
      </c>
      <c r="N406" s="26" t="str">
        <f>IF(OR(F406 = "", G406 = ""), "", IF(F406 = "Vara", IFERROR(_xlfn.SINGLE(_xlfn.XLOOKUP(G406, Vöruskrá!A:A, Vöruskrá!G:G, "")), ""), IF(F406 = "Réttur", IFERROR(_xlfn.SINGLE(_xlfn.XLOOKUP(G406, Réttabanki!A:A, Réttabanki!AU:AU, "")), ""), "")))</f>
        <v/>
      </c>
      <c r="O406" s="26" t="str">
        <f>IF(OR(F406 = "", G406 = "", I406 = ""), "", IF(F406 = "Vara", IFERROR(_xlfn.SINGLE(_xlfn.XLOOKUP(G406, Vöruskrá!A:A, Vöruskrá!I:I, "")) * I406 / 100, ""), IF(F406 = "Réttur", IFERROR(_xlfn.SINGLE(_xlfn.XLOOKUP(G406, Réttabanki!A:A, Réttabanki!AV:AV, "")) * I406 / 100, ""), "")))</f>
        <v/>
      </c>
      <c r="P406" s="26" t="str">
        <f>IF(OR(F406 = "", G406 = "", I406 = ""), "", IF(F406 = "Vara", IFERROR(_xlfn.SINGLE(_xlfn.XLOOKUP(G406, Vöruskrá!A:A, Vöruskrá!J:J, "")) * I406 / 100, ""), IF(F406 = "Réttur", IFERROR(_xlfn.SINGLE(_xlfn.XLOOKUP(G406, Réttabanki!A:A, Réttabanki!AW:AW, "")) * I406 / 100, ""), "")))</f>
        <v/>
      </c>
      <c r="Q406" s="26" t="str">
        <f>IF(OR(F406 = "", G406 = "", I406 = ""), "", IF(F406 = "Vara", IFERROR(_xlfn.SINGLE(_xlfn.XLOOKUP(G406, Vöruskrá!A:A, Vöruskrá!N:N, "")) * I406 / 100, ""), IF(F406 = "Réttur", IFERROR(_xlfn.SINGLE(_xlfn.XLOOKUP(G406, Réttabanki!A:A, Réttabanki!BB:BB, "")) * I406 / 100, ""), "")))</f>
        <v/>
      </c>
    </row>
    <row r="407" spans="2:17">
      <c r="B407" s="33" t="str">
        <f>IF(A407&lt;&gt;"",CHOOSE(WEEKDAY(A407,2),"Mánudagur","Þriðjudagur","Miðvikudagur","Fimmtudagur","Föstudagur","Laugardagur","Sunnudagur"),IF(B406&lt;&gt;"",B406,""))</f>
        <v>Fimmtudagur</v>
      </c>
      <c r="C407" s="33">
        <f>IF(A407&lt;&gt;"",WEEKNUM(A407,21),IF(C406&lt;&gt;"",C406,""))</f>
        <v>27</v>
      </c>
      <c r="D407" s="34"/>
      <c r="E407" s="34"/>
      <c r="F407" s="34"/>
      <c r="G407" s="34"/>
      <c r="H407" s="34"/>
      <c r="I407" s="35"/>
      <c r="J407" s="35"/>
      <c r="K407" s="36"/>
      <c r="L407" s="26" t="str">
        <f>IF(OR(F407 = "", G407 = ""), "", IF(F407 = "Vara", IFERROR(_xlfn.SINGLE(_xlfn.XLOOKUP(G407, Vöruskrá!A:A, Vöruskrá!E:E, "")), ""), IF(F407 = "Réttur", IFERROR(_xlfn.SINGLE(_xlfn.XLOOKUP(G407, Réttabanki!A:A, Réttabanki!AS:AS, "")), ""), "")))</f>
        <v/>
      </c>
      <c r="M407" s="26" t="str">
        <f>IF(OR(F407 = "", G407 = ""), "", IF(F407 = "Vara", IFERROR(_xlfn.SINGLE(_xlfn.XLOOKUP(G407, Vöruskrá!A:A, Vöruskrá!F:F, "")), ""), IF(F407 = "Réttur", IFERROR(_xlfn.SINGLE(_xlfn.XLOOKUP(G407, Réttabanki!A:A, Réttabanki!AT:AT, "")), ""), "")))</f>
        <v/>
      </c>
      <c r="N407" s="26" t="str">
        <f>IF(OR(F407 = "", G407 = ""), "", IF(F407 = "Vara", IFERROR(_xlfn.SINGLE(_xlfn.XLOOKUP(G407, Vöruskrá!A:A, Vöruskrá!G:G, "")), ""), IF(F407 = "Réttur", IFERROR(_xlfn.SINGLE(_xlfn.XLOOKUP(G407, Réttabanki!A:A, Réttabanki!AU:AU, "")), ""), "")))</f>
        <v/>
      </c>
      <c r="O407" s="26" t="str">
        <f>IF(OR(F407 = "", G407 = "", I407 = ""), "", IF(F407 = "Vara", IFERROR(_xlfn.SINGLE(_xlfn.XLOOKUP(G407, Vöruskrá!A:A, Vöruskrá!I:I, "")) * I407 / 100, ""), IF(F407 = "Réttur", IFERROR(_xlfn.SINGLE(_xlfn.XLOOKUP(G407, Réttabanki!A:A, Réttabanki!AV:AV, "")) * I407 / 100, ""), "")))</f>
        <v/>
      </c>
      <c r="P407" s="26" t="str">
        <f>IF(OR(F407 = "", G407 = "", I407 = ""), "", IF(F407 = "Vara", IFERROR(_xlfn.SINGLE(_xlfn.XLOOKUP(G407, Vöruskrá!A:A, Vöruskrá!J:J, "")) * I407 / 100, ""), IF(F407 = "Réttur", IFERROR(_xlfn.SINGLE(_xlfn.XLOOKUP(G407, Réttabanki!A:A, Réttabanki!AW:AW, "")) * I407 / 100, ""), "")))</f>
        <v/>
      </c>
      <c r="Q407" s="26" t="str">
        <f>IF(OR(F407 = "", G407 = "", I407 = ""), "", IF(F407 = "Vara", IFERROR(_xlfn.SINGLE(_xlfn.XLOOKUP(G407, Vöruskrá!A:A, Vöruskrá!N:N, "")) * I407 / 100, ""), IF(F407 = "Réttur", IFERROR(_xlfn.SINGLE(_xlfn.XLOOKUP(G407, Réttabanki!A:A, Réttabanki!BB:BB, "")) * I407 / 100, ""), "")))</f>
        <v/>
      </c>
    </row>
    <row r="408" spans="2:17">
      <c r="B408" s="33" t="str">
        <f>IF(A408&lt;&gt;"",CHOOSE(WEEKDAY(A408,2),"Mánudagur","Þriðjudagur","Miðvikudagur","Fimmtudagur","Föstudagur","Laugardagur","Sunnudagur"),IF(B407&lt;&gt;"",B407,""))</f>
        <v>Fimmtudagur</v>
      </c>
      <c r="C408" s="33">
        <f>IF(A408&lt;&gt;"",WEEKNUM(A408,21),IF(C407&lt;&gt;"",C407,""))</f>
        <v>27</v>
      </c>
      <c r="D408" s="34"/>
      <c r="E408" s="34"/>
      <c r="F408" s="34"/>
      <c r="G408" s="34"/>
      <c r="H408" s="34"/>
      <c r="I408" s="35"/>
      <c r="J408" s="35"/>
      <c r="K408" s="36"/>
      <c r="L408" s="26" t="str">
        <f>IF(OR(F408 = "", G408 = ""), "", IF(F408 = "Vara", IFERROR(_xlfn.SINGLE(_xlfn.XLOOKUP(G408, Vöruskrá!A:A, Vöruskrá!E:E, "")), ""), IF(F408 = "Réttur", IFERROR(_xlfn.SINGLE(_xlfn.XLOOKUP(G408, Réttabanki!A:A, Réttabanki!AS:AS, "")), ""), "")))</f>
        <v/>
      </c>
      <c r="M408" s="26" t="str">
        <f>IF(OR(F408 = "", G408 = ""), "", IF(F408 = "Vara", IFERROR(_xlfn.SINGLE(_xlfn.XLOOKUP(G408, Vöruskrá!A:A, Vöruskrá!F:F, "")), ""), IF(F408 = "Réttur", IFERROR(_xlfn.SINGLE(_xlfn.XLOOKUP(G408, Réttabanki!A:A, Réttabanki!AT:AT, "")), ""), "")))</f>
        <v/>
      </c>
      <c r="N408" s="26" t="str">
        <f>IF(OR(F408 = "", G408 = ""), "", IF(F408 = "Vara", IFERROR(_xlfn.SINGLE(_xlfn.XLOOKUP(G408, Vöruskrá!A:A, Vöruskrá!G:G, "")), ""), IF(F408 = "Réttur", IFERROR(_xlfn.SINGLE(_xlfn.XLOOKUP(G408, Réttabanki!A:A, Réttabanki!AU:AU, "")), ""), "")))</f>
        <v/>
      </c>
      <c r="O408" s="26" t="str">
        <f>IF(OR(F408 = "", G408 = "", I408 = ""), "", IF(F408 = "Vara", IFERROR(_xlfn.SINGLE(_xlfn.XLOOKUP(G408, Vöruskrá!A:A, Vöruskrá!I:I, "")) * I408 / 100, ""), IF(F408 = "Réttur", IFERROR(_xlfn.SINGLE(_xlfn.XLOOKUP(G408, Réttabanki!A:A, Réttabanki!AV:AV, "")) * I408 / 100, ""), "")))</f>
        <v/>
      </c>
      <c r="P408" s="26" t="str">
        <f>IF(OR(F408 = "", G408 = "", I408 = ""), "", IF(F408 = "Vara", IFERROR(_xlfn.SINGLE(_xlfn.XLOOKUP(G408, Vöruskrá!A:A, Vöruskrá!J:J, "")) * I408 / 100, ""), IF(F408 = "Réttur", IFERROR(_xlfn.SINGLE(_xlfn.XLOOKUP(G408, Réttabanki!A:A, Réttabanki!AW:AW, "")) * I408 / 100, ""), "")))</f>
        <v/>
      </c>
      <c r="Q408" s="26" t="str">
        <f>IF(OR(F408 = "", G408 = "", I408 = ""), "", IF(F408 = "Vara", IFERROR(_xlfn.SINGLE(_xlfn.XLOOKUP(G408, Vöruskrá!A:A, Vöruskrá!N:N, "")) * I408 / 100, ""), IF(F408 = "Réttur", IFERROR(_xlfn.SINGLE(_xlfn.XLOOKUP(G408, Réttabanki!A:A, Réttabanki!BB:BB, "")) * I408 / 100, ""), "")))</f>
        <v/>
      </c>
    </row>
    <row r="409" spans="2:17">
      <c r="B409" s="33" t="str">
        <f>IF(A409&lt;&gt;"",CHOOSE(WEEKDAY(A409,2),"Mánudagur","Þriðjudagur","Miðvikudagur","Fimmtudagur","Föstudagur","Laugardagur","Sunnudagur"),IF(B408&lt;&gt;"",B408,""))</f>
        <v>Fimmtudagur</v>
      </c>
      <c r="C409" s="33">
        <f>IF(A409&lt;&gt;"",WEEKNUM(A409,21),IF(C408&lt;&gt;"",C408,""))</f>
        <v>27</v>
      </c>
      <c r="D409" s="34"/>
      <c r="E409" s="34"/>
      <c r="F409" s="34"/>
      <c r="G409" s="34"/>
      <c r="H409" s="34"/>
      <c r="I409" s="35"/>
      <c r="J409" s="35"/>
      <c r="K409" s="36"/>
      <c r="L409" s="26" t="str">
        <f>IF(OR(F409 = "", G409 = ""), "", IF(F409 = "Vara", IFERROR(_xlfn.SINGLE(_xlfn.XLOOKUP(G409, Vöruskrá!A:A, Vöruskrá!E:E, "")), ""), IF(F409 = "Réttur", IFERROR(_xlfn.SINGLE(_xlfn.XLOOKUP(G409, Réttabanki!A:A, Réttabanki!AS:AS, "")), ""), "")))</f>
        <v/>
      </c>
      <c r="M409" s="26" t="str">
        <f>IF(OR(F409 = "", G409 = ""), "", IF(F409 = "Vara", IFERROR(_xlfn.SINGLE(_xlfn.XLOOKUP(G409, Vöruskrá!A:A, Vöruskrá!F:F, "")), ""), IF(F409 = "Réttur", IFERROR(_xlfn.SINGLE(_xlfn.XLOOKUP(G409, Réttabanki!A:A, Réttabanki!AT:AT, "")), ""), "")))</f>
        <v/>
      </c>
      <c r="N409" s="26" t="str">
        <f>IF(OR(F409 = "", G409 = ""), "", IF(F409 = "Vara", IFERROR(_xlfn.SINGLE(_xlfn.XLOOKUP(G409, Vöruskrá!A:A, Vöruskrá!G:G, "")), ""), IF(F409 = "Réttur", IFERROR(_xlfn.SINGLE(_xlfn.XLOOKUP(G409, Réttabanki!A:A, Réttabanki!AU:AU, "")), ""), "")))</f>
        <v/>
      </c>
      <c r="O409" s="26" t="str">
        <f>IF(OR(F409 = "", G409 = "", I409 = ""), "", IF(F409 = "Vara", IFERROR(_xlfn.SINGLE(_xlfn.XLOOKUP(G409, Vöruskrá!A:A, Vöruskrá!I:I, "")) * I409 / 100, ""), IF(F409 = "Réttur", IFERROR(_xlfn.SINGLE(_xlfn.XLOOKUP(G409, Réttabanki!A:A, Réttabanki!AV:AV, "")) * I409 / 100, ""), "")))</f>
        <v/>
      </c>
      <c r="P409" s="26" t="str">
        <f>IF(OR(F409 = "", G409 = "", I409 = ""), "", IF(F409 = "Vara", IFERROR(_xlfn.SINGLE(_xlfn.XLOOKUP(G409, Vöruskrá!A:A, Vöruskrá!J:J, "")) * I409 / 100, ""), IF(F409 = "Réttur", IFERROR(_xlfn.SINGLE(_xlfn.XLOOKUP(G409, Réttabanki!A:A, Réttabanki!AW:AW, "")) * I409 / 100, ""), "")))</f>
        <v/>
      </c>
      <c r="Q409" s="26" t="str">
        <f>IF(OR(F409 = "", G409 = "", I409 = ""), "", IF(F409 = "Vara", IFERROR(_xlfn.SINGLE(_xlfn.XLOOKUP(G409, Vöruskrá!A:A, Vöruskrá!N:N, "")) * I409 / 100, ""), IF(F409 = "Réttur", IFERROR(_xlfn.SINGLE(_xlfn.XLOOKUP(G409, Réttabanki!A:A, Réttabanki!BB:BB, "")) * I409 / 100, ""), "")))</f>
        <v/>
      </c>
    </row>
    <row r="410" spans="2:17">
      <c r="B410" s="33" t="str">
        <f>IF(A410&lt;&gt;"",CHOOSE(WEEKDAY(A410,2),"Mánudagur","Þriðjudagur","Miðvikudagur","Fimmtudagur","Föstudagur","Laugardagur","Sunnudagur"),IF(B409&lt;&gt;"",B409,""))</f>
        <v>Fimmtudagur</v>
      </c>
      <c r="C410" s="33">
        <f>IF(A410&lt;&gt;"",WEEKNUM(A410,21),IF(C409&lt;&gt;"",C409,""))</f>
        <v>27</v>
      </c>
      <c r="D410" s="34"/>
      <c r="E410" s="34"/>
      <c r="F410" s="34"/>
      <c r="G410" s="34"/>
      <c r="H410" s="34"/>
      <c r="I410" s="35"/>
      <c r="J410" s="35"/>
      <c r="K410" s="36"/>
      <c r="L410" s="26" t="str">
        <f>IF(OR(F410 = "", G410 = ""), "", IF(F410 = "Vara", IFERROR(_xlfn.SINGLE(_xlfn.XLOOKUP(G410, Vöruskrá!A:A, Vöruskrá!E:E, "")), ""), IF(F410 = "Réttur", IFERROR(_xlfn.SINGLE(_xlfn.XLOOKUP(G410, Réttabanki!A:A, Réttabanki!AS:AS, "")), ""), "")))</f>
        <v/>
      </c>
      <c r="M410" s="26" t="str">
        <f>IF(OR(F410 = "", G410 = ""), "", IF(F410 = "Vara", IFERROR(_xlfn.SINGLE(_xlfn.XLOOKUP(G410, Vöruskrá!A:A, Vöruskrá!F:F, "")), ""), IF(F410 = "Réttur", IFERROR(_xlfn.SINGLE(_xlfn.XLOOKUP(G410, Réttabanki!A:A, Réttabanki!AT:AT, "")), ""), "")))</f>
        <v/>
      </c>
      <c r="N410" s="26" t="str">
        <f>IF(OR(F410 = "", G410 = ""), "", IF(F410 = "Vara", IFERROR(_xlfn.SINGLE(_xlfn.XLOOKUP(G410, Vöruskrá!A:A, Vöruskrá!G:G, "")), ""), IF(F410 = "Réttur", IFERROR(_xlfn.SINGLE(_xlfn.XLOOKUP(G410, Réttabanki!A:A, Réttabanki!AU:AU, "")), ""), "")))</f>
        <v/>
      </c>
      <c r="O410" s="26" t="str">
        <f>IF(OR(F410 = "", G410 = "", I410 = ""), "", IF(F410 = "Vara", IFERROR(_xlfn.SINGLE(_xlfn.XLOOKUP(G410, Vöruskrá!A:A, Vöruskrá!I:I, "")) * I410 / 100, ""), IF(F410 = "Réttur", IFERROR(_xlfn.SINGLE(_xlfn.XLOOKUP(G410, Réttabanki!A:A, Réttabanki!AV:AV, "")) * I410 / 100, ""), "")))</f>
        <v/>
      </c>
      <c r="P410" s="26" t="str">
        <f>IF(OR(F410 = "", G410 = "", I410 = ""), "", IF(F410 = "Vara", IFERROR(_xlfn.SINGLE(_xlfn.XLOOKUP(G410, Vöruskrá!A:A, Vöruskrá!J:J, "")) * I410 / 100, ""), IF(F410 = "Réttur", IFERROR(_xlfn.SINGLE(_xlfn.XLOOKUP(G410, Réttabanki!A:A, Réttabanki!AW:AW, "")) * I410 / 100, ""), "")))</f>
        <v/>
      </c>
      <c r="Q410" s="26" t="str">
        <f>IF(OR(F410 = "", G410 = "", I410 = ""), "", IF(F410 = "Vara", IFERROR(_xlfn.SINGLE(_xlfn.XLOOKUP(G410, Vöruskrá!A:A, Vöruskrá!N:N, "")) * I410 / 100, ""), IF(F410 = "Réttur", IFERROR(_xlfn.SINGLE(_xlfn.XLOOKUP(G410, Réttabanki!A:A, Réttabanki!BB:BB, "")) * I410 / 100, ""), "")))</f>
        <v/>
      </c>
    </row>
    <row r="411" spans="2:17">
      <c r="B411" s="33" t="str">
        <f>IF(A411&lt;&gt;"",CHOOSE(WEEKDAY(A411,2),"Mánudagur","Þriðjudagur","Miðvikudagur","Fimmtudagur","Föstudagur","Laugardagur","Sunnudagur"),IF(B410&lt;&gt;"",B410,""))</f>
        <v>Fimmtudagur</v>
      </c>
      <c r="C411" s="33">
        <f>IF(A411&lt;&gt;"",WEEKNUM(A411,21),IF(C410&lt;&gt;"",C410,""))</f>
        <v>27</v>
      </c>
      <c r="D411" s="34"/>
      <c r="E411" s="34"/>
      <c r="F411" s="34"/>
      <c r="G411" s="34"/>
      <c r="H411" s="34"/>
      <c r="I411" s="35"/>
      <c r="J411" s="35"/>
      <c r="K411" s="36"/>
      <c r="L411" s="26" t="str">
        <f>IF(OR(F411 = "", G411 = ""), "", IF(F411 = "Vara", IFERROR(_xlfn.SINGLE(_xlfn.XLOOKUP(G411, Vöruskrá!A:A, Vöruskrá!E:E, "")), ""), IF(F411 = "Réttur", IFERROR(_xlfn.SINGLE(_xlfn.XLOOKUP(G411, Réttabanki!A:A, Réttabanki!AS:AS, "")), ""), "")))</f>
        <v/>
      </c>
      <c r="M411" s="26" t="str">
        <f>IF(OR(F411 = "", G411 = ""), "", IF(F411 = "Vara", IFERROR(_xlfn.SINGLE(_xlfn.XLOOKUP(G411, Vöruskrá!A:A, Vöruskrá!F:F, "")), ""), IF(F411 = "Réttur", IFERROR(_xlfn.SINGLE(_xlfn.XLOOKUP(G411, Réttabanki!A:A, Réttabanki!AT:AT, "")), ""), "")))</f>
        <v/>
      </c>
      <c r="N411" s="26" t="str">
        <f>IF(OR(F411 = "", G411 = ""), "", IF(F411 = "Vara", IFERROR(_xlfn.SINGLE(_xlfn.XLOOKUP(G411, Vöruskrá!A:A, Vöruskrá!G:G, "")), ""), IF(F411 = "Réttur", IFERROR(_xlfn.SINGLE(_xlfn.XLOOKUP(G411, Réttabanki!A:A, Réttabanki!AU:AU, "")), ""), "")))</f>
        <v/>
      </c>
      <c r="O411" s="26" t="str">
        <f>IF(OR(F411 = "", G411 = "", I411 = ""), "", IF(F411 = "Vara", IFERROR(_xlfn.SINGLE(_xlfn.XLOOKUP(G411, Vöruskrá!A:A, Vöruskrá!I:I, "")) * I411 / 100, ""), IF(F411 = "Réttur", IFERROR(_xlfn.SINGLE(_xlfn.XLOOKUP(G411, Réttabanki!A:A, Réttabanki!AV:AV, "")) * I411 / 100, ""), "")))</f>
        <v/>
      </c>
      <c r="P411" s="26" t="str">
        <f>IF(OR(F411 = "", G411 = "", I411 = ""), "", IF(F411 = "Vara", IFERROR(_xlfn.SINGLE(_xlfn.XLOOKUP(G411, Vöruskrá!A:A, Vöruskrá!J:J, "")) * I411 / 100, ""), IF(F411 = "Réttur", IFERROR(_xlfn.SINGLE(_xlfn.XLOOKUP(G411, Réttabanki!A:A, Réttabanki!AW:AW, "")) * I411 / 100, ""), "")))</f>
        <v/>
      </c>
      <c r="Q411" s="26" t="str">
        <f>IF(OR(F411 = "", G411 = "", I411 = ""), "", IF(F411 = "Vara", IFERROR(_xlfn.SINGLE(_xlfn.XLOOKUP(G411, Vöruskrá!A:A, Vöruskrá!N:N, "")) * I411 / 100, ""), IF(F411 = "Réttur", IFERROR(_xlfn.SINGLE(_xlfn.XLOOKUP(G411, Réttabanki!A:A, Réttabanki!BB:BB, "")) * I411 / 100, ""), "")))</f>
        <v/>
      </c>
    </row>
    <row r="412" spans="2:17">
      <c r="B412" s="33" t="str">
        <f>IF(A412&lt;&gt;"",CHOOSE(WEEKDAY(A412,2),"Mánudagur","Þriðjudagur","Miðvikudagur","Fimmtudagur","Föstudagur","Laugardagur","Sunnudagur"),IF(B411&lt;&gt;"",B411,""))</f>
        <v>Fimmtudagur</v>
      </c>
      <c r="C412" s="33">
        <f>IF(A412&lt;&gt;"",WEEKNUM(A412,21),IF(C411&lt;&gt;"",C411,""))</f>
        <v>27</v>
      </c>
      <c r="D412" s="34"/>
      <c r="E412" s="34"/>
      <c r="F412" s="34"/>
      <c r="G412" s="34"/>
      <c r="H412" s="34"/>
      <c r="I412" s="35"/>
      <c r="J412" s="35"/>
      <c r="K412" s="36"/>
      <c r="L412" s="26" t="str">
        <f>IF(OR(F412 = "", G412 = ""), "", IF(F412 = "Vara", IFERROR(_xlfn.SINGLE(_xlfn.XLOOKUP(G412, Vöruskrá!A:A, Vöruskrá!E:E, "")), ""), IF(F412 = "Réttur", IFERROR(_xlfn.SINGLE(_xlfn.XLOOKUP(G412, Réttabanki!A:A, Réttabanki!AS:AS, "")), ""), "")))</f>
        <v/>
      </c>
      <c r="M412" s="26" t="str">
        <f>IF(OR(F412 = "", G412 = ""), "", IF(F412 = "Vara", IFERROR(_xlfn.SINGLE(_xlfn.XLOOKUP(G412, Vöruskrá!A:A, Vöruskrá!F:F, "")), ""), IF(F412 = "Réttur", IFERROR(_xlfn.SINGLE(_xlfn.XLOOKUP(G412, Réttabanki!A:A, Réttabanki!AT:AT, "")), ""), "")))</f>
        <v/>
      </c>
      <c r="N412" s="26" t="str">
        <f>IF(OR(F412 = "", G412 = ""), "", IF(F412 = "Vara", IFERROR(_xlfn.SINGLE(_xlfn.XLOOKUP(G412, Vöruskrá!A:A, Vöruskrá!G:G, "")), ""), IF(F412 = "Réttur", IFERROR(_xlfn.SINGLE(_xlfn.XLOOKUP(G412, Réttabanki!A:A, Réttabanki!AU:AU, "")), ""), "")))</f>
        <v/>
      </c>
      <c r="O412" s="26" t="str">
        <f>IF(OR(F412 = "", G412 = "", I412 = ""), "", IF(F412 = "Vara", IFERROR(_xlfn.SINGLE(_xlfn.XLOOKUP(G412, Vöruskrá!A:A, Vöruskrá!I:I, "")) * I412 / 100, ""), IF(F412 = "Réttur", IFERROR(_xlfn.SINGLE(_xlfn.XLOOKUP(G412, Réttabanki!A:A, Réttabanki!AV:AV, "")) * I412 / 100, ""), "")))</f>
        <v/>
      </c>
      <c r="P412" s="26" t="str">
        <f>IF(OR(F412 = "", G412 = "", I412 = ""), "", IF(F412 = "Vara", IFERROR(_xlfn.SINGLE(_xlfn.XLOOKUP(G412, Vöruskrá!A:A, Vöruskrá!J:J, "")) * I412 / 100, ""), IF(F412 = "Réttur", IFERROR(_xlfn.SINGLE(_xlfn.XLOOKUP(G412, Réttabanki!A:A, Réttabanki!AW:AW, "")) * I412 / 100, ""), "")))</f>
        <v/>
      </c>
      <c r="Q412" s="26" t="str">
        <f>IF(OR(F412 = "", G412 = "", I412 = ""), "", IF(F412 = "Vara", IFERROR(_xlfn.SINGLE(_xlfn.XLOOKUP(G412, Vöruskrá!A:A, Vöruskrá!N:N, "")) * I412 / 100, ""), IF(F412 = "Réttur", IFERROR(_xlfn.SINGLE(_xlfn.XLOOKUP(G412, Réttabanki!A:A, Réttabanki!BB:BB, "")) * I412 / 100, ""), "")))</f>
        <v/>
      </c>
    </row>
    <row r="413" spans="2:17">
      <c r="B413" s="33" t="str">
        <f>IF(A413&lt;&gt;"",CHOOSE(WEEKDAY(A413,2),"Mánudagur","Þriðjudagur","Miðvikudagur","Fimmtudagur","Föstudagur","Laugardagur","Sunnudagur"),IF(B412&lt;&gt;"",B412,""))</f>
        <v>Fimmtudagur</v>
      </c>
      <c r="C413" s="33">
        <f>IF(A413&lt;&gt;"",WEEKNUM(A413,21),IF(C412&lt;&gt;"",C412,""))</f>
        <v>27</v>
      </c>
      <c r="D413" s="34"/>
      <c r="E413" s="34"/>
      <c r="F413" s="34"/>
      <c r="G413" s="34"/>
      <c r="H413" s="34"/>
      <c r="I413" s="35"/>
      <c r="J413" s="35"/>
      <c r="K413" s="36"/>
      <c r="L413" s="26" t="str">
        <f>IF(OR(F413 = "", G413 = ""), "", IF(F413 = "Vara", IFERROR(_xlfn.SINGLE(_xlfn.XLOOKUP(G413, Vöruskrá!A:A, Vöruskrá!E:E, "")), ""), IF(F413 = "Réttur", IFERROR(_xlfn.SINGLE(_xlfn.XLOOKUP(G413, Réttabanki!A:A, Réttabanki!AS:AS, "")), ""), "")))</f>
        <v/>
      </c>
      <c r="M413" s="26" t="str">
        <f>IF(OR(F413 = "", G413 = ""), "", IF(F413 = "Vara", IFERROR(_xlfn.SINGLE(_xlfn.XLOOKUP(G413, Vöruskrá!A:A, Vöruskrá!F:F, "")), ""), IF(F413 = "Réttur", IFERROR(_xlfn.SINGLE(_xlfn.XLOOKUP(G413, Réttabanki!A:A, Réttabanki!AT:AT, "")), ""), "")))</f>
        <v/>
      </c>
      <c r="N413" s="26" t="str">
        <f>IF(OR(F413 = "", G413 = ""), "", IF(F413 = "Vara", IFERROR(_xlfn.SINGLE(_xlfn.XLOOKUP(G413, Vöruskrá!A:A, Vöruskrá!G:G, "")), ""), IF(F413 = "Réttur", IFERROR(_xlfn.SINGLE(_xlfn.XLOOKUP(G413, Réttabanki!A:A, Réttabanki!AU:AU, "")), ""), "")))</f>
        <v/>
      </c>
      <c r="O413" s="26" t="str">
        <f>IF(OR(F413 = "", G413 = "", I413 = ""), "", IF(F413 = "Vara", IFERROR(_xlfn.SINGLE(_xlfn.XLOOKUP(G413, Vöruskrá!A:A, Vöruskrá!I:I, "")) * I413 / 100, ""), IF(F413 = "Réttur", IFERROR(_xlfn.SINGLE(_xlfn.XLOOKUP(G413, Réttabanki!A:A, Réttabanki!AV:AV, "")) * I413 / 100, ""), "")))</f>
        <v/>
      </c>
      <c r="P413" s="26" t="str">
        <f>IF(OR(F413 = "", G413 = "", I413 = ""), "", IF(F413 = "Vara", IFERROR(_xlfn.SINGLE(_xlfn.XLOOKUP(G413, Vöruskrá!A:A, Vöruskrá!J:J, "")) * I413 / 100, ""), IF(F413 = "Réttur", IFERROR(_xlfn.SINGLE(_xlfn.XLOOKUP(G413, Réttabanki!A:A, Réttabanki!AW:AW, "")) * I413 / 100, ""), "")))</f>
        <v/>
      </c>
      <c r="Q413" s="26" t="str">
        <f>IF(OR(F413 = "", G413 = "", I413 = ""), "", IF(F413 = "Vara", IFERROR(_xlfn.SINGLE(_xlfn.XLOOKUP(G413, Vöruskrá!A:A, Vöruskrá!N:N, "")) * I413 / 100, ""), IF(F413 = "Réttur", IFERROR(_xlfn.SINGLE(_xlfn.XLOOKUP(G413, Réttabanki!A:A, Réttabanki!BB:BB, "")) * I413 / 100, ""), "")))</f>
        <v/>
      </c>
    </row>
    <row r="414" spans="2:17">
      <c r="B414" s="33" t="str">
        <f>IF(A414&lt;&gt;"",CHOOSE(WEEKDAY(A414,2),"Mánudagur","Þriðjudagur","Miðvikudagur","Fimmtudagur","Föstudagur","Laugardagur","Sunnudagur"),IF(B413&lt;&gt;"",B413,""))</f>
        <v>Fimmtudagur</v>
      </c>
      <c r="C414" s="33">
        <f>IF(A414&lt;&gt;"",WEEKNUM(A414,21),IF(C413&lt;&gt;"",C413,""))</f>
        <v>27</v>
      </c>
      <c r="D414" s="34"/>
      <c r="E414" s="34"/>
      <c r="F414" s="34"/>
      <c r="G414" s="34"/>
      <c r="H414" s="34"/>
      <c r="I414" s="35"/>
      <c r="J414" s="35"/>
      <c r="K414" s="36"/>
      <c r="L414" s="26" t="str">
        <f>IF(OR(F414 = "", G414 = ""), "", IF(F414 = "Vara", IFERROR(_xlfn.SINGLE(_xlfn.XLOOKUP(G414, Vöruskrá!A:A, Vöruskrá!E:E, "")), ""), IF(F414 = "Réttur", IFERROR(_xlfn.SINGLE(_xlfn.XLOOKUP(G414, Réttabanki!A:A, Réttabanki!AS:AS, "")), ""), "")))</f>
        <v/>
      </c>
      <c r="M414" s="26" t="str">
        <f>IF(OR(F414 = "", G414 = ""), "", IF(F414 = "Vara", IFERROR(_xlfn.SINGLE(_xlfn.XLOOKUP(G414, Vöruskrá!A:A, Vöruskrá!F:F, "")), ""), IF(F414 = "Réttur", IFERROR(_xlfn.SINGLE(_xlfn.XLOOKUP(G414, Réttabanki!A:A, Réttabanki!AT:AT, "")), ""), "")))</f>
        <v/>
      </c>
      <c r="N414" s="26" t="str">
        <f>IF(OR(F414 = "", G414 = ""), "", IF(F414 = "Vara", IFERROR(_xlfn.SINGLE(_xlfn.XLOOKUP(G414, Vöruskrá!A:A, Vöruskrá!G:G, "")), ""), IF(F414 = "Réttur", IFERROR(_xlfn.SINGLE(_xlfn.XLOOKUP(G414, Réttabanki!A:A, Réttabanki!AU:AU, "")), ""), "")))</f>
        <v/>
      </c>
      <c r="O414" s="26" t="str">
        <f>IF(OR(F414 = "", G414 = "", I414 = ""), "", IF(F414 = "Vara", IFERROR(_xlfn.SINGLE(_xlfn.XLOOKUP(G414, Vöruskrá!A:A, Vöruskrá!I:I, "")) * I414 / 100, ""), IF(F414 = "Réttur", IFERROR(_xlfn.SINGLE(_xlfn.XLOOKUP(G414, Réttabanki!A:A, Réttabanki!AV:AV, "")) * I414 / 100, ""), "")))</f>
        <v/>
      </c>
      <c r="P414" s="26" t="str">
        <f>IF(OR(F414 = "", G414 = "", I414 = ""), "", IF(F414 = "Vara", IFERROR(_xlfn.SINGLE(_xlfn.XLOOKUP(G414, Vöruskrá!A:A, Vöruskrá!J:J, "")) * I414 / 100, ""), IF(F414 = "Réttur", IFERROR(_xlfn.SINGLE(_xlfn.XLOOKUP(G414, Réttabanki!A:A, Réttabanki!AW:AW, "")) * I414 / 100, ""), "")))</f>
        <v/>
      </c>
      <c r="Q414" s="26" t="str">
        <f>IF(OR(F414 = "", G414 = "", I414 = ""), "", IF(F414 = "Vara", IFERROR(_xlfn.SINGLE(_xlfn.XLOOKUP(G414, Vöruskrá!A:A, Vöruskrá!N:N, "")) * I414 / 100, ""), IF(F414 = "Réttur", IFERROR(_xlfn.SINGLE(_xlfn.XLOOKUP(G414, Réttabanki!A:A, Réttabanki!BB:BB, "")) * I414 / 100, ""), "")))</f>
        <v/>
      </c>
    </row>
    <row r="415" spans="2:17">
      <c r="B415" s="33" t="str">
        <f>IF(A415&lt;&gt;"",CHOOSE(WEEKDAY(A415,2),"Mánudagur","Þriðjudagur","Miðvikudagur","Fimmtudagur","Föstudagur","Laugardagur","Sunnudagur"),IF(B414&lt;&gt;"",B414,""))</f>
        <v>Fimmtudagur</v>
      </c>
      <c r="C415" s="33">
        <f>IF(A415&lt;&gt;"",WEEKNUM(A415,21),IF(C414&lt;&gt;"",C414,""))</f>
        <v>27</v>
      </c>
      <c r="D415" s="34"/>
      <c r="E415" s="34"/>
      <c r="F415" s="34"/>
      <c r="G415" s="34"/>
      <c r="H415" s="34"/>
      <c r="I415" s="35"/>
      <c r="J415" s="35"/>
      <c r="K415" s="36"/>
      <c r="L415" s="26" t="str">
        <f>IF(OR(F415 = "", G415 = ""), "", IF(F415 = "Vara", IFERROR(_xlfn.SINGLE(_xlfn.XLOOKUP(G415, Vöruskrá!A:A, Vöruskrá!E:E, "")), ""), IF(F415 = "Réttur", IFERROR(_xlfn.SINGLE(_xlfn.XLOOKUP(G415, Réttabanki!A:A, Réttabanki!AS:AS, "")), ""), "")))</f>
        <v/>
      </c>
      <c r="M415" s="26" t="str">
        <f>IF(OR(F415 = "", G415 = ""), "", IF(F415 = "Vara", IFERROR(_xlfn.SINGLE(_xlfn.XLOOKUP(G415, Vöruskrá!A:A, Vöruskrá!F:F, "")), ""), IF(F415 = "Réttur", IFERROR(_xlfn.SINGLE(_xlfn.XLOOKUP(G415, Réttabanki!A:A, Réttabanki!AT:AT, "")), ""), "")))</f>
        <v/>
      </c>
      <c r="N415" s="26" t="str">
        <f>IF(OR(F415 = "", G415 = ""), "", IF(F415 = "Vara", IFERROR(_xlfn.SINGLE(_xlfn.XLOOKUP(G415, Vöruskrá!A:A, Vöruskrá!G:G, "")), ""), IF(F415 = "Réttur", IFERROR(_xlfn.SINGLE(_xlfn.XLOOKUP(G415, Réttabanki!A:A, Réttabanki!AU:AU, "")), ""), "")))</f>
        <v/>
      </c>
      <c r="O415" s="26" t="str">
        <f>IF(OR(F415 = "", G415 = "", I415 = ""), "", IF(F415 = "Vara", IFERROR(_xlfn.SINGLE(_xlfn.XLOOKUP(G415, Vöruskrá!A:A, Vöruskrá!I:I, "")) * I415 / 100, ""), IF(F415 = "Réttur", IFERROR(_xlfn.SINGLE(_xlfn.XLOOKUP(G415, Réttabanki!A:A, Réttabanki!AV:AV, "")) * I415 / 100, ""), "")))</f>
        <v/>
      </c>
      <c r="P415" s="26" t="str">
        <f>IF(OR(F415 = "", G415 = "", I415 = ""), "", IF(F415 = "Vara", IFERROR(_xlfn.SINGLE(_xlfn.XLOOKUP(G415, Vöruskrá!A:A, Vöruskrá!J:J, "")) * I415 / 100, ""), IF(F415 = "Réttur", IFERROR(_xlfn.SINGLE(_xlfn.XLOOKUP(G415, Réttabanki!A:A, Réttabanki!AW:AW, "")) * I415 / 100, ""), "")))</f>
        <v/>
      </c>
      <c r="Q415" s="26" t="str">
        <f>IF(OR(F415 = "", G415 = "", I415 = ""), "", IF(F415 = "Vara", IFERROR(_xlfn.SINGLE(_xlfn.XLOOKUP(G415, Vöruskrá!A:A, Vöruskrá!N:N, "")) * I415 / 100, ""), IF(F415 = "Réttur", IFERROR(_xlfn.SINGLE(_xlfn.XLOOKUP(G415, Réttabanki!A:A, Réttabanki!BB:BB, "")) * I415 / 100, ""), "")))</f>
        <v/>
      </c>
    </row>
    <row r="416" spans="2:17">
      <c r="B416" s="33" t="str">
        <f>IF(A416&lt;&gt;"",CHOOSE(WEEKDAY(A416,2),"Mánudagur","Þriðjudagur","Miðvikudagur","Fimmtudagur","Föstudagur","Laugardagur","Sunnudagur"),IF(B415&lt;&gt;"",B415,""))</f>
        <v>Fimmtudagur</v>
      </c>
      <c r="C416" s="33">
        <f>IF(A416&lt;&gt;"",WEEKNUM(A416,21),IF(C415&lt;&gt;"",C415,""))</f>
        <v>27</v>
      </c>
      <c r="D416" s="34"/>
      <c r="E416" s="34"/>
      <c r="F416" s="34"/>
      <c r="G416" s="34"/>
      <c r="H416" s="34"/>
      <c r="I416" s="35"/>
      <c r="J416" s="35"/>
      <c r="K416" s="36"/>
      <c r="L416" s="26" t="str">
        <f>IF(OR(F416 = "", G416 = ""), "", IF(F416 = "Vara", IFERROR(_xlfn.SINGLE(_xlfn.XLOOKUP(G416, Vöruskrá!A:A, Vöruskrá!E:E, "")), ""), IF(F416 = "Réttur", IFERROR(_xlfn.SINGLE(_xlfn.XLOOKUP(G416, Réttabanki!A:A, Réttabanki!AS:AS, "")), ""), "")))</f>
        <v/>
      </c>
      <c r="M416" s="26" t="str">
        <f>IF(OR(F416 = "", G416 = ""), "", IF(F416 = "Vara", IFERROR(_xlfn.SINGLE(_xlfn.XLOOKUP(G416, Vöruskrá!A:A, Vöruskrá!F:F, "")), ""), IF(F416 = "Réttur", IFERROR(_xlfn.SINGLE(_xlfn.XLOOKUP(G416, Réttabanki!A:A, Réttabanki!AT:AT, "")), ""), "")))</f>
        <v/>
      </c>
      <c r="N416" s="26" t="str">
        <f>IF(OR(F416 = "", G416 = ""), "", IF(F416 = "Vara", IFERROR(_xlfn.SINGLE(_xlfn.XLOOKUP(G416, Vöruskrá!A:A, Vöruskrá!G:G, "")), ""), IF(F416 = "Réttur", IFERROR(_xlfn.SINGLE(_xlfn.XLOOKUP(G416, Réttabanki!A:A, Réttabanki!AU:AU, "")), ""), "")))</f>
        <v/>
      </c>
      <c r="O416" s="26" t="str">
        <f>IF(OR(F416 = "", G416 = "", I416 = ""), "", IF(F416 = "Vara", IFERROR(_xlfn.SINGLE(_xlfn.XLOOKUP(G416, Vöruskrá!A:A, Vöruskrá!I:I, "")) * I416 / 100, ""), IF(F416 = "Réttur", IFERROR(_xlfn.SINGLE(_xlfn.XLOOKUP(G416, Réttabanki!A:A, Réttabanki!AV:AV, "")) * I416 / 100, ""), "")))</f>
        <v/>
      </c>
      <c r="P416" s="26" t="str">
        <f>IF(OR(F416 = "", G416 = "", I416 = ""), "", IF(F416 = "Vara", IFERROR(_xlfn.SINGLE(_xlfn.XLOOKUP(G416, Vöruskrá!A:A, Vöruskrá!J:J, "")) * I416 / 100, ""), IF(F416 = "Réttur", IFERROR(_xlfn.SINGLE(_xlfn.XLOOKUP(G416, Réttabanki!A:A, Réttabanki!AW:AW, "")) * I416 / 100, ""), "")))</f>
        <v/>
      </c>
      <c r="Q416" s="26" t="str">
        <f>IF(OR(F416 = "", G416 = "", I416 = ""), "", IF(F416 = "Vara", IFERROR(_xlfn.SINGLE(_xlfn.XLOOKUP(G416, Vöruskrá!A:A, Vöruskrá!N:N, "")) * I416 / 100, ""), IF(F416 = "Réttur", IFERROR(_xlfn.SINGLE(_xlfn.XLOOKUP(G416, Réttabanki!A:A, Réttabanki!BB:BB, "")) * I416 / 100, ""), "")))</f>
        <v/>
      </c>
    </row>
    <row r="417" spans="2:17">
      <c r="B417" s="33" t="str">
        <f>IF(A417&lt;&gt;"",CHOOSE(WEEKDAY(A417,2),"Mánudagur","Þriðjudagur","Miðvikudagur","Fimmtudagur","Föstudagur","Laugardagur","Sunnudagur"),IF(B416&lt;&gt;"",B416,""))</f>
        <v>Fimmtudagur</v>
      </c>
      <c r="C417" s="33">
        <f>IF(A417&lt;&gt;"",WEEKNUM(A417,21),IF(C416&lt;&gt;"",C416,""))</f>
        <v>27</v>
      </c>
      <c r="D417" s="34"/>
      <c r="E417" s="34"/>
      <c r="F417" s="34"/>
      <c r="G417" s="34"/>
      <c r="H417" s="34"/>
      <c r="I417" s="35"/>
      <c r="J417" s="35"/>
      <c r="K417" s="36"/>
      <c r="L417" s="26" t="str">
        <f>IF(OR(F417 = "", G417 = ""), "", IF(F417 = "Vara", IFERROR(_xlfn.SINGLE(_xlfn.XLOOKUP(G417, Vöruskrá!A:A, Vöruskrá!E:E, "")), ""), IF(F417 = "Réttur", IFERROR(_xlfn.SINGLE(_xlfn.XLOOKUP(G417, Réttabanki!A:A, Réttabanki!AS:AS, "")), ""), "")))</f>
        <v/>
      </c>
      <c r="M417" s="26" t="str">
        <f>IF(OR(F417 = "", G417 = ""), "", IF(F417 = "Vara", IFERROR(_xlfn.SINGLE(_xlfn.XLOOKUP(G417, Vöruskrá!A:A, Vöruskrá!F:F, "")), ""), IF(F417 = "Réttur", IFERROR(_xlfn.SINGLE(_xlfn.XLOOKUP(G417, Réttabanki!A:A, Réttabanki!AT:AT, "")), ""), "")))</f>
        <v/>
      </c>
      <c r="N417" s="26" t="str">
        <f>IF(OR(F417 = "", G417 = ""), "", IF(F417 = "Vara", IFERROR(_xlfn.SINGLE(_xlfn.XLOOKUP(G417, Vöruskrá!A:A, Vöruskrá!G:G, "")), ""), IF(F417 = "Réttur", IFERROR(_xlfn.SINGLE(_xlfn.XLOOKUP(G417, Réttabanki!A:A, Réttabanki!AU:AU, "")), ""), "")))</f>
        <v/>
      </c>
      <c r="O417" s="26" t="str">
        <f>IF(OR(F417 = "", G417 = "", I417 = ""), "", IF(F417 = "Vara", IFERROR(_xlfn.SINGLE(_xlfn.XLOOKUP(G417, Vöruskrá!A:A, Vöruskrá!I:I, "")) * I417 / 100, ""), IF(F417 = "Réttur", IFERROR(_xlfn.SINGLE(_xlfn.XLOOKUP(G417, Réttabanki!A:A, Réttabanki!AV:AV, "")) * I417 / 100, ""), "")))</f>
        <v/>
      </c>
      <c r="P417" s="26" t="str">
        <f>IF(OR(F417 = "", G417 = "", I417 = ""), "", IF(F417 = "Vara", IFERROR(_xlfn.SINGLE(_xlfn.XLOOKUP(G417, Vöruskrá!A:A, Vöruskrá!J:J, "")) * I417 / 100, ""), IF(F417 = "Réttur", IFERROR(_xlfn.SINGLE(_xlfn.XLOOKUP(G417, Réttabanki!A:A, Réttabanki!AW:AW, "")) * I417 / 100, ""), "")))</f>
        <v/>
      </c>
      <c r="Q417" s="26" t="str">
        <f>IF(OR(F417 = "", G417 = "", I417 = ""), "", IF(F417 = "Vara", IFERROR(_xlfn.SINGLE(_xlfn.XLOOKUP(G417, Vöruskrá!A:A, Vöruskrá!N:N, "")) * I417 / 100, ""), IF(F417 = "Réttur", IFERROR(_xlfn.SINGLE(_xlfn.XLOOKUP(G417, Réttabanki!A:A, Réttabanki!BB:BB, "")) * I417 / 100, ""), "")))</f>
        <v/>
      </c>
    </row>
    <row r="418" spans="2:17">
      <c r="B418" s="33" t="str">
        <f>IF(A418&lt;&gt;"",CHOOSE(WEEKDAY(A418,2),"Mánudagur","Þriðjudagur","Miðvikudagur","Fimmtudagur","Föstudagur","Laugardagur","Sunnudagur"),IF(B417&lt;&gt;"",B417,""))</f>
        <v>Fimmtudagur</v>
      </c>
      <c r="C418" s="33">
        <f>IF(A418&lt;&gt;"",WEEKNUM(A418,21),IF(C417&lt;&gt;"",C417,""))</f>
        <v>27</v>
      </c>
      <c r="D418" s="34"/>
      <c r="E418" s="34"/>
      <c r="F418" s="34"/>
      <c r="G418" s="34"/>
      <c r="H418" s="34"/>
      <c r="I418" s="35"/>
      <c r="J418" s="35"/>
      <c r="K418" s="36"/>
      <c r="L418" s="26" t="str">
        <f>IF(OR(F418 = "", G418 = ""), "", IF(F418 = "Vara", IFERROR(_xlfn.SINGLE(_xlfn.XLOOKUP(G418, Vöruskrá!A:A, Vöruskrá!E:E, "")), ""), IF(F418 = "Réttur", IFERROR(_xlfn.SINGLE(_xlfn.XLOOKUP(G418, Réttabanki!A:A, Réttabanki!AS:AS, "")), ""), "")))</f>
        <v/>
      </c>
      <c r="M418" s="26" t="str">
        <f>IF(OR(F418 = "", G418 = ""), "", IF(F418 = "Vara", IFERROR(_xlfn.SINGLE(_xlfn.XLOOKUP(G418, Vöruskrá!A:A, Vöruskrá!F:F, "")), ""), IF(F418 = "Réttur", IFERROR(_xlfn.SINGLE(_xlfn.XLOOKUP(G418, Réttabanki!A:A, Réttabanki!AT:AT, "")), ""), "")))</f>
        <v/>
      </c>
      <c r="N418" s="26" t="str">
        <f>IF(OR(F418 = "", G418 = ""), "", IF(F418 = "Vara", IFERROR(_xlfn.SINGLE(_xlfn.XLOOKUP(G418, Vöruskrá!A:A, Vöruskrá!G:G, "")), ""), IF(F418 = "Réttur", IFERROR(_xlfn.SINGLE(_xlfn.XLOOKUP(G418, Réttabanki!A:A, Réttabanki!AU:AU, "")), ""), "")))</f>
        <v/>
      </c>
      <c r="O418" s="26" t="str">
        <f>IF(OR(F418 = "", G418 = "", I418 = ""), "", IF(F418 = "Vara", IFERROR(_xlfn.SINGLE(_xlfn.XLOOKUP(G418, Vöruskrá!A:A, Vöruskrá!I:I, "")) * I418 / 100, ""), IF(F418 = "Réttur", IFERROR(_xlfn.SINGLE(_xlfn.XLOOKUP(G418, Réttabanki!A:A, Réttabanki!AV:AV, "")) * I418 / 100, ""), "")))</f>
        <v/>
      </c>
      <c r="P418" s="26" t="str">
        <f>IF(OR(F418 = "", G418 = "", I418 = ""), "", IF(F418 = "Vara", IFERROR(_xlfn.SINGLE(_xlfn.XLOOKUP(G418, Vöruskrá!A:A, Vöruskrá!J:J, "")) * I418 / 100, ""), IF(F418 = "Réttur", IFERROR(_xlfn.SINGLE(_xlfn.XLOOKUP(G418, Réttabanki!A:A, Réttabanki!AW:AW, "")) * I418 / 100, ""), "")))</f>
        <v/>
      </c>
      <c r="Q418" s="26" t="str">
        <f>IF(OR(F418 = "", G418 = "", I418 = ""), "", IF(F418 = "Vara", IFERROR(_xlfn.SINGLE(_xlfn.XLOOKUP(G418, Vöruskrá!A:A, Vöruskrá!N:N, "")) * I418 / 100, ""), IF(F418 = "Réttur", IFERROR(_xlfn.SINGLE(_xlfn.XLOOKUP(G418, Réttabanki!A:A, Réttabanki!BB:BB, "")) * I418 / 100, ""), "")))</f>
        <v/>
      </c>
    </row>
    <row r="419" spans="2:17">
      <c r="B419" s="33" t="str">
        <f>IF(A419&lt;&gt;"",CHOOSE(WEEKDAY(A419,2),"Mánudagur","Þriðjudagur","Miðvikudagur","Fimmtudagur","Föstudagur","Laugardagur","Sunnudagur"),IF(B418&lt;&gt;"",B418,""))</f>
        <v>Fimmtudagur</v>
      </c>
      <c r="C419" s="33">
        <f>IF(A419&lt;&gt;"",WEEKNUM(A419,21),IF(C418&lt;&gt;"",C418,""))</f>
        <v>27</v>
      </c>
      <c r="D419" s="34"/>
      <c r="E419" s="34"/>
      <c r="F419" s="34"/>
      <c r="G419" s="34"/>
      <c r="H419" s="34"/>
      <c r="I419" s="35"/>
      <c r="J419" s="35"/>
      <c r="K419" s="36"/>
      <c r="L419" s="26" t="str">
        <f>IF(OR(F419 = "", G419 = ""), "", IF(F419 = "Vara", IFERROR(_xlfn.SINGLE(_xlfn.XLOOKUP(G419, Vöruskrá!A:A, Vöruskrá!E:E, "")), ""), IF(F419 = "Réttur", IFERROR(_xlfn.SINGLE(_xlfn.XLOOKUP(G419, Réttabanki!A:A, Réttabanki!AS:AS, "")), ""), "")))</f>
        <v/>
      </c>
      <c r="M419" s="26" t="str">
        <f>IF(OR(F419 = "", G419 = ""), "", IF(F419 = "Vara", IFERROR(_xlfn.SINGLE(_xlfn.XLOOKUP(G419, Vöruskrá!A:A, Vöruskrá!F:F, "")), ""), IF(F419 = "Réttur", IFERROR(_xlfn.SINGLE(_xlfn.XLOOKUP(G419, Réttabanki!A:A, Réttabanki!AT:AT, "")), ""), "")))</f>
        <v/>
      </c>
      <c r="N419" s="26" t="str">
        <f>IF(OR(F419 = "", G419 = ""), "", IF(F419 = "Vara", IFERROR(_xlfn.SINGLE(_xlfn.XLOOKUP(G419, Vöruskrá!A:A, Vöruskrá!G:G, "")), ""), IF(F419 = "Réttur", IFERROR(_xlfn.SINGLE(_xlfn.XLOOKUP(G419, Réttabanki!A:A, Réttabanki!AU:AU, "")), ""), "")))</f>
        <v/>
      </c>
      <c r="O419" s="26" t="str">
        <f>IF(OR(F419 = "", G419 = "", I419 = ""), "", IF(F419 = "Vara", IFERROR(_xlfn.SINGLE(_xlfn.XLOOKUP(G419, Vöruskrá!A:A, Vöruskrá!I:I, "")) * I419 / 100, ""), IF(F419 = "Réttur", IFERROR(_xlfn.SINGLE(_xlfn.XLOOKUP(G419, Réttabanki!A:A, Réttabanki!AV:AV, "")) * I419 / 100, ""), "")))</f>
        <v/>
      </c>
      <c r="P419" s="26" t="str">
        <f>IF(OR(F419 = "", G419 = "", I419 = ""), "", IF(F419 = "Vara", IFERROR(_xlfn.SINGLE(_xlfn.XLOOKUP(G419, Vöruskrá!A:A, Vöruskrá!J:J, "")) * I419 / 100, ""), IF(F419 = "Réttur", IFERROR(_xlfn.SINGLE(_xlfn.XLOOKUP(G419, Réttabanki!A:A, Réttabanki!AW:AW, "")) * I419 / 100, ""), "")))</f>
        <v/>
      </c>
      <c r="Q419" s="26" t="str">
        <f>IF(OR(F419 = "", G419 = "", I419 = ""), "", IF(F419 = "Vara", IFERROR(_xlfn.SINGLE(_xlfn.XLOOKUP(G419, Vöruskrá!A:A, Vöruskrá!N:N, "")) * I419 / 100, ""), IF(F419 = "Réttur", IFERROR(_xlfn.SINGLE(_xlfn.XLOOKUP(G419, Réttabanki!A:A, Réttabanki!BB:BB, "")) * I419 / 100, ""), "")))</f>
        <v/>
      </c>
    </row>
    <row r="420" spans="2:17">
      <c r="B420" s="33" t="str">
        <f>IF(A420&lt;&gt;"",CHOOSE(WEEKDAY(A420,2),"Mánudagur","Þriðjudagur","Miðvikudagur","Fimmtudagur","Föstudagur","Laugardagur","Sunnudagur"),IF(B419&lt;&gt;"",B419,""))</f>
        <v>Fimmtudagur</v>
      </c>
      <c r="C420" s="33">
        <f>IF(A420&lt;&gt;"",WEEKNUM(A420,21),IF(C419&lt;&gt;"",C419,""))</f>
        <v>27</v>
      </c>
      <c r="D420" s="34"/>
      <c r="E420" s="34"/>
      <c r="F420" s="34"/>
      <c r="G420" s="34"/>
      <c r="H420" s="34"/>
      <c r="I420" s="35"/>
      <c r="J420" s="35"/>
      <c r="K420" s="36"/>
      <c r="L420" s="26" t="str">
        <f>IF(OR(F420 = "", G420 = ""), "", IF(F420 = "Vara", IFERROR(_xlfn.SINGLE(_xlfn.XLOOKUP(G420, Vöruskrá!A:A, Vöruskrá!E:E, "")), ""), IF(F420 = "Réttur", IFERROR(_xlfn.SINGLE(_xlfn.XLOOKUP(G420, Réttabanki!A:A, Réttabanki!AS:AS, "")), ""), "")))</f>
        <v/>
      </c>
      <c r="M420" s="26" t="str">
        <f>IF(OR(F420 = "", G420 = ""), "", IF(F420 = "Vara", IFERROR(_xlfn.SINGLE(_xlfn.XLOOKUP(G420, Vöruskrá!A:A, Vöruskrá!F:F, "")), ""), IF(F420 = "Réttur", IFERROR(_xlfn.SINGLE(_xlfn.XLOOKUP(G420, Réttabanki!A:A, Réttabanki!AT:AT, "")), ""), "")))</f>
        <v/>
      </c>
      <c r="N420" s="26" t="str">
        <f>IF(OR(F420 = "", G420 = ""), "", IF(F420 = "Vara", IFERROR(_xlfn.SINGLE(_xlfn.XLOOKUP(G420, Vöruskrá!A:A, Vöruskrá!G:G, "")), ""), IF(F420 = "Réttur", IFERROR(_xlfn.SINGLE(_xlfn.XLOOKUP(G420, Réttabanki!A:A, Réttabanki!AU:AU, "")), ""), "")))</f>
        <v/>
      </c>
      <c r="O420" s="26" t="str">
        <f>IF(OR(F420 = "", G420 = "", I420 = ""), "", IF(F420 = "Vara", IFERROR(_xlfn.SINGLE(_xlfn.XLOOKUP(G420, Vöruskrá!A:A, Vöruskrá!I:I, "")) * I420 / 100, ""), IF(F420 = "Réttur", IFERROR(_xlfn.SINGLE(_xlfn.XLOOKUP(G420, Réttabanki!A:A, Réttabanki!AV:AV, "")) * I420 / 100, ""), "")))</f>
        <v/>
      </c>
      <c r="P420" s="26" t="str">
        <f>IF(OR(F420 = "", G420 = "", I420 = ""), "", IF(F420 = "Vara", IFERROR(_xlfn.SINGLE(_xlfn.XLOOKUP(G420, Vöruskrá!A:A, Vöruskrá!J:J, "")) * I420 / 100, ""), IF(F420 = "Réttur", IFERROR(_xlfn.SINGLE(_xlfn.XLOOKUP(G420, Réttabanki!A:A, Réttabanki!AW:AW, "")) * I420 / 100, ""), "")))</f>
        <v/>
      </c>
      <c r="Q420" s="26" t="str">
        <f>IF(OR(F420 = "", G420 = "", I420 = ""), "", IF(F420 = "Vara", IFERROR(_xlfn.SINGLE(_xlfn.XLOOKUP(G420, Vöruskrá!A:A, Vöruskrá!N:N, "")) * I420 / 100, ""), IF(F420 = "Réttur", IFERROR(_xlfn.SINGLE(_xlfn.XLOOKUP(G420, Réttabanki!A:A, Réttabanki!BB:BB, "")) * I420 / 100, ""), "")))</f>
        <v/>
      </c>
    </row>
    <row r="421" spans="2:17">
      <c r="B421" s="33" t="str">
        <f>IF(A421&lt;&gt;"",CHOOSE(WEEKDAY(A421,2),"Mánudagur","Þriðjudagur","Miðvikudagur","Fimmtudagur","Föstudagur","Laugardagur","Sunnudagur"),IF(B420&lt;&gt;"",B420,""))</f>
        <v>Fimmtudagur</v>
      </c>
      <c r="C421" s="33">
        <f>IF(A421&lt;&gt;"",WEEKNUM(A421,21),IF(C420&lt;&gt;"",C420,""))</f>
        <v>27</v>
      </c>
      <c r="D421" s="34"/>
      <c r="E421" s="34"/>
      <c r="F421" s="34"/>
      <c r="G421" s="34"/>
      <c r="H421" s="34"/>
      <c r="I421" s="35"/>
      <c r="J421" s="35"/>
      <c r="K421" s="36"/>
      <c r="L421" s="26" t="str">
        <f>IF(OR(F421 = "", G421 = ""), "", IF(F421 = "Vara", IFERROR(_xlfn.SINGLE(_xlfn.XLOOKUP(G421, Vöruskrá!A:A, Vöruskrá!E:E, "")), ""), IF(F421 = "Réttur", IFERROR(_xlfn.SINGLE(_xlfn.XLOOKUP(G421, Réttabanki!A:A, Réttabanki!AS:AS, "")), ""), "")))</f>
        <v/>
      </c>
      <c r="M421" s="26" t="str">
        <f>IF(OR(F421 = "", G421 = ""), "", IF(F421 = "Vara", IFERROR(_xlfn.SINGLE(_xlfn.XLOOKUP(G421, Vöruskrá!A:A, Vöruskrá!F:F, "")), ""), IF(F421 = "Réttur", IFERROR(_xlfn.SINGLE(_xlfn.XLOOKUP(G421, Réttabanki!A:A, Réttabanki!AT:AT, "")), ""), "")))</f>
        <v/>
      </c>
      <c r="N421" s="26" t="str">
        <f>IF(OR(F421 = "", G421 = ""), "", IF(F421 = "Vara", IFERROR(_xlfn.SINGLE(_xlfn.XLOOKUP(G421, Vöruskrá!A:A, Vöruskrá!G:G, "")), ""), IF(F421 = "Réttur", IFERROR(_xlfn.SINGLE(_xlfn.XLOOKUP(G421, Réttabanki!A:A, Réttabanki!AU:AU, "")), ""), "")))</f>
        <v/>
      </c>
      <c r="O421" s="26" t="str">
        <f>IF(OR(F421 = "", G421 = "", I421 = ""), "", IF(F421 = "Vara", IFERROR(_xlfn.SINGLE(_xlfn.XLOOKUP(G421, Vöruskrá!A:A, Vöruskrá!I:I, "")) * I421 / 100, ""), IF(F421 = "Réttur", IFERROR(_xlfn.SINGLE(_xlfn.XLOOKUP(G421, Réttabanki!A:A, Réttabanki!AV:AV, "")) * I421 / 100, ""), "")))</f>
        <v/>
      </c>
      <c r="P421" s="26" t="str">
        <f>IF(OR(F421 = "", G421 = "", I421 = ""), "", IF(F421 = "Vara", IFERROR(_xlfn.SINGLE(_xlfn.XLOOKUP(G421, Vöruskrá!A:A, Vöruskrá!J:J, "")) * I421 / 100, ""), IF(F421 = "Réttur", IFERROR(_xlfn.SINGLE(_xlfn.XLOOKUP(G421, Réttabanki!A:A, Réttabanki!AW:AW, "")) * I421 / 100, ""), "")))</f>
        <v/>
      </c>
      <c r="Q421" s="26" t="str">
        <f>IF(OR(F421 = "", G421 = "", I421 = ""), "", IF(F421 = "Vara", IFERROR(_xlfn.SINGLE(_xlfn.XLOOKUP(G421, Vöruskrá!A:A, Vöruskrá!N:N, "")) * I421 / 100, ""), IF(F421 = "Réttur", IFERROR(_xlfn.SINGLE(_xlfn.XLOOKUP(G421, Réttabanki!A:A, Réttabanki!BB:BB, "")) * I421 / 100, ""), "")))</f>
        <v/>
      </c>
    </row>
    <row r="422" spans="2:17">
      <c r="B422" s="33" t="str">
        <f>IF(A422&lt;&gt;"",CHOOSE(WEEKDAY(A422,2),"Mánudagur","Þriðjudagur","Miðvikudagur","Fimmtudagur","Föstudagur","Laugardagur","Sunnudagur"),IF(B421&lt;&gt;"",B421,""))</f>
        <v>Fimmtudagur</v>
      </c>
      <c r="C422" s="33">
        <f>IF(A422&lt;&gt;"",WEEKNUM(A422,21),IF(C421&lt;&gt;"",C421,""))</f>
        <v>27</v>
      </c>
      <c r="D422" s="34"/>
      <c r="E422" s="34"/>
      <c r="F422" s="34"/>
      <c r="G422" s="34"/>
      <c r="H422" s="34"/>
      <c r="I422" s="35"/>
      <c r="J422" s="35"/>
      <c r="K422" s="36"/>
      <c r="L422" s="26" t="str">
        <f>IF(OR(F422 = "", G422 = ""), "", IF(F422 = "Vara", IFERROR(_xlfn.SINGLE(_xlfn.XLOOKUP(G422, Vöruskrá!A:A, Vöruskrá!E:E, "")), ""), IF(F422 = "Réttur", IFERROR(_xlfn.SINGLE(_xlfn.XLOOKUP(G422, Réttabanki!A:A, Réttabanki!AS:AS, "")), ""), "")))</f>
        <v/>
      </c>
      <c r="M422" s="26" t="str">
        <f>IF(OR(F422 = "", G422 = ""), "", IF(F422 = "Vara", IFERROR(_xlfn.SINGLE(_xlfn.XLOOKUP(G422, Vöruskrá!A:A, Vöruskrá!F:F, "")), ""), IF(F422 = "Réttur", IFERROR(_xlfn.SINGLE(_xlfn.XLOOKUP(G422, Réttabanki!A:A, Réttabanki!AT:AT, "")), ""), "")))</f>
        <v/>
      </c>
      <c r="N422" s="26" t="str">
        <f>IF(OR(F422 = "", G422 = ""), "", IF(F422 = "Vara", IFERROR(_xlfn.SINGLE(_xlfn.XLOOKUP(G422, Vöruskrá!A:A, Vöruskrá!G:G, "")), ""), IF(F422 = "Réttur", IFERROR(_xlfn.SINGLE(_xlfn.XLOOKUP(G422, Réttabanki!A:A, Réttabanki!AU:AU, "")), ""), "")))</f>
        <v/>
      </c>
      <c r="O422" s="26" t="str">
        <f>IF(OR(F422 = "", G422 = "", I422 = ""), "", IF(F422 = "Vara", IFERROR(_xlfn.SINGLE(_xlfn.XLOOKUP(G422, Vöruskrá!A:A, Vöruskrá!I:I, "")) * I422 / 100, ""), IF(F422 = "Réttur", IFERROR(_xlfn.SINGLE(_xlfn.XLOOKUP(G422, Réttabanki!A:A, Réttabanki!AV:AV, "")) * I422 / 100, ""), "")))</f>
        <v/>
      </c>
      <c r="P422" s="26" t="str">
        <f>IF(OR(F422 = "", G422 = "", I422 = ""), "", IF(F422 = "Vara", IFERROR(_xlfn.SINGLE(_xlfn.XLOOKUP(G422, Vöruskrá!A:A, Vöruskrá!J:J, "")) * I422 / 100, ""), IF(F422 = "Réttur", IFERROR(_xlfn.SINGLE(_xlfn.XLOOKUP(G422, Réttabanki!A:A, Réttabanki!AW:AW, "")) * I422 / 100, ""), "")))</f>
        <v/>
      </c>
      <c r="Q422" s="26" t="str">
        <f>IF(OR(F422 = "", G422 = "", I422 = ""), "", IF(F422 = "Vara", IFERROR(_xlfn.SINGLE(_xlfn.XLOOKUP(G422, Vöruskrá!A:A, Vöruskrá!N:N, "")) * I422 / 100, ""), IF(F422 = "Réttur", IFERROR(_xlfn.SINGLE(_xlfn.XLOOKUP(G422, Réttabanki!A:A, Réttabanki!BB:BB, "")) * I422 / 100, ""), "")))</f>
        <v/>
      </c>
    </row>
    <row r="423" spans="2:17">
      <c r="B423" s="33" t="str">
        <f>IF(A423&lt;&gt;"",CHOOSE(WEEKDAY(A423,2),"Mánudagur","Þriðjudagur","Miðvikudagur","Fimmtudagur","Föstudagur","Laugardagur","Sunnudagur"),IF(B422&lt;&gt;"",B422,""))</f>
        <v>Fimmtudagur</v>
      </c>
      <c r="C423" s="33">
        <f>IF(A423&lt;&gt;"",WEEKNUM(A423,21),IF(C422&lt;&gt;"",C422,""))</f>
        <v>27</v>
      </c>
      <c r="D423" s="34"/>
      <c r="E423" s="34"/>
      <c r="F423" s="34"/>
      <c r="G423" s="34"/>
      <c r="H423" s="34"/>
      <c r="I423" s="35"/>
      <c r="J423" s="35"/>
      <c r="K423" s="36"/>
      <c r="L423" s="26" t="str">
        <f>IF(OR(F423 = "", G423 = ""), "", IF(F423 = "Vara", IFERROR(_xlfn.SINGLE(_xlfn.XLOOKUP(G423, Vöruskrá!A:A, Vöruskrá!E:E, "")), ""), IF(F423 = "Réttur", IFERROR(_xlfn.SINGLE(_xlfn.XLOOKUP(G423, Réttabanki!A:A, Réttabanki!AS:AS, "")), ""), "")))</f>
        <v/>
      </c>
      <c r="M423" s="26" t="str">
        <f>IF(OR(F423 = "", G423 = ""), "", IF(F423 = "Vara", IFERROR(_xlfn.SINGLE(_xlfn.XLOOKUP(G423, Vöruskrá!A:A, Vöruskrá!F:F, "")), ""), IF(F423 = "Réttur", IFERROR(_xlfn.SINGLE(_xlfn.XLOOKUP(G423, Réttabanki!A:A, Réttabanki!AT:AT, "")), ""), "")))</f>
        <v/>
      </c>
      <c r="N423" s="26" t="str">
        <f>IF(OR(F423 = "", G423 = ""), "", IF(F423 = "Vara", IFERROR(_xlfn.SINGLE(_xlfn.XLOOKUP(G423, Vöruskrá!A:A, Vöruskrá!G:G, "")), ""), IF(F423 = "Réttur", IFERROR(_xlfn.SINGLE(_xlfn.XLOOKUP(G423, Réttabanki!A:A, Réttabanki!AU:AU, "")), ""), "")))</f>
        <v/>
      </c>
      <c r="O423" s="26" t="str">
        <f>IF(OR(F423 = "", G423 = "", I423 = ""), "", IF(F423 = "Vara", IFERROR(_xlfn.SINGLE(_xlfn.XLOOKUP(G423, Vöruskrá!A:A, Vöruskrá!I:I, "")) * I423 / 100, ""), IF(F423 = "Réttur", IFERROR(_xlfn.SINGLE(_xlfn.XLOOKUP(G423, Réttabanki!A:A, Réttabanki!AV:AV, "")) * I423 / 100, ""), "")))</f>
        <v/>
      </c>
      <c r="P423" s="26" t="str">
        <f>IF(OR(F423 = "", G423 = "", I423 = ""), "", IF(F423 = "Vara", IFERROR(_xlfn.SINGLE(_xlfn.XLOOKUP(G423, Vöruskrá!A:A, Vöruskrá!J:J, "")) * I423 / 100, ""), IF(F423 = "Réttur", IFERROR(_xlfn.SINGLE(_xlfn.XLOOKUP(G423, Réttabanki!A:A, Réttabanki!AW:AW, "")) * I423 / 100, ""), "")))</f>
        <v/>
      </c>
      <c r="Q423" s="26" t="str">
        <f>IF(OR(F423 = "", G423 = "", I423 = ""), "", IF(F423 = "Vara", IFERROR(_xlfn.SINGLE(_xlfn.XLOOKUP(G423, Vöruskrá!A:A, Vöruskrá!N:N, "")) * I423 / 100, ""), IF(F423 = "Réttur", IFERROR(_xlfn.SINGLE(_xlfn.XLOOKUP(G423, Réttabanki!A:A, Réttabanki!BB:BB, "")) * I423 / 100, ""), "")))</f>
        <v/>
      </c>
    </row>
    <row r="424" spans="2:17">
      <c r="B424" s="33" t="str">
        <f>IF(A424&lt;&gt;"",CHOOSE(WEEKDAY(A424,2),"Mánudagur","Þriðjudagur","Miðvikudagur","Fimmtudagur","Föstudagur","Laugardagur","Sunnudagur"),IF(B423&lt;&gt;"",B423,""))</f>
        <v>Fimmtudagur</v>
      </c>
      <c r="C424" s="33">
        <f>IF(A424&lt;&gt;"",WEEKNUM(A424,21),IF(C423&lt;&gt;"",C423,""))</f>
        <v>27</v>
      </c>
      <c r="D424" s="34"/>
      <c r="E424" s="34"/>
      <c r="F424" s="34"/>
      <c r="G424" s="34"/>
      <c r="H424" s="34"/>
      <c r="I424" s="35"/>
      <c r="J424" s="35"/>
      <c r="K424" s="36"/>
      <c r="L424" s="26" t="str">
        <f>IF(OR(F424 = "", G424 = ""), "", IF(F424 = "Vara", IFERROR(_xlfn.SINGLE(_xlfn.XLOOKUP(G424, Vöruskrá!A:A, Vöruskrá!E:E, "")), ""), IF(F424 = "Réttur", IFERROR(_xlfn.SINGLE(_xlfn.XLOOKUP(G424, Réttabanki!A:A, Réttabanki!AS:AS, "")), ""), "")))</f>
        <v/>
      </c>
      <c r="M424" s="26" t="str">
        <f>IF(OR(F424 = "", G424 = ""), "", IF(F424 = "Vara", IFERROR(_xlfn.SINGLE(_xlfn.XLOOKUP(G424, Vöruskrá!A:A, Vöruskrá!F:F, "")), ""), IF(F424 = "Réttur", IFERROR(_xlfn.SINGLE(_xlfn.XLOOKUP(G424, Réttabanki!A:A, Réttabanki!AT:AT, "")), ""), "")))</f>
        <v/>
      </c>
      <c r="N424" s="26" t="str">
        <f>IF(OR(F424 = "", G424 = ""), "", IF(F424 = "Vara", IFERROR(_xlfn.SINGLE(_xlfn.XLOOKUP(G424, Vöruskrá!A:A, Vöruskrá!G:G, "")), ""), IF(F424 = "Réttur", IFERROR(_xlfn.SINGLE(_xlfn.XLOOKUP(G424, Réttabanki!A:A, Réttabanki!AU:AU, "")), ""), "")))</f>
        <v/>
      </c>
      <c r="O424" s="26" t="str">
        <f>IF(OR(F424 = "", G424 = "", I424 = ""), "", IF(F424 = "Vara", IFERROR(_xlfn.SINGLE(_xlfn.XLOOKUP(G424, Vöruskrá!A:A, Vöruskrá!I:I, "")) * I424 / 100, ""), IF(F424 = "Réttur", IFERROR(_xlfn.SINGLE(_xlfn.XLOOKUP(G424, Réttabanki!A:A, Réttabanki!AV:AV, "")) * I424 / 100, ""), "")))</f>
        <v/>
      </c>
      <c r="P424" s="26" t="str">
        <f>IF(OR(F424 = "", G424 = "", I424 = ""), "", IF(F424 = "Vara", IFERROR(_xlfn.SINGLE(_xlfn.XLOOKUP(G424, Vöruskrá!A:A, Vöruskrá!J:J, "")) * I424 / 100, ""), IF(F424 = "Réttur", IFERROR(_xlfn.SINGLE(_xlfn.XLOOKUP(G424, Réttabanki!A:A, Réttabanki!AW:AW, "")) * I424 / 100, ""), "")))</f>
        <v/>
      </c>
      <c r="Q424" s="26" t="str">
        <f>IF(OR(F424 = "", G424 = "", I424 = ""), "", IF(F424 = "Vara", IFERROR(_xlfn.SINGLE(_xlfn.XLOOKUP(G424, Vöruskrá!A:A, Vöruskrá!N:N, "")) * I424 / 100, ""), IF(F424 = "Réttur", IFERROR(_xlfn.SINGLE(_xlfn.XLOOKUP(G424, Réttabanki!A:A, Réttabanki!BB:BB, "")) * I424 / 100, ""), "")))</f>
        <v/>
      </c>
    </row>
    <row r="425" spans="2:17">
      <c r="B425" s="33" t="str">
        <f>IF(A425&lt;&gt;"",CHOOSE(WEEKDAY(A425,2),"Mánudagur","Þriðjudagur","Miðvikudagur","Fimmtudagur","Föstudagur","Laugardagur","Sunnudagur"),IF(B424&lt;&gt;"",B424,""))</f>
        <v>Fimmtudagur</v>
      </c>
      <c r="C425" s="33">
        <f>IF(A425&lt;&gt;"",WEEKNUM(A425,21),IF(C424&lt;&gt;"",C424,""))</f>
        <v>27</v>
      </c>
      <c r="D425" s="34"/>
      <c r="E425" s="34"/>
      <c r="F425" s="34"/>
      <c r="G425" s="34"/>
      <c r="H425" s="34"/>
      <c r="I425" s="35"/>
      <c r="J425" s="35"/>
      <c r="K425" s="36"/>
      <c r="L425" s="26" t="str">
        <f>IF(OR(F425 = "", G425 = ""), "", IF(F425 = "Vara", IFERROR(_xlfn.SINGLE(_xlfn.XLOOKUP(G425, Vöruskrá!A:A, Vöruskrá!E:E, "")), ""), IF(F425 = "Réttur", IFERROR(_xlfn.SINGLE(_xlfn.XLOOKUP(G425, Réttabanki!A:A, Réttabanki!AS:AS, "")), ""), "")))</f>
        <v/>
      </c>
      <c r="M425" s="26" t="str">
        <f>IF(OR(F425 = "", G425 = ""), "", IF(F425 = "Vara", IFERROR(_xlfn.SINGLE(_xlfn.XLOOKUP(G425, Vöruskrá!A:A, Vöruskrá!F:F, "")), ""), IF(F425 = "Réttur", IFERROR(_xlfn.SINGLE(_xlfn.XLOOKUP(G425, Réttabanki!A:A, Réttabanki!AT:AT, "")), ""), "")))</f>
        <v/>
      </c>
      <c r="N425" s="26" t="str">
        <f>IF(OR(F425 = "", G425 = ""), "", IF(F425 = "Vara", IFERROR(_xlfn.SINGLE(_xlfn.XLOOKUP(G425, Vöruskrá!A:A, Vöruskrá!G:G, "")), ""), IF(F425 = "Réttur", IFERROR(_xlfn.SINGLE(_xlfn.XLOOKUP(G425, Réttabanki!A:A, Réttabanki!AU:AU, "")), ""), "")))</f>
        <v/>
      </c>
      <c r="O425" s="26" t="str">
        <f>IF(OR(F425 = "", G425 = "", I425 = ""), "", IF(F425 = "Vara", IFERROR(_xlfn.SINGLE(_xlfn.XLOOKUP(G425, Vöruskrá!A:A, Vöruskrá!I:I, "")) * I425 / 100, ""), IF(F425 = "Réttur", IFERROR(_xlfn.SINGLE(_xlfn.XLOOKUP(G425, Réttabanki!A:A, Réttabanki!AV:AV, "")) * I425 / 100, ""), "")))</f>
        <v/>
      </c>
      <c r="P425" s="26" t="str">
        <f>IF(OR(F425 = "", G425 = "", I425 = ""), "", IF(F425 = "Vara", IFERROR(_xlfn.SINGLE(_xlfn.XLOOKUP(G425, Vöruskrá!A:A, Vöruskrá!J:J, "")) * I425 / 100, ""), IF(F425 = "Réttur", IFERROR(_xlfn.SINGLE(_xlfn.XLOOKUP(G425, Réttabanki!A:A, Réttabanki!AW:AW, "")) * I425 / 100, ""), "")))</f>
        <v/>
      </c>
      <c r="Q425" s="26" t="str">
        <f>IF(OR(F425 = "", G425 = "", I425 = ""), "", IF(F425 = "Vara", IFERROR(_xlfn.SINGLE(_xlfn.XLOOKUP(G425, Vöruskrá!A:A, Vöruskrá!N:N, "")) * I425 / 100, ""), IF(F425 = "Réttur", IFERROR(_xlfn.SINGLE(_xlfn.XLOOKUP(G425, Réttabanki!A:A, Réttabanki!BB:BB, "")) * I425 / 100, ""), "")))</f>
        <v/>
      </c>
    </row>
    <row r="426" spans="2:17">
      <c r="B426" s="33" t="str">
        <f>IF(A426&lt;&gt;"",CHOOSE(WEEKDAY(A426,2),"Mánudagur","Þriðjudagur","Miðvikudagur","Fimmtudagur","Föstudagur","Laugardagur","Sunnudagur"),IF(B425&lt;&gt;"",B425,""))</f>
        <v>Fimmtudagur</v>
      </c>
      <c r="C426" s="33">
        <f>IF(A426&lt;&gt;"",WEEKNUM(A426,21),IF(C425&lt;&gt;"",C425,""))</f>
        <v>27</v>
      </c>
      <c r="D426" s="34"/>
      <c r="E426" s="34"/>
      <c r="F426" s="34"/>
      <c r="G426" s="34"/>
      <c r="H426" s="34"/>
      <c r="I426" s="35"/>
      <c r="J426" s="35"/>
      <c r="K426" s="36"/>
      <c r="L426" s="26" t="str">
        <f>IF(OR(F426 = "", G426 = ""), "", IF(F426 = "Vara", IFERROR(_xlfn.SINGLE(_xlfn.XLOOKUP(G426, Vöruskrá!A:A, Vöruskrá!E:E, "")), ""), IF(F426 = "Réttur", IFERROR(_xlfn.SINGLE(_xlfn.XLOOKUP(G426, Réttabanki!A:A, Réttabanki!AS:AS, "")), ""), "")))</f>
        <v/>
      </c>
      <c r="M426" s="26" t="str">
        <f>IF(OR(F426 = "", G426 = ""), "", IF(F426 = "Vara", IFERROR(_xlfn.SINGLE(_xlfn.XLOOKUP(G426, Vöruskrá!A:A, Vöruskrá!F:F, "")), ""), IF(F426 = "Réttur", IFERROR(_xlfn.SINGLE(_xlfn.XLOOKUP(G426, Réttabanki!A:A, Réttabanki!AT:AT, "")), ""), "")))</f>
        <v/>
      </c>
      <c r="N426" s="26" t="str">
        <f>IF(OR(F426 = "", G426 = ""), "", IF(F426 = "Vara", IFERROR(_xlfn.SINGLE(_xlfn.XLOOKUP(G426, Vöruskrá!A:A, Vöruskrá!G:G, "")), ""), IF(F426 = "Réttur", IFERROR(_xlfn.SINGLE(_xlfn.XLOOKUP(G426, Réttabanki!A:A, Réttabanki!AU:AU, "")), ""), "")))</f>
        <v/>
      </c>
      <c r="O426" s="26" t="str">
        <f>IF(OR(F426 = "", G426 = "", I426 = ""), "", IF(F426 = "Vara", IFERROR(_xlfn.SINGLE(_xlfn.XLOOKUP(G426, Vöruskrá!A:A, Vöruskrá!I:I, "")) * I426 / 100, ""), IF(F426 = "Réttur", IFERROR(_xlfn.SINGLE(_xlfn.XLOOKUP(G426, Réttabanki!A:A, Réttabanki!AV:AV, "")) * I426 / 100, ""), "")))</f>
        <v/>
      </c>
      <c r="P426" s="26" t="str">
        <f>IF(OR(F426 = "", G426 = "", I426 = ""), "", IF(F426 = "Vara", IFERROR(_xlfn.SINGLE(_xlfn.XLOOKUP(G426, Vöruskrá!A:A, Vöruskrá!J:J, "")) * I426 / 100, ""), IF(F426 = "Réttur", IFERROR(_xlfn.SINGLE(_xlfn.XLOOKUP(G426, Réttabanki!A:A, Réttabanki!AW:AW, "")) * I426 / 100, ""), "")))</f>
        <v/>
      </c>
      <c r="Q426" s="26" t="str">
        <f>IF(OR(F426 = "", G426 = "", I426 = ""), "", IF(F426 = "Vara", IFERROR(_xlfn.SINGLE(_xlfn.XLOOKUP(G426, Vöruskrá!A:A, Vöruskrá!N:N, "")) * I426 / 100, ""), IF(F426 = "Réttur", IFERROR(_xlfn.SINGLE(_xlfn.XLOOKUP(G426, Réttabanki!A:A, Réttabanki!BB:BB, "")) * I426 / 100, ""), "")))</f>
        <v/>
      </c>
    </row>
    <row r="427" spans="2:17">
      <c r="B427" s="33" t="str">
        <f>IF(A427&lt;&gt;"",CHOOSE(WEEKDAY(A427,2),"Mánudagur","Þriðjudagur","Miðvikudagur","Fimmtudagur","Föstudagur","Laugardagur","Sunnudagur"),IF(B426&lt;&gt;"",B426,""))</f>
        <v>Fimmtudagur</v>
      </c>
      <c r="C427" s="33">
        <f>IF(A427&lt;&gt;"",WEEKNUM(A427,21),IF(C426&lt;&gt;"",C426,""))</f>
        <v>27</v>
      </c>
      <c r="D427" s="34"/>
      <c r="E427" s="34"/>
      <c r="F427" s="34"/>
      <c r="G427" s="34"/>
      <c r="H427" s="34"/>
      <c r="I427" s="35"/>
      <c r="J427" s="35"/>
      <c r="K427" s="36"/>
      <c r="L427" s="26" t="str">
        <f>IF(OR(F427 = "", G427 = ""), "", IF(F427 = "Vara", IFERROR(_xlfn.SINGLE(_xlfn.XLOOKUP(G427, Vöruskrá!A:A, Vöruskrá!E:E, "")), ""), IF(F427 = "Réttur", IFERROR(_xlfn.SINGLE(_xlfn.XLOOKUP(G427, Réttabanki!A:A, Réttabanki!AS:AS, "")), ""), "")))</f>
        <v/>
      </c>
      <c r="M427" s="26" t="str">
        <f>IF(OR(F427 = "", G427 = ""), "", IF(F427 = "Vara", IFERROR(_xlfn.SINGLE(_xlfn.XLOOKUP(G427, Vöruskrá!A:A, Vöruskrá!F:F, "")), ""), IF(F427 = "Réttur", IFERROR(_xlfn.SINGLE(_xlfn.XLOOKUP(G427, Réttabanki!A:A, Réttabanki!AT:AT, "")), ""), "")))</f>
        <v/>
      </c>
      <c r="N427" s="26" t="str">
        <f>IF(OR(F427 = "", G427 = ""), "", IF(F427 = "Vara", IFERROR(_xlfn.SINGLE(_xlfn.XLOOKUP(G427, Vöruskrá!A:A, Vöruskrá!G:G, "")), ""), IF(F427 = "Réttur", IFERROR(_xlfn.SINGLE(_xlfn.XLOOKUP(G427, Réttabanki!A:A, Réttabanki!AU:AU, "")), ""), "")))</f>
        <v/>
      </c>
      <c r="O427" s="26" t="str">
        <f>IF(OR(F427 = "", G427 = "", I427 = ""), "", IF(F427 = "Vara", IFERROR(_xlfn.SINGLE(_xlfn.XLOOKUP(G427, Vöruskrá!A:A, Vöruskrá!I:I, "")) * I427 / 100, ""), IF(F427 = "Réttur", IFERROR(_xlfn.SINGLE(_xlfn.XLOOKUP(G427, Réttabanki!A:A, Réttabanki!AV:AV, "")) * I427 / 100, ""), "")))</f>
        <v/>
      </c>
      <c r="P427" s="26" t="str">
        <f>IF(OR(F427 = "", G427 = "", I427 = ""), "", IF(F427 = "Vara", IFERROR(_xlfn.SINGLE(_xlfn.XLOOKUP(G427, Vöruskrá!A:A, Vöruskrá!J:J, "")) * I427 / 100, ""), IF(F427 = "Réttur", IFERROR(_xlfn.SINGLE(_xlfn.XLOOKUP(G427, Réttabanki!A:A, Réttabanki!AW:AW, "")) * I427 / 100, ""), "")))</f>
        <v/>
      </c>
      <c r="Q427" s="26" t="str">
        <f>IF(OR(F427 = "", G427 = "", I427 = ""), "", IF(F427 = "Vara", IFERROR(_xlfn.SINGLE(_xlfn.XLOOKUP(G427, Vöruskrá!A:A, Vöruskrá!N:N, "")) * I427 / 100, ""), IF(F427 = "Réttur", IFERROR(_xlfn.SINGLE(_xlfn.XLOOKUP(G427, Réttabanki!A:A, Réttabanki!BB:BB, "")) * I427 / 100, ""), "")))</f>
        <v/>
      </c>
    </row>
    <row r="428" spans="2:17">
      <c r="B428" s="33" t="str">
        <f>IF(A428&lt;&gt;"",CHOOSE(WEEKDAY(A428,2),"Mánudagur","Þriðjudagur","Miðvikudagur","Fimmtudagur","Föstudagur","Laugardagur","Sunnudagur"),IF(B427&lt;&gt;"",B427,""))</f>
        <v>Fimmtudagur</v>
      </c>
      <c r="C428" s="33">
        <f>IF(A428&lt;&gt;"",WEEKNUM(A428,21),IF(C427&lt;&gt;"",C427,""))</f>
        <v>27</v>
      </c>
      <c r="D428" s="34"/>
      <c r="E428" s="34"/>
      <c r="F428" s="34"/>
      <c r="G428" s="34"/>
      <c r="H428" s="34"/>
      <c r="I428" s="35"/>
      <c r="J428" s="35"/>
      <c r="K428" s="36"/>
      <c r="L428" s="26" t="str">
        <f>IF(OR(F428 = "", G428 = ""), "", IF(F428 = "Vara", IFERROR(_xlfn.SINGLE(_xlfn.XLOOKUP(G428, Vöruskrá!A:A, Vöruskrá!E:E, "")), ""), IF(F428 = "Réttur", IFERROR(_xlfn.SINGLE(_xlfn.XLOOKUP(G428, Réttabanki!A:A, Réttabanki!AS:AS, "")), ""), "")))</f>
        <v/>
      </c>
      <c r="M428" s="26" t="str">
        <f>IF(OR(F428 = "", G428 = ""), "", IF(F428 = "Vara", IFERROR(_xlfn.SINGLE(_xlfn.XLOOKUP(G428, Vöruskrá!A:A, Vöruskrá!F:F, "")), ""), IF(F428 = "Réttur", IFERROR(_xlfn.SINGLE(_xlfn.XLOOKUP(G428, Réttabanki!A:A, Réttabanki!AT:AT, "")), ""), "")))</f>
        <v/>
      </c>
      <c r="N428" s="26" t="str">
        <f>IF(OR(F428 = "", G428 = ""), "", IF(F428 = "Vara", IFERROR(_xlfn.SINGLE(_xlfn.XLOOKUP(G428, Vöruskrá!A:A, Vöruskrá!G:G, "")), ""), IF(F428 = "Réttur", IFERROR(_xlfn.SINGLE(_xlfn.XLOOKUP(G428, Réttabanki!A:A, Réttabanki!AU:AU, "")), ""), "")))</f>
        <v/>
      </c>
      <c r="O428" s="26" t="str">
        <f>IF(OR(F428 = "", G428 = "", I428 = ""), "", IF(F428 = "Vara", IFERROR(_xlfn.SINGLE(_xlfn.XLOOKUP(G428, Vöruskrá!A:A, Vöruskrá!I:I, "")) * I428 / 100, ""), IF(F428 = "Réttur", IFERROR(_xlfn.SINGLE(_xlfn.XLOOKUP(G428, Réttabanki!A:A, Réttabanki!AV:AV, "")) * I428 / 100, ""), "")))</f>
        <v/>
      </c>
      <c r="P428" s="26" t="str">
        <f>IF(OR(F428 = "", G428 = "", I428 = ""), "", IF(F428 = "Vara", IFERROR(_xlfn.SINGLE(_xlfn.XLOOKUP(G428, Vöruskrá!A:A, Vöruskrá!J:J, "")) * I428 / 100, ""), IF(F428 = "Réttur", IFERROR(_xlfn.SINGLE(_xlfn.XLOOKUP(G428, Réttabanki!A:A, Réttabanki!AW:AW, "")) * I428 / 100, ""), "")))</f>
        <v/>
      </c>
      <c r="Q428" s="26" t="str">
        <f>IF(OR(F428 = "", G428 = "", I428 = ""), "", IF(F428 = "Vara", IFERROR(_xlfn.SINGLE(_xlfn.XLOOKUP(G428, Vöruskrá!A:A, Vöruskrá!N:N, "")) * I428 / 100, ""), IF(F428 = "Réttur", IFERROR(_xlfn.SINGLE(_xlfn.XLOOKUP(G428, Réttabanki!A:A, Réttabanki!BB:BB, "")) * I428 / 100, ""), "")))</f>
        <v/>
      </c>
    </row>
    <row r="429" spans="2:17">
      <c r="B429" s="33" t="str">
        <f>IF(A429&lt;&gt;"",CHOOSE(WEEKDAY(A429,2),"Mánudagur","Þriðjudagur","Miðvikudagur","Fimmtudagur","Föstudagur","Laugardagur","Sunnudagur"),IF(B428&lt;&gt;"",B428,""))</f>
        <v>Fimmtudagur</v>
      </c>
      <c r="C429" s="33">
        <f>IF(A429&lt;&gt;"",WEEKNUM(A429,21),IF(C428&lt;&gt;"",C428,""))</f>
        <v>27</v>
      </c>
      <c r="D429" s="34"/>
      <c r="E429" s="34"/>
      <c r="F429" s="34"/>
      <c r="G429" s="34"/>
      <c r="H429" s="34"/>
      <c r="I429" s="35"/>
      <c r="J429" s="35"/>
      <c r="K429" s="36"/>
      <c r="L429" s="26" t="str">
        <f>IF(OR(F429 = "", G429 = ""), "", IF(F429 = "Vara", IFERROR(_xlfn.SINGLE(_xlfn.XLOOKUP(G429, Vöruskrá!A:A, Vöruskrá!E:E, "")), ""), IF(F429 = "Réttur", IFERROR(_xlfn.SINGLE(_xlfn.XLOOKUP(G429, Réttabanki!A:A, Réttabanki!AS:AS, "")), ""), "")))</f>
        <v/>
      </c>
      <c r="M429" s="26" t="str">
        <f>IF(OR(F429 = "", G429 = ""), "", IF(F429 = "Vara", IFERROR(_xlfn.SINGLE(_xlfn.XLOOKUP(G429, Vöruskrá!A:A, Vöruskrá!F:F, "")), ""), IF(F429 = "Réttur", IFERROR(_xlfn.SINGLE(_xlfn.XLOOKUP(G429, Réttabanki!A:A, Réttabanki!AT:AT, "")), ""), "")))</f>
        <v/>
      </c>
      <c r="N429" s="26" t="str">
        <f>IF(OR(F429 = "", G429 = ""), "", IF(F429 = "Vara", IFERROR(_xlfn.SINGLE(_xlfn.XLOOKUP(G429, Vöruskrá!A:A, Vöruskrá!G:G, "")), ""), IF(F429 = "Réttur", IFERROR(_xlfn.SINGLE(_xlfn.XLOOKUP(G429, Réttabanki!A:A, Réttabanki!AU:AU, "")), ""), "")))</f>
        <v/>
      </c>
      <c r="O429" s="26" t="str">
        <f>IF(OR(F429 = "", G429 = "", I429 = ""), "", IF(F429 = "Vara", IFERROR(_xlfn.SINGLE(_xlfn.XLOOKUP(G429, Vöruskrá!A:A, Vöruskrá!I:I, "")) * I429 / 100, ""), IF(F429 = "Réttur", IFERROR(_xlfn.SINGLE(_xlfn.XLOOKUP(G429, Réttabanki!A:A, Réttabanki!AV:AV, "")) * I429 / 100, ""), "")))</f>
        <v/>
      </c>
      <c r="P429" s="26" t="str">
        <f>IF(OR(F429 = "", G429 = "", I429 = ""), "", IF(F429 = "Vara", IFERROR(_xlfn.SINGLE(_xlfn.XLOOKUP(G429, Vöruskrá!A:A, Vöruskrá!J:J, "")) * I429 / 100, ""), IF(F429 = "Réttur", IFERROR(_xlfn.SINGLE(_xlfn.XLOOKUP(G429, Réttabanki!A:A, Réttabanki!AW:AW, "")) * I429 / 100, ""), "")))</f>
        <v/>
      </c>
      <c r="Q429" s="26" t="str">
        <f>IF(OR(F429 = "", G429 = "", I429 = ""), "", IF(F429 = "Vara", IFERROR(_xlfn.SINGLE(_xlfn.XLOOKUP(G429, Vöruskrá!A:A, Vöruskrá!N:N, "")) * I429 / 100, ""), IF(F429 = "Réttur", IFERROR(_xlfn.SINGLE(_xlfn.XLOOKUP(G429, Réttabanki!A:A, Réttabanki!BB:BB, "")) * I429 / 100, ""), "")))</f>
        <v/>
      </c>
    </row>
    <row r="430" spans="2:17">
      <c r="B430" s="33" t="str">
        <f>IF(A430&lt;&gt;"",CHOOSE(WEEKDAY(A430,2),"Mánudagur","Þriðjudagur","Miðvikudagur","Fimmtudagur","Föstudagur","Laugardagur","Sunnudagur"),IF(B429&lt;&gt;"",B429,""))</f>
        <v>Fimmtudagur</v>
      </c>
      <c r="C430" s="33">
        <f>IF(A430&lt;&gt;"",WEEKNUM(A430,21),IF(C429&lt;&gt;"",C429,""))</f>
        <v>27</v>
      </c>
      <c r="D430" s="34"/>
      <c r="E430" s="34"/>
      <c r="F430" s="34"/>
      <c r="G430" s="34"/>
      <c r="H430" s="34"/>
      <c r="I430" s="35"/>
      <c r="J430" s="35"/>
      <c r="K430" s="36"/>
      <c r="L430" s="26" t="str">
        <f>IF(OR(F430 = "", G430 = ""), "", IF(F430 = "Vara", IFERROR(_xlfn.SINGLE(_xlfn.XLOOKUP(G430, Vöruskrá!A:A, Vöruskrá!E:E, "")), ""), IF(F430 = "Réttur", IFERROR(_xlfn.SINGLE(_xlfn.XLOOKUP(G430, Réttabanki!A:A, Réttabanki!AS:AS, "")), ""), "")))</f>
        <v/>
      </c>
      <c r="M430" s="26" t="str">
        <f>IF(OR(F430 = "", G430 = ""), "", IF(F430 = "Vara", IFERROR(_xlfn.SINGLE(_xlfn.XLOOKUP(G430, Vöruskrá!A:A, Vöruskrá!F:F, "")), ""), IF(F430 = "Réttur", IFERROR(_xlfn.SINGLE(_xlfn.XLOOKUP(G430, Réttabanki!A:A, Réttabanki!AT:AT, "")), ""), "")))</f>
        <v/>
      </c>
      <c r="N430" s="26" t="str">
        <f>IF(OR(F430 = "", G430 = ""), "", IF(F430 = "Vara", IFERROR(_xlfn.SINGLE(_xlfn.XLOOKUP(G430, Vöruskrá!A:A, Vöruskrá!G:G, "")), ""), IF(F430 = "Réttur", IFERROR(_xlfn.SINGLE(_xlfn.XLOOKUP(G430, Réttabanki!A:A, Réttabanki!AU:AU, "")), ""), "")))</f>
        <v/>
      </c>
      <c r="O430" s="26" t="str">
        <f>IF(OR(F430 = "", G430 = "", I430 = ""), "", IF(F430 = "Vara", IFERROR(_xlfn.SINGLE(_xlfn.XLOOKUP(G430, Vöruskrá!A:A, Vöruskrá!I:I, "")) * I430 / 100, ""), IF(F430 = "Réttur", IFERROR(_xlfn.SINGLE(_xlfn.XLOOKUP(G430, Réttabanki!A:A, Réttabanki!AV:AV, "")) * I430 / 100, ""), "")))</f>
        <v/>
      </c>
      <c r="P430" s="26" t="str">
        <f>IF(OR(F430 = "", G430 = "", I430 = ""), "", IF(F430 = "Vara", IFERROR(_xlfn.SINGLE(_xlfn.XLOOKUP(G430, Vöruskrá!A:A, Vöruskrá!J:J, "")) * I430 / 100, ""), IF(F430 = "Réttur", IFERROR(_xlfn.SINGLE(_xlfn.XLOOKUP(G430, Réttabanki!A:A, Réttabanki!AW:AW, "")) * I430 / 100, ""), "")))</f>
        <v/>
      </c>
      <c r="Q430" s="26" t="str">
        <f>IF(OR(F430 = "", G430 = "", I430 = ""), "", IF(F430 = "Vara", IFERROR(_xlfn.SINGLE(_xlfn.XLOOKUP(G430, Vöruskrá!A:A, Vöruskrá!N:N, "")) * I430 / 100, ""), IF(F430 = "Réttur", IFERROR(_xlfn.SINGLE(_xlfn.XLOOKUP(G430, Réttabanki!A:A, Réttabanki!BB:BB, "")) * I430 / 100, ""), "")))</f>
        <v/>
      </c>
    </row>
    <row r="431" spans="2:17">
      <c r="B431" s="33" t="str">
        <f>IF(A431&lt;&gt;"",CHOOSE(WEEKDAY(A431,2),"Mánudagur","Þriðjudagur","Miðvikudagur","Fimmtudagur","Föstudagur","Laugardagur","Sunnudagur"),IF(B430&lt;&gt;"",B430,""))</f>
        <v>Fimmtudagur</v>
      </c>
      <c r="C431" s="33">
        <f>IF(A431&lt;&gt;"",WEEKNUM(A431,21),IF(C430&lt;&gt;"",C430,""))</f>
        <v>27</v>
      </c>
      <c r="D431" s="34"/>
      <c r="E431" s="34"/>
      <c r="F431" s="34"/>
      <c r="G431" s="34"/>
      <c r="H431" s="34"/>
      <c r="I431" s="35"/>
      <c r="J431" s="35"/>
      <c r="K431" s="36"/>
      <c r="L431" s="26" t="str">
        <f>IF(OR(F431 = "", G431 = ""), "", IF(F431 = "Vara", IFERROR(_xlfn.SINGLE(_xlfn.XLOOKUP(G431, Vöruskrá!A:A, Vöruskrá!E:E, "")), ""), IF(F431 = "Réttur", IFERROR(_xlfn.SINGLE(_xlfn.XLOOKUP(G431, Réttabanki!A:A, Réttabanki!AS:AS, "")), ""), "")))</f>
        <v/>
      </c>
      <c r="M431" s="26" t="str">
        <f>IF(OR(F431 = "", G431 = ""), "", IF(F431 = "Vara", IFERROR(_xlfn.SINGLE(_xlfn.XLOOKUP(G431, Vöruskrá!A:A, Vöruskrá!F:F, "")), ""), IF(F431 = "Réttur", IFERROR(_xlfn.SINGLE(_xlfn.XLOOKUP(G431, Réttabanki!A:A, Réttabanki!AT:AT, "")), ""), "")))</f>
        <v/>
      </c>
      <c r="N431" s="26" t="str">
        <f>IF(OR(F431 = "", G431 = ""), "", IF(F431 = "Vara", IFERROR(_xlfn.SINGLE(_xlfn.XLOOKUP(G431, Vöruskrá!A:A, Vöruskrá!G:G, "")), ""), IF(F431 = "Réttur", IFERROR(_xlfn.SINGLE(_xlfn.XLOOKUP(G431, Réttabanki!A:A, Réttabanki!AU:AU, "")), ""), "")))</f>
        <v/>
      </c>
      <c r="O431" s="26" t="str">
        <f>IF(OR(F431 = "", G431 = "", I431 = ""), "", IF(F431 = "Vara", IFERROR(_xlfn.SINGLE(_xlfn.XLOOKUP(G431, Vöruskrá!A:A, Vöruskrá!I:I, "")) * I431 / 100, ""), IF(F431 = "Réttur", IFERROR(_xlfn.SINGLE(_xlfn.XLOOKUP(G431, Réttabanki!A:A, Réttabanki!AV:AV, "")) * I431 / 100, ""), "")))</f>
        <v/>
      </c>
      <c r="P431" s="26" t="str">
        <f>IF(OR(F431 = "", G431 = "", I431 = ""), "", IF(F431 = "Vara", IFERROR(_xlfn.SINGLE(_xlfn.XLOOKUP(G431, Vöruskrá!A:A, Vöruskrá!J:J, "")) * I431 / 100, ""), IF(F431 = "Réttur", IFERROR(_xlfn.SINGLE(_xlfn.XLOOKUP(G431, Réttabanki!A:A, Réttabanki!AW:AW, "")) * I431 / 100, ""), "")))</f>
        <v/>
      </c>
      <c r="Q431" s="26" t="str">
        <f>IF(OR(F431 = "", G431 = "", I431 = ""), "", IF(F431 = "Vara", IFERROR(_xlfn.SINGLE(_xlfn.XLOOKUP(G431, Vöruskrá!A:A, Vöruskrá!N:N, "")) * I431 / 100, ""), IF(F431 = "Réttur", IFERROR(_xlfn.SINGLE(_xlfn.XLOOKUP(G431, Réttabanki!A:A, Réttabanki!BB:BB, "")) * I431 / 100, ""), "")))</f>
        <v/>
      </c>
    </row>
    <row r="432" spans="2:17">
      <c r="B432" s="33" t="str">
        <f>IF(A432&lt;&gt;"",CHOOSE(WEEKDAY(A432,2),"Mánudagur","Þriðjudagur","Miðvikudagur","Fimmtudagur","Föstudagur","Laugardagur","Sunnudagur"),IF(B431&lt;&gt;"",B431,""))</f>
        <v>Fimmtudagur</v>
      </c>
      <c r="C432" s="33">
        <f>IF(A432&lt;&gt;"",WEEKNUM(A432,21),IF(C431&lt;&gt;"",C431,""))</f>
        <v>27</v>
      </c>
      <c r="D432" s="34"/>
      <c r="E432" s="34"/>
      <c r="F432" s="34"/>
      <c r="G432" s="34"/>
      <c r="H432" s="34"/>
      <c r="I432" s="35"/>
      <c r="J432" s="35"/>
      <c r="K432" s="36"/>
      <c r="L432" s="26" t="str">
        <f>IF(OR(F432 = "", G432 = ""), "", IF(F432 = "Vara", IFERROR(_xlfn.SINGLE(_xlfn.XLOOKUP(G432, Vöruskrá!A:A, Vöruskrá!E:E, "")), ""), IF(F432 = "Réttur", IFERROR(_xlfn.SINGLE(_xlfn.XLOOKUP(G432, Réttabanki!A:A, Réttabanki!AS:AS, "")), ""), "")))</f>
        <v/>
      </c>
      <c r="M432" s="26" t="str">
        <f>IF(OR(F432 = "", G432 = ""), "", IF(F432 = "Vara", IFERROR(_xlfn.SINGLE(_xlfn.XLOOKUP(G432, Vöruskrá!A:A, Vöruskrá!F:F, "")), ""), IF(F432 = "Réttur", IFERROR(_xlfn.SINGLE(_xlfn.XLOOKUP(G432, Réttabanki!A:A, Réttabanki!AT:AT, "")), ""), "")))</f>
        <v/>
      </c>
      <c r="N432" s="26" t="str">
        <f>IF(OR(F432 = "", G432 = ""), "", IF(F432 = "Vara", IFERROR(_xlfn.SINGLE(_xlfn.XLOOKUP(G432, Vöruskrá!A:A, Vöruskrá!G:G, "")), ""), IF(F432 = "Réttur", IFERROR(_xlfn.SINGLE(_xlfn.XLOOKUP(G432, Réttabanki!A:A, Réttabanki!AU:AU, "")), ""), "")))</f>
        <v/>
      </c>
      <c r="O432" s="26" t="str">
        <f>IF(OR(F432 = "", G432 = "", I432 = ""), "", IF(F432 = "Vara", IFERROR(_xlfn.SINGLE(_xlfn.XLOOKUP(G432, Vöruskrá!A:A, Vöruskrá!I:I, "")) * I432 / 100, ""), IF(F432 = "Réttur", IFERROR(_xlfn.SINGLE(_xlfn.XLOOKUP(G432, Réttabanki!A:A, Réttabanki!AV:AV, "")) * I432 / 100, ""), "")))</f>
        <v/>
      </c>
      <c r="P432" s="26" t="str">
        <f>IF(OR(F432 = "", G432 = "", I432 = ""), "", IF(F432 = "Vara", IFERROR(_xlfn.SINGLE(_xlfn.XLOOKUP(G432, Vöruskrá!A:A, Vöruskrá!J:J, "")) * I432 / 100, ""), IF(F432 = "Réttur", IFERROR(_xlfn.SINGLE(_xlfn.XLOOKUP(G432, Réttabanki!A:A, Réttabanki!AW:AW, "")) * I432 / 100, ""), "")))</f>
        <v/>
      </c>
      <c r="Q432" s="26" t="str">
        <f>IF(OR(F432 = "", G432 = "", I432 = ""), "", IF(F432 = "Vara", IFERROR(_xlfn.SINGLE(_xlfn.XLOOKUP(G432, Vöruskrá!A:A, Vöruskrá!N:N, "")) * I432 / 100, ""), IF(F432 = "Réttur", IFERROR(_xlfn.SINGLE(_xlfn.XLOOKUP(G432, Réttabanki!A:A, Réttabanki!BB:BB, "")) * I432 / 100, ""), "")))</f>
        <v/>
      </c>
    </row>
    <row r="433" spans="2:17">
      <c r="B433" s="33" t="str">
        <f>IF(A433&lt;&gt;"",CHOOSE(WEEKDAY(A433,2),"Mánudagur","Þriðjudagur","Miðvikudagur","Fimmtudagur","Föstudagur","Laugardagur","Sunnudagur"),IF(B432&lt;&gt;"",B432,""))</f>
        <v>Fimmtudagur</v>
      </c>
      <c r="C433" s="33">
        <f>IF(A433&lt;&gt;"",WEEKNUM(A433,21),IF(C432&lt;&gt;"",C432,""))</f>
        <v>27</v>
      </c>
      <c r="D433" s="34"/>
      <c r="E433" s="34"/>
      <c r="F433" s="34"/>
      <c r="G433" s="34"/>
      <c r="H433" s="34"/>
      <c r="I433" s="35"/>
      <c r="J433" s="35"/>
      <c r="K433" s="36"/>
      <c r="L433" s="26" t="str">
        <f>IF(OR(F433 = "", G433 = ""), "", IF(F433 = "Vara", IFERROR(_xlfn.SINGLE(_xlfn.XLOOKUP(G433, Vöruskrá!A:A, Vöruskrá!E:E, "")), ""), IF(F433 = "Réttur", IFERROR(_xlfn.SINGLE(_xlfn.XLOOKUP(G433, Réttabanki!A:A, Réttabanki!AS:AS, "")), ""), "")))</f>
        <v/>
      </c>
      <c r="M433" s="26" t="str">
        <f>IF(OR(F433 = "", G433 = ""), "", IF(F433 = "Vara", IFERROR(_xlfn.SINGLE(_xlfn.XLOOKUP(G433, Vöruskrá!A:A, Vöruskrá!F:F, "")), ""), IF(F433 = "Réttur", IFERROR(_xlfn.SINGLE(_xlfn.XLOOKUP(G433, Réttabanki!A:A, Réttabanki!AT:AT, "")), ""), "")))</f>
        <v/>
      </c>
      <c r="N433" s="26" t="str">
        <f>IF(OR(F433 = "", G433 = ""), "", IF(F433 = "Vara", IFERROR(_xlfn.SINGLE(_xlfn.XLOOKUP(G433, Vöruskrá!A:A, Vöruskrá!G:G, "")), ""), IF(F433 = "Réttur", IFERROR(_xlfn.SINGLE(_xlfn.XLOOKUP(G433, Réttabanki!A:A, Réttabanki!AU:AU, "")), ""), "")))</f>
        <v/>
      </c>
      <c r="O433" s="26" t="str">
        <f>IF(OR(F433 = "", G433 = "", I433 = ""), "", IF(F433 = "Vara", IFERROR(_xlfn.SINGLE(_xlfn.XLOOKUP(G433, Vöruskrá!A:A, Vöruskrá!I:I, "")) * I433 / 100, ""), IF(F433 = "Réttur", IFERROR(_xlfn.SINGLE(_xlfn.XLOOKUP(G433, Réttabanki!A:A, Réttabanki!AV:AV, "")) * I433 / 100, ""), "")))</f>
        <v/>
      </c>
      <c r="P433" s="26" t="str">
        <f>IF(OR(F433 = "", G433 = "", I433 = ""), "", IF(F433 = "Vara", IFERROR(_xlfn.SINGLE(_xlfn.XLOOKUP(G433, Vöruskrá!A:A, Vöruskrá!J:J, "")) * I433 / 100, ""), IF(F433 = "Réttur", IFERROR(_xlfn.SINGLE(_xlfn.XLOOKUP(G433, Réttabanki!A:A, Réttabanki!AW:AW, "")) * I433 / 100, ""), "")))</f>
        <v/>
      </c>
      <c r="Q433" s="26" t="str">
        <f>IF(OR(F433 = "", G433 = "", I433 = ""), "", IF(F433 = "Vara", IFERROR(_xlfn.SINGLE(_xlfn.XLOOKUP(G433, Vöruskrá!A:A, Vöruskrá!N:N, "")) * I433 / 100, ""), IF(F433 = "Réttur", IFERROR(_xlfn.SINGLE(_xlfn.XLOOKUP(G433, Réttabanki!A:A, Réttabanki!BB:BB, "")) * I433 / 100, ""), "")))</f>
        <v/>
      </c>
    </row>
    <row r="434" spans="2:17">
      <c r="B434" s="33" t="str">
        <f>IF(A434&lt;&gt;"",CHOOSE(WEEKDAY(A434,2),"Mánudagur","Þriðjudagur","Miðvikudagur","Fimmtudagur","Föstudagur","Laugardagur","Sunnudagur"),IF(B433&lt;&gt;"",B433,""))</f>
        <v>Fimmtudagur</v>
      </c>
      <c r="C434" s="33">
        <f>IF(A434&lt;&gt;"",WEEKNUM(A434,21),IF(C433&lt;&gt;"",C433,""))</f>
        <v>27</v>
      </c>
      <c r="D434" s="34"/>
      <c r="E434" s="34"/>
      <c r="F434" s="34"/>
      <c r="G434" s="34"/>
      <c r="H434" s="34"/>
      <c r="I434" s="35"/>
      <c r="J434" s="35"/>
      <c r="K434" s="36"/>
      <c r="L434" s="26" t="str">
        <f>IF(OR(F434 = "", G434 = ""), "", IF(F434 = "Vara", IFERROR(_xlfn.SINGLE(_xlfn.XLOOKUP(G434, Vöruskrá!A:A, Vöruskrá!E:E, "")), ""), IF(F434 = "Réttur", IFERROR(_xlfn.SINGLE(_xlfn.XLOOKUP(G434, Réttabanki!A:A, Réttabanki!AS:AS, "")), ""), "")))</f>
        <v/>
      </c>
      <c r="M434" s="26" t="str">
        <f>IF(OR(F434 = "", G434 = ""), "", IF(F434 = "Vara", IFERROR(_xlfn.SINGLE(_xlfn.XLOOKUP(G434, Vöruskrá!A:A, Vöruskrá!F:F, "")), ""), IF(F434 = "Réttur", IFERROR(_xlfn.SINGLE(_xlfn.XLOOKUP(G434, Réttabanki!A:A, Réttabanki!AT:AT, "")), ""), "")))</f>
        <v/>
      </c>
      <c r="N434" s="26" t="str">
        <f>IF(OR(F434 = "", G434 = ""), "", IF(F434 = "Vara", IFERROR(_xlfn.SINGLE(_xlfn.XLOOKUP(G434, Vöruskrá!A:A, Vöruskrá!G:G, "")), ""), IF(F434 = "Réttur", IFERROR(_xlfn.SINGLE(_xlfn.XLOOKUP(G434, Réttabanki!A:A, Réttabanki!AU:AU, "")), ""), "")))</f>
        <v/>
      </c>
      <c r="O434" s="26" t="str">
        <f>IF(OR(F434 = "", G434 = "", I434 = ""), "", IF(F434 = "Vara", IFERROR(_xlfn.SINGLE(_xlfn.XLOOKUP(G434, Vöruskrá!A:A, Vöruskrá!I:I, "")) * I434 / 100, ""), IF(F434 = "Réttur", IFERROR(_xlfn.SINGLE(_xlfn.XLOOKUP(G434, Réttabanki!A:A, Réttabanki!AV:AV, "")) * I434 / 100, ""), "")))</f>
        <v/>
      </c>
      <c r="P434" s="26" t="str">
        <f>IF(OR(F434 = "", G434 = "", I434 = ""), "", IF(F434 = "Vara", IFERROR(_xlfn.SINGLE(_xlfn.XLOOKUP(G434, Vöruskrá!A:A, Vöruskrá!J:J, "")) * I434 / 100, ""), IF(F434 = "Réttur", IFERROR(_xlfn.SINGLE(_xlfn.XLOOKUP(G434, Réttabanki!A:A, Réttabanki!AW:AW, "")) * I434 / 100, ""), "")))</f>
        <v/>
      </c>
      <c r="Q434" s="26" t="str">
        <f>IF(OR(F434 = "", G434 = "", I434 = ""), "", IF(F434 = "Vara", IFERROR(_xlfn.SINGLE(_xlfn.XLOOKUP(G434, Vöruskrá!A:A, Vöruskrá!N:N, "")) * I434 / 100, ""), IF(F434 = "Réttur", IFERROR(_xlfn.SINGLE(_xlfn.XLOOKUP(G434, Réttabanki!A:A, Réttabanki!BB:BB, "")) * I434 / 100, ""), "")))</f>
        <v/>
      </c>
    </row>
    <row r="435" spans="2:17">
      <c r="B435" s="33" t="str">
        <f>IF(A435&lt;&gt;"",CHOOSE(WEEKDAY(A435,2),"Mánudagur","Þriðjudagur","Miðvikudagur","Fimmtudagur","Föstudagur","Laugardagur","Sunnudagur"),IF(B434&lt;&gt;"",B434,""))</f>
        <v>Fimmtudagur</v>
      </c>
      <c r="C435" s="33">
        <f>IF(A435&lt;&gt;"",WEEKNUM(A435,21),IF(C434&lt;&gt;"",C434,""))</f>
        <v>27</v>
      </c>
      <c r="D435" s="34"/>
      <c r="E435" s="34"/>
      <c r="F435" s="34"/>
      <c r="G435" s="34"/>
      <c r="H435" s="34"/>
      <c r="I435" s="35"/>
      <c r="J435" s="35"/>
      <c r="K435" s="36"/>
      <c r="L435" s="26" t="str">
        <f>IF(OR(F435 = "", G435 = ""), "", IF(F435 = "Vara", IFERROR(_xlfn.SINGLE(_xlfn.XLOOKUP(G435, Vöruskrá!A:A, Vöruskrá!E:E, "")), ""), IF(F435 = "Réttur", IFERROR(_xlfn.SINGLE(_xlfn.XLOOKUP(G435, Réttabanki!A:A, Réttabanki!AS:AS, "")), ""), "")))</f>
        <v/>
      </c>
      <c r="M435" s="26" t="str">
        <f>IF(OR(F435 = "", G435 = ""), "", IF(F435 = "Vara", IFERROR(_xlfn.SINGLE(_xlfn.XLOOKUP(G435, Vöruskrá!A:A, Vöruskrá!F:F, "")), ""), IF(F435 = "Réttur", IFERROR(_xlfn.SINGLE(_xlfn.XLOOKUP(G435, Réttabanki!A:A, Réttabanki!AT:AT, "")), ""), "")))</f>
        <v/>
      </c>
      <c r="N435" s="26" t="str">
        <f>IF(OR(F435 = "", G435 = ""), "", IF(F435 = "Vara", IFERROR(_xlfn.SINGLE(_xlfn.XLOOKUP(G435, Vöruskrá!A:A, Vöruskrá!G:G, "")), ""), IF(F435 = "Réttur", IFERROR(_xlfn.SINGLE(_xlfn.XLOOKUP(G435, Réttabanki!A:A, Réttabanki!AU:AU, "")), ""), "")))</f>
        <v/>
      </c>
      <c r="O435" s="26" t="str">
        <f>IF(OR(F435 = "", G435 = "", I435 = ""), "", IF(F435 = "Vara", IFERROR(_xlfn.SINGLE(_xlfn.XLOOKUP(G435, Vöruskrá!A:A, Vöruskrá!I:I, "")) * I435 / 100, ""), IF(F435 = "Réttur", IFERROR(_xlfn.SINGLE(_xlfn.XLOOKUP(G435, Réttabanki!A:A, Réttabanki!AV:AV, "")) * I435 / 100, ""), "")))</f>
        <v/>
      </c>
      <c r="P435" s="26" t="str">
        <f>IF(OR(F435 = "", G435 = "", I435 = ""), "", IF(F435 = "Vara", IFERROR(_xlfn.SINGLE(_xlfn.XLOOKUP(G435, Vöruskrá!A:A, Vöruskrá!J:J, "")) * I435 / 100, ""), IF(F435 = "Réttur", IFERROR(_xlfn.SINGLE(_xlfn.XLOOKUP(G435, Réttabanki!A:A, Réttabanki!AW:AW, "")) * I435 / 100, ""), "")))</f>
        <v/>
      </c>
      <c r="Q435" s="26" t="str">
        <f>IF(OR(F435 = "", G435 = "", I435 = ""), "", IF(F435 = "Vara", IFERROR(_xlfn.SINGLE(_xlfn.XLOOKUP(G435, Vöruskrá!A:A, Vöruskrá!N:N, "")) * I435 / 100, ""), IF(F435 = "Réttur", IFERROR(_xlfn.SINGLE(_xlfn.XLOOKUP(G435, Réttabanki!A:A, Réttabanki!BB:BB, "")) * I435 / 100, ""), "")))</f>
        <v/>
      </c>
    </row>
    <row r="436" spans="2:17">
      <c r="B436" s="33" t="str">
        <f>IF(A436&lt;&gt;"",CHOOSE(WEEKDAY(A436,2),"Mánudagur","Þriðjudagur","Miðvikudagur","Fimmtudagur","Föstudagur","Laugardagur","Sunnudagur"),IF(B435&lt;&gt;"",B435,""))</f>
        <v>Fimmtudagur</v>
      </c>
      <c r="C436" s="33">
        <f>IF(A436&lt;&gt;"",WEEKNUM(A436,21),IF(C435&lt;&gt;"",C435,""))</f>
        <v>27</v>
      </c>
      <c r="D436" s="34"/>
      <c r="E436" s="34"/>
      <c r="F436" s="34"/>
      <c r="G436" s="34"/>
      <c r="H436" s="34"/>
      <c r="I436" s="35"/>
      <c r="J436" s="35"/>
      <c r="K436" s="36"/>
      <c r="L436" s="26" t="str">
        <f>IF(OR(F436 = "", G436 = ""), "", IF(F436 = "Vara", IFERROR(_xlfn.SINGLE(_xlfn.XLOOKUP(G436, Vöruskrá!A:A, Vöruskrá!E:E, "")), ""), IF(F436 = "Réttur", IFERROR(_xlfn.SINGLE(_xlfn.XLOOKUP(G436, Réttabanki!A:A, Réttabanki!AS:AS, "")), ""), "")))</f>
        <v/>
      </c>
      <c r="M436" s="26" t="str">
        <f>IF(OR(F436 = "", G436 = ""), "", IF(F436 = "Vara", IFERROR(_xlfn.SINGLE(_xlfn.XLOOKUP(G436, Vöruskrá!A:A, Vöruskrá!F:F, "")), ""), IF(F436 = "Réttur", IFERROR(_xlfn.SINGLE(_xlfn.XLOOKUP(G436, Réttabanki!A:A, Réttabanki!AT:AT, "")), ""), "")))</f>
        <v/>
      </c>
      <c r="N436" s="26" t="str">
        <f>IF(OR(F436 = "", G436 = ""), "", IF(F436 = "Vara", IFERROR(_xlfn.SINGLE(_xlfn.XLOOKUP(G436, Vöruskrá!A:A, Vöruskrá!G:G, "")), ""), IF(F436 = "Réttur", IFERROR(_xlfn.SINGLE(_xlfn.XLOOKUP(G436, Réttabanki!A:A, Réttabanki!AU:AU, "")), ""), "")))</f>
        <v/>
      </c>
      <c r="O436" s="26" t="str">
        <f>IF(OR(F436 = "", G436 = "", I436 = ""), "", IF(F436 = "Vara", IFERROR(_xlfn.SINGLE(_xlfn.XLOOKUP(G436, Vöruskrá!A:A, Vöruskrá!I:I, "")) * I436 / 100, ""), IF(F436 = "Réttur", IFERROR(_xlfn.SINGLE(_xlfn.XLOOKUP(G436, Réttabanki!A:A, Réttabanki!AV:AV, "")) * I436 / 100, ""), "")))</f>
        <v/>
      </c>
      <c r="P436" s="26" t="str">
        <f>IF(OR(F436 = "", G436 = "", I436 = ""), "", IF(F436 = "Vara", IFERROR(_xlfn.SINGLE(_xlfn.XLOOKUP(G436, Vöruskrá!A:A, Vöruskrá!J:J, "")) * I436 / 100, ""), IF(F436 = "Réttur", IFERROR(_xlfn.SINGLE(_xlfn.XLOOKUP(G436, Réttabanki!A:A, Réttabanki!AW:AW, "")) * I436 / 100, ""), "")))</f>
        <v/>
      </c>
      <c r="Q436" s="26" t="str">
        <f>IF(OR(F436 = "", G436 = "", I436 = ""), "", IF(F436 = "Vara", IFERROR(_xlfn.SINGLE(_xlfn.XLOOKUP(G436, Vöruskrá!A:A, Vöruskrá!N:N, "")) * I436 / 100, ""), IF(F436 = "Réttur", IFERROR(_xlfn.SINGLE(_xlfn.XLOOKUP(G436, Réttabanki!A:A, Réttabanki!BB:BB, "")) * I436 / 100, ""), "")))</f>
        <v/>
      </c>
    </row>
    <row r="437" spans="2:17">
      <c r="B437" s="33" t="str">
        <f>IF(A437&lt;&gt;"",CHOOSE(WEEKDAY(A437,2),"Mánudagur","Þriðjudagur","Miðvikudagur","Fimmtudagur","Föstudagur","Laugardagur","Sunnudagur"),IF(B436&lt;&gt;"",B436,""))</f>
        <v>Fimmtudagur</v>
      </c>
      <c r="C437" s="33">
        <f>IF(A437&lt;&gt;"",WEEKNUM(A437,21),IF(C436&lt;&gt;"",C436,""))</f>
        <v>27</v>
      </c>
      <c r="D437" s="34"/>
      <c r="E437" s="34"/>
      <c r="F437" s="34"/>
      <c r="G437" s="34"/>
      <c r="H437" s="34"/>
      <c r="I437" s="35"/>
      <c r="J437" s="35"/>
      <c r="K437" s="36"/>
      <c r="L437" s="26" t="str">
        <f>IF(OR(F437 = "", G437 = ""), "", IF(F437 = "Vara", IFERROR(_xlfn.SINGLE(_xlfn.XLOOKUP(G437, Vöruskrá!A:A, Vöruskrá!E:E, "")), ""), IF(F437 = "Réttur", IFERROR(_xlfn.SINGLE(_xlfn.XLOOKUP(G437, Réttabanki!A:A, Réttabanki!AS:AS, "")), ""), "")))</f>
        <v/>
      </c>
      <c r="M437" s="26" t="str">
        <f>IF(OR(F437 = "", G437 = ""), "", IF(F437 = "Vara", IFERROR(_xlfn.SINGLE(_xlfn.XLOOKUP(G437, Vöruskrá!A:A, Vöruskrá!F:F, "")), ""), IF(F437 = "Réttur", IFERROR(_xlfn.SINGLE(_xlfn.XLOOKUP(G437, Réttabanki!A:A, Réttabanki!AT:AT, "")), ""), "")))</f>
        <v/>
      </c>
      <c r="N437" s="26" t="str">
        <f>IF(OR(F437 = "", G437 = ""), "", IF(F437 = "Vara", IFERROR(_xlfn.SINGLE(_xlfn.XLOOKUP(G437, Vöruskrá!A:A, Vöruskrá!G:G, "")), ""), IF(F437 = "Réttur", IFERROR(_xlfn.SINGLE(_xlfn.XLOOKUP(G437, Réttabanki!A:A, Réttabanki!AU:AU, "")), ""), "")))</f>
        <v/>
      </c>
      <c r="O437" s="26" t="str">
        <f>IF(OR(F437 = "", G437 = "", I437 = ""), "", IF(F437 = "Vara", IFERROR(_xlfn.SINGLE(_xlfn.XLOOKUP(G437, Vöruskrá!A:A, Vöruskrá!I:I, "")) * I437 / 100, ""), IF(F437 = "Réttur", IFERROR(_xlfn.SINGLE(_xlfn.XLOOKUP(G437, Réttabanki!A:A, Réttabanki!AV:AV, "")) * I437 / 100, ""), "")))</f>
        <v/>
      </c>
      <c r="P437" s="26" t="str">
        <f>IF(OR(F437 = "", G437 = "", I437 = ""), "", IF(F437 = "Vara", IFERROR(_xlfn.SINGLE(_xlfn.XLOOKUP(G437, Vöruskrá!A:A, Vöruskrá!J:J, "")) * I437 / 100, ""), IF(F437 = "Réttur", IFERROR(_xlfn.SINGLE(_xlfn.XLOOKUP(G437, Réttabanki!A:A, Réttabanki!AW:AW, "")) * I437 / 100, ""), "")))</f>
        <v/>
      </c>
      <c r="Q437" s="26" t="str">
        <f>IF(OR(F437 = "", G437 = "", I437 = ""), "", IF(F437 = "Vara", IFERROR(_xlfn.SINGLE(_xlfn.XLOOKUP(G437, Vöruskrá!A:A, Vöruskrá!N:N, "")) * I437 / 100, ""), IF(F437 = "Réttur", IFERROR(_xlfn.SINGLE(_xlfn.XLOOKUP(G437, Réttabanki!A:A, Réttabanki!BB:BB, "")) * I437 / 100, ""), "")))</f>
        <v/>
      </c>
    </row>
    <row r="438" spans="2:17">
      <c r="B438" s="33" t="str">
        <f>IF(A438&lt;&gt;"",CHOOSE(WEEKDAY(A438,2),"Mánudagur","Þriðjudagur","Miðvikudagur","Fimmtudagur","Föstudagur","Laugardagur","Sunnudagur"),IF(B437&lt;&gt;"",B437,""))</f>
        <v>Fimmtudagur</v>
      </c>
      <c r="C438" s="33">
        <f>IF(A438&lt;&gt;"",WEEKNUM(A438,21),IF(C437&lt;&gt;"",C437,""))</f>
        <v>27</v>
      </c>
      <c r="D438" s="34"/>
      <c r="E438" s="34"/>
      <c r="F438" s="34"/>
      <c r="G438" s="34"/>
      <c r="H438" s="34"/>
      <c r="I438" s="35"/>
      <c r="J438" s="35"/>
      <c r="K438" s="36"/>
      <c r="L438" s="26" t="str">
        <f>IF(OR(F438 = "", G438 = ""), "", IF(F438 = "Vara", IFERROR(_xlfn.SINGLE(_xlfn.XLOOKUP(G438, Vöruskrá!A:A, Vöruskrá!E:E, "")), ""), IF(F438 = "Réttur", IFERROR(_xlfn.SINGLE(_xlfn.XLOOKUP(G438, Réttabanki!A:A, Réttabanki!AS:AS, "")), ""), "")))</f>
        <v/>
      </c>
      <c r="M438" s="26" t="str">
        <f>IF(OR(F438 = "", G438 = ""), "", IF(F438 = "Vara", IFERROR(_xlfn.SINGLE(_xlfn.XLOOKUP(G438, Vöruskrá!A:A, Vöruskrá!F:F, "")), ""), IF(F438 = "Réttur", IFERROR(_xlfn.SINGLE(_xlfn.XLOOKUP(G438, Réttabanki!A:A, Réttabanki!AT:AT, "")), ""), "")))</f>
        <v/>
      </c>
      <c r="N438" s="26" t="str">
        <f>IF(OR(F438 = "", G438 = ""), "", IF(F438 = "Vara", IFERROR(_xlfn.SINGLE(_xlfn.XLOOKUP(G438, Vöruskrá!A:A, Vöruskrá!G:G, "")), ""), IF(F438 = "Réttur", IFERROR(_xlfn.SINGLE(_xlfn.XLOOKUP(G438, Réttabanki!A:A, Réttabanki!AU:AU, "")), ""), "")))</f>
        <v/>
      </c>
      <c r="O438" s="26" t="str">
        <f>IF(OR(F438 = "", G438 = "", I438 = ""), "", IF(F438 = "Vara", IFERROR(_xlfn.SINGLE(_xlfn.XLOOKUP(G438, Vöruskrá!A:A, Vöruskrá!I:I, "")) * I438 / 100, ""), IF(F438 = "Réttur", IFERROR(_xlfn.SINGLE(_xlfn.XLOOKUP(G438, Réttabanki!A:A, Réttabanki!AV:AV, "")) * I438 / 100, ""), "")))</f>
        <v/>
      </c>
      <c r="P438" s="26" t="str">
        <f>IF(OR(F438 = "", G438 = "", I438 = ""), "", IF(F438 = "Vara", IFERROR(_xlfn.SINGLE(_xlfn.XLOOKUP(G438, Vöruskrá!A:A, Vöruskrá!J:J, "")) * I438 / 100, ""), IF(F438 = "Réttur", IFERROR(_xlfn.SINGLE(_xlfn.XLOOKUP(G438, Réttabanki!A:A, Réttabanki!AW:AW, "")) * I438 / 100, ""), "")))</f>
        <v/>
      </c>
      <c r="Q438" s="26" t="str">
        <f>IF(OR(F438 = "", G438 = "", I438 = ""), "", IF(F438 = "Vara", IFERROR(_xlfn.SINGLE(_xlfn.XLOOKUP(G438, Vöruskrá!A:A, Vöruskrá!N:N, "")) * I438 / 100, ""), IF(F438 = "Réttur", IFERROR(_xlfn.SINGLE(_xlfn.XLOOKUP(G438, Réttabanki!A:A, Réttabanki!BB:BB, "")) * I438 / 100, ""), "")))</f>
        <v/>
      </c>
    </row>
    <row r="439" spans="2:17">
      <c r="B439" s="33" t="str">
        <f>IF(A439&lt;&gt;"",CHOOSE(WEEKDAY(A439,2),"Mánudagur","Þriðjudagur","Miðvikudagur","Fimmtudagur","Föstudagur","Laugardagur","Sunnudagur"),IF(B438&lt;&gt;"",B438,""))</f>
        <v>Fimmtudagur</v>
      </c>
      <c r="C439" s="33">
        <f>IF(A439&lt;&gt;"",WEEKNUM(A439,21),IF(C438&lt;&gt;"",C438,""))</f>
        <v>27</v>
      </c>
      <c r="D439" s="34"/>
      <c r="E439" s="34"/>
      <c r="F439" s="34"/>
      <c r="G439" s="34"/>
      <c r="H439" s="34"/>
      <c r="I439" s="35"/>
      <c r="J439" s="35"/>
      <c r="K439" s="36"/>
      <c r="L439" s="26" t="str">
        <f>IF(OR(F439 = "", G439 = ""), "", IF(F439 = "Vara", IFERROR(_xlfn.SINGLE(_xlfn.XLOOKUP(G439, Vöruskrá!A:A, Vöruskrá!E:E, "")), ""), IF(F439 = "Réttur", IFERROR(_xlfn.SINGLE(_xlfn.XLOOKUP(G439, Réttabanki!A:A, Réttabanki!AS:AS, "")), ""), "")))</f>
        <v/>
      </c>
      <c r="M439" s="26" t="str">
        <f>IF(OR(F439 = "", G439 = ""), "", IF(F439 = "Vara", IFERROR(_xlfn.SINGLE(_xlfn.XLOOKUP(G439, Vöruskrá!A:A, Vöruskrá!F:F, "")), ""), IF(F439 = "Réttur", IFERROR(_xlfn.SINGLE(_xlfn.XLOOKUP(G439, Réttabanki!A:A, Réttabanki!AT:AT, "")), ""), "")))</f>
        <v/>
      </c>
      <c r="N439" s="26" t="str">
        <f>IF(OR(F439 = "", G439 = ""), "", IF(F439 = "Vara", IFERROR(_xlfn.SINGLE(_xlfn.XLOOKUP(G439, Vöruskrá!A:A, Vöruskrá!G:G, "")), ""), IF(F439 = "Réttur", IFERROR(_xlfn.SINGLE(_xlfn.XLOOKUP(G439, Réttabanki!A:A, Réttabanki!AU:AU, "")), ""), "")))</f>
        <v/>
      </c>
      <c r="O439" s="26" t="str">
        <f>IF(OR(F439 = "", G439 = "", I439 = ""), "", IF(F439 = "Vara", IFERROR(_xlfn.SINGLE(_xlfn.XLOOKUP(G439, Vöruskrá!A:A, Vöruskrá!I:I, "")) * I439 / 100, ""), IF(F439 = "Réttur", IFERROR(_xlfn.SINGLE(_xlfn.XLOOKUP(G439, Réttabanki!A:A, Réttabanki!AV:AV, "")) * I439 / 100, ""), "")))</f>
        <v/>
      </c>
      <c r="P439" s="26" t="str">
        <f>IF(OR(F439 = "", G439 = "", I439 = ""), "", IF(F439 = "Vara", IFERROR(_xlfn.SINGLE(_xlfn.XLOOKUP(G439, Vöruskrá!A:A, Vöruskrá!J:J, "")) * I439 / 100, ""), IF(F439 = "Réttur", IFERROR(_xlfn.SINGLE(_xlfn.XLOOKUP(G439, Réttabanki!A:A, Réttabanki!AW:AW, "")) * I439 / 100, ""), "")))</f>
        <v/>
      </c>
      <c r="Q439" s="26" t="str">
        <f>IF(OR(F439 = "", G439 = "", I439 = ""), "", IF(F439 = "Vara", IFERROR(_xlfn.SINGLE(_xlfn.XLOOKUP(G439, Vöruskrá!A:A, Vöruskrá!N:N, "")) * I439 / 100, ""), IF(F439 = "Réttur", IFERROR(_xlfn.SINGLE(_xlfn.XLOOKUP(G439, Réttabanki!A:A, Réttabanki!BB:BB, "")) * I439 / 100, ""), "")))</f>
        <v/>
      </c>
    </row>
    <row r="440" spans="2:17">
      <c r="B440" s="33" t="str">
        <f>IF(A440&lt;&gt;"",CHOOSE(WEEKDAY(A440,2),"Mánudagur","Þriðjudagur","Miðvikudagur","Fimmtudagur","Föstudagur","Laugardagur","Sunnudagur"),IF(B439&lt;&gt;"",B439,""))</f>
        <v>Fimmtudagur</v>
      </c>
      <c r="C440" s="33">
        <f>IF(A440&lt;&gt;"",WEEKNUM(A440,21),IF(C439&lt;&gt;"",C439,""))</f>
        <v>27</v>
      </c>
      <c r="D440" s="34"/>
      <c r="E440" s="34"/>
      <c r="F440" s="34"/>
      <c r="G440" s="34"/>
      <c r="H440" s="34"/>
      <c r="I440" s="35"/>
      <c r="J440" s="35"/>
      <c r="K440" s="36"/>
      <c r="L440" s="26" t="str">
        <f>IF(OR(F440 = "", G440 = ""), "", IF(F440 = "Vara", IFERROR(_xlfn.SINGLE(_xlfn.XLOOKUP(G440, Vöruskrá!A:A, Vöruskrá!E:E, "")), ""), IF(F440 = "Réttur", IFERROR(_xlfn.SINGLE(_xlfn.XLOOKUP(G440, Réttabanki!A:A, Réttabanki!AS:AS, "")), ""), "")))</f>
        <v/>
      </c>
      <c r="M440" s="26" t="str">
        <f>IF(OR(F440 = "", G440 = ""), "", IF(F440 = "Vara", IFERROR(_xlfn.SINGLE(_xlfn.XLOOKUP(G440, Vöruskrá!A:A, Vöruskrá!F:F, "")), ""), IF(F440 = "Réttur", IFERROR(_xlfn.SINGLE(_xlfn.XLOOKUP(G440, Réttabanki!A:A, Réttabanki!AT:AT, "")), ""), "")))</f>
        <v/>
      </c>
      <c r="N440" s="26" t="str">
        <f>IF(OR(F440 = "", G440 = ""), "", IF(F440 = "Vara", IFERROR(_xlfn.SINGLE(_xlfn.XLOOKUP(G440, Vöruskrá!A:A, Vöruskrá!G:G, "")), ""), IF(F440 = "Réttur", IFERROR(_xlfn.SINGLE(_xlfn.XLOOKUP(G440, Réttabanki!A:A, Réttabanki!AU:AU, "")), ""), "")))</f>
        <v/>
      </c>
      <c r="O440" s="26" t="str">
        <f>IF(OR(F440 = "", G440 = "", I440 = ""), "", IF(F440 = "Vara", IFERROR(_xlfn.SINGLE(_xlfn.XLOOKUP(G440, Vöruskrá!A:A, Vöruskrá!I:I, "")) * I440 / 100, ""), IF(F440 = "Réttur", IFERROR(_xlfn.SINGLE(_xlfn.XLOOKUP(G440, Réttabanki!A:A, Réttabanki!AV:AV, "")) * I440 / 100, ""), "")))</f>
        <v/>
      </c>
      <c r="P440" s="26" t="str">
        <f>IF(OR(F440 = "", G440 = "", I440 = ""), "", IF(F440 = "Vara", IFERROR(_xlfn.SINGLE(_xlfn.XLOOKUP(G440, Vöruskrá!A:A, Vöruskrá!J:J, "")) * I440 / 100, ""), IF(F440 = "Réttur", IFERROR(_xlfn.SINGLE(_xlfn.XLOOKUP(G440, Réttabanki!A:A, Réttabanki!AW:AW, "")) * I440 / 100, ""), "")))</f>
        <v/>
      </c>
      <c r="Q440" s="26" t="str">
        <f>IF(OR(F440 = "", G440 = "", I440 = ""), "", IF(F440 = "Vara", IFERROR(_xlfn.SINGLE(_xlfn.XLOOKUP(G440, Vöruskrá!A:A, Vöruskrá!N:N, "")) * I440 / 100, ""), IF(F440 = "Réttur", IFERROR(_xlfn.SINGLE(_xlfn.XLOOKUP(G440, Réttabanki!A:A, Réttabanki!BB:BB, "")) * I440 / 100, ""), "")))</f>
        <v/>
      </c>
    </row>
    <row r="441" spans="2:17">
      <c r="B441" s="33" t="str">
        <f>IF(A441&lt;&gt;"",CHOOSE(WEEKDAY(A441,2),"Mánudagur","Þriðjudagur","Miðvikudagur","Fimmtudagur","Föstudagur","Laugardagur","Sunnudagur"),IF(B440&lt;&gt;"",B440,""))</f>
        <v>Fimmtudagur</v>
      </c>
      <c r="C441" s="33">
        <f>IF(A441&lt;&gt;"",WEEKNUM(A441,21),IF(C440&lt;&gt;"",C440,""))</f>
        <v>27</v>
      </c>
      <c r="D441" s="34"/>
      <c r="E441" s="34"/>
      <c r="F441" s="34"/>
      <c r="G441" s="34"/>
      <c r="H441" s="34"/>
      <c r="I441" s="35"/>
      <c r="J441" s="35"/>
      <c r="K441" s="36"/>
      <c r="L441" s="26" t="str">
        <f>IF(OR(F441 = "", G441 = ""), "", IF(F441 = "Vara", IFERROR(_xlfn.SINGLE(_xlfn.XLOOKUP(G441, Vöruskrá!A:A, Vöruskrá!E:E, "")), ""), IF(F441 = "Réttur", IFERROR(_xlfn.SINGLE(_xlfn.XLOOKUP(G441, Réttabanki!A:A, Réttabanki!AS:AS, "")), ""), "")))</f>
        <v/>
      </c>
      <c r="M441" s="26" t="str">
        <f>IF(OR(F441 = "", G441 = ""), "", IF(F441 = "Vara", IFERROR(_xlfn.SINGLE(_xlfn.XLOOKUP(G441, Vöruskrá!A:A, Vöruskrá!F:F, "")), ""), IF(F441 = "Réttur", IFERROR(_xlfn.SINGLE(_xlfn.XLOOKUP(G441, Réttabanki!A:A, Réttabanki!AT:AT, "")), ""), "")))</f>
        <v/>
      </c>
      <c r="N441" s="26" t="str">
        <f>IF(OR(F441 = "", G441 = ""), "", IF(F441 = "Vara", IFERROR(_xlfn.SINGLE(_xlfn.XLOOKUP(G441, Vöruskrá!A:A, Vöruskrá!G:G, "")), ""), IF(F441 = "Réttur", IFERROR(_xlfn.SINGLE(_xlfn.XLOOKUP(G441, Réttabanki!A:A, Réttabanki!AU:AU, "")), ""), "")))</f>
        <v/>
      </c>
      <c r="O441" s="26" t="str">
        <f>IF(OR(F441 = "", G441 = "", I441 = ""), "", IF(F441 = "Vara", IFERROR(_xlfn.SINGLE(_xlfn.XLOOKUP(G441, Vöruskrá!A:A, Vöruskrá!I:I, "")) * I441 / 100, ""), IF(F441 = "Réttur", IFERROR(_xlfn.SINGLE(_xlfn.XLOOKUP(G441, Réttabanki!A:A, Réttabanki!AV:AV, "")) * I441 / 100, ""), "")))</f>
        <v/>
      </c>
      <c r="P441" s="26" t="str">
        <f>IF(OR(F441 = "", G441 = "", I441 = ""), "", IF(F441 = "Vara", IFERROR(_xlfn.SINGLE(_xlfn.XLOOKUP(G441, Vöruskrá!A:A, Vöruskrá!J:J, "")) * I441 / 100, ""), IF(F441 = "Réttur", IFERROR(_xlfn.SINGLE(_xlfn.XLOOKUP(G441, Réttabanki!A:A, Réttabanki!AW:AW, "")) * I441 / 100, ""), "")))</f>
        <v/>
      </c>
      <c r="Q441" s="26" t="str">
        <f>IF(OR(F441 = "", G441 = "", I441 = ""), "", IF(F441 = "Vara", IFERROR(_xlfn.SINGLE(_xlfn.XLOOKUP(G441, Vöruskrá!A:A, Vöruskrá!N:N, "")) * I441 / 100, ""), IF(F441 = "Réttur", IFERROR(_xlfn.SINGLE(_xlfn.XLOOKUP(G441, Réttabanki!A:A, Réttabanki!BB:BB, "")) * I441 / 100, ""), "")))</f>
        <v/>
      </c>
    </row>
    <row r="442" spans="2:17">
      <c r="B442" s="33" t="str">
        <f>IF(A442&lt;&gt;"",CHOOSE(WEEKDAY(A442,2),"Mánudagur","Þriðjudagur","Miðvikudagur","Fimmtudagur","Föstudagur","Laugardagur","Sunnudagur"),IF(B441&lt;&gt;"",B441,""))</f>
        <v>Fimmtudagur</v>
      </c>
      <c r="C442" s="33">
        <f>IF(A442&lt;&gt;"",WEEKNUM(A442,21),IF(C441&lt;&gt;"",C441,""))</f>
        <v>27</v>
      </c>
      <c r="D442" s="34"/>
      <c r="E442" s="34"/>
      <c r="F442" s="34"/>
      <c r="G442" s="34"/>
      <c r="H442" s="34"/>
      <c r="I442" s="35"/>
      <c r="J442" s="35"/>
      <c r="K442" s="36"/>
      <c r="L442" s="26" t="str">
        <f>IF(OR(F442 = "", G442 = ""), "", IF(F442 = "Vara", IFERROR(_xlfn.SINGLE(_xlfn.XLOOKUP(G442, Vöruskrá!A:A, Vöruskrá!E:E, "")), ""), IF(F442 = "Réttur", IFERROR(_xlfn.SINGLE(_xlfn.XLOOKUP(G442, Réttabanki!A:A, Réttabanki!AS:AS, "")), ""), "")))</f>
        <v/>
      </c>
      <c r="M442" s="26" t="str">
        <f>IF(OR(F442 = "", G442 = ""), "", IF(F442 = "Vara", IFERROR(_xlfn.SINGLE(_xlfn.XLOOKUP(G442, Vöruskrá!A:A, Vöruskrá!F:F, "")), ""), IF(F442 = "Réttur", IFERROR(_xlfn.SINGLE(_xlfn.XLOOKUP(G442, Réttabanki!A:A, Réttabanki!AT:AT, "")), ""), "")))</f>
        <v/>
      </c>
      <c r="N442" s="26" t="str">
        <f>IF(OR(F442 = "", G442 = ""), "", IF(F442 = "Vara", IFERROR(_xlfn.SINGLE(_xlfn.XLOOKUP(G442, Vöruskrá!A:A, Vöruskrá!G:G, "")), ""), IF(F442 = "Réttur", IFERROR(_xlfn.SINGLE(_xlfn.XLOOKUP(G442, Réttabanki!A:A, Réttabanki!AU:AU, "")), ""), "")))</f>
        <v/>
      </c>
      <c r="O442" s="26" t="str">
        <f>IF(OR(F442 = "", G442 = "", I442 = ""), "", IF(F442 = "Vara", IFERROR(_xlfn.SINGLE(_xlfn.XLOOKUP(G442, Vöruskrá!A:A, Vöruskrá!I:I, "")) * I442 / 100, ""), IF(F442 = "Réttur", IFERROR(_xlfn.SINGLE(_xlfn.XLOOKUP(G442, Réttabanki!A:A, Réttabanki!AV:AV, "")) * I442 / 100, ""), "")))</f>
        <v/>
      </c>
      <c r="P442" s="26" t="str">
        <f>IF(OR(F442 = "", G442 = "", I442 = ""), "", IF(F442 = "Vara", IFERROR(_xlfn.SINGLE(_xlfn.XLOOKUP(G442, Vöruskrá!A:A, Vöruskrá!J:J, "")) * I442 / 100, ""), IF(F442 = "Réttur", IFERROR(_xlfn.SINGLE(_xlfn.XLOOKUP(G442, Réttabanki!A:A, Réttabanki!AW:AW, "")) * I442 / 100, ""), "")))</f>
        <v/>
      </c>
      <c r="Q442" s="26" t="str">
        <f>IF(OR(F442 = "", G442 = "", I442 = ""), "", IF(F442 = "Vara", IFERROR(_xlfn.SINGLE(_xlfn.XLOOKUP(G442, Vöruskrá!A:A, Vöruskrá!N:N, "")) * I442 / 100, ""), IF(F442 = "Réttur", IFERROR(_xlfn.SINGLE(_xlfn.XLOOKUP(G442, Réttabanki!A:A, Réttabanki!BB:BB, "")) * I442 / 100, ""), "")))</f>
        <v/>
      </c>
    </row>
    <row r="443" spans="2:17">
      <c r="B443" s="33" t="str">
        <f>IF(A443&lt;&gt;"",CHOOSE(WEEKDAY(A443,2),"Mánudagur","Þriðjudagur","Miðvikudagur","Fimmtudagur","Föstudagur","Laugardagur","Sunnudagur"),IF(B442&lt;&gt;"",B442,""))</f>
        <v>Fimmtudagur</v>
      </c>
      <c r="C443" s="33">
        <f>IF(A443&lt;&gt;"",WEEKNUM(A443,21),IF(C442&lt;&gt;"",C442,""))</f>
        <v>27</v>
      </c>
      <c r="D443" s="34"/>
      <c r="E443" s="34"/>
      <c r="F443" s="34"/>
      <c r="G443" s="34"/>
      <c r="H443" s="34"/>
      <c r="I443" s="35"/>
      <c r="J443" s="35"/>
      <c r="K443" s="36"/>
      <c r="L443" s="26" t="str">
        <f>IF(OR(F443 = "", G443 = ""), "", IF(F443 = "Vara", IFERROR(_xlfn.SINGLE(_xlfn.XLOOKUP(G443, Vöruskrá!A:A, Vöruskrá!E:E, "")), ""), IF(F443 = "Réttur", IFERROR(_xlfn.SINGLE(_xlfn.XLOOKUP(G443, Réttabanki!A:A, Réttabanki!AS:AS, "")), ""), "")))</f>
        <v/>
      </c>
      <c r="M443" s="26" t="str">
        <f>IF(OR(F443 = "", G443 = ""), "", IF(F443 = "Vara", IFERROR(_xlfn.SINGLE(_xlfn.XLOOKUP(G443, Vöruskrá!A:A, Vöruskrá!F:F, "")), ""), IF(F443 = "Réttur", IFERROR(_xlfn.SINGLE(_xlfn.XLOOKUP(G443, Réttabanki!A:A, Réttabanki!AT:AT, "")), ""), "")))</f>
        <v/>
      </c>
      <c r="N443" s="26" t="str">
        <f>IF(OR(F443 = "", G443 = ""), "", IF(F443 = "Vara", IFERROR(_xlfn.SINGLE(_xlfn.XLOOKUP(G443, Vöruskrá!A:A, Vöruskrá!G:G, "")), ""), IF(F443 = "Réttur", IFERROR(_xlfn.SINGLE(_xlfn.XLOOKUP(G443, Réttabanki!A:A, Réttabanki!AU:AU, "")), ""), "")))</f>
        <v/>
      </c>
      <c r="O443" s="26" t="str">
        <f>IF(OR(F443 = "", G443 = "", I443 = ""), "", IF(F443 = "Vara", IFERROR(_xlfn.SINGLE(_xlfn.XLOOKUP(G443, Vöruskrá!A:A, Vöruskrá!I:I, "")) * I443 / 100, ""), IF(F443 = "Réttur", IFERROR(_xlfn.SINGLE(_xlfn.XLOOKUP(G443, Réttabanki!A:A, Réttabanki!AV:AV, "")) * I443 / 100, ""), "")))</f>
        <v/>
      </c>
      <c r="P443" s="26" t="str">
        <f>IF(OR(F443 = "", G443 = "", I443 = ""), "", IF(F443 = "Vara", IFERROR(_xlfn.SINGLE(_xlfn.XLOOKUP(G443, Vöruskrá!A:A, Vöruskrá!J:J, "")) * I443 / 100, ""), IF(F443 = "Réttur", IFERROR(_xlfn.SINGLE(_xlfn.XLOOKUP(G443, Réttabanki!A:A, Réttabanki!AW:AW, "")) * I443 / 100, ""), "")))</f>
        <v/>
      </c>
      <c r="Q443" s="26" t="str">
        <f>IF(OR(F443 = "", G443 = "", I443 = ""), "", IF(F443 = "Vara", IFERROR(_xlfn.SINGLE(_xlfn.XLOOKUP(G443, Vöruskrá!A:A, Vöruskrá!N:N, "")) * I443 / 100, ""), IF(F443 = "Réttur", IFERROR(_xlfn.SINGLE(_xlfn.XLOOKUP(G443, Réttabanki!A:A, Réttabanki!BB:BB, "")) * I443 / 100, ""), "")))</f>
        <v/>
      </c>
    </row>
    <row r="444" spans="2:17">
      <c r="B444" s="33" t="str">
        <f>IF(A444&lt;&gt;"",CHOOSE(WEEKDAY(A444,2),"Mánudagur","Þriðjudagur","Miðvikudagur","Fimmtudagur","Föstudagur","Laugardagur","Sunnudagur"),IF(B443&lt;&gt;"",B443,""))</f>
        <v>Fimmtudagur</v>
      </c>
      <c r="C444" s="33">
        <f>IF(A444&lt;&gt;"",WEEKNUM(A444,21),IF(C443&lt;&gt;"",C443,""))</f>
        <v>27</v>
      </c>
      <c r="D444" s="34"/>
      <c r="E444" s="34"/>
      <c r="F444" s="34"/>
      <c r="G444" s="34"/>
      <c r="H444" s="34"/>
      <c r="I444" s="35"/>
      <c r="J444" s="35"/>
      <c r="K444" s="36"/>
      <c r="L444" s="26" t="str">
        <f>IF(OR(F444 = "", G444 = ""), "", IF(F444 = "Vara", IFERROR(_xlfn.SINGLE(_xlfn.XLOOKUP(G444, Vöruskrá!A:A, Vöruskrá!E:E, "")), ""), IF(F444 = "Réttur", IFERROR(_xlfn.SINGLE(_xlfn.XLOOKUP(G444, Réttabanki!A:A, Réttabanki!AS:AS, "")), ""), "")))</f>
        <v/>
      </c>
      <c r="M444" s="26" t="str">
        <f>IF(OR(F444 = "", G444 = ""), "", IF(F444 = "Vara", IFERROR(_xlfn.SINGLE(_xlfn.XLOOKUP(G444, Vöruskrá!A:A, Vöruskrá!F:F, "")), ""), IF(F444 = "Réttur", IFERROR(_xlfn.SINGLE(_xlfn.XLOOKUP(G444, Réttabanki!A:A, Réttabanki!AT:AT, "")), ""), "")))</f>
        <v/>
      </c>
      <c r="N444" s="26" t="str">
        <f>IF(OR(F444 = "", G444 = ""), "", IF(F444 = "Vara", IFERROR(_xlfn.SINGLE(_xlfn.XLOOKUP(G444, Vöruskrá!A:A, Vöruskrá!G:G, "")), ""), IF(F444 = "Réttur", IFERROR(_xlfn.SINGLE(_xlfn.XLOOKUP(G444, Réttabanki!A:A, Réttabanki!AU:AU, "")), ""), "")))</f>
        <v/>
      </c>
      <c r="O444" s="26" t="str">
        <f>IF(OR(F444 = "", G444 = "", I444 = ""), "", IF(F444 = "Vara", IFERROR(_xlfn.SINGLE(_xlfn.XLOOKUP(G444, Vöruskrá!A:A, Vöruskrá!I:I, "")) * I444 / 100, ""), IF(F444 = "Réttur", IFERROR(_xlfn.SINGLE(_xlfn.XLOOKUP(G444, Réttabanki!A:A, Réttabanki!AV:AV, "")) * I444 / 100, ""), "")))</f>
        <v/>
      </c>
      <c r="P444" s="26" t="str">
        <f>IF(OR(F444 = "", G444 = "", I444 = ""), "", IF(F444 = "Vara", IFERROR(_xlfn.SINGLE(_xlfn.XLOOKUP(G444, Vöruskrá!A:A, Vöruskrá!J:J, "")) * I444 / 100, ""), IF(F444 = "Réttur", IFERROR(_xlfn.SINGLE(_xlfn.XLOOKUP(G444, Réttabanki!A:A, Réttabanki!AW:AW, "")) * I444 / 100, ""), "")))</f>
        <v/>
      </c>
      <c r="Q444" s="26" t="str">
        <f>IF(OR(F444 = "", G444 = "", I444 = ""), "", IF(F444 = "Vara", IFERROR(_xlfn.SINGLE(_xlfn.XLOOKUP(G444, Vöruskrá!A:A, Vöruskrá!N:N, "")) * I444 / 100, ""), IF(F444 = "Réttur", IFERROR(_xlfn.SINGLE(_xlfn.XLOOKUP(G444, Réttabanki!A:A, Réttabanki!BB:BB, "")) * I444 / 100, ""), "")))</f>
        <v/>
      </c>
    </row>
    <row r="445" spans="2:17">
      <c r="B445" s="33" t="str">
        <f>IF(A445&lt;&gt;"",CHOOSE(WEEKDAY(A445,2),"Mánudagur","Þriðjudagur","Miðvikudagur","Fimmtudagur","Föstudagur","Laugardagur","Sunnudagur"),IF(B444&lt;&gt;"",B444,""))</f>
        <v>Fimmtudagur</v>
      </c>
      <c r="C445" s="33">
        <f>IF(A445&lt;&gt;"",WEEKNUM(A445,21),IF(C444&lt;&gt;"",C444,""))</f>
        <v>27</v>
      </c>
      <c r="D445" s="34"/>
      <c r="E445" s="34"/>
      <c r="F445" s="34"/>
      <c r="G445" s="34"/>
      <c r="H445" s="34"/>
      <c r="I445" s="35"/>
      <c r="J445" s="35"/>
      <c r="K445" s="36"/>
      <c r="L445" s="26" t="str">
        <f>IF(OR(F445 = "", G445 = ""), "", IF(F445 = "Vara", IFERROR(_xlfn.SINGLE(_xlfn.XLOOKUP(G445, Vöruskrá!A:A, Vöruskrá!E:E, "")), ""), IF(F445 = "Réttur", IFERROR(_xlfn.SINGLE(_xlfn.XLOOKUP(G445, Réttabanki!A:A, Réttabanki!AS:AS, "")), ""), "")))</f>
        <v/>
      </c>
      <c r="M445" s="26" t="str">
        <f>IF(OR(F445 = "", G445 = ""), "", IF(F445 = "Vara", IFERROR(_xlfn.SINGLE(_xlfn.XLOOKUP(G445, Vöruskrá!A:A, Vöruskrá!F:F, "")), ""), IF(F445 = "Réttur", IFERROR(_xlfn.SINGLE(_xlfn.XLOOKUP(G445, Réttabanki!A:A, Réttabanki!AT:AT, "")), ""), "")))</f>
        <v/>
      </c>
      <c r="N445" s="26" t="str">
        <f>IF(OR(F445 = "", G445 = ""), "", IF(F445 = "Vara", IFERROR(_xlfn.SINGLE(_xlfn.XLOOKUP(G445, Vöruskrá!A:A, Vöruskrá!G:G, "")), ""), IF(F445 = "Réttur", IFERROR(_xlfn.SINGLE(_xlfn.XLOOKUP(G445, Réttabanki!A:A, Réttabanki!AU:AU, "")), ""), "")))</f>
        <v/>
      </c>
      <c r="O445" s="26" t="str">
        <f>IF(OR(F445 = "", G445 = "", I445 = ""), "", IF(F445 = "Vara", IFERROR(_xlfn.SINGLE(_xlfn.XLOOKUP(G445, Vöruskrá!A:A, Vöruskrá!I:I, "")) * I445 / 100, ""), IF(F445 = "Réttur", IFERROR(_xlfn.SINGLE(_xlfn.XLOOKUP(G445, Réttabanki!A:A, Réttabanki!AV:AV, "")) * I445 / 100, ""), "")))</f>
        <v/>
      </c>
      <c r="P445" s="26" t="str">
        <f>IF(OR(F445 = "", G445 = "", I445 = ""), "", IF(F445 = "Vara", IFERROR(_xlfn.SINGLE(_xlfn.XLOOKUP(G445, Vöruskrá!A:A, Vöruskrá!J:J, "")) * I445 / 100, ""), IF(F445 = "Réttur", IFERROR(_xlfn.SINGLE(_xlfn.XLOOKUP(G445, Réttabanki!A:A, Réttabanki!AW:AW, "")) * I445 / 100, ""), "")))</f>
        <v/>
      </c>
      <c r="Q445" s="26" t="str">
        <f>IF(OR(F445 = "", G445 = "", I445 = ""), "", IF(F445 = "Vara", IFERROR(_xlfn.SINGLE(_xlfn.XLOOKUP(G445, Vöruskrá!A:A, Vöruskrá!N:N, "")) * I445 / 100, ""), IF(F445 = "Réttur", IFERROR(_xlfn.SINGLE(_xlfn.XLOOKUP(G445, Réttabanki!A:A, Réttabanki!BB:BB, "")) * I445 / 100, ""), "")))</f>
        <v/>
      </c>
    </row>
    <row r="446" spans="2:17">
      <c r="B446" s="33" t="str">
        <f>IF(A446&lt;&gt;"",CHOOSE(WEEKDAY(A446,2),"Mánudagur","Þriðjudagur","Miðvikudagur","Fimmtudagur","Föstudagur","Laugardagur","Sunnudagur"),IF(B445&lt;&gt;"",B445,""))</f>
        <v>Fimmtudagur</v>
      </c>
      <c r="C446" s="33">
        <f>IF(A446&lt;&gt;"",WEEKNUM(A446,21),IF(C445&lt;&gt;"",C445,""))</f>
        <v>27</v>
      </c>
      <c r="D446" s="34"/>
      <c r="E446" s="34"/>
      <c r="F446" s="34"/>
      <c r="G446" s="34"/>
      <c r="H446" s="34"/>
      <c r="I446" s="35"/>
      <c r="J446" s="35"/>
      <c r="K446" s="36"/>
      <c r="L446" s="26" t="str">
        <f>IF(OR(F446 = "", G446 = ""), "", IF(F446 = "Vara", IFERROR(_xlfn.SINGLE(_xlfn.XLOOKUP(G446, Vöruskrá!A:A, Vöruskrá!E:E, "")), ""), IF(F446 = "Réttur", IFERROR(_xlfn.SINGLE(_xlfn.XLOOKUP(G446, Réttabanki!A:A, Réttabanki!AS:AS, "")), ""), "")))</f>
        <v/>
      </c>
      <c r="M446" s="26" t="str">
        <f>IF(OR(F446 = "", G446 = ""), "", IF(F446 = "Vara", IFERROR(_xlfn.SINGLE(_xlfn.XLOOKUP(G446, Vöruskrá!A:A, Vöruskrá!F:F, "")), ""), IF(F446 = "Réttur", IFERROR(_xlfn.SINGLE(_xlfn.XLOOKUP(G446, Réttabanki!A:A, Réttabanki!AT:AT, "")), ""), "")))</f>
        <v/>
      </c>
      <c r="N446" s="26" t="str">
        <f>IF(OR(F446 = "", G446 = ""), "", IF(F446 = "Vara", IFERROR(_xlfn.SINGLE(_xlfn.XLOOKUP(G446, Vöruskrá!A:A, Vöruskrá!G:G, "")), ""), IF(F446 = "Réttur", IFERROR(_xlfn.SINGLE(_xlfn.XLOOKUP(G446, Réttabanki!A:A, Réttabanki!AU:AU, "")), ""), "")))</f>
        <v/>
      </c>
      <c r="O446" s="26" t="str">
        <f>IF(OR(F446 = "", G446 = "", I446 = ""), "", IF(F446 = "Vara", IFERROR(_xlfn.SINGLE(_xlfn.XLOOKUP(G446, Vöruskrá!A:A, Vöruskrá!I:I, "")) * I446 / 100, ""), IF(F446 = "Réttur", IFERROR(_xlfn.SINGLE(_xlfn.XLOOKUP(G446, Réttabanki!A:A, Réttabanki!AV:AV, "")) * I446 / 100, ""), "")))</f>
        <v/>
      </c>
      <c r="P446" s="26" t="str">
        <f>IF(OR(F446 = "", G446 = "", I446 = ""), "", IF(F446 = "Vara", IFERROR(_xlfn.SINGLE(_xlfn.XLOOKUP(G446, Vöruskrá!A:A, Vöruskrá!J:J, "")) * I446 / 100, ""), IF(F446 = "Réttur", IFERROR(_xlfn.SINGLE(_xlfn.XLOOKUP(G446, Réttabanki!A:A, Réttabanki!AW:AW, "")) * I446 / 100, ""), "")))</f>
        <v/>
      </c>
      <c r="Q446" s="26" t="str">
        <f>IF(OR(F446 = "", G446 = "", I446 = ""), "", IF(F446 = "Vara", IFERROR(_xlfn.SINGLE(_xlfn.XLOOKUP(G446, Vöruskrá!A:A, Vöruskrá!N:N, "")) * I446 / 100, ""), IF(F446 = "Réttur", IFERROR(_xlfn.SINGLE(_xlfn.XLOOKUP(G446, Réttabanki!A:A, Réttabanki!BB:BB, "")) * I446 / 100, ""), "")))</f>
        <v/>
      </c>
    </row>
    <row r="447" spans="2:17">
      <c r="B447" s="33" t="str">
        <f>IF(A447&lt;&gt;"",CHOOSE(WEEKDAY(A447,2),"Mánudagur","Þriðjudagur","Miðvikudagur","Fimmtudagur","Föstudagur","Laugardagur","Sunnudagur"),IF(B446&lt;&gt;"",B446,""))</f>
        <v>Fimmtudagur</v>
      </c>
      <c r="C447" s="33">
        <f>IF(A447&lt;&gt;"",WEEKNUM(A447,21),IF(C446&lt;&gt;"",C446,""))</f>
        <v>27</v>
      </c>
      <c r="D447" s="34"/>
      <c r="E447" s="34"/>
      <c r="F447" s="34"/>
      <c r="G447" s="34"/>
      <c r="H447" s="34"/>
      <c r="I447" s="35"/>
      <c r="J447" s="35"/>
      <c r="K447" s="36"/>
      <c r="L447" s="26" t="str">
        <f>IF(OR(F447 = "", G447 = ""), "", IF(F447 = "Vara", IFERROR(_xlfn.SINGLE(_xlfn.XLOOKUP(G447, Vöruskrá!A:A, Vöruskrá!E:E, "")), ""), IF(F447 = "Réttur", IFERROR(_xlfn.SINGLE(_xlfn.XLOOKUP(G447, Réttabanki!A:A, Réttabanki!AS:AS, "")), ""), "")))</f>
        <v/>
      </c>
      <c r="M447" s="26" t="str">
        <f>IF(OR(F447 = "", G447 = ""), "", IF(F447 = "Vara", IFERROR(_xlfn.SINGLE(_xlfn.XLOOKUP(G447, Vöruskrá!A:A, Vöruskrá!F:F, "")), ""), IF(F447 = "Réttur", IFERROR(_xlfn.SINGLE(_xlfn.XLOOKUP(G447, Réttabanki!A:A, Réttabanki!AT:AT, "")), ""), "")))</f>
        <v/>
      </c>
      <c r="N447" s="26" t="str">
        <f>IF(OR(F447 = "", G447 = ""), "", IF(F447 = "Vara", IFERROR(_xlfn.SINGLE(_xlfn.XLOOKUP(G447, Vöruskrá!A:A, Vöruskrá!G:G, "")), ""), IF(F447 = "Réttur", IFERROR(_xlfn.SINGLE(_xlfn.XLOOKUP(G447, Réttabanki!A:A, Réttabanki!AU:AU, "")), ""), "")))</f>
        <v/>
      </c>
      <c r="O447" s="26" t="str">
        <f>IF(OR(F447 = "", G447 = "", I447 = ""), "", IF(F447 = "Vara", IFERROR(_xlfn.SINGLE(_xlfn.XLOOKUP(G447, Vöruskrá!A:A, Vöruskrá!I:I, "")) * I447 / 100, ""), IF(F447 = "Réttur", IFERROR(_xlfn.SINGLE(_xlfn.XLOOKUP(G447, Réttabanki!A:A, Réttabanki!AV:AV, "")) * I447 / 100, ""), "")))</f>
        <v/>
      </c>
      <c r="P447" s="26" t="str">
        <f>IF(OR(F447 = "", G447 = "", I447 = ""), "", IF(F447 = "Vara", IFERROR(_xlfn.SINGLE(_xlfn.XLOOKUP(G447, Vöruskrá!A:A, Vöruskrá!J:J, "")) * I447 / 100, ""), IF(F447 = "Réttur", IFERROR(_xlfn.SINGLE(_xlfn.XLOOKUP(G447, Réttabanki!A:A, Réttabanki!AW:AW, "")) * I447 / 100, ""), "")))</f>
        <v/>
      </c>
      <c r="Q447" s="26" t="str">
        <f>IF(OR(F447 = "", G447 = "", I447 = ""), "", IF(F447 = "Vara", IFERROR(_xlfn.SINGLE(_xlfn.XLOOKUP(G447, Vöruskrá!A:A, Vöruskrá!N:N, "")) * I447 / 100, ""), IF(F447 = "Réttur", IFERROR(_xlfn.SINGLE(_xlfn.XLOOKUP(G447, Réttabanki!A:A, Réttabanki!BB:BB, "")) * I447 / 100, ""), "")))</f>
        <v/>
      </c>
    </row>
    <row r="448" spans="2:17">
      <c r="B448" s="33" t="str">
        <f>IF(A448&lt;&gt;"",CHOOSE(WEEKDAY(A448,2),"Mánudagur","Þriðjudagur","Miðvikudagur","Fimmtudagur","Föstudagur","Laugardagur","Sunnudagur"),IF(B447&lt;&gt;"",B447,""))</f>
        <v>Fimmtudagur</v>
      </c>
      <c r="C448" s="33">
        <f>IF(A448&lt;&gt;"",WEEKNUM(A448,21),IF(C447&lt;&gt;"",C447,""))</f>
        <v>27</v>
      </c>
      <c r="D448" s="34"/>
      <c r="E448" s="34"/>
      <c r="F448" s="34"/>
      <c r="G448" s="34"/>
      <c r="H448" s="34"/>
      <c r="I448" s="35"/>
      <c r="J448" s="35"/>
      <c r="K448" s="36"/>
      <c r="L448" s="26" t="str">
        <f>IF(OR(F448 = "", G448 = ""), "", IF(F448 = "Vara", IFERROR(_xlfn.SINGLE(_xlfn.XLOOKUP(G448, Vöruskrá!A:A, Vöruskrá!E:E, "")), ""), IF(F448 = "Réttur", IFERROR(_xlfn.SINGLE(_xlfn.XLOOKUP(G448, Réttabanki!A:A, Réttabanki!AS:AS, "")), ""), "")))</f>
        <v/>
      </c>
      <c r="M448" s="26" t="str">
        <f>IF(OR(F448 = "", G448 = ""), "", IF(F448 = "Vara", IFERROR(_xlfn.SINGLE(_xlfn.XLOOKUP(G448, Vöruskrá!A:A, Vöruskrá!F:F, "")), ""), IF(F448 = "Réttur", IFERROR(_xlfn.SINGLE(_xlfn.XLOOKUP(G448, Réttabanki!A:A, Réttabanki!AT:AT, "")), ""), "")))</f>
        <v/>
      </c>
      <c r="N448" s="26" t="str">
        <f>IF(OR(F448 = "", G448 = ""), "", IF(F448 = "Vara", IFERROR(_xlfn.SINGLE(_xlfn.XLOOKUP(G448, Vöruskrá!A:A, Vöruskrá!G:G, "")), ""), IF(F448 = "Réttur", IFERROR(_xlfn.SINGLE(_xlfn.XLOOKUP(G448, Réttabanki!A:A, Réttabanki!AU:AU, "")), ""), "")))</f>
        <v/>
      </c>
      <c r="O448" s="26" t="str">
        <f>IF(OR(F448 = "", G448 = "", I448 = ""), "", IF(F448 = "Vara", IFERROR(_xlfn.SINGLE(_xlfn.XLOOKUP(G448, Vöruskrá!A:A, Vöruskrá!I:I, "")) * I448 / 100, ""), IF(F448 = "Réttur", IFERROR(_xlfn.SINGLE(_xlfn.XLOOKUP(G448, Réttabanki!A:A, Réttabanki!AV:AV, "")) * I448 / 100, ""), "")))</f>
        <v/>
      </c>
      <c r="P448" s="26" t="str">
        <f>IF(OR(F448 = "", G448 = "", I448 = ""), "", IF(F448 = "Vara", IFERROR(_xlfn.SINGLE(_xlfn.XLOOKUP(G448, Vöruskrá!A:A, Vöruskrá!J:J, "")) * I448 / 100, ""), IF(F448 = "Réttur", IFERROR(_xlfn.SINGLE(_xlfn.XLOOKUP(G448, Réttabanki!A:A, Réttabanki!AW:AW, "")) * I448 / 100, ""), "")))</f>
        <v/>
      </c>
      <c r="Q448" s="26" t="str">
        <f>IF(OR(F448 = "", G448 = "", I448 = ""), "", IF(F448 = "Vara", IFERROR(_xlfn.SINGLE(_xlfn.XLOOKUP(G448, Vöruskrá!A:A, Vöruskrá!N:N, "")) * I448 / 100, ""), IF(F448 = "Réttur", IFERROR(_xlfn.SINGLE(_xlfn.XLOOKUP(G448, Réttabanki!A:A, Réttabanki!BB:BB, "")) * I448 / 100, ""), "")))</f>
        <v/>
      </c>
    </row>
    <row r="449" spans="2:17">
      <c r="B449" s="33" t="str">
        <f>IF(A449&lt;&gt;"",CHOOSE(WEEKDAY(A449,2),"Mánudagur","Þriðjudagur","Miðvikudagur","Fimmtudagur","Föstudagur","Laugardagur","Sunnudagur"),IF(B448&lt;&gt;"",B448,""))</f>
        <v>Fimmtudagur</v>
      </c>
      <c r="C449" s="33">
        <f>IF(A449&lt;&gt;"",WEEKNUM(A449,21),IF(C448&lt;&gt;"",C448,""))</f>
        <v>27</v>
      </c>
      <c r="D449" s="34"/>
      <c r="E449" s="34"/>
      <c r="F449" s="34"/>
      <c r="G449" s="34"/>
      <c r="H449" s="34"/>
      <c r="I449" s="35"/>
      <c r="J449" s="35"/>
      <c r="K449" s="36"/>
      <c r="L449" s="26" t="str">
        <f>IF(OR(F449 = "", G449 = ""), "", IF(F449 = "Vara", IFERROR(_xlfn.SINGLE(_xlfn.XLOOKUP(G449, Vöruskrá!A:A, Vöruskrá!E:E, "")), ""), IF(F449 = "Réttur", IFERROR(_xlfn.SINGLE(_xlfn.XLOOKUP(G449, Réttabanki!A:A, Réttabanki!AS:AS, "")), ""), "")))</f>
        <v/>
      </c>
      <c r="M449" s="26" t="str">
        <f>IF(OR(F449 = "", G449 = ""), "", IF(F449 = "Vara", IFERROR(_xlfn.SINGLE(_xlfn.XLOOKUP(G449, Vöruskrá!A:A, Vöruskrá!F:F, "")), ""), IF(F449 = "Réttur", IFERROR(_xlfn.SINGLE(_xlfn.XLOOKUP(G449, Réttabanki!A:A, Réttabanki!AT:AT, "")), ""), "")))</f>
        <v/>
      </c>
      <c r="N449" s="26" t="str">
        <f>IF(OR(F449 = "", G449 = ""), "", IF(F449 = "Vara", IFERROR(_xlfn.SINGLE(_xlfn.XLOOKUP(G449, Vöruskrá!A:A, Vöruskrá!G:G, "")), ""), IF(F449 = "Réttur", IFERROR(_xlfn.SINGLE(_xlfn.XLOOKUP(G449, Réttabanki!A:A, Réttabanki!AU:AU, "")), ""), "")))</f>
        <v/>
      </c>
      <c r="O449" s="26" t="str">
        <f>IF(OR(F449 = "", G449 = "", I449 = ""), "", IF(F449 = "Vara", IFERROR(_xlfn.SINGLE(_xlfn.XLOOKUP(G449, Vöruskrá!A:A, Vöruskrá!I:I, "")) * I449 / 100, ""), IF(F449 = "Réttur", IFERROR(_xlfn.SINGLE(_xlfn.XLOOKUP(G449, Réttabanki!A:A, Réttabanki!AV:AV, "")) * I449 / 100, ""), "")))</f>
        <v/>
      </c>
      <c r="P449" s="26" t="str">
        <f>IF(OR(F449 = "", G449 = "", I449 = ""), "", IF(F449 = "Vara", IFERROR(_xlfn.SINGLE(_xlfn.XLOOKUP(G449, Vöruskrá!A:A, Vöruskrá!J:J, "")) * I449 / 100, ""), IF(F449 = "Réttur", IFERROR(_xlfn.SINGLE(_xlfn.XLOOKUP(G449, Réttabanki!A:A, Réttabanki!AW:AW, "")) * I449 / 100, ""), "")))</f>
        <v/>
      </c>
      <c r="Q449" s="26" t="str">
        <f>IF(OR(F449 = "", G449 = "", I449 = ""), "", IF(F449 = "Vara", IFERROR(_xlfn.SINGLE(_xlfn.XLOOKUP(G449, Vöruskrá!A:A, Vöruskrá!N:N, "")) * I449 / 100, ""), IF(F449 = "Réttur", IFERROR(_xlfn.SINGLE(_xlfn.XLOOKUP(G449, Réttabanki!A:A, Réttabanki!BB:BB, "")) * I449 / 100, ""), "")))</f>
        <v/>
      </c>
    </row>
    <row r="450" spans="2:17">
      <c r="B450" s="33" t="str">
        <f>IF(A450&lt;&gt;"",CHOOSE(WEEKDAY(A450,2),"Mánudagur","Þriðjudagur","Miðvikudagur","Fimmtudagur","Föstudagur","Laugardagur","Sunnudagur"),IF(B449&lt;&gt;"",B449,""))</f>
        <v>Fimmtudagur</v>
      </c>
      <c r="C450" s="33">
        <f>IF(A450&lt;&gt;"",WEEKNUM(A450,21),IF(C449&lt;&gt;"",C449,""))</f>
        <v>27</v>
      </c>
      <c r="D450" s="34"/>
      <c r="E450" s="34"/>
      <c r="F450" s="34"/>
      <c r="G450" s="34"/>
      <c r="H450" s="34"/>
      <c r="I450" s="35"/>
      <c r="J450" s="35"/>
      <c r="K450" s="36"/>
      <c r="L450" s="26" t="str">
        <f>IF(OR(F450 = "", G450 = ""), "", IF(F450 = "Vara", IFERROR(_xlfn.SINGLE(_xlfn.XLOOKUP(G450, Vöruskrá!A:A, Vöruskrá!E:E, "")), ""), IF(F450 = "Réttur", IFERROR(_xlfn.SINGLE(_xlfn.XLOOKUP(G450, Réttabanki!A:A, Réttabanki!AS:AS, "")), ""), "")))</f>
        <v/>
      </c>
      <c r="M450" s="26" t="str">
        <f>IF(OR(F450 = "", G450 = ""), "", IF(F450 = "Vara", IFERROR(_xlfn.SINGLE(_xlfn.XLOOKUP(G450, Vöruskrá!A:A, Vöruskrá!F:F, "")), ""), IF(F450 = "Réttur", IFERROR(_xlfn.SINGLE(_xlfn.XLOOKUP(G450, Réttabanki!A:A, Réttabanki!AT:AT, "")), ""), "")))</f>
        <v/>
      </c>
      <c r="N450" s="26" t="str">
        <f>IF(OR(F450 = "", G450 = ""), "", IF(F450 = "Vara", IFERROR(_xlfn.SINGLE(_xlfn.XLOOKUP(G450, Vöruskrá!A:A, Vöruskrá!G:G, "")), ""), IF(F450 = "Réttur", IFERROR(_xlfn.SINGLE(_xlfn.XLOOKUP(G450, Réttabanki!A:A, Réttabanki!AU:AU, "")), ""), "")))</f>
        <v/>
      </c>
      <c r="O450" s="26" t="str">
        <f>IF(OR(F450 = "", G450 = "", I450 = ""), "", IF(F450 = "Vara", IFERROR(_xlfn.SINGLE(_xlfn.XLOOKUP(G450, Vöruskrá!A:A, Vöruskrá!I:I, "")) * I450 / 100, ""), IF(F450 = "Réttur", IFERROR(_xlfn.SINGLE(_xlfn.XLOOKUP(G450, Réttabanki!A:A, Réttabanki!AV:AV, "")) * I450 / 100, ""), "")))</f>
        <v/>
      </c>
      <c r="P450" s="26" t="str">
        <f>IF(OR(F450 = "", G450 = "", I450 = ""), "", IF(F450 = "Vara", IFERROR(_xlfn.SINGLE(_xlfn.XLOOKUP(G450, Vöruskrá!A:A, Vöruskrá!J:J, "")) * I450 / 100, ""), IF(F450 = "Réttur", IFERROR(_xlfn.SINGLE(_xlfn.XLOOKUP(G450, Réttabanki!A:A, Réttabanki!AW:AW, "")) * I450 / 100, ""), "")))</f>
        <v/>
      </c>
      <c r="Q450" s="26" t="str">
        <f>IF(OR(F450 = "", G450 = "", I450 = ""), "", IF(F450 = "Vara", IFERROR(_xlfn.SINGLE(_xlfn.XLOOKUP(G450, Vöruskrá!A:A, Vöruskrá!N:N, "")) * I450 / 100, ""), IF(F450 = "Réttur", IFERROR(_xlfn.SINGLE(_xlfn.XLOOKUP(G450, Réttabanki!A:A, Réttabanki!BB:BB, "")) * I450 / 100, ""), "")))</f>
        <v/>
      </c>
    </row>
    <row r="451" spans="2:17">
      <c r="B451" s="33" t="str">
        <f>IF(A451&lt;&gt;"",CHOOSE(WEEKDAY(A451,2),"Mánudagur","Þriðjudagur","Miðvikudagur","Fimmtudagur","Föstudagur","Laugardagur","Sunnudagur"),IF(B450&lt;&gt;"",B450,""))</f>
        <v>Fimmtudagur</v>
      </c>
      <c r="C451" s="33">
        <f>IF(A451&lt;&gt;"",WEEKNUM(A451,21),IF(C450&lt;&gt;"",C450,""))</f>
        <v>27</v>
      </c>
      <c r="D451" s="34"/>
      <c r="E451" s="34"/>
      <c r="F451" s="34"/>
      <c r="G451" s="34"/>
      <c r="H451" s="34"/>
      <c r="I451" s="35"/>
      <c r="J451" s="35"/>
      <c r="K451" s="36"/>
      <c r="L451" s="26" t="str">
        <f>IF(OR(F451 = "", G451 = ""), "", IF(F451 = "Vara", IFERROR(_xlfn.SINGLE(_xlfn.XLOOKUP(G451, Vöruskrá!A:A, Vöruskrá!E:E, "")), ""), IF(F451 = "Réttur", IFERROR(_xlfn.SINGLE(_xlfn.XLOOKUP(G451, Réttabanki!A:A, Réttabanki!AS:AS, "")), ""), "")))</f>
        <v/>
      </c>
      <c r="M451" s="26" t="str">
        <f>IF(OR(F451 = "", G451 = ""), "", IF(F451 = "Vara", IFERROR(_xlfn.SINGLE(_xlfn.XLOOKUP(G451, Vöruskrá!A:A, Vöruskrá!F:F, "")), ""), IF(F451 = "Réttur", IFERROR(_xlfn.SINGLE(_xlfn.XLOOKUP(G451, Réttabanki!A:A, Réttabanki!AT:AT, "")), ""), "")))</f>
        <v/>
      </c>
      <c r="N451" s="26" t="str">
        <f>IF(OR(F451 = "", G451 = ""), "", IF(F451 = "Vara", IFERROR(_xlfn.SINGLE(_xlfn.XLOOKUP(G451, Vöruskrá!A:A, Vöruskrá!G:G, "")), ""), IF(F451 = "Réttur", IFERROR(_xlfn.SINGLE(_xlfn.XLOOKUP(G451, Réttabanki!A:A, Réttabanki!AU:AU, "")), ""), "")))</f>
        <v/>
      </c>
      <c r="O451" s="26" t="str">
        <f>IF(OR(F451 = "", G451 = "", I451 = ""), "", IF(F451 = "Vara", IFERROR(_xlfn.SINGLE(_xlfn.XLOOKUP(G451, Vöruskrá!A:A, Vöruskrá!I:I, "")) * I451 / 100, ""), IF(F451 = "Réttur", IFERROR(_xlfn.SINGLE(_xlfn.XLOOKUP(G451, Réttabanki!A:A, Réttabanki!AV:AV, "")) * I451 / 100, ""), "")))</f>
        <v/>
      </c>
      <c r="P451" s="26" t="str">
        <f>IF(OR(F451 = "", G451 = "", I451 = ""), "", IF(F451 = "Vara", IFERROR(_xlfn.SINGLE(_xlfn.XLOOKUP(G451, Vöruskrá!A:A, Vöruskrá!J:J, "")) * I451 / 100, ""), IF(F451 = "Réttur", IFERROR(_xlfn.SINGLE(_xlfn.XLOOKUP(G451, Réttabanki!A:A, Réttabanki!AW:AW, "")) * I451 / 100, ""), "")))</f>
        <v/>
      </c>
      <c r="Q451" s="26" t="str">
        <f>IF(OR(F451 = "", G451 = "", I451 = ""), "", IF(F451 = "Vara", IFERROR(_xlfn.SINGLE(_xlfn.XLOOKUP(G451, Vöruskrá!A:A, Vöruskrá!N:N, "")) * I451 / 100, ""), IF(F451 = "Réttur", IFERROR(_xlfn.SINGLE(_xlfn.XLOOKUP(G451, Réttabanki!A:A, Réttabanki!BB:BB, "")) * I451 / 100, ""), "")))</f>
        <v/>
      </c>
    </row>
    <row r="452" spans="2:17">
      <c r="B452" s="33" t="str">
        <f>IF(A452&lt;&gt;"",CHOOSE(WEEKDAY(A452,2),"Mánudagur","Þriðjudagur","Miðvikudagur","Fimmtudagur","Föstudagur","Laugardagur","Sunnudagur"),IF(B451&lt;&gt;"",B451,""))</f>
        <v>Fimmtudagur</v>
      </c>
      <c r="C452" s="33">
        <f>IF(A452&lt;&gt;"",WEEKNUM(A452,21),IF(C451&lt;&gt;"",C451,""))</f>
        <v>27</v>
      </c>
      <c r="D452" s="34"/>
      <c r="E452" s="34"/>
      <c r="F452" s="34"/>
      <c r="G452" s="34"/>
      <c r="H452" s="34"/>
      <c r="I452" s="35"/>
      <c r="J452" s="35"/>
      <c r="K452" s="36"/>
      <c r="L452" s="26" t="str">
        <f>IF(OR(F452 = "", G452 = ""), "", IF(F452 = "Vara", IFERROR(_xlfn.SINGLE(_xlfn.XLOOKUP(G452, Vöruskrá!A:A, Vöruskrá!E:E, "")), ""), IF(F452 = "Réttur", IFERROR(_xlfn.SINGLE(_xlfn.XLOOKUP(G452, Réttabanki!A:A, Réttabanki!AS:AS, "")), ""), "")))</f>
        <v/>
      </c>
      <c r="M452" s="26" t="str">
        <f>IF(OR(F452 = "", G452 = ""), "", IF(F452 = "Vara", IFERROR(_xlfn.SINGLE(_xlfn.XLOOKUP(G452, Vöruskrá!A:A, Vöruskrá!F:F, "")), ""), IF(F452 = "Réttur", IFERROR(_xlfn.SINGLE(_xlfn.XLOOKUP(G452, Réttabanki!A:A, Réttabanki!AT:AT, "")), ""), "")))</f>
        <v/>
      </c>
      <c r="N452" s="26" t="str">
        <f>IF(OR(F452 = "", G452 = ""), "", IF(F452 = "Vara", IFERROR(_xlfn.SINGLE(_xlfn.XLOOKUP(G452, Vöruskrá!A:A, Vöruskrá!G:G, "")), ""), IF(F452 = "Réttur", IFERROR(_xlfn.SINGLE(_xlfn.XLOOKUP(G452, Réttabanki!A:A, Réttabanki!AU:AU, "")), ""), "")))</f>
        <v/>
      </c>
      <c r="O452" s="26" t="str">
        <f>IF(OR(F452 = "", G452 = "", I452 = ""), "", IF(F452 = "Vara", IFERROR(_xlfn.SINGLE(_xlfn.XLOOKUP(G452, Vöruskrá!A:A, Vöruskrá!I:I, "")) * I452 / 100, ""), IF(F452 = "Réttur", IFERROR(_xlfn.SINGLE(_xlfn.XLOOKUP(G452, Réttabanki!A:A, Réttabanki!AV:AV, "")) * I452 / 100, ""), "")))</f>
        <v/>
      </c>
      <c r="P452" s="26" t="str">
        <f>IF(OR(F452 = "", G452 = "", I452 = ""), "", IF(F452 = "Vara", IFERROR(_xlfn.SINGLE(_xlfn.XLOOKUP(G452, Vöruskrá!A:A, Vöruskrá!J:J, "")) * I452 / 100, ""), IF(F452 = "Réttur", IFERROR(_xlfn.SINGLE(_xlfn.XLOOKUP(G452, Réttabanki!A:A, Réttabanki!AW:AW, "")) * I452 / 100, ""), "")))</f>
        <v/>
      </c>
      <c r="Q452" s="26" t="str">
        <f>IF(OR(F452 = "", G452 = "", I452 = ""), "", IF(F452 = "Vara", IFERROR(_xlfn.SINGLE(_xlfn.XLOOKUP(G452, Vöruskrá!A:A, Vöruskrá!N:N, "")) * I452 / 100, ""), IF(F452 = "Réttur", IFERROR(_xlfn.SINGLE(_xlfn.XLOOKUP(G452, Réttabanki!A:A, Réttabanki!BB:BB, "")) * I452 / 100, ""), "")))</f>
        <v/>
      </c>
    </row>
    <row r="453" spans="2:17">
      <c r="B453" s="33" t="str">
        <f>IF(A453&lt;&gt;"",CHOOSE(WEEKDAY(A453,2),"Mánudagur","Þriðjudagur","Miðvikudagur","Fimmtudagur","Föstudagur","Laugardagur","Sunnudagur"),IF(B452&lt;&gt;"",B452,""))</f>
        <v>Fimmtudagur</v>
      </c>
      <c r="C453" s="33">
        <f>IF(A453&lt;&gt;"",WEEKNUM(A453,21),IF(C452&lt;&gt;"",C452,""))</f>
        <v>27</v>
      </c>
      <c r="D453" s="34"/>
      <c r="E453" s="34"/>
      <c r="F453" s="34"/>
      <c r="G453" s="34"/>
      <c r="H453" s="34"/>
      <c r="I453" s="35"/>
      <c r="J453" s="35"/>
      <c r="K453" s="36"/>
      <c r="L453" s="26" t="str">
        <f>IF(OR(F453 = "", G453 = ""), "", IF(F453 = "Vara", IFERROR(_xlfn.SINGLE(_xlfn.XLOOKUP(G453, Vöruskrá!A:A, Vöruskrá!E:E, "")), ""), IF(F453 = "Réttur", IFERROR(_xlfn.SINGLE(_xlfn.XLOOKUP(G453, Réttabanki!A:A, Réttabanki!AS:AS, "")), ""), "")))</f>
        <v/>
      </c>
      <c r="M453" s="26" t="str">
        <f>IF(OR(F453 = "", G453 = ""), "", IF(F453 = "Vara", IFERROR(_xlfn.SINGLE(_xlfn.XLOOKUP(G453, Vöruskrá!A:A, Vöruskrá!F:F, "")), ""), IF(F453 = "Réttur", IFERROR(_xlfn.SINGLE(_xlfn.XLOOKUP(G453, Réttabanki!A:A, Réttabanki!AT:AT, "")), ""), "")))</f>
        <v/>
      </c>
      <c r="N453" s="26" t="str">
        <f>IF(OR(F453 = "", G453 = ""), "", IF(F453 = "Vara", IFERROR(_xlfn.SINGLE(_xlfn.XLOOKUP(G453, Vöruskrá!A:A, Vöruskrá!G:G, "")), ""), IF(F453 = "Réttur", IFERROR(_xlfn.SINGLE(_xlfn.XLOOKUP(G453, Réttabanki!A:A, Réttabanki!AU:AU, "")), ""), "")))</f>
        <v/>
      </c>
      <c r="O453" s="26" t="str">
        <f>IF(OR(F453 = "", G453 = "", I453 = ""), "", IF(F453 = "Vara", IFERROR(_xlfn.SINGLE(_xlfn.XLOOKUP(G453, Vöruskrá!A:A, Vöruskrá!I:I, "")) * I453 / 100, ""), IF(F453 = "Réttur", IFERROR(_xlfn.SINGLE(_xlfn.XLOOKUP(G453, Réttabanki!A:A, Réttabanki!AV:AV, "")) * I453 / 100, ""), "")))</f>
        <v/>
      </c>
      <c r="P453" s="26" t="str">
        <f>IF(OR(F453 = "", G453 = "", I453 = ""), "", IF(F453 = "Vara", IFERROR(_xlfn.SINGLE(_xlfn.XLOOKUP(G453, Vöruskrá!A:A, Vöruskrá!J:J, "")) * I453 / 100, ""), IF(F453 = "Réttur", IFERROR(_xlfn.SINGLE(_xlfn.XLOOKUP(G453, Réttabanki!A:A, Réttabanki!AW:AW, "")) * I453 / 100, ""), "")))</f>
        <v/>
      </c>
      <c r="Q453" s="26" t="str">
        <f>IF(OR(F453 = "", G453 = "", I453 = ""), "", IF(F453 = "Vara", IFERROR(_xlfn.SINGLE(_xlfn.XLOOKUP(G453, Vöruskrá!A:A, Vöruskrá!N:N, "")) * I453 / 100, ""), IF(F453 = "Réttur", IFERROR(_xlfn.SINGLE(_xlfn.XLOOKUP(G453, Réttabanki!A:A, Réttabanki!BB:BB, "")) * I453 / 100, ""), "")))</f>
        <v/>
      </c>
    </row>
    <row r="454" spans="2:17">
      <c r="B454" s="33" t="str">
        <f>IF(A454&lt;&gt;"",CHOOSE(WEEKDAY(A454,2),"Mánudagur","Þriðjudagur","Miðvikudagur","Fimmtudagur","Föstudagur","Laugardagur","Sunnudagur"),IF(B453&lt;&gt;"",B453,""))</f>
        <v>Fimmtudagur</v>
      </c>
      <c r="C454" s="33">
        <f>IF(A454&lt;&gt;"",WEEKNUM(A454,21),IF(C453&lt;&gt;"",C453,""))</f>
        <v>27</v>
      </c>
      <c r="D454" s="34"/>
      <c r="E454" s="34"/>
      <c r="F454" s="34"/>
      <c r="G454" s="34"/>
      <c r="H454" s="34"/>
      <c r="I454" s="35"/>
      <c r="J454" s="35"/>
      <c r="K454" s="36"/>
      <c r="L454" s="26" t="str">
        <f>IF(OR(F454 = "", G454 = ""), "", IF(F454 = "Vara", IFERROR(_xlfn.SINGLE(_xlfn.XLOOKUP(G454, Vöruskrá!A:A, Vöruskrá!E:E, "")), ""), IF(F454 = "Réttur", IFERROR(_xlfn.SINGLE(_xlfn.XLOOKUP(G454, Réttabanki!A:A, Réttabanki!AS:AS, "")), ""), "")))</f>
        <v/>
      </c>
      <c r="M454" s="26" t="str">
        <f>IF(OR(F454 = "", G454 = ""), "", IF(F454 = "Vara", IFERROR(_xlfn.SINGLE(_xlfn.XLOOKUP(G454, Vöruskrá!A:A, Vöruskrá!F:F, "")), ""), IF(F454 = "Réttur", IFERROR(_xlfn.SINGLE(_xlfn.XLOOKUP(G454, Réttabanki!A:A, Réttabanki!AT:AT, "")), ""), "")))</f>
        <v/>
      </c>
      <c r="N454" s="26" t="str">
        <f>IF(OR(F454 = "", G454 = ""), "", IF(F454 = "Vara", IFERROR(_xlfn.SINGLE(_xlfn.XLOOKUP(G454, Vöruskrá!A:A, Vöruskrá!G:G, "")), ""), IF(F454 = "Réttur", IFERROR(_xlfn.SINGLE(_xlfn.XLOOKUP(G454, Réttabanki!A:A, Réttabanki!AU:AU, "")), ""), "")))</f>
        <v/>
      </c>
      <c r="O454" s="26" t="str">
        <f>IF(OR(F454 = "", G454 = "", I454 = ""), "", IF(F454 = "Vara", IFERROR(_xlfn.SINGLE(_xlfn.XLOOKUP(G454, Vöruskrá!A:A, Vöruskrá!I:I, "")) * I454 / 100, ""), IF(F454 = "Réttur", IFERROR(_xlfn.SINGLE(_xlfn.XLOOKUP(G454, Réttabanki!A:A, Réttabanki!AV:AV, "")) * I454 / 100, ""), "")))</f>
        <v/>
      </c>
      <c r="P454" s="26" t="str">
        <f>IF(OR(F454 = "", G454 = "", I454 = ""), "", IF(F454 = "Vara", IFERROR(_xlfn.SINGLE(_xlfn.XLOOKUP(G454, Vöruskrá!A:A, Vöruskrá!J:J, "")) * I454 / 100, ""), IF(F454 = "Réttur", IFERROR(_xlfn.SINGLE(_xlfn.XLOOKUP(G454, Réttabanki!A:A, Réttabanki!AW:AW, "")) * I454 / 100, ""), "")))</f>
        <v/>
      </c>
      <c r="Q454" s="26" t="str">
        <f>IF(OR(F454 = "", G454 = "", I454 = ""), "", IF(F454 = "Vara", IFERROR(_xlfn.SINGLE(_xlfn.XLOOKUP(G454, Vöruskrá!A:A, Vöruskrá!N:N, "")) * I454 / 100, ""), IF(F454 = "Réttur", IFERROR(_xlfn.SINGLE(_xlfn.XLOOKUP(G454, Réttabanki!A:A, Réttabanki!BB:BB, "")) * I454 / 100, ""), "")))</f>
        <v/>
      </c>
    </row>
    <row r="455" spans="2:17">
      <c r="B455" s="33" t="str">
        <f>IF(A455&lt;&gt;"",CHOOSE(WEEKDAY(A455,2),"Mánudagur","Þriðjudagur","Miðvikudagur","Fimmtudagur","Föstudagur","Laugardagur","Sunnudagur"),IF(B454&lt;&gt;"",B454,""))</f>
        <v>Fimmtudagur</v>
      </c>
      <c r="C455" s="33">
        <f>IF(A455&lt;&gt;"",WEEKNUM(A455,21),IF(C454&lt;&gt;"",C454,""))</f>
        <v>27</v>
      </c>
      <c r="D455" s="34"/>
      <c r="E455" s="34"/>
      <c r="F455" s="34"/>
      <c r="G455" s="34"/>
      <c r="H455" s="34"/>
      <c r="I455" s="35"/>
      <c r="J455" s="35"/>
      <c r="K455" s="36"/>
      <c r="L455" s="26" t="str">
        <f>IF(OR(F455 = "", G455 = ""), "", IF(F455 = "Vara", IFERROR(_xlfn.SINGLE(_xlfn.XLOOKUP(G455, Vöruskrá!A:A, Vöruskrá!E:E, "")), ""), IF(F455 = "Réttur", IFERROR(_xlfn.SINGLE(_xlfn.XLOOKUP(G455, Réttabanki!A:A, Réttabanki!AS:AS, "")), ""), "")))</f>
        <v/>
      </c>
      <c r="M455" s="26" t="str">
        <f>IF(OR(F455 = "", G455 = ""), "", IF(F455 = "Vara", IFERROR(_xlfn.SINGLE(_xlfn.XLOOKUP(G455, Vöruskrá!A:A, Vöruskrá!F:F, "")), ""), IF(F455 = "Réttur", IFERROR(_xlfn.SINGLE(_xlfn.XLOOKUP(G455, Réttabanki!A:A, Réttabanki!AT:AT, "")), ""), "")))</f>
        <v/>
      </c>
      <c r="N455" s="26" t="str">
        <f>IF(OR(F455 = "", G455 = ""), "", IF(F455 = "Vara", IFERROR(_xlfn.SINGLE(_xlfn.XLOOKUP(G455, Vöruskrá!A:A, Vöruskrá!G:G, "")), ""), IF(F455 = "Réttur", IFERROR(_xlfn.SINGLE(_xlfn.XLOOKUP(G455, Réttabanki!A:A, Réttabanki!AU:AU, "")), ""), "")))</f>
        <v/>
      </c>
      <c r="O455" s="26" t="str">
        <f>IF(OR(F455 = "", G455 = "", I455 = ""), "", IF(F455 = "Vara", IFERROR(_xlfn.SINGLE(_xlfn.XLOOKUP(G455, Vöruskrá!A:A, Vöruskrá!I:I, "")) * I455 / 100, ""), IF(F455 = "Réttur", IFERROR(_xlfn.SINGLE(_xlfn.XLOOKUP(G455, Réttabanki!A:A, Réttabanki!AV:AV, "")) * I455 / 100, ""), "")))</f>
        <v/>
      </c>
      <c r="P455" s="26" t="str">
        <f>IF(OR(F455 = "", G455 = "", I455 = ""), "", IF(F455 = "Vara", IFERROR(_xlfn.SINGLE(_xlfn.XLOOKUP(G455, Vöruskrá!A:A, Vöruskrá!J:J, "")) * I455 / 100, ""), IF(F455 = "Réttur", IFERROR(_xlfn.SINGLE(_xlfn.XLOOKUP(G455, Réttabanki!A:A, Réttabanki!AW:AW, "")) * I455 / 100, ""), "")))</f>
        <v/>
      </c>
      <c r="Q455" s="26" t="str">
        <f>IF(OR(F455 = "", G455 = "", I455 = ""), "", IF(F455 = "Vara", IFERROR(_xlfn.SINGLE(_xlfn.XLOOKUP(G455, Vöruskrá!A:A, Vöruskrá!N:N, "")) * I455 / 100, ""), IF(F455 = "Réttur", IFERROR(_xlfn.SINGLE(_xlfn.XLOOKUP(G455, Réttabanki!A:A, Réttabanki!BB:BB, "")) * I455 / 100, ""), "")))</f>
        <v/>
      </c>
    </row>
    <row r="456" spans="2:17">
      <c r="B456" s="33" t="str">
        <f>IF(A456&lt;&gt;"",CHOOSE(WEEKDAY(A456,2),"Mánudagur","Þriðjudagur","Miðvikudagur","Fimmtudagur","Föstudagur","Laugardagur","Sunnudagur"),IF(B455&lt;&gt;"",B455,""))</f>
        <v>Fimmtudagur</v>
      </c>
      <c r="C456" s="33">
        <f>IF(A456&lt;&gt;"",WEEKNUM(A456,21),IF(C455&lt;&gt;"",C455,""))</f>
        <v>27</v>
      </c>
      <c r="D456" s="34"/>
      <c r="E456" s="34"/>
      <c r="F456" s="34"/>
      <c r="G456" s="34"/>
      <c r="H456" s="34"/>
      <c r="I456" s="35"/>
      <c r="J456" s="35"/>
      <c r="K456" s="36"/>
      <c r="L456" s="26" t="str">
        <f>IF(OR(F456 = "", G456 = ""), "", IF(F456 = "Vara", IFERROR(_xlfn.SINGLE(_xlfn.XLOOKUP(G456, Vöruskrá!A:A, Vöruskrá!E:E, "")), ""), IF(F456 = "Réttur", IFERROR(_xlfn.SINGLE(_xlfn.XLOOKUP(G456, Réttabanki!A:A, Réttabanki!AS:AS, "")), ""), "")))</f>
        <v/>
      </c>
      <c r="M456" s="26" t="str">
        <f>IF(OR(F456 = "", G456 = ""), "", IF(F456 = "Vara", IFERROR(_xlfn.SINGLE(_xlfn.XLOOKUP(G456, Vöruskrá!A:A, Vöruskrá!F:F, "")), ""), IF(F456 = "Réttur", IFERROR(_xlfn.SINGLE(_xlfn.XLOOKUP(G456, Réttabanki!A:A, Réttabanki!AT:AT, "")), ""), "")))</f>
        <v/>
      </c>
      <c r="N456" s="26" t="str">
        <f>IF(OR(F456 = "", G456 = ""), "", IF(F456 = "Vara", IFERROR(_xlfn.SINGLE(_xlfn.XLOOKUP(G456, Vöruskrá!A:A, Vöruskrá!G:G, "")), ""), IF(F456 = "Réttur", IFERROR(_xlfn.SINGLE(_xlfn.XLOOKUP(G456, Réttabanki!A:A, Réttabanki!AU:AU, "")), ""), "")))</f>
        <v/>
      </c>
      <c r="O456" s="26" t="str">
        <f>IF(OR(F456 = "", G456 = "", I456 = ""), "", IF(F456 = "Vara", IFERROR(_xlfn.SINGLE(_xlfn.XLOOKUP(G456, Vöruskrá!A:A, Vöruskrá!I:I, "")) * I456 / 100, ""), IF(F456 = "Réttur", IFERROR(_xlfn.SINGLE(_xlfn.XLOOKUP(G456, Réttabanki!A:A, Réttabanki!AV:AV, "")) * I456 / 100, ""), "")))</f>
        <v/>
      </c>
      <c r="P456" s="26" t="str">
        <f>IF(OR(F456 = "", G456 = "", I456 = ""), "", IF(F456 = "Vara", IFERROR(_xlfn.SINGLE(_xlfn.XLOOKUP(G456, Vöruskrá!A:A, Vöruskrá!J:J, "")) * I456 / 100, ""), IF(F456 = "Réttur", IFERROR(_xlfn.SINGLE(_xlfn.XLOOKUP(G456, Réttabanki!A:A, Réttabanki!AW:AW, "")) * I456 / 100, ""), "")))</f>
        <v/>
      </c>
      <c r="Q456" s="26" t="str">
        <f>IF(OR(F456 = "", G456 = "", I456 = ""), "", IF(F456 = "Vara", IFERROR(_xlfn.SINGLE(_xlfn.XLOOKUP(G456, Vöruskrá!A:A, Vöruskrá!N:N, "")) * I456 / 100, ""), IF(F456 = "Réttur", IFERROR(_xlfn.SINGLE(_xlfn.XLOOKUP(G456, Réttabanki!A:A, Réttabanki!BB:BB, "")) * I456 / 100, ""), "")))</f>
        <v/>
      </c>
    </row>
    <row r="457" spans="2:17">
      <c r="B457" s="33" t="str">
        <f>IF(A457&lt;&gt;"",CHOOSE(WEEKDAY(A457,2),"Mánudagur","Þriðjudagur","Miðvikudagur","Fimmtudagur","Föstudagur","Laugardagur","Sunnudagur"),IF(B456&lt;&gt;"",B456,""))</f>
        <v>Fimmtudagur</v>
      </c>
      <c r="C457" s="33">
        <f>IF(A457&lt;&gt;"",WEEKNUM(A457,21),IF(C456&lt;&gt;"",C456,""))</f>
        <v>27</v>
      </c>
      <c r="D457" s="34"/>
      <c r="E457" s="34"/>
      <c r="F457" s="34"/>
      <c r="G457" s="34"/>
      <c r="H457" s="34"/>
      <c r="I457" s="35"/>
      <c r="J457" s="35"/>
      <c r="K457" s="36"/>
      <c r="L457" s="26" t="str">
        <f>IF(OR(F457 = "", G457 = ""), "", IF(F457 = "Vara", IFERROR(_xlfn.SINGLE(_xlfn.XLOOKUP(G457, Vöruskrá!A:A, Vöruskrá!E:E, "")), ""), IF(F457 = "Réttur", IFERROR(_xlfn.SINGLE(_xlfn.XLOOKUP(G457, Réttabanki!A:A, Réttabanki!AS:AS, "")), ""), "")))</f>
        <v/>
      </c>
      <c r="M457" s="26" t="str">
        <f>IF(OR(F457 = "", G457 = ""), "", IF(F457 = "Vara", IFERROR(_xlfn.SINGLE(_xlfn.XLOOKUP(G457, Vöruskrá!A:A, Vöruskrá!F:F, "")), ""), IF(F457 = "Réttur", IFERROR(_xlfn.SINGLE(_xlfn.XLOOKUP(G457, Réttabanki!A:A, Réttabanki!AT:AT, "")), ""), "")))</f>
        <v/>
      </c>
      <c r="N457" s="26" t="str">
        <f>IF(OR(F457 = "", G457 = ""), "", IF(F457 = "Vara", IFERROR(_xlfn.SINGLE(_xlfn.XLOOKUP(G457, Vöruskrá!A:A, Vöruskrá!G:G, "")), ""), IF(F457 = "Réttur", IFERROR(_xlfn.SINGLE(_xlfn.XLOOKUP(G457, Réttabanki!A:A, Réttabanki!AU:AU, "")), ""), "")))</f>
        <v/>
      </c>
      <c r="O457" s="26" t="str">
        <f>IF(OR(F457 = "", G457 = "", I457 = ""), "", IF(F457 = "Vara", IFERROR(_xlfn.SINGLE(_xlfn.XLOOKUP(G457, Vöruskrá!A:A, Vöruskrá!I:I, "")) * I457 / 100, ""), IF(F457 = "Réttur", IFERROR(_xlfn.SINGLE(_xlfn.XLOOKUP(G457, Réttabanki!A:A, Réttabanki!AV:AV, "")) * I457 / 100, ""), "")))</f>
        <v/>
      </c>
      <c r="P457" s="26" t="str">
        <f>IF(OR(F457 = "", G457 = "", I457 = ""), "", IF(F457 = "Vara", IFERROR(_xlfn.SINGLE(_xlfn.XLOOKUP(G457, Vöruskrá!A:A, Vöruskrá!J:J, "")) * I457 / 100, ""), IF(F457 = "Réttur", IFERROR(_xlfn.SINGLE(_xlfn.XLOOKUP(G457, Réttabanki!A:A, Réttabanki!AW:AW, "")) * I457 / 100, ""), "")))</f>
        <v/>
      </c>
      <c r="Q457" s="26" t="str">
        <f>IF(OR(F457 = "", G457 = "", I457 = ""), "", IF(F457 = "Vara", IFERROR(_xlfn.SINGLE(_xlfn.XLOOKUP(G457, Vöruskrá!A:A, Vöruskrá!N:N, "")) * I457 / 100, ""), IF(F457 = "Réttur", IFERROR(_xlfn.SINGLE(_xlfn.XLOOKUP(G457, Réttabanki!A:A, Réttabanki!BB:BB, "")) * I457 / 100, ""), "")))</f>
        <v/>
      </c>
    </row>
    <row r="458" spans="2:17">
      <c r="B458" s="33" t="str">
        <f>IF(A458&lt;&gt;"",CHOOSE(WEEKDAY(A458,2),"Mánudagur","Þriðjudagur","Miðvikudagur","Fimmtudagur","Föstudagur","Laugardagur","Sunnudagur"),IF(B457&lt;&gt;"",B457,""))</f>
        <v>Fimmtudagur</v>
      </c>
      <c r="C458" s="33">
        <f>IF(A458&lt;&gt;"",WEEKNUM(A458,21),IF(C457&lt;&gt;"",C457,""))</f>
        <v>27</v>
      </c>
      <c r="D458" s="34"/>
      <c r="E458" s="34"/>
      <c r="F458" s="34"/>
      <c r="G458" s="34"/>
      <c r="H458" s="34"/>
      <c r="I458" s="35"/>
      <c r="J458" s="35"/>
      <c r="K458" s="36"/>
      <c r="L458" s="26" t="str">
        <f>IF(OR(F458 = "", G458 = ""), "", IF(F458 = "Vara", IFERROR(_xlfn.SINGLE(_xlfn.XLOOKUP(G458, Vöruskrá!A:A, Vöruskrá!E:E, "")), ""), IF(F458 = "Réttur", IFERROR(_xlfn.SINGLE(_xlfn.XLOOKUP(G458, Réttabanki!A:A, Réttabanki!AS:AS, "")), ""), "")))</f>
        <v/>
      </c>
      <c r="M458" s="26" t="str">
        <f>IF(OR(F458 = "", G458 = ""), "", IF(F458 = "Vara", IFERROR(_xlfn.SINGLE(_xlfn.XLOOKUP(G458, Vöruskrá!A:A, Vöruskrá!F:F, "")), ""), IF(F458 = "Réttur", IFERROR(_xlfn.SINGLE(_xlfn.XLOOKUP(G458, Réttabanki!A:A, Réttabanki!AT:AT, "")), ""), "")))</f>
        <v/>
      </c>
      <c r="N458" s="26" t="str">
        <f>IF(OR(F458 = "", G458 = ""), "", IF(F458 = "Vara", IFERROR(_xlfn.SINGLE(_xlfn.XLOOKUP(G458, Vöruskrá!A:A, Vöruskrá!G:G, "")), ""), IF(F458 = "Réttur", IFERROR(_xlfn.SINGLE(_xlfn.XLOOKUP(G458, Réttabanki!A:A, Réttabanki!AU:AU, "")), ""), "")))</f>
        <v/>
      </c>
      <c r="O458" s="26" t="str">
        <f>IF(OR(F458 = "", G458 = "", I458 = ""), "", IF(F458 = "Vara", IFERROR(_xlfn.SINGLE(_xlfn.XLOOKUP(G458, Vöruskrá!A:A, Vöruskrá!I:I, "")) * I458 / 100, ""), IF(F458 = "Réttur", IFERROR(_xlfn.SINGLE(_xlfn.XLOOKUP(G458, Réttabanki!A:A, Réttabanki!AV:AV, "")) * I458 / 100, ""), "")))</f>
        <v/>
      </c>
      <c r="P458" s="26" t="str">
        <f>IF(OR(F458 = "", G458 = "", I458 = ""), "", IF(F458 = "Vara", IFERROR(_xlfn.SINGLE(_xlfn.XLOOKUP(G458, Vöruskrá!A:A, Vöruskrá!J:J, "")) * I458 / 100, ""), IF(F458 = "Réttur", IFERROR(_xlfn.SINGLE(_xlfn.XLOOKUP(G458, Réttabanki!A:A, Réttabanki!AW:AW, "")) * I458 / 100, ""), "")))</f>
        <v/>
      </c>
      <c r="Q458" s="26" t="str">
        <f>IF(OR(F458 = "", G458 = "", I458 = ""), "", IF(F458 = "Vara", IFERROR(_xlfn.SINGLE(_xlfn.XLOOKUP(G458, Vöruskrá!A:A, Vöruskrá!N:N, "")) * I458 / 100, ""), IF(F458 = "Réttur", IFERROR(_xlfn.SINGLE(_xlfn.XLOOKUP(G458, Réttabanki!A:A, Réttabanki!BB:BB, "")) * I458 / 100, ""), "")))</f>
        <v/>
      </c>
    </row>
    <row r="459" spans="2:17">
      <c r="B459" s="33" t="str">
        <f>IF(A459&lt;&gt;"",CHOOSE(WEEKDAY(A459,2),"Mánudagur","Þriðjudagur","Miðvikudagur","Fimmtudagur","Föstudagur","Laugardagur","Sunnudagur"),IF(B458&lt;&gt;"",B458,""))</f>
        <v>Fimmtudagur</v>
      </c>
      <c r="C459" s="33">
        <f>IF(A459&lt;&gt;"",WEEKNUM(A459,21),IF(C458&lt;&gt;"",C458,""))</f>
        <v>27</v>
      </c>
      <c r="D459" s="34"/>
      <c r="E459" s="34"/>
      <c r="F459" s="34"/>
      <c r="G459" s="34"/>
      <c r="H459" s="34"/>
      <c r="I459" s="35"/>
      <c r="J459" s="35"/>
      <c r="K459" s="36"/>
      <c r="L459" s="26" t="str">
        <f>IF(OR(F459 = "", G459 = ""), "", IF(F459 = "Vara", IFERROR(_xlfn.SINGLE(_xlfn.XLOOKUP(G459, Vöruskrá!A:A, Vöruskrá!E:E, "")), ""), IF(F459 = "Réttur", IFERROR(_xlfn.SINGLE(_xlfn.XLOOKUP(G459, Réttabanki!A:A, Réttabanki!AS:AS, "")), ""), "")))</f>
        <v/>
      </c>
      <c r="M459" s="26" t="str">
        <f>IF(OR(F459 = "", G459 = ""), "", IF(F459 = "Vara", IFERROR(_xlfn.SINGLE(_xlfn.XLOOKUP(G459, Vöruskrá!A:A, Vöruskrá!F:F, "")), ""), IF(F459 = "Réttur", IFERROR(_xlfn.SINGLE(_xlfn.XLOOKUP(G459, Réttabanki!A:A, Réttabanki!AT:AT, "")), ""), "")))</f>
        <v/>
      </c>
      <c r="N459" s="26" t="str">
        <f>IF(OR(F459 = "", G459 = ""), "", IF(F459 = "Vara", IFERROR(_xlfn.SINGLE(_xlfn.XLOOKUP(G459, Vöruskrá!A:A, Vöruskrá!G:G, "")), ""), IF(F459 = "Réttur", IFERROR(_xlfn.SINGLE(_xlfn.XLOOKUP(G459, Réttabanki!A:A, Réttabanki!AU:AU, "")), ""), "")))</f>
        <v/>
      </c>
      <c r="O459" s="26" t="str">
        <f>IF(OR(F459 = "", G459 = "", I459 = ""), "", IF(F459 = "Vara", IFERROR(_xlfn.SINGLE(_xlfn.XLOOKUP(G459, Vöruskrá!A:A, Vöruskrá!I:I, "")) * I459 / 100, ""), IF(F459 = "Réttur", IFERROR(_xlfn.SINGLE(_xlfn.XLOOKUP(G459, Réttabanki!A:A, Réttabanki!AV:AV, "")) * I459 / 100, ""), "")))</f>
        <v/>
      </c>
      <c r="P459" s="26" t="str">
        <f>IF(OR(F459 = "", G459 = "", I459 = ""), "", IF(F459 = "Vara", IFERROR(_xlfn.SINGLE(_xlfn.XLOOKUP(G459, Vöruskrá!A:A, Vöruskrá!J:J, "")) * I459 / 100, ""), IF(F459 = "Réttur", IFERROR(_xlfn.SINGLE(_xlfn.XLOOKUP(G459, Réttabanki!A:A, Réttabanki!AW:AW, "")) * I459 / 100, ""), "")))</f>
        <v/>
      </c>
      <c r="Q459" s="26" t="str">
        <f>IF(OR(F459 = "", G459 = "", I459 = ""), "", IF(F459 = "Vara", IFERROR(_xlfn.SINGLE(_xlfn.XLOOKUP(G459, Vöruskrá!A:A, Vöruskrá!N:N, "")) * I459 / 100, ""), IF(F459 = "Réttur", IFERROR(_xlfn.SINGLE(_xlfn.XLOOKUP(G459, Réttabanki!A:A, Réttabanki!BB:BB, "")) * I459 / 100, ""), "")))</f>
        <v/>
      </c>
    </row>
    <row r="460" spans="2:17">
      <c r="B460" s="33" t="str">
        <f>IF(A460&lt;&gt;"",CHOOSE(WEEKDAY(A460,2),"Mánudagur","Þriðjudagur","Miðvikudagur","Fimmtudagur","Föstudagur","Laugardagur","Sunnudagur"),IF(B459&lt;&gt;"",B459,""))</f>
        <v>Fimmtudagur</v>
      </c>
      <c r="C460" s="33">
        <f>IF(A460&lt;&gt;"",WEEKNUM(A460,21),IF(C459&lt;&gt;"",C459,""))</f>
        <v>27</v>
      </c>
      <c r="D460" s="34"/>
      <c r="E460" s="34"/>
      <c r="F460" s="34"/>
      <c r="G460" s="34"/>
      <c r="H460" s="34"/>
      <c r="I460" s="35"/>
      <c r="J460" s="35"/>
      <c r="K460" s="36"/>
      <c r="L460" s="26" t="str">
        <f>IF(OR(F460 = "", G460 = ""), "", IF(F460 = "Vara", IFERROR(_xlfn.SINGLE(_xlfn.XLOOKUP(G460, Vöruskrá!A:A, Vöruskrá!E:E, "")), ""), IF(F460 = "Réttur", IFERROR(_xlfn.SINGLE(_xlfn.XLOOKUP(G460, Réttabanki!A:A, Réttabanki!AS:AS, "")), ""), "")))</f>
        <v/>
      </c>
      <c r="M460" s="26" t="str">
        <f>IF(OR(F460 = "", G460 = ""), "", IF(F460 = "Vara", IFERROR(_xlfn.SINGLE(_xlfn.XLOOKUP(G460, Vöruskrá!A:A, Vöruskrá!F:F, "")), ""), IF(F460 = "Réttur", IFERROR(_xlfn.SINGLE(_xlfn.XLOOKUP(G460, Réttabanki!A:A, Réttabanki!AT:AT, "")), ""), "")))</f>
        <v/>
      </c>
      <c r="N460" s="26" t="str">
        <f>IF(OR(F460 = "", G460 = ""), "", IF(F460 = "Vara", IFERROR(_xlfn.SINGLE(_xlfn.XLOOKUP(G460, Vöruskrá!A:A, Vöruskrá!G:G, "")), ""), IF(F460 = "Réttur", IFERROR(_xlfn.SINGLE(_xlfn.XLOOKUP(G460, Réttabanki!A:A, Réttabanki!AU:AU, "")), ""), "")))</f>
        <v/>
      </c>
      <c r="O460" s="26" t="str">
        <f>IF(OR(F460 = "", G460 = "", I460 = ""), "", IF(F460 = "Vara", IFERROR(_xlfn.SINGLE(_xlfn.XLOOKUP(G460, Vöruskrá!A:A, Vöruskrá!I:I, "")) * I460 / 100, ""), IF(F460 = "Réttur", IFERROR(_xlfn.SINGLE(_xlfn.XLOOKUP(G460, Réttabanki!A:A, Réttabanki!AV:AV, "")) * I460 / 100, ""), "")))</f>
        <v/>
      </c>
      <c r="P460" s="26" t="str">
        <f>IF(OR(F460 = "", G460 = "", I460 = ""), "", IF(F460 = "Vara", IFERROR(_xlfn.SINGLE(_xlfn.XLOOKUP(G460, Vöruskrá!A:A, Vöruskrá!J:J, "")) * I460 / 100, ""), IF(F460 = "Réttur", IFERROR(_xlfn.SINGLE(_xlfn.XLOOKUP(G460, Réttabanki!A:A, Réttabanki!AW:AW, "")) * I460 / 100, ""), "")))</f>
        <v/>
      </c>
      <c r="Q460" s="26" t="str">
        <f>IF(OR(F460 = "", G460 = "", I460 = ""), "", IF(F460 = "Vara", IFERROR(_xlfn.SINGLE(_xlfn.XLOOKUP(G460, Vöruskrá!A:A, Vöruskrá!N:N, "")) * I460 / 100, ""), IF(F460 = "Réttur", IFERROR(_xlfn.SINGLE(_xlfn.XLOOKUP(G460, Réttabanki!A:A, Réttabanki!BB:BB, "")) * I460 / 100, ""), "")))</f>
        <v/>
      </c>
    </row>
    <row r="461" spans="2:17">
      <c r="B461" s="33" t="str">
        <f>IF(A461&lt;&gt;"",CHOOSE(WEEKDAY(A461,2),"Mánudagur","Þriðjudagur","Miðvikudagur","Fimmtudagur","Föstudagur","Laugardagur","Sunnudagur"),IF(B460&lt;&gt;"",B460,""))</f>
        <v>Fimmtudagur</v>
      </c>
      <c r="C461" s="33">
        <f>IF(A461&lt;&gt;"",WEEKNUM(A461,21),IF(C460&lt;&gt;"",C460,""))</f>
        <v>27</v>
      </c>
      <c r="D461" s="34"/>
      <c r="E461" s="34"/>
      <c r="F461" s="34"/>
      <c r="G461" s="34"/>
      <c r="H461" s="34"/>
      <c r="I461" s="35"/>
      <c r="J461" s="35"/>
      <c r="K461" s="36"/>
      <c r="L461" s="26" t="str">
        <f>IF(OR(F461 = "", G461 = ""), "", IF(F461 = "Vara", IFERROR(_xlfn.SINGLE(_xlfn.XLOOKUP(G461, Vöruskrá!A:A, Vöruskrá!E:E, "")), ""), IF(F461 = "Réttur", IFERROR(_xlfn.SINGLE(_xlfn.XLOOKUP(G461, Réttabanki!A:A, Réttabanki!AS:AS, "")), ""), "")))</f>
        <v/>
      </c>
      <c r="M461" s="26" t="str">
        <f>IF(OR(F461 = "", G461 = ""), "", IF(F461 = "Vara", IFERROR(_xlfn.SINGLE(_xlfn.XLOOKUP(G461, Vöruskrá!A:A, Vöruskrá!F:F, "")), ""), IF(F461 = "Réttur", IFERROR(_xlfn.SINGLE(_xlfn.XLOOKUP(G461, Réttabanki!A:A, Réttabanki!AT:AT, "")), ""), "")))</f>
        <v/>
      </c>
      <c r="N461" s="26" t="str">
        <f>IF(OR(F461 = "", G461 = ""), "", IF(F461 = "Vara", IFERROR(_xlfn.SINGLE(_xlfn.XLOOKUP(G461, Vöruskrá!A:A, Vöruskrá!G:G, "")), ""), IF(F461 = "Réttur", IFERROR(_xlfn.SINGLE(_xlfn.XLOOKUP(G461, Réttabanki!A:A, Réttabanki!AU:AU, "")), ""), "")))</f>
        <v/>
      </c>
      <c r="O461" s="26" t="str">
        <f>IF(OR(F461 = "", G461 = "", I461 = ""), "", IF(F461 = "Vara", IFERROR(_xlfn.SINGLE(_xlfn.XLOOKUP(G461, Vöruskrá!A:A, Vöruskrá!I:I, "")) * I461 / 100, ""), IF(F461 = "Réttur", IFERROR(_xlfn.SINGLE(_xlfn.XLOOKUP(G461, Réttabanki!A:A, Réttabanki!AV:AV, "")) * I461 / 100, ""), "")))</f>
        <v/>
      </c>
      <c r="P461" s="26" t="str">
        <f>IF(OR(F461 = "", G461 = "", I461 = ""), "", IF(F461 = "Vara", IFERROR(_xlfn.SINGLE(_xlfn.XLOOKUP(G461, Vöruskrá!A:A, Vöruskrá!J:J, "")) * I461 / 100, ""), IF(F461 = "Réttur", IFERROR(_xlfn.SINGLE(_xlfn.XLOOKUP(G461, Réttabanki!A:A, Réttabanki!AW:AW, "")) * I461 / 100, ""), "")))</f>
        <v/>
      </c>
      <c r="Q461" s="26" t="str">
        <f>IF(OR(F461 = "", G461 = "", I461 = ""), "", IF(F461 = "Vara", IFERROR(_xlfn.SINGLE(_xlfn.XLOOKUP(G461, Vöruskrá!A:A, Vöruskrá!N:N, "")) * I461 / 100, ""), IF(F461 = "Réttur", IFERROR(_xlfn.SINGLE(_xlfn.XLOOKUP(G461, Réttabanki!A:A, Réttabanki!BB:BB, "")) * I461 / 100, ""), "")))</f>
        <v/>
      </c>
    </row>
    <row r="462" spans="2:17">
      <c r="B462" s="33" t="str">
        <f>IF(A462&lt;&gt;"",CHOOSE(WEEKDAY(A462,2),"Mánudagur","Þriðjudagur","Miðvikudagur","Fimmtudagur","Föstudagur","Laugardagur","Sunnudagur"),IF(B461&lt;&gt;"",B461,""))</f>
        <v>Fimmtudagur</v>
      </c>
      <c r="C462" s="33">
        <f>IF(A462&lt;&gt;"",WEEKNUM(A462,21),IF(C461&lt;&gt;"",C461,""))</f>
        <v>27</v>
      </c>
      <c r="D462" s="34"/>
      <c r="E462" s="34"/>
      <c r="F462" s="34"/>
      <c r="G462" s="34"/>
      <c r="H462" s="34"/>
      <c r="I462" s="35"/>
      <c r="J462" s="35"/>
      <c r="K462" s="36"/>
      <c r="L462" s="26" t="str">
        <f>IF(OR(F462 = "", G462 = ""), "", IF(F462 = "Vara", IFERROR(_xlfn.SINGLE(_xlfn.XLOOKUP(G462, Vöruskrá!A:A, Vöruskrá!E:E, "")), ""), IF(F462 = "Réttur", IFERROR(_xlfn.SINGLE(_xlfn.XLOOKUP(G462, Réttabanki!A:A, Réttabanki!AS:AS, "")), ""), "")))</f>
        <v/>
      </c>
      <c r="M462" s="26" t="str">
        <f>IF(OR(F462 = "", G462 = ""), "", IF(F462 = "Vara", IFERROR(_xlfn.SINGLE(_xlfn.XLOOKUP(G462, Vöruskrá!A:A, Vöruskrá!F:F, "")), ""), IF(F462 = "Réttur", IFERROR(_xlfn.SINGLE(_xlfn.XLOOKUP(G462, Réttabanki!A:A, Réttabanki!AT:AT, "")), ""), "")))</f>
        <v/>
      </c>
      <c r="N462" s="26" t="str">
        <f>IF(OR(F462 = "", G462 = ""), "", IF(F462 = "Vara", IFERROR(_xlfn.SINGLE(_xlfn.XLOOKUP(G462, Vöruskrá!A:A, Vöruskrá!G:G, "")), ""), IF(F462 = "Réttur", IFERROR(_xlfn.SINGLE(_xlfn.XLOOKUP(G462, Réttabanki!A:A, Réttabanki!AU:AU, "")), ""), "")))</f>
        <v/>
      </c>
      <c r="O462" s="26" t="str">
        <f>IF(OR(F462 = "", G462 = "", I462 = ""), "", IF(F462 = "Vara", IFERROR(_xlfn.SINGLE(_xlfn.XLOOKUP(G462, Vöruskrá!A:A, Vöruskrá!I:I, "")) * I462 / 100, ""), IF(F462 = "Réttur", IFERROR(_xlfn.SINGLE(_xlfn.XLOOKUP(G462, Réttabanki!A:A, Réttabanki!AV:AV, "")) * I462 / 100, ""), "")))</f>
        <v/>
      </c>
      <c r="P462" s="26" t="str">
        <f>IF(OR(F462 = "", G462 = "", I462 = ""), "", IF(F462 = "Vara", IFERROR(_xlfn.SINGLE(_xlfn.XLOOKUP(G462, Vöruskrá!A:A, Vöruskrá!J:J, "")) * I462 / 100, ""), IF(F462 = "Réttur", IFERROR(_xlfn.SINGLE(_xlfn.XLOOKUP(G462, Réttabanki!A:A, Réttabanki!AW:AW, "")) * I462 / 100, ""), "")))</f>
        <v/>
      </c>
      <c r="Q462" s="26" t="str">
        <f>IF(OR(F462 = "", G462 = "", I462 = ""), "", IF(F462 = "Vara", IFERROR(_xlfn.SINGLE(_xlfn.XLOOKUP(G462, Vöruskrá!A:A, Vöruskrá!N:N, "")) * I462 / 100, ""), IF(F462 = "Réttur", IFERROR(_xlfn.SINGLE(_xlfn.XLOOKUP(G462, Réttabanki!A:A, Réttabanki!BB:BB, "")) * I462 / 100, ""), "")))</f>
        <v/>
      </c>
    </row>
    <row r="463" spans="2:17">
      <c r="B463" s="33" t="str">
        <f>IF(A463&lt;&gt;"",CHOOSE(WEEKDAY(A463,2),"Mánudagur","Þriðjudagur","Miðvikudagur","Fimmtudagur","Föstudagur","Laugardagur","Sunnudagur"),IF(B462&lt;&gt;"",B462,""))</f>
        <v>Fimmtudagur</v>
      </c>
      <c r="C463" s="33">
        <f>IF(A463&lt;&gt;"",WEEKNUM(A463,21),IF(C462&lt;&gt;"",C462,""))</f>
        <v>27</v>
      </c>
      <c r="D463" s="34"/>
      <c r="E463" s="34"/>
      <c r="F463" s="34"/>
      <c r="G463" s="34"/>
      <c r="H463" s="34"/>
      <c r="I463" s="35"/>
      <c r="J463" s="35"/>
      <c r="K463" s="36"/>
      <c r="L463" s="26" t="str">
        <f>IF(OR(F463 = "", G463 = ""), "", IF(F463 = "Vara", IFERROR(_xlfn.SINGLE(_xlfn.XLOOKUP(G463, Vöruskrá!A:A, Vöruskrá!E:E, "")), ""), IF(F463 = "Réttur", IFERROR(_xlfn.SINGLE(_xlfn.XLOOKUP(G463, Réttabanki!A:A, Réttabanki!AS:AS, "")), ""), "")))</f>
        <v/>
      </c>
      <c r="M463" s="26" t="str">
        <f>IF(OR(F463 = "", G463 = ""), "", IF(F463 = "Vara", IFERROR(_xlfn.SINGLE(_xlfn.XLOOKUP(G463, Vöruskrá!A:A, Vöruskrá!F:F, "")), ""), IF(F463 = "Réttur", IFERROR(_xlfn.SINGLE(_xlfn.XLOOKUP(G463, Réttabanki!A:A, Réttabanki!AT:AT, "")), ""), "")))</f>
        <v/>
      </c>
      <c r="N463" s="26" t="str">
        <f>IF(OR(F463 = "", G463 = ""), "", IF(F463 = "Vara", IFERROR(_xlfn.SINGLE(_xlfn.XLOOKUP(G463, Vöruskrá!A:A, Vöruskrá!G:G, "")), ""), IF(F463 = "Réttur", IFERROR(_xlfn.SINGLE(_xlfn.XLOOKUP(G463, Réttabanki!A:A, Réttabanki!AU:AU, "")), ""), "")))</f>
        <v/>
      </c>
      <c r="O463" s="26" t="str">
        <f>IF(OR(F463 = "", G463 = "", I463 = ""), "", IF(F463 = "Vara", IFERROR(_xlfn.SINGLE(_xlfn.XLOOKUP(G463, Vöruskrá!A:A, Vöruskrá!I:I, "")) * I463 / 100, ""), IF(F463 = "Réttur", IFERROR(_xlfn.SINGLE(_xlfn.XLOOKUP(G463, Réttabanki!A:A, Réttabanki!AV:AV, "")) * I463 / 100, ""), "")))</f>
        <v/>
      </c>
      <c r="P463" s="26" t="str">
        <f>IF(OR(F463 = "", G463 = "", I463 = ""), "", IF(F463 = "Vara", IFERROR(_xlfn.SINGLE(_xlfn.XLOOKUP(G463, Vöruskrá!A:A, Vöruskrá!J:J, "")) * I463 / 100, ""), IF(F463 = "Réttur", IFERROR(_xlfn.SINGLE(_xlfn.XLOOKUP(G463, Réttabanki!A:A, Réttabanki!AW:AW, "")) * I463 / 100, ""), "")))</f>
        <v/>
      </c>
      <c r="Q463" s="26" t="str">
        <f>IF(OR(F463 = "", G463 = "", I463 = ""), "", IF(F463 = "Vara", IFERROR(_xlfn.SINGLE(_xlfn.XLOOKUP(G463, Vöruskrá!A:A, Vöruskrá!N:N, "")) * I463 / 100, ""), IF(F463 = "Réttur", IFERROR(_xlfn.SINGLE(_xlfn.XLOOKUP(G463, Réttabanki!A:A, Réttabanki!BB:BB, "")) * I463 / 100, ""), "")))</f>
        <v/>
      </c>
    </row>
    <row r="464" spans="2:17">
      <c r="B464" s="33" t="str">
        <f>IF(A464&lt;&gt;"",CHOOSE(WEEKDAY(A464,2),"Mánudagur","Þriðjudagur","Miðvikudagur","Fimmtudagur","Föstudagur","Laugardagur","Sunnudagur"),IF(B463&lt;&gt;"",B463,""))</f>
        <v>Fimmtudagur</v>
      </c>
      <c r="C464" s="33">
        <f>IF(A464&lt;&gt;"",WEEKNUM(A464,21),IF(C463&lt;&gt;"",C463,""))</f>
        <v>27</v>
      </c>
      <c r="D464" s="34"/>
      <c r="E464" s="34"/>
      <c r="F464" s="34"/>
      <c r="G464" s="34"/>
      <c r="H464" s="34"/>
      <c r="I464" s="35"/>
      <c r="J464" s="35"/>
      <c r="K464" s="36"/>
      <c r="L464" s="26" t="str">
        <f>IF(OR(F464 = "", G464 = ""), "", IF(F464 = "Vara", IFERROR(_xlfn.SINGLE(_xlfn.XLOOKUP(G464, Vöruskrá!A:A, Vöruskrá!E:E, "")), ""), IF(F464 = "Réttur", IFERROR(_xlfn.SINGLE(_xlfn.XLOOKUP(G464, Réttabanki!A:A, Réttabanki!AS:AS, "")), ""), "")))</f>
        <v/>
      </c>
      <c r="M464" s="26" t="str">
        <f>IF(OR(F464 = "", G464 = ""), "", IF(F464 = "Vara", IFERROR(_xlfn.SINGLE(_xlfn.XLOOKUP(G464, Vöruskrá!A:A, Vöruskrá!F:F, "")), ""), IF(F464 = "Réttur", IFERROR(_xlfn.SINGLE(_xlfn.XLOOKUP(G464, Réttabanki!A:A, Réttabanki!AT:AT, "")), ""), "")))</f>
        <v/>
      </c>
      <c r="N464" s="26" t="str">
        <f>IF(OR(F464 = "", G464 = ""), "", IF(F464 = "Vara", IFERROR(_xlfn.SINGLE(_xlfn.XLOOKUP(G464, Vöruskrá!A:A, Vöruskrá!G:G, "")), ""), IF(F464 = "Réttur", IFERROR(_xlfn.SINGLE(_xlfn.XLOOKUP(G464, Réttabanki!A:A, Réttabanki!AU:AU, "")), ""), "")))</f>
        <v/>
      </c>
      <c r="O464" s="26" t="str">
        <f>IF(OR(F464 = "", G464 = "", I464 = ""), "", IF(F464 = "Vara", IFERROR(_xlfn.SINGLE(_xlfn.XLOOKUP(G464, Vöruskrá!A:A, Vöruskrá!I:I, "")) * I464 / 100, ""), IF(F464 = "Réttur", IFERROR(_xlfn.SINGLE(_xlfn.XLOOKUP(G464, Réttabanki!A:A, Réttabanki!AV:AV, "")) * I464 / 100, ""), "")))</f>
        <v/>
      </c>
      <c r="P464" s="26" t="str">
        <f>IF(OR(F464 = "", G464 = "", I464 = ""), "", IF(F464 = "Vara", IFERROR(_xlfn.SINGLE(_xlfn.XLOOKUP(G464, Vöruskrá!A:A, Vöruskrá!J:J, "")) * I464 / 100, ""), IF(F464 = "Réttur", IFERROR(_xlfn.SINGLE(_xlfn.XLOOKUP(G464, Réttabanki!A:A, Réttabanki!AW:AW, "")) * I464 / 100, ""), "")))</f>
        <v/>
      </c>
      <c r="Q464" s="26" t="str">
        <f>IF(OR(F464 = "", G464 = "", I464 = ""), "", IF(F464 = "Vara", IFERROR(_xlfn.SINGLE(_xlfn.XLOOKUP(G464, Vöruskrá!A:A, Vöruskrá!N:N, "")) * I464 / 100, ""), IF(F464 = "Réttur", IFERROR(_xlfn.SINGLE(_xlfn.XLOOKUP(G464, Réttabanki!A:A, Réttabanki!BB:BB, "")) * I464 / 100, ""), "")))</f>
        <v/>
      </c>
    </row>
    <row r="465" spans="2:17">
      <c r="B465" s="33" t="str">
        <f>IF(A465&lt;&gt;"",CHOOSE(WEEKDAY(A465,2),"Mánudagur","Þriðjudagur","Miðvikudagur","Fimmtudagur","Föstudagur","Laugardagur","Sunnudagur"),IF(B464&lt;&gt;"",B464,""))</f>
        <v>Fimmtudagur</v>
      </c>
      <c r="C465" s="33">
        <f>IF(A465&lt;&gt;"",WEEKNUM(A465,21),IF(C464&lt;&gt;"",C464,""))</f>
        <v>27</v>
      </c>
      <c r="D465" s="34"/>
      <c r="E465" s="34"/>
      <c r="F465" s="34"/>
      <c r="G465" s="34"/>
      <c r="H465" s="34"/>
      <c r="I465" s="35"/>
      <c r="J465" s="35"/>
      <c r="K465" s="36"/>
      <c r="L465" s="26" t="str">
        <f>IF(OR(F465 = "", G465 = ""), "", IF(F465 = "Vara", IFERROR(_xlfn.SINGLE(_xlfn.XLOOKUP(G465, Vöruskrá!A:A, Vöruskrá!E:E, "")), ""), IF(F465 = "Réttur", IFERROR(_xlfn.SINGLE(_xlfn.XLOOKUP(G465, Réttabanki!A:A, Réttabanki!AS:AS, "")), ""), "")))</f>
        <v/>
      </c>
      <c r="M465" s="26" t="str">
        <f>IF(OR(F465 = "", G465 = ""), "", IF(F465 = "Vara", IFERROR(_xlfn.SINGLE(_xlfn.XLOOKUP(G465, Vöruskrá!A:A, Vöruskrá!F:F, "")), ""), IF(F465 = "Réttur", IFERROR(_xlfn.SINGLE(_xlfn.XLOOKUP(G465, Réttabanki!A:A, Réttabanki!AT:AT, "")), ""), "")))</f>
        <v/>
      </c>
      <c r="N465" s="26" t="str">
        <f>IF(OR(F465 = "", G465 = ""), "", IF(F465 = "Vara", IFERROR(_xlfn.SINGLE(_xlfn.XLOOKUP(G465, Vöruskrá!A:A, Vöruskrá!G:G, "")), ""), IF(F465 = "Réttur", IFERROR(_xlfn.SINGLE(_xlfn.XLOOKUP(G465, Réttabanki!A:A, Réttabanki!AU:AU, "")), ""), "")))</f>
        <v/>
      </c>
      <c r="O465" s="26" t="str">
        <f>IF(OR(F465 = "", G465 = "", I465 = ""), "", IF(F465 = "Vara", IFERROR(_xlfn.SINGLE(_xlfn.XLOOKUP(G465, Vöruskrá!A:A, Vöruskrá!I:I, "")) * I465 / 100, ""), IF(F465 = "Réttur", IFERROR(_xlfn.SINGLE(_xlfn.XLOOKUP(G465, Réttabanki!A:A, Réttabanki!AV:AV, "")) * I465 / 100, ""), "")))</f>
        <v/>
      </c>
      <c r="P465" s="26" t="str">
        <f>IF(OR(F465 = "", G465 = "", I465 = ""), "", IF(F465 = "Vara", IFERROR(_xlfn.SINGLE(_xlfn.XLOOKUP(G465, Vöruskrá!A:A, Vöruskrá!J:J, "")) * I465 / 100, ""), IF(F465 = "Réttur", IFERROR(_xlfn.SINGLE(_xlfn.XLOOKUP(G465, Réttabanki!A:A, Réttabanki!AW:AW, "")) * I465 / 100, ""), "")))</f>
        <v/>
      </c>
      <c r="Q465" s="26" t="str">
        <f>IF(OR(F465 = "", G465 = "", I465 = ""), "", IF(F465 = "Vara", IFERROR(_xlfn.SINGLE(_xlfn.XLOOKUP(G465, Vöruskrá!A:A, Vöruskrá!N:N, "")) * I465 / 100, ""), IF(F465 = "Réttur", IFERROR(_xlfn.SINGLE(_xlfn.XLOOKUP(G465, Réttabanki!A:A, Réttabanki!BB:BB, "")) * I465 / 100, ""), "")))</f>
        <v/>
      </c>
    </row>
    <row r="466" spans="2:17">
      <c r="B466" s="33" t="str">
        <f>IF(A466&lt;&gt;"",CHOOSE(WEEKDAY(A466,2),"Mánudagur","Þriðjudagur","Miðvikudagur","Fimmtudagur","Föstudagur","Laugardagur","Sunnudagur"),IF(B465&lt;&gt;"",B465,""))</f>
        <v>Fimmtudagur</v>
      </c>
      <c r="C466" s="33">
        <f>IF(A466&lt;&gt;"",WEEKNUM(A466,21),IF(C465&lt;&gt;"",C465,""))</f>
        <v>27</v>
      </c>
      <c r="D466" s="34"/>
      <c r="E466" s="34"/>
      <c r="F466" s="34"/>
      <c r="G466" s="34"/>
      <c r="H466" s="34"/>
      <c r="I466" s="35"/>
      <c r="J466" s="35"/>
      <c r="K466" s="36"/>
      <c r="L466" s="26" t="str">
        <f>IF(OR(F466 = "", G466 = ""), "", IF(F466 = "Vara", IFERROR(_xlfn.SINGLE(_xlfn.XLOOKUP(G466, Vöruskrá!A:A, Vöruskrá!E:E, "")), ""), IF(F466 = "Réttur", IFERROR(_xlfn.SINGLE(_xlfn.XLOOKUP(G466, Réttabanki!A:A, Réttabanki!AS:AS, "")), ""), "")))</f>
        <v/>
      </c>
      <c r="M466" s="26" t="str">
        <f>IF(OR(F466 = "", G466 = ""), "", IF(F466 = "Vara", IFERROR(_xlfn.SINGLE(_xlfn.XLOOKUP(G466, Vöruskrá!A:A, Vöruskrá!F:F, "")), ""), IF(F466 = "Réttur", IFERROR(_xlfn.SINGLE(_xlfn.XLOOKUP(G466, Réttabanki!A:A, Réttabanki!AT:AT, "")), ""), "")))</f>
        <v/>
      </c>
      <c r="N466" s="26" t="str">
        <f>IF(OR(F466 = "", G466 = ""), "", IF(F466 = "Vara", IFERROR(_xlfn.SINGLE(_xlfn.XLOOKUP(G466, Vöruskrá!A:A, Vöruskrá!G:G, "")), ""), IF(F466 = "Réttur", IFERROR(_xlfn.SINGLE(_xlfn.XLOOKUP(G466, Réttabanki!A:A, Réttabanki!AU:AU, "")), ""), "")))</f>
        <v/>
      </c>
      <c r="O466" s="26" t="str">
        <f>IF(OR(F466 = "", G466 = "", I466 = ""), "", IF(F466 = "Vara", IFERROR(_xlfn.SINGLE(_xlfn.XLOOKUP(G466, Vöruskrá!A:A, Vöruskrá!I:I, "")) * I466 / 100, ""), IF(F466 = "Réttur", IFERROR(_xlfn.SINGLE(_xlfn.XLOOKUP(G466, Réttabanki!A:A, Réttabanki!AV:AV, "")) * I466 / 100, ""), "")))</f>
        <v/>
      </c>
      <c r="P466" s="26" t="str">
        <f>IF(OR(F466 = "", G466 = "", I466 = ""), "", IF(F466 = "Vara", IFERROR(_xlfn.SINGLE(_xlfn.XLOOKUP(G466, Vöruskrá!A:A, Vöruskrá!J:J, "")) * I466 / 100, ""), IF(F466 = "Réttur", IFERROR(_xlfn.SINGLE(_xlfn.XLOOKUP(G466, Réttabanki!A:A, Réttabanki!AW:AW, "")) * I466 / 100, ""), "")))</f>
        <v/>
      </c>
      <c r="Q466" s="26" t="str">
        <f>IF(OR(F466 = "", G466 = "", I466 = ""), "", IF(F466 = "Vara", IFERROR(_xlfn.SINGLE(_xlfn.XLOOKUP(G466, Vöruskrá!A:A, Vöruskrá!N:N, "")) * I466 / 100, ""), IF(F466 = "Réttur", IFERROR(_xlfn.SINGLE(_xlfn.XLOOKUP(G466, Réttabanki!A:A, Réttabanki!BB:BB, "")) * I466 / 100, ""), "")))</f>
        <v/>
      </c>
    </row>
    <row r="467" spans="2:17">
      <c r="B467" s="33" t="str">
        <f>IF(A467&lt;&gt;"",CHOOSE(WEEKDAY(A467,2),"Mánudagur","Þriðjudagur","Miðvikudagur","Fimmtudagur","Föstudagur","Laugardagur","Sunnudagur"),IF(B466&lt;&gt;"",B466,""))</f>
        <v>Fimmtudagur</v>
      </c>
      <c r="C467" s="33">
        <f>IF(A467&lt;&gt;"",WEEKNUM(A467,21),IF(C466&lt;&gt;"",C466,""))</f>
        <v>27</v>
      </c>
      <c r="D467" s="34"/>
      <c r="E467" s="34"/>
      <c r="F467" s="34"/>
      <c r="G467" s="34"/>
      <c r="H467" s="34"/>
      <c r="I467" s="35"/>
      <c r="J467" s="35"/>
      <c r="K467" s="36"/>
      <c r="L467" s="26" t="str">
        <f>IF(OR(F467 = "", G467 = ""), "", IF(F467 = "Vara", IFERROR(_xlfn.SINGLE(_xlfn.XLOOKUP(G467, Vöruskrá!A:A, Vöruskrá!E:E, "")), ""), IF(F467 = "Réttur", IFERROR(_xlfn.SINGLE(_xlfn.XLOOKUP(G467, Réttabanki!A:A, Réttabanki!AS:AS, "")), ""), "")))</f>
        <v/>
      </c>
      <c r="M467" s="26" t="str">
        <f>IF(OR(F467 = "", G467 = ""), "", IF(F467 = "Vara", IFERROR(_xlfn.SINGLE(_xlfn.XLOOKUP(G467, Vöruskrá!A:A, Vöruskrá!F:F, "")), ""), IF(F467 = "Réttur", IFERROR(_xlfn.SINGLE(_xlfn.XLOOKUP(G467, Réttabanki!A:A, Réttabanki!AT:AT, "")), ""), "")))</f>
        <v/>
      </c>
      <c r="N467" s="26" t="str">
        <f>IF(OR(F467 = "", G467 = ""), "", IF(F467 = "Vara", IFERROR(_xlfn.SINGLE(_xlfn.XLOOKUP(G467, Vöruskrá!A:A, Vöruskrá!G:G, "")), ""), IF(F467 = "Réttur", IFERROR(_xlfn.SINGLE(_xlfn.XLOOKUP(G467, Réttabanki!A:A, Réttabanki!AU:AU, "")), ""), "")))</f>
        <v/>
      </c>
      <c r="O467" s="26" t="str">
        <f>IF(OR(F467 = "", G467 = "", I467 = ""), "", IF(F467 = "Vara", IFERROR(_xlfn.SINGLE(_xlfn.XLOOKUP(G467, Vöruskrá!A:A, Vöruskrá!I:I, "")) * I467 / 100, ""), IF(F467 = "Réttur", IFERROR(_xlfn.SINGLE(_xlfn.XLOOKUP(G467, Réttabanki!A:A, Réttabanki!AV:AV, "")) * I467 / 100, ""), "")))</f>
        <v/>
      </c>
      <c r="P467" s="26" t="str">
        <f>IF(OR(F467 = "", G467 = "", I467 = ""), "", IF(F467 = "Vara", IFERROR(_xlfn.SINGLE(_xlfn.XLOOKUP(G467, Vöruskrá!A:A, Vöruskrá!J:J, "")) * I467 / 100, ""), IF(F467 = "Réttur", IFERROR(_xlfn.SINGLE(_xlfn.XLOOKUP(G467, Réttabanki!A:A, Réttabanki!AW:AW, "")) * I467 / 100, ""), "")))</f>
        <v/>
      </c>
      <c r="Q467" s="26" t="str">
        <f>IF(OR(F467 = "", G467 = "", I467 = ""), "", IF(F467 = "Vara", IFERROR(_xlfn.SINGLE(_xlfn.XLOOKUP(G467, Vöruskrá!A:A, Vöruskrá!N:N, "")) * I467 / 100, ""), IF(F467 = "Réttur", IFERROR(_xlfn.SINGLE(_xlfn.XLOOKUP(G467, Réttabanki!A:A, Réttabanki!BB:BB, "")) * I467 / 100, ""), "")))</f>
        <v/>
      </c>
    </row>
    <row r="468" spans="2:17">
      <c r="B468" s="33" t="str">
        <f>IF(A468&lt;&gt;"",CHOOSE(WEEKDAY(A468,2),"Mánudagur","Þriðjudagur","Miðvikudagur","Fimmtudagur","Föstudagur","Laugardagur","Sunnudagur"),IF(B467&lt;&gt;"",B467,""))</f>
        <v>Fimmtudagur</v>
      </c>
      <c r="C468" s="33">
        <f>IF(A468&lt;&gt;"",WEEKNUM(A468,21),IF(C467&lt;&gt;"",C467,""))</f>
        <v>27</v>
      </c>
      <c r="D468" s="34"/>
      <c r="E468" s="34"/>
      <c r="F468" s="34"/>
      <c r="G468" s="34"/>
      <c r="H468" s="34"/>
      <c r="I468" s="35"/>
      <c r="J468" s="35"/>
      <c r="K468" s="36"/>
      <c r="L468" s="26" t="str">
        <f>IF(OR(F468 = "", G468 = ""), "", IF(F468 = "Vara", IFERROR(_xlfn.SINGLE(_xlfn.XLOOKUP(G468, Vöruskrá!A:A, Vöruskrá!E:E, "")), ""), IF(F468 = "Réttur", IFERROR(_xlfn.SINGLE(_xlfn.XLOOKUP(G468, Réttabanki!A:A, Réttabanki!AS:AS, "")), ""), "")))</f>
        <v/>
      </c>
      <c r="M468" s="26" t="str">
        <f>IF(OR(F468 = "", G468 = ""), "", IF(F468 = "Vara", IFERROR(_xlfn.SINGLE(_xlfn.XLOOKUP(G468, Vöruskrá!A:A, Vöruskrá!F:F, "")), ""), IF(F468 = "Réttur", IFERROR(_xlfn.SINGLE(_xlfn.XLOOKUP(G468, Réttabanki!A:A, Réttabanki!AT:AT, "")), ""), "")))</f>
        <v/>
      </c>
      <c r="N468" s="26" t="str">
        <f>IF(OR(F468 = "", G468 = ""), "", IF(F468 = "Vara", IFERROR(_xlfn.SINGLE(_xlfn.XLOOKUP(G468, Vöruskrá!A:A, Vöruskrá!G:G, "")), ""), IF(F468 = "Réttur", IFERROR(_xlfn.SINGLE(_xlfn.XLOOKUP(G468, Réttabanki!A:A, Réttabanki!AU:AU, "")), ""), "")))</f>
        <v/>
      </c>
      <c r="O468" s="26" t="str">
        <f>IF(OR(F468 = "", G468 = "", I468 = ""), "", IF(F468 = "Vara", IFERROR(_xlfn.SINGLE(_xlfn.XLOOKUP(G468, Vöruskrá!A:A, Vöruskrá!I:I, "")) * I468 / 100, ""), IF(F468 = "Réttur", IFERROR(_xlfn.SINGLE(_xlfn.XLOOKUP(G468, Réttabanki!A:A, Réttabanki!AV:AV, "")) * I468 / 100, ""), "")))</f>
        <v/>
      </c>
      <c r="P468" s="26" t="str">
        <f>IF(OR(F468 = "", G468 = "", I468 = ""), "", IF(F468 = "Vara", IFERROR(_xlfn.SINGLE(_xlfn.XLOOKUP(G468, Vöruskrá!A:A, Vöruskrá!J:J, "")) * I468 / 100, ""), IF(F468 = "Réttur", IFERROR(_xlfn.SINGLE(_xlfn.XLOOKUP(G468, Réttabanki!A:A, Réttabanki!AW:AW, "")) * I468 / 100, ""), "")))</f>
        <v/>
      </c>
      <c r="Q468" s="26" t="str">
        <f>IF(OR(F468 = "", G468 = "", I468 = ""), "", IF(F468 = "Vara", IFERROR(_xlfn.SINGLE(_xlfn.XLOOKUP(G468, Vöruskrá!A:A, Vöruskrá!N:N, "")) * I468 / 100, ""), IF(F468 = "Réttur", IFERROR(_xlfn.SINGLE(_xlfn.XLOOKUP(G468, Réttabanki!A:A, Réttabanki!BB:BB, "")) * I468 / 100, ""), "")))</f>
        <v/>
      </c>
    </row>
    <row r="469" spans="2:17">
      <c r="B469" s="33" t="str">
        <f>IF(A469&lt;&gt;"",CHOOSE(WEEKDAY(A469,2),"Mánudagur","Þriðjudagur","Miðvikudagur","Fimmtudagur","Föstudagur","Laugardagur","Sunnudagur"),IF(B468&lt;&gt;"",B468,""))</f>
        <v>Fimmtudagur</v>
      </c>
      <c r="C469" s="33">
        <f>IF(A469&lt;&gt;"",WEEKNUM(A469,21),IF(C468&lt;&gt;"",C468,""))</f>
        <v>27</v>
      </c>
      <c r="D469" s="34"/>
      <c r="E469" s="34"/>
      <c r="F469" s="34"/>
      <c r="G469" s="34"/>
      <c r="H469" s="34"/>
      <c r="I469" s="35"/>
      <c r="J469" s="35"/>
      <c r="K469" s="36"/>
      <c r="L469" s="26" t="str">
        <f>IF(OR(F469 = "", G469 = ""), "", IF(F469 = "Vara", IFERROR(_xlfn.SINGLE(_xlfn.XLOOKUP(G469, Vöruskrá!A:A, Vöruskrá!E:E, "")), ""), IF(F469 = "Réttur", IFERROR(_xlfn.SINGLE(_xlfn.XLOOKUP(G469, Réttabanki!A:A, Réttabanki!AS:AS, "")), ""), "")))</f>
        <v/>
      </c>
      <c r="M469" s="26" t="str">
        <f>IF(OR(F469 = "", G469 = ""), "", IF(F469 = "Vara", IFERROR(_xlfn.SINGLE(_xlfn.XLOOKUP(G469, Vöruskrá!A:A, Vöruskrá!F:F, "")), ""), IF(F469 = "Réttur", IFERROR(_xlfn.SINGLE(_xlfn.XLOOKUP(G469, Réttabanki!A:A, Réttabanki!AT:AT, "")), ""), "")))</f>
        <v/>
      </c>
      <c r="N469" s="26" t="str">
        <f>IF(OR(F469 = "", G469 = ""), "", IF(F469 = "Vara", IFERROR(_xlfn.SINGLE(_xlfn.XLOOKUP(G469, Vöruskrá!A:A, Vöruskrá!G:G, "")), ""), IF(F469 = "Réttur", IFERROR(_xlfn.SINGLE(_xlfn.XLOOKUP(G469, Réttabanki!A:A, Réttabanki!AU:AU, "")), ""), "")))</f>
        <v/>
      </c>
      <c r="O469" s="26" t="str">
        <f>IF(OR(F469 = "", G469 = "", I469 = ""), "", IF(F469 = "Vara", IFERROR(_xlfn.SINGLE(_xlfn.XLOOKUP(G469, Vöruskrá!A:A, Vöruskrá!I:I, "")) * I469 / 100, ""), IF(F469 = "Réttur", IFERROR(_xlfn.SINGLE(_xlfn.XLOOKUP(G469, Réttabanki!A:A, Réttabanki!AV:AV, "")) * I469 / 100, ""), "")))</f>
        <v/>
      </c>
      <c r="P469" s="26" t="str">
        <f>IF(OR(F469 = "", G469 = "", I469 = ""), "", IF(F469 = "Vara", IFERROR(_xlfn.SINGLE(_xlfn.XLOOKUP(G469, Vöruskrá!A:A, Vöruskrá!J:J, "")) * I469 / 100, ""), IF(F469 = "Réttur", IFERROR(_xlfn.SINGLE(_xlfn.XLOOKUP(G469, Réttabanki!A:A, Réttabanki!AW:AW, "")) * I469 / 100, ""), "")))</f>
        <v/>
      </c>
      <c r="Q469" s="26" t="str">
        <f>IF(OR(F469 = "", G469 = "", I469 = ""), "", IF(F469 = "Vara", IFERROR(_xlfn.SINGLE(_xlfn.XLOOKUP(G469, Vöruskrá!A:A, Vöruskrá!N:N, "")) * I469 / 100, ""), IF(F469 = "Réttur", IFERROR(_xlfn.SINGLE(_xlfn.XLOOKUP(G469, Réttabanki!A:A, Réttabanki!BB:BB, "")) * I469 / 100, ""), "")))</f>
        <v/>
      </c>
    </row>
    <row r="470" spans="2:17">
      <c r="B470" s="33" t="str">
        <f>IF(A470&lt;&gt;"",CHOOSE(WEEKDAY(A470,2),"Mánudagur","Þriðjudagur","Miðvikudagur","Fimmtudagur","Föstudagur","Laugardagur","Sunnudagur"),IF(B469&lt;&gt;"",B469,""))</f>
        <v>Fimmtudagur</v>
      </c>
      <c r="C470" s="33">
        <f>IF(A470&lt;&gt;"",WEEKNUM(A470,21),IF(C469&lt;&gt;"",C469,""))</f>
        <v>27</v>
      </c>
      <c r="D470" s="34"/>
      <c r="E470" s="34"/>
      <c r="F470" s="34"/>
      <c r="G470" s="34"/>
      <c r="H470" s="34"/>
      <c r="I470" s="35"/>
      <c r="J470" s="35"/>
      <c r="K470" s="36"/>
      <c r="L470" s="26" t="str">
        <f>IF(OR(F470 = "", G470 = ""), "", IF(F470 = "Vara", IFERROR(_xlfn.SINGLE(_xlfn.XLOOKUP(G470, Vöruskrá!A:A, Vöruskrá!E:E, "")), ""), IF(F470 = "Réttur", IFERROR(_xlfn.SINGLE(_xlfn.XLOOKUP(G470, Réttabanki!A:A, Réttabanki!AS:AS, "")), ""), "")))</f>
        <v/>
      </c>
      <c r="M470" s="26" t="str">
        <f>IF(OR(F470 = "", G470 = ""), "", IF(F470 = "Vara", IFERROR(_xlfn.SINGLE(_xlfn.XLOOKUP(G470, Vöruskrá!A:A, Vöruskrá!F:F, "")), ""), IF(F470 = "Réttur", IFERROR(_xlfn.SINGLE(_xlfn.XLOOKUP(G470, Réttabanki!A:A, Réttabanki!AT:AT, "")), ""), "")))</f>
        <v/>
      </c>
      <c r="N470" s="26" t="str">
        <f>IF(OR(F470 = "", G470 = ""), "", IF(F470 = "Vara", IFERROR(_xlfn.SINGLE(_xlfn.XLOOKUP(G470, Vöruskrá!A:A, Vöruskrá!G:G, "")), ""), IF(F470 = "Réttur", IFERROR(_xlfn.SINGLE(_xlfn.XLOOKUP(G470, Réttabanki!A:A, Réttabanki!AU:AU, "")), ""), "")))</f>
        <v/>
      </c>
      <c r="O470" s="26" t="str">
        <f>IF(OR(F470 = "", G470 = "", I470 = ""), "", IF(F470 = "Vara", IFERROR(_xlfn.SINGLE(_xlfn.XLOOKUP(G470, Vöruskrá!A:A, Vöruskrá!I:I, "")) * I470 / 100, ""), IF(F470 = "Réttur", IFERROR(_xlfn.SINGLE(_xlfn.XLOOKUP(G470, Réttabanki!A:A, Réttabanki!AV:AV, "")) * I470 / 100, ""), "")))</f>
        <v/>
      </c>
      <c r="P470" s="26" t="str">
        <f>IF(OR(F470 = "", G470 = "", I470 = ""), "", IF(F470 = "Vara", IFERROR(_xlfn.SINGLE(_xlfn.XLOOKUP(G470, Vöruskrá!A:A, Vöruskrá!J:J, "")) * I470 / 100, ""), IF(F470 = "Réttur", IFERROR(_xlfn.SINGLE(_xlfn.XLOOKUP(G470, Réttabanki!A:A, Réttabanki!AW:AW, "")) * I470 / 100, ""), "")))</f>
        <v/>
      </c>
      <c r="Q470" s="26" t="str">
        <f>IF(OR(F470 = "", G470 = "", I470 = ""), "", IF(F470 = "Vara", IFERROR(_xlfn.SINGLE(_xlfn.XLOOKUP(G470, Vöruskrá!A:A, Vöruskrá!N:N, "")) * I470 / 100, ""), IF(F470 = "Réttur", IFERROR(_xlfn.SINGLE(_xlfn.XLOOKUP(G470, Réttabanki!A:A, Réttabanki!BB:BB, "")) * I470 / 100, ""), "")))</f>
        <v/>
      </c>
    </row>
    <row r="471" spans="2:17">
      <c r="B471" s="33" t="str">
        <f>IF(A471&lt;&gt;"",CHOOSE(WEEKDAY(A471,2),"Mánudagur","Þriðjudagur","Miðvikudagur","Fimmtudagur","Föstudagur","Laugardagur","Sunnudagur"),IF(B470&lt;&gt;"",B470,""))</f>
        <v>Fimmtudagur</v>
      </c>
      <c r="C471" s="33">
        <f>IF(A471&lt;&gt;"",WEEKNUM(A471,21),IF(C470&lt;&gt;"",C470,""))</f>
        <v>27</v>
      </c>
      <c r="D471" s="34"/>
      <c r="E471" s="34"/>
      <c r="F471" s="34"/>
      <c r="G471" s="34"/>
      <c r="H471" s="34"/>
      <c r="I471" s="35"/>
      <c r="J471" s="35"/>
      <c r="K471" s="36"/>
      <c r="L471" s="26" t="str">
        <f>IF(OR(F471 = "", G471 = ""), "", IF(F471 = "Vara", IFERROR(_xlfn.SINGLE(_xlfn.XLOOKUP(G471, Vöruskrá!A:A, Vöruskrá!E:E, "")), ""), IF(F471 = "Réttur", IFERROR(_xlfn.SINGLE(_xlfn.XLOOKUP(G471, Réttabanki!A:A, Réttabanki!AS:AS, "")), ""), "")))</f>
        <v/>
      </c>
      <c r="M471" s="26" t="str">
        <f>IF(OR(F471 = "", G471 = ""), "", IF(F471 = "Vara", IFERROR(_xlfn.SINGLE(_xlfn.XLOOKUP(G471, Vöruskrá!A:A, Vöruskrá!F:F, "")), ""), IF(F471 = "Réttur", IFERROR(_xlfn.SINGLE(_xlfn.XLOOKUP(G471, Réttabanki!A:A, Réttabanki!AT:AT, "")), ""), "")))</f>
        <v/>
      </c>
      <c r="N471" s="26" t="str">
        <f>IF(OR(F471 = "", G471 = ""), "", IF(F471 = "Vara", IFERROR(_xlfn.SINGLE(_xlfn.XLOOKUP(G471, Vöruskrá!A:A, Vöruskrá!G:G, "")), ""), IF(F471 = "Réttur", IFERROR(_xlfn.SINGLE(_xlfn.XLOOKUP(G471, Réttabanki!A:A, Réttabanki!AU:AU, "")), ""), "")))</f>
        <v/>
      </c>
      <c r="O471" s="26" t="str">
        <f>IF(OR(F471 = "", G471 = "", I471 = ""), "", IF(F471 = "Vara", IFERROR(_xlfn.SINGLE(_xlfn.XLOOKUP(G471, Vöruskrá!A:A, Vöruskrá!I:I, "")) * I471 / 100, ""), IF(F471 = "Réttur", IFERROR(_xlfn.SINGLE(_xlfn.XLOOKUP(G471, Réttabanki!A:A, Réttabanki!AV:AV, "")) * I471 / 100, ""), "")))</f>
        <v/>
      </c>
      <c r="P471" s="26" t="str">
        <f>IF(OR(F471 = "", G471 = "", I471 = ""), "", IF(F471 = "Vara", IFERROR(_xlfn.SINGLE(_xlfn.XLOOKUP(G471, Vöruskrá!A:A, Vöruskrá!J:J, "")) * I471 / 100, ""), IF(F471 = "Réttur", IFERROR(_xlfn.SINGLE(_xlfn.XLOOKUP(G471, Réttabanki!A:A, Réttabanki!AW:AW, "")) * I471 / 100, ""), "")))</f>
        <v/>
      </c>
      <c r="Q471" s="26" t="str">
        <f>IF(OR(F471 = "", G471 = "", I471 = ""), "", IF(F471 = "Vara", IFERROR(_xlfn.SINGLE(_xlfn.XLOOKUP(G471, Vöruskrá!A:A, Vöruskrá!N:N, "")) * I471 / 100, ""), IF(F471 = "Réttur", IFERROR(_xlfn.SINGLE(_xlfn.XLOOKUP(G471, Réttabanki!A:A, Réttabanki!BB:BB, "")) * I471 / 100, ""), "")))</f>
        <v/>
      </c>
    </row>
    <row r="472" spans="2:17">
      <c r="B472" s="33" t="str">
        <f>IF(A472&lt;&gt;"",CHOOSE(WEEKDAY(A472,2),"Mánudagur","Þriðjudagur","Miðvikudagur","Fimmtudagur","Föstudagur","Laugardagur","Sunnudagur"),IF(B471&lt;&gt;"",B471,""))</f>
        <v>Fimmtudagur</v>
      </c>
      <c r="C472" s="33">
        <f>IF(A472&lt;&gt;"",WEEKNUM(A472,21),IF(C471&lt;&gt;"",C471,""))</f>
        <v>27</v>
      </c>
      <c r="D472" s="34"/>
      <c r="E472" s="34"/>
      <c r="F472" s="34"/>
      <c r="G472" s="34"/>
      <c r="H472" s="34"/>
      <c r="I472" s="35"/>
      <c r="J472" s="35"/>
      <c r="K472" s="36"/>
      <c r="L472" s="26" t="str">
        <f>IF(OR(F472 = "", G472 = ""), "", IF(F472 = "Vara", IFERROR(_xlfn.SINGLE(_xlfn.XLOOKUP(G472, Vöruskrá!A:A, Vöruskrá!E:E, "")), ""), IF(F472 = "Réttur", IFERROR(_xlfn.SINGLE(_xlfn.XLOOKUP(G472, Réttabanki!A:A, Réttabanki!AS:AS, "")), ""), "")))</f>
        <v/>
      </c>
      <c r="M472" s="26" t="str">
        <f>IF(OR(F472 = "", G472 = ""), "", IF(F472 = "Vara", IFERROR(_xlfn.SINGLE(_xlfn.XLOOKUP(G472, Vöruskrá!A:A, Vöruskrá!F:F, "")), ""), IF(F472 = "Réttur", IFERROR(_xlfn.SINGLE(_xlfn.XLOOKUP(G472, Réttabanki!A:A, Réttabanki!AT:AT, "")), ""), "")))</f>
        <v/>
      </c>
      <c r="N472" s="26" t="str">
        <f>IF(OR(F472 = "", G472 = ""), "", IF(F472 = "Vara", IFERROR(_xlfn.SINGLE(_xlfn.XLOOKUP(G472, Vöruskrá!A:A, Vöruskrá!G:G, "")), ""), IF(F472 = "Réttur", IFERROR(_xlfn.SINGLE(_xlfn.XLOOKUP(G472, Réttabanki!A:A, Réttabanki!AU:AU, "")), ""), "")))</f>
        <v/>
      </c>
      <c r="O472" s="26" t="str">
        <f>IF(OR(F472 = "", G472 = "", I472 = ""), "", IF(F472 = "Vara", IFERROR(_xlfn.SINGLE(_xlfn.XLOOKUP(G472, Vöruskrá!A:A, Vöruskrá!I:I, "")) * I472 / 100, ""), IF(F472 = "Réttur", IFERROR(_xlfn.SINGLE(_xlfn.XLOOKUP(G472, Réttabanki!A:A, Réttabanki!AV:AV, "")) * I472 / 100, ""), "")))</f>
        <v/>
      </c>
      <c r="P472" s="26" t="str">
        <f>IF(OR(F472 = "", G472 = "", I472 = ""), "", IF(F472 = "Vara", IFERROR(_xlfn.SINGLE(_xlfn.XLOOKUP(G472, Vöruskrá!A:A, Vöruskrá!J:J, "")) * I472 / 100, ""), IF(F472 = "Réttur", IFERROR(_xlfn.SINGLE(_xlfn.XLOOKUP(G472, Réttabanki!A:A, Réttabanki!AW:AW, "")) * I472 / 100, ""), "")))</f>
        <v/>
      </c>
      <c r="Q472" s="26" t="str">
        <f>IF(OR(F472 = "", G472 = "", I472 = ""), "", IF(F472 = "Vara", IFERROR(_xlfn.SINGLE(_xlfn.XLOOKUP(G472, Vöruskrá!A:A, Vöruskrá!N:N, "")) * I472 / 100, ""), IF(F472 = "Réttur", IFERROR(_xlfn.SINGLE(_xlfn.XLOOKUP(G472, Réttabanki!A:A, Réttabanki!BB:BB, "")) * I472 / 100, ""), "")))</f>
        <v/>
      </c>
    </row>
    <row r="473" spans="2:17">
      <c r="B473" s="33" t="str">
        <f>IF(A473&lt;&gt;"",CHOOSE(WEEKDAY(A473,2),"Mánudagur","Þriðjudagur","Miðvikudagur","Fimmtudagur","Föstudagur","Laugardagur","Sunnudagur"),IF(B472&lt;&gt;"",B472,""))</f>
        <v>Fimmtudagur</v>
      </c>
      <c r="C473" s="33">
        <f>IF(A473&lt;&gt;"",WEEKNUM(A473,21),IF(C472&lt;&gt;"",C472,""))</f>
        <v>27</v>
      </c>
      <c r="D473" s="34"/>
      <c r="E473" s="34"/>
      <c r="F473" s="34"/>
      <c r="G473" s="34"/>
      <c r="H473" s="34"/>
      <c r="I473" s="35"/>
      <c r="J473" s="35"/>
      <c r="K473" s="36"/>
      <c r="L473" s="26" t="str">
        <f>IF(OR(F473 = "", G473 = ""), "", IF(F473 = "Vara", IFERROR(_xlfn.SINGLE(_xlfn.XLOOKUP(G473, Vöruskrá!A:A, Vöruskrá!E:E, "")), ""), IF(F473 = "Réttur", IFERROR(_xlfn.SINGLE(_xlfn.XLOOKUP(G473, Réttabanki!A:A, Réttabanki!AS:AS, "")), ""), "")))</f>
        <v/>
      </c>
      <c r="M473" s="26" t="str">
        <f>IF(OR(F473 = "", G473 = ""), "", IF(F473 = "Vara", IFERROR(_xlfn.SINGLE(_xlfn.XLOOKUP(G473, Vöruskrá!A:A, Vöruskrá!F:F, "")), ""), IF(F473 = "Réttur", IFERROR(_xlfn.SINGLE(_xlfn.XLOOKUP(G473, Réttabanki!A:A, Réttabanki!AT:AT, "")), ""), "")))</f>
        <v/>
      </c>
      <c r="N473" s="26" t="str">
        <f>IF(OR(F473 = "", G473 = ""), "", IF(F473 = "Vara", IFERROR(_xlfn.SINGLE(_xlfn.XLOOKUP(G473, Vöruskrá!A:A, Vöruskrá!G:G, "")), ""), IF(F473 = "Réttur", IFERROR(_xlfn.SINGLE(_xlfn.XLOOKUP(G473, Réttabanki!A:A, Réttabanki!AU:AU, "")), ""), "")))</f>
        <v/>
      </c>
      <c r="O473" s="26" t="str">
        <f>IF(OR(F473 = "", G473 = "", I473 = ""), "", IF(F473 = "Vara", IFERROR(_xlfn.SINGLE(_xlfn.XLOOKUP(G473, Vöruskrá!A:A, Vöruskrá!I:I, "")) * I473 / 100, ""), IF(F473 = "Réttur", IFERROR(_xlfn.SINGLE(_xlfn.XLOOKUP(G473, Réttabanki!A:A, Réttabanki!AV:AV, "")) * I473 / 100, ""), "")))</f>
        <v/>
      </c>
      <c r="P473" s="26" t="str">
        <f>IF(OR(F473 = "", G473 = "", I473 = ""), "", IF(F473 = "Vara", IFERROR(_xlfn.SINGLE(_xlfn.XLOOKUP(G473, Vöruskrá!A:A, Vöruskrá!J:J, "")) * I473 / 100, ""), IF(F473 = "Réttur", IFERROR(_xlfn.SINGLE(_xlfn.XLOOKUP(G473, Réttabanki!A:A, Réttabanki!AW:AW, "")) * I473 / 100, ""), "")))</f>
        <v/>
      </c>
      <c r="Q473" s="26" t="str">
        <f>IF(OR(F473 = "", G473 = "", I473 = ""), "", IF(F473 = "Vara", IFERROR(_xlfn.SINGLE(_xlfn.XLOOKUP(G473, Vöruskrá!A:A, Vöruskrá!N:N, "")) * I473 / 100, ""), IF(F473 = "Réttur", IFERROR(_xlfn.SINGLE(_xlfn.XLOOKUP(G473, Réttabanki!A:A, Réttabanki!BB:BB, "")) * I473 / 100, ""), "")))</f>
        <v/>
      </c>
    </row>
    <row r="474" spans="2:17">
      <c r="B474" s="33" t="str">
        <f>IF(A474&lt;&gt;"",CHOOSE(WEEKDAY(A474,2),"Mánudagur","Þriðjudagur","Miðvikudagur","Fimmtudagur","Föstudagur","Laugardagur","Sunnudagur"),IF(B473&lt;&gt;"",B473,""))</f>
        <v>Fimmtudagur</v>
      </c>
      <c r="C474" s="33">
        <f>IF(A474&lt;&gt;"",WEEKNUM(A474,21),IF(C473&lt;&gt;"",C473,""))</f>
        <v>27</v>
      </c>
      <c r="D474" s="34"/>
      <c r="E474" s="34"/>
      <c r="F474" s="34"/>
      <c r="G474" s="34"/>
      <c r="H474" s="34"/>
      <c r="I474" s="35"/>
      <c r="J474" s="35"/>
      <c r="K474" s="36"/>
      <c r="L474" s="26" t="str">
        <f>IF(OR(F474 = "", G474 = ""), "", IF(F474 = "Vara", IFERROR(_xlfn.SINGLE(_xlfn.XLOOKUP(G474, Vöruskrá!A:A, Vöruskrá!E:E, "")), ""), IF(F474 = "Réttur", IFERROR(_xlfn.SINGLE(_xlfn.XLOOKUP(G474, Réttabanki!A:A, Réttabanki!AS:AS, "")), ""), "")))</f>
        <v/>
      </c>
      <c r="M474" s="26" t="str">
        <f>IF(OR(F474 = "", G474 = ""), "", IF(F474 = "Vara", IFERROR(_xlfn.SINGLE(_xlfn.XLOOKUP(G474, Vöruskrá!A:A, Vöruskrá!F:F, "")), ""), IF(F474 = "Réttur", IFERROR(_xlfn.SINGLE(_xlfn.XLOOKUP(G474, Réttabanki!A:A, Réttabanki!AT:AT, "")), ""), "")))</f>
        <v/>
      </c>
      <c r="N474" s="26" t="str">
        <f>IF(OR(F474 = "", G474 = ""), "", IF(F474 = "Vara", IFERROR(_xlfn.SINGLE(_xlfn.XLOOKUP(G474, Vöruskrá!A:A, Vöruskrá!G:G, "")), ""), IF(F474 = "Réttur", IFERROR(_xlfn.SINGLE(_xlfn.XLOOKUP(G474, Réttabanki!A:A, Réttabanki!AU:AU, "")), ""), "")))</f>
        <v/>
      </c>
      <c r="O474" s="26" t="str">
        <f>IF(OR(F474 = "", G474 = "", I474 = ""), "", IF(F474 = "Vara", IFERROR(_xlfn.SINGLE(_xlfn.XLOOKUP(G474, Vöruskrá!A:A, Vöruskrá!I:I, "")) * I474 / 100, ""), IF(F474 = "Réttur", IFERROR(_xlfn.SINGLE(_xlfn.XLOOKUP(G474, Réttabanki!A:A, Réttabanki!AV:AV, "")) * I474 / 100, ""), "")))</f>
        <v/>
      </c>
      <c r="P474" s="26" t="str">
        <f>IF(OR(F474 = "", G474 = "", I474 = ""), "", IF(F474 = "Vara", IFERROR(_xlfn.SINGLE(_xlfn.XLOOKUP(G474, Vöruskrá!A:A, Vöruskrá!J:J, "")) * I474 / 100, ""), IF(F474 = "Réttur", IFERROR(_xlfn.SINGLE(_xlfn.XLOOKUP(G474, Réttabanki!A:A, Réttabanki!AW:AW, "")) * I474 / 100, ""), "")))</f>
        <v/>
      </c>
      <c r="Q474" s="26" t="str">
        <f>IF(OR(F474 = "", G474 = "", I474 = ""), "", IF(F474 = "Vara", IFERROR(_xlfn.SINGLE(_xlfn.XLOOKUP(G474, Vöruskrá!A:A, Vöruskrá!N:N, "")) * I474 / 100, ""), IF(F474 = "Réttur", IFERROR(_xlfn.SINGLE(_xlfn.XLOOKUP(G474, Réttabanki!A:A, Réttabanki!BB:BB, "")) * I474 / 100, ""), "")))</f>
        <v/>
      </c>
    </row>
    <row r="475" spans="2:17">
      <c r="B475" s="33" t="str">
        <f>IF(A475&lt;&gt;"",CHOOSE(WEEKDAY(A475,2),"Mánudagur","Þriðjudagur","Miðvikudagur","Fimmtudagur","Föstudagur","Laugardagur","Sunnudagur"),IF(B474&lt;&gt;"",B474,""))</f>
        <v>Fimmtudagur</v>
      </c>
      <c r="C475" s="33">
        <f>IF(A475&lt;&gt;"",WEEKNUM(A475,21),IF(C474&lt;&gt;"",C474,""))</f>
        <v>27</v>
      </c>
      <c r="D475" s="34"/>
      <c r="E475" s="34"/>
      <c r="F475" s="34"/>
      <c r="G475" s="34"/>
      <c r="H475" s="34"/>
      <c r="I475" s="35"/>
      <c r="J475" s="35"/>
      <c r="K475" s="36"/>
      <c r="L475" s="26" t="str">
        <f>IF(OR(F475 = "", G475 = ""), "", IF(F475 = "Vara", IFERROR(_xlfn.SINGLE(_xlfn.XLOOKUP(G475, Vöruskrá!A:A, Vöruskrá!E:E, "")), ""), IF(F475 = "Réttur", IFERROR(_xlfn.SINGLE(_xlfn.XLOOKUP(G475, Réttabanki!A:A, Réttabanki!AS:AS, "")), ""), "")))</f>
        <v/>
      </c>
      <c r="M475" s="26" t="str">
        <f>IF(OR(F475 = "", G475 = ""), "", IF(F475 = "Vara", IFERROR(_xlfn.SINGLE(_xlfn.XLOOKUP(G475, Vöruskrá!A:A, Vöruskrá!F:F, "")), ""), IF(F475 = "Réttur", IFERROR(_xlfn.SINGLE(_xlfn.XLOOKUP(G475, Réttabanki!A:A, Réttabanki!AT:AT, "")), ""), "")))</f>
        <v/>
      </c>
      <c r="N475" s="26" t="str">
        <f>IF(OR(F475 = "", G475 = ""), "", IF(F475 = "Vara", IFERROR(_xlfn.SINGLE(_xlfn.XLOOKUP(G475, Vöruskrá!A:A, Vöruskrá!G:G, "")), ""), IF(F475 = "Réttur", IFERROR(_xlfn.SINGLE(_xlfn.XLOOKUP(G475, Réttabanki!A:A, Réttabanki!AU:AU, "")), ""), "")))</f>
        <v/>
      </c>
      <c r="O475" s="26" t="str">
        <f>IF(OR(F475 = "", G475 = "", I475 = ""), "", IF(F475 = "Vara", IFERROR(_xlfn.SINGLE(_xlfn.XLOOKUP(G475, Vöruskrá!A:A, Vöruskrá!I:I, "")) * I475 / 100, ""), IF(F475 = "Réttur", IFERROR(_xlfn.SINGLE(_xlfn.XLOOKUP(G475, Réttabanki!A:A, Réttabanki!AV:AV, "")) * I475 / 100, ""), "")))</f>
        <v/>
      </c>
      <c r="P475" s="26" t="str">
        <f>IF(OR(F475 = "", G475 = "", I475 = ""), "", IF(F475 = "Vara", IFERROR(_xlfn.SINGLE(_xlfn.XLOOKUP(G475, Vöruskrá!A:A, Vöruskrá!J:J, "")) * I475 / 100, ""), IF(F475 = "Réttur", IFERROR(_xlfn.SINGLE(_xlfn.XLOOKUP(G475, Réttabanki!A:A, Réttabanki!AW:AW, "")) * I475 / 100, ""), "")))</f>
        <v/>
      </c>
      <c r="Q475" s="26" t="str">
        <f>IF(OR(F475 = "", G475 = "", I475 = ""), "", IF(F475 = "Vara", IFERROR(_xlfn.SINGLE(_xlfn.XLOOKUP(G475, Vöruskrá!A:A, Vöruskrá!N:N, "")) * I475 / 100, ""), IF(F475 = "Réttur", IFERROR(_xlfn.SINGLE(_xlfn.XLOOKUP(G475, Réttabanki!A:A, Réttabanki!BB:BB, "")) * I475 / 100, ""), "")))</f>
        <v/>
      </c>
    </row>
    <row r="476" spans="2:17">
      <c r="B476" s="33" t="str">
        <f>IF(A476&lt;&gt;"",CHOOSE(WEEKDAY(A476,2),"Mánudagur","Þriðjudagur","Miðvikudagur","Fimmtudagur","Föstudagur","Laugardagur","Sunnudagur"),IF(B475&lt;&gt;"",B475,""))</f>
        <v>Fimmtudagur</v>
      </c>
      <c r="C476" s="33">
        <f>IF(A476&lt;&gt;"",WEEKNUM(A476,21),IF(C475&lt;&gt;"",C475,""))</f>
        <v>27</v>
      </c>
      <c r="D476" s="34"/>
      <c r="E476" s="34"/>
      <c r="F476" s="34"/>
      <c r="G476" s="34"/>
      <c r="H476" s="34"/>
      <c r="I476" s="35"/>
      <c r="J476" s="35"/>
      <c r="K476" s="36"/>
      <c r="L476" s="26" t="str">
        <f>IF(OR(F476 = "", G476 = ""), "", IF(F476 = "Vara", IFERROR(_xlfn.SINGLE(_xlfn.XLOOKUP(G476, Vöruskrá!A:A, Vöruskrá!E:E, "")), ""), IF(F476 = "Réttur", IFERROR(_xlfn.SINGLE(_xlfn.XLOOKUP(G476, Réttabanki!A:A, Réttabanki!AS:AS, "")), ""), "")))</f>
        <v/>
      </c>
      <c r="M476" s="26" t="str">
        <f>IF(OR(F476 = "", G476 = ""), "", IF(F476 = "Vara", IFERROR(_xlfn.SINGLE(_xlfn.XLOOKUP(G476, Vöruskrá!A:A, Vöruskrá!F:F, "")), ""), IF(F476 = "Réttur", IFERROR(_xlfn.SINGLE(_xlfn.XLOOKUP(G476, Réttabanki!A:A, Réttabanki!AT:AT, "")), ""), "")))</f>
        <v/>
      </c>
      <c r="N476" s="26" t="str">
        <f>IF(OR(F476 = "", G476 = ""), "", IF(F476 = "Vara", IFERROR(_xlfn.SINGLE(_xlfn.XLOOKUP(G476, Vöruskrá!A:A, Vöruskrá!G:G, "")), ""), IF(F476 = "Réttur", IFERROR(_xlfn.SINGLE(_xlfn.XLOOKUP(G476, Réttabanki!A:A, Réttabanki!AU:AU, "")), ""), "")))</f>
        <v/>
      </c>
      <c r="O476" s="26" t="str">
        <f>IF(OR(F476 = "", G476 = "", I476 = ""), "", IF(F476 = "Vara", IFERROR(_xlfn.SINGLE(_xlfn.XLOOKUP(G476, Vöruskrá!A:A, Vöruskrá!I:I, "")) * I476 / 100, ""), IF(F476 = "Réttur", IFERROR(_xlfn.SINGLE(_xlfn.XLOOKUP(G476, Réttabanki!A:A, Réttabanki!AV:AV, "")) * I476 / 100, ""), "")))</f>
        <v/>
      </c>
      <c r="P476" s="26" t="str">
        <f>IF(OR(F476 = "", G476 = "", I476 = ""), "", IF(F476 = "Vara", IFERROR(_xlfn.SINGLE(_xlfn.XLOOKUP(G476, Vöruskrá!A:A, Vöruskrá!J:J, "")) * I476 / 100, ""), IF(F476 = "Réttur", IFERROR(_xlfn.SINGLE(_xlfn.XLOOKUP(G476, Réttabanki!A:A, Réttabanki!AW:AW, "")) * I476 / 100, ""), "")))</f>
        <v/>
      </c>
      <c r="Q476" s="26" t="str">
        <f>IF(OR(F476 = "", G476 = "", I476 = ""), "", IF(F476 = "Vara", IFERROR(_xlfn.SINGLE(_xlfn.XLOOKUP(G476, Vöruskrá!A:A, Vöruskrá!N:N, "")) * I476 / 100, ""), IF(F476 = "Réttur", IFERROR(_xlfn.SINGLE(_xlfn.XLOOKUP(G476, Réttabanki!A:A, Réttabanki!BB:BB, "")) * I476 / 100, ""), "")))</f>
        <v/>
      </c>
    </row>
    <row r="477" spans="2:17">
      <c r="B477" s="33" t="str">
        <f>IF(A477&lt;&gt;"",CHOOSE(WEEKDAY(A477,2),"Mánudagur","Þriðjudagur","Miðvikudagur","Fimmtudagur","Föstudagur","Laugardagur","Sunnudagur"),IF(B476&lt;&gt;"",B476,""))</f>
        <v>Fimmtudagur</v>
      </c>
      <c r="C477" s="33">
        <f>IF(A477&lt;&gt;"",WEEKNUM(A477,21),IF(C476&lt;&gt;"",C476,""))</f>
        <v>27</v>
      </c>
      <c r="D477" s="34"/>
      <c r="E477" s="34"/>
      <c r="F477" s="34"/>
      <c r="G477" s="34"/>
      <c r="H477" s="34"/>
      <c r="I477" s="35"/>
      <c r="J477" s="35"/>
      <c r="K477" s="36"/>
      <c r="L477" s="26" t="str">
        <f>IF(OR(F477 = "", G477 = ""), "", IF(F477 = "Vara", IFERROR(_xlfn.SINGLE(_xlfn.XLOOKUP(G477, Vöruskrá!A:A, Vöruskrá!E:E, "")), ""), IF(F477 = "Réttur", IFERROR(_xlfn.SINGLE(_xlfn.XLOOKUP(G477, Réttabanki!A:A, Réttabanki!AS:AS, "")), ""), "")))</f>
        <v/>
      </c>
      <c r="M477" s="26" t="str">
        <f>IF(OR(F477 = "", G477 = ""), "", IF(F477 = "Vara", IFERROR(_xlfn.SINGLE(_xlfn.XLOOKUP(G477, Vöruskrá!A:A, Vöruskrá!F:F, "")), ""), IF(F477 = "Réttur", IFERROR(_xlfn.SINGLE(_xlfn.XLOOKUP(G477, Réttabanki!A:A, Réttabanki!AT:AT, "")), ""), "")))</f>
        <v/>
      </c>
      <c r="N477" s="26" t="str">
        <f>IF(OR(F477 = "", G477 = ""), "", IF(F477 = "Vara", IFERROR(_xlfn.SINGLE(_xlfn.XLOOKUP(G477, Vöruskrá!A:A, Vöruskrá!G:G, "")), ""), IF(F477 = "Réttur", IFERROR(_xlfn.SINGLE(_xlfn.XLOOKUP(G477, Réttabanki!A:A, Réttabanki!AU:AU, "")), ""), "")))</f>
        <v/>
      </c>
      <c r="O477" s="26" t="str">
        <f>IF(OR(F477 = "", G477 = "", I477 = ""), "", IF(F477 = "Vara", IFERROR(_xlfn.SINGLE(_xlfn.XLOOKUP(G477, Vöruskrá!A:A, Vöruskrá!I:I, "")) * I477 / 100, ""), IF(F477 = "Réttur", IFERROR(_xlfn.SINGLE(_xlfn.XLOOKUP(G477, Réttabanki!A:A, Réttabanki!AV:AV, "")) * I477 / 100, ""), "")))</f>
        <v/>
      </c>
      <c r="P477" s="26" t="str">
        <f>IF(OR(F477 = "", G477 = "", I477 = ""), "", IF(F477 = "Vara", IFERROR(_xlfn.SINGLE(_xlfn.XLOOKUP(G477, Vöruskrá!A:A, Vöruskrá!J:J, "")) * I477 / 100, ""), IF(F477 = "Réttur", IFERROR(_xlfn.SINGLE(_xlfn.XLOOKUP(G477, Réttabanki!A:A, Réttabanki!AW:AW, "")) * I477 / 100, ""), "")))</f>
        <v/>
      </c>
      <c r="Q477" s="26" t="str">
        <f>IF(OR(F477 = "", G477 = "", I477 = ""), "", IF(F477 = "Vara", IFERROR(_xlfn.SINGLE(_xlfn.XLOOKUP(G477, Vöruskrá!A:A, Vöruskrá!N:N, "")) * I477 / 100, ""), IF(F477 = "Réttur", IFERROR(_xlfn.SINGLE(_xlfn.XLOOKUP(G477, Réttabanki!A:A, Réttabanki!BB:BB, "")) * I477 / 100, ""), "")))</f>
        <v/>
      </c>
    </row>
    <row r="478" spans="2:17">
      <c r="B478" s="33" t="str">
        <f>IF(A478&lt;&gt;"",CHOOSE(WEEKDAY(A478,2),"Mánudagur","Þriðjudagur","Miðvikudagur","Fimmtudagur","Föstudagur","Laugardagur","Sunnudagur"),IF(B477&lt;&gt;"",B477,""))</f>
        <v>Fimmtudagur</v>
      </c>
      <c r="C478" s="33">
        <f>IF(A478&lt;&gt;"",WEEKNUM(A478,21),IF(C477&lt;&gt;"",C477,""))</f>
        <v>27</v>
      </c>
      <c r="D478" s="34"/>
      <c r="E478" s="34"/>
      <c r="F478" s="34"/>
      <c r="G478" s="34"/>
      <c r="H478" s="34"/>
      <c r="I478" s="35"/>
      <c r="J478" s="35"/>
      <c r="K478" s="36"/>
      <c r="L478" s="26" t="str">
        <f>IF(OR(F478 = "", G478 = ""), "", IF(F478 = "Vara", IFERROR(_xlfn.SINGLE(_xlfn.XLOOKUP(G478, Vöruskrá!A:A, Vöruskrá!E:E, "")), ""), IF(F478 = "Réttur", IFERROR(_xlfn.SINGLE(_xlfn.XLOOKUP(G478, Réttabanki!A:A, Réttabanki!AS:AS, "")), ""), "")))</f>
        <v/>
      </c>
      <c r="M478" s="26" t="str">
        <f>IF(OR(F478 = "", G478 = ""), "", IF(F478 = "Vara", IFERROR(_xlfn.SINGLE(_xlfn.XLOOKUP(G478, Vöruskrá!A:A, Vöruskrá!F:F, "")), ""), IF(F478 = "Réttur", IFERROR(_xlfn.SINGLE(_xlfn.XLOOKUP(G478, Réttabanki!A:A, Réttabanki!AT:AT, "")), ""), "")))</f>
        <v/>
      </c>
      <c r="N478" s="26" t="str">
        <f>IF(OR(F478 = "", G478 = ""), "", IF(F478 = "Vara", IFERROR(_xlfn.SINGLE(_xlfn.XLOOKUP(G478, Vöruskrá!A:A, Vöruskrá!G:G, "")), ""), IF(F478 = "Réttur", IFERROR(_xlfn.SINGLE(_xlfn.XLOOKUP(G478, Réttabanki!A:A, Réttabanki!AU:AU, "")), ""), "")))</f>
        <v/>
      </c>
      <c r="O478" s="26" t="str">
        <f>IF(OR(F478 = "", G478 = "", I478 = ""), "", IF(F478 = "Vara", IFERROR(_xlfn.SINGLE(_xlfn.XLOOKUP(G478, Vöruskrá!A:A, Vöruskrá!I:I, "")) * I478 / 100, ""), IF(F478 = "Réttur", IFERROR(_xlfn.SINGLE(_xlfn.XLOOKUP(G478, Réttabanki!A:A, Réttabanki!AV:AV, "")) * I478 / 100, ""), "")))</f>
        <v/>
      </c>
      <c r="P478" s="26" t="str">
        <f>IF(OR(F478 = "", G478 = "", I478 = ""), "", IF(F478 = "Vara", IFERROR(_xlfn.SINGLE(_xlfn.XLOOKUP(G478, Vöruskrá!A:A, Vöruskrá!J:J, "")) * I478 / 100, ""), IF(F478 = "Réttur", IFERROR(_xlfn.SINGLE(_xlfn.XLOOKUP(G478, Réttabanki!A:A, Réttabanki!AW:AW, "")) * I478 / 100, ""), "")))</f>
        <v/>
      </c>
      <c r="Q478" s="26" t="str">
        <f>IF(OR(F478 = "", G478 = "", I478 = ""), "", IF(F478 = "Vara", IFERROR(_xlfn.SINGLE(_xlfn.XLOOKUP(G478, Vöruskrá!A:A, Vöruskrá!N:N, "")) * I478 / 100, ""), IF(F478 = "Réttur", IFERROR(_xlfn.SINGLE(_xlfn.XLOOKUP(G478, Réttabanki!A:A, Réttabanki!BB:BB, "")) * I478 / 100, ""), "")))</f>
        <v/>
      </c>
    </row>
    <row r="479" spans="2:17">
      <c r="B479" s="33" t="str">
        <f>IF(A479&lt;&gt;"",CHOOSE(WEEKDAY(A479,2),"Mánudagur","Þriðjudagur","Miðvikudagur","Fimmtudagur","Föstudagur","Laugardagur","Sunnudagur"),IF(B478&lt;&gt;"",B478,""))</f>
        <v>Fimmtudagur</v>
      </c>
      <c r="C479" s="33">
        <f>IF(A479&lt;&gt;"",WEEKNUM(A479,21),IF(C478&lt;&gt;"",C478,""))</f>
        <v>27</v>
      </c>
      <c r="D479" s="34"/>
      <c r="E479" s="34"/>
      <c r="F479" s="34"/>
      <c r="G479" s="34"/>
      <c r="H479" s="34"/>
      <c r="I479" s="35"/>
      <c r="J479" s="35"/>
      <c r="K479" s="36"/>
      <c r="L479" s="26" t="str">
        <f>IF(OR(F479 = "", G479 = ""), "", IF(F479 = "Vara", IFERROR(_xlfn.SINGLE(_xlfn.XLOOKUP(G479, Vöruskrá!A:A, Vöruskrá!E:E, "")), ""), IF(F479 = "Réttur", IFERROR(_xlfn.SINGLE(_xlfn.XLOOKUP(G479, Réttabanki!A:A, Réttabanki!AS:AS, "")), ""), "")))</f>
        <v/>
      </c>
      <c r="M479" s="26" t="str">
        <f>IF(OR(F479 = "", G479 = ""), "", IF(F479 = "Vara", IFERROR(_xlfn.SINGLE(_xlfn.XLOOKUP(G479, Vöruskrá!A:A, Vöruskrá!F:F, "")), ""), IF(F479 = "Réttur", IFERROR(_xlfn.SINGLE(_xlfn.XLOOKUP(G479, Réttabanki!A:A, Réttabanki!AT:AT, "")), ""), "")))</f>
        <v/>
      </c>
      <c r="N479" s="26" t="str">
        <f>IF(OR(F479 = "", G479 = ""), "", IF(F479 = "Vara", IFERROR(_xlfn.SINGLE(_xlfn.XLOOKUP(G479, Vöruskrá!A:A, Vöruskrá!G:G, "")), ""), IF(F479 = "Réttur", IFERROR(_xlfn.SINGLE(_xlfn.XLOOKUP(G479, Réttabanki!A:A, Réttabanki!AU:AU, "")), ""), "")))</f>
        <v/>
      </c>
      <c r="O479" s="26" t="str">
        <f>IF(OR(F479 = "", G479 = "", I479 = ""), "", IF(F479 = "Vara", IFERROR(_xlfn.SINGLE(_xlfn.XLOOKUP(G479, Vöruskrá!A:A, Vöruskrá!I:I, "")) * I479 / 100, ""), IF(F479 = "Réttur", IFERROR(_xlfn.SINGLE(_xlfn.XLOOKUP(G479, Réttabanki!A:A, Réttabanki!AV:AV, "")) * I479 / 100, ""), "")))</f>
        <v/>
      </c>
      <c r="P479" s="26" t="str">
        <f>IF(OR(F479 = "", G479 = "", I479 = ""), "", IF(F479 = "Vara", IFERROR(_xlfn.SINGLE(_xlfn.XLOOKUP(G479, Vöruskrá!A:A, Vöruskrá!J:J, "")) * I479 / 100, ""), IF(F479 = "Réttur", IFERROR(_xlfn.SINGLE(_xlfn.XLOOKUP(G479, Réttabanki!A:A, Réttabanki!AW:AW, "")) * I479 / 100, ""), "")))</f>
        <v/>
      </c>
      <c r="Q479" s="26" t="str">
        <f>IF(OR(F479 = "", G479 = "", I479 = ""), "", IF(F479 = "Vara", IFERROR(_xlfn.SINGLE(_xlfn.XLOOKUP(G479, Vöruskrá!A:A, Vöruskrá!N:N, "")) * I479 / 100, ""), IF(F479 = "Réttur", IFERROR(_xlfn.SINGLE(_xlfn.XLOOKUP(G479, Réttabanki!A:A, Réttabanki!BB:BB, "")) * I479 / 100, ""), "")))</f>
        <v/>
      </c>
    </row>
    <row r="480" spans="2:17">
      <c r="B480" s="33" t="str">
        <f>IF(A480&lt;&gt;"",CHOOSE(WEEKDAY(A480,2),"Mánudagur","Þriðjudagur","Miðvikudagur","Fimmtudagur","Föstudagur","Laugardagur","Sunnudagur"),IF(B479&lt;&gt;"",B479,""))</f>
        <v>Fimmtudagur</v>
      </c>
      <c r="C480" s="33">
        <f>IF(A480&lt;&gt;"",WEEKNUM(A480,21),IF(C479&lt;&gt;"",C479,""))</f>
        <v>27</v>
      </c>
      <c r="D480" s="34"/>
      <c r="E480" s="34"/>
      <c r="F480" s="34"/>
      <c r="G480" s="34"/>
      <c r="H480" s="34"/>
      <c r="I480" s="35"/>
      <c r="J480" s="35"/>
      <c r="K480" s="36"/>
      <c r="L480" s="26" t="str">
        <f>IF(OR(F480 = "", G480 = ""), "", IF(F480 = "Vara", IFERROR(_xlfn.SINGLE(_xlfn.XLOOKUP(G480, Vöruskrá!A:A, Vöruskrá!E:E, "")), ""), IF(F480 = "Réttur", IFERROR(_xlfn.SINGLE(_xlfn.XLOOKUP(G480, Réttabanki!A:A, Réttabanki!AS:AS, "")), ""), "")))</f>
        <v/>
      </c>
      <c r="M480" s="26" t="str">
        <f>IF(OR(F480 = "", G480 = ""), "", IF(F480 = "Vara", IFERROR(_xlfn.SINGLE(_xlfn.XLOOKUP(G480, Vöruskrá!A:A, Vöruskrá!F:F, "")), ""), IF(F480 = "Réttur", IFERROR(_xlfn.SINGLE(_xlfn.XLOOKUP(G480, Réttabanki!A:A, Réttabanki!AT:AT, "")), ""), "")))</f>
        <v/>
      </c>
      <c r="N480" s="26" t="str">
        <f>IF(OR(F480 = "", G480 = ""), "", IF(F480 = "Vara", IFERROR(_xlfn.SINGLE(_xlfn.XLOOKUP(G480, Vöruskrá!A:A, Vöruskrá!G:G, "")), ""), IF(F480 = "Réttur", IFERROR(_xlfn.SINGLE(_xlfn.XLOOKUP(G480, Réttabanki!A:A, Réttabanki!AU:AU, "")), ""), "")))</f>
        <v/>
      </c>
      <c r="O480" s="26" t="str">
        <f>IF(OR(F480 = "", G480 = "", I480 = ""), "", IF(F480 = "Vara", IFERROR(_xlfn.SINGLE(_xlfn.XLOOKUP(G480, Vöruskrá!A:A, Vöruskrá!I:I, "")) * I480 / 100, ""), IF(F480 = "Réttur", IFERROR(_xlfn.SINGLE(_xlfn.XLOOKUP(G480, Réttabanki!A:A, Réttabanki!AV:AV, "")) * I480 / 100, ""), "")))</f>
        <v/>
      </c>
      <c r="P480" s="26" t="str">
        <f>IF(OR(F480 = "", G480 = "", I480 = ""), "", IF(F480 = "Vara", IFERROR(_xlfn.SINGLE(_xlfn.XLOOKUP(G480, Vöruskrá!A:A, Vöruskrá!J:J, "")) * I480 / 100, ""), IF(F480 = "Réttur", IFERROR(_xlfn.SINGLE(_xlfn.XLOOKUP(G480, Réttabanki!A:A, Réttabanki!AW:AW, "")) * I480 / 100, ""), "")))</f>
        <v/>
      </c>
      <c r="Q480" s="26" t="str">
        <f>IF(OR(F480 = "", G480 = "", I480 = ""), "", IF(F480 = "Vara", IFERROR(_xlfn.SINGLE(_xlfn.XLOOKUP(G480, Vöruskrá!A:A, Vöruskrá!N:N, "")) * I480 / 100, ""), IF(F480 = "Réttur", IFERROR(_xlfn.SINGLE(_xlfn.XLOOKUP(G480, Réttabanki!A:A, Réttabanki!BB:BB, "")) * I480 / 100, ""), "")))</f>
        <v/>
      </c>
    </row>
    <row r="481" spans="2:17">
      <c r="B481" s="33" t="str">
        <f>IF(A481&lt;&gt;"",CHOOSE(WEEKDAY(A481,2),"Mánudagur","Þriðjudagur","Miðvikudagur","Fimmtudagur","Föstudagur","Laugardagur","Sunnudagur"),IF(B480&lt;&gt;"",B480,""))</f>
        <v>Fimmtudagur</v>
      </c>
      <c r="C481" s="33">
        <f>IF(A481&lt;&gt;"",WEEKNUM(A481,21),IF(C480&lt;&gt;"",C480,""))</f>
        <v>27</v>
      </c>
      <c r="D481" s="34"/>
      <c r="E481" s="34"/>
      <c r="F481" s="34"/>
      <c r="G481" s="34"/>
      <c r="H481" s="34"/>
      <c r="I481" s="35"/>
      <c r="J481" s="35"/>
      <c r="K481" s="36"/>
      <c r="L481" s="26" t="str">
        <f>IF(OR(F481 = "", G481 = ""), "", IF(F481 = "Vara", IFERROR(_xlfn.SINGLE(_xlfn.XLOOKUP(G481, Vöruskrá!A:A, Vöruskrá!E:E, "")), ""), IF(F481 = "Réttur", IFERROR(_xlfn.SINGLE(_xlfn.XLOOKUP(G481, Réttabanki!A:A, Réttabanki!AS:AS, "")), ""), "")))</f>
        <v/>
      </c>
      <c r="M481" s="26" t="str">
        <f>IF(OR(F481 = "", G481 = ""), "", IF(F481 = "Vara", IFERROR(_xlfn.SINGLE(_xlfn.XLOOKUP(G481, Vöruskrá!A:A, Vöruskrá!F:F, "")), ""), IF(F481 = "Réttur", IFERROR(_xlfn.SINGLE(_xlfn.XLOOKUP(G481, Réttabanki!A:A, Réttabanki!AT:AT, "")), ""), "")))</f>
        <v/>
      </c>
      <c r="N481" s="26" t="str">
        <f>IF(OR(F481 = "", G481 = ""), "", IF(F481 = "Vara", IFERROR(_xlfn.SINGLE(_xlfn.XLOOKUP(G481, Vöruskrá!A:A, Vöruskrá!G:G, "")), ""), IF(F481 = "Réttur", IFERROR(_xlfn.SINGLE(_xlfn.XLOOKUP(G481, Réttabanki!A:A, Réttabanki!AU:AU, "")), ""), "")))</f>
        <v/>
      </c>
      <c r="O481" s="26" t="str">
        <f>IF(OR(F481 = "", G481 = "", I481 = ""), "", IF(F481 = "Vara", IFERROR(_xlfn.SINGLE(_xlfn.XLOOKUP(G481, Vöruskrá!A:A, Vöruskrá!I:I, "")) * I481 / 100, ""), IF(F481 = "Réttur", IFERROR(_xlfn.SINGLE(_xlfn.XLOOKUP(G481, Réttabanki!A:A, Réttabanki!AV:AV, "")) * I481 / 100, ""), "")))</f>
        <v/>
      </c>
      <c r="P481" s="26" t="str">
        <f>IF(OR(F481 = "", G481 = "", I481 = ""), "", IF(F481 = "Vara", IFERROR(_xlfn.SINGLE(_xlfn.XLOOKUP(G481, Vöruskrá!A:A, Vöruskrá!J:J, "")) * I481 / 100, ""), IF(F481 = "Réttur", IFERROR(_xlfn.SINGLE(_xlfn.XLOOKUP(G481, Réttabanki!A:A, Réttabanki!AW:AW, "")) * I481 / 100, ""), "")))</f>
        <v/>
      </c>
      <c r="Q481" s="26" t="str">
        <f>IF(OR(F481 = "", G481 = "", I481 = ""), "", IF(F481 = "Vara", IFERROR(_xlfn.SINGLE(_xlfn.XLOOKUP(G481, Vöruskrá!A:A, Vöruskrá!N:N, "")) * I481 / 100, ""), IF(F481 = "Réttur", IFERROR(_xlfn.SINGLE(_xlfn.XLOOKUP(G481, Réttabanki!A:A, Réttabanki!BB:BB, "")) * I481 / 100, ""), "")))</f>
        <v/>
      </c>
    </row>
    <row r="482" spans="2:17">
      <c r="B482" s="33" t="str">
        <f>IF(A482&lt;&gt;"",CHOOSE(WEEKDAY(A482,2),"Mánudagur","Þriðjudagur","Miðvikudagur","Fimmtudagur","Föstudagur","Laugardagur","Sunnudagur"),IF(B481&lt;&gt;"",B481,""))</f>
        <v>Fimmtudagur</v>
      </c>
      <c r="C482" s="33">
        <f>IF(A482&lt;&gt;"",WEEKNUM(A482,21),IF(C481&lt;&gt;"",C481,""))</f>
        <v>27</v>
      </c>
      <c r="D482" s="34"/>
      <c r="E482" s="34"/>
      <c r="F482" s="34"/>
      <c r="G482" s="34"/>
      <c r="H482" s="34"/>
      <c r="I482" s="35"/>
      <c r="J482" s="35"/>
      <c r="K482" s="36"/>
      <c r="L482" s="26" t="str">
        <f>IF(OR(F482 = "", G482 = ""), "", IF(F482 = "Vara", IFERROR(_xlfn.SINGLE(_xlfn.XLOOKUP(G482, Vöruskrá!A:A, Vöruskrá!E:E, "")), ""), IF(F482 = "Réttur", IFERROR(_xlfn.SINGLE(_xlfn.XLOOKUP(G482, Réttabanki!A:A, Réttabanki!AS:AS, "")), ""), "")))</f>
        <v/>
      </c>
      <c r="M482" s="26" t="str">
        <f>IF(OR(F482 = "", G482 = ""), "", IF(F482 = "Vara", IFERROR(_xlfn.SINGLE(_xlfn.XLOOKUP(G482, Vöruskrá!A:A, Vöruskrá!F:F, "")), ""), IF(F482 = "Réttur", IFERROR(_xlfn.SINGLE(_xlfn.XLOOKUP(G482, Réttabanki!A:A, Réttabanki!AT:AT, "")), ""), "")))</f>
        <v/>
      </c>
      <c r="N482" s="26" t="str">
        <f>IF(OR(F482 = "", G482 = ""), "", IF(F482 = "Vara", IFERROR(_xlfn.SINGLE(_xlfn.XLOOKUP(G482, Vöruskrá!A:A, Vöruskrá!G:G, "")), ""), IF(F482 = "Réttur", IFERROR(_xlfn.SINGLE(_xlfn.XLOOKUP(G482, Réttabanki!A:A, Réttabanki!AU:AU, "")), ""), "")))</f>
        <v/>
      </c>
      <c r="O482" s="26" t="str">
        <f>IF(OR(F482 = "", G482 = "", I482 = ""), "", IF(F482 = "Vara", IFERROR(_xlfn.SINGLE(_xlfn.XLOOKUP(G482, Vöruskrá!A:A, Vöruskrá!I:I, "")) * I482 / 100, ""), IF(F482 = "Réttur", IFERROR(_xlfn.SINGLE(_xlfn.XLOOKUP(G482, Réttabanki!A:A, Réttabanki!AV:AV, "")) * I482 / 100, ""), "")))</f>
        <v/>
      </c>
      <c r="P482" s="26" t="str">
        <f>IF(OR(F482 = "", G482 = "", I482 = ""), "", IF(F482 = "Vara", IFERROR(_xlfn.SINGLE(_xlfn.XLOOKUP(G482, Vöruskrá!A:A, Vöruskrá!J:J, "")) * I482 / 100, ""), IF(F482 = "Réttur", IFERROR(_xlfn.SINGLE(_xlfn.XLOOKUP(G482, Réttabanki!A:A, Réttabanki!AW:AW, "")) * I482 / 100, ""), "")))</f>
        <v/>
      </c>
      <c r="Q482" s="26" t="str">
        <f>IF(OR(F482 = "", G482 = "", I482 = ""), "", IF(F482 = "Vara", IFERROR(_xlfn.SINGLE(_xlfn.XLOOKUP(G482, Vöruskrá!A:A, Vöruskrá!N:N, "")) * I482 / 100, ""), IF(F482 = "Réttur", IFERROR(_xlfn.SINGLE(_xlfn.XLOOKUP(G482, Réttabanki!A:A, Réttabanki!BB:BB, "")) * I482 / 100, ""), "")))</f>
        <v/>
      </c>
    </row>
    <row r="483" spans="2:17">
      <c r="B483" s="33" t="str">
        <f>IF(A483&lt;&gt;"",CHOOSE(WEEKDAY(A483,2),"Mánudagur","Þriðjudagur","Miðvikudagur","Fimmtudagur","Föstudagur","Laugardagur","Sunnudagur"),IF(B482&lt;&gt;"",B482,""))</f>
        <v>Fimmtudagur</v>
      </c>
      <c r="C483" s="33">
        <f>IF(A483&lt;&gt;"",WEEKNUM(A483,21),IF(C482&lt;&gt;"",C482,""))</f>
        <v>27</v>
      </c>
      <c r="D483" s="34"/>
      <c r="E483" s="34"/>
      <c r="F483" s="34"/>
      <c r="G483" s="34"/>
      <c r="H483" s="34"/>
      <c r="I483" s="35"/>
      <c r="J483" s="35"/>
      <c r="K483" s="36"/>
      <c r="L483" s="26" t="str">
        <f>IF(OR(F483 = "", G483 = ""), "", IF(F483 = "Vara", IFERROR(_xlfn.SINGLE(_xlfn.XLOOKUP(G483, Vöruskrá!A:A, Vöruskrá!E:E, "")), ""), IF(F483 = "Réttur", IFERROR(_xlfn.SINGLE(_xlfn.XLOOKUP(G483, Réttabanki!A:A, Réttabanki!AS:AS, "")), ""), "")))</f>
        <v/>
      </c>
      <c r="M483" s="26" t="str">
        <f>IF(OR(F483 = "", G483 = ""), "", IF(F483 = "Vara", IFERROR(_xlfn.SINGLE(_xlfn.XLOOKUP(G483, Vöruskrá!A:A, Vöruskrá!F:F, "")), ""), IF(F483 = "Réttur", IFERROR(_xlfn.SINGLE(_xlfn.XLOOKUP(G483, Réttabanki!A:A, Réttabanki!AT:AT, "")), ""), "")))</f>
        <v/>
      </c>
      <c r="N483" s="26" t="str">
        <f>IF(OR(F483 = "", G483 = ""), "", IF(F483 = "Vara", IFERROR(_xlfn.SINGLE(_xlfn.XLOOKUP(G483, Vöruskrá!A:A, Vöruskrá!G:G, "")), ""), IF(F483 = "Réttur", IFERROR(_xlfn.SINGLE(_xlfn.XLOOKUP(G483, Réttabanki!A:A, Réttabanki!AU:AU, "")), ""), "")))</f>
        <v/>
      </c>
      <c r="O483" s="26" t="str">
        <f>IF(OR(F483 = "", G483 = "", I483 = ""), "", IF(F483 = "Vara", IFERROR(_xlfn.SINGLE(_xlfn.XLOOKUP(G483, Vöruskrá!A:A, Vöruskrá!I:I, "")) * I483 / 100, ""), IF(F483 = "Réttur", IFERROR(_xlfn.SINGLE(_xlfn.XLOOKUP(G483, Réttabanki!A:A, Réttabanki!AV:AV, "")) * I483 / 100, ""), "")))</f>
        <v/>
      </c>
      <c r="P483" s="26" t="str">
        <f>IF(OR(F483 = "", G483 = "", I483 = ""), "", IF(F483 = "Vara", IFERROR(_xlfn.SINGLE(_xlfn.XLOOKUP(G483, Vöruskrá!A:A, Vöruskrá!J:J, "")) * I483 / 100, ""), IF(F483 = "Réttur", IFERROR(_xlfn.SINGLE(_xlfn.XLOOKUP(G483, Réttabanki!A:A, Réttabanki!AW:AW, "")) * I483 / 100, ""), "")))</f>
        <v/>
      </c>
      <c r="Q483" s="26" t="str">
        <f>IF(OR(F483 = "", G483 = "", I483 = ""), "", IF(F483 = "Vara", IFERROR(_xlfn.SINGLE(_xlfn.XLOOKUP(G483, Vöruskrá!A:A, Vöruskrá!N:N, "")) * I483 / 100, ""), IF(F483 = "Réttur", IFERROR(_xlfn.SINGLE(_xlfn.XLOOKUP(G483, Réttabanki!A:A, Réttabanki!BB:BB, "")) * I483 / 100, ""), "")))</f>
        <v/>
      </c>
    </row>
    <row r="484" spans="2:17">
      <c r="B484" s="33" t="str">
        <f>IF(A484&lt;&gt;"",CHOOSE(WEEKDAY(A484,2),"Mánudagur","Þriðjudagur","Miðvikudagur","Fimmtudagur","Föstudagur","Laugardagur","Sunnudagur"),IF(B483&lt;&gt;"",B483,""))</f>
        <v>Fimmtudagur</v>
      </c>
      <c r="C484" s="33">
        <f>IF(A484&lt;&gt;"",WEEKNUM(A484,21),IF(C483&lt;&gt;"",C483,""))</f>
        <v>27</v>
      </c>
      <c r="D484" s="34"/>
      <c r="E484" s="34"/>
      <c r="F484" s="34"/>
      <c r="G484" s="34"/>
      <c r="H484" s="34"/>
      <c r="I484" s="35"/>
      <c r="J484" s="35"/>
      <c r="K484" s="36"/>
      <c r="L484" s="26" t="str">
        <f>IF(OR(F484 = "", G484 = ""), "", IF(F484 = "Vara", IFERROR(_xlfn.SINGLE(_xlfn.XLOOKUP(G484, Vöruskrá!A:A, Vöruskrá!E:E, "")), ""), IF(F484 = "Réttur", IFERROR(_xlfn.SINGLE(_xlfn.XLOOKUP(G484, Réttabanki!A:A, Réttabanki!AS:AS, "")), ""), "")))</f>
        <v/>
      </c>
      <c r="M484" s="26" t="str">
        <f>IF(OR(F484 = "", G484 = ""), "", IF(F484 = "Vara", IFERROR(_xlfn.SINGLE(_xlfn.XLOOKUP(G484, Vöruskrá!A:A, Vöruskrá!F:F, "")), ""), IF(F484 = "Réttur", IFERROR(_xlfn.SINGLE(_xlfn.XLOOKUP(G484, Réttabanki!A:A, Réttabanki!AT:AT, "")), ""), "")))</f>
        <v/>
      </c>
      <c r="N484" s="26" t="str">
        <f>IF(OR(F484 = "", G484 = ""), "", IF(F484 = "Vara", IFERROR(_xlfn.SINGLE(_xlfn.XLOOKUP(G484, Vöruskrá!A:A, Vöruskrá!G:G, "")), ""), IF(F484 = "Réttur", IFERROR(_xlfn.SINGLE(_xlfn.XLOOKUP(G484, Réttabanki!A:A, Réttabanki!AU:AU, "")), ""), "")))</f>
        <v/>
      </c>
      <c r="O484" s="26" t="str">
        <f>IF(OR(F484 = "", G484 = "", I484 = ""), "", IF(F484 = "Vara", IFERROR(_xlfn.SINGLE(_xlfn.XLOOKUP(G484, Vöruskrá!A:A, Vöruskrá!I:I, "")) * I484 / 100, ""), IF(F484 = "Réttur", IFERROR(_xlfn.SINGLE(_xlfn.XLOOKUP(G484, Réttabanki!A:A, Réttabanki!AV:AV, "")) * I484 / 100, ""), "")))</f>
        <v/>
      </c>
      <c r="P484" s="26" t="str">
        <f>IF(OR(F484 = "", G484 = "", I484 = ""), "", IF(F484 = "Vara", IFERROR(_xlfn.SINGLE(_xlfn.XLOOKUP(G484, Vöruskrá!A:A, Vöruskrá!J:J, "")) * I484 / 100, ""), IF(F484 = "Réttur", IFERROR(_xlfn.SINGLE(_xlfn.XLOOKUP(G484, Réttabanki!A:A, Réttabanki!AW:AW, "")) * I484 / 100, ""), "")))</f>
        <v/>
      </c>
      <c r="Q484" s="26" t="str">
        <f>IF(OR(F484 = "", G484 = "", I484 = ""), "", IF(F484 = "Vara", IFERROR(_xlfn.SINGLE(_xlfn.XLOOKUP(G484, Vöruskrá!A:A, Vöruskrá!N:N, "")) * I484 / 100, ""), IF(F484 = "Réttur", IFERROR(_xlfn.SINGLE(_xlfn.XLOOKUP(G484, Réttabanki!A:A, Réttabanki!BB:BB, "")) * I484 / 100, ""), "")))</f>
        <v/>
      </c>
    </row>
    <row r="485" spans="2:17">
      <c r="B485" s="33" t="str">
        <f>IF(A485&lt;&gt;"",CHOOSE(WEEKDAY(A485,2),"Mánudagur","Þriðjudagur","Miðvikudagur","Fimmtudagur","Föstudagur","Laugardagur","Sunnudagur"),IF(B484&lt;&gt;"",B484,""))</f>
        <v>Fimmtudagur</v>
      </c>
      <c r="C485" s="33">
        <f>IF(A485&lt;&gt;"",WEEKNUM(A485,21),IF(C484&lt;&gt;"",C484,""))</f>
        <v>27</v>
      </c>
      <c r="D485" s="34"/>
      <c r="E485" s="34"/>
      <c r="F485" s="34"/>
      <c r="G485" s="34"/>
      <c r="H485" s="34"/>
      <c r="I485" s="35"/>
      <c r="J485" s="35"/>
      <c r="K485" s="36"/>
      <c r="L485" s="26" t="str">
        <f>IF(OR(F485 = "", G485 = ""), "", IF(F485 = "Vara", IFERROR(_xlfn.SINGLE(_xlfn.XLOOKUP(G485, Vöruskrá!A:A, Vöruskrá!E:E, "")), ""), IF(F485 = "Réttur", IFERROR(_xlfn.SINGLE(_xlfn.XLOOKUP(G485, Réttabanki!A:A, Réttabanki!AS:AS, "")), ""), "")))</f>
        <v/>
      </c>
      <c r="M485" s="26" t="str">
        <f>IF(OR(F485 = "", G485 = ""), "", IF(F485 = "Vara", IFERROR(_xlfn.SINGLE(_xlfn.XLOOKUP(G485, Vöruskrá!A:A, Vöruskrá!F:F, "")), ""), IF(F485 = "Réttur", IFERROR(_xlfn.SINGLE(_xlfn.XLOOKUP(G485, Réttabanki!A:A, Réttabanki!AT:AT, "")), ""), "")))</f>
        <v/>
      </c>
      <c r="N485" s="26" t="str">
        <f>IF(OR(F485 = "", G485 = ""), "", IF(F485 = "Vara", IFERROR(_xlfn.SINGLE(_xlfn.XLOOKUP(G485, Vöruskrá!A:A, Vöruskrá!G:G, "")), ""), IF(F485 = "Réttur", IFERROR(_xlfn.SINGLE(_xlfn.XLOOKUP(G485, Réttabanki!A:A, Réttabanki!AU:AU, "")), ""), "")))</f>
        <v/>
      </c>
      <c r="O485" s="26" t="str">
        <f>IF(OR(F485 = "", G485 = "", I485 = ""), "", IF(F485 = "Vara", IFERROR(_xlfn.SINGLE(_xlfn.XLOOKUP(G485, Vöruskrá!A:A, Vöruskrá!I:I, "")) * I485 / 100, ""), IF(F485 = "Réttur", IFERROR(_xlfn.SINGLE(_xlfn.XLOOKUP(G485, Réttabanki!A:A, Réttabanki!AV:AV, "")) * I485 / 100, ""), "")))</f>
        <v/>
      </c>
      <c r="P485" s="26" t="str">
        <f>IF(OR(F485 = "", G485 = "", I485 = ""), "", IF(F485 = "Vara", IFERROR(_xlfn.SINGLE(_xlfn.XLOOKUP(G485, Vöruskrá!A:A, Vöruskrá!J:J, "")) * I485 / 100, ""), IF(F485 = "Réttur", IFERROR(_xlfn.SINGLE(_xlfn.XLOOKUP(G485, Réttabanki!A:A, Réttabanki!AW:AW, "")) * I485 / 100, ""), "")))</f>
        <v/>
      </c>
      <c r="Q485" s="26" t="str">
        <f>IF(OR(F485 = "", G485 = "", I485 = ""), "", IF(F485 = "Vara", IFERROR(_xlfn.SINGLE(_xlfn.XLOOKUP(G485, Vöruskrá!A:A, Vöruskrá!N:N, "")) * I485 / 100, ""), IF(F485 = "Réttur", IFERROR(_xlfn.SINGLE(_xlfn.XLOOKUP(G485, Réttabanki!A:A, Réttabanki!BB:BB, "")) * I485 / 100, ""), "")))</f>
        <v/>
      </c>
    </row>
    <row r="486" spans="2:17">
      <c r="B486" s="33" t="str">
        <f>IF(A486&lt;&gt;"",CHOOSE(WEEKDAY(A486,2),"Mánudagur","Þriðjudagur","Miðvikudagur","Fimmtudagur","Föstudagur","Laugardagur","Sunnudagur"),IF(B485&lt;&gt;"",B485,""))</f>
        <v>Fimmtudagur</v>
      </c>
      <c r="C486" s="33">
        <f>IF(A486&lt;&gt;"",WEEKNUM(A486,21),IF(C485&lt;&gt;"",C485,""))</f>
        <v>27</v>
      </c>
      <c r="D486" s="34"/>
      <c r="E486" s="34"/>
      <c r="F486" s="34"/>
      <c r="G486" s="34"/>
      <c r="H486" s="34"/>
      <c r="I486" s="35"/>
      <c r="J486" s="35"/>
      <c r="K486" s="36"/>
      <c r="L486" s="26" t="str">
        <f>IF(OR(F486 = "", G486 = ""), "", IF(F486 = "Vara", IFERROR(_xlfn.SINGLE(_xlfn.XLOOKUP(G486, Vöruskrá!A:A, Vöruskrá!E:E, "")), ""), IF(F486 = "Réttur", IFERROR(_xlfn.SINGLE(_xlfn.XLOOKUP(G486, Réttabanki!A:A, Réttabanki!AS:AS, "")), ""), "")))</f>
        <v/>
      </c>
      <c r="M486" s="26" t="str">
        <f>IF(OR(F486 = "", G486 = ""), "", IF(F486 = "Vara", IFERROR(_xlfn.SINGLE(_xlfn.XLOOKUP(G486, Vöruskrá!A:A, Vöruskrá!F:F, "")), ""), IF(F486 = "Réttur", IFERROR(_xlfn.SINGLE(_xlfn.XLOOKUP(G486, Réttabanki!A:A, Réttabanki!AT:AT, "")), ""), "")))</f>
        <v/>
      </c>
      <c r="N486" s="26" t="str">
        <f>IF(OR(F486 = "", G486 = ""), "", IF(F486 = "Vara", IFERROR(_xlfn.SINGLE(_xlfn.XLOOKUP(G486, Vöruskrá!A:A, Vöruskrá!G:G, "")), ""), IF(F486 = "Réttur", IFERROR(_xlfn.SINGLE(_xlfn.XLOOKUP(G486, Réttabanki!A:A, Réttabanki!AU:AU, "")), ""), "")))</f>
        <v/>
      </c>
      <c r="O486" s="26" t="str">
        <f>IF(OR(F486 = "", G486 = "", I486 = ""), "", IF(F486 = "Vara", IFERROR(_xlfn.SINGLE(_xlfn.XLOOKUP(G486, Vöruskrá!A:A, Vöruskrá!I:I, "")) * I486 / 100, ""), IF(F486 = "Réttur", IFERROR(_xlfn.SINGLE(_xlfn.XLOOKUP(G486, Réttabanki!A:A, Réttabanki!AV:AV, "")) * I486 / 100, ""), "")))</f>
        <v/>
      </c>
      <c r="P486" s="26" t="str">
        <f>IF(OR(F486 = "", G486 = "", I486 = ""), "", IF(F486 = "Vara", IFERROR(_xlfn.SINGLE(_xlfn.XLOOKUP(G486, Vöruskrá!A:A, Vöruskrá!J:J, "")) * I486 / 100, ""), IF(F486 = "Réttur", IFERROR(_xlfn.SINGLE(_xlfn.XLOOKUP(G486, Réttabanki!A:A, Réttabanki!AW:AW, "")) * I486 / 100, ""), "")))</f>
        <v/>
      </c>
      <c r="Q486" s="26" t="str">
        <f>IF(OR(F486 = "", G486 = "", I486 = ""), "", IF(F486 = "Vara", IFERROR(_xlfn.SINGLE(_xlfn.XLOOKUP(G486, Vöruskrá!A:A, Vöruskrá!N:N, "")) * I486 / 100, ""), IF(F486 = "Réttur", IFERROR(_xlfn.SINGLE(_xlfn.XLOOKUP(G486, Réttabanki!A:A, Réttabanki!BB:BB, "")) * I486 / 100, ""), "")))</f>
        <v/>
      </c>
    </row>
    <row r="487" spans="2:17">
      <c r="B487" s="33" t="str">
        <f>IF(A487&lt;&gt;"",CHOOSE(WEEKDAY(A487,2),"Mánudagur","Þriðjudagur","Miðvikudagur","Fimmtudagur","Föstudagur","Laugardagur","Sunnudagur"),IF(B486&lt;&gt;"",B486,""))</f>
        <v>Fimmtudagur</v>
      </c>
      <c r="C487" s="33">
        <f>IF(A487&lt;&gt;"",WEEKNUM(A487,21),IF(C486&lt;&gt;"",C486,""))</f>
        <v>27</v>
      </c>
      <c r="D487" s="34"/>
      <c r="E487" s="34"/>
      <c r="F487" s="34"/>
      <c r="G487" s="34"/>
      <c r="H487" s="34"/>
      <c r="I487" s="35"/>
      <c r="J487" s="35"/>
      <c r="K487" s="36"/>
      <c r="L487" s="26" t="str">
        <f>IF(OR(F487 = "", G487 = ""), "", IF(F487 = "Vara", IFERROR(_xlfn.SINGLE(_xlfn.XLOOKUP(G487, Vöruskrá!A:A, Vöruskrá!E:E, "")), ""), IF(F487 = "Réttur", IFERROR(_xlfn.SINGLE(_xlfn.XLOOKUP(G487, Réttabanki!A:A, Réttabanki!AS:AS, "")), ""), "")))</f>
        <v/>
      </c>
      <c r="M487" s="26" t="str">
        <f>IF(OR(F487 = "", G487 = ""), "", IF(F487 = "Vara", IFERROR(_xlfn.SINGLE(_xlfn.XLOOKUP(G487, Vöruskrá!A:A, Vöruskrá!F:F, "")), ""), IF(F487 = "Réttur", IFERROR(_xlfn.SINGLE(_xlfn.XLOOKUP(G487, Réttabanki!A:A, Réttabanki!AT:AT, "")), ""), "")))</f>
        <v/>
      </c>
      <c r="N487" s="26" t="str">
        <f>IF(OR(F487 = "", G487 = ""), "", IF(F487 = "Vara", IFERROR(_xlfn.SINGLE(_xlfn.XLOOKUP(G487, Vöruskrá!A:A, Vöruskrá!G:G, "")), ""), IF(F487 = "Réttur", IFERROR(_xlfn.SINGLE(_xlfn.XLOOKUP(G487, Réttabanki!A:A, Réttabanki!AU:AU, "")), ""), "")))</f>
        <v/>
      </c>
      <c r="O487" s="26" t="str">
        <f>IF(OR(F487 = "", G487 = "", I487 = ""), "", IF(F487 = "Vara", IFERROR(_xlfn.SINGLE(_xlfn.XLOOKUP(G487, Vöruskrá!A:A, Vöruskrá!I:I, "")) * I487 / 100, ""), IF(F487 = "Réttur", IFERROR(_xlfn.SINGLE(_xlfn.XLOOKUP(G487, Réttabanki!A:A, Réttabanki!AV:AV, "")) * I487 / 100, ""), "")))</f>
        <v/>
      </c>
      <c r="P487" s="26" t="str">
        <f>IF(OR(F487 = "", G487 = "", I487 = ""), "", IF(F487 = "Vara", IFERROR(_xlfn.SINGLE(_xlfn.XLOOKUP(G487, Vöruskrá!A:A, Vöruskrá!J:J, "")) * I487 / 100, ""), IF(F487 = "Réttur", IFERROR(_xlfn.SINGLE(_xlfn.XLOOKUP(G487, Réttabanki!A:A, Réttabanki!AW:AW, "")) * I487 / 100, ""), "")))</f>
        <v/>
      </c>
      <c r="Q487" s="26" t="str">
        <f>IF(OR(F487 = "", G487 = "", I487 = ""), "", IF(F487 = "Vara", IFERROR(_xlfn.SINGLE(_xlfn.XLOOKUP(G487, Vöruskrá!A:A, Vöruskrá!N:N, "")) * I487 / 100, ""), IF(F487 = "Réttur", IFERROR(_xlfn.SINGLE(_xlfn.XLOOKUP(G487, Réttabanki!A:A, Réttabanki!BB:BB, "")) * I487 / 100, ""), "")))</f>
        <v/>
      </c>
    </row>
    <row r="488" spans="2:17">
      <c r="B488" s="33" t="str">
        <f>IF(A488&lt;&gt;"",CHOOSE(WEEKDAY(A488,2),"Mánudagur","Þriðjudagur","Miðvikudagur","Fimmtudagur","Föstudagur","Laugardagur","Sunnudagur"),IF(B487&lt;&gt;"",B487,""))</f>
        <v>Fimmtudagur</v>
      </c>
      <c r="C488" s="33">
        <f>IF(A488&lt;&gt;"",WEEKNUM(A488,21),IF(C487&lt;&gt;"",C487,""))</f>
        <v>27</v>
      </c>
      <c r="D488" s="34"/>
      <c r="E488" s="34"/>
      <c r="F488" s="34"/>
      <c r="G488" s="34"/>
      <c r="H488" s="34"/>
      <c r="I488" s="35"/>
      <c r="J488" s="35"/>
      <c r="K488" s="36"/>
      <c r="L488" s="26" t="str">
        <f>IF(OR(F488 = "", G488 = ""), "", IF(F488 = "Vara", IFERROR(_xlfn.SINGLE(_xlfn.XLOOKUP(G488, Vöruskrá!A:A, Vöruskrá!E:E, "")), ""), IF(F488 = "Réttur", IFERROR(_xlfn.SINGLE(_xlfn.XLOOKUP(G488, Réttabanki!A:A, Réttabanki!AS:AS, "")), ""), "")))</f>
        <v/>
      </c>
      <c r="M488" s="26" t="str">
        <f>IF(OR(F488 = "", G488 = ""), "", IF(F488 = "Vara", IFERROR(_xlfn.SINGLE(_xlfn.XLOOKUP(G488, Vöruskrá!A:A, Vöruskrá!F:F, "")), ""), IF(F488 = "Réttur", IFERROR(_xlfn.SINGLE(_xlfn.XLOOKUP(G488, Réttabanki!A:A, Réttabanki!AT:AT, "")), ""), "")))</f>
        <v/>
      </c>
      <c r="N488" s="26" t="str">
        <f>IF(OR(F488 = "", G488 = ""), "", IF(F488 = "Vara", IFERROR(_xlfn.SINGLE(_xlfn.XLOOKUP(G488, Vöruskrá!A:A, Vöruskrá!G:G, "")), ""), IF(F488 = "Réttur", IFERROR(_xlfn.SINGLE(_xlfn.XLOOKUP(G488, Réttabanki!A:A, Réttabanki!AU:AU, "")), ""), "")))</f>
        <v/>
      </c>
      <c r="O488" s="26" t="str">
        <f>IF(OR(F488 = "", G488 = "", I488 = ""), "", IF(F488 = "Vara", IFERROR(_xlfn.SINGLE(_xlfn.XLOOKUP(G488, Vöruskrá!A:A, Vöruskrá!I:I, "")) * I488 / 100, ""), IF(F488 = "Réttur", IFERROR(_xlfn.SINGLE(_xlfn.XLOOKUP(G488, Réttabanki!A:A, Réttabanki!AV:AV, "")) * I488 / 100, ""), "")))</f>
        <v/>
      </c>
      <c r="P488" s="26" t="str">
        <f>IF(OR(F488 = "", G488 = "", I488 = ""), "", IF(F488 = "Vara", IFERROR(_xlfn.SINGLE(_xlfn.XLOOKUP(G488, Vöruskrá!A:A, Vöruskrá!J:J, "")) * I488 / 100, ""), IF(F488 = "Réttur", IFERROR(_xlfn.SINGLE(_xlfn.XLOOKUP(G488, Réttabanki!A:A, Réttabanki!AW:AW, "")) * I488 / 100, ""), "")))</f>
        <v/>
      </c>
      <c r="Q488" s="26" t="str">
        <f>IF(OR(F488 = "", G488 = "", I488 = ""), "", IF(F488 = "Vara", IFERROR(_xlfn.SINGLE(_xlfn.XLOOKUP(G488, Vöruskrá!A:A, Vöruskrá!N:N, "")) * I488 / 100, ""), IF(F488 = "Réttur", IFERROR(_xlfn.SINGLE(_xlfn.XLOOKUP(G488, Réttabanki!A:A, Réttabanki!BB:BB, "")) * I488 / 100, ""), "")))</f>
        <v/>
      </c>
    </row>
    <row r="489" spans="2:17">
      <c r="B489" s="33" t="str">
        <f>IF(A489&lt;&gt;"",CHOOSE(WEEKDAY(A489,2),"Mánudagur","Þriðjudagur","Miðvikudagur","Fimmtudagur","Föstudagur","Laugardagur","Sunnudagur"),IF(B488&lt;&gt;"",B488,""))</f>
        <v>Fimmtudagur</v>
      </c>
      <c r="C489" s="33">
        <f>IF(A489&lt;&gt;"",WEEKNUM(A489,21),IF(C488&lt;&gt;"",C488,""))</f>
        <v>27</v>
      </c>
      <c r="D489" s="34"/>
      <c r="E489" s="34"/>
      <c r="F489" s="34"/>
      <c r="G489" s="34"/>
      <c r="H489" s="34"/>
      <c r="I489" s="35"/>
      <c r="J489" s="35"/>
      <c r="K489" s="36"/>
      <c r="L489" s="26" t="str">
        <f>IF(OR(F489 = "", G489 = ""), "", IF(F489 = "Vara", IFERROR(_xlfn.SINGLE(_xlfn.XLOOKUP(G489, Vöruskrá!A:A, Vöruskrá!E:E, "")), ""), IF(F489 = "Réttur", IFERROR(_xlfn.SINGLE(_xlfn.XLOOKUP(G489, Réttabanki!A:A, Réttabanki!AS:AS, "")), ""), "")))</f>
        <v/>
      </c>
      <c r="M489" s="26" t="str">
        <f>IF(OR(F489 = "", G489 = ""), "", IF(F489 = "Vara", IFERROR(_xlfn.SINGLE(_xlfn.XLOOKUP(G489, Vöruskrá!A:A, Vöruskrá!F:F, "")), ""), IF(F489 = "Réttur", IFERROR(_xlfn.SINGLE(_xlfn.XLOOKUP(G489, Réttabanki!A:A, Réttabanki!AT:AT, "")), ""), "")))</f>
        <v/>
      </c>
      <c r="N489" s="26" t="str">
        <f>IF(OR(F489 = "", G489 = ""), "", IF(F489 = "Vara", IFERROR(_xlfn.SINGLE(_xlfn.XLOOKUP(G489, Vöruskrá!A:A, Vöruskrá!G:G, "")), ""), IF(F489 = "Réttur", IFERROR(_xlfn.SINGLE(_xlfn.XLOOKUP(G489, Réttabanki!A:A, Réttabanki!AU:AU, "")), ""), "")))</f>
        <v/>
      </c>
      <c r="O489" s="26" t="str">
        <f>IF(OR(F489 = "", G489 = "", I489 = ""), "", IF(F489 = "Vara", IFERROR(_xlfn.SINGLE(_xlfn.XLOOKUP(G489, Vöruskrá!A:A, Vöruskrá!I:I, "")) * I489 / 100, ""), IF(F489 = "Réttur", IFERROR(_xlfn.SINGLE(_xlfn.XLOOKUP(G489, Réttabanki!A:A, Réttabanki!AV:AV, "")) * I489 / 100, ""), "")))</f>
        <v/>
      </c>
      <c r="P489" s="26" t="str">
        <f>IF(OR(F489 = "", G489 = "", I489 = ""), "", IF(F489 = "Vara", IFERROR(_xlfn.SINGLE(_xlfn.XLOOKUP(G489, Vöruskrá!A:A, Vöruskrá!J:J, "")) * I489 / 100, ""), IF(F489 = "Réttur", IFERROR(_xlfn.SINGLE(_xlfn.XLOOKUP(G489, Réttabanki!A:A, Réttabanki!AW:AW, "")) * I489 / 100, ""), "")))</f>
        <v/>
      </c>
      <c r="Q489" s="26" t="str">
        <f>IF(OR(F489 = "", G489 = "", I489 = ""), "", IF(F489 = "Vara", IFERROR(_xlfn.SINGLE(_xlfn.XLOOKUP(G489, Vöruskrá!A:A, Vöruskrá!N:N, "")) * I489 / 100, ""), IF(F489 = "Réttur", IFERROR(_xlfn.SINGLE(_xlfn.XLOOKUP(G489, Réttabanki!A:A, Réttabanki!BB:BB, "")) * I489 / 100, ""), "")))</f>
        <v/>
      </c>
    </row>
    <row r="490" spans="2:17">
      <c r="B490" s="33" t="str">
        <f>IF(A490&lt;&gt;"",CHOOSE(WEEKDAY(A490,2),"Mánudagur","Þriðjudagur","Miðvikudagur","Fimmtudagur","Föstudagur","Laugardagur","Sunnudagur"),IF(B489&lt;&gt;"",B489,""))</f>
        <v>Fimmtudagur</v>
      </c>
      <c r="C490" s="33">
        <f>IF(A490&lt;&gt;"",WEEKNUM(A490,21),IF(C489&lt;&gt;"",C489,""))</f>
        <v>27</v>
      </c>
      <c r="D490" s="34"/>
      <c r="E490" s="34"/>
      <c r="F490" s="34"/>
      <c r="G490" s="34"/>
      <c r="H490" s="34"/>
      <c r="I490" s="35"/>
      <c r="J490" s="35"/>
      <c r="K490" s="36"/>
      <c r="L490" s="26" t="str">
        <f>IF(OR(F490 = "", G490 = ""), "", IF(F490 = "Vara", IFERROR(_xlfn.SINGLE(_xlfn.XLOOKUP(G490, Vöruskrá!A:A, Vöruskrá!E:E, "")), ""), IF(F490 = "Réttur", IFERROR(_xlfn.SINGLE(_xlfn.XLOOKUP(G490, Réttabanki!A:A, Réttabanki!AS:AS, "")), ""), "")))</f>
        <v/>
      </c>
      <c r="M490" s="26" t="str">
        <f>IF(OR(F490 = "", G490 = ""), "", IF(F490 = "Vara", IFERROR(_xlfn.SINGLE(_xlfn.XLOOKUP(G490, Vöruskrá!A:A, Vöruskrá!F:F, "")), ""), IF(F490 = "Réttur", IFERROR(_xlfn.SINGLE(_xlfn.XLOOKUP(G490, Réttabanki!A:A, Réttabanki!AT:AT, "")), ""), "")))</f>
        <v/>
      </c>
      <c r="N490" s="26" t="str">
        <f>IF(OR(F490 = "", G490 = ""), "", IF(F490 = "Vara", IFERROR(_xlfn.SINGLE(_xlfn.XLOOKUP(G490, Vöruskrá!A:A, Vöruskrá!G:G, "")), ""), IF(F490 = "Réttur", IFERROR(_xlfn.SINGLE(_xlfn.XLOOKUP(G490, Réttabanki!A:A, Réttabanki!AU:AU, "")), ""), "")))</f>
        <v/>
      </c>
      <c r="O490" s="26" t="str">
        <f>IF(OR(F490 = "", G490 = "", I490 = ""), "", IF(F490 = "Vara", IFERROR(_xlfn.SINGLE(_xlfn.XLOOKUP(G490, Vöruskrá!A:A, Vöruskrá!I:I, "")) * I490 / 100, ""), IF(F490 = "Réttur", IFERROR(_xlfn.SINGLE(_xlfn.XLOOKUP(G490, Réttabanki!A:A, Réttabanki!AV:AV, "")) * I490 / 100, ""), "")))</f>
        <v/>
      </c>
      <c r="P490" s="26" t="str">
        <f>IF(OR(F490 = "", G490 = "", I490 = ""), "", IF(F490 = "Vara", IFERROR(_xlfn.SINGLE(_xlfn.XLOOKUP(G490, Vöruskrá!A:A, Vöruskrá!J:J, "")) * I490 / 100, ""), IF(F490 = "Réttur", IFERROR(_xlfn.SINGLE(_xlfn.XLOOKUP(G490, Réttabanki!A:A, Réttabanki!AW:AW, "")) * I490 / 100, ""), "")))</f>
        <v/>
      </c>
      <c r="Q490" s="26" t="str">
        <f>IF(OR(F490 = "", G490 = "", I490 = ""), "", IF(F490 = "Vara", IFERROR(_xlfn.SINGLE(_xlfn.XLOOKUP(G490, Vöruskrá!A:A, Vöruskrá!N:N, "")) * I490 / 100, ""), IF(F490 = "Réttur", IFERROR(_xlfn.SINGLE(_xlfn.XLOOKUP(G490, Réttabanki!A:A, Réttabanki!BB:BB, "")) * I490 / 100, ""), "")))</f>
        <v/>
      </c>
    </row>
    <row r="491" spans="2:17">
      <c r="B491" s="33" t="str">
        <f>IF(A491&lt;&gt;"",CHOOSE(WEEKDAY(A491,2),"Mánudagur","Þriðjudagur","Miðvikudagur","Fimmtudagur","Föstudagur","Laugardagur","Sunnudagur"),IF(B490&lt;&gt;"",B490,""))</f>
        <v>Fimmtudagur</v>
      </c>
      <c r="C491" s="33">
        <f>IF(A491&lt;&gt;"",WEEKNUM(A491,21),IF(C490&lt;&gt;"",C490,""))</f>
        <v>27</v>
      </c>
      <c r="D491" s="34"/>
      <c r="E491" s="34"/>
      <c r="F491" s="34"/>
      <c r="G491" s="34"/>
      <c r="H491" s="34"/>
      <c r="I491" s="35"/>
      <c r="J491" s="35"/>
      <c r="K491" s="36"/>
      <c r="L491" s="26" t="str">
        <f>IF(OR(F491 = "", G491 = ""), "", IF(F491 = "Vara", IFERROR(_xlfn.SINGLE(_xlfn.XLOOKUP(G491, Vöruskrá!A:A, Vöruskrá!E:E, "")), ""), IF(F491 = "Réttur", IFERROR(_xlfn.SINGLE(_xlfn.XLOOKUP(G491, Réttabanki!A:A, Réttabanki!AS:AS, "")), ""), "")))</f>
        <v/>
      </c>
      <c r="M491" s="26" t="str">
        <f>IF(OR(F491 = "", G491 = ""), "", IF(F491 = "Vara", IFERROR(_xlfn.SINGLE(_xlfn.XLOOKUP(G491, Vöruskrá!A:A, Vöruskrá!F:F, "")), ""), IF(F491 = "Réttur", IFERROR(_xlfn.SINGLE(_xlfn.XLOOKUP(G491, Réttabanki!A:A, Réttabanki!AT:AT, "")), ""), "")))</f>
        <v/>
      </c>
      <c r="N491" s="26" t="str">
        <f>IF(OR(F491 = "", G491 = ""), "", IF(F491 = "Vara", IFERROR(_xlfn.SINGLE(_xlfn.XLOOKUP(G491, Vöruskrá!A:A, Vöruskrá!G:G, "")), ""), IF(F491 = "Réttur", IFERROR(_xlfn.SINGLE(_xlfn.XLOOKUP(G491, Réttabanki!A:A, Réttabanki!AU:AU, "")), ""), "")))</f>
        <v/>
      </c>
      <c r="O491" s="26" t="str">
        <f>IF(OR(F491 = "", G491 = "", I491 = ""), "", IF(F491 = "Vara", IFERROR(_xlfn.SINGLE(_xlfn.XLOOKUP(G491, Vöruskrá!A:A, Vöruskrá!I:I, "")) * I491 / 100, ""), IF(F491 = "Réttur", IFERROR(_xlfn.SINGLE(_xlfn.XLOOKUP(G491, Réttabanki!A:A, Réttabanki!AV:AV, "")) * I491 / 100, ""), "")))</f>
        <v/>
      </c>
      <c r="P491" s="26" t="str">
        <f>IF(OR(F491 = "", G491 = "", I491 = ""), "", IF(F491 = "Vara", IFERROR(_xlfn.SINGLE(_xlfn.XLOOKUP(G491, Vöruskrá!A:A, Vöruskrá!J:J, "")) * I491 / 100, ""), IF(F491 = "Réttur", IFERROR(_xlfn.SINGLE(_xlfn.XLOOKUP(G491, Réttabanki!A:A, Réttabanki!AW:AW, "")) * I491 / 100, ""), "")))</f>
        <v/>
      </c>
      <c r="Q491" s="26" t="str">
        <f>IF(OR(F491 = "", G491 = "", I491 = ""), "", IF(F491 = "Vara", IFERROR(_xlfn.SINGLE(_xlfn.XLOOKUP(G491, Vöruskrá!A:A, Vöruskrá!N:N, "")) * I491 / 100, ""), IF(F491 = "Réttur", IFERROR(_xlfn.SINGLE(_xlfn.XLOOKUP(G491, Réttabanki!A:A, Réttabanki!BB:BB, "")) * I491 / 100, ""), "")))</f>
        <v/>
      </c>
    </row>
    <row r="492" spans="2:17">
      <c r="B492" s="33" t="str">
        <f>IF(A492&lt;&gt;"",CHOOSE(WEEKDAY(A492,2),"Mánudagur","Þriðjudagur","Miðvikudagur","Fimmtudagur","Föstudagur","Laugardagur","Sunnudagur"),IF(B491&lt;&gt;"",B491,""))</f>
        <v>Fimmtudagur</v>
      </c>
      <c r="C492" s="33">
        <f>IF(A492&lt;&gt;"",WEEKNUM(A492,21),IF(C491&lt;&gt;"",C491,""))</f>
        <v>27</v>
      </c>
      <c r="D492" s="34"/>
      <c r="E492" s="34"/>
      <c r="F492" s="34"/>
      <c r="G492" s="34"/>
      <c r="H492" s="34"/>
      <c r="I492" s="35"/>
      <c r="J492" s="35"/>
      <c r="K492" s="36"/>
      <c r="L492" s="26" t="str">
        <f>IF(OR(F492 = "", G492 = ""), "", IF(F492 = "Vara", IFERROR(_xlfn.SINGLE(_xlfn.XLOOKUP(G492, Vöruskrá!A:A, Vöruskrá!E:E, "")), ""), IF(F492 = "Réttur", IFERROR(_xlfn.SINGLE(_xlfn.XLOOKUP(G492, Réttabanki!A:A, Réttabanki!AS:AS, "")), ""), "")))</f>
        <v/>
      </c>
      <c r="M492" s="26" t="str">
        <f>IF(OR(F492 = "", G492 = ""), "", IF(F492 = "Vara", IFERROR(_xlfn.SINGLE(_xlfn.XLOOKUP(G492, Vöruskrá!A:A, Vöruskrá!F:F, "")), ""), IF(F492 = "Réttur", IFERROR(_xlfn.SINGLE(_xlfn.XLOOKUP(G492, Réttabanki!A:A, Réttabanki!AT:AT, "")), ""), "")))</f>
        <v/>
      </c>
      <c r="N492" s="26" t="str">
        <f>IF(OR(F492 = "", G492 = ""), "", IF(F492 = "Vara", IFERROR(_xlfn.SINGLE(_xlfn.XLOOKUP(G492, Vöruskrá!A:A, Vöruskrá!G:G, "")), ""), IF(F492 = "Réttur", IFERROR(_xlfn.SINGLE(_xlfn.XLOOKUP(G492, Réttabanki!A:A, Réttabanki!AU:AU, "")), ""), "")))</f>
        <v/>
      </c>
      <c r="O492" s="26" t="str">
        <f>IF(OR(F492 = "", G492 = "", I492 = ""), "", IF(F492 = "Vara", IFERROR(_xlfn.SINGLE(_xlfn.XLOOKUP(G492, Vöruskrá!A:A, Vöruskrá!I:I, "")) * I492 / 100, ""), IF(F492 = "Réttur", IFERROR(_xlfn.SINGLE(_xlfn.XLOOKUP(G492, Réttabanki!A:A, Réttabanki!AV:AV, "")) * I492 / 100, ""), "")))</f>
        <v/>
      </c>
      <c r="P492" s="26" t="str">
        <f>IF(OR(F492 = "", G492 = "", I492 = ""), "", IF(F492 = "Vara", IFERROR(_xlfn.SINGLE(_xlfn.XLOOKUP(G492, Vöruskrá!A:A, Vöruskrá!J:J, "")) * I492 / 100, ""), IF(F492 = "Réttur", IFERROR(_xlfn.SINGLE(_xlfn.XLOOKUP(G492, Réttabanki!A:A, Réttabanki!AW:AW, "")) * I492 / 100, ""), "")))</f>
        <v/>
      </c>
      <c r="Q492" s="26" t="str">
        <f>IF(OR(F492 = "", G492 = "", I492 = ""), "", IF(F492 = "Vara", IFERROR(_xlfn.SINGLE(_xlfn.XLOOKUP(G492, Vöruskrá!A:A, Vöruskrá!N:N, "")) * I492 / 100, ""), IF(F492 = "Réttur", IFERROR(_xlfn.SINGLE(_xlfn.XLOOKUP(G492, Réttabanki!A:A, Réttabanki!BB:BB, "")) * I492 / 100, ""), "")))</f>
        <v/>
      </c>
    </row>
    <row r="493" spans="2:17">
      <c r="B493" s="33" t="str">
        <f>IF(A493&lt;&gt;"",CHOOSE(WEEKDAY(A493,2),"Mánudagur","Þriðjudagur","Miðvikudagur","Fimmtudagur","Föstudagur","Laugardagur","Sunnudagur"),IF(B492&lt;&gt;"",B492,""))</f>
        <v>Fimmtudagur</v>
      </c>
      <c r="C493" s="33">
        <f>IF(A493&lt;&gt;"",WEEKNUM(A493,21),IF(C492&lt;&gt;"",C492,""))</f>
        <v>27</v>
      </c>
      <c r="D493" s="34"/>
      <c r="E493" s="34"/>
      <c r="F493" s="34"/>
      <c r="G493" s="34"/>
      <c r="H493" s="34"/>
      <c r="I493" s="35"/>
      <c r="J493" s="35"/>
      <c r="K493" s="36"/>
      <c r="L493" s="26" t="str">
        <f>IF(OR(F493 = "", G493 = ""), "", IF(F493 = "Vara", IFERROR(_xlfn.SINGLE(_xlfn.XLOOKUP(G493, Vöruskrá!A:A, Vöruskrá!E:E, "")), ""), IF(F493 = "Réttur", IFERROR(_xlfn.SINGLE(_xlfn.XLOOKUP(G493, Réttabanki!A:A, Réttabanki!AS:AS, "")), ""), "")))</f>
        <v/>
      </c>
      <c r="M493" s="26" t="str">
        <f>IF(OR(F493 = "", G493 = ""), "", IF(F493 = "Vara", IFERROR(_xlfn.SINGLE(_xlfn.XLOOKUP(G493, Vöruskrá!A:A, Vöruskrá!F:F, "")), ""), IF(F493 = "Réttur", IFERROR(_xlfn.SINGLE(_xlfn.XLOOKUP(G493, Réttabanki!A:A, Réttabanki!AT:AT, "")), ""), "")))</f>
        <v/>
      </c>
      <c r="N493" s="26" t="str">
        <f>IF(OR(F493 = "", G493 = ""), "", IF(F493 = "Vara", IFERROR(_xlfn.SINGLE(_xlfn.XLOOKUP(G493, Vöruskrá!A:A, Vöruskrá!G:G, "")), ""), IF(F493 = "Réttur", IFERROR(_xlfn.SINGLE(_xlfn.XLOOKUP(G493, Réttabanki!A:A, Réttabanki!AU:AU, "")), ""), "")))</f>
        <v/>
      </c>
      <c r="O493" s="26" t="str">
        <f>IF(OR(F493 = "", G493 = "", I493 = ""), "", IF(F493 = "Vara", IFERROR(_xlfn.SINGLE(_xlfn.XLOOKUP(G493, Vöruskrá!A:A, Vöruskrá!I:I, "")) * I493 / 100, ""), IF(F493 = "Réttur", IFERROR(_xlfn.SINGLE(_xlfn.XLOOKUP(G493, Réttabanki!A:A, Réttabanki!AV:AV, "")) * I493 / 100, ""), "")))</f>
        <v/>
      </c>
      <c r="P493" s="26" t="str">
        <f>IF(OR(F493 = "", G493 = "", I493 = ""), "", IF(F493 = "Vara", IFERROR(_xlfn.SINGLE(_xlfn.XLOOKUP(G493, Vöruskrá!A:A, Vöruskrá!J:J, "")) * I493 / 100, ""), IF(F493 = "Réttur", IFERROR(_xlfn.SINGLE(_xlfn.XLOOKUP(G493, Réttabanki!A:A, Réttabanki!AW:AW, "")) * I493 / 100, ""), "")))</f>
        <v/>
      </c>
      <c r="Q493" s="26" t="str">
        <f>IF(OR(F493 = "", G493 = "", I493 = ""), "", IF(F493 = "Vara", IFERROR(_xlfn.SINGLE(_xlfn.XLOOKUP(G493, Vöruskrá!A:A, Vöruskrá!N:N, "")) * I493 / 100, ""), IF(F493 = "Réttur", IFERROR(_xlfn.SINGLE(_xlfn.XLOOKUP(G493, Réttabanki!A:A, Réttabanki!BB:BB, "")) * I493 / 100, ""), "")))</f>
        <v/>
      </c>
    </row>
    <row r="494" spans="2:17">
      <c r="B494" s="33" t="str">
        <f>IF(A494&lt;&gt;"",CHOOSE(WEEKDAY(A494,2),"Mánudagur","Þriðjudagur","Miðvikudagur","Fimmtudagur","Föstudagur","Laugardagur","Sunnudagur"),IF(B493&lt;&gt;"",B493,""))</f>
        <v>Fimmtudagur</v>
      </c>
      <c r="C494" s="33">
        <f>IF(A494&lt;&gt;"",WEEKNUM(A494,21),IF(C493&lt;&gt;"",C493,""))</f>
        <v>27</v>
      </c>
      <c r="D494" s="34"/>
      <c r="E494" s="34"/>
      <c r="F494" s="34"/>
      <c r="G494" s="34"/>
      <c r="H494" s="34"/>
      <c r="I494" s="35"/>
      <c r="J494" s="35"/>
      <c r="K494" s="36"/>
      <c r="L494" s="26" t="str">
        <f>IF(OR(F494 = "", G494 = ""), "", IF(F494 = "Vara", IFERROR(_xlfn.SINGLE(_xlfn.XLOOKUP(G494, Vöruskrá!A:A, Vöruskrá!E:E, "")), ""), IF(F494 = "Réttur", IFERROR(_xlfn.SINGLE(_xlfn.XLOOKUP(G494, Réttabanki!A:A, Réttabanki!AS:AS, "")), ""), "")))</f>
        <v/>
      </c>
      <c r="M494" s="26" t="str">
        <f>IF(OR(F494 = "", G494 = ""), "", IF(F494 = "Vara", IFERROR(_xlfn.SINGLE(_xlfn.XLOOKUP(G494, Vöruskrá!A:A, Vöruskrá!F:F, "")), ""), IF(F494 = "Réttur", IFERROR(_xlfn.SINGLE(_xlfn.XLOOKUP(G494, Réttabanki!A:A, Réttabanki!AT:AT, "")), ""), "")))</f>
        <v/>
      </c>
      <c r="N494" s="26" t="str">
        <f>IF(OR(F494 = "", G494 = ""), "", IF(F494 = "Vara", IFERROR(_xlfn.SINGLE(_xlfn.XLOOKUP(G494, Vöruskrá!A:A, Vöruskrá!G:G, "")), ""), IF(F494 = "Réttur", IFERROR(_xlfn.SINGLE(_xlfn.XLOOKUP(G494, Réttabanki!A:A, Réttabanki!AU:AU, "")), ""), "")))</f>
        <v/>
      </c>
      <c r="O494" s="26" t="str">
        <f>IF(OR(F494 = "", G494 = "", I494 = ""), "", IF(F494 = "Vara", IFERROR(_xlfn.SINGLE(_xlfn.XLOOKUP(G494, Vöruskrá!A:A, Vöruskrá!I:I, "")) * I494 / 100, ""), IF(F494 = "Réttur", IFERROR(_xlfn.SINGLE(_xlfn.XLOOKUP(G494, Réttabanki!A:A, Réttabanki!AV:AV, "")) * I494 / 100, ""), "")))</f>
        <v/>
      </c>
      <c r="P494" s="26" t="str">
        <f>IF(OR(F494 = "", G494 = "", I494 = ""), "", IF(F494 = "Vara", IFERROR(_xlfn.SINGLE(_xlfn.XLOOKUP(G494, Vöruskrá!A:A, Vöruskrá!J:J, "")) * I494 / 100, ""), IF(F494 = "Réttur", IFERROR(_xlfn.SINGLE(_xlfn.XLOOKUP(G494, Réttabanki!A:A, Réttabanki!AW:AW, "")) * I494 / 100, ""), "")))</f>
        <v/>
      </c>
      <c r="Q494" s="26" t="str">
        <f>IF(OR(F494 = "", G494 = "", I494 = ""), "", IF(F494 = "Vara", IFERROR(_xlfn.SINGLE(_xlfn.XLOOKUP(G494, Vöruskrá!A:A, Vöruskrá!N:N, "")) * I494 / 100, ""), IF(F494 = "Réttur", IFERROR(_xlfn.SINGLE(_xlfn.XLOOKUP(G494, Réttabanki!A:A, Réttabanki!BB:BB, "")) * I494 / 100, ""), "")))</f>
        <v/>
      </c>
    </row>
    <row r="495" spans="2:17">
      <c r="B495" s="33" t="str">
        <f>IF(A495&lt;&gt;"",CHOOSE(WEEKDAY(A495,2),"Mánudagur","Þriðjudagur","Miðvikudagur","Fimmtudagur","Föstudagur","Laugardagur","Sunnudagur"),IF(B494&lt;&gt;"",B494,""))</f>
        <v>Fimmtudagur</v>
      </c>
      <c r="C495" s="33">
        <f>IF(A495&lt;&gt;"",WEEKNUM(A495,21),IF(C494&lt;&gt;"",C494,""))</f>
        <v>27</v>
      </c>
      <c r="D495" s="34"/>
      <c r="E495" s="34"/>
      <c r="F495" s="34"/>
      <c r="G495" s="34"/>
      <c r="H495" s="34"/>
      <c r="I495" s="35"/>
      <c r="J495" s="35"/>
      <c r="K495" s="36"/>
      <c r="L495" s="26" t="str">
        <f>IF(OR(F495 = "", G495 = ""), "", IF(F495 = "Vara", IFERROR(_xlfn.SINGLE(_xlfn.XLOOKUP(G495, Vöruskrá!A:A, Vöruskrá!E:E, "")), ""), IF(F495 = "Réttur", IFERROR(_xlfn.SINGLE(_xlfn.XLOOKUP(G495, Réttabanki!A:A, Réttabanki!AS:AS, "")), ""), "")))</f>
        <v/>
      </c>
      <c r="M495" s="26" t="str">
        <f>IF(OR(F495 = "", G495 = ""), "", IF(F495 = "Vara", IFERROR(_xlfn.SINGLE(_xlfn.XLOOKUP(G495, Vöruskrá!A:A, Vöruskrá!F:F, "")), ""), IF(F495 = "Réttur", IFERROR(_xlfn.SINGLE(_xlfn.XLOOKUP(G495, Réttabanki!A:A, Réttabanki!AT:AT, "")), ""), "")))</f>
        <v/>
      </c>
      <c r="N495" s="26" t="str">
        <f>IF(OR(F495 = "", G495 = ""), "", IF(F495 = "Vara", IFERROR(_xlfn.SINGLE(_xlfn.XLOOKUP(G495, Vöruskrá!A:A, Vöruskrá!G:G, "")), ""), IF(F495 = "Réttur", IFERROR(_xlfn.SINGLE(_xlfn.XLOOKUP(G495, Réttabanki!A:A, Réttabanki!AU:AU, "")), ""), "")))</f>
        <v/>
      </c>
      <c r="O495" s="26" t="str">
        <f>IF(OR(F495 = "", G495 = "", I495 = ""), "", IF(F495 = "Vara", IFERROR(_xlfn.SINGLE(_xlfn.XLOOKUP(G495, Vöruskrá!A:A, Vöruskrá!I:I, "")) * I495 / 100, ""), IF(F495 = "Réttur", IFERROR(_xlfn.SINGLE(_xlfn.XLOOKUP(G495, Réttabanki!A:A, Réttabanki!AV:AV, "")) * I495 / 100, ""), "")))</f>
        <v/>
      </c>
      <c r="P495" s="26" t="str">
        <f>IF(OR(F495 = "", G495 = "", I495 = ""), "", IF(F495 = "Vara", IFERROR(_xlfn.SINGLE(_xlfn.XLOOKUP(G495, Vöruskrá!A:A, Vöruskrá!J:J, "")) * I495 / 100, ""), IF(F495 = "Réttur", IFERROR(_xlfn.SINGLE(_xlfn.XLOOKUP(G495, Réttabanki!A:A, Réttabanki!AW:AW, "")) * I495 / 100, ""), "")))</f>
        <v/>
      </c>
      <c r="Q495" s="26" t="str">
        <f>IF(OR(F495 = "", G495 = "", I495 = ""), "", IF(F495 = "Vara", IFERROR(_xlfn.SINGLE(_xlfn.XLOOKUP(G495, Vöruskrá!A:A, Vöruskrá!N:N, "")) * I495 / 100, ""), IF(F495 = "Réttur", IFERROR(_xlfn.SINGLE(_xlfn.XLOOKUP(G495, Réttabanki!A:A, Réttabanki!BB:BB, "")) * I495 / 100, ""), "")))</f>
        <v/>
      </c>
    </row>
    <row r="496" spans="2:17">
      <c r="B496" s="33" t="str">
        <f>IF(A496&lt;&gt;"",CHOOSE(WEEKDAY(A496,2),"Mánudagur","Þriðjudagur","Miðvikudagur","Fimmtudagur","Föstudagur","Laugardagur","Sunnudagur"),IF(B495&lt;&gt;"",B495,""))</f>
        <v>Fimmtudagur</v>
      </c>
      <c r="C496" s="33">
        <f>IF(A496&lt;&gt;"",WEEKNUM(A496,21),IF(C495&lt;&gt;"",C495,""))</f>
        <v>27</v>
      </c>
      <c r="D496" s="34"/>
      <c r="E496" s="34"/>
      <c r="F496" s="34"/>
      <c r="G496" s="34"/>
      <c r="H496" s="34"/>
      <c r="I496" s="35"/>
      <c r="J496" s="35"/>
      <c r="K496" s="36"/>
      <c r="L496" s="26" t="str">
        <f>IF(OR(F496 = "", G496 = ""), "", IF(F496 = "Vara", IFERROR(_xlfn.SINGLE(_xlfn.XLOOKUP(G496, Vöruskrá!A:A, Vöruskrá!E:E, "")), ""), IF(F496 = "Réttur", IFERROR(_xlfn.SINGLE(_xlfn.XLOOKUP(G496, Réttabanki!A:A, Réttabanki!AS:AS, "")), ""), "")))</f>
        <v/>
      </c>
      <c r="M496" s="26" t="str">
        <f>IF(OR(F496 = "", G496 = ""), "", IF(F496 = "Vara", IFERROR(_xlfn.SINGLE(_xlfn.XLOOKUP(G496, Vöruskrá!A:A, Vöruskrá!F:F, "")), ""), IF(F496 = "Réttur", IFERROR(_xlfn.SINGLE(_xlfn.XLOOKUP(G496, Réttabanki!A:A, Réttabanki!AT:AT, "")), ""), "")))</f>
        <v/>
      </c>
      <c r="N496" s="26" t="str">
        <f>IF(OR(F496 = "", G496 = ""), "", IF(F496 = "Vara", IFERROR(_xlfn.SINGLE(_xlfn.XLOOKUP(G496, Vöruskrá!A:A, Vöruskrá!G:G, "")), ""), IF(F496 = "Réttur", IFERROR(_xlfn.SINGLE(_xlfn.XLOOKUP(G496, Réttabanki!A:A, Réttabanki!AU:AU, "")), ""), "")))</f>
        <v/>
      </c>
      <c r="O496" s="26" t="str">
        <f>IF(OR(F496 = "", G496 = "", I496 = ""), "", IF(F496 = "Vara", IFERROR(_xlfn.SINGLE(_xlfn.XLOOKUP(G496, Vöruskrá!A:A, Vöruskrá!I:I, "")) * I496 / 100, ""), IF(F496 = "Réttur", IFERROR(_xlfn.SINGLE(_xlfn.XLOOKUP(G496, Réttabanki!A:A, Réttabanki!AV:AV, "")) * I496 / 100, ""), "")))</f>
        <v/>
      </c>
      <c r="P496" s="26" t="str">
        <f>IF(OR(F496 = "", G496 = "", I496 = ""), "", IF(F496 = "Vara", IFERROR(_xlfn.SINGLE(_xlfn.XLOOKUP(G496, Vöruskrá!A:A, Vöruskrá!J:J, "")) * I496 / 100, ""), IF(F496 = "Réttur", IFERROR(_xlfn.SINGLE(_xlfn.XLOOKUP(G496, Réttabanki!A:A, Réttabanki!AW:AW, "")) * I496 / 100, ""), "")))</f>
        <v/>
      </c>
      <c r="Q496" s="26" t="str">
        <f>IF(OR(F496 = "", G496 = "", I496 = ""), "", IF(F496 = "Vara", IFERROR(_xlfn.SINGLE(_xlfn.XLOOKUP(G496, Vöruskrá!A:A, Vöruskrá!N:N, "")) * I496 / 100, ""), IF(F496 = "Réttur", IFERROR(_xlfn.SINGLE(_xlfn.XLOOKUP(G496, Réttabanki!A:A, Réttabanki!BB:BB, "")) * I496 / 100, ""), "")))</f>
        <v/>
      </c>
    </row>
    <row r="497" spans="2:17">
      <c r="B497" s="33" t="str">
        <f>IF(A497&lt;&gt;"",CHOOSE(WEEKDAY(A497,2),"Mánudagur","Þriðjudagur","Miðvikudagur","Fimmtudagur","Föstudagur","Laugardagur","Sunnudagur"),IF(B496&lt;&gt;"",B496,""))</f>
        <v>Fimmtudagur</v>
      </c>
      <c r="C497" s="33">
        <f>IF(A497&lt;&gt;"",WEEKNUM(A497,21),IF(C496&lt;&gt;"",C496,""))</f>
        <v>27</v>
      </c>
      <c r="D497" s="34"/>
      <c r="E497" s="34"/>
      <c r="F497" s="34"/>
      <c r="G497" s="34"/>
      <c r="H497" s="34"/>
      <c r="I497" s="35"/>
      <c r="J497" s="35"/>
      <c r="K497" s="36"/>
      <c r="L497" s="26" t="str">
        <f>IF(OR(F497 = "", G497 = ""), "", IF(F497 = "Vara", IFERROR(_xlfn.SINGLE(_xlfn.XLOOKUP(G497, Vöruskrá!A:A, Vöruskrá!E:E, "")), ""), IF(F497 = "Réttur", IFERROR(_xlfn.SINGLE(_xlfn.XLOOKUP(G497, Réttabanki!A:A, Réttabanki!AS:AS, "")), ""), "")))</f>
        <v/>
      </c>
      <c r="M497" s="26" t="str">
        <f>IF(OR(F497 = "", G497 = ""), "", IF(F497 = "Vara", IFERROR(_xlfn.SINGLE(_xlfn.XLOOKUP(G497, Vöruskrá!A:A, Vöruskrá!F:F, "")), ""), IF(F497 = "Réttur", IFERROR(_xlfn.SINGLE(_xlfn.XLOOKUP(G497, Réttabanki!A:A, Réttabanki!AT:AT, "")), ""), "")))</f>
        <v/>
      </c>
      <c r="N497" s="26" t="str">
        <f>IF(OR(F497 = "", G497 = ""), "", IF(F497 = "Vara", IFERROR(_xlfn.SINGLE(_xlfn.XLOOKUP(G497, Vöruskrá!A:A, Vöruskrá!G:G, "")), ""), IF(F497 = "Réttur", IFERROR(_xlfn.SINGLE(_xlfn.XLOOKUP(G497, Réttabanki!A:A, Réttabanki!AU:AU, "")), ""), "")))</f>
        <v/>
      </c>
      <c r="O497" s="26" t="str">
        <f>IF(OR(F497 = "", G497 = "", I497 = ""), "", IF(F497 = "Vara", IFERROR(_xlfn.SINGLE(_xlfn.XLOOKUP(G497, Vöruskrá!A:A, Vöruskrá!I:I, "")) * I497 / 100, ""), IF(F497 = "Réttur", IFERROR(_xlfn.SINGLE(_xlfn.XLOOKUP(G497, Réttabanki!A:A, Réttabanki!AV:AV, "")) * I497 / 100, ""), "")))</f>
        <v/>
      </c>
      <c r="P497" s="26" t="str">
        <f>IF(OR(F497 = "", G497 = "", I497 = ""), "", IF(F497 = "Vara", IFERROR(_xlfn.SINGLE(_xlfn.XLOOKUP(G497, Vöruskrá!A:A, Vöruskrá!J:J, "")) * I497 / 100, ""), IF(F497 = "Réttur", IFERROR(_xlfn.SINGLE(_xlfn.XLOOKUP(G497, Réttabanki!A:A, Réttabanki!AW:AW, "")) * I497 / 100, ""), "")))</f>
        <v/>
      </c>
      <c r="Q497" s="26" t="str">
        <f>IF(OR(F497 = "", G497 = "", I497 = ""), "", IF(F497 = "Vara", IFERROR(_xlfn.SINGLE(_xlfn.XLOOKUP(G497, Vöruskrá!A:A, Vöruskrá!N:N, "")) * I497 / 100, ""), IF(F497 = "Réttur", IFERROR(_xlfn.SINGLE(_xlfn.XLOOKUP(G497, Réttabanki!A:A, Réttabanki!BB:BB, "")) * I497 / 100, ""), "")))</f>
        <v/>
      </c>
    </row>
    <row r="498" spans="2:17">
      <c r="B498" s="33" t="str">
        <f>IF(A498&lt;&gt;"",CHOOSE(WEEKDAY(A498,2),"Mánudagur","Þriðjudagur","Miðvikudagur","Fimmtudagur","Föstudagur","Laugardagur","Sunnudagur"),IF(B497&lt;&gt;"",B497,""))</f>
        <v>Fimmtudagur</v>
      </c>
      <c r="C498" s="33">
        <f>IF(A498&lt;&gt;"",WEEKNUM(A498,21),IF(C497&lt;&gt;"",C497,""))</f>
        <v>27</v>
      </c>
      <c r="D498" s="34"/>
      <c r="E498" s="34"/>
      <c r="F498" s="34"/>
      <c r="G498" s="34"/>
      <c r="H498" s="34"/>
      <c r="I498" s="35"/>
      <c r="J498" s="35"/>
      <c r="K498" s="36"/>
      <c r="L498" s="26" t="str">
        <f>IF(OR(F498 = "", G498 = ""), "", IF(F498 = "Vara", IFERROR(_xlfn.SINGLE(_xlfn.XLOOKUP(G498, Vöruskrá!A:A, Vöruskrá!E:E, "")), ""), IF(F498 = "Réttur", IFERROR(_xlfn.SINGLE(_xlfn.XLOOKUP(G498, Réttabanki!A:A, Réttabanki!AS:AS, "")), ""), "")))</f>
        <v/>
      </c>
      <c r="M498" s="26" t="str">
        <f>IF(OR(F498 = "", G498 = ""), "", IF(F498 = "Vara", IFERROR(_xlfn.SINGLE(_xlfn.XLOOKUP(G498, Vöruskrá!A:A, Vöruskrá!F:F, "")), ""), IF(F498 = "Réttur", IFERROR(_xlfn.SINGLE(_xlfn.XLOOKUP(G498, Réttabanki!A:A, Réttabanki!AT:AT, "")), ""), "")))</f>
        <v/>
      </c>
      <c r="N498" s="26" t="str">
        <f>IF(OR(F498 = "", G498 = ""), "", IF(F498 = "Vara", IFERROR(_xlfn.SINGLE(_xlfn.XLOOKUP(G498, Vöruskrá!A:A, Vöruskrá!G:G, "")), ""), IF(F498 = "Réttur", IFERROR(_xlfn.SINGLE(_xlfn.XLOOKUP(G498, Réttabanki!A:A, Réttabanki!AU:AU, "")), ""), "")))</f>
        <v/>
      </c>
      <c r="O498" s="26" t="str">
        <f>IF(OR(F498 = "", G498 = "", I498 = ""), "", IF(F498 = "Vara", IFERROR(_xlfn.SINGLE(_xlfn.XLOOKUP(G498, Vöruskrá!A:A, Vöruskrá!I:I, "")) * I498 / 100, ""), IF(F498 = "Réttur", IFERROR(_xlfn.SINGLE(_xlfn.XLOOKUP(G498, Réttabanki!A:A, Réttabanki!AV:AV, "")) * I498 / 100, ""), "")))</f>
        <v/>
      </c>
      <c r="P498" s="26" t="str">
        <f>IF(OR(F498 = "", G498 = "", I498 = ""), "", IF(F498 = "Vara", IFERROR(_xlfn.SINGLE(_xlfn.XLOOKUP(G498, Vöruskrá!A:A, Vöruskrá!J:J, "")) * I498 / 100, ""), IF(F498 = "Réttur", IFERROR(_xlfn.SINGLE(_xlfn.XLOOKUP(G498, Réttabanki!A:A, Réttabanki!AW:AW, "")) * I498 / 100, ""), "")))</f>
        <v/>
      </c>
      <c r="Q498" s="26" t="str">
        <f>IF(OR(F498 = "", G498 = "", I498 = ""), "", IF(F498 = "Vara", IFERROR(_xlfn.SINGLE(_xlfn.XLOOKUP(G498, Vöruskrá!A:A, Vöruskrá!N:N, "")) * I498 / 100, ""), IF(F498 = "Réttur", IFERROR(_xlfn.SINGLE(_xlfn.XLOOKUP(G498, Réttabanki!A:A, Réttabanki!BB:BB, "")) * I498 / 100, ""), "")))</f>
        <v/>
      </c>
    </row>
    <row r="499" spans="2:17">
      <c r="B499" s="33" t="str">
        <f>IF(A499&lt;&gt;"",CHOOSE(WEEKDAY(A499,2),"Mánudagur","Þriðjudagur","Miðvikudagur","Fimmtudagur","Föstudagur","Laugardagur","Sunnudagur"),IF(B498&lt;&gt;"",B498,""))</f>
        <v>Fimmtudagur</v>
      </c>
      <c r="C499" s="33">
        <f>IF(A499&lt;&gt;"",WEEKNUM(A499,21),IF(C498&lt;&gt;"",C498,""))</f>
        <v>27</v>
      </c>
      <c r="D499" s="34"/>
      <c r="E499" s="34"/>
      <c r="F499" s="34"/>
      <c r="G499" s="34"/>
      <c r="H499" s="34"/>
      <c r="I499" s="35"/>
      <c r="J499" s="35"/>
      <c r="K499" s="36"/>
      <c r="L499" s="26" t="str">
        <f>IF(OR(F499 = "", G499 = ""), "", IF(F499 = "Vara", IFERROR(_xlfn.SINGLE(_xlfn.XLOOKUP(G499, Vöruskrá!A:A, Vöruskrá!E:E, "")), ""), IF(F499 = "Réttur", IFERROR(_xlfn.SINGLE(_xlfn.XLOOKUP(G499, Réttabanki!A:A, Réttabanki!AS:AS, "")), ""), "")))</f>
        <v/>
      </c>
      <c r="M499" s="26" t="str">
        <f>IF(OR(F499 = "", G499 = ""), "", IF(F499 = "Vara", IFERROR(_xlfn.SINGLE(_xlfn.XLOOKUP(G499, Vöruskrá!A:A, Vöruskrá!F:F, "")), ""), IF(F499 = "Réttur", IFERROR(_xlfn.SINGLE(_xlfn.XLOOKUP(G499, Réttabanki!A:A, Réttabanki!AT:AT, "")), ""), "")))</f>
        <v/>
      </c>
      <c r="N499" s="26" t="str">
        <f>IF(OR(F499 = "", G499 = ""), "", IF(F499 = "Vara", IFERROR(_xlfn.SINGLE(_xlfn.XLOOKUP(G499, Vöruskrá!A:A, Vöruskrá!G:G, "")), ""), IF(F499 = "Réttur", IFERROR(_xlfn.SINGLE(_xlfn.XLOOKUP(G499, Réttabanki!A:A, Réttabanki!AU:AU, "")), ""), "")))</f>
        <v/>
      </c>
      <c r="O499" s="26" t="str">
        <f>IF(OR(F499 = "", G499 = "", I499 = ""), "", IF(F499 = "Vara", IFERROR(_xlfn.SINGLE(_xlfn.XLOOKUP(G499, Vöruskrá!A:A, Vöruskrá!I:I, "")) * I499 / 100, ""), IF(F499 = "Réttur", IFERROR(_xlfn.SINGLE(_xlfn.XLOOKUP(G499, Réttabanki!A:A, Réttabanki!AV:AV, "")) * I499 / 100, ""), "")))</f>
        <v/>
      </c>
      <c r="P499" s="26" t="str">
        <f>IF(OR(F499 = "", G499 = "", I499 = ""), "", IF(F499 = "Vara", IFERROR(_xlfn.SINGLE(_xlfn.XLOOKUP(G499, Vöruskrá!A:A, Vöruskrá!J:J, "")) * I499 / 100, ""), IF(F499 = "Réttur", IFERROR(_xlfn.SINGLE(_xlfn.XLOOKUP(G499, Réttabanki!A:A, Réttabanki!AW:AW, "")) * I499 / 100, ""), "")))</f>
        <v/>
      </c>
      <c r="Q499" s="26" t="str">
        <f>IF(OR(F499 = "", G499 = "", I499 = ""), "", IF(F499 = "Vara", IFERROR(_xlfn.SINGLE(_xlfn.XLOOKUP(G499, Vöruskrá!A:A, Vöruskrá!N:N, "")) * I499 / 100, ""), IF(F499 = "Réttur", IFERROR(_xlfn.SINGLE(_xlfn.XLOOKUP(G499, Réttabanki!A:A, Réttabanki!BB:BB, "")) * I499 / 100, ""), "")))</f>
        <v/>
      </c>
    </row>
    <row r="500" spans="2:17">
      <c r="B500" s="33" t="str">
        <f>IF(A500&lt;&gt;"",CHOOSE(WEEKDAY(A500,2),"Mánudagur","Þriðjudagur","Miðvikudagur","Fimmtudagur","Föstudagur","Laugardagur","Sunnudagur"),IF(B499&lt;&gt;"",B499,""))</f>
        <v>Fimmtudagur</v>
      </c>
      <c r="C500" s="33">
        <f>IF(A500&lt;&gt;"",WEEKNUM(A500,21),IF(C499&lt;&gt;"",C499,""))</f>
        <v>27</v>
      </c>
      <c r="D500" s="34"/>
      <c r="E500" s="34"/>
      <c r="F500" s="34"/>
      <c r="G500" s="34"/>
      <c r="H500" s="34"/>
      <c r="I500" s="35"/>
      <c r="J500" s="35"/>
      <c r="K500" s="36"/>
      <c r="L500" s="26" t="str">
        <f>IF(OR(F500 = "", G500 = ""), "", IF(F500 = "Vara", IFERROR(_xlfn.SINGLE(_xlfn.XLOOKUP(G500, Vöruskrá!A:A, Vöruskrá!E:E, "")), ""), IF(F500 = "Réttur", IFERROR(_xlfn.SINGLE(_xlfn.XLOOKUP(G500, Réttabanki!A:A, Réttabanki!AS:AS, "")), ""), "")))</f>
        <v/>
      </c>
      <c r="M500" s="26" t="str">
        <f>IF(OR(F500 = "", G500 = ""), "", IF(F500 = "Vara", IFERROR(_xlfn.SINGLE(_xlfn.XLOOKUP(G500, Vöruskrá!A:A, Vöruskrá!F:F, "")), ""), IF(F500 = "Réttur", IFERROR(_xlfn.SINGLE(_xlfn.XLOOKUP(G500, Réttabanki!A:A, Réttabanki!AT:AT, "")), ""), "")))</f>
        <v/>
      </c>
      <c r="N500" s="26" t="str">
        <f>IF(OR(F500 = "", G500 = ""), "", IF(F500 = "Vara", IFERROR(_xlfn.SINGLE(_xlfn.XLOOKUP(G500, Vöruskrá!A:A, Vöruskrá!G:G, "")), ""), IF(F500 = "Réttur", IFERROR(_xlfn.SINGLE(_xlfn.XLOOKUP(G500, Réttabanki!A:A, Réttabanki!AU:AU, "")), ""), "")))</f>
        <v/>
      </c>
      <c r="O500" s="26" t="str">
        <f>IF(OR(F500 = "", G500 = "", I500 = ""), "", IF(F500 = "Vara", IFERROR(_xlfn.SINGLE(_xlfn.XLOOKUP(G500, Vöruskrá!A:A, Vöruskrá!I:I, "")) * I500 / 100, ""), IF(F500 = "Réttur", IFERROR(_xlfn.SINGLE(_xlfn.XLOOKUP(G500, Réttabanki!A:A, Réttabanki!AV:AV, "")) * I500 / 100, ""), "")))</f>
        <v/>
      </c>
      <c r="P500" s="26" t="str">
        <f>IF(OR(F500 = "", G500 = "", I500 = ""), "", IF(F500 = "Vara", IFERROR(_xlfn.SINGLE(_xlfn.XLOOKUP(G500, Vöruskrá!A:A, Vöruskrá!J:J, "")) * I500 / 100, ""), IF(F500 = "Réttur", IFERROR(_xlfn.SINGLE(_xlfn.XLOOKUP(G500, Réttabanki!A:A, Réttabanki!AW:AW, "")) * I500 / 100, ""), "")))</f>
        <v/>
      </c>
      <c r="Q500" s="26" t="str">
        <f>IF(OR(F500 = "", G500 = "", I500 = ""), "", IF(F500 = "Vara", IFERROR(_xlfn.SINGLE(_xlfn.XLOOKUP(G500, Vöruskrá!A:A, Vöruskrá!N:N, "")) * I500 / 100, ""), IF(F500 = "Réttur", IFERROR(_xlfn.SINGLE(_xlfn.XLOOKUP(G500, Réttabanki!A:A, Réttabanki!BB:BB, "")) * I500 / 100, ""), "")))</f>
        <v/>
      </c>
    </row>
    <row r="501" spans="2:17">
      <c r="B501" s="33" t="str">
        <f>IF(A501&lt;&gt;"",CHOOSE(WEEKDAY(A501,2),"Mánudagur","Þriðjudagur","Miðvikudagur","Fimmtudagur","Föstudagur","Laugardagur","Sunnudagur"),IF(B500&lt;&gt;"",B500,""))</f>
        <v>Fimmtudagur</v>
      </c>
      <c r="C501" s="33">
        <f>IF(A501&lt;&gt;"",WEEKNUM(A501,21),IF(C500&lt;&gt;"",C500,""))</f>
        <v>27</v>
      </c>
      <c r="D501" s="34"/>
      <c r="E501" s="34"/>
      <c r="F501" s="34"/>
      <c r="G501" s="34"/>
      <c r="H501" s="34"/>
      <c r="I501" s="35"/>
      <c r="J501" s="35"/>
      <c r="K501" s="36"/>
      <c r="L501" s="26" t="str">
        <f>IF(OR(F501 = "", G501 = ""), "", IF(F501 = "Vara", IFERROR(_xlfn.SINGLE(_xlfn.XLOOKUP(G501, Vöruskrá!A:A, Vöruskrá!E:E, "")), ""), IF(F501 = "Réttur", IFERROR(_xlfn.SINGLE(_xlfn.XLOOKUP(G501, Réttabanki!A:A, Réttabanki!AS:AS, "")), ""), "")))</f>
        <v/>
      </c>
      <c r="M501" s="26" t="str">
        <f>IF(OR(F501 = "", G501 = ""), "", IF(F501 = "Vara", IFERROR(_xlfn.SINGLE(_xlfn.XLOOKUP(G501, Vöruskrá!A:A, Vöruskrá!F:F, "")), ""), IF(F501 = "Réttur", IFERROR(_xlfn.SINGLE(_xlfn.XLOOKUP(G501, Réttabanki!A:A, Réttabanki!AT:AT, "")), ""), "")))</f>
        <v/>
      </c>
      <c r="N501" s="26" t="str">
        <f>IF(OR(F501 = "", G501 = ""), "", IF(F501 = "Vara", IFERROR(_xlfn.SINGLE(_xlfn.XLOOKUP(G501, Vöruskrá!A:A, Vöruskrá!G:G, "")), ""), IF(F501 = "Réttur", IFERROR(_xlfn.SINGLE(_xlfn.XLOOKUP(G501, Réttabanki!A:A, Réttabanki!AU:AU, "")), ""), "")))</f>
        <v/>
      </c>
      <c r="O501" s="26" t="str">
        <f>IF(OR(F501 = "", G501 = "", I501 = ""), "", IF(F501 = "Vara", IFERROR(_xlfn.SINGLE(_xlfn.XLOOKUP(G501, Vöruskrá!A:A, Vöruskrá!I:I, "")) * I501 / 100, ""), IF(F501 = "Réttur", IFERROR(_xlfn.SINGLE(_xlfn.XLOOKUP(G501, Réttabanki!A:A, Réttabanki!AV:AV, "")) * I501 / 100, ""), "")))</f>
        <v/>
      </c>
      <c r="P501" s="26" t="str">
        <f>IF(OR(F501 = "", G501 = "", I501 = ""), "", IF(F501 = "Vara", IFERROR(_xlfn.SINGLE(_xlfn.XLOOKUP(G501, Vöruskrá!A:A, Vöruskrá!J:J, "")) * I501 / 100, ""), IF(F501 = "Réttur", IFERROR(_xlfn.SINGLE(_xlfn.XLOOKUP(G501, Réttabanki!A:A, Réttabanki!AW:AW, "")) * I501 / 100, ""), "")))</f>
        <v/>
      </c>
      <c r="Q501" s="26" t="str">
        <f>IF(OR(F501 = "", G501 = "", I501 = ""), "", IF(F501 = "Vara", IFERROR(_xlfn.SINGLE(_xlfn.XLOOKUP(G501, Vöruskrá!A:A, Vöruskrá!N:N, "")) * I501 / 100, ""), IF(F501 = "Réttur", IFERROR(_xlfn.SINGLE(_xlfn.XLOOKUP(G501, Réttabanki!A:A, Réttabanki!BB:BB, "")) * I501 / 100, ""), "")))</f>
        <v/>
      </c>
    </row>
    <row r="502" spans="2:17">
      <c r="B502" s="33" t="str">
        <f>IF(A502&lt;&gt;"",CHOOSE(WEEKDAY(A502,2),"Mánudagur","Þriðjudagur","Miðvikudagur","Fimmtudagur","Föstudagur","Laugardagur","Sunnudagur"),IF(B501&lt;&gt;"",B501,""))</f>
        <v>Fimmtudagur</v>
      </c>
      <c r="C502" s="33">
        <f>IF(A502&lt;&gt;"",WEEKNUM(A502,21),IF(C501&lt;&gt;"",C501,""))</f>
        <v>27</v>
      </c>
      <c r="D502" s="34"/>
      <c r="E502" s="34"/>
      <c r="F502" s="34"/>
      <c r="G502" s="34"/>
      <c r="H502" s="34"/>
      <c r="I502" s="35"/>
      <c r="J502" s="35"/>
      <c r="K502" s="36"/>
      <c r="L502" s="26" t="str">
        <f>IF(OR(F502 = "", G502 = ""), "", IF(F502 = "Vara", IFERROR(_xlfn.SINGLE(_xlfn.XLOOKUP(G502, Vöruskrá!A:A, Vöruskrá!E:E, "")), ""), IF(F502 = "Réttur", IFERROR(_xlfn.SINGLE(_xlfn.XLOOKUP(G502, Réttabanki!A:A, Réttabanki!AS:AS, "")), ""), "")))</f>
        <v/>
      </c>
      <c r="M502" s="26" t="str">
        <f>IF(OR(F502 = "", G502 = ""), "", IF(F502 = "Vara", IFERROR(_xlfn.SINGLE(_xlfn.XLOOKUP(G502, Vöruskrá!A:A, Vöruskrá!F:F, "")), ""), IF(F502 = "Réttur", IFERROR(_xlfn.SINGLE(_xlfn.XLOOKUP(G502, Réttabanki!A:A, Réttabanki!AT:AT, "")), ""), "")))</f>
        <v/>
      </c>
      <c r="N502" s="26" t="str">
        <f>IF(OR(F502 = "", G502 = ""), "", IF(F502 = "Vara", IFERROR(_xlfn.SINGLE(_xlfn.XLOOKUP(G502, Vöruskrá!A:A, Vöruskrá!G:G, "")), ""), IF(F502 = "Réttur", IFERROR(_xlfn.SINGLE(_xlfn.XLOOKUP(G502, Réttabanki!A:A, Réttabanki!AU:AU, "")), ""), "")))</f>
        <v/>
      </c>
      <c r="O502" s="26" t="str">
        <f>IF(OR(F502 = "", G502 = "", I502 = ""), "", IF(F502 = "Vara", IFERROR(_xlfn.SINGLE(_xlfn.XLOOKUP(G502, Vöruskrá!A:A, Vöruskrá!I:I, "")) * I502 / 100, ""), IF(F502 = "Réttur", IFERROR(_xlfn.SINGLE(_xlfn.XLOOKUP(G502, Réttabanki!A:A, Réttabanki!AV:AV, "")) * I502 / 100, ""), "")))</f>
        <v/>
      </c>
      <c r="P502" s="26" t="str">
        <f>IF(OR(F502 = "", G502 = "", I502 = ""), "", IF(F502 = "Vara", IFERROR(_xlfn.SINGLE(_xlfn.XLOOKUP(G502, Vöruskrá!A:A, Vöruskrá!J:J, "")) * I502 / 100, ""), IF(F502 = "Réttur", IFERROR(_xlfn.SINGLE(_xlfn.XLOOKUP(G502, Réttabanki!A:A, Réttabanki!AW:AW, "")) * I502 / 100, ""), "")))</f>
        <v/>
      </c>
      <c r="Q502" s="26" t="str">
        <f>IF(OR(F502 = "", G502 = "", I502 = ""), "", IF(F502 = "Vara", IFERROR(_xlfn.SINGLE(_xlfn.XLOOKUP(G502, Vöruskrá!A:A, Vöruskrá!N:N, "")) * I502 / 100, ""), IF(F502 = "Réttur", IFERROR(_xlfn.SINGLE(_xlfn.XLOOKUP(G502, Réttabanki!A:A, Réttabanki!BB:BB, "")) * I502 / 100, ""), "")))</f>
        <v/>
      </c>
    </row>
    <row r="503" spans="2:17">
      <c r="B503" s="33" t="str">
        <f>IF(A503&lt;&gt;"",CHOOSE(WEEKDAY(A503,2),"Mánudagur","Þriðjudagur","Miðvikudagur","Fimmtudagur","Föstudagur","Laugardagur","Sunnudagur"),IF(B502&lt;&gt;"",B502,""))</f>
        <v>Fimmtudagur</v>
      </c>
      <c r="C503" s="33">
        <f>IF(A503&lt;&gt;"",WEEKNUM(A503,21),IF(C502&lt;&gt;"",C502,""))</f>
        <v>27</v>
      </c>
      <c r="D503" s="34"/>
      <c r="E503" s="34"/>
      <c r="F503" s="34"/>
      <c r="G503" s="34"/>
      <c r="H503" s="34"/>
      <c r="I503" s="35"/>
      <c r="J503" s="35"/>
      <c r="K503" s="36"/>
      <c r="L503" s="26" t="str">
        <f>IF(OR(F503 = "", G503 = ""), "", IF(F503 = "Vara", IFERROR(_xlfn.SINGLE(_xlfn.XLOOKUP(G503, Vöruskrá!A:A, Vöruskrá!E:E, "")), ""), IF(F503 = "Réttur", IFERROR(_xlfn.SINGLE(_xlfn.XLOOKUP(G503, Réttabanki!A:A, Réttabanki!AS:AS, "")), ""), "")))</f>
        <v/>
      </c>
      <c r="M503" s="26" t="str">
        <f>IF(OR(F503 = "", G503 = ""), "", IF(F503 = "Vara", IFERROR(_xlfn.SINGLE(_xlfn.XLOOKUP(G503, Vöruskrá!A:A, Vöruskrá!F:F, "")), ""), IF(F503 = "Réttur", IFERROR(_xlfn.SINGLE(_xlfn.XLOOKUP(G503, Réttabanki!A:A, Réttabanki!AT:AT, "")), ""), "")))</f>
        <v/>
      </c>
      <c r="N503" s="26" t="str">
        <f>IF(OR(F503 = "", G503 = ""), "", IF(F503 = "Vara", IFERROR(_xlfn.SINGLE(_xlfn.XLOOKUP(G503, Vöruskrá!A:A, Vöruskrá!G:G, "")), ""), IF(F503 = "Réttur", IFERROR(_xlfn.SINGLE(_xlfn.XLOOKUP(G503, Réttabanki!A:A, Réttabanki!AU:AU, "")), ""), "")))</f>
        <v/>
      </c>
      <c r="O503" s="26" t="str">
        <f>IF(OR(F503 = "", G503 = "", I503 = ""), "", IF(F503 = "Vara", IFERROR(_xlfn.SINGLE(_xlfn.XLOOKUP(G503, Vöruskrá!A:A, Vöruskrá!I:I, "")) * I503 / 100, ""), IF(F503 = "Réttur", IFERROR(_xlfn.SINGLE(_xlfn.XLOOKUP(G503, Réttabanki!A:A, Réttabanki!AV:AV, "")) * I503 / 100, ""), "")))</f>
        <v/>
      </c>
      <c r="P503" s="26" t="str">
        <f>IF(OR(F503 = "", G503 = "", I503 = ""), "", IF(F503 = "Vara", IFERROR(_xlfn.SINGLE(_xlfn.XLOOKUP(G503, Vöruskrá!A:A, Vöruskrá!J:J, "")) * I503 / 100, ""), IF(F503 = "Réttur", IFERROR(_xlfn.SINGLE(_xlfn.XLOOKUP(G503, Réttabanki!A:A, Réttabanki!AW:AW, "")) * I503 / 100, ""), "")))</f>
        <v/>
      </c>
      <c r="Q503" s="26" t="str">
        <f>IF(OR(F503 = "", G503 = "", I503 = ""), "", IF(F503 = "Vara", IFERROR(_xlfn.SINGLE(_xlfn.XLOOKUP(G503, Vöruskrá!A:A, Vöruskrá!N:N, "")) * I503 / 100, ""), IF(F503 = "Réttur", IFERROR(_xlfn.SINGLE(_xlfn.XLOOKUP(G503, Réttabanki!A:A, Réttabanki!BB:BB, "")) * I503 / 100, ""), "")))</f>
        <v/>
      </c>
    </row>
    <row r="504" spans="2:17">
      <c r="B504" s="33" t="str">
        <f>IF(A504&lt;&gt;"",CHOOSE(WEEKDAY(A504,2),"Mánudagur","Þriðjudagur","Miðvikudagur","Fimmtudagur","Föstudagur","Laugardagur","Sunnudagur"),IF(B503&lt;&gt;"",B503,""))</f>
        <v>Fimmtudagur</v>
      </c>
      <c r="C504" s="33">
        <f>IF(A504&lt;&gt;"",WEEKNUM(A504,21),IF(C503&lt;&gt;"",C503,""))</f>
        <v>27</v>
      </c>
      <c r="D504" s="34"/>
      <c r="E504" s="34"/>
      <c r="F504" s="34"/>
      <c r="G504" s="34"/>
      <c r="H504" s="34"/>
      <c r="I504" s="35"/>
      <c r="J504" s="35"/>
      <c r="K504" s="36"/>
      <c r="L504" s="26" t="str">
        <f>IF(OR(F504 = "", G504 = ""), "", IF(F504 = "Vara", IFERROR(_xlfn.SINGLE(_xlfn.XLOOKUP(G504, Vöruskrá!A:A, Vöruskrá!E:E, "")), ""), IF(F504 = "Réttur", IFERROR(_xlfn.SINGLE(_xlfn.XLOOKUP(G504, Réttabanki!A:A, Réttabanki!AS:AS, "")), ""), "")))</f>
        <v/>
      </c>
      <c r="M504" s="26" t="str">
        <f>IF(OR(F504 = "", G504 = ""), "", IF(F504 = "Vara", IFERROR(_xlfn.SINGLE(_xlfn.XLOOKUP(G504, Vöruskrá!A:A, Vöruskrá!F:F, "")), ""), IF(F504 = "Réttur", IFERROR(_xlfn.SINGLE(_xlfn.XLOOKUP(G504, Réttabanki!A:A, Réttabanki!AT:AT, "")), ""), "")))</f>
        <v/>
      </c>
      <c r="N504" s="26" t="str">
        <f>IF(OR(F504 = "", G504 = ""), "", IF(F504 = "Vara", IFERROR(_xlfn.SINGLE(_xlfn.XLOOKUP(G504, Vöruskrá!A:A, Vöruskrá!G:G, "")), ""), IF(F504 = "Réttur", IFERROR(_xlfn.SINGLE(_xlfn.XLOOKUP(G504, Réttabanki!A:A, Réttabanki!AU:AU, "")), ""), "")))</f>
        <v/>
      </c>
      <c r="O504" s="26" t="str">
        <f>IF(OR(F504 = "", G504 = "", I504 = ""), "", IF(F504 = "Vara", IFERROR(_xlfn.SINGLE(_xlfn.XLOOKUP(G504, Vöruskrá!A:A, Vöruskrá!I:I, "")) * I504 / 100, ""), IF(F504 = "Réttur", IFERROR(_xlfn.SINGLE(_xlfn.XLOOKUP(G504, Réttabanki!A:A, Réttabanki!AV:AV, "")) * I504 / 100, ""), "")))</f>
        <v/>
      </c>
      <c r="P504" s="26" t="str">
        <f>IF(OR(F504 = "", G504 = "", I504 = ""), "", IF(F504 = "Vara", IFERROR(_xlfn.SINGLE(_xlfn.XLOOKUP(G504, Vöruskrá!A:A, Vöruskrá!J:J, "")) * I504 / 100, ""), IF(F504 = "Réttur", IFERROR(_xlfn.SINGLE(_xlfn.XLOOKUP(G504, Réttabanki!A:A, Réttabanki!AW:AW, "")) * I504 / 100, ""), "")))</f>
        <v/>
      </c>
      <c r="Q504" s="26" t="str">
        <f>IF(OR(F504 = "", G504 = "", I504 = ""), "", IF(F504 = "Vara", IFERROR(_xlfn.SINGLE(_xlfn.XLOOKUP(G504, Vöruskrá!A:A, Vöruskrá!N:N, "")) * I504 / 100, ""), IF(F504 = "Réttur", IFERROR(_xlfn.SINGLE(_xlfn.XLOOKUP(G504, Réttabanki!A:A, Réttabanki!BB:BB, "")) * I504 / 100, ""), "")))</f>
        <v/>
      </c>
    </row>
    <row r="505" spans="2:17">
      <c r="B505" s="33" t="str">
        <f>IF(A505&lt;&gt;"",CHOOSE(WEEKDAY(A505,2),"Mánudagur","Þriðjudagur","Miðvikudagur","Fimmtudagur","Föstudagur","Laugardagur","Sunnudagur"),IF(B504&lt;&gt;"",B504,""))</f>
        <v>Fimmtudagur</v>
      </c>
      <c r="C505" s="33">
        <f>IF(A505&lt;&gt;"",WEEKNUM(A505,21),IF(C504&lt;&gt;"",C504,""))</f>
        <v>27</v>
      </c>
      <c r="D505" s="34"/>
      <c r="E505" s="34"/>
      <c r="F505" s="34"/>
      <c r="G505" s="34"/>
      <c r="H505" s="34"/>
      <c r="I505" s="35"/>
      <c r="J505" s="35"/>
      <c r="K505" s="36"/>
      <c r="L505" s="26" t="str">
        <f>IF(OR(F505 = "", G505 = ""), "", IF(F505 = "Vara", IFERROR(_xlfn.SINGLE(_xlfn.XLOOKUP(G505, Vöruskrá!A:A, Vöruskrá!E:E, "")), ""), IF(F505 = "Réttur", IFERROR(_xlfn.SINGLE(_xlfn.XLOOKUP(G505, Réttabanki!A:A, Réttabanki!AS:AS, "")), ""), "")))</f>
        <v/>
      </c>
      <c r="M505" s="26" t="str">
        <f>IF(OR(F505 = "", G505 = ""), "", IF(F505 = "Vara", IFERROR(_xlfn.SINGLE(_xlfn.XLOOKUP(G505, Vöruskrá!A:A, Vöruskrá!F:F, "")), ""), IF(F505 = "Réttur", IFERROR(_xlfn.SINGLE(_xlfn.XLOOKUP(G505, Réttabanki!A:A, Réttabanki!AT:AT, "")), ""), "")))</f>
        <v/>
      </c>
      <c r="N505" s="26" t="str">
        <f>IF(OR(F505 = "", G505 = ""), "", IF(F505 = "Vara", IFERROR(_xlfn.SINGLE(_xlfn.XLOOKUP(G505, Vöruskrá!A:A, Vöruskrá!G:G, "")), ""), IF(F505 = "Réttur", IFERROR(_xlfn.SINGLE(_xlfn.XLOOKUP(G505, Réttabanki!A:A, Réttabanki!AU:AU, "")), ""), "")))</f>
        <v/>
      </c>
      <c r="O505" s="26" t="str">
        <f>IF(OR(F505 = "", G505 = "", I505 = ""), "", IF(F505 = "Vara", IFERROR(_xlfn.SINGLE(_xlfn.XLOOKUP(G505, Vöruskrá!A:A, Vöruskrá!I:I, "")) * I505 / 100, ""), IF(F505 = "Réttur", IFERROR(_xlfn.SINGLE(_xlfn.XLOOKUP(G505, Réttabanki!A:A, Réttabanki!AV:AV, "")) * I505 / 100, ""), "")))</f>
        <v/>
      </c>
      <c r="P505" s="26" t="str">
        <f>IF(OR(F505 = "", G505 = "", I505 = ""), "", IF(F505 = "Vara", IFERROR(_xlfn.SINGLE(_xlfn.XLOOKUP(G505, Vöruskrá!A:A, Vöruskrá!J:J, "")) * I505 / 100, ""), IF(F505 = "Réttur", IFERROR(_xlfn.SINGLE(_xlfn.XLOOKUP(G505, Réttabanki!A:A, Réttabanki!AW:AW, "")) * I505 / 100, ""), "")))</f>
        <v/>
      </c>
      <c r="Q505" s="26" t="str">
        <f>IF(OR(F505 = "", G505 = "", I505 = ""), "", IF(F505 = "Vara", IFERROR(_xlfn.SINGLE(_xlfn.XLOOKUP(G505, Vöruskrá!A:A, Vöruskrá!N:N, "")) * I505 / 100, ""), IF(F505 = "Réttur", IFERROR(_xlfn.SINGLE(_xlfn.XLOOKUP(G505, Réttabanki!A:A, Réttabanki!BB:BB, "")) * I505 / 100, ""), "")))</f>
        <v/>
      </c>
    </row>
    <row r="506" spans="2:17">
      <c r="B506" s="33" t="str">
        <f>IF(A506&lt;&gt;"",CHOOSE(WEEKDAY(A506,2),"Mánudagur","Þriðjudagur","Miðvikudagur","Fimmtudagur","Föstudagur","Laugardagur","Sunnudagur"),IF(B505&lt;&gt;"",B505,""))</f>
        <v>Fimmtudagur</v>
      </c>
      <c r="C506" s="33">
        <f>IF(A506&lt;&gt;"",WEEKNUM(A506,21),IF(C505&lt;&gt;"",C505,""))</f>
        <v>27</v>
      </c>
      <c r="D506" s="34"/>
      <c r="E506" s="34"/>
      <c r="F506" s="34"/>
      <c r="G506" s="34"/>
      <c r="H506" s="34"/>
      <c r="I506" s="35"/>
      <c r="J506" s="35"/>
      <c r="K506" s="36"/>
      <c r="L506" s="26" t="str">
        <f>IF(OR(F506 = "", G506 = ""), "", IF(F506 = "Vara", IFERROR(_xlfn.SINGLE(_xlfn.XLOOKUP(G506, Vöruskrá!A:A, Vöruskrá!E:E, "")), ""), IF(F506 = "Réttur", IFERROR(_xlfn.SINGLE(_xlfn.XLOOKUP(G506, Réttabanki!A:A, Réttabanki!AS:AS, "")), ""), "")))</f>
        <v/>
      </c>
      <c r="M506" s="26" t="str">
        <f>IF(OR(F506 = "", G506 = ""), "", IF(F506 = "Vara", IFERROR(_xlfn.SINGLE(_xlfn.XLOOKUP(G506, Vöruskrá!A:A, Vöruskrá!F:F, "")), ""), IF(F506 = "Réttur", IFERROR(_xlfn.SINGLE(_xlfn.XLOOKUP(G506, Réttabanki!A:A, Réttabanki!AT:AT, "")), ""), "")))</f>
        <v/>
      </c>
      <c r="N506" s="26" t="str">
        <f>IF(OR(F506 = "", G506 = ""), "", IF(F506 = "Vara", IFERROR(_xlfn.SINGLE(_xlfn.XLOOKUP(G506, Vöruskrá!A:A, Vöruskrá!G:G, "")), ""), IF(F506 = "Réttur", IFERROR(_xlfn.SINGLE(_xlfn.XLOOKUP(G506, Réttabanki!A:A, Réttabanki!AU:AU, "")), ""), "")))</f>
        <v/>
      </c>
      <c r="O506" s="26" t="str">
        <f>IF(OR(F506 = "", G506 = "", I506 = ""), "", IF(F506 = "Vara", IFERROR(_xlfn.SINGLE(_xlfn.XLOOKUP(G506, Vöruskrá!A:A, Vöruskrá!I:I, "")) * I506 / 100, ""), IF(F506 = "Réttur", IFERROR(_xlfn.SINGLE(_xlfn.XLOOKUP(G506, Réttabanki!A:A, Réttabanki!AV:AV, "")) * I506 / 100, ""), "")))</f>
        <v/>
      </c>
      <c r="P506" s="26" t="str">
        <f>IF(OR(F506 = "", G506 = "", I506 = ""), "", IF(F506 = "Vara", IFERROR(_xlfn.SINGLE(_xlfn.XLOOKUP(G506, Vöruskrá!A:A, Vöruskrá!J:J, "")) * I506 / 100, ""), IF(F506 = "Réttur", IFERROR(_xlfn.SINGLE(_xlfn.XLOOKUP(G506, Réttabanki!A:A, Réttabanki!AW:AW, "")) * I506 / 100, ""), "")))</f>
        <v/>
      </c>
      <c r="Q506" s="26" t="str">
        <f>IF(OR(F506 = "", G506 = "", I506 = ""), "", IF(F506 = "Vara", IFERROR(_xlfn.SINGLE(_xlfn.XLOOKUP(G506, Vöruskrá!A:A, Vöruskrá!N:N, "")) * I506 / 100, ""), IF(F506 = "Réttur", IFERROR(_xlfn.SINGLE(_xlfn.XLOOKUP(G506, Réttabanki!A:A, Réttabanki!BB:BB, "")) * I506 / 100, ""), "")))</f>
        <v/>
      </c>
    </row>
    <row r="507" spans="2:17">
      <c r="B507" s="33" t="str">
        <f>IF(A507&lt;&gt;"",CHOOSE(WEEKDAY(A507,2),"Mánudagur","Þriðjudagur","Miðvikudagur","Fimmtudagur","Föstudagur","Laugardagur","Sunnudagur"),IF(B506&lt;&gt;"",B506,""))</f>
        <v>Fimmtudagur</v>
      </c>
      <c r="C507" s="33">
        <f>IF(A507&lt;&gt;"",WEEKNUM(A507,21),IF(C506&lt;&gt;"",C506,""))</f>
        <v>27</v>
      </c>
      <c r="D507" s="34"/>
      <c r="E507" s="34"/>
      <c r="F507" s="34"/>
      <c r="G507" s="34"/>
      <c r="H507" s="34"/>
      <c r="I507" s="35"/>
      <c r="J507" s="35"/>
      <c r="K507" s="36"/>
      <c r="L507" s="26" t="str">
        <f>IF(OR(F507 = "", G507 = ""), "", IF(F507 = "Vara", IFERROR(_xlfn.SINGLE(_xlfn.XLOOKUP(G507, Vöruskrá!A:A, Vöruskrá!E:E, "")), ""), IF(F507 = "Réttur", IFERROR(_xlfn.SINGLE(_xlfn.XLOOKUP(G507, Réttabanki!A:A, Réttabanki!AS:AS, "")), ""), "")))</f>
        <v/>
      </c>
      <c r="M507" s="26" t="str">
        <f>IF(OR(F507 = "", G507 = ""), "", IF(F507 = "Vara", IFERROR(_xlfn.SINGLE(_xlfn.XLOOKUP(G507, Vöruskrá!A:A, Vöruskrá!F:F, "")), ""), IF(F507 = "Réttur", IFERROR(_xlfn.SINGLE(_xlfn.XLOOKUP(G507, Réttabanki!A:A, Réttabanki!AT:AT, "")), ""), "")))</f>
        <v/>
      </c>
      <c r="N507" s="26" t="str">
        <f>IF(OR(F507 = "", G507 = ""), "", IF(F507 = "Vara", IFERROR(_xlfn.SINGLE(_xlfn.XLOOKUP(G507, Vöruskrá!A:A, Vöruskrá!G:G, "")), ""), IF(F507 = "Réttur", IFERROR(_xlfn.SINGLE(_xlfn.XLOOKUP(G507, Réttabanki!A:A, Réttabanki!AU:AU, "")), ""), "")))</f>
        <v/>
      </c>
      <c r="O507" s="26" t="str">
        <f>IF(OR(F507 = "", G507 = "", I507 = ""), "", IF(F507 = "Vara", IFERROR(_xlfn.SINGLE(_xlfn.XLOOKUP(G507, Vöruskrá!A:A, Vöruskrá!I:I, "")) * I507 / 100, ""), IF(F507 = "Réttur", IFERROR(_xlfn.SINGLE(_xlfn.XLOOKUP(G507, Réttabanki!A:A, Réttabanki!AV:AV, "")) * I507 / 100, ""), "")))</f>
        <v/>
      </c>
      <c r="P507" s="26" t="str">
        <f>IF(OR(F507 = "", G507 = "", I507 = ""), "", IF(F507 = "Vara", IFERROR(_xlfn.SINGLE(_xlfn.XLOOKUP(G507, Vöruskrá!A:A, Vöruskrá!J:J, "")) * I507 / 100, ""), IF(F507 = "Réttur", IFERROR(_xlfn.SINGLE(_xlfn.XLOOKUP(G507, Réttabanki!A:A, Réttabanki!AW:AW, "")) * I507 / 100, ""), "")))</f>
        <v/>
      </c>
      <c r="Q507" s="26" t="str">
        <f>IF(OR(F507 = "", G507 = "", I507 = ""), "", IF(F507 = "Vara", IFERROR(_xlfn.SINGLE(_xlfn.XLOOKUP(G507, Vöruskrá!A:A, Vöruskrá!N:N, "")) * I507 / 100, ""), IF(F507 = "Réttur", IFERROR(_xlfn.SINGLE(_xlfn.XLOOKUP(G507, Réttabanki!A:A, Réttabanki!BB:BB, "")) * I507 / 100, ""), "")))</f>
        <v/>
      </c>
    </row>
    <row r="508" spans="2:17">
      <c r="B508" s="33" t="str">
        <f>IF(A508&lt;&gt;"",CHOOSE(WEEKDAY(A508,2),"Mánudagur","Þriðjudagur","Miðvikudagur","Fimmtudagur","Föstudagur","Laugardagur","Sunnudagur"),IF(B507&lt;&gt;"",B507,""))</f>
        <v>Fimmtudagur</v>
      </c>
      <c r="C508" s="33">
        <f>IF(A508&lt;&gt;"",WEEKNUM(A508,21),IF(C507&lt;&gt;"",C507,""))</f>
        <v>27</v>
      </c>
      <c r="D508" s="34"/>
      <c r="E508" s="34"/>
      <c r="F508" s="34"/>
      <c r="G508" s="34"/>
      <c r="H508" s="34"/>
      <c r="I508" s="35"/>
      <c r="J508" s="35"/>
      <c r="K508" s="36"/>
      <c r="L508" s="26" t="str">
        <f>IF(OR(F508 = "", G508 = ""), "", IF(F508 = "Vara", IFERROR(_xlfn.SINGLE(_xlfn.XLOOKUP(G508, Vöruskrá!A:A, Vöruskrá!E:E, "")), ""), IF(F508 = "Réttur", IFERROR(_xlfn.SINGLE(_xlfn.XLOOKUP(G508, Réttabanki!A:A, Réttabanki!AS:AS, "")), ""), "")))</f>
        <v/>
      </c>
      <c r="M508" s="26" t="str">
        <f>IF(OR(F508 = "", G508 = ""), "", IF(F508 = "Vara", IFERROR(_xlfn.SINGLE(_xlfn.XLOOKUP(G508, Vöruskrá!A:A, Vöruskrá!F:F, "")), ""), IF(F508 = "Réttur", IFERROR(_xlfn.SINGLE(_xlfn.XLOOKUP(G508, Réttabanki!A:A, Réttabanki!AT:AT, "")), ""), "")))</f>
        <v/>
      </c>
      <c r="N508" s="26" t="str">
        <f>IF(OR(F508 = "", G508 = ""), "", IF(F508 = "Vara", IFERROR(_xlfn.SINGLE(_xlfn.XLOOKUP(G508, Vöruskrá!A:A, Vöruskrá!G:G, "")), ""), IF(F508 = "Réttur", IFERROR(_xlfn.SINGLE(_xlfn.XLOOKUP(G508, Réttabanki!A:A, Réttabanki!AU:AU, "")), ""), "")))</f>
        <v/>
      </c>
      <c r="O508" s="26" t="str">
        <f>IF(OR(F508 = "", G508 = "", I508 = ""), "", IF(F508 = "Vara", IFERROR(_xlfn.SINGLE(_xlfn.XLOOKUP(G508, Vöruskrá!A:A, Vöruskrá!I:I, "")) * I508 / 100, ""), IF(F508 = "Réttur", IFERROR(_xlfn.SINGLE(_xlfn.XLOOKUP(G508, Réttabanki!A:A, Réttabanki!AV:AV, "")) * I508 / 100, ""), "")))</f>
        <v/>
      </c>
      <c r="P508" s="26" t="str">
        <f>IF(OR(F508 = "", G508 = "", I508 = ""), "", IF(F508 = "Vara", IFERROR(_xlfn.SINGLE(_xlfn.XLOOKUP(G508, Vöruskrá!A:A, Vöruskrá!J:J, "")) * I508 / 100, ""), IF(F508 = "Réttur", IFERROR(_xlfn.SINGLE(_xlfn.XLOOKUP(G508, Réttabanki!A:A, Réttabanki!AW:AW, "")) * I508 / 100, ""), "")))</f>
        <v/>
      </c>
      <c r="Q508" s="26" t="str">
        <f>IF(OR(F508 = "", G508 = "", I508 = ""), "", IF(F508 = "Vara", IFERROR(_xlfn.SINGLE(_xlfn.XLOOKUP(G508, Vöruskrá!A:A, Vöruskrá!N:N, "")) * I508 / 100, ""), IF(F508 = "Réttur", IFERROR(_xlfn.SINGLE(_xlfn.XLOOKUP(G508, Réttabanki!A:A, Réttabanki!BB:BB, "")) * I508 / 100, ""), "")))</f>
        <v/>
      </c>
    </row>
    <row r="509" spans="2:17">
      <c r="B509" s="33" t="str">
        <f>IF(A509&lt;&gt;"",CHOOSE(WEEKDAY(A509,2),"Mánudagur","Þriðjudagur","Miðvikudagur","Fimmtudagur","Föstudagur","Laugardagur","Sunnudagur"),IF(B508&lt;&gt;"",B508,""))</f>
        <v>Fimmtudagur</v>
      </c>
      <c r="C509" s="33">
        <f>IF(A509&lt;&gt;"",WEEKNUM(A509,21),IF(C508&lt;&gt;"",C508,""))</f>
        <v>27</v>
      </c>
      <c r="D509" s="34"/>
      <c r="E509" s="34"/>
      <c r="F509" s="34"/>
      <c r="G509" s="34"/>
      <c r="H509" s="34"/>
      <c r="I509" s="35"/>
      <c r="J509" s="35"/>
      <c r="K509" s="36"/>
      <c r="L509" s="26" t="str">
        <f>IF(OR(F509 = "", G509 = ""), "", IF(F509 = "Vara", IFERROR(_xlfn.SINGLE(_xlfn.XLOOKUP(G509, Vöruskrá!A:A, Vöruskrá!E:E, "")), ""), IF(F509 = "Réttur", IFERROR(_xlfn.SINGLE(_xlfn.XLOOKUP(G509, Réttabanki!A:A, Réttabanki!AS:AS, "")), ""), "")))</f>
        <v/>
      </c>
      <c r="M509" s="26" t="str">
        <f>IF(OR(F509 = "", G509 = ""), "", IF(F509 = "Vara", IFERROR(_xlfn.SINGLE(_xlfn.XLOOKUP(G509, Vöruskrá!A:A, Vöruskrá!F:F, "")), ""), IF(F509 = "Réttur", IFERROR(_xlfn.SINGLE(_xlfn.XLOOKUP(G509, Réttabanki!A:A, Réttabanki!AT:AT, "")), ""), "")))</f>
        <v/>
      </c>
      <c r="N509" s="26" t="str">
        <f>IF(OR(F509 = "", G509 = ""), "", IF(F509 = "Vara", IFERROR(_xlfn.SINGLE(_xlfn.XLOOKUP(G509, Vöruskrá!A:A, Vöruskrá!G:G, "")), ""), IF(F509 = "Réttur", IFERROR(_xlfn.SINGLE(_xlfn.XLOOKUP(G509, Réttabanki!A:A, Réttabanki!AU:AU, "")), ""), "")))</f>
        <v/>
      </c>
      <c r="O509" s="26" t="str">
        <f>IF(OR(F509 = "", G509 = "", I509 = ""), "", IF(F509 = "Vara", IFERROR(_xlfn.SINGLE(_xlfn.XLOOKUP(G509, Vöruskrá!A:A, Vöruskrá!I:I, "")) * I509 / 100, ""), IF(F509 = "Réttur", IFERROR(_xlfn.SINGLE(_xlfn.XLOOKUP(G509, Réttabanki!A:A, Réttabanki!AV:AV, "")) * I509 / 100, ""), "")))</f>
        <v/>
      </c>
      <c r="P509" s="26" t="str">
        <f>IF(OR(F509 = "", G509 = "", I509 = ""), "", IF(F509 = "Vara", IFERROR(_xlfn.SINGLE(_xlfn.XLOOKUP(G509, Vöruskrá!A:A, Vöruskrá!J:J, "")) * I509 / 100, ""), IF(F509 = "Réttur", IFERROR(_xlfn.SINGLE(_xlfn.XLOOKUP(G509, Réttabanki!A:A, Réttabanki!AW:AW, "")) * I509 / 100, ""), "")))</f>
        <v/>
      </c>
      <c r="Q509" s="26" t="str">
        <f>IF(OR(F509 = "", G509 = "", I509 = ""), "", IF(F509 = "Vara", IFERROR(_xlfn.SINGLE(_xlfn.XLOOKUP(G509, Vöruskrá!A:A, Vöruskrá!N:N, "")) * I509 / 100, ""), IF(F509 = "Réttur", IFERROR(_xlfn.SINGLE(_xlfn.XLOOKUP(G509, Réttabanki!A:A, Réttabanki!BB:BB, "")) * I509 / 100, ""), "")))</f>
        <v/>
      </c>
    </row>
    <row r="510" spans="2:17">
      <c r="B510" s="33" t="str">
        <f>IF(A510&lt;&gt;"",CHOOSE(WEEKDAY(A510,2),"Mánudagur","Þriðjudagur","Miðvikudagur","Fimmtudagur","Föstudagur","Laugardagur","Sunnudagur"),IF(B509&lt;&gt;"",B509,""))</f>
        <v>Fimmtudagur</v>
      </c>
      <c r="C510" s="33">
        <f>IF(A510&lt;&gt;"",WEEKNUM(A510,21),IF(C509&lt;&gt;"",C509,""))</f>
        <v>27</v>
      </c>
      <c r="D510" s="34"/>
      <c r="E510" s="34"/>
      <c r="F510" s="34"/>
      <c r="G510" s="34"/>
      <c r="H510" s="34"/>
      <c r="I510" s="35"/>
      <c r="J510" s="35"/>
      <c r="K510" s="36"/>
      <c r="L510" s="26" t="str">
        <f>IF(OR(F510 = "", G510 = ""), "", IF(F510 = "Vara", IFERROR(_xlfn.SINGLE(_xlfn.XLOOKUP(G510, Vöruskrá!A:A, Vöruskrá!E:E, "")), ""), IF(F510 = "Réttur", IFERROR(_xlfn.SINGLE(_xlfn.XLOOKUP(G510, Réttabanki!A:A, Réttabanki!AS:AS, "")), ""), "")))</f>
        <v/>
      </c>
      <c r="M510" s="26" t="str">
        <f>IF(OR(F510 = "", G510 = ""), "", IF(F510 = "Vara", IFERROR(_xlfn.SINGLE(_xlfn.XLOOKUP(G510, Vöruskrá!A:A, Vöruskrá!F:F, "")), ""), IF(F510 = "Réttur", IFERROR(_xlfn.SINGLE(_xlfn.XLOOKUP(G510, Réttabanki!A:A, Réttabanki!AT:AT, "")), ""), "")))</f>
        <v/>
      </c>
      <c r="N510" s="26" t="str">
        <f>IF(OR(F510 = "", G510 = ""), "", IF(F510 = "Vara", IFERROR(_xlfn.SINGLE(_xlfn.XLOOKUP(G510, Vöruskrá!A:A, Vöruskrá!G:G, "")), ""), IF(F510 = "Réttur", IFERROR(_xlfn.SINGLE(_xlfn.XLOOKUP(G510, Réttabanki!A:A, Réttabanki!AU:AU, "")), ""), "")))</f>
        <v/>
      </c>
      <c r="O510" s="26" t="str">
        <f>IF(OR(F510 = "", G510 = "", I510 = ""), "", IF(F510 = "Vara", IFERROR(_xlfn.SINGLE(_xlfn.XLOOKUP(G510, Vöruskrá!A:A, Vöruskrá!I:I, "")) * I510 / 100, ""), IF(F510 = "Réttur", IFERROR(_xlfn.SINGLE(_xlfn.XLOOKUP(G510, Réttabanki!A:A, Réttabanki!AV:AV, "")) * I510 / 100, ""), "")))</f>
        <v/>
      </c>
      <c r="P510" s="26" t="str">
        <f>IF(OR(F510 = "", G510 = "", I510 = ""), "", IF(F510 = "Vara", IFERROR(_xlfn.SINGLE(_xlfn.XLOOKUP(G510, Vöruskrá!A:A, Vöruskrá!J:J, "")) * I510 / 100, ""), IF(F510 = "Réttur", IFERROR(_xlfn.SINGLE(_xlfn.XLOOKUP(G510, Réttabanki!A:A, Réttabanki!AW:AW, "")) * I510 / 100, ""), "")))</f>
        <v/>
      </c>
      <c r="Q510" s="26" t="str">
        <f>IF(OR(F510 = "", G510 = "", I510 = ""), "", IF(F510 = "Vara", IFERROR(_xlfn.SINGLE(_xlfn.XLOOKUP(G510, Vöruskrá!A:A, Vöruskrá!N:N, "")) * I510 / 100, ""), IF(F510 = "Réttur", IFERROR(_xlfn.SINGLE(_xlfn.XLOOKUP(G510, Réttabanki!A:A, Réttabanki!BB:BB, "")) * I510 / 100, ""), "")))</f>
        <v/>
      </c>
    </row>
    <row r="511" spans="2:17">
      <c r="B511" s="33" t="str">
        <f>IF(A511&lt;&gt;"",CHOOSE(WEEKDAY(A511,2),"Mánudagur","Þriðjudagur","Miðvikudagur","Fimmtudagur","Föstudagur","Laugardagur","Sunnudagur"),IF(B510&lt;&gt;"",B510,""))</f>
        <v>Fimmtudagur</v>
      </c>
      <c r="C511" s="33">
        <f>IF(A511&lt;&gt;"",WEEKNUM(A511,21),IF(C510&lt;&gt;"",C510,""))</f>
        <v>27</v>
      </c>
      <c r="D511" s="34"/>
      <c r="E511" s="34"/>
      <c r="F511" s="34"/>
      <c r="G511" s="34"/>
      <c r="H511" s="34"/>
      <c r="I511" s="35"/>
      <c r="J511" s="35"/>
      <c r="K511" s="36"/>
      <c r="L511" s="26" t="str">
        <f>IF(OR(F511 = "", G511 = ""), "", IF(F511 = "Vara", IFERROR(_xlfn.SINGLE(_xlfn.XLOOKUP(G511, Vöruskrá!A:A, Vöruskrá!E:E, "")), ""), IF(F511 = "Réttur", IFERROR(_xlfn.SINGLE(_xlfn.XLOOKUP(G511, Réttabanki!A:A, Réttabanki!AS:AS, "")), ""), "")))</f>
        <v/>
      </c>
      <c r="M511" s="26" t="str">
        <f>IF(OR(F511 = "", G511 = ""), "", IF(F511 = "Vara", IFERROR(_xlfn.SINGLE(_xlfn.XLOOKUP(G511, Vöruskrá!A:A, Vöruskrá!F:F, "")), ""), IF(F511 = "Réttur", IFERROR(_xlfn.SINGLE(_xlfn.XLOOKUP(G511, Réttabanki!A:A, Réttabanki!AT:AT, "")), ""), "")))</f>
        <v/>
      </c>
      <c r="N511" s="26" t="str">
        <f>IF(OR(F511 = "", G511 = ""), "", IF(F511 = "Vara", IFERROR(_xlfn.SINGLE(_xlfn.XLOOKUP(G511, Vöruskrá!A:A, Vöruskrá!G:G, "")), ""), IF(F511 = "Réttur", IFERROR(_xlfn.SINGLE(_xlfn.XLOOKUP(G511, Réttabanki!A:A, Réttabanki!AU:AU, "")), ""), "")))</f>
        <v/>
      </c>
      <c r="O511" s="26" t="str">
        <f>IF(OR(F511 = "", G511 = "", I511 = ""), "", IF(F511 = "Vara", IFERROR(_xlfn.SINGLE(_xlfn.XLOOKUP(G511, Vöruskrá!A:A, Vöruskrá!I:I, "")) * I511 / 100, ""), IF(F511 = "Réttur", IFERROR(_xlfn.SINGLE(_xlfn.XLOOKUP(G511, Réttabanki!A:A, Réttabanki!AV:AV, "")) * I511 / 100, ""), "")))</f>
        <v/>
      </c>
      <c r="P511" s="26" t="str">
        <f>IF(OR(F511 = "", G511 = "", I511 = ""), "", IF(F511 = "Vara", IFERROR(_xlfn.SINGLE(_xlfn.XLOOKUP(G511, Vöruskrá!A:A, Vöruskrá!J:J, "")) * I511 / 100, ""), IF(F511 = "Réttur", IFERROR(_xlfn.SINGLE(_xlfn.XLOOKUP(G511, Réttabanki!A:A, Réttabanki!AW:AW, "")) * I511 / 100, ""), "")))</f>
        <v/>
      </c>
      <c r="Q511" s="26" t="str">
        <f>IF(OR(F511 = "", G511 = "", I511 = ""), "", IF(F511 = "Vara", IFERROR(_xlfn.SINGLE(_xlfn.XLOOKUP(G511, Vöruskrá!A:A, Vöruskrá!N:N, "")) * I511 / 100, ""), IF(F511 = "Réttur", IFERROR(_xlfn.SINGLE(_xlfn.XLOOKUP(G511, Réttabanki!A:A, Réttabanki!BB:BB, "")) * I511 / 100, ""), "")))</f>
        <v/>
      </c>
    </row>
    <row r="512" spans="2:17">
      <c r="B512" s="33" t="str">
        <f>IF(A512&lt;&gt;"",CHOOSE(WEEKDAY(A512,2),"Mánudagur","Þriðjudagur","Miðvikudagur","Fimmtudagur","Föstudagur","Laugardagur","Sunnudagur"),IF(B511&lt;&gt;"",B511,""))</f>
        <v>Fimmtudagur</v>
      </c>
      <c r="C512" s="33">
        <f>IF(A512&lt;&gt;"",WEEKNUM(A512,21),IF(C511&lt;&gt;"",C511,""))</f>
        <v>27</v>
      </c>
      <c r="D512" s="34"/>
      <c r="E512" s="34"/>
      <c r="F512" s="34"/>
      <c r="G512" s="34"/>
      <c r="H512" s="34"/>
      <c r="I512" s="35"/>
      <c r="J512" s="35"/>
      <c r="K512" s="36"/>
      <c r="L512" s="26" t="str">
        <f>IF(OR(F512 = "", G512 = ""), "", IF(F512 = "Vara", IFERROR(_xlfn.SINGLE(_xlfn.XLOOKUP(G512, Vöruskrá!A:A, Vöruskrá!E:E, "")), ""), IF(F512 = "Réttur", IFERROR(_xlfn.SINGLE(_xlfn.XLOOKUP(G512, Réttabanki!A:A, Réttabanki!AS:AS, "")), ""), "")))</f>
        <v/>
      </c>
      <c r="M512" s="26" t="str">
        <f>IF(OR(F512 = "", G512 = ""), "", IF(F512 = "Vara", IFERROR(_xlfn.SINGLE(_xlfn.XLOOKUP(G512, Vöruskrá!A:A, Vöruskrá!F:F, "")), ""), IF(F512 = "Réttur", IFERROR(_xlfn.SINGLE(_xlfn.XLOOKUP(G512, Réttabanki!A:A, Réttabanki!AT:AT, "")), ""), "")))</f>
        <v/>
      </c>
      <c r="N512" s="26" t="str">
        <f>IF(OR(F512 = "", G512 = ""), "", IF(F512 = "Vara", IFERROR(_xlfn.SINGLE(_xlfn.XLOOKUP(G512, Vöruskrá!A:A, Vöruskrá!G:G, "")), ""), IF(F512 = "Réttur", IFERROR(_xlfn.SINGLE(_xlfn.XLOOKUP(G512, Réttabanki!A:A, Réttabanki!AU:AU, "")), ""), "")))</f>
        <v/>
      </c>
      <c r="O512" s="26" t="str">
        <f>IF(OR(F512 = "", G512 = "", I512 = ""), "", IF(F512 = "Vara", IFERROR(_xlfn.SINGLE(_xlfn.XLOOKUP(G512, Vöruskrá!A:A, Vöruskrá!I:I, "")) * I512 / 100, ""), IF(F512 = "Réttur", IFERROR(_xlfn.SINGLE(_xlfn.XLOOKUP(G512, Réttabanki!A:A, Réttabanki!AV:AV, "")) * I512 / 100, ""), "")))</f>
        <v/>
      </c>
      <c r="P512" s="26" t="str">
        <f>IF(OR(F512 = "", G512 = "", I512 = ""), "", IF(F512 = "Vara", IFERROR(_xlfn.SINGLE(_xlfn.XLOOKUP(G512, Vöruskrá!A:A, Vöruskrá!J:J, "")) * I512 / 100, ""), IF(F512 = "Réttur", IFERROR(_xlfn.SINGLE(_xlfn.XLOOKUP(G512, Réttabanki!A:A, Réttabanki!AW:AW, "")) * I512 / 100, ""), "")))</f>
        <v/>
      </c>
      <c r="Q512" s="26" t="str">
        <f>IF(OR(F512 = "", G512 = "", I512 = ""), "", IF(F512 = "Vara", IFERROR(_xlfn.SINGLE(_xlfn.XLOOKUP(G512, Vöruskrá!A:A, Vöruskrá!N:N, "")) * I512 / 100, ""), IF(F512 = "Réttur", IFERROR(_xlfn.SINGLE(_xlfn.XLOOKUP(G512, Réttabanki!A:A, Réttabanki!BB:BB, "")) * I512 / 100, ""), "")))</f>
        <v/>
      </c>
    </row>
    <row r="513" spans="2:17">
      <c r="B513" s="33" t="str">
        <f>IF(A513&lt;&gt;"",CHOOSE(WEEKDAY(A513,2),"Mánudagur","Þriðjudagur","Miðvikudagur","Fimmtudagur","Föstudagur","Laugardagur","Sunnudagur"),IF(B512&lt;&gt;"",B512,""))</f>
        <v>Fimmtudagur</v>
      </c>
      <c r="C513" s="33">
        <f>IF(A513&lt;&gt;"",WEEKNUM(A513,21),IF(C512&lt;&gt;"",C512,""))</f>
        <v>27</v>
      </c>
      <c r="D513" s="34"/>
      <c r="E513" s="34"/>
      <c r="F513" s="34"/>
      <c r="G513" s="34"/>
      <c r="H513" s="34"/>
      <c r="I513" s="35"/>
      <c r="J513" s="35"/>
      <c r="K513" s="36"/>
      <c r="L513" s="26" t="str">
        <f>IF(OR(F513 = "", G513 = ""), "", IF(F513 = "Vara", IFERROR(_xlfn.SINGLE(_xlfn.XLOOKUP(G513, Vöruskrá!A:A, Vöruskrá!E:E, "")), ""), IF(F513 = "Réttur", IFERROR(_xlfn.SINGLE(_xlfn.XLOOKUP(G513, Réttabanki!A:A, Réttabanki!AS:AS, "")), ""), "")))</f>
        <v/>
      </c>
      <c r="M513" s="26" t="str">
        <f>IF(OR(F513 = "", G513 = ""), "", IF(F513 = "Vara", IFERROR(_xlfn.SINGLE(_xlfn.XLOOKUP(G513, Vöruskrá!A:A, Vöruskrá!F:F, "")), ""), IF(F513 = "Réttur", IFERROR(_xlfn.SINGLE(_xlfn.XLOOKUP(G513, Réttabanki!A:A, Réttabanki!AT:AT, "")), ""), "")))</f>
        <v/>
      </c>
      <c r="N513" s="26" t="str">
        <f>IF(OR(F513 = "", G513 = ""), "", IF(F513 = "Vara", IFERROR(_xlfn.SINGLE(_xlfn.XLOOKUP(G513, Vöruskrá!A:A, Vöruskrá!G:G, "")), ""), IF(F513 = "Réttur", IFERROR(_xlfn.SINGLE(_xlfn.XLOOKUP(G513, Réttabanki!A:A, Réttabanki!AU:AU, "")), ""), "")))</f>
        <v/>
      </c>
      <c r="O513" s="26" t="str">
        <f>IF(OR(F513 = "", G513 = "", I513 = ""), "", IF(F513 = "Vara", IFERROR(_xlfn.SINGLE(_xlfn.XLOOKUP(G513, Vöruskrá!A:A, Vöruskrá!I:I, "")) * I513 / 100, ""), IF(F513 = "Réttur", IFERROR(_xlfn.SINGLE(_xlfn.XLOOKUP(G513, Réttabanki!A:A, Réttabanki!AV:AV, "")) * I513 / 100, ""), "")))</f>
        <v/>
      </c>
      <c r="P513" s="26" t="str">
        <f>IF(OR(F513 = "", G513 = "", I513 = ""), "", IF(F513 = "Vara", IFERROR(_xlfn.SINGLE(_xlfn.XLOOKUP(G513, Vöruskrá!A:A, Vöruskrá!J:J, "")) * I513 / 100, ""), IF(F513 = "Réttur", IFERROR(_xlfn.SINGLE(_xlfn.XLOOKUP(G513, Réttabanki!A:A, Réttabanki!AW:AW, "")) * I513 / 100, ""), "")))</f>
        <v/>
      </c>
      <c r="Q513" s="26" t="str">
        <f>IF(OR(F513 = "", G513 = "", I513 = ""), "", IF(F513 = "Vara", IFERROR(_xlfn.SINGLE(_xlfn.XLOOKUP(G513, Vöruskrá!A:A, Vöruskrá!N:N, "")) * I513 / 100, ""), IF(F513 = "Réttur", IFERROR(_xlfn.SINGLE(_xlfn.XLOOKUP(G513, Réttabanki!A:A, Réttabanki!BB:BB, "")) * I513 / 100, ""), "")))</f>
        <v/>
      </c>
    </row>
    <row r="514" spans="2:17">
      <c r="B514" s="33" t="str">
        <f>IF(A514&lt;&gt;"",CHOOSE(WEEKDAY(A514,2),"Mánudagur","Þriðjudagur","Miðvikudagur","Fimmtudagur","Föstudagur","Laugardagur","Sunnudagur"),IF(B513&lt;&gt;"",B513,""))</f>
        <v>Fimmtudagur</v>
      </c>
      <c r="C514" s="33">
        <f>IF(A514&lt;&gt;"",WEEKNUM(A514,21),IF(C513&lt;&gt;"",C513,""))</f>
        <v>27</v>
      </c>
      <c r="D514" s="34"/>
      <c r="E514" s="34"/>
      <c r="F514" s="34"/>
      <c r="G514" s="34"/>
      <c r="H514" s="34"/>
      <c r="I514" s="35"/>
      <c r="J514" s="35"/>
      <c r="K514" s="36"/>
      <c r="L514" s="26" t="str">
        <f>IF(OR(F514 = "", G514 = ""), "", IF(F514 = "Vara", IFERROR(_xlfn.SINGLE(_xlfn.XLOOKUP(G514, Vöruskrá!A:A, Vöruskrá!E:E, "")), ""), IF(F514 = "Réttur", IFERROR(_xlfn.SINGLE(_xlfn.XLOOKUP(G514, Réttabanki!A:A, Réttabanki!AS:AS, "")), ""), "")))</f>
        <v/>
      </c>
      <c r="M514" s="26" t="str">
        <f>IF(OR(F514 = "", G514 = ""), "", IF(F514 = "Vara", IFERROR(_xlfn.SINGLE(_xlfn.XLOOKUP(G514, Vöruskrá!A:A, Vöruskrá!F:F, "")), ""), IF(F514 = "Réttur", IFERROR(_xlfn.SINGLE(_xlfn.XLOOKUP(G514, Réttabanki!A:A, Réttabanki!AT:AT, "")), ""), "")))</f>
        <v/>
      </c>
      <c r="N514" s="26" t="str">
        <f>IF(OR(F514 = "", G514 = ""), "", IF(F514 = "Vara", IFERROR(_xlfn.SINGLE(_xlfn.XLOOKUP(G514, Vöruskrá!A:A, Vöruskrá!G:G, "")), ""), IF(F514 = "Réttur", IFERROR(_xlfn.SINGLE(_xlfn.XLOOKUP(G514, Réttabanki!A:A, Réttabanki!AU:AU, "")), ""), "")))</f>
        <v/>
      </c>
      <c r="O514" s="26" t="str">
        <f>IF(OR(F514 = "", G514 = "", I514 = ""), "", IF(F514 = "Vara", IFERROR(_xlfn.SINGLE(_xlfn.XLOOKUP(G514, Vöruskrá!A:A, Vöruskrá!I:I, "")) * I514 / 100, ""), IF(F514 = "Réttur", IFERROR(_xlfn.SINGLE(_xlfn.XLOOKUP(G514, Réttabanki!A:A, Réttabanki!AV:AV, "")) * I514 / 100, ""), "")))</f>
        <v/>
      </c>
      <c r="P514" s="26" t="str">
        <f>IF(OR(F514 = "", G514 = "", I514 = ""), "", IF(F514 = "Vara", IFERROR(_xlfn.SINGLE(_xlfn.XLOOKUP(G514, Vöruskrá!A:A, Vöruskrá!J:J, "")) * I514 / 100, ""), IF(F514 = "Réttur", IFERROR(_xlfn.SINGLE(_xlfn.XLOOKUP(G514, Réttabanki!A:A, Réttabanki!AW:AW, "")) * I514 / 100, ""), "")))</f>
        <v/>
      </c>
      <c r="Q514" s="26" t="str">
        <f>IF(OR(F514 = "", G514 = "", I514 = ""), "", IF(F514 = "Vara", IFERROR(_xlfn.SINGLE(_xlfn.XLOOKUP(G514, Vöruskrá!A:A, Vöruskrá!N:N, "")) * I514 / 100, ""), IF(F514 = "Réttur", IFERROR(_xlfn.SINGLE(_xlfn.XLOOKUP(G514, Réttabanki!A:A, Réttabanki!BB:BB, "")) * I514 / 100, ""), "")))</f>
        <v/>
      </c>
    </row>
    <row r="515" spans="2:17">
      <c r="B515" s="33" t="str">
        <f>IF(A515&lt;&gt;"",CHOOSE(WEEKDAY(A515,2),"Mánudagur","Þriðjudagur","Miðvikudagur","Fimmtudagur","Föstudagur","Laugardagur","Sunnudagur"),IF(B514&lt;&gt;"",B514,""))</f>
        <v>Fimmtudagur</v>
      </c>
      <c r="C515" s="33">
        <f>IF(A515&lt;&gt;"",WEEKNUM(A515,21),IF(C514&lt;&gt;"",C514,""))</f>
        <v>27</v>
      </c>
      <c r="D515" s="34"/>
      <c r="E515" s="34"/>
      <c r="F515" s="34"/>
      <c r="G515" s="34"/>
      <c r="H515" s="34"/>
      <c r="I515" s="35"/>
      <c r="J515" s="35"/>
      <c r="K515" s="36"/>
      <c r="L515" s="26" t="str">
        <f>IF(OR(F515 = "", G515 = ""), "", IF(F515 = "Vara", IFERROR(_xlfn.SINGLE(_xlfn.XLOOKUP(G515, Vöruskrá!A:A, Vöruskrá!E:E, "")), ""), IF(F515 = "Réttur", IFERROR(_xlfn.SINGLE(_xlfn.XLOOKUP(G515, Réttabanki!A:A, Réttabanki!AS:AS, "")), ""), "")))</f>
        <v/>
      </c>
      <c r="M515" s="26" t="str">
        <f>IF(OR(F515 = "", G515 = ""), "", IF(F515 = "Vara", IFERROR(_xlfn.SINGLE(_xlfn.XLOOKUP(G515, Vöruskrá!A:A, Vöruskrá!F:F, "")), ""), IF(F515 = "Réttur", IFERROR(_xlfn.SINGLE(_xlfn.XLOOKUP(G515, Réttabanki!A:A, Réttabanki!AT:AT, "")), ""), "")))</f>
        <v/>
      </c>
      <c r="N515" s="26" t="str">
        <f>IF(OR(F515 = "", G515 = ""), "", IF(F515 = "Vara", IFERROR(_xlfn.SINGLE(_xlfn.XLOOKUP(G515, Vöruskrá!A:A, Vöruskrá!G:G, "")), ""), IF(F515 = "Réttur", IFERROR(_xlfn.SINGLE(_xlfn.XLOOKUP(G515, Réttabanki!A:A, Réttabanki!AU:AU, "")), ""), "")))</f>
        <v/>
      </c>
      <c r="O515" s="26" t="str">
        <f>IF(OR(F515 = "", G515 = "", I515 = ""), "", IF(F515 = "Vara", IFERROR(_xlfn.SINGLE(_xlfn.XLOOKUP(G515, Vöruskrá!A:A, Vöruskrá!I:I, "")) * I515 / 100, ""), IF(F515 = "Réttur", IFERROR(_xlfn.SINGLE(_xlfn.XLOOKUP(G515, Réttabanki!A:A, Réttabanki!AV:AV, "")) * I515 / 100, ""), "")))</f>
        <v/>
      </c>
      <c r="P515" s="26" t="str">
        <f>IF(OR(F515 = "", G515 = "", I515 = ""), "", IF(F515 = "Vara", IFERROR(_xlfn.SINGLE(_xlfn.XLOOKUP(G515, Vöruskrá!A:A, Vöruskrá!J:J, "")) * I515 / 100, ""), IF(F515 = "Réttur", IFERROR(_xlfn.SINGLE(_xlfn.XLOOKUP(G515, Réttabanki!A:A, Réttabanki!AW:AW, "")) * I515 / 100, ""), "")))</f>
        <v/>
      </c>
      <c r="Q515" s="26" t="str">
        <f>IF(OR(F515 = "", G515 = "", I515 = ""), "", IF(F515 = "Vara", IFERROR(_xlfn.SINGLE(_xlfn.XLOOKUP(G515, Vöruskrá!A:A, Vöruskrá!N:N, "")) * I515 / 100, ""), IF(F515 = "Réttur", IFERROR(_xlfn.SINGLE(_xlfn.XLOOKUP(G515, Réttabanki!A:A, Réttabanki!BB:BB, "")) * I515 / 100, ""), "")))</f>
        <v/>
      </c>
    </row>
    <row r="516" spans="2:17">
      <c r="B516" s="33" t="str">
        <f>IF(A516&lt;&gt;"",CHOOSE(WEEKDAY(A516,2),"Mánudagur","Þriðjudagur","Miðvikudagur","Fimmtudagur","Föstudagur","Laugardagur","Sunnudagur"),IF(B515&lt;&gt;"",B515,""))</f>
        <v>Fimmtudagur</v>
      </c>
      <c r="C516" s="33">
        <f>IF(A516&lt;&gt;"",WEEKNUM(A516,21),IF(C515&lt;&gt;"",C515,""))</f>
        <v>27</v>
      </c>
      <c r="D516" s="34"/>
      <c r="E516" s="34"/>
      <c r="F516" s="34"/>
      <c r="G516" s="34"/>
      <c r="H516" s="34"/>
      <c r="I516" s="35"/>
      <c r="J516" s="35"/>
      <c r="K516" s="36"/>
      <c r="L516" s="26" t="str">
        <f>IF(OR(F516 = "", G516 = ""), "", IF(F516 = "Vara", IFERROR(_xlfn.SINGLE(_xlfn.XLOOKUP(G516, Vöruskrá!A:A, Vöruskrá!E:E, "")), ""), IF(F516 = "Réttur", IFERROR(_xlfn.SINGLE(_xlfn.XLOOKUP(G516, Réttabanki!A:A, Réttabanki!AS:AS, "")), ""), "")))</f>
        <v/>
      </c>
      <c r="M516" s="26" t="str">
        <f>IF(OR(F516 = "", G516 = ""), "", IF(F516 = "Vara", IFERROR(_xlfn.SINGLE(_xlfn.XLOOKUP(G516, Vöruskrá!A:A, Vöruskrá!F:F, "")), ""), IF(F516 = "Réttur", IFERROR(_xlfn.SINGLE(_xlfn.XLOOKUP(G516, Réttabanki!A:A, Réttabanki!AT:AT, "")), ""), "")))</f>
        <v/>
      </c>
      <c r="N516" s="26" t="str">
        <f>IF(OR(F516 = "", G516 = ""), "", IF(F516 = "Vara", IFERROR(_xlfn.SINGLE(_xlfn.XLOOKUP(G516, Vöruskrá!A:A, Vöruskrá!G:G, "")), ""), IF(F516 = "Réttur", IFERROR(_xlfn.SINGLE(_xlfn.XLOOKUP(G516, Réttabanki!A:A, Réttabanki!AU:AU, "")), ""), "")))</f>
        <v/>
      </c>
      <c r="O516" s="26" t="str">
        <f>IF(OR(F516 = "", G516 = "", I516 = ""), "", IF(F516 = "Vara", IFERROR(_xlfn.SINGLE(_xlfn.XLOOKUP(G516, Vöruskrá!A:A, Vöruskrá!I:I, "")) * I516 / 100, ""), IF(F516 = "Réttur", IFERROR(_xlfn.SINGLE(_xlfn.XLOOKUP(G516, Réttabanki!A:A, Réttabanki!AV:AV, "")) * I516 / 100, ""), "")))</f>
        <v/>
      </c>
      <c r="P516" s="26" t="str">
        <f>IF(OR(F516 = "", G516 = "", I516 = ""), "", IF(F516 = "Vara", IFERROR(_xlfn.SINGLE(_xlfn.XLOOKUP(G516, Vöruskrá!A:A, Vöruskrá!J:J, "")) * I516 / 100, ""), IF(F516 = "Réttur", IFERROR(_xlfn.SINGLE(_xlfn.XLOOKUP(G516, Réttabanki!A:A, Réttabanki!AW:AW, "")) * I516 / 100, ""), "")))</f>
        <v/>
      </c>
      <c r="Q516" s="26" t="str">
        <f>IF(OR(F516 = "", G516 = "", I516 = ""), "", IF(F516 = "Vara", IFERROR(_xlfn.SINGLE(_xlfn.XLOOKUP(G516, Vöruskrá!A:A, Vöruskrá!N:N, "")) * I516 / 100, ""), IF(F516 = "Réttur", IFERROR(_xlfn.SINGLE(_xlfn.XLOOKUP(G516, Réttabanki!A:A, Réttabanki!BB:BB, "")) * I516 / 100, ""), "")))</f>
        <v/>
      </c>
    </row>
    <row r="517" spans="2:17">
      <c r="B517" s="33" t="str">
        <f>IF(A517&lt;&gt;"",CHOOSE(WEEKDAY(A517,2),"Mánudagur","Þriðjudagur","Miðvikudagur","Fimmtudagur","Föstudagur","Laugardagur","Sunnudagur"),IF(B516&lt;&gt;"",B516,""))</f>
        <v>Fimmtudagur</v>
      </c>
      <c r="C517" s="33">
        <f>IF(A517&lt;&gt;"",WEEKNUM(A517,21),IF(C516&lt;&gt;"",C516,""))</f>
        <v>27</v>
      </c>
      <c r="D517" s="34"/>
      <c r="E517" s="34"/>
      <c r="F517" s="34"/>
      <c r="G517" s="34"/>
      <c r="H517" s="34"/>
      <c r="I517" s="35"/>
      <c r="J517" s="35"/>
      <c r="K517" s="36"/>
      <c r="L517" s="26" t="str">
        <f>IF(OR(F517 = "", G517 = ""), "", IF(F517 = "Vara", IFERROR(_xlfn.SINGLE(_xlfn.XLOOKUP(G517, Vöruskrá!A:A, Vöruskrá!E:E, "")), ""), IF(F517 = "Réttur", IFERROR(_xlfn.SINGLE(_xlfn.XLOOKUP(G517, Réttabanki!A:A, Réttabanki!AS:AS, "")), ""), "")))</f>
        <v/>
      </c>
      <c r="M517" s="26" t="str">
        <f>IF(OR(F517 = "", G517 = ""), "", IF(F517 = "Vara", IFERROR(_xlfn.SINGLE(_xlfn.XLOOKUP(G517, Vöruskrá!A:A, Vöruskrá!F:F, "")), ""), IF(F517 = "Réttur", IFERROR(_xlfn.SINGLE(_xlfn.XLOOKUP(G517, Réttabanki!A:A, Réttabanki!AT:AT, "")), ""), "")))</f>
        <v/>
      </c>
      <c r="N517" s="26" t="str">
        <f>IF(OR(F517 = "", G517 = ""), "", IF(F517 = "Vara", IFERROR(_xlfn.SINGLE(_xlfn.XLOOKUP(G517, Vöruskrá!A:A, Vöruskrá!G:G, "")), ""), IF(F517 = "Réttur", IFERROR(_xlfn.SINGLE(_xlfn.XLOOKUP(G517, Réttabanki!A:A, Réttabanki!AU:AU, "")), ""), "")))</f>
        <v/>
      </c>
      <c r="O517" s="26" t="str">
        <f>IF(OR(F517 = "", G517 = "", I517 = ""), "", IF(F517 = "Vara", IFERROR(_xlfn.SINGLE(_xlfn.XLOOKUP(G517, Vöruskrá!A:A, Vöruskrá!I:I, "")) * I517 / 100, ""), IF(F517 = "Réttur", IFERROR(_xlfn.SINGLE(_xlfn.XLOOKUP(G517, Réttabanki!A:A, Réttabanki!AV:AV, "")) * I517 / 100, ""), "")))</f>
        <v/>
      </c>
      <c r="P517" s="26" t="str">
        <f>IF(OR(F517 = "", G517 = "", I517 = ""), "", IF(F517 = "Vara", IFERROR(_xlfn.SINGLE(_xlfn.XLOOKUP(G517, Vöruskrá!A:A, Vöruskrá!J:J, "")) * I517 / 100, ""), IF(F517 = "Réttur", IFERROR(_xlfn.SINGLE(_xlfn.XLOOKUP(G517, Réttabanki!A:A, Réttabanki!AW:AW, "")) * I517 / 100, ""), "")))</f>
        <v/>
      </c>
      <c r="Q517" s="26" t="str">
        <f>IF(OR(F517 = "", G517 = "", I517 = ""), "", IF(F517 = "Vara", IFERROR(_xlfn.SINGLE(_xlfn.XLOOKUP(G517, Vöruskrá!A:A, Vöruskrá!N:N, "")) * I517 / 100, ""), IF(F517 = "Réttur", IFERROR(_xlfn.SINGLE(_xlfn.XLOOKUP(G517, Réttabanki!A:A, Réttabanki!BB:BB, "")) * I517 / 100, ""), "")))</f>
        <v/>
      </c>
    </row>
    <row r="518" spans="2:17">
      <c r="B518" s="33" t="str">
        <f>IF(A518&lt;&gt;"",CHOOSE(WEEKDAY(A518,2),"Mánudagur","Þriðjudagur","Miðvikudagur","Fimmtudagur","Föstudagur","Laugardagur","Sunnudagur"),IF(B517&lt;&gt;"",B517,""))</f>
        <v>Fimmtudagur</v>
      </c>
      <c r="C518" s="33">
        <f>IF(A518&lt;&gt;"",WEEKNUM(A518,21),IF(C517&lt;&gt;"",C517,""))</f>
        <v>27</v>
      </c>
      <c r="D518" s="34"/>
      <c r="E518" s="34"/>
      <c r="F518" s="34"/>
      <c r="G518" s="34"/>
      <c r="H518" s="34"/>
      <c r="I518" s="35"/>
      <c r="J518" s="35"/>
      <c r="K518" s="36"/>
      <c r="L518" s="26" t="str">
        <f>IF(OR(F518 = "", G518 = ""), "", IF(F518 = "Vara", IFERROR(_xlfn.SINGLE(_xlfn.XLOOKUP(G518, Vöruskrá!A:A, Vöruskrá!E:E, "")), ""), IF(F518 = "Réttur", IFERROR(_xlfn.SINGLE(_xlfn.XLOOKUP(G518, Réttabanki!A:A, Réttabanki!AS:AS, "")), ""), "")))</f>
        <v/>
      </c>
      <c r="M518" s="26" t="str">
        <f>IF(OR(F518 = "", G518 = ""), "", IF(F518 = "Vara", IFERROR(_xlfn.SINGLE(_xlfn.XLOOKUP(G518, Vöruskrá!A:A, Vöruskrá!F:F, "")), ""), IF(F518 = "Réttur", IFERROR(_xlfn.SINGLE(_xlfn.XLOOKUP(G518, Réttabanki!A:A, Réttabanki!AT:AT, "")), ""), "")))</f>
        <v/>
      </c>
      <c r="N518" s="26" t="str">
        <f>IF(OR(F518 = "", G518 = ""), "", IF(F518 = "Vara", IFERROR(_xlfn.SINGLE(_xlfn.XLOOKUP(G518, Vöruskrá!A:A, Vöruskrá!G:G, "")), ""), IF(F518 = "Réttur", IFERROR(_xlfn.SINGLE(_xlfn.XLOOKUP(G518, Réttabanki!A:A, Réttabanki!AU:AU, "")), ""), "")))</f>
        <v/>
      </c>
      <c r="O518" s="26" t="str">
        <f>IF(OR(F518 = "", G518 = "", I518 = ""), "", IF(F518 = "Vara", IFERROR(_xlfn.SINGLE(_xlfn.XLOOKUP(G518, Vöruskrá!A:A, Vöruskrá!I:I, "")) * I518 / 100, ""), IF(F518 = "Réttur", IFERROR(_xlfn.SINGLE(_xlfn.XLOOKUP(G518, Réttabanki!A:A, Réttabanki!AV:AV, "")) * I518 / 100, ""), "")))</f>
        <v/>
      </c>
      <c r="P518" s="26" t="str">
        <f>IF(OR(F518 = "", G518 = "", I518 = ""), "", IF(F518 = "Vara", IFERROR(_xlfn.SINGLE(_xlfn.XLOOKUP(G518, Vöruskrá!A:A, Vöruskrá!J:J, "")) * I518 / 100, ""), IF(F518 = "Réttur", IFERROR(_xlfn.SINGLE(_xlfn.XLOOKUP(G518, Réttabanki!A:A, Réttabanki!AW:AW, "")) * I518 / 100, ""), "")))</f>
        <v/>
      </c>
      <c r="Q518" s="26" t="str">
        <f>IF(OR(F518 = "", G518 = "", I518 = ""), "", IF(F518 = "Vara", IFERROR(_xlfn.SINGLE(_xlfn.XLOOKUP(G518, Vöruskrá!A:A, Vöruskrá!N:N, "")) * I518 / 100, ""), IF(F518 = "Réttur", IFERROR(_xlfn.SINGLE(_xlfn.XLOOKUP(G518, Réttabanki!A:A, Réttabanki!BB:BB, "")) * I518 / 100, ""), "")))</f>
        <v/>
      </c>
    </row>
    <row r="519" spans="2:17">
      <c r="B519" s="33" t="str">
        <f>IF(A519&lt;&gt;"",CHOOSE(WEEKDAY(A519,2),"Mánudagur","Þriðjudagur","Miðvikudagur","Fimmtudagur","Föstudagur","Laugardagur","Sunnudagur"),IF(B518&lt;&gt;"",B518,""))</f>
        <v>Fimmtudagur</v>
      </c>
      <c r="C519" s="33">
        <f>IF(A519&lt;&gt;"",WEEKNUM(A519,21),IF(C518&lt;&gt;"",C518,""))</f>
        <v>27</v>
      </c>
      <c r="D519" s="34"/>
      <c r="E519" s="34"/>
      <c r="F519" s="34"/>
      <c r="G519" s="34"/>
      <c r="H519" s="34"/>
      <c r="I519" s="35"/>
      <c r="J519" s="35"/>
      <c r="K519" s="36"/>
      <c r="L519" s="26" t="str">
        <f>IF(OR(F519 = "", G519 = ""), "", IF(F519 = "Vara", IFERROR(_xlfn.SINGLE(_xlfn.XLOOKUP(G519, Vöruskrá!A:A, Vöruskrá!E:E, "")), ""), IF(F519 = "Réttur", IFERROR(_xlfn.SINGLE(_xlfn.XLOOKUP(G519, Réttabanki!A:A, Réttabanki!AS:AS, "")), ""), "")))</f>
        <v/>
      </c>
      <c r="M519" s="26" t="str">
        <f>IF(OR(F519 = "", G519 = ""), "", IF(F519 = "Vara", IFERROR(_xlfn.SINGLE(_xlfn.XLOOKUP(G519, Vöruskrá!A:A, Vöruskrá!F:F, "")), ""), IF(F519 = "Réttur", IFERROR(_xlfn.SINGLE(_xlfn.XLOOKUP(G519, Réttabanki!A:A, Réttabanki!AT:AT, "")), ""), "")))</f>
        <v/>
      </c>
      <c r="N519" s="26" t="str">
        <f>IF(OR(F519 = "", G519 = ""), "", IF(F519 = "Vara", IFERROR(_xlfn.SINGLE(_xlfn.XLOOKUP(G519, Vöruskrá!A:A, Vöruskrá!G:G, "")), ""), IF(F519 = "Réttur", IFERROR(_xlfn.SINGLE(_xlfn.XLOOKUP(G519, Réttabanki!A:A, Réttabanki!AU:AU, "")), ""), "")))</f>
        <v/>
      </c>
      <c r="O519" s="26" t="str">
        <f>IF(OR(F519 = "", G519 = "", I519 = ""), "", IF(F519 = "Vara", IFERROR(_xlfn.SINGLE(_xlfn.XLOOKUP(G519, Vöruskrá!A:A, Vöruskrá!I:I, "")) * I519 / 100, ""), IF(F519 = "Réttur", IFERROR(_xlfn.SINGLE(_xlfn.XLOOKUP(G519, Réttabanki!A:A, Réttabanki!AV:AV, "")) * I519 / 100, ""), "")))</f>
        <v/>
      </c>
      <c r="P519" s="26" t="str">
        <f>IF(OR(F519 = "", G519 = "", I519 = ""), "", IF(F519 = "Vara", IFERROR(_xlfn.SINGLE(_xlfn.XLOOKUP(G519, Vöruskrá!A:A, Vöruskrá!J:J, "")) * I519 / 100, ""), IF(F519 = "Réttur", IFERROR(_xlfn.SINGLE(_xlfn.XLOOKUP(G519, Réttabanki!A:A, Réttabanki!AW:AW, "")) * I519 / 100, ""), "")))</f>
        <v/>
      </c>
      <c r="Q519" s="26" t="str">
        <f>IF(OR(F519 = "", G519 = "", I519 = ""), "", IF(F519 = "Vara", IFERROR(_xlfn.SINGLE(_xlfn.XLOOKUP(G519, Vöruskrá!A:A, Vöruskrá!N:N, "")) * I519 / 100, ""), IF(F519 = "Réttur", IFERROR(_xlfn.SINGLE(_xlfn.XLOOKUP(G519, Réttabanki!A:A, Réttabanki!BB:BB, "")) * I519 / 100, ""), "")))</f>
        <v/>
      </c>
    </row>
    <row r="520" spans="2:17">
      <c r="B520" s="33" t="str">
        <f>IF(A520&lt;&gt;"",CHOOSE(WEEKDAY(A520,2),"Mánudagur","Þriðjudagur","Miðvikudagur","Fimmtudagur","Föstudagur","Laugardagur","Sunnudagur"),IF(B519&lt;&gt;"",B519,""))</f>
        <v>Fimmtudagur</v>
      </c>
      <c r="C520" s="33">
        <f>IF(A520&lt;&gt;"",WEEKNUM(A520,21),IF(C519&lt;&gt;"",C519,""))</f>
        <v>27</v>
      </c>
      <c r="D520" s="34"/>
      <c r="E520" s="34"/>
      <c r="F520" s="34"/>
      <c r="G520" s="34"/>
      <c r="H520" s="34"/>
      <c r="I520" s="35"/>
      <c r="J520" s="35"/>
      <c r="K520" s="36"/>
      <c r="L520" s="26" t="str">
        <f>IF(OR(F520 = "", G520 = ""), "", IF(F520 = "Vara", IFERROR(_xlfn.SINGLE(_xlfn.XLOOKUP(G520, Vöruskrá!A:A, Vöruskrá!E:E, "")), ""), IF(F520 = "Réttur", IFERROR(_xlfn.SINGLE(_xlfn.XLOOKUP(G520, Réttabanki!A:A, Réttabanki!AS:AS, "")), ""), "")))</f>
        <v/>
      </c>
      <c r="M520" s="26" t="str">
        <f>IF(OR(F520 = "", G520 = ""), "", IF(F520 = "Vara", IFERROR(_xlfn.SINGLE(_xlfn.XLOOKUP(G520, Vöruskrá!A:A, Vöruskrá!F:F, "")), ""), IF(F520 = "Réttur", IFERROR(_xlfn.SINGLE(_xlfn.XLOOKUP(G520, Réttabanki!A:A, Réttabanki!AT:AT, "")), ""), "")))</f>
        <v/>
      </c>
      <c r="N520" s="26" t="str">
        <f>IF(OR(F520 = "", G520 = ""), "", IF(F520 = "Vara", IFERROR(_xlfn.SINGLE(_xlfn.XLOOKUP(G520, Vöruskrá!A:A, Vöruskrá!G:G, "")), ""), IF(F520 = "Réttur", IFERROR(_xlfn.SINGLE(_xlfn.XLOOKUP(G520, Réttabanki!A:A, Réttabanki!AU:AU, "")), ""), "")))</f>
        <v/>
      </c>
      <c r="O520" s="26" t="str">
        <f>IF(OR(F520 = "", G520 = "", I520 = ""), "", IF(F520 = "Vara", IFERROR(_xlfn.SINGLE(_xlfn.XLOOKUP(G520, Vöruskrá!A:A, Vöruskrá!I:I, "")) * I520 / 100, ""), IF(F520 = "Réttur", IFERROR(_xlfn.SINGLE(_xlfn.XLOOKUP(G520, Réttabanki!A:A, Réttabanki!AV:AV, "")) * I520 / 100, ""), "")))</f>
        <v/>
      </c>
      <c r="P520" s="26" t="str">
        <f>IF(OR(F520 = "", G520 = "", I520 = ""), "", IF(F520 = "Vara", IFERROR(_xlfn.SINGLE(_xlfn.XLOOKUP(G520, Vöruskrá!A:A, Vöruskrá!J:J, "")) * I520 / 100, ""), IF(F520 = "Réttur", IFERROR(_xlfn.SINGLE(_xlfn.XLOOKUP(G520, Réttabanki!A:A, Réttabanki!AW:AW, "")) * I520 / 100, ""), "")))</f>
        <v/>
      </c>
      <c r="Q520" s="26" t="str">
        <f>IF(OR(F520 = "", G520 = "", I520 = ""), "", IF(F520 = "Vara", IFERROR(_xlfn.SINGLE(_xlfn.XLOOKUP(G520, Vöruskrá!A:A, Vöruskrá!N:N, "")) * I520 / 100, ""), IF(F520 = "Réttur", IFERROR(_xlfn.SINGLE(_xlfn.XLOOKUP(G520, Réttabanki!A:A, Réttabanki!BB:BB, "")) * I520 / 100, ""), "")))</f>
        <v/>
      </c>
    </row>
    <row r="521" spans="2:17">
      <c r="B521" s="33" t="str">
        <f>IF(A521&lt;&gt;"",CHOOSE(WEEKDAY(A521,2),"Mánudagur","Þriðjudagur","Miðvikudagur","Fimmtudagur","Föstudagur","Laugardagur","Sunnudagur"),IF(B520&lt;&gt;"",B520,""))</f>
        <v>Fimmtudagur</v>
      </c>
      <c r="C521" s="33">
        <f>IF(A521&lt;&gt;"",WEEKNUM(A521,21),IF(C520&lt;&gt;"",C520,""))</f>
        <v>27</v>
      </c>
      <c r="D521" s="34"/>
      <c r="E521" s="34"/>
      <c r="F521" s="34"/>
      <c r="G521" s="34"/>
      <c r="H521" s="34"/>
      <c r="I521" s="35"/>
      <c r="J521" s="35"/>
      <c r="K521" s="36"/>
      <c r="L521" s="26" t="str">
        <f>IF(OR(F521 = "", G521 = ""), "", IF(F521 = "Vara", IFERROR(_xlfn.SINGLE(_xlfn.XLOOKUP(G521, Vöruskrá!A:A, Vöruskrá!E:E, "")), ""), IF(F521 = "Réttur", IFERROR(_xlfn.SINGLE(_xlfn.XLOOKUP(G521, Réttabanki!A:A, Réttabanki!AS:AS, "")), ""), "")))</f>
        <v/>
      </c>
      <c r="M521" s="26" t="str">
        <f>IF(OR(F521 = "", G521 = ""), "", IF(F521 = "Vara", IFERROR(_xlfn.SINGLE(_xlfn.XLOOKUP(G521, Vöruskrá!A:A, Vöruskrá!F:F, "")), ""), IF(F521 = "Réttur", IFERROR(_xlfn.SINGLE(_xlfn.XLOOKUP(G521, Réttabanki!A:A, Réttabanki!AT:AT, "")), ""), "")))</f>
        <v/>
      </c>
      <c r="N521" s="26" t="str">
        <f>IF(OR(F521 = "", G521 = ""), "", IF(F521 = "Vara", IFERROR(_xlfn.SINGLE(_xlfn.XLOOKUP(G521, Vöruskrá!A:A, Vöruskrá!G:G, "")), ""), IF(F521 = "Réttur", IFERROR(_xlfn.SINGLE(_xlfn.XLOOKUP(G521, Réttabanki!A:A, Réttabanki!AU:AU, "")), ""), "")))</f>
        <v/>
      </c>
      <c r="O521" s="26" t="str">
        <f>IF(OR(F521 = "", G521 = "", I521 = ""), "", IF(F521 = "Vara", IFERROR(_xlfn.SINGLE(_xlfn.XLOOKUP(G521, Vöruskrá!A:A, Vöruskrá!I:I, "")) * I521 / 100, ""), IF(F521 = "Réttur", IFERROR(_xlfn.SINGLE(_xlfn.XLOOKUP(G521, Réttabanki!A:A, Réttabanki!AV:AV, "")) * I521 / 100, ""), "")))</f>
        <v/>
      </c>
      <c r="P521" s="26" t="str">
        <f>IF(OR(F521 = "", G521 = "", I521 = ""), "", IF(F521 = "Vara", IFERROR(_xlfn.SINGLE(_xlfn.XLOOKUP(G521, Vöruskrá!A:A, Vöruskrá!J:J, "")) * I521 / 100, ""), IF(F521 = "Réttur", IFERROR(_xlfn.SINGLE(_xlfn.XLOOKUP(G521, Réttabanki!A:A, Réttabanki!AW:AW, "")) * I521 / 100, ""), "")))</f>
        <v/>
      </c>
      <c r="Q521" s="26" t="str">
        <f>IF(OR(F521 = "", G521 = "", I521 = ""), "", IF(F521 = "Vara", IFERROR(_xlfn.SINGLE(_xlfn.XLOOKUP(G521, Vöruskrá!A:A, Vöruskrá!N:N, "")) * I521 / 100, ""), IF(F521 = "Réttur", IFERROR(_xlfn.SINGLE(_xlfn.XLOOKUP(G521, Réttabanki!A:A, Réttabanki!BB:BB, "")) * I521 / 100, ""), "")))</f>
        <v/>
      </c>
    </row>
    <row r="522" spans="2:17">
      <c r="B522" s="33" t="str">
        <f>IF(A522&lt;&gt;"",CHOOSE(WEEKDAY(A522,2),"Mánudagur","Þriðjudagur","Miðvikudagur","Fimmtudagur","Föstudagur","Laugardagur","Sunnudagur"),IF(B521&lt;&gt;"",B521,""))</f>
        <v>Fimmtudagur</v>
      </c>
      <c r="C522" s="33">
        <f>IF(A522&lt;&gt;"",WEEKNUM(A522,21),IF(C521&lt;&gt;"",C521,""))</f>
        <v>27</v>
      </c>
      <c r="D522" s="34"/>
      <c r="E522" s="34"/>
      <c r="F522" s="34"/>
      <c r="G522" s="34"/>
      <c r="H522" s="34"/>
      <c r="I522" s="35"/>
      <c r="J522" s="35"/>
      <c r="K522" s="36"/>
      <c r="L522" s="26" t="str">
        <f>IF(OR(F522 = "", G522 = ""), "", IF(F522 = "Vara", IFERROR(_xlfn.SINGLE(_xlfn.XLOOKUP(G522, Vöruskrá!A:A, Vöruskrá!E:E, "")), ""), IF(F522 = "Réttur", IFERROR(_xlfn.SINGLE(_xlfn.XLOOKUP(G522, Réttabanki!A:A, Réttabanki!AS:AS, "")), ""), "")))</f>
        <v/>
      </c>
      <c r="M522" s="26" t="str">
        <f>IF(OR(F522 = "", G522 = ""), "", IF(F522 = "Vara", IFERROR(_xlfn.SINGLE(_xlfn.XLOOKUP(G522, Vöruskrá!A:A, Vöruskrá!F:F, "")), ""), IF(F522 = "Réttur", IFERROR(_xlfn.SINGLE(_xlfn.XLOOKUP(G522, Réttabanki!A:A, Réttabanki!AT:AT, "")), ""), "")))</f>
        <v/>
      </c>
      <c r="N522" s="26" t="str">
        <f>IF(OR(F522 = "", G522 = ""), "", IF(F522 = "Vara", IFERROR(_xlfn.SINGLE(_xlfn.XLOOKUP(G522, Vöruskrá!A:A, Vöruskrá!G:G, "")), ""), IF(F522 = "Réttur", IFERROR(_xlfn.SINGLE(_xlfn.XLOOKUP(G522, Réttabanki!A:A, Réttabanki!AU:AU, "")), ""), "")))</f>
        <v/>
      </c>
      <c r="O522" s="26" t="str">
        <f>IF(OR(F522 = "", G522 = "", I522 = ""), "", IF(F522 = "Vara", IFERROR(_xlfn.SINGLE(_xlfn.XLOOKUP(G522, Vöruskrá!A:A, Vöruskrá!I:I, "")) * I522 / 100, ""), IF(F522 = "Réttur", IFERROR(_xlfn.SINGLE(_xlfn.XLOOKUP(G522, Réttabanki!A:A, Réttabanki!AV:AV, "")) * I522 / 100, ""), "")))</f>
        <v/>
      </c>
      <c r="P522" s="26" t="str">
        <f>IF(OR(F522 = "", G522 = "", I522 = ""), "", IF(F522 = "Vara", IFERROR(_xlfn.SINGLE(_xlfn.XLOOKUP(G522, Vöruskrá!A:A, Vöruskrá!J:J, "")) * I522 / 100, ""), IF(F522 = "Réttur", IFERROR(_xlfn.SINGLE(_xlfn.XLOOKUP(G522, Réttabanki!A:A, Réttabanki!AW:AW, "")) * I522 / 100, ""), "")))</f>
        <v/>
      </c>
      <c r="Q522" s="26" t="str">
        <f>IF(OR(F522 = "", G522 = "", I522 = ""), "", IF(F522 = "Vara", IFERROR(_xlfn.SINGLE(_xlfn.XLOOKUP(G522, Vöruskrá!A:A, Vöruskrá!N:N, "")) * I522 / 100, ""), IF(F522 = "Réttur", IFERROR(_xlfn.SINGLE(_xlfn.XLOOKUP(G522, Réttabanki!A:A, Réttabanki!BB:BB, "")) * I522 / 100, ""), "")))</f>
        <v/>
      </c>
    </row>
    <row r="523" spans="2:17">
      <c r="B523" s="33" t="str">
        <f>IF(A523&lt;&gt;"",CHOOSE(WEEKDAY(A523,2),"Mánudagur","Þriðjudagur","Miðvikudagur","Fimmtudagur","Föstudagur","Laugardagur","Sunnudagur"),IF(B522&lt;&gt;"",B522,""))</f>
        <v>Fimmtudagur</v>
      </c>
      <c r="C523" s="33">
        <f>IF(A523&lt;&gt;"",WEEKNUM(A523,21),IF(C522&lt;&gt;"",C522,""))</f>
        <v>27</v>
      </c>
      <c r="D523" s="34"/>
      <c r="E523" s="34"/>
      <c r="F523" s="34"/>
      <c r="G523" s="34"/>
      <c r="H523" s="34"/>
      <c r="I523" s="35"/>
      <c r="J523" s="35"/>
      <c r="K523" s="36"/>
      <c r="L523" s="26" t="str">
        <f>IF(OR(F523 = "", G523 = ""), "", IF(F523 = "Vara", IFERROR(_xlfn.SINGLE(_xlfn.XLOOKUP(G523, Vöruskrá!A:A, Vöruskrá!E:E, "")), ""), IF(F523 = "Réttur", IFERROR(_xlfn.SINGLE(_xlfn.XLOOKUP(G523, Réttabanki!A:A, Réttabanki!AS:AS, "")), ""), "")))</f>
        <v/>
      </c>
      <c r="M523" s="26" t="str">
        <f>IF(OR(F523 = "", G523 = ""), "", IF(F523 = "Vara", IFERROR(_xlfn.SINGLE(_xlfn.XLOOKUP(G523, Vöruskrá!A:A, Vöruskrá!F:F, "")), ""), IF(F523 = "Réttur", IFERROR(_xlfn.SINGLE(_xlfn.XLOOKUP(G523, Réttabanki!A:A, Réttabanki!AT:AT, "")), ""), "")))</f>
        <v/>
      </c>
      <c r="N523" s="26" t="str">
        <f>IF(OR(F523 = "", G523 = ""), "", IF(F523 = "Vara", IFERROR(_xlfn.SINGLE(_xlfn.XLOOKUP(G523, Vöruskrá!A:A, Vöruskrá!G:G, "")), ""), IF(F523 = "Réttur", IFERROR(_xlfn.SINGLE(_xlfn.XLOOKUP(G523, Réttabanki!A:A, Réttabanki!AU:AU, "")), ""), "")))</f>
        <v/>
      </c>
      <c r="O523" s="26" t="str">
        <f>IF(OR(F523 = "", G523 = "", I523 = ""), "", IF(F523 = "Vara", IFERROR(_xlfn.SINGLE(_xlfn.XLOOKUP(G523, Vöruskrá!A:A, Vöruskrá!I:I, "")) * I523 / 100, ""), IF(F523 = "Réttur", IFERROR(_xlfn.SINGLE(_xlfn.XLOOKUP(G523, Réttabanki!A:A, Réttabanki!AV:AV, "")) * I523 / 100, ""), "")))</f>
        <v/>
      </c>
      <c r="P523" s="26" t="str">
        <f>IF(OR(F523 = "", G523 = "", I523 = ""), "", IF(F523 = "Vara", IFERROR(_xlfn.SINGLE(_xlfn.XLOOKUP(G523, Vöruskrá!A:A, Vöruskrá!J:J, "")) * I523 / 100, ""), IF(F523 = "Réttur", IFERROR(_xlfn.SINGLE(_xlfn.XLOOKUP(G523, Réttabanki!A:A, Réttabanki!AW:AW, "")) * I523 / 100, ""), "")))</f>
        <v/>
      </c>
      <c r="Q523" s="26" t="str">
        <f>IF(OR(F523 = "", G523 = "", I523 = ""), "", IF(F523 = "Vara", IFERROR(_xlfn.SINGLE(_xlfn.XLOOKUP(G523, Vöruskrá!A:A, Vöruskrá!N:N, "")) * I523 / 100, ""), IF(F523 = "Réttur", IFERROR(_xlfn.SINGLE(_xlfn.XLOOKUP(G523, Réttabanki!A:A, Réttabanki!BB:BB, "")) * I523 / 100, ""), "")))</f>
        <v/>
      </c>
    </row>
    <row r="524" spans="2:17">
      <c r="B524" s="33" t="str">
        <f>IF(A524&lt;&gt;"",CHOOSE(WEEKDAY(A524,2),"Mánudagur","Þriðjudagur","Miðvikudagur","Fimmtudagur","Föstudagur","Laugardagur","Sunnudagur"),IF(B523&lt;&gt;"",B523,""))</f>
        <v>Fimmtudagur</v>
      </c>
      <c r="C524" s="33">
        <f>IF(A524&lt;&gt;"",WEEKNUM(A524,21),IF(C523&lt;&gt;"",C523,""))</f>
        <v>27</v>
      </c>
      <c r="D524" s="34"/>
      <c r="E524" s="34"/>
      <c r="F524" s="34"/>
      <c r="G524" s="34"/>
      <c r="H524" s="34"/>
      <c r="I524" s="35"/>
      <c r="J524" s="35"/>
      <c r="K524" s="36"/>
      <c r="L524" s="26" t="str">
        <f>IF(OR(F524 = "", G524 = ""), "", IF(F524 = "Vara", IFERROR(_xlfn.SINGLE(_xlfn.XLOOKUP(G524, Vöruskrá!A:A, Vöruskrá!E:E, "")), ""), IF(F524 = "Réttur", IFERROR(_xlfn.SINGLE(_xlfn.XLOOKUP(G524, Réttabanki!A:A, Réttabanki!AS:AS, "")), ""), "")))</f>
        <v/>
      </c>
      <c r="M524" s="26" t="str">
        <f>IF(OR(F524 = "", G524 = ""), "", IF(F524 = "Vara", IFERROR(_xlfn.SINGLE(_xlfn.XLOOKUP(G524, Vöruskrá!A:A, Vöruskrá!F:F, "")), ""), IF(F524 = "Réttur", IFERROR(_xlfn.SINGLE(_xlfn.XLOOKUP(G524, Réttabanki!A:A, Réttabanki!AT:AT, "")), ""), "")))</f>
        <v/>
      </c>
      <c r="N524" s="26" t="str">
        <f>IF(OR(F524 = "", G524 = ""), "", IF(F524 = "Vara", IFERROR(_xlfn.SINGLE(_xlfn.XLOOKUP(G524, Vöruskrá!A:A, Vöruskrá!G:G, "")), ""), IF(F524 = "Réttur", IFERROR(_xlfn.SINGLE(_xlfn.XLOOKUP(G524, Réttabanki!A:A, Réttabanki!AU:AU, "")), ""), "")))</f>
        <v/>
      </c>
      <c r="O524" s="26" t="str">
        <f>IF(OR(F524 = "", G524 = "", I524 = ""), "", IF(F524 = "Vara", IFERROR(_xlfn.SINGLE(_xlfn.XLOOKUP(G524, Vöruskrá!A:A, Vöruskrá!I:I, "")) * I524 / 100, ""), IF(F524 = "Réttur", IFERROR(_xlfn.SINGLE(_xlfn.XLOOKUP(G524, Réttabanki!A:A, Réttabanki!AV:AV, "")) * I524 / 100, ""), "")))</f>
        <v/>
      </c>
      <c r="P524" s="26" t="str">
        <f>IF(OR(F524 = "", G524 = "", I524 = ""), "", IF(F524 = "Vara", IFERROR(_xlfn.SINGLE(_xlfn.XLOOKUP(G524, Vöruskrá!A:A, Vöruskrá!J:J, "")) * I524 / 100, ""), IF(F524 = "Réttur", IFERROR(_xlfn.SINGLE(_xlfn.XLOOKUP(G524, Réttabanki!A:A, Réttabanki!AW:AW, "")) * I524 / 100, ""), "")))</f>
        <v/>
      </c>
      <c r="Q524" s="26" t="str">
        <f>IF(OR(F524 = "", G524 = "", I524 = ""), "", IF(F524 = "Vara", IFERROR(_xlfn.SINGLE(_xlfn.XLOOKUP(G524, Vöruskrá!A:A, Vöruskrá!N:N, "")) * I524 / 100, ""), IF(F524 = "Réttur", IFERROR(_xlfn.SINGLE(_xlfn.XLOOKUP(G524, Réttabanki!A:A, Réttabanki!BB:BB, "")) * I524 / 100, ""), "")))</f>
        <v/>
      </c>
    </row>
    <row r="525" spans="2:17">
      <c r="B525" s="33" t="str">
        <f>IF(A525&lt;&gt;"",CHOOSE(WEEKDAY(A525,2),"Mánudagur","Þriðjudagur","Miðvikudagur","Fimmtudagur","Föstudagur","Laugardagur","Sunnudagur"),IF(B524&lt;&gt;"",B524,""))</f>
        <v>Fimmtudagur</v>
      </c>
      <c r="C525" s="33">
        <f>IF(A525&lt;&gt;"",WEEKNUM(A525,21),IF(C524&lt;&gt;"",C524,""))</f>
        <v>27</v>
      </c>
      <c r="D525" s="34"/>
      <c r="E525" s="34"/>
      <c r="F525" s="34"/>
      <c r="G525" s="34"/>
      <c r="H525" s="34"/>
      <c r="I525" s="35"/>
      <c r="J525" s="35"/>
      <c r="K525" s="36"/>
      <c r="L525" s="26" t="str">
        <f>IF(OR(F525 = "", G525 = ""), "", IF(F525 = "Vara", IFERROR(_xlfn.SINGLE(_xlfn.XLOOKUP(G525, Vöruskrá!A:A, Vöruskrá!E:E, "")), ""), IF(F525 = "Réttur", IFERROR(_xlfn.SINGLE(_xlfn.XLOOKUP(G525, Réttabanki!A:A, Réttabanki!AS:AS, "")), ""), "")))</f>
        <v/>
      </c>
      <c r="M525" s="26" t="str">
        <f>IF(OR(F525 = "", G525 = ""), "", IF(F525 = "Vara", IFERROR(_xlfn.SINGLE(_xlfn.XLOOKUP(G525, Vöruskrá!A:A, Vöruskrá!F:F, "")), ""), IF(F525 = "Réttur", IFERROR(_xlfn.SINGLE(_xlfn.XLOOKUP(G525, Réttabanki!A:A, Réttabanki!AT:AT, "")), ""), "")))</f>
        <v/>
      </c>
      <c r="N525" s="26" t="str">
        <f>IF(OR(F525 = "", G525 = ""), "", IF(F525 = "Vara", IFERROR(_xlfn.SINGLE(_xlfn.XLOOKUP(G525, Vöruskrá!A:A, Vöruskrá!G:G, "")), ""), IF(F525 = "Réttur", IFERROR(_xlfn.SINGLE(_xlfn.XLOOKUP(G525, Réttabanki!A:A, Réttabanki!AU:AU, "")), ""), "")))</f>
        <v/>
      </c>
      <c r="O525" s="26" t="str">
        <f>IF(OR(F525 = "", G525 = "", I525 = ""), "", IF(F525 = "Vara", IFERROR(_xlfn.SINGLE(_xlfn.XLOOKUP(G525, Vöruskrá!A:A, Vöruskrá!I:I, "")) * I525 / 100, ""), IF(F525 = "Réttur", IFERROR(_xlfn.SINGLE(_xlfn.XLOOKUP(G525, Réttabanki!A:A, Réttabanki!AV:AV, "")) * I525 / 100, ""), "")))</f>
        <v/>
      </c>
      <c r="P525" s="26" t="str">
        <f>IF(OR(F525 = "", G525 = "", I525 = ""), "", IF(F525 = "Vara", IFERROR(_xlfn.SINGLE(_xlfn.XLOOKUP(G525, Vöruskrá!A:A, Vöruskrá!J:J, "")) * I525 / 100, ""), IF(F525 = "Réttur", IFERROR(_xlfn.SINGLE(_xlfn.XLOOKUP(G525, Réttabanki!A:A, Réttabanki!AW:AW, "")) * I525 / 100, ""), "")))</f>
        <v/>
      </c>
      <c r="Q525" s="26" t="str">
        <f>IF(OR(F525 = "", G525 = "", I525 = ""), "", IF(F525 = "Vara", IFERROR(_xlfn.SINGLE(_xlfn.XLOOKUP(G525, Vöruskrá!A:A, Vöruskrá!N:N, "")) * I525 / 100, ""), IF(F525 = "Réttur", IFERROR(_xlfn.SINGLE(_xlfn.XLOOKUP(G525, Réttabanki!A:A, Réttabanki!BB:BB, "")) * I525 / 100, ""), "")))</f>
        <v/>
      </c>
    </row>
    <row r="526" spans="2:17">
      <c r="B526" s="33" t="str">
        <f>IF(A526&lt;&gt;"",CHOOSE(WEEKDAY(A526,2),"Mánudagur","Þriðjudagur","Miðvikudagur","Fimmtudagur","Föstudagur","Laugardagur","Sunnudagur"),IF(B525&lt;&gt;"",B525,""))</f>
        <v>Fimmtudagur</v>
      </c>
      <c r="C526" s="33">
        <f>IF(A526&lt;&gt;"",WEEKNUM(A526,21),IF(C525&lt;&gt;"",C525,""))</f>
        <v>27</v>
      </c>
      <c r="D526" s="34"/>
      <c r="E526" s="34"/>
      <c r="F526" s="34"/>
      <c r="G526" s="34"/>
      <c r="H526" s="34"/>
      <c r="I526" s="35"/>
      <c r="J526" s="35"/>
      <c r="K526" s="36"/>
      <c r="L526" s="26" t="str">
        <f>IF(OR(F526 = "", G526 = ""), "", IF(F526 = "Vara", IFERROR(_xlfn.SINGLE(_xlfn.XLOOKUP(G526, Vöruskrá!A:A, Vöruskrá!E:E, "")), ""), IF(F526 = "Réttur", IFERROR(_xlfn.SINGLE(_xlfn.XLOOKUP(G526, Réttabanki!A:A, Réttabanki!AS:AS, "")), ""), "")))</f>
        <v/>
      </c>
      <c r="M526" s="26" t="str">
        <f>IF(OR(F526 = "", G526 = ""), "", IF(F526 = "Vara", IFERROR(_xlfn.SINGLE(_xlfn.XLOOKUP(G526, Vöruskrá!A:A, Vöruskrá!F:F, "")), ""), IF(F526 = "Réttur", IFERROR(_xlfn.SINGLE(_xlfn.XLOOKUP(G526, Réttabanki!A:A, Réttabanki!AT:AT, "")), ""), "")))</f>
        <v/>
      </c>
      <c r="N526" s="26" t="str">
        <f>IF(OR(F526 = "", G526 = ""), "", IF(F526 = "Vara", IFERROR(_xlfn.SINGLE(_xlfn.XLOOKUP(G526, Vöruskrá!A:A, Vöruskrá!G:G, "")), ""), IF(F526 = "Réttur", IFERROR(_xlfn.SINGLE(_xlfn.XLOOKUP(G526, Réttabanki!A:A, Réttabanki!AU:AU, "")), ""), "")))</f>
        <v/>
      </c>
      <c r="O526" s="26" t="str">
        <f>IF(OR(F526 = "", G526 = "", I526 = ""), "", IF(F526 = "Vara", IFERROR(_xlfn.SINGLE(_xlfn.XLOOKUP(G526, Vöruskrá!A:A, Vöruskrá!I:I, "")) * I526 / 100, ""), IF(F526 = "Réttur", IFERROR(_xlfn.SINGLE(_xlfn.XLOOKUP(G526, Réttabanki!A:A, Réttabanki!AV:AV, "")) * I526 / 100, ""), "")))</f>
        <v/>
      </c>
      <c r="P526" s="26" t="str">
        <f>IF(OR(F526 = "", G526 = "", I526 = ""), "", IF(F526 = "Vara", IFERROR(_xlfn.SINGLE(_xlfn.XLOOKUP(G526, Vöruskrá!A:A, Vöruskrá!J:J, "")) * I526 / 100, ""), IF(F526 = "Réttur", IFERROR(_xlfn.SINGLE(_xlfn.XLOOKUP(G526, Réttabanki!A:A, Réttabanki!AW:AW, "")) * I526 / 100, ""), "")))</f>
        <v/>
      </c>
      <c r="Q526" s="26" t="str">
        <f>IF(OR(F526 = "", G526 = "", I526 = ""), "", IF(F526 = "Vara", IFERROR(_xlfn.SINGLE(_xlfn.XLOOKUP(G526, Vöruskrá!A:A, Vöruskrá!N:N, "")) * I526 / 100, ""), IF(F526 = "Réttur", IFERROR(_xlfn.SINGLE(_xlfn.XLOOKUP(G526, Réttabanki!A:A, Réttabanki!BB:BB, "")) * I526 / 100, ""), "")))</f>
        <v/>
      </c>
    </row>
    <row r="527" spans="2:17">
      <c r="B527" s="33" t="str">
        <f>IF(A527&lt;&gt;"",CHOOSE(WEEKDAY(A527,2),"Mánudagur","Þriðjudagur","Miðvikudagur","Fimmtudagur","Föstudagur","Laugardagur","Sunnudagur"),IF(B526&lt;&gt;"",B526,""))</f>
        <v>Fimmtudagur</v>
      </c>
      <c r="C527" s="33">
        <f>IF(A527&lt;&gt;"",WEEKNUM(A527,21),IF(C526&lt;&gt;"",C526,""))</f>
        <v>27</v>
      </c>
      <c r="D527" s="34"/>
      <c r="E527" s="34"/>
      <c r="F527" s="34"/>
      <c r="G527" s="34"/>
      <c r="H527" s="34"/>
      <c r="I527" s="35"/>
      <c r="J527" s="35"/>
      <c r="K527" s="36"/>
      <c r="L527" s="26" t="str">
        <f>IF(OR(F527 = "", G527 = ""), "", IF(F527 = "Vara", IFERROR(_xlfn.SINGLE(_xlfn.XLOOKUP(G527, Vöruskrá!A:A, Vöruskrá!E:E, "")), ""), IF(F527 = "Réttur", IFERROR(_xlfn.SINGLE(_xlfn.XLOOKUP(G527, Réttabanki!A:A, Réttabanki!AS:AS, "")), ""), "")))</f>
        <v/>
      </c>
      <c r="M527" s="26" t="str">
        <f>IF(OR(F527 = "", G527 = ""), "", IF(F527 = "Vara", IFERROR(_xlfn.SINGLE(_xlfn.XLOOKUP(G527, Vöruskrá!A:A, Vöruskrá!F:F, "")), ""), IF(F527 = "Réttur", IFERROR(_xlfn.SINGLE(_xlfn.XLOOKUP(G527, Réttabanki!A:A, Réttabanki!AT:AT, "")), ""), "")))</f>
        <v/>
      </c>
      <c r="N527" s="26" t="str">
        <f>IF(OR(F527 = "", G527 = ""), "", IF(F527 = "Vara", IFERROR(_xlfn.SINGLE(_xlfn.XLOOKUP(G527, Vöruskrá!A:A, Vöruskrá!G:G, "")), ""), IF(F527 = "Réttur", IFERROR(_xlfn.SINGLE(_xlfn.XLOOKUP(G527, Réttabanki!A:A, Réttabanki!AU:AU, "")), ""), "")))</f>
        <v/>
      </c>
      <c r="O527" s="26" t="str">
        <f>IF(OR(F527 = "", G527 = "", I527 = ""), "", IF(F527 = "Vara", IFERROR(_xlfn.SINGLE(_xlfn.XLOOKUP(G527, Vöruskrá!A:A, Vöruskrá!I:I, "")) * I527 / 100, ""), IF(F527 = "Réttur", IFERROR(_xlfn.SINGLE(_xlfn.XLOOKUP(G527, Réttabanki!A:A, Réttabanki!AV:AV, "")) * I527 / 100, ""), "")))</f>
        <v/>
      </c>
      <c r="P527" s="26" t="str">
        <f>IF(OR(F527 = "", G527 = "", I527 = ""), "", IF(F527 = "Vara", IFERROR(_xlfn.SINGLE(_xlfn.XLOOKUP(G527, Vöruskrá!A:A, Vöruskrá!J:J, "")) * I527 / 100, ""), IF(F527 = "Réttur", IFERROR(_xlfn.SINGLE(_xlfn.XLOOKUP(G527, Réttabanki!A:A, Réttabanki!AW:AW, "")) * I527 / 100, ""), "")))</f>
        <v/>
      </c>
      <c r="Q527" s="26" t="str">
        <f>IF(OR(F527 = "", G527 = "", I527 = ""), "", IF(F527 = "Vara", IFERROR(_xlfn.SINGLE(_xlfn.XLOOKUP(G527, Vöruskrá!A:A, Vöruskrá!N:N, "")) * I527 / 100, ""), IF(F527 = "Réttur", IFERROR(_xlfn.SINGLE(_xlfn.XLOOKUP(G527, Réttabanki!A:A, Réttabanki!BB:BB, "")) * I527 / 100, ""), "")))</f>
        <v/>
      </c>
    </row>
    <row r="528" spans="2:17">
      <c r="B528" s="33" t="str">
        <f>IF(A528&lt;&gt;"",CHOOSE(WEEKDAY(A528,2),"Mánudagur","Þriðjudagur","Miðvikudagur","Fimmtudagur","Föstudagur","Laugardagur","Sunnudagur"),IF(B527&lt;&gt;"",B527,""))</f>
        <v>Fimmtudagur</v>
      </c>
      <c r="C528" s="33">
        <f>IF(A528&lt;&gt;"",WEEKNUM(A528,21),IF(C527&lt;&gt;"",C527,""))</f>
        <v>27</v>
      </c>
      <c r="D528" s="34"/>
      <c r="E528" s="34"/>
      <c r="F528" s="34"/>
      <c r="G528" s="34"/>
      <c r="H528" s="34"/>
      <c r="I528" s="35"/>
      <c r="J528" s="35"/>
      <c r="K528" s="36"/>
      <c r="L528" s="26" t="str">
        <f>IF(OR(F528 = "", G528 = ""), "", IF(F528 = "Vara", IFERROR(_xlfn.SINGLE(_xlfn.XLOOKUP(G528, Vöruskrá!A:A, Vöruskrá!E:E, "")), ""), IF(F528 = "Réttur", IFERROR(_xlfn.SINGLE(_xlfn.XLOOKUP(G528, Réttabanki!A:A, Réttabanki!AS:AS, "")), ""), "")))</f>
        <v/>
      </c>
      <c r="M528" s="26" t="str">
        <f>IF(OR(F528 = "", G528 = ""), "", IF(F528 = "Vara", IFERROR(_xlfn.SINGLE(_xlfn.XLOOKUP(G528, Vöruskrá!A:A, Vöruskrá!F:F, "")), ""), IF(F528 = "Réttur", IFERROR(_xlfn.SINGLE(_xlfn.XLOOKUP(G528, Réttabanki!A:A, Réttabanki!AT:AT, "")), ""), "")))</f>
        <v/>
      </c>
      <c r="N528" s="26" t="str">
        <f>IF(OR(F528 = "", G528 = ""), "", IF(F528 = "Vara", IFERROR(_xlfn.SINGLE(_xlfn.XLOOKUP(G528, Vöruskrá!A:A, Vöruskrá!G:G, "")), ""), IF(F528 = "Réttur", IFERROR(_xlfn.SINGLE(_xlfn.XLOOKUP(G528, Réttabanki!A:A, Réttabanki!AU:AU, "")), ""), "")))</f>
        <v/>
      </c>
      <c r="O528" s="26" t="str">
        <f>IF(OR(F528 = "", G528 = "", I528 = ""), "", IF(F528 = "Vara", IFERROR(_xlfn.SINGLE(_xlfn.XLOOKUP(G528, Vöruskrá!A:A, Vöruskrá!I:I, "")) * I528 / 100, ""), IF(F528 = "Réttur", IFERROR(_xlfn.SINGLE(_xlfn.XLOOKUP(G528, Réttabanki!A:A, Réttabanki!AV:AV, "")) * I528 / 100, ""), "")))</f>
        <v/>
      </c>
      <c r="P528" s="26" t="str">
        <f>IF(OR(F528 = "", G528 = "", I528 = ""), "", IF(F528 = "Vara", IFERROR(_xlfn.SINGLE(_xlfn.XLOOKUP(G528, Vöruskrá!A:A, Vöruskrá!J:J, "")) * I528 / 100, ""), IF(F528 = "Réttur", IFERROR(_xlfn.SINGLE(_xlfn.XLOOKUP(G528, Réttabanki!A:A, Réttabanki!AW:AW, "")) * I528 / 100, ""), "")))</f>
        <v/>
      </c>
      <c r="Q528" s="26" t="str">
        <f>IF(OR(F528 = "", G528 = "", I528 = ""), "", IF(F528 = "Vara", IFERROR(_xlfn.SINGLE(_xlfn.XLOOKUP(G528, Vöruskrá!A:A, Vöruskrá!N:N, "")) * I528 / 100, ""), IF(F528 = "Réttur", IFERROR(_xlfn.SINGLE(_xlfn.XLOOKUP(G528, Réttabanki!A:A, Réttabanki!BB:BB, "")) * I528 / 100, ""), "")))</f>
        <v/>
      </c>
    </row>
    <row r="529" spans="2:17">
      <c r="B529" s="33" t="str">
        <f>IF(A529&lt;&gt;"",CHOOSE(WEEKDAY(A529,2),"Mánudagur","Þriðjudagur","Miðvikudagur","Fimmtudagur","Föstudagur","Laugardagur","Sunnudagur"),IF(B528&lt;&gt;"",B528,""))</f>
        <v>Fimmtudagur</v>
      </c>
      <c r="C529" s="33">
        <f>IF(A529&lt;&gt;"",WEEKNUM(A529,21),IF(C528&lt;&gt;"",C528,""))</f>
        <v>27</v>
      </c>
      <c r="D529" s="34"/>
      <c r="E529" s="34"/>
      <c r="F529" s="34"/>
      <c r="G529" s="34"/>
      <c r="H529" s="34"/>
      <c r="I529" s="35"/>
      <c r="J529" s="35"/>
      <c r="K529" s="36"/>
      <c r="L529" s="26" t="str">
        <f>IF(OR(F529 = "", G529 = ""), "", IF(F529 = "Vara", IFERROR(_xlfn.SINGLE(_xlfn.XLOOKUP(G529, Vöruskrá!A:A, Vöruskrá!E:E, "")), ""), IF(F529 = "Réttur", IFERROR(_xlfn.SINGLE(_xlfn.XLOOKUP(G529, Réttabanki!A:A, Réttabanki!AS:AS, "")), ""), "")))</f>
        <v/>
      </c>
      <c r="M529" s="26" t="str">
        <f>IF(OR(F529 = "", G529 = ""), "", IF(F529 = "Vara", IFERROR(_xlfn.SINGLE(_xlfn.XLOOKUP(G529, Vöruskrá!A:A, Vöruskrá!F:F, "")), ""), IF(F529 = "Réttur", IFERROR(_xlfn.SINGLE(_xlfn.XLOOKUP(G529, Réttabanki!A:A, Réttabanki!AT:AT, "")), ""), "")))</f>
        <v/>
      </c>
      <c r="N529" s="26" t="str">
        <f>IF(OR(F529 = "", G529 = ""), "", IF(F529 = "Vara", IFERROR(_xlfn.SINGLE(_xlfn.XLOOKUP(G529, Vöruskrá!A:A, Vöruskrá!G:G, "")), ""), IF(F529 = "Réttur", IFERROR(_xlfn.SINGLE(_xlfn.XLOOKUP(G529, Réttabanki!A:A, Réttabanki!AU:AU, "")), ""), "")))</f>
        <v/>
      </c>
      <c r="O529" s="26" t="str">
        <f>IF(OR(F529 = "", G529 = "", I529 = ""), "", IF(F529 = "Vara", IFERROR(_xlfn.SINGLE(_xlfn.XLOOKUP(G529, Vöruskrá!A:A, Vöruskrá!I:I, "")) * I529 / 100, ""), IF(F529 = "Réttur", IFERROR(_xlfn.SINGLE(_xlfn.XLOOKUP(G529, Réttabanki!A:A, Réttabanki!AV:AV, "")) * I529 / 100, ""), "")))</f>
        <v/>
      </c>
      <c r="P529" s="26" t="str">
        <f>IF(OR(F529 = "", G529 = "", I529 = ""), "", IF(F529 = "Vara", IFERROR(_xlfn.SINGLE(_xlfn.XLOOKUP(G529, Vöruskrá!A:A, Vöruskrá!J:J, "")) * I529 / 100, ""), IF(F529 = "Réttur", IFERROR(_xlfn.SINGLE(_xlfn.XLOOKUP(G529, Réttabanki!A:A, Réttabanki!AW:AW, "")) * I529 / 100, ""), "")))</f>
        <v/>
      </c>
      <c r="Q529" s="26" t="str">
        <f>IF(OR(F529 = "", G529 = "", I529 = ""), "", IF(F529 = "Vara", IFERROR(_xlfn.SINGLE(_xlfn.XLOOKUP(G529, Vöruskrá!A:A, Vöruskrá!N:N, "")) * I529 / 100, ""), IF(F529 = "Réttur", IFERROR(_xlfn.SINGLE(_xlfn.XLOOKUP(G529, Réttabanki!A:A, Réttabanki!BB:BB, "")) * I529 / 100, ""), "")))</f>
        <v/>
      </c>
    </row>
    <row r="530" spans="2:17">
      <c r="B530" s="33" t="str">
        <f>IF(A530&lt;&gt;"",CHOOSE(WEEKDAY(A530,2),"Mánudagur","Þriðjudagur","Miðvikudagur","Fimmtudagur","Föstudagur","Laugardagur","Sunnudagur"),IF(B529&lt;&gt;"",B529,""))</f>
        <v>Fimmtudagur</v>
      </c>
      <c r="C530" s="33">
        <f>IF(A530&lt;&gt;"",WEEKNUM(A530,21),IF(C529&lt;&gt;"",C529,""))</f>
        <v>27</v>
      </c>
      <c r="D530" s="34"/>
      <c r="E530" s="34"/>
      <c r="F530" s="34"/>
      <c r="G530" s="34"/>
      <c r="H530" s="34"/>
      <c r="I530" s="35"/>
      <c r="J530" s="35"/>
      <c r="K530" s="36"/>
      <c r="L530" s="26" t="str">
        <f>IF(OR(F530 = "", G530 = ""), "", IF(F530 = "Vara", IFERROR(_xlfn.SINGLE(_xlfn.XLOOKUP(G530, Vöruskrá!A:A, Vöruskrá!E:E, "")), ""), IF(F530 = "Réttur", IFERROR(_xlfn.SINGLE(_xlfn.XLOOKUP(G530, Réttabanki!A:A, Réttabanki!AS:AS, "")), ""), "")))</f>
        <v/>
      </c>
      <c r="M530" s="26" t="str">
        <f>IF(OR(F530 = "", G530 = ""), "", IF(F530 = "Vara", IFERROR(_xlfn.SINGLE(_xlfn.XLOOKUP(G530, Vöruskrá!A:A, Vöruskrá!F:F, "")), ""), IF(F530 = "Réttur", IFERROR(_xlfn.SINGLE(_xlfn.XLOOKUP(G530, Réttabanki!A:A, Réttabanki!AT:AT, "")), ""), "")))</f>
        <v/>
      </c>
      <c r="N530" s="26" t="str">
        <f>IF(OR(F530 = "", G530 = ""), "", IF(F530 = "Vara", IFERROR(_xlfn.SINGLE(_xlfn.XLOOKUP(G530, Vöruskrá!A:A, Vöruskrá!G:G, "")), ""), IF(F530 = "Réttur", IFERROR(_xlfn.SINGLE(_xlfn.XLOOKUP(G530, Réttabanki!A:A, Réttabanki!AU:AU, "")), ""), "")))</f>
        <v/>
      </c>
      <c r="O530" s="26" t="str">
        <f>IF(OR(F530 = "", G530 = "", I530 = ""), "", IF(F530 = "Vara", IFERROR(_xlfn.SINGLE(_xlfn.XLOOKUP(G530, Vöruskrá!A:A, Vöruskrá!I:I, "")) * I530 / 100, ""), IF(F530 = "Réttur", IFERROR(_xlfn.SINGLE(_xlfn.XLOOKUP(G530, Réttabanki!A:A, Réttabanki!AV:AV, "")) * I530 / 100, ""), "")))</f>
        <v/>
      </c>
      <c r="P530" s="26" t="str">
        <f>IF(OR(F530 = "", G530 = "", I530 = ""), "", IF(F530 = "Vara", IFERROR(_xlfn.SINGLE(_xlfn.XLOOKUP(G530, Vöruskrá!A:A, Vöruskrá!J:J, "")) * I530 / 100, ""), IF(F530 = "Réttur", IFERROR(_xlfn.SINGLE(_xlfn.XLOOKUP(G530, Réttabanki!A:A, Réttabanki!AW:AW, "")) * I530 / 100, ""), "")))</f>
        <v/>
      </c>
      <c r="Q530" s="26" t="str">
        <f>IF(OR(F530 = "", G530 = "", I530 = ""), "", IF(F530 = "Vara", IFERROR(_xlfn.SINGLE(_xlfn.XLOOKUP(G530, Vöruskrá!A:A, Vöruskrá!N:N, "")) * I530 / 100, ""), IF(F530 = "Réttur", IFERROR(_xlfn.SINGLE(_xlfn.XLOOKUP(G530, Réttabanki!A:A, Réttabanki!BB:BB, "")) * I530 / 100, ""), "")))</f>
        <v/>
      </c>
    </row>
    <row r="531" spans="2:17">
      <c r="B531" s="33" t="str">
        <f>IF(A531&lt;&gt;"",CHOOSE(WEEKDAY(A531,2),"Mánudagur","Þriðjudagur","Miðvikudagur","Fimmtudagur","Föstudagur","Laugardagur","Sunnudagur"),IF(B530&lt;&gt;"",B530,""))</f>
        <v>Fimmtudagur</v>
      </c>
      <c r="C531" s="33">
        <f>IF(A531&lt;&gt;"",WEEKNUM(A531,21),IF(C530&lt;&gt;"",C530,""))</f>
        <v>27</v>
      </c>
      <c r="D531" s="34"/>
      <c r="E531" s="34"/>
      <c r="F531" s="34"/>
      <c r="G531" s="34"/>
      <c r="H531" s="34"/>
      <c r="I531" s="35"/>
      <c r="J531" s="35"/>
      <c r="K531" s="36"/>
      <c r="L531" s="26" t="str">
        <f>IF(OR(F531 = "", G531 = ""), "", IF(F531 = "Vara", IFERROR(_xlfn.SINGLE(_xlfn.XLOOKUP(G531, Vöruskrá!A:A, Vöruskrá!E:E, "")), ""), IF(F531 = "Réttur", IFERROR(_xlfn.SINGLE(_xlfn.XLOOKUP(G531, Réttabanki!A:A, Réttabanki!AS:AS, "")), ""), "")))</f>
        <v/>
      </c>
      <c r="M531" s="26" t="str">
        <f>IF(OR(F531 = "", G531 = ""), "", IF(F531 = "Vara", IFERROR(_xlfn.SINGLE(_xlfn.XLOOKUP(G531, Vöruskrá!A:A, Vöruskrá!F:F, "")), ""), IF(F531 = "Réttur", IFERROR(_xlfn.SINGLE(_xlfn.XLOOKUP(G531, Réttabanki!A:A, Réttabanki!AT:AT, "")), ""), "")))</f>
        <v/>
      </c>
      <c r="N531" s="26" t="str">
        <f>IF(OR(F531 = "", G531 = ""), "", IF(F531 = "Vara", IFERROR(_xlfn.SINGLE(_xlfn.XLOOKUP(G531, Vöruskrá!A:A, Vöruskrá!G:G, "")), ""), IF(F531 = "Réttur", IFERROR(_xlfn.SINGLE(_xlfn.XLOOKUP(G531, Réttabanki!A:A, Réttabanki!AU:AU, "")), ""), "")))</f>
        <v/>
      </c>
      <c r="O531" s="26" t="str">
        <f>IF(OR(F531 = "", G531 = "", I531 = ""), "", IF(F531 = "Vara", IFERROR(_xlfn.SINGLE(_xlfn.XLOOKUP(G531, Vöruskrá!A:A, Vöruskrá!I:I, "")) * I531 / 100, ""), IF(F531 = "Réttur", IFERROR(_xlfn.SINGLE(_xlfn.XLOOKUP(G531, Réttabanki!A:A, Réttabanki!AV:AV, "")) * I531 / 100, ""), "")))</f>
        <v/>
      </c>
      <c r="P531" s="26" t="str">
        <f>IF(OR(F531 = "", G531 = "", I531 = ""), "", IF(F531 = "Vara", IFERROR(_xlfn.SINGLE(_xlfn.XLOOKUP(G531, Vöruskrá!A:A, Vöruskrá!J:J, "")) * I531 / 100, ""), IF(F531 = "Réttur", IFERROR(_xlfn.SINGLE(_xlfn.XLOOKUP(G531, Réttabanki!A:A, Réttabanki!AW:AW, "")) * I531 / 100, ""), "")))</f>
        <v/>
      </c>
      <c r="Q531" s="26" t="str">
        <f>IF(OR(F531 = "", G531 = "", I531 = ""), "", IF(F531 = "Vara", IFERROR(_xlfn.SINGLE(_xlfn.XLOOKUP(G531, Vöruskrá!A:A, Vöruskrá!N:N, "")) * I531 / 100, ""), IF(F531 = "Réttur", IFERROR(_xlfn.SINGLE(_xlfn.XLOOKUP(G531, Réttabanki!A:A, Réttabanki!BB:BB, "")) * I531 / 100, ""), "")))</f>
        <v/>
      </c>
    </row>
    <row r="532" spans="2:17">
      <c r="B532" s="33" t="str">
        <f>IF(A532&lt;&gt;"",CHOOSE(WEEKDAY(A532,2),"Mánudagur","Þriðjudagur","Miðvikudagur","Fimmtudagur","Föstudagur","Laugardagur","Sunnudagur"),IF(B531&lt;&gt;"",B531,""))</f>
        <v>Fimmtudagur</v>
      </c>
      <c r="C532" s="33">
        <f>IF(A532&lt;&gt;"",WEEKNUM(A532,21),IF(C531&lt;&gt;"",C531,""))</f>
        <v>27</v>
      </c>
      <c r="D532" s="34"/>
      <c r="E532" s="34"/>
      <c r="F532" s="34"/>
      <c r="G532" s="34"/>
      <c r="H532" s="34"/>
      <c r="I532" s="35"/>
      <c r="J532" s="35"/>
      <c r="K532" s="36"/>
      <c r="L532" s="26" t="str">
        <f>IF(OR(F532 = "", G532 = ""), "", IF(F532 = "Vara", IFERROR(_xlfn.SINGLE(_xlfn.XLOOKUP(G532, Vöruskrá!A:A, Vöruskrá!E:E, "")), ""), IF(F532 = "Réttur", IFERROR(_xlfn.SINGLE(_xlfn.XLOOKUP(G532, Réttabanki!A:A, Réttabanki!AS:AS, "")), ""), "")))</f>
        <v/>
      </c>
      <c r="M532" s="26" t="str">
        <f>IF(OR(F532 = "", G532 = ""), "", IF(F532 = "Vara", IFERROR(_xlfn.SINGLE(_xlfn.XLOOKUP(G532, Vöruskrá!A:A, Vöruskrá!F:F, "")), ""), IF(F532 = "Réttur", IFERROR(_xlfn.SINGLE(_xlfn.XLOOKUP(G532, Réttabanki!A:A, Réttabanki!AT:AT, "")), ""), "")))</f>
        <v/>
      </c>
      <c r="N532" s="26" t="str">
        <f>IF(OR(F532 = "", G532 = ""), "", IF(F532 = "Vara", IFERROR(_xlfn.SINGLE(_xlfn.XLOOKUP(G532, Vöruskrá!A:A, Vöruskrá!G:G, "")), ""), IF(F532 = "Réttur", IFERROR(_xlfn.SINGLE(_xlfn.XLOOKUP(G532, Réttabanki!A:A, Réttabanki!AU:AU, "")), ""), "")))</f>
        <v/>
      </c>
      <c r="O532" s="26" t="str">
        <f>IF(OR(F532 = "", G532 = "", I532 = ""), "", IF(F532 = "Vara", IFERROR(_xlfn.SINGLE(_xlfn.XLOOKUP(G532, Vöruskrá!A:A, Vöruskrá!I:I, "")) * I532 / 100, ""), IF(F532 = "Réttur", IFERROR(_xlfn.SINGLE(_xlfn.XLOOKUP(G532, Réttabanki!A:A, Réttabanki!AV:AV, "")) * I532 / 100, ""), "")))</f>
        <v/>
      </c>
      <c r="P532" s="26" t="str">
        <f>IF(OR(F532 = "", G532 = "", I532 = ""), "", IF(F532 = "Vara", IFERROR(_xlfn.SINGLE(_xlfn.XLOOKUP(G532, Vöruskrá!A:A, Vöruskrá!J:J, "")) * I532 / 100, ""), IF(F532 = "Réttur", IFERROR(_xlfn.SINGLE(_xlfn.XLOOKUP(G532, Réttabanki!A:A, Réttabanki!AW:AW, "")) * I532 / 100, ""), "")))</f>
        <v/>
      </c>
      <c r="Q532" s="26" t="str">
        <f>IF(OR(F532 = "", G532 = "", I532 = ""), "", IF(F532 = "Vara", IFERROR(_xlfn.SINGLE(_xlfn.XLOOKUP(G532, Vöruskrá!A:A, Vöruskrá!N:N, "")) * I532 / 100, ""), IF(F532 = "Réttur", IFERROR(_xlfn.SINGLE(_xlfn.XLOOKUP(G532, Réttabanki!A:A, Réttabanki!BB:BB, "")) * I532 / 100, ""), "")))</f>
        <v/>
      </c>
    </row>
    <row r="533" spans="2:17">
      <c r="B533" s="33" t="str">
        <f>IF(A533&lt;&gt;"",CHOOSE(WEEKDAY(A533,2),"Mánudagur","Þriðjudagur","Miðvikudagur","Fimmtudagur","Föstudagur","Laugardagur","Sunnudagur"),IF(B532&lt;&gt;"",B532,""))</f>
        <v>Fimmtudagur</v>
      </c>
      <c r="C533" s="33">
        <f>IF(A533&lt;&gt;"",WEEKNUM(A533,21),IF(C532&lt;&gt;"",C532,""))</f>
        <v>27</v>
      </c>
      <c r="D533" s="34"/>
      <c r="E533" s="34"/>
      <c r="F533" s="34"/>
      <c r="G533" s="34"/>
      <c r="H533" s="34"/>
      <c r="I533" s="35"/>
      <c r="J533" s="35"/>
      <c r="K533" s="36"/>
      <c r="L533" s="26" t="str">
        <f>IF(OR(F533 = "", G533 = ""), "", IF(F533 = "Vara", IFERROR(_xlfn.SINGLE(_xlfn.XLOOKUP(G533, Vöruskrá!A:A, Vöruskrá!E:E, "")), ""), IF(F533 = "Réttur", IFERROR(_xlfn.SINGLE(_xlfn.XLOOKUP(G533, Réttabanki!A:A, Réttabanki!AS:AS, "")), ""), "")))</f>
        <v/>
      </c>
      <c r="M533" s="26" t="str">
        <f>IF(OR(F533 = "", G533 = ""), "", IF(F533 = "Vara", IFERROR(_xlfn.SINGLE(_xlfn.XLOOKUP(G533, Vöruskrá!A:A, Vöruskrá!F:F, "")), ""), IF(F533 = "Réttur", IFERROR(_xlfn.SINGLE(_xlfn.XLOOKUP(G533, Réttabanki!A:A, Réttabanki!AT:AT, "")), ""), "")))</f>
        <v/>
      </c>
      <c r="N533" s="26" t="str">
        <f>IF(OR(F533 = "", G533 = ""), "", IF(F533 = "Vara", IFERROR(_xlfn.SINGLE(_xlfn.XLOOKUP(G533, Vöruskrá!A:A, Vöruskrá!G:G, "")), ""), IF(F533 = "Réttur", IFERROR(_xlfn.SINGLE(_xlfn.XLOOKUP(G533, Réttabanki!A:A, Réttabanki!AU:AU, "")), ""), "")))</f>
        <v/>
      </c>
      <c r="O533" s="26" t="str">
        <f>IF(OR(F533 = "", G533 = "", I533 = ""), "", IF(F533 = "Vara", IFERROR(_xlfn.SINGLE(_xlfn.XLOOKUP(G533, Vöruskrá!A:A, Vöruskrá!I:I, "")) * I533 / 100, ""), IF(F533 = "Réttur", IFERROR(_xlfn.SINGLE(_xlfn.XLOOKUP(G533, Réttabanki!A:A, Réttabanki!AV:AV, "")) * I533 / 100, ""), "")))</f>
        <v/>
      </c>
      <c r="P533" s="26" t="str">
        <f>IF(OR(F533 = "", G533 = "", I533 = ""), "", IF(F533 = "Vara", IFERROR(_xlfn.SINGLE(_xlfn.XLOOKUP(G533, Vöruskrá!A:A, Vöruskrá!J:J, "")) * I533 / 100, ""), IF(F533 = "Réttur", IFERROR(_xlfn.SINGLE(_xlfn.XLOOKUP(G533, Réttabanki!A:A, Réttabanki!AW:AW, "")) * I533 / 100, ""), "")))</f>
        <v/>
      </c>
      <c r="Q533" s="26" t="str">
        <f>IF(OR(F533 = "", G533 = "", I533 = ""), "", IF(F533 = "Vara", IFERROR(_xlfn.SINGLE(_xlfn.XLOOKUP(G533, Vöruskrá!A:A, Vöruskrá!N:N, "")) * I533 / 100, ""), IF(F533 = "Réttur", IFERROR(_xlfn.SINGLE(_xlfn.XLOOKUP(G533, Réttabanki!A:A, Réttabanki!BB:BB, "")) * I533 / 100, ""), "")))</f>
        <v/>
      </c>
    </row>
    <row r="534" spans="2:17">
      <c r="B534" s="33" t="str">
        <f>IF(A534&lt;&gt;"",CHOOSE(WEEKDAY(A534,2),"Mánudagur","Þriðjudagur","Miðvikudagur","Fimmtudagur","Föstudagur","Laugardagur","Sunnudagur"),IF(B533&lt;&gt;"",B533,""))</f>
        <v>Fimmtudagur</v>
      </c>
      <c r="C534" s="33">
        <f>IF(A534&lt;&gt;"",WEEKNUM(A534,21),IF(C533&lt;&gt;"",C533,""))</f>
        <v>27</v>
      </c>
      <c r="D534" s="34"/>
      <c r="E534" s="34"/>
      <c r="F534" s="34"/>
      <c r="G534" s="34"/>
      <c r="H534" s="34"/>
      <c r="I534" s="35"/>
      <c r="J534" s="35"/>
      <c r="K534" s="36"/>
      <c r="L534" s="26" t="str">
        <f>IF(OR(F534 = "", G534 = ""), "", IF(F534 = "Vara", IFERROR(_xlfn.SINGLE(_xlfn.XLOOKUP(G534, Vöruskrá!A:A, Vöruskrá!E:E, "")), ""), IF(F534 = "Réttur", IFERROR(_xlfn.SINGLE(_xlfn.XLOOKUP(G534, Réttabanki!A:A, Réttabanki!AS:AS, "")), ""), "")))</f>
        <v/>
      </c>
      <c r="M534" s="26" t="str">
        <f>IF(OR(F534 = "", G534 = ""), "", IF(F534 = "Vara", IFERROR(_xlfn.SINGLE(_xlfn.XLOOKUP(G534, Vöruskrá!A:A, Vöruskrá!F:F, "")), ""), IF(F534 = "Réttur", IFERROR(_xlfn.SINGLE(_xlfn.XLOOKUP(G534, Réttabanki!A:A, Réttabanki!AT:AT, "")), ""), "")))</f>
        <v/>
      </c>
      <c r="N534" s="26" t="str">
        <f>IF(OR(F534 = "", G534 = ""), "", IF(F534 = "Vara", IFERROR(_xlfn.SINGLE(_xlfn.XLOOKUP(G534, Vöruskrá!A:A, Vöruskrá!G:G, "")), ""), IF(F534 = "Réttur", IFERROR(_xlfn.SINGLE(_xlfn.XLOOKUP(G534, Réttabanki!A:A, Réttabanki!AU:AU, "")), ""), "")))</f>
        <v/>
      </c>
      <c r="O534" s="26" t="str">
        <f>IF(OR(F534 = "", G534 = "", I534 = ""), "", IF(F534 = "Vara", IFERROR(_xlfn.SINGLE(_xlfn.XLOOKUP(G534, Vöruskrá!A:A, Vöruskrá!I:I, "")) * I534 / 100, ""), IF(F534 = "Réttur", IFERROR(_xlfn.SINGLE(_xlfn.XLOOKUP(G534, Réttabanki!A:A, Réttabanki!AV:AV, "")) * I534 / 100, ""), "")))</f>
        <v/>
      </c>
      <c r="P534" s="26" t="str">
        <f>IF(OR(F534 = "", G534 = "", I534 = ""), "", IF(F534 = "Vara", IFERROR(_xlfn.SINGLE(_xlfn.XLOOKUP(G534, Vöruskrá!A:A, Vöruskrá!J:J, "")) * I534 / 100, ""), IF(F534 = "Réttur", IFERROR(_xlfn.SINGLE(_xlfn.XLOOKUP(G534, Réttabanki!A:A, Réttabanki!AW:AW, "")) * I534 / 100, ""), "")))</f>
        <v/>
      </c>
      <c r="Q534" s="26" t="str">
        <f>IF(OR(F534 = "", G534 = "", I534 = ""), "", IF(F534 = "Vara", IFERROR(_xlfn.SINGLE(_xlfn.XLOOKUP(G534, Vöruskrá!A:A, Vöruskrá!N:N, "")) * I534 / 100, ""), IF(F534 = "Réttur", IFERROR(_xlfn.SINGLE(_xlfn.XLOOKUP(G534, Réttabanki!A:A, Réttabanki!BB:BB, "")) * I534 / 100, ""), "")))</f>
        <v/>
      </c>
    </row>
    <row r="535" spans="2:17">
      <c r="B535" s="33" t="str">
        <f>IF(A535&lt;&gt;"",CHOOSE(WEEKDAY(A535,2),"Mánudagur","Þriðjudagur","Miðvikudagur","Fimmtudagur","Föstudagur","Laugardagur","Sunnudagur"),IF(B534&lt;&gt;"",B534,""))</f>
        <v>Fimmtudagur</v>
      </c>
      <c r="C535" s="33">
        <f>IF(A535&lt;&gt;"",WEEKNUM(A535,21),IF(C534&lt;&gt;"",C534,""))</f>
        <v>27</v>
      </c>
      <c r="D535" s="34"/>
      <c r="E535" s="34"/>
      <c r="F535" s="34"/>
      <c r="G535" s="34"/>
      <c r="H535" s="34"/>
      <c r="I535" s="35"/>
      <c r="J535" s="35"/>
      <c r="K535" s="36"/>
      <c r="L535" s="26" t="str">
        <f>IF(OR(F535 = "", G535 = ""), "", IF(F535 = "Vara", IFERROR(_xlfn.SINGLE(_xlfn.XLOOKUP(G535, Vöruskrá!A:A, Vöruskrá!E:E, "")), ""), IF(F535 = "Réttur", IFERROR(_xlfn.SINGLE(_xlfn.XLOOKUP(G535, Réttabanki!A:A, Réttabanki!AS:AS, "")), ""), "")))</f>
        <v/>
      </c>
      <c r="M535" s="26" t="str">
        <f>IF(OR(F535 = "", G535 = ""), "", IF(F535 = "Vara", IFERROR(_xlfn.SINGLE(_xlfn.XLOOKUP(G535, Vöruskrá!A:A, Vöruskrá!F:F, "")), ""), IF(F535 = "Réttur", IFERROR(_xlfn.SINGLE(_xlfn.XLOOKUP(G535, Réttabanki!A:A, Réttabanki!AT:AT, "")), ""), "")))</f>
        <v/>
      </c>
      <c r="N535" s="26" t="str">
        <f>IF(OR(F535 = "", G535 = ""), "", IF(F535 = "Vara", IFERROR(_xlfn.SINGLE(_xlfn.XLOOKUP(G535, Vöruskrá!A:A, Vöruskrá!G:G, "")), ""), IF(F535 = "Réttur", IFERROR(_xlfn.SINGLE(_xlfn.XLOOKUP(G535, Réttabanki!A:A, Réttabanki!AU:AU, "")), ""), "")))</f>
        <v/>
      </c>
      <c r="O535" s="26" t="str">
        <f>IF(OR(F535 = "", G535 = "", I535 = ""), "", IF(F535 = "Vara", IFERROR(_xlfn.SINGLE(_xlfn.XLOOKUP(G535, Vöruskrá!A:A, Vöruskrá!I:I, "")) * I535 / 100, ""), IF(F535 = "Réttur", IFERROR(_xlfn.SINGLE(_xlfn.XLOOKUP(G535, Réttabanki!A:A, Réttabanki!AV:AV, "")) * I535 / 100, ""), "")))</f>
        <v/>
      </c>
      <c r="P535" s="26" t="str">
        <f>IF(OR(F535 = "", G535 = "", I535 = ""), "", IF(F535 = "Vara", IFERROR(_xlfn.SINGLE(_xlfn.XLOOKUP(G535, Vöruskrá!A:A, Vöruskrá!J:J, "")) * I535 / 100, ""), IF(F535 = "Réttur", IFERROR(_xlfn.SINGLE(_xlfn.XLOOKUP(G535, Réttabanki!A:A, Réttabanki!AW:AW, "")) * I535 / 100, ""), "")))</f>
        <v/>
      </c>
      <c r="Q535" s="26" t="str">
        <f>IF(OR(F535 = "", G535 = "", I535 = ""), "", IF(F535 = "Vara", IFERROR(_xlfn.SINGLE(_xlfn.XLOOKUP(G535, Vöruskrá!A:A, Vöruskrá!N:N, "")) * I535 / 100, ""), IF(F535 = "Réttur", IFERROR(_xlfn.SINGLE(_xlfn.XLOOKUP(G535, Réttabanki!A:A, Réttabanki!BB:BB, "")) * I535 / 100, ""), "")))</f>
        <v/>
      </c>
    </row>
    <row r="536" spans="2:17">
      <c r="B536" s="33" t="str">
        <f>IF(A536&lt;&gt;"",CHOOSE(WEEKDAY(A536,2),"Mánudagur","Þriðjudagur","Miðvikudagur","Fimmtudagur","Föstudagur","Laugardagur","Sunnudagur"),IF(B535&lt;&gt;"",B535,""))</f>
        <v>Fimmtudagur</v>
      </c>
      <c r="C536" s="33">
        <f>IF(A536&lt;&gt;"",WEEKNUM(A536,21),IF(C535&lt;&gt;"",C535,""))</f>
        <v>27</v>
      </c>
      <c r="D536" s="34"/>
      <c r="E536" s="34"/>
      <c r="F536" s="34"/>
      <c r="G536" s="34"/>
      <c r="H536" s="34"/>
      <c r="I536" s="35"/>
      <c r="J536" s="35"/>
      <c r="K536" s="36"/>
      <c r="L536" s="26" t="str">
        <f>IF(OR(F536 = "", G536 = ""), "", IF(F536 = "Vara", IFERROR(_xlfn.SINGLE(_xlfn.XLOOKUP(G536, Vöruskrá!A:A, Vöruskrá!E:E, "")), ""), IF(F536 = "Réttur", IFERROR(_xlfn.SINGLE(_xlfn.XLOOKUP(G536, Réttabanki!A:A, Réttabanki!AS:AS, "")), ""), "")))</f>
        <v/>
      </c>
      <c r="M536" s="26" t="str">
        <f>IF(OR(F536 = "", G536 = ""), "", IF(F536 = "Vara", IFERROR(_xlfn.SINGLE(_xlfn.XLOOKUP(G536, Vöruskrá!A:A, Vöruskrá!F:F, "")), ""), IF(F536 = "Réttur", IFERROR(_xlfn.SINGLE(_xlfn.XLOOKUP(G536, Réttabanki!A:A, Réttabanki!AT:AT, "")), ""), "")))</f>
        <v/>
      </c>
      <c r="N536" s="26" t="str">
        <f>IF(OR(F536 = "", G536 = ""), "", IF(F536 = "Vara", IFERROR(_xlfn.SINGLE(_xlfn.XLOOKUP(G536, Vöruskrá!A:A, Vöruskrá!G:G, "")), ""), IF(F536 = "Réttur", IFERROR(_xlfn.SINGLE(_xlfn.XLOOKUP(G536, Réttabanki!A:A, Réttabanki!AU:AU, "")), ""), "")))</f>
        <v/>
      </c>
      <c r="O536" s="26" t="str">
        <f>IF(OR(F536 = "", G536 = "", I536 = ""), "", IF(F536 = "Vara", IFERROR(_xlfn.SINGLE(_xlfn.XLOOKUP(G536, Vöruskrá!A:A, Vöruskrá!I:I, "")) * I536 / 100, ""), IF(F536 = "Réttur", IFERROR(_xlfn.SINGLE(_xlfn.XLOOKUP(G536, Réttabanki!A:A, Réttabanki!AV:AV, "")) * I536 / 100, ""), "")))</f>
        <v/>
      </c>
      <c r="P536" s="26" t="str">
        <f>IF(OR(F536 = "", G536 = "", I536 = ""), "", IF(F536 = "Vara", IFERROR(_xlfn.SINGLE(_xlfn.XLOOKUP(G536, Vöruskrá!A:A, Vöruskrá!J:J, "")) * I536 / 100, ""), IF(F536 = "Réttur", IFERROR(_xlfn.SINGLE(_xlfn.XLOOKUP(G536, Réttabanki!A:A, Réttabanki!AW:AW, "")) * I536 / 100, ""), "")))</f>
        <v/>
      </c>
      <c r="Q536" s="26" t="str">
        <f>IF(OR(F536 = "", G536 = "", I536 = ""), "", IF(F536 = "Vara", IFERROR(_xlfn.SINGLE(_xlfn.XLOOKUP(G536, Vöruskrá!A:A, Vöruskrá!N:N, "")) * I536 / 100, ""), IF(F536 = "Réttur", IFERROR(_xlfn.SINGLE(_xlfn.XLOOKUP(G536, Réttabanki!A:A, Réttabanki!BB:BB, "")) * I536 / 100, ""), "")))</f>
        <v/>
      </c>
    </row>
    <row r="537" spans="2:17">
      <c r="B537" s="33" t="str">
        <f>IF(A537&lt;&gt;"",CHOOSE(WEEKDAY(A537,2),"Mánudagur","Þriðjudagur","Miðvikudagur","Fimmtudagur","Föstudagur","Laugardagur","Sunnudagur"),IF(B536&lt;&gt;"",B536,""))</f>
        <v>Fimmtudagur</v>
      </c>
      <c r="C537" s="33">
        <f>IF(A537&lt;&gt;"",WEEKNUM(A537,21),IF(C536&lt;&gt;"",C536,""))</f>
        <v>27</v>
      </c>
      <c r="D537" s="34"/>
      <c r="E537" s="34"/>
      <c r="F537" s="34"/>
      <c r="G537" s="34"/>
      <c r="H537" s="34"/>
      <c r="I537" s="35"/>
      <c r="J537" s="35"/>
      <c r="K537" s="36"/>
      <c r="L537" s="26" t="str">
        <f>IF(OR(F537 = "", G537 = ""), "", IF(F537 = "Vara", IFERROR(_xlfn.SINGLE(_xlfn.XLOOKUP(G537, Vöruskrá!A:A, Vöruskrá!E:E, "")), ""), IF(F537 = "Réttur", IFERROR(_xlfn.SINGLE(_xlfn.XLOOKUP(G537, Réttabanki!A:A, Réttabanki!AS:AS, "")), ""), "")))</f>
        <v/>
      </c>
      <c r="M537" s="26" t="str">
        <f>IF(OR(F537 = "", G537 = ""), "", IF(F537 = "Vara", IFERROR(_xlfn.SINGLE(_xlfn.XLOOKUP(G537, Vöruskrá!A:A, Vöruskrá!F:F, "")), ""), IF(F537 = "Réttur", IFERROR(_xlfn.SINGLE(_xlfn.XLOOKUP(G537, Réttabanki!A:A, Réttabanki!AT:AT, "")), ""), "")))</f>
        <v/>
      </c>
      <c r="N537" s="26" t="str">
        <f>IF(OR(F537 = "", G537 = ""), "", IF(F537 = "Vara", IFERROR(_xlfn.SINGLE(_xlfn.XLOOKUP(G537, Vöruskrá!A:A, Vöruskrá!G:G, "")), ""), IF(F537 = "Réttur", IFERROR(_xlfn.SINGLE(_xlfn.XLOOKUP(G537, Réttabanki!A:A, Réttabanki!AU:AU, "")), ""), "")))</f>
        <v/>
      </c>
      <c r="O537" s="26" t="str">
        <f>IF(OR(F537 = "", G537 = "", I537 = ""), "", IF(F537 = "Vara", IFERROR(_xlfn.SINGLE(_xlfn.XLOOKUP(G537, Vöruskrá!A:A, Vöruskrá!I:I, "")) * I537 / 100, ""), IF(F537 = "Réttur", IFERROR(_xlfn.SINGLE(_xlfn.XLOOKUP(G537, Réttabanki!A:A, Réttabanki!AV:AV, "")) * I537 / 100, ""), "")))</f>
        <v/>
      </c>
      <c r="P537" s="26" t="str">
        <f>IF(OR(F537 = "", G537 = "", I537 = ""), "", IF(F537 = "Vara", IFERROR(_xlfn.SINGLE(_xlfn.XLOOKUP(G537, Vöruskrá!A:A, Vöruskrá!J:J, "")) * I537 / 100, ""), IF(F537 = "Réttur", IFERROR(_xlfn.SINGLE(_xlfn.XLOOKUP(G537, Réttabanki!A:A, Réttabanki!AW:AW, "")) * I537 / 100, ""), "")))</f>
        <v/>
      </c>
      <c r="Q537" s="26" t="str">
        <f>IF(OR(F537 = "", G537 = "", I537 = ""), "", IF(F537 = "Vara", IFERROR(_xlfn.SINGLE(_xlfn.XLOOKUP(G537, Vöruskrá!A:A, Vöruskrá!N:N, "")) * I537 / 100, ""), IF(F537 = "Réttur", IFERROR(_xlfn.SINGLE(_xlfn.XLOOKUP(G537, Réttabanki!A:A, Réttabanki!BB:BB, "")) * I537 / 100, ""), "")))</f>
        <v/>
      </c>
    </row>
    <row r="538" spans="2:17">
      <c r="B538" s="33" t="str">
        <f>IF(A538&lt;&gt;"",CHOOSE(WEEKDAY(A538,2),"Mánudagur","Þriðjudagur","Miðvikudagur","Fimmtudagur","Föstudagur","Laugardagur","Sunnudagur"),IF(B537&lt;&gt;"",B537,""))</f>
        <v>Fimmtudagur</v>
      </c>
      <c r="C538" s="33">
        <f>IF(A538&lt;&gt;"",WEEKNUM(A538,21),IF(C537&lt;&gt;"",C537,""))</f>
        <v>27</v>
      </c>
      <c r="D538" s="34"/>
      <c r="E538" s="34"/>
      <c r="F538" s="34"/>
      <c r="G538" s="34"/>
      <c r="H538" s="34"/>
      <c r="I538" s="35"/>
      <c r="J538" s="35"/>
      <c r="K538" s="36"/>
      <c r="L538" s="26" t="str">
        <f>IF(OR(F538 = "", G538 = ""), "", IF(F538 = "Vara", IFERROR(_xlfn.SINGLE(_xlfn.XLOOKUP(G538, Vöruskrá!A:A, Vöruskrá!E:E, "")), ""), IF(F538 = "Réttur", IFERROR(_xlfn.SINGLE(_xlfn.XLOOKUP(G538, Réttabanki!A:A, Réttabanki!AS:AS, "")), ""), "")))</f>
        <v/>
      </c>
      <c r="M538" s="26" t="str">
        <f>IF(OR(F538 = "", G538 = ""), "", IF(F538 = "Vara", IFERROR(_xlfn.SINGLE(_xlfn.XLOOKUP(G538, Vöruskrá!A:A, Vöruskrá!F:F, "")), ""), IF(F538 = "Réttur", IFERROR(_xlfn.SINGLE(_xlfn.XLOOKUP(G538, Réttabanki!A:A, Réttabanki!AT:AT, "")), ""), "")))</f>
        <v/>
      </c>
      <c r="N538" s="26" t="str">
        <f>IF(OR(F538 = "", G538 = ""), "", IF(F538 = "Vara", IFERROR(_xlfn.SINGLE(_xlfn.XLOOKUP(G538, Vöruskrá!A:A, Vöruskrá!G:G, "")), ""), IF(F538 = "Réttur", IFERROR(_xlfn.SINGLE(_xlfn.XLOOKUP(G538, Réttabanki!A:A, Réttabanki!AU:AU, "")), ""), "")))</f>
        <v/>
      </c>
      <c r="O538" s="26" t="str">
        <f>IF(OR(F538 = "", G538 = "", I538 = ""), "", IF(F538 = "Vara", IFERROR(_xlfn.SINGLE(_xlfn.XLOOKUP(G538, Vöruskrá!A:A, Vöruskrá!I:I, "")) * I538 / 100, ""), IF(F538 = "Réttur", IFERROR(_xlfn.SINGLE(_xlfn.XLOOKUP(G538, Réttabanki!A:A, Réttabanki!AV:AV, "")) * I538 / 100, ""), "")))</f>
        <v/>
      </c>
      <c r="P538" s="26" t="str">
        <f>IF(OR(F538 = "", G538 = "", I538 = ""), "", IF(F538 = "Vara", IFERROR(_xlfn.SINGLE(_xlfn.XLOOKUP(G538, Vöruskrá!A:A, Vöruskrá!J:J, "")) * I538 / 100, ""), IF(F538 = "Réttur", IFERROR(_xlfn.SINGLE(_xlfn.XLOOKUP(G538, Réttabanki!A:A, Réttabanki!AW:AW, "")) * I538 / 100, ""), "")))</f>
        <v/>
      </c>
      <c r="Q538" s="26" t="str">
        <f>IF(OR(F538 = "", G538 = "", I538 = ""), "", IF(F538 = "Vara", IFERROR(_xlfn.SINGLE(_xlfn.XLOOKUP(G538, Vöruskrá!A:A, Vöruskrá!N:N, "")) * I538 / 100, ""), IF(F538 = "Réttur", IFERROR(_xlfn.SINGLE(_xlfn.XLOOKUP(G538, Réttabanki!A:A, Réttabanki!BB:BB, "")) * I538 / 100, ""), "")))</f>
        <v/>
      </c>
    </row>
    <row r="539" spans="2:17">
      <c r="B539" s="33" t="str">
        <f>IF(A539&lt;&gt;"",CHOOSE(WEEKDAY(A539,2),"Mánudagur","Þriðjudagur","Miðvikudagur","Fimmtudagur","Föstudagur","Laugardagur","Sunnudagur"),IF(B538&lt;&gt;"",B538,""))</f>
        <v>Fimmtudagur</v>
      </c>
      <c r="C539" s="33">
        <f>IF(A539&lt;&gt;"",WEEKNUM(A539,21),IF(C538&lt;&gt;"",C538,""))</f>
        <v>27</v>
      </c>
      <c r="D539" s="34"/>
      <c r="E539" s="34"/>
      <c r="F539" s="34"/>
      <c r="G539" s="34"/>
      <c r="H539" s="34"/>
      <c r="I539" s="35"/>
      <c r="J539" s="35"/>
      <c r="K539" s="36"/>
      <c r="L539" s="26" t="str">
        <f>IF(OR(F539 = "", G539 = ""), "", IF(F539 = "Vara", IFERROR(_xlfn.SINGLE(_xlfn.XLOOKUP(G539, Vöruskrá!A:A, Vöruskrá!E:E, "")), ""), IF(F539 = "Réttur", IFERROR(_xlfn.SINGLE(_xlfn.XLOOKUP(G539, Réttabanki!A:A, Réttabanki!AS:AS, "")), ""), "")))</f>
        <v/>
      </c>
      <c r="M539" s="26" t="str">
        <f>IF(OR(F539 = "", G539 = ""), "", IF(F539 = "Vara", IFERROR(_xlfn.SINGLE(_xlfn.XLOOKUP(G539, Vöruskrá!A:A, Vöruskrá!F:F, "")), ""), IF(F539 = "Réttur", IFERROR(_xlfn.SINGLE(_xlfn.XLOOKUP(G539, Réttabanki!A:A, Réttabanki!AT:AT, "")), ""), "")))</f>
        <v/>
      </c>
      <c r="N539" s="26" t="str">
        <f>IF(OR(F539 = "", G539 = ""), "", IF(F539 = "Vara", IFERROR(_xlfn.SINGLE(_xlfn.XLOOKUP(G539, Vöruskrá!A:A, Vöruskrá!G:G, "")), ""), IF(F539 = "Réttur", IFERROR(_xlfn.SINGLE(_xlfn.XLOOKUP(G539, Réttabanki!A:A, Réttabanki!AU:AU, "")), ""), "")))</f>
        <v/>
      </c>
      <c r="O539" s="26" t="str">
        <f>IF(OR(F539 = "", G539 = "", I539 = ""), "", IF(F539 = "Vara", IFERROR(_xlfn.SINGLE(_xlfn.XLOOKUP(G539, Vöruskrá!A:A, Vöruskrá!I:I, "")) * I539 / 100, ""), IF(F539 = "Réttur", IFERROR(_xlfn.SINGLE(_xlfn.XLOOKUP(G539, Réttabanki!A:A, Réttabanki!AV:AV, "")) * I539 / 100, ""), "")))</f>
        <v/>
      </c>
      <c r="P539" s="26" t="str">
        <f>IF(OR(F539 = "", G539 = "", I539 = ""), "", IF(F539 = "Vara", IFERROR(_xlfn.SINGLE(_xlfn.XLOOKUP(G539, Vöruskrá!A:A, Vöruskrá!J:J, "")) * I539 / 100, ""), IF(F539 = "Réttur", IFERROR(_xlfn.SINGLE(_xlfn.XLOOKUP(G539, Réttabanki!A:A, Réttabanki!AW:AW, "")) * I539 / 100, ""), "")))</f>
        <v/>
      </c>
      <c r="Q539" s="26" t="str">
        <f>IF(OR(F539 = "", G539 = "", I539 = ""), "", IF(F539 = "Vara", IFERROR(_xlfn.SINGLE(_xlfn.XLOOKUP(G539, Vöruskrá!A:A, Vöruskrá!N:N, "")) * I539 / 100, ""), IF(F539 = "Réttur", IFERROR(_xlfn.SINGLE(_xlfn.XLOOKUP(G539, Réttabanki!A:A, Réttabanki!BB:BB, "")) * I539 / 100, ""), "")))</f>
        <v/>
      </c>
    </row>
    <row r="540" spans="2:17">
      <c r="B540" s="33" t="str">
        <f>IF(A540&lt;&gt;"",CHOOSE(WEEKDAY(A540,2),"Mánudagur","Þriðjudagur","Miðvikudagur","Fimmtudagur","Föstudagur","Laugardagur","Sunnudagur"),IF(B539&lt;&gt;"",B539,""))</f>
        <v>Fimmtudagur</v>
      </c>
      <c r="C540" s="33">
        <f>IF(A540&lt;&gt;"",WEEKNUM(A540,21),IF(C539&lt;&gt;"",C539,""))</f>
        <v>27</v>
      </c>
      <c r="D540" s="34"/>
      <c r="E540" s="34"/>
      <c r="F540" s="34"/>
      <c r="G540" s="34"/>
      <c r="H540" s="34"/>
      <c r="I540" s="35"/>
      <c r="J540" s="35"/>
      <c r="K540" s="36"/>
      <c r="L540" s="26" t="str">
        <f>IF(OR(F540 = "", G540 = ""), "", IF(F540 = "Vara", IFERROR(_xlfn.SINGLE(_xlfn.XLOOKUP(G540, Vöruskrá!A:A, Vöruskrá!E:E, "")), ""), IF(F540 = "Réttur", IFERROR(_xlfn.SINGLE(_xlfn.XLOOKUP(G540, Réttabanki!A:A, Réttabanki!AS:AS, "")), ""), "")))</f>
        <v/>
      </c>
      <c r="M540" s="26" t="str">
        <f>IF(OR(F540 = "", G540 = ""), "", IF(F540 = "Vara", IFERROR(_xlfn.SINGLE(_xlfn.XLOOKUP(G540, Vöruskrá!A:A, Vöruskrá!F:F, "")), ""), IF(F540 = "Réttur", IFERROR(_xlfn.SINGLE(_xlfn.XLOOKUP(G540, Réttabanki!A:A, Réttabanki!AT:AT, "")), ""), "")))</f>
        <v/>
      </c>
      <c r="N540" s="26" t="str">
        <f>IF(OR(F540 = "", G540 = ""), "", IF(F540 = "Vara", IFERROR(_xlfn.SINGLE(_xlfn.XLOOKUP(G540, Vöruskrá!A:A, Vöruskrá!G:G, "")), ""), IF(F540 = "Réttur", IFERROR(_xlfn.SINGLE(_xlfn.XLOOKUP(G540, Réttabanki!A:A, Réttabanki!AU:AU, "")), ""), "")))</f>
        <v/>
      </c>
      <c r="O540" s="26" t="str">
        <f>IF(OR(F540 = "", G540 = "", I540 = ""), "", IF(F540 = "Vara", IFERROR(_xlfn.SINGLE(_xlfn.XLOOKUP(G540, Vöruskrá!A:A, Vöruskrá!I:I, "")) * I540 / 100, ""), IF(F540 = "Réttur", IFERROR(_xlfn.SINGLE(_xlfn.XLOOKUP(G540, Réttabanki!A:A, Réttabanki!AV:AV, "")) * I540 / 100, ""), "")))</f>
        <v/>
      </c>
      <c r="P540" s="26" t="str">
        <f>IF(OR(F540 = "", G540 = "", I540 = ""), "", IF(F540 = "Vara", IFERROR(_xlfn.SINGLE(_xlfn.XLOOKUP(G540, Vöruskrá!A:A, Vöruskrá!J:J, "")) * I540 / 100, ""), IF(F540 = "Réttur", IFERROR(_xlfn.SINGLE(_xlfn.XLOOKUP(G540, Réttabanki!A:A, Réttabanki!AW:AW, "")) * I540 / 100, ""), "")))</f>
        <v/>
      </c>
      <c r="Q540" s="26" t="str">
        <f>IF(OR(F540 = "", G540 = "", I540 = ""), "", IF(F540 = "Vara", IFERROR(_xlfn.SINGLE(_xlfn.XLOOKUP(G540, Vöruskrá!A:A, Vöruskrá!N:N, "")) * I540 / 100, ""), IF(F540 = "Réttur", IFERROR(_xlfn.SINGLE(_xlfn.XLOOKUP(G540, Réttabanki!A:A, Réttabanki!BB:BB, "")) * I540 / 100, ""), "")))</f>
        <v/>
      </c>
    </row>
    <row r="541" spans="2:17">
      <c r="B541" s="33" t="str">
        <f>IF(A541&lt;&gt;"",CHOOSE(WEEKDAY(A541,2),"Mánudagur","Þriðjudagur","Miðvikudagur","Fimmtudagur","Föstudagur","Laugardagur","Sunnudagur"),IF(B540&lt;&gt;"",B540,""))</f>
        <v>Fimmtudagur</v>
      </c>
      <c r="C541" s="33">
        <f>IF(A541&lt;&gt;"",WEEKNUM(A541,21),IF(C540&lt;&gt;"",C540,""))</f>
        <v>27</v>
      </c>
      <c r="D541" s="34"/>
      <c r="E541" s="34"/>
      <c r="F541" s="34"/>
      <c r="G541" s="34"/>
      <c r="H541" s="34"/>
      <c r="I541" s="35"/>
      <c r="J541" s="35"/>
      <c r="K541" s="36"/>
      <c r="L541" s="26" t="str">
        <f>IF(OR(F541 = "", G541 = ""), "", IF(F541 = "Vara", IFERROR(_xlfn.SINGLE(_xlfn.XLOOKUP(G541, Vöruskrá!A:A, Vöruskrá!E:E, "")), ""), IF(F541 = "Réttur", IFERROR(_xlfn.SINGLE(_xlfn.XLOOKUP(G541, Réttabanki!A:A, Réttabanki!AS:AS, "")), ""), "")))</f>
        <v/>
      </c>
      <c r="M541" s="26" t="str">
        <f>IF(OR(F541 = "", G541 = ""), "", IF(F541 = "Vara", IFERROR(_xlfn.SINGLE(_xlfn.XLOOKUP(G541, Vöruskrá!A:A, Vöruskrá!F:F, "")), ""), IF(F541 = "Réttur", IFERROR(_xlfn.SINGLE(_xlfn.XLOOKUP(G541, Réttabanki!A:A, Réttabanki!AT:AT, "")), ""), "")))</f>
        <v/>
      </c>
      <c r="N541" s="26" t="str">
        <f>IF(OR(F541 = "", G541 = ""), "", IF(F541 = "Vara", IFERROR(_xlfn.SINGLE(_xlfn.XLOOKUP(G541, Vöruskrá!A:A, Vöruskrá!G:G, "")), ""), IF(F541 = "Réttur", IFERROR(_xlfn.SINGLE(_xlfn.XLOOKUP(G541, Réttabanki!A:A, Réttabanki!AU:AU, "")), ""), "")))</f>
        <v/>
      </c>
      <c r="O541" s="26" t="str">
        <f>IF(OR(F541 = "", G541 = "", I541 = ""), "", IF(F541 = "Vara", IFERROR(_xlfn.SINGLE(_xlfn.XLOOKUP(G541, Vöruskrá!A:A, Vöruskrá!I:I, "")) * I541 / 100, ""), IF(F541 = "Réttur", IFERROR(_xlfn.SINGLE(_xlfn.XLOOKUP(G541, Réttabanki!A:A, Réttabanki!AV:AV, "")) * I541 / 100, ""), "")))</f>
        <v/>
      </c>
      <c r="P541" s="26" t="str">
        <f>IF(OR(F541 = "", G541 = "", I541 = ""), "", IF(F541 = "Vara", IFERROR(_xlfn.SINGLE(_xlfn.XLOOKUP(G541, Vöruskrá!A:A, Vöruskrá!J:J, "")) * I541 / 100, ""), IF(F541 = "Réttur", IFERROR(_xlfn.SINGLE(_xlfn.XLOOKUP(G541, Réttabanki!A:A, Réttabanki!AW:AW, "")) * I541 / 100, ""), "")))</f>
        <v/>
      </c>
      <c r="Q541" s="26" t="str">
        <f>IF(OR(F541 = "", G541 = "", I541 = ""), "", IF(F541 = "Vara", IFERROR(_xlfn.SINGLE(_xlfn.XLOOKUP(G541, Vöruskrá!A:A, Vöruskrá!N:N, "")) * I541 / 100, ""), IF(F541 = "Réttur", IFERROR(_xlfn.SINGLE(_xlfn.XLOOKUP(G541, Réttabanki!A:A, Réttabanki!BB:BB, "")) * I541 / 100, ""), "")))</f>
        <v/>
      </c>
    </row>
    <row r="542" spans="2:17">
      <c r="B542" s="33" t="str">
        <f>IF(A542&lt;&gt;"",CHOOSE(WEEKDAY(A542,2),"Mánudagur","Þriðjudagur","Miðvikudagur","Fimmtudagur","Föstudagur","Laugardagur","Sunnudagur"),IF(B541&lt;&gt;"",B541,""))</f>
        <v>Fimmtudagur</v>
      </c>
      <c r="C542" s="33">
        <f>IF(A542&lt;&gt;"",WEEKNUM(A542,21),IF(C541&lt;&gt;"",C541,""))</f>
        <v>27</v>
      </c>
      <c r="D542" s="34"/>
      <c r="E542" s="34"/>
      <c r="F542" s="34"/>
      <c r="G542" s="34"/>
      <c r="H542" s="34"/>
      <c r="I542" s="35"/>
      <c r="J542" s="35"/>
      <c r="K542" s="36"/>
      <c r="L542" s="26" t="str">
        <f>IF(OR(F542 = "", G542 = ""), "", IF(F542 = "Vara", IFERROR(_xlfn.SINGLE(_xlfn.XLOOKUP(G542, Vöruskrá!A:A, Vöruskrá!E:E, "")), ""), IF(F542 = "Réttur", IFERROR(_xlfn.SINGLE(_xlfn.XLOOKUP(G542, Réttabanki!A:A, Réttabanki!AS:AS, "")), ""), "")))</f>
        <v/>
      </c>
      <c r="M542" s="26" t="str">
        <f>IF(OR(F542 = "", G542 = ""), "", IF(F542 = "Vara", IFERROR(_xlfn.SINGLE(_xlfn.XLOOKUP(G542, Vöruskrá!A:A, Vöruskrá!F:F, "")), ""), IF(F542 = "Réttur", IFERROR(_xlfn.SINGLE(_xlfn.XLOOKUP(G542, Réttabanki!A:A, Réttabanki!AT:AT, "")), ""), "")))</f>
        <v/>
      </c>
      <c r="N542" s="26" t="str">
        <f>IF(OR(F542 = "", G542 = ""), "", IF(F542 = "Vara", IFERROR(_xlfn.SINGLE(_xlfn.XLOOKUP(G542, Vöruskrá!A:A, Vöruskrá!G:G, "")), ""), IF(F542 = "Réttur", IFERROR(_xlfn.SINGLE(_xlfn.XLOOKUP(G542, Réttabanki!A:A, Réttabanki!AU:AU, "")), ""), "")))</f>
        <v/>
      </c>
      <c r="O542" s="26" t="str">
        <f>IF(OR(F542 = "", G542 = "", I542 = ""), "", IF(F542 = "Vara", IFERROR(_xlfn.SINGLE(_xlfn.XLOOKUP(G542, Vöruskrá!A:A, Vöruskrá!I:I, "")) * I542 / 100, ""), IF(F542 = "Réttur", IFERROR(_xlfn.SINGLE(_xlfn.XLOOKUP(G542, Réttabanki!A:A, Réttabanki!AV:AV, "")) * I542 / 100, ""), "")))</f>
        <v/>
      </c>
      <c r="P542" s="26" t="str">
        <f>IF(OR(F542 = "", G542 = "", I542 = ""), "", IF(F542 = "Vara", IFERROR(_xlfn.SINGLE(_xlfn.XLOOKUP(G542, Vöruskrá!A:A, Vöruskrá!J:J, "")) * I542 / 100, ""), IF(F542 = "Réttur", IFERROR(_xlfn.SINGLE(_xlfn.XLOOKUP(G542, Réttabanki!A:A, Réttabanki!AW:AW, "")) * I542 / 100, ""), "")))</f>
        <v/>
      </c>
      <c r="Q542" s="26" t="str">
        <f>IF(OR(F542 = "", G542 = "", I542 = ""), "", IF(F542 = "Vara", IFERROR(_xlfn.SINGLE(_xlfn.XLOOKUP(G542, Vöruskrá!A:A, Vöruskrá!N:N, "")) * I542 / 100, ""), IF(F542 = "Réttur", IFERROR(_xlfn.SINGLE(_xlfn.XLOOKUP(G542, Réttabanki!A:A, Réttabanki!BB:BB, "")) * I542 / 100, ""), "")))</f>
        <v/>
      </c>
    </row>
    <row r="543" spans="2:17">
      <c r="B543" s="33" t="str">
        <f>IF(A543&lt;&gt;"",CHOOSE(WEEKDAY(A543,2),"Mánudagur","Þriðjudagur","Miðvikudagur","Fimmtudagur","Föstudagur","Laugardagur","Sunnudagur"),IF(B542&lt;&gt;"",B542,""))</f>
        <v>Fimmtudagur</v>
      </c>
      <c r="C543" s="33">
        <f>IF(A543&lt;&gt;"",WEEKNUM(A543,21),IF(C542&lt;&gt;"",C542,""))</f>
        <v>27</v>
      </c>
      <c r="D543" s="34"/>
      <c r="E543" s="34"/>
      <c r="F543" s="34"/>
      <c r="G543" s="34"/>
      <c r="H543" s="34"/>
      <c r="I543" s="35"/>
      <c r="J543" s="35"/>
      <c r="K543" s="36"/>
      <c r="L543" s="26" t="str">
        <f>IF(OR(F543 = "", G543 = ""), "", IF(F543 = "Vara", IFERROR(_xlfn.SINGLE(_xlfn.XLOOKUP(G543, Vöruskrá!A:A, Vöruskrá!E:E, "")), ""), IF(F543 = "Réttur", IFERROR(_xlfn.SINGLE(_xlfn.XLOOKUP(G543, Réttabanki!A:A, Réttabanki!AS:AS, "")), ""), "")))</f>
        <v/>
      </c>
      <c r="M543" s="26" t="str">
        <f>IF(OR(F543 = "", G543 = ""), "", IF(F543 = "Vara", IFERROR(_xlfn.SINGLE(_xlfn.XLOOKUP(G543, Vöruskrá!A:A, Vöruskrá!F:F, "")), ""), IF(F543 = "Réttur", IFERROR(_xlfn.SINGLE(_xlfn.XLOOKUP(G543, Réttabanki!A:A, Réttabanki!AT:AT, "")), ""), "")))</f>
        <v/>
      </c>
      <c r="N543" s="26" t="str">
        <f>IF(OR(F543 = "", G543 = ""), "", IF(F543 = "Vara", IFERROR(_xlfn.SINGLE(_xlfn.XLOOKUP(G543, Vöruskrá!A:A, Vöruskrá!G:G, "")), ""), IF(F543 = "Réttur", IFERROR(_xlfn.SINGLE(_xlfn.XLOOKUP(G543, Réttabanki!A:A, Réttabanki!AU:AU, "")), ""), "")))</f>
        <v/>
      </c>
      <c r="O543" s="26" t="str">
        <f>IF(OR(F543 = "", G543 = "", I543 = ""), "", IF(F543 = "Vara", IFERROR(_xlfn.SINGLE(_xlfn.XLOOKUP(G543, Vöruskrá!A:A, Vöruskrá!I:I, "")) * I543 / 100, ""), IF(F543 = "Réttur", IFERROR(_xlfn.SINGLE(_xlfn.XLOOKUP(G543, Réttabanki!A:A, Réttabanki!AV:AV, "")) * I543 / 100, ""), "")))</f>
        <v/>
      </c>
      <c r="P543" s="26" t="str">
        <f>IF(OR(F543 = "", G543 = "", I543 = ""), "", IF(F543 = "Vara", IFERROR(_xlfn.SINGLE(_xlfn.XLOOKUP(G543, Vöruskrá!A:A, Vöruskrá!J:J, "")) * I543 / 100, ""), IF(F543 = "Réttur", IFERROR(_xlfn.SINGLE(_xlfn.XLOOKUP(G543, Réttabanki!A:A, Réttabanki!AW:AW, "")) * I543 / 100, ""), "")))</f>
        <v/>
      </c>
      <c r="Q543" s="26" t="str">
        <f>IF(OR(F543 = "", G543 = "", I543 = ""), "", IF(F543 = "Vara", IFERROR(_xlfn.SINGLE(_xlfn.XLOOKUP(G543, Vöruskrá!A:A, Vöruskrá!N:N, "")) * I543 / 100, ""), IF(F543 = "Réttur", IFERROR(_xlfn.SINGLE(_xlfn.XLOOKUP(G543, Réttabanki!A:A, Réttabanki!BB:BB, "")) * I543 / 100, ""), "")))</f>
        <v/>
      </c>
    </row>
    <row r="544" spans="2:17">
      <c r="B544" s="33" t="str">
        <f>IF(A544&lt;&gt;"",CHOOSE(WEEKDAY(A544,2),"Mánudagur","Þriðjudagur","Miðvikudagur","Fimmtudagur","Föstudagur","Laugardagur","Sunnudagur"),IF(B543&lt;&gt;"",B543,""))</f>
        <v>Fimmtudagur</v>
      </c>
      <c r="C544" s="33">
        <f>IF(A544&lt;&gt;"",WEEKNUM(A544,21),IF(C543&lt;&gt;"",C543,""))</f>
        <v>27</v>
      </c>
      <c r="D544" s="34"/>
      <c r="E544" s="34"/>
      <c r="F544" s="34"/>
      <c r="G544" s="34"/>
      <c r="H544" s="34"/>
      <c r="I544" s="35"/>
      <c r="J544" s="35"/>
      <c r="K544" s="36"/>
      <c r="L544" s="26" t="str">
        <f>IF(OR(F544 = "", G544 = ""), "", IF(F544 = "Vara", IFERROR(_xlfn.SINGLE(_xlfn.XLOOKUP(G544, Vöruskrá!A:A, Vöruskrá!E:E, "")), ""), IF(F544 = "Réttur", IFERROR(_xlfn.SINGLE(_xlfn.XLOOKUP(G544, Réttabanki!A:A, Réttabanki!AS:AS, "")), ""), "")))</f>
        <v/>
      </c>
      <c r="M544" s="26" t="str">
        <f>IF(OR(F544 = "", G544 = ""), "", IF(F544 = "Vara", IFERROR(_xlfn.SINGLE(_xlfn.XLOOKUP(G544, Vöruskrá!A:A, Vöruskrá!F:F, "")), ""), IF(F544 = "Réttur", IFERROR(_xlfn.SINGLE(_xlfn.XLOOKUP(G544, Réttabanki!A:A, Réttabanki!AT:AT, "")), ""), "")))</f>
        <v/>
      </c>
      <c r="N544" s="26" t="str">
        <f>IF(OR(F544 = "", G544 = ""), "", IF(F544 = "Vara", IFERROR(_xlfn.SINGLE(_xlfn.XLOOKUP(G544, Vöruskrá!A:A, Vöruskrá!G:G, "")), ""), IF(F544 = "Réttur", IFERROR(_xlfn.SINGLE(_xlfn.XLOOKUP(G544, Réttabanki!A:A, Réttabanki!AU:AU, "")), ""), "")))</f>
        <v/>
      </c>
      <c r="O544" s="26" t="str">
        <f>IF(OR(F544 = "", G544 = "", I544 = ""), "", IF(F544 = "Vara", IFERROR(_xlfn.SINGLE(_xlfn.XLOOKUP(G544, Vöruskrá!A:A, Vöruskrá!I:I, "")) * I544 / 100, ""), IF(F544 = "Réttur", IFERROR(_xlfn.SINGLE(_xlfn.XLOOKUP(G544, Réttabanki!A:A, Réttabanki!AV:AV, "")) * I544 / 100, ""), "")))</f>
        <v/>
      </c>
      <c r="P544" s="26" t="str">
        <f>IF(OR(F544 = "", G544 = "", I544 = ""), "", IF(F544 = "Vara", IFERROR(_xlfn.SINGLE(_xlfn.XLOOKUP(G544, Vöruskrá!A:A, Vöruskrá!J:J, "")) * I544 / 100, ""), IF(F544 = "Réttur", IFERROR(_xlfn.SINGLE(_xlfn.XLOOKUP(G544, Réttabanki!A:A, Réttabanki!AW:AW, "")) * I544 / 100, ""), "")))</f>
        <v/>
      </c>
      <c r="Q544" s="26" t="str">
        <f>IF(OR(F544 = "", G544 = "", I544 = ""), "", IF(F544 = "Vara", IFERROR(_xlfn.SINGLE(_xlfn.XLOOKUP(G544, Vöruskrá!A:A, Vöruskrá!N:N, "")) * I544 / 100, ""), IF(F544 = "Réttur", IFERROR(_xlfn.SINGLE(_xlfn.XLOOKUP(G544, Réttabanki!A:A, Réttabanki!BB:BB, "")) * I544 / 100, ""), "")))</f>
        <v/>
      </c>
    </row>
    <row r="545" spans="2:17">
      <c r="B545" s="33" t="str">
        <f>IF(A545&lt;&gt;"",CHOOSE(WEEKDAY(A545,2),"Mánudagur","Þriðjudagur","Miðvikudagur","Fimmtudagur","Föstudagur","Laugardagur","Sunnudagur"),IF(B544&lt;&gt;"",B544,""))</f>
        <v>Fimmtudagur</v>
      </c>
      <c r="C545" s="33">
        <f>IF(A545&lt;&gt;"",WEEKNUM(A545,21),IF(C544&lt;&gt;"",C544,""))</f>
        <v>27</v>
      </c>
      <c r="D545" s="34"/>
      <c r="E545" s="34"/>
      <c r="F545" s="34"/>
      <c r="G545" s="34"/>
      <c r="H545" s="34"/>
      <c r="I545" s="35"/>
      <c r="J545" s="35"/>
      <c r="K545" s="36"/>
      <c r="L545" s="26" t="str">
        <f>IF(OR(F545 = "", G545 = ""), "", IF(F545 = "Vara", IFERROR(_xlfn.SINGLE(_xlfn.XLOOKUP(G545, Vöruskrá!A:A, Vöruskrá!E:E, "")), ""), IF(F545 = "Réttur", IFERROR(_xlfn.SINGLE(_xlfn.XLOOKUP(G545, Réttabanki!A:A, Réttabanki!AS:AS, "")), ""), "")))</f>
        <v/>
      </c>
      <c r="M545" s="26" t="str">
        <f>IF(OR(F545 = "", G545 = ""), "", IF(F545 = "Vara", IFERROR(_xlfn.SINGLE(_xlfn.XLOOKUP(G545, Vöruskrá!A:A, Vöruskrá!F:F, "")), ""), IF(F545 = "Réttur", IFERROR(_xlfn.SINGLE(_xlfn.XLOOKUP(G545, Réttabanki!A:A, Réttabanki!AT:AT, "")), ""), "")))</f>
        <v/>
      </c>
      <c r="N545" s="26" t="str">
        <f>IF(OR(F545 = "", G545 = ""), "", IF(F545 = "Vara", IFERROR(_xlfn.SINGLE(_xlfn.XLOOKUP(G545, Vöruskrá!A:A, Vöruskrá!G:G, "")), ""), IF(F545 = "Réttur", IFERROR(_xlfn.SINGLE(_xlfn.XLOOKUP(G545, Réttabanki!A:A, Réttabanki!AU:AU, "")), ""), "")))</f>
        <v/>
      </c>
      <c r="O545" s="26" t="str">
        <f>IF(OR(F545 = "", G545 = "", I545 = ""), "", IF(F545 = "Vara", IFERROR(_xlfn.SINGLE(_xlfn.XLOOKUP(G545, Vöruskrá!A:A, Vöruskrá!I:I, "")) * I545 / 100, ""), IF(F545 = "Réttur", IFERROR(_xlfn.SINGLE(_xlfn.XLOOKUP(G545, Réttabanki!A:A, Réttabanki!AV:AV, "")) * I545 / 100, ""), "")))</f>
        <v/>
      </c>
      <c r="P545" s="26" t="str">
        <f>IF(OR(F545 = "", G545 = "", I545 = ""), "", IF(F545 = "Vara", IFERROR(_xlfn.SINGLE(_xlfn.XLOOKUP(G545, Vöruskrá!A:A, Vöruskrá!J:J, "")) * I545 / 100, ""), IF(F545 = "Réttur", IFERROR(_xlfn.SINGLE(_xlfn.XLOOKUP(G545, Réttabanki!A:A, Réttabanki!AW:AW, "")) * I545 / 100, ""), "")))</f>
        <v/>
      </c>
      <c r="Q545" s="26" t="str">
        <f>IF(OR(F545 = "", G545 = "", I545 = ""), "", IF(F545 = "Vara", IFERROR(_xlfn.SINGLE(_xlfn.XLOOKUP(G545, Vöruskrá!A:A, Vöruskrá!N:N, "")) * I545 / 100, ""), IF(F545 = "Réttur", IFERROR(_xlfn.SINGLE(_xlfn.XLOOKUP(G545, Réttabanki!A:A, Réttabanki!BB:BB, "")) * I545 / 100, ""), "")))</f>
        <v/>
      </c>
    </row>
    <row r="546" spans="2:17">
      <c r="B546" s="33" t="str">
        <f>IF(A546&lt;&gt;"",CHOOSE(WEEKDAY(A546,2),"Mánudagur","Þriðjudagur","Miðvikudagur","Fimmtudagur","Föstudagur","Laugardagur","Sunnudagur"),IF(B545&lt;&gt;"",B545,""))</f>
        <v>Fimmtudagur</v>
      </c>
      <c r="C546" s="33">
        <f>IF(A546&lt;&gt;"",WEEKNUM(A546,21),IF(C545&lt;&gt;"",C545,""))</f>
        <v>27</v>
      </c>
      <c r="D546" s="34"/>
      <c r="E546" s="34"/>
      <c r="F546" s="34"/>
      <c r="G546" s="34"/>
      <c r="H546" s="34"/>
      <c r="I546" s="35"/>
      <c r="J546" s="35"/>
      <c r="K546" s="36"/>
      <c r="L546" s="26" t="str">
        <f>IF(OR(F546 = "", G546 = ""), "", IF(F546 = "Vara", IFERROR(_xlfn.SINGLE(_xlfn.XLOOKUP(G546, Vöruskrá!A:A, Vöruskrá!E:E, "")), ""), IF(F546 = "Réttur", IFERROR(_xlfn.SINGLE(_xlfn.XLOOKUP(G546, Réttabanki!A:A, Réttabanki!AS:AS, "")), ""), "")))</f>
        <v/>
      </c>
      <c r="M546" s="26" t="str">
        <f>IF(OR(F546 = "", G546 = ""), "", IF(F546 = "Vara", IFERROR(_xlfn.SINGLE(_xlfn.XLOOKUP(G546, Vöruskrá!A:A, Vöruskrá!F:F, "")), ""), IF(F546 = "Réttur", IFERROR(_xlfn.SINGLE(_xlfn.XLOOKUP(G546, Réttabanki!A:A, Réttabanki!AT:AT, "")), ""), "")))</f>
        <v/>
      </c>
      <c r="N546" s="26" t="str">
        <f>IF(OR(F546 = "", G546 = ""), "", IF(F546 = "Vara", IFERROR(_xlfn.SINGLE(_xlfn.XLOOKUP(G546, Vöruskrá!A:A, Vöruskrá!G:G, "")), ""), IF(F546 = "Réttur", IFERROR(_xlfn.SINGLE(_xlfn.XLOOKUP(G546, Réttabanki!A:A, Réttabanki!AU:AU, "")), ""), "")))</f>
        <v/>
      </c>
      <c r="O546" s="26" t="str">
        <f>IF(OR(F546 = "", G546 = "", I546 = ""), "", IF(F546 = "Vara", IFERROR(_xlfn.SINGLE(_xlfn.XLOOKUP(G546, Vöruskrá!A:A, Vöruskrá!I:I, "")) * I546 / 100, ""), IF(F546 = "Réttur", IFERROR(_xlfn.SINGLE(_xlfn.XLOOKUP(G546, Réttabanki!A:A, Réttabanki!AV:AV, "")) * I546 / 100, ""), "")))</f>
        <v/>
      </c>
      <c r="P546" s="26" t="str">
        <f>IF(OR(F546 = "", G546 = "", I546 = ""), "", IF(F546 = "Vara", IFERROR(_xlfn.SINGLE(_xlfn.XLOOKUP(G546, Vöruskrá!A:A, Vöruskrá!J:J, "")) * I546 / 100, ""), IF(F546 = "Réttur", IFERROR(_xlfn.SINGLE(_xlfn.XLOOKUP(G546, Réttabanki!A:A, Réttabanki!AW:AW, "")) * I546 / 100, ""), "")))</f>
        <v/>
      </c>
      <c r="Q546" s="26" t="str">
        <f>IF(OR(F546 = "", G546 = "", I546 = ""), "", IF(F546 = "Vara", IFERROR(_xlfn.SINGLE(_xlfn.XLOOKUP(G546, Vöruskrá!A:A, Vöruskrá!N:N, "")) * I546 / 100, ""), IF(F546 = "Réttur", IFERROR(_xlfn.SINGLE(_xlfn.XLOOKUP(G546, Réttabanki!A:A, Réttabanki!BB:BB, "")) * I546 / 100, ""), "")))</f>
        <v/>
      </c>
    </row>
    <row r="547" spans="2:17">
      <c r="B547" s="33" t="str">
        <f>IF(A547&lt;&gt;"",CHOOSE(WEEKDAY(A547,2),"Mánudagur","Þriðjudagur","Miðvikudagur","Fimmtudagur","Föstudagur","Laugardagur","Sunnudagur"),IF(B546&lt;&gt;"",B546,""))</f>
        <v>Fimmtudagur</v>
      </c>
      <c r="C547" s="33">
        <f>IF(A547&lt;&gt;"",WEEKNUM(A547,21),IF(C546&lt;&gt;"",C546,""))</f>
        <v>27</v>
      </c>
      <c r="D547" s="34"/>
      <c r="E547" s="34"/>
      <c r="F547" s="34"/>
      <c r="G547" s="34"/>
      <c r="H547" s="34"/>
      <c r="I547" s="35"/>
      <c r="J547" s="35"/>
      <c r="K547" s="36"/>
      <c r="L547" s="26" t="str">
        <f>IF(OR(F547 = "", G547 = ""), "", IF(F547 = "Vara", IFERROR(_xlfn.SINGLE(_xlfn.XLOOKUP(G547, Vöruskrá!A:A, Vöruskrá!E:E, "")), ""), IF(F547 = "Réttur", IFERROR(_xlfn.SINGLE(_xlfn.XLOOKUP(G547, Réttabanki!A:A, Réttabanki!AS:AS, "")), ""), "")))</f>
        <v/>
      </c>
      <c r="M547" s="26" t="str">
        <f>IF(OR(F547 = "", G547 = ""), "", IF(F547 = "Vara", IFERROR(_xlfn.SINGLE(_xlfn.XLOOKUP(G547, Vöruskrá!A:A, Vöruskrá!F:F, "")), ""), IF(F547 = "Réttur", IFERROR(_xlfn.SINGLE(_xlfn.XLOOKUP(G547, Réttabanki!A:A, Réttabanki!AT:AT, "")), ""), "")))</f>
        <v/>
      </c>
      <c r="N547" s="26" t="str">
        <f>IF(OR(F547 = "", G547 = ""), "", IF(F547 = "Vara", IFERROR(_xlfn.SINGLE(_xlfn.XLOOKUP(G547, Vöruskrá!A:A, Vöruskrá!G:G, "")), ""), IF(F547 = "Réttur", IFERROR(_xlfn.SINGLE(_xlfn.XLOOKUP(G547, Réttabanki!A:A, Réttabanki!AU:AU, "")), ""), "")))</f>
        <v/>
      </c>
      <c r="O547" s="26" t="str">
        <f>IF(OR(F547 = "", G547 = "", I547 = ""), "", IF(F547 = "Vara", IFERROR(_xlfn.SINGLE(_xlfn.XLOOKUP(G547, Vöruskrá!A:A, Vöruskrá!I:I, "")) * I547 / 100, ""), IF(F547 = "Réttur", IFERROR(_xlfn.SINGLE(_xlfn.XLOOKUP(G547, Réttabanki!A:A, Réttabanki!AV:AV, "")) * I547 / 100, ""), "")))</f>
        <v/>
      </c>
      <c r="P547" s="26" t="str">
        <f>IF(OR(F547 = "", G547 = "", I547 = ""), "", IF(F547 = "Vara", IFERROR(_xlfn.SINGLE(_xlfn.XLOOKUP(G547, Vöruskrá!A:A, Vöruskrá!J:J, "")) * I547 / 100, ""), IF(F547 = "Réttur", IFERROR(_xlfn.SINGLE(_xlfn.XLOOKUP(G547, Réttabanki!A:A, Réttabanki!AW:AW, "")) * I547 / 100, ""), "")))</f>
        <v/>
      </c>
      <c r="Q547" s="26" t="str">
        <f>IF(OR(F547 = "", G547 = "", I547 = ""), "", IF(F547 = "Vara", IFERROR(_xlfn.SINGLE(_xlfn.XLOOKUP(G547, Vöruskrá!A:A, Vöruskrá!N:N, "")) * I547 / 100, ""), IF(F547 = "Réttur", IFERROR(_xlfn.SINGLE(_xlfn.XLOOKUP(G547, Réttabanki!A:A, Réttabanki!BB:BB, "")) * I547 / 100, ""), "")))</f>
        <v/>
      </c>
    </row>
    <row r="548" spans="2:17">
      <c r="B548" s="33" t="str">
        <f>IF(A548&lt;&gt;"",CHOOSE(WEEKDAY(A548,2),"Mánudagur","Þriðjudagur","Miðvikudagur","Fimmtudagur","Föstudagur","Laugardagur","Sunnudagur"),IF(B547&lt;&gt;"",B547,""))</f>
        <v>Fimmtudagur</v>
      </c>
      <c r="C548" s="33">
        <f>IF(A548&lt;&gt;"",WEEKNUM(A548,21),IF(C547&lt;&gt;"",C547,""))</f>
        <v>27</v>
      </c>
      <c r="D548" s="34"/>
      <c r="E548" s="34"/>
      <c r="F548" s="34"/>
      <c r="G548" s="34"/>
      <c r="H548" s="34"/>
      <c r="I548" s="35"/>
      <c r="J548" s="35"/>
      <c r="K548" s="36"/>
      <c r="L548" s="26" t="str">
        <f>IF(OR(F548 = "", G548 = ""), "", IF(F548 = "Vara", IFERROR(_xlfn.SINGLE(_xlfn.XLOOKUP(G548, Vöruskrá!A:A, Vöruskrá!E:E, "")), ""), IF(F548 = "Réttur", IFERROR(_xlfn.SINGLE(_xlfn.XLOOKUP(G548, Réttabanki!A:A, Réttabanki!AS:AS, "")), ""), "")))</f>
        <v/>
      </c>
      <c r="M548" s="26" t="str">
        <f>IF(OR(F548 = "", G548 = ""), "", IF(F548 = "Vara", IFERROR(_xlfn.SINGLE(_xlfn.XLOOKUP(G548, Vöruskrá!A:A, Vöruskrá!F:F, "")), ""), IF(F548 = "Réttur", IFERROR(_xlfn.SINGLE(_xlfn.XLOOKUP(G548, Réttabanki!A:A, Réttabanki!AT:AT, "")), ""), "")))</f>
        <v/>
      </c>
      <c r="N548" s="26" t="str">
        <f>IF(OR(F548 = "", G548 = ""), "", IF(F548 = "Vara", IFERROR(_xlfn.SINGLE(_xlfn.XLOOKUP(G548, Vöruskrá!A:A, Vöruskrá!G:G, "")), ""), IF(F548 = "Réttur", IFERROR(_xlfn.SINGLE(_xlfn.XLOOKUP(G548, Réttabanki!A:A, Réttabanki!AU:AU, "")), ""), "")))</f>
        <v/>
      </c>
      <c r="O548" s="26" t="str">
        <f>IF(OR(F548 = "", G548 = "", I548 = ""), "", IF(F548 = "Vara", IFERROR(_xlfn.SINGLE(_xlfn.XLOOKUP(G548, Vöruskrá!A:A, Vöruskrá!I:I, "")) * I548 / 100, ""), IF(F548 = "Réttur", IFERROR(_xlfn.SINGLE(_xlfn.XLOOKUP(G548, Réttabanki!A:A, Réttabanki!AV:AV, "")) * I548 / 100, ""), "")))</f>
        <v/>
      </c>
      <c r="P548" s="26" t="str">
        <f>IF(OR(F548 = "", G548 = "", I548 = ""), "", IF(F548 = "Vara", IFERROR(_xlfn.SINGLE(_xlfn.XLOOKUP(G548, Vöruskrá!A:A, Vöruskrá!J:J, "")) * I548 / 100, ""), IF(F548 = "Réttur", IFERROR(_xlfn.SINGLE(_xlfn.XLOOKUP(G548, Réttabanki!A:A, Réttabanki!AW:AW, "")) * I548 / 100, ""), "")))</f>
        <v/>
      </c>
      <c r="Q548" s="26" t="str">
        <f>IF(OR(F548 = "", G548 = "", I548 = ""), "", IF(F548 = "Vara", IFERROR(_xlfn.SINGLE(_xlfn.XLOOKUP(G548, Vöruskrá!A:A, Vöruskrá!N:N, "")) * I548 / 100, ""), IF(F548 = "Réttur", IFERROR(_xlfn.SINGLE(_xlfn.XLOOKUP(G548, Réttabanki!A:A, Réttabanki!BB:BB, "")) * I548 / 100, ""), "")))</f>
        <v/>
      </c>
    </row>
    <row r="549" spans="2:17">
      <c r="B549" s="33" t="str">
        <f>IF(A549&lt;&gt;"",CHOOSE(WEEKDAY(A549,2),"Mánudagur","Þriðjudagur","Miðvikudagur","Fimmtudagur","Föstudagur","Laugardagur","Sunnudagur"),IF(B548&lt;&gt;"",B548,""))</f>
        <v>Fimmtudagur</v>
      </c>
      <c r="C549" s="33">
        <f>IF(A549&lt;&gt;"",WEEKNUM(A549,21),IF(C548&lt;&gt;"",C548,""))</f>
        <v>27</v>
      </c>
      <c r="D549" s="34"/>
      <c r="E549" s="34"/>
      <c r="F549" s="34"/>
      <c r="G549" s="34"/>
      <c r="H549" s="34"/>
      <c r="I549" s="35"/>
      <c r="J549" s="35"/>
      <c r="K549" s="36"/>
      <c r="L549" s="26" t="str">
        <f>IF(OR(F549 = "", G549 = ""), "", IF(F549 = "Vara", IFERROR(_xlfn.SINGLE(_xlfn.XLOOKUP(G549, Vöruskrá!A:A, Vöruskrá!E:E, "")), ""), IF(F549 = "Réttur", IFERROR(_xlfn.SINGLE(_xlfn.XLOOKUP(G549, Réttabanki!A:A, Réttabanki!AS:AS, "")), ""), "")))</f>
        <v/>
      </c>
      <c r="M549" s="26" t="str">
        <f>IF(OR(F549 = "", G549 = ""), "", IF(F549 = "Vara", IFERROR(_xlfn.SINGLE(_xlfn.XLOOKUP(G549, Vöruskrá!A:A, Vöruskrá!F:F, "")), ""), IF(F549 = "Réttur", IFERROR(_xlfn.SINGLE(_xlfn.XLOOKUP(G549, Réttabanki!A:A, Réttabanki!AT:AT, "")), ""), "")))</f>
        <v/>
      </c>
      <c r="N549" s="26" t="str">
        <f>IF(OR(F549 = "", G549 = ""), "", IF(F549 = "Vara", IFERROR(_xlfn.SINGLE(_xlfn.XLOOKUP(G549, Vöruskrá!A:A, Vöruskrá!G:G, "")), ""), IF(F549 = "Réttur", IFERROR(_xlfn.SINGLE(_xlfn.XLOOKUP(G549, Réttabanki!A:A, Réttabanki!AU:AU, "")), ""), "")))</f>
        <v/>
      </c>
      <c r="O549" s="26" t="str">
        <f>IF(OR(F549 = "", G549 = "", I549 = ""), "", IF(F549 = "Vara", IFERROR(_xlfn.SINGLE(_xlfn.XLOOKUP(G549, Vöruskrá!A:A, Vöruskrá!I:I, "")) * I549 / 100, ""), IF(F549 = "Réttur", IFERROR(_xlfn.SINGLE(_xlfn.XLOOKUP(G549, Réttabanki!A:A, Réttabanki!AV:AV, "")) * I549 / 100, ""), "")))</f>
        <v/>
      </c>
      <c r="P549" s="26" t="str">
        <f>IF(OR(F549 = "", G549 = "", I549 = ""), "", IF(F549 = "Vara", IFERROR(_xlfn.SINGLE(_xlfn.XLOOKUP(G549, Vöruskrá!A:A, Vöruskrá!J:J, "")) * I549 / 100, ""), IF(F549 = "Réttur", IFERROR(_xlfn.SINGLE(_xlfn.XLOOKUP(G549, Réttabanki!A:A, Réttabanki!AW:AW, "")) * I549 / 100, ""), "")))</f>
        <v/>
      </c>
      <c r="Q549" s="26" t="str">
        <f>IF(OR(F549 = "", G549 = "", I549 = ""), "", IF(F549 = "Vara", IFERROR(_xlfn.SINGLE(_xlfn.XLOOKUP(G549, Vöruskrá!A:A, Vöruskrá!N:N, "")) * I549 / 100, ""), IF(F549 = "Réttur", IFERROR(_xlfn.SINGLE(_xlfn.XLOOKUP(G549, Réttabanki!A:A, Réttabanki!BB:BB, "")) * I549 / 100, ""), "")))</f>
        <v/>
      </c>
    </row>
    <row r="550" spans="2:17">
      <c r="B550" s="33" t="str">
        <f>IF(A550&lt;&gt;"",CHOOSE(WEEKDAY(A550,2),"Mánudagur","Þriðjudagur","Miðvikudagur","Fimmtudagur","Föstudagur","Laugardagur","Sunnudagur"),IF(B549&lt;&gt;"",B549,""))</f>
        <v>Fimmtudagur</v>
      </c>
      <c r="C550" s="33">
        <f>IF(A550&lt;&gt;"",WEEKNUM(A550,21),IF(C549&lt;&gt;"",C549,""))</f>
        <v>27</v>
      </c>
      <c r="D550" s="34"/>
      <c r="E550" s="34"/>
      <c r="F550" s="34"/>
      <c r="G550" s="34"/>
      <c r="H550" s="34"/>
      <c r="I550" s="35"/>
      <c r="J550" s="35"/>
      <c r="K550" s="36"/>
      <c r="L550" s="26" t="str">
        <f>IF(OR(F550 = "", G550 = ""), "", IF(F550 = "Vara", IFERROR(_xlfn.SINGLE(_xlfn.XLOOKUP(G550, Vöruskrá!A:A, Vöruskrá!E:E, "")), ""), IF(F550 = "Réttur", IFERROR(_xlfn.SINGLE(_xlfn.XLOOKUP(G550, Réttabanki!A:A, Réttabanki!AS:AS, "")), ""), "")))</f>
        <v/>
      </c>
      <c r="M550" s="26" t="str">
        <f>IF(OR(F550 = "", G550 = ""), "", IF(F550 = "Vara", IFERROR(_xlfn.SINGLE(_xlfn.XLOOKUP(G550, Vöruskrá!A:A, Vöruskrá!F:F, "")), ""), IF(F550 = "Réttur", IFERROR(_xlfn.SINGLE(_xlfn.XLOOKUP(G550, Réttabanki!A:A, Réttabanki!AT:AT, "")), ""), "")))</f>
        <v/>
      </c>
      <c r="N550" s="26" t="str">
        <f>IF(OR(F550 = "", G550 = ""), "", IF(F550 = "Vara", IFERROR(_xlfn.SINGLE(_xlfn.XLOOKUP(G550, Vöruskrá!A:A, Vöruskrá!G:G, "")), ""), IF(F550 = "Réttur", IFERROR(_xlfn.SINGLE(_xlfn.XLOOKUP(G550, Réttabanki!A:A, Réttabanki!AU:AU, "")), ""), "")))</f>
        <v/>
      </c>
      <c r="O550" s="26" t="str">
        <f>IF(OR(F550 = "", G550 = "", I550 = ""), "", IF(F550 = "Vara", IFERROR(_xlfn.SINGLE(_xlfn.XLOOKUP(G550, Vöruskrá!A:A, Vöruskrá!I:I, "")) * I550 / 100, ""), IF(F550 = "Réttur", IFERROR(_xlfn.SINGLE(_xlfn.XLOOKUP(G550, Réttabanki!A:A, Réttabanki!AV:AV, "")) * I550 / 100, ""), "")))</f>
        <v/>
      </c>
      <c r="P550" s="26" t="str">
        <f>IF(OR(F550 = "", G550 = "", I550 = ""), "", IF(F550 = "Vara", IFERROR(_xlfn.SINGLE(_xlfn.XLOOKUP(G550, Vöruskrá!A:A, Vöruskrá!J:J, "")) * I550 / 100, ""), IF(F550 = "Réttur", IFERROR(_xlfn.SINGLE(_xlfn.XLOOKUP(G550, Réttabanki!A:A, Réttabanki!AW:AW, "")) * I550 / 100, ""), "")))</f>
        <v/>
      </c>
      <c r="Q550" s="26" t="str">
        <f>IF(OR(F550 = "", G550 = "", I550 = ""), "", IF(F550 = "Vara", IFERROR(_xlfn.SINGLE(_xlfn.XLOOKUP(G550, Vöruskrá!A:A, Vöruskrá!N:N, "")) * I550 / 100, ""), IF(F550 = "Réttur", IFERROR(_xlfn.SINGLE(_xlfn.XLOOKUP(G550, Réttabanki!A:A, Réttabanki!BB:BB, "")) * I550 / 100, ""), "")))</f>
        <v/>
      </c>
    </row>
    <row r="551" spans="2:17">
      <c r="B551" s="33" t="str">
        <f>IF(A551&lt;&gt;"",CHOOSE(WEEKDAY(A551,2),"Mánudagur","Þriðjudagur","Miðvikudagur","Fimmtudagur","Föstudagur","Laugardagur","Sunnudagur"),IF(B550&lt;&gt;"",B550,""))</f>
        <v>Fimmtudagur</v>
      </c>
      <c r="C551" s="33">
        <f>IF(A551&lt;&gt;"",WEEKNUM(A551,21),IF(C550&lt;&gt;"",C550,""))</f>
        <v>27</v>
      </c>
      <c r="D551" s="34"/>
      <c r="E551" s="34"/>
      <c r="F551" s="34"/>
      <c r="G551" s="34"/>
      <c r="H551" s="34"/>
      <c r="I551" s="35"/>
      <c r="J551" s="35"/>
      <c r="K551" s="36"/>
      <c r="L551" s="26" t="str">
        <f>IF(OR(F551 = "", G551 = ""), "", IF(F551 = "Vara", IFERROR(_xlfn.SINGLE(_xlfn.XLOOKUP(G551, Vöruskrá!A:A, Vöruskrá!E:E, "")), ""), IF(F551 = "Réttur", IFERROR(_xlfn.SINGLE(_xlfn.XLOOKUP(G551, Réttabanki!A:A, Réttabanki!AS:AS, "")), ""), "")))</f>
        <v/>
      </c>
      <c r="M551" s="26" t="str">
        <f>IF(OR(F551 = "", G551 = ""), "", IF(F551 = "Vara", IFERROR(_xlfn.SINGLE(_xlfn.XLOOKUP(G551, Vöruskrá!A:A, Vöruskrá!F:F, "")), ""), IF(F551 = "Réttur", IFERROR(_xlfn.SINGLE(_xlfn.XLOOKUP(G551, Réttabanki!A:A, Réttabanki!AT:AT, "")), ""), "")))</f>
        <v/>
      </c>
      <c r="N551" s="26" t="str">
        <f>IF(OR(F551 = "", G551 = ""), "", IF(F551 = "Vara", IFERROR(_xlfn.SINGLE(_xlfn.XLOOKUP(G551, Vöruskrá!A:A, Vöruskrá!G:G, "")), ""), IF(F551 = "Réttur", IFERROR(_xlfn.SINGLE(_xlfn.XLOOKUP(G551, Réttabanki!A:A, Réttabanki!AU:AU, "")), ""), "")))</f>
        <v/>
      </c>
      <c r="O551" s="26" t="str">
        <f>IF(OR(F551 = "", G551 = "", I551 = ""), "", IF(F551 = "Vara", IFERROR(_xlfn.SINGLE(_xlfn.XLOOKUP(G551, Vöruskrá!A:A, Vöruskrá!I:I, "")) * I551 / 100, ""), IF(F551 = "Réttur", IFERROR(_xlfn.SINGLE(_xlfn.XLOOKUP(G551, Réttabanki!A:A, Réttabanki!AV:AV, "")) * I551 / 100, ""), "")))</f>
        <v/>
      </c>
      <c r="P551" s="26" t="str">
        <f>IF(OR(F551 = "", G551 = "", I551 = ""), "", IF(F551 = "Vara", IFERROR(_xlfn.SINGLE(_xlfn.XLOOKUP(G551, Vöruskrá!A:A, Vöruskrá!J:J, "")) * I551 / 100, ""), IF(F551 = "Réttur", IFERROR(_xlfn.SINGLE(_xlfn.XLOOKUP(G551, Réttabanki!A:A, Réttabanki!AW:AW, "")) * I551 / 100, ""), "")))</f>
        <v/>
      </c>
      <c r="Q551" s="26" t="str">
        <f>IF(OR(F551 = "", G551 = "", I551 = ""), "", IF(F551 = "Vara", IFERROR(_xlfn.SINGLE(_xlfn.XLOOKUP(G551, Vöruskrá!A:A, Vöruskrá!N:N, "")) * I551 / 100, ""), IF(F551 = "Réttur", IFERROR(_xlfn.SINGLE(_xlfn.XLOOKUP(G551, Réttabanki!A:A, Réttabanki!BB:BB, "")) * I551 / 100, ""), "")))</f>
        <v/>
      </c>
    </row>
    <row r="552" spans="2:17">
      <c r="B552" s="33" t="str">
        <f>IF(A552&lt;&gt;"",CHOOSE(WEEKDAY(A552,2),"Mánudagur","Þriðjudagur","Miðvikudagur","Fimmtudagur","Föstudagur","Laugardagur","Sunnudagur"),IF(B551&lt;&gt;"",B551,""))</f>
        <v>Fimmtudagur</v>
      </c>
      <c r="C552" s="33">
        <f>IF(A552&lt;&gt;"",WEEKNUM(A552,21),IF(C551&lt;&gt;"",C551,""))</f>
        <v>27</v>
      </c>
      <c r="D552" s="34"/>
      <c r="E552" s="34"/>
      <c r="F552" s="34"/>
      <c r="G552" s="34"/>
      <c r="H552" s="34"/>
      <c r="I552" s="35"/>
      <c r="J552" s="35"/>
      <c r="K552" s="36"/>
      <c r="L552" s="26" t="str">
        <f>IF(OR(F552 = "", G552 = ""), "", IF(F552 = "Vara", IFERROR(_xlfn.SINGLE(_xlfn.XLOOKUP(G552, Vöruskrá!A:A, Vöruskrá!E:E, "")), ""), IF(F552 = "Réttur", IFERROR(_xlfn.SINGLE(_xlfn.XLOOKUP(G552, Réttabanki!A:A, Réttabanki!AS:AS, "")), ""), "")))</f>
        <v/>
      </c>
      <c r="M552" s="26" t="str">
        <f>IF(OR(F552 = "", G552 = ""), "", IF(F552 = "Vara", IFERROR(_xlfn.SINGLE(_xlfn.XLOOKUP(G552, Vöruskrá!A:A, Vöruskrá!F:F, "")), ""), IF(F552 = "Réttur", IFERROR(_xlfn.SINGLE(_xlfn.XLOOKUP(G552, Réttabanki!A:A, Réttabanki!AT:AT, "")), ""), "")))</f>
        <v/>
      </c>
      <c r="N552" s="26" t="str">
        <f>IF(OR(F552 = "", G552 = ""), "", IF(F552 = "Vara", IFERROR(_xlfn.SINGLE(_xlfn.XLOOKUP(G552, Vöruskrá!A:A, Vöruskrá!G:G, "")), ""), IF(F552 = "Réttur", IFERROR(_xlfn.SINGLE(_xlfn.XLOOKUP(G552, Réttabanki!A:A, Réttabanki!AU:AU, "")), ""), "")))</f>
        <v/>
      </c>
      <c r="O552" s="26" t="str">
        <f>IF(OR(F552 = "", G552 = "", I552 = ""), "", IF(F552 = "Vara", IFERROR(_xlfn.SINGLE(_xlfn.XLOOKUP(G552, Vöruskrá!A:A, Vöruskrá!I:I, "")) * I552 / 100, ""), IF(F552 = "Réttur", IFERROR(_xlfn.SINGLE(_xlfn.XLOOKUP(G552, Réttabanki!A:A, Réttabanki!AV:AV, "")) * I552 / 100, ""), "")))</f>
        <v/>
      </c>
      <c r="P552" s="26" t="str">
        <f>IF(OR(F552 = "", G552 = "", I552 = ""), "", IF(F552 = "Vara", IFERROR(_xlfn.SINGLE(_xlfn.XLOOKUP(G552, Vöruskrá!A:A, Vöruskrá!J:J, "")) * I552 / 100, ""), IF(F552 = "Réttur", IFERROR(_xlfn.SINGLE(_xlfn.XLOOKUP(G552, Réttabanki!A:A, Réttabanki!AW:AW, "")) * I552 / 100, ""), "")))</f>
        <v/>
      </c>
      <c r="Q552" s="26" t="str">
        <f>IF(OR(F552 = "", G552 = "", I552 = ""), "", IF(F552 = "Vara", IFERROR(_xlfn.SINGLE(_xlfn.XLOOKUP(G552, Vöruskrá!A:A, Vöruskrá!N:N, "")) * I552 / 100, ""), IF(F552 = "Réttur", IFERROR(_xlfn.SINGLE(_xlfn.XLOOKUP(G552, Réttabanki!A:A, Réttabanki!BB:BB, "")) * I552 / 100, ""), "")))</f>
        <v/>
      </c>
    </row>
    <row r="553" spans="2:17">
      <c r="B553" s="33" t="str">
        <f>IF(A553&lt;&gt;"",CHOOSE(WEEKDAY(A553,2),"Mánudagur","Þriðjudagur","Miðvikudagur","Fimmtudagur","Föstudagur","Laugardagur","Sunnudagur"),IF(B552&lt;&gt;"",B552,""))</f>
        <v>Fimmtudagur</v>
      </c>
      <c r="C553" s="33">
        <f>IF(A553&lt;&gt;"",WEEKNUM(A553,21),IF(C552&lt;&gt;"",C552,""))</f>
        <v>27</v>
      </c>
      <c r="D553" s="34"/>
      <c r="E553" s="34"/>
      <c r="F553" s="34"/>
      <c r="G553" s="34"/>
      <c r="H553" s="34"/>
      <c r="I553" s="35"/>
      <c r="J553" s="35"/>
      <c r="K553" s="36"/>
      <c r="L553" s="26" t="str">
        <f>IF(OR(F553 = "", G553 = ""), "", IF(F553 = "Vara", IFERROR(_xlfn.SINGLE(_xlfn.XLOOKUP(G553, Vöruskrá!A:A, Vöruskrá!E:E, "")), ""), IF(F553 = "Réttur", IFERROR(_xlfn.SINGLE(_xlfn.XLOOKUP(G553, Réttabanki!A:A, Réttabanki!AS:AS, "")), ""), "")))</f>
        <v/>
      </c>
      <c r="M553" s="26" t="str">
        <f>IF(OR(F553 = "", G553 = ""), "", IF(F553 = "Vara", IFERROR(_xlfn.SINGLE(_xlfn.XLOOKUP(G553, Vöruskrá!A:A, Vöruskrá!F:F, "")), ""), IF(F553 = "Réttur", IFERROR(_xlfn.SINGLE(_xlfn.XLOOKUP(G553, Réttabanki!A:A, Réttabanki!AT:AT, "")), ""), "")))</f>
        <v/>
      </c>
      <c r="N553" s="26" t="str">
        <f>IF(OR(F553 = "", G553 = ""), "", IF(F553 = "Vara", IFERROR(_xlfn.SINGLE(_xlfn.XLOOKUP(G553, Vöruskrá!A:A, Vöruskrá!G:G, "")), ""), IF(F553 = "Réttur", IFERROR(_xlfn.SINGLE(_xlfn.XLOOKUP(G553, Réttabanki!A:A, Réttabanki!AU:AU, "")), ""), "")))</f>
        <v/>
      </c>
      <c r="O553" s="26" t="str">
        <f>IF(OR(F553 = "", G553 = "", I553 = ""), "", IF(F553 = "Vara", IFERROR(_xlfn.SINGLE(_xlfn.XLOOKUP(G553, Vöruskrá!A:A, Vöruskrá!I:I, "")) * I553 / 100, ""), IF(F553 = "Réttur", IFERROR(_xlfn.SINGLE(_xlfn.XLOOKUP(G553, Réttabanki!A:A, Réttabanki!AV:AV, "")) * I553 / 100, ""), "")))</f>
        <v/>
      </c>
      <c r="P553" s="26" t="str">
        <f>IF(OR(F553 = "", G553 = "", I553 = ""), "", IF(F553 = "Vara", IFERROR(_xlfn.SINGLE(_xlfn.XLOOKUP(G553, Vöruskrá!A:A, Vöruskrá!J:J, "")) * I553 / 100, ""), IF(F553 = "Réttur", IFERROR(_xlfn.SINGLE(_xlfn.XLOOKUP(G553, Réttabanki!A:A, Réttabanki!AW:AW, "")) * I553 / 100, ""), "")))</f>
        <v/>
      </c>
      <c r="Q553" s="26" t="str">
        <f>IF(OR(F553 = "", G553 = "", I553 = ""), "", IF(F553 = "Vara", IFERROR(_xlfn.SINGLE(_xlfn.XLOOKUP(G553, Vöruskrá!A:A, Vöruskrá!N:N, "")) * I553 / 100, ""), IF(F553 = "Réttur", IFERROR(_xlfn.SINGLE(_xlfn.XLOOKUP(G553, Réttabanki!A:A, Réttabanki!BB:BB, "")) * I553 / 100, ""), "")))</f>
        <v/>
      </c>
    </row>
    <row r="554" spans="2:17">
      <c r="B554" s="33" t="str">
        <f>IF(A554&lt;&gt;"",CHOOSE(WEEKDAY(A554,2),"Mánudagur","Þriðjudagur","Miðvikudagur","Fimmtudagur","Föstudagur","Laugardagur","Sunnudagur"),IF(B553&lt;&gt;"",B553,""))</f>
        <v>Fimmtudagur</v>
      </c>
      <c r="C554" s="33">
        <f>IF(A554&lt;&gt;"",WEEKNUM(A554,21),IF(C553&lt;&gt;"",C553,""))</f>
        <v>27</v>
      </c>
      <c r="D554" s="34"/>
      <c r="E554" s="34"/>
      <c r="F554" s="34"/>
      <c r="G554" s="34"/>
      <c r="H554" s="34"/>
      <c r="I554" s="35"/>
      <c r="J554" s="35"/>
      <c r="K554" s="36"/>
      <c r="L554" s="26" t="str">
        <f>IF(OR(F554 = "", G554 = ""), "", IF(F554 = "Vara", IFERROR(_xlfn.SINGLE(_xlfn.XLOOKUP(G554, Vöruskrá!A:A, Vöruskrá!E:E, "")), ""), IF(F554 = "Réttur", IFERROR(_xlfn.SINGLE(_xlfn.XLOOKUP(G554, Réttabanki!A:A, Réttabanki!AS:AS, "")), ""), "")))</f>
        <v/>
      </c>
      <c r="M554" s="26" t="str">
        <f>IF(OR(F554 = "", G554 = ""), "", IF(F554 = "Vara", IFERROR(_xlfn.SINGLE(_xlfn.XLOOKUP(G554, Vöruskrá!A:A, Vöruskrá!F:F, "")), ""), IF(F554 = "Réttur", IFERROR(_xlfn.SINGLE(_xlfn.XLOOKUP(G554, Réttabanki!A:A, Réttabanki!AT:AT, "")), ""), "")))</f>
        <v/>
      </c>
      <c r="N554" s="26" t="str">
        <f>IF(OR(F554 = "", G554 = ""), "", IF(F554 = "Vara", IFERROR(_xlfn.SINGLE(_xlfn.XLOOKUP(G554, Vöruskrá!A:A, Vöruskrá!G:G, "")), ""), IF(F554 = "Réttur", IFERROR(_xlfn.SINGLE(_xlfn.XLOOKUP(G554, Réttabanki!A:A, Réttabanki!AU:AU, "")), ""), "")))</f>
        <v/>
      </c>
      <c r="O554" s="26" t="str">
        <f>IF(OR(F554 = "", G554 = "", I554 = ""), "", IF(F554 = "Vara", IFERROR(_xlfn.SINGLE(_xlfn.XLOOKUP(G554, Vöruskrá!A:A, Vöruskrá!I:I, "")) * I554 / 100, ""), IF(F554 = "Réttur", IFERROR(_xlfn.SINGLE(_xlfn.XLOOKUP(G554, Réttabanki!A:A, Réttabanki!AV:AV, "")) * I554 / 100, ""), "")))</f>
        <v/>
      </c>
      <c r="P554" s="26" t="str">
        <f>IF(OR(F554 = "", G554 = "", I554 = ""), "", IF(F554 = "Vara", IFERROR(_xlfn.SINGLE(_xlfn.XLOOKUP(G554, Vöruskrá!A:A, Vöruskrá!J:J, "")) * I554 / 100, ""), IF(F554 = "Réttur", IFERROR(_xlfn.SINGLE(_xlfn.XLOOKUP(G554, Réttabanki!A:A, Réttabanki!AW:AW, "")) * I554 / 100, ""), "")))</f>
        <v/>
      </c>
      <c r="Q554" s="26" t="str">
        <f>IF(OR(F554 = "", G554 = "", I554 = ""), "", IF(F554 = "Vara", IFERROR(_xlfn.SINGLE(_xlfn.XLOOKUP(G554, Vöruskrá!A:A, Vöruskrá!N:N, "")) * I554 / 100, ""), IF(F554 = "Réttur", IFERROR(_xlfn.SINGLE(_xlfn.XLOOKUP(G554, Réttabanki!A:A, Réttabanki!BB:BB, "")) * I554 / 100, ""), "")))</f>
        <v/>
      </c>
    </row>
    <row r="555" spans="2:17">
      <c r="B555" s="33" t="str">
        <f>IF(A555&lt;&gt;"",CHOOSE(WEEKDAY(A555,2),"Mánudagur","Þriðjudagur","Miðvikudagur","Fimmtudagur","Föstudagur","Laugardagur","Sunnudagur"),IF(B554&lt;&gt;"",B554,""))</f>
        <v>Fimmtudagur</v>
      </c>
      <c r="C555" s="33">
        <f>IF(A555&lt;&gt;"",WEEKNUM(A555,21),IF(C554&lt;&gt;"",C554,""))</f>
        <v>27</v>
      </c>
      <c r="D555" s="34"/>
      <c r="E555" s="34"/>
      <c r="F555" s="34"/>
      <c r="G555" s="34"/>
      <c r="H555" s="34"/>
      <c r="I555" s="35"/>
      <c r="J555" s="35"/>
      <c r="K555" s="36"/>
      <c r="L555" s="26" t="str">
        <f>IF(OR(F555 = "", G555 = ""), "", IF(F555 = "Vara", IFERROR(_xlfn.SINGLE(_xlfn.XLOOKUP(G555, Vöruskrá!A:A, Vöruskrá!E:E, "")), ""), IF(F555 = "Réttur", IFERROR(_xlfn.SINGLE(_xlfn.XLOOKUP(G555, Réttabanki!A:A, Réttabanki!AS:AS, "")), ""), "")))</f>
        <v/>
      </c>
      <c r="M555" s="26" t="str">
        <f>IF(OR(F555 = "", G555 = ""), "", IF(F555 = "Vara", IFERROR(_xlfn.SINGLE(_xlfn.XLOOKUP(G555, Vöruskrá!A:A, Vöruskrá!F:F, "")), ""), IF(F555 = "Réttur", IFERROR(_xlfn.SINGLE(_xlfn.XLOOKUP(G555, Réttabanki!A:A, Réttabanki!AT:AT, "")), ""), "")))</f>
        <v/>
      </c>
      <c r="N555" s="26" t="str">
        <f>IF(OR(F555 = "", G555 = ""), "", IF(F555 = "Vara", IFERROR(_xlfn.SINGLE(_xlfn.XLOOKUP(G555, Vöruskrá!A:A, Vöruskrá!G:G, "")), ""), IF(F555 = "Réttur", IFERROR(_xlfn.SINGLE(_xlfn.XLOOKUP(G555, Réttabanki!A:A, Réttabanki!AU:AU, "")), ""), "")))</f>
        <v/>
      </c>
      <c r="O555" s="26" t="str">
        <f>IF(OR(F555 = "", G555 = "", I555 = ""), "", IF(F555 = "Vara", IFERROR(_xlfn.SINGLE(_xlfn.XLOOKUP(G555, Vöruskrá!A:A, Vöruskrá!I:I, "")) * I555 / 100, ""), IF(F555 = "Réttur", IFERROR(_xlfn.SINGLE(_xlfn.XLOOKUP(G555, Réttabanki!A:A, Réttabanki!AV:AV, "")) * I555 / 100, ""), "")))</f>
        <v/>
      </c>
      <c r="P555" s="26" t="str">
        <f>IF(OR(F555 = "", G555 = "", I555 = ""), "", IF(F555 = "Vara", IFERROR(_xlfn.SINGLE(_xlfn.XLOOKUP(G555, Vöruskrá!A:A, Vöruskrá!J:J, "")) * I555 / 100, ""), IF(F555 = "Réttur", IFERROR(_xlfn.SINGLE(_xlfn.XLOOKUP(G555, Réttabanki!A:A, Réttabanki!AW:AW, "")) * I555 / 100, ""), "")))</f>
        <v/>
      </c>
      <c r="Q555" s="26" t="str">
        <f>IF(OR(F555 = "", G555 = "", I555 = ""), "", IF(F555 = "Vara", IFERROR(_xlfn.SINGLE(_xlfn.XLOOKUP(G555, Vöruskrá!A:A, Vöruskrá!N:N, "")) * I555 / 100, ""), IF(F555 = "Réttur", IFERROR(_xlfn.SINGLE(_xlfn.XLOOKUP(G555, Réttabanki!A:A, Réttabanki!BB:BB, "")) * I555 / 100, ""), "")))</f>
        <v/>
      </c>
    </row>
    <row r="556" spans="2:17">
      <c r="B556" s="33" t="str">
        <f>IF(A556&lt;&gt;"",CHOOSE(WEEKDAY(A556,2),"Mánudagur","Þriðjudagur","Miðvikudagur","Fimmtudagur","Föstudagur","Laugardagur","Sunnudagur"),IF(B555&lt;&gt;"",B555,""))</f>
        <v>Fimmtudagur</v>
      </c>
      <c r="C556" s="33">
        <f>IF(A556&lt;&gt;"",WEEKNUM(A556,21),IF(C555&lt;&gt;"",C555,""))</f>
        <v>27</v>
      </c>
      <c r="D556" s="34"/>
      <c r="E556" s="34"/>
      <c r="F556" s="34"/>
      <c r="G556" s="34"/>
      <c r="H556" s="34"/>
      <c r="I556" s="35"/>
      <c r="J556" s="35"/>
      <c r="K556" s="36"/>
      <c r="L556" s="26" t="str">
        <f>IF(OR(F556 = "", G556 = ""), "", IF(F556 = "Vara", IFERROR(_xlfn.SINGLE(_xlfn.XLOOKUP(G556, Vöruskrá!A:A, Vöruskrá!E:E, "")), ""), IF(F556 = "Réttur", IFERROR(_xlfn.SINGLE(_xlfn.XLOOKUP(G556, Réttabanki!A:A, Réttabanki!AS:AS, "")), ""), "")))</f>
        <v/>
      </c>
      <c r="M556" s="26" t="str">
        <f>IF(OR(F556 = "", G556 = ""), "", IF(F556 = "Vara", IFERROR(_xlfn.SINGLE(_xlfn.XLOOKUP(G556, Vöruskrá!A:A, Vöruskrá!F:F, "")), ""), IF(F556 = "Réttur", IFERROR(_xlfn.SINGLE(_xlfn.XLOOKUP(G556, Réttabanki!A:A, Réttabanki!AT:AT, "")), ""), "")))</f>
        <v/>
      </c>
      <c r="N556" s="26" t="str">
        <f>IF(OR(F556 = "", G556 = ""), "", IF(F556 = "Vara", IFERROR(_xlfn.SINGLE(_xlfn.XLOOKUP(G556, Vöruskrá!A:A, Vöruskrá!G:G, "")), ""), IF(F556 = "Réttur", IFERROR(_xlfn.SINGLE(_xlfn.XLOOKUP(G556, Réttabanki!A:A, Réttabanki!AU:AU, "")), ""), "")))</f>
        <v/>
      </c>
      <c r="O556" s="26" t="str">
        <f>IF(OR(F556 = "", G556 = "", I556 = ""), "", IF(F556 = "Vara", IFERROR(_xlfn.SINGLE(_xlfn.XLOOKUP(G556, Vöruskrá!A:A, Vöruskrá!I:I, "")) * I556 / 100, ""), IF(F556 = "Réttur", IFERROR(_xlfn.SINGLE(_xlfn.XLOOKUP(G556, Réttabanki!A:A, Réttabanki!AV:AV, "")) * I556 / 100, ""), "")))</f>
        <v/>
      </c>
      <c r="P556" s="26" t="str">
        <f>IF(OR(F556 = "", G556 = "", I556 = ""), "", IF(F556 = "Vara", IFERROR(_xlfn.SINGLE(_xlfn.XLOOKUP(G556, Vöruskrá!A:A, Vöruskrá!J:J, "")) * I556 / 100, ""), IF(F556 = "Réttur", IFERROR(_xlfn.SINGLE(_xlfn.XLOOKUP(G556, Réttabanki!A:A, Réttabanki!AW:AW, "")) * I556 / 100, ""), "")))</f>
        <v/>
      </c>
      <c r="Q556" s="26" t="str">
        <f>IF(OR(F556 = "", G556 = "", I556 = ""), "", IF(F556 = "Vara", IFERROR(_xlfn.SINGLE(_xlfn.XLOOKUP(G556, Vöruskrá!A:A, Vöruskrá!N:N, "")) * I556 / 100, ""), IF(F556 = "Réttur", IFERROR(_xlfn.SINGLE(_xlfn.XLOOKUP(G556, Réttabanki!A:A, Réttabanki!BB:BB, "")) * I556 / 100, ""), "")))</f>
        <v/>
      </c>
    </row>
    <row r="557" spans="2:17">
      <c r="B557" s="33" t="str">
        <f>IF(A557&lt;&gt;"",CHOOSE(WEEKDAY(A557,2),"Mánudagur","Þriðjudagur","Miðvikudagur","Fimmtudagur","Föstudagur","Laugardagur","Sunnudagur"),IF(B556&lt;&gt;"",B556,""))</f>
        <v>Fimmtudagur</v>
      </c>
      <c r="C557" s="33">
        <f>IF(A557&lt;&gt;"",WEEKNUM(A557,21),IF(C556&lt;&gt;"",C556,""))</f>
        <v>27</v>
      </c>
      <c r="D557" s="34"/>
      <c r="E557" s="34"/>
      <c r="F557" s="34"/>
      <c r="G557" s="34"/>
      <c r="H557" s="34"/>
      <c r="I557" s="35"/>
      <c r="J557" s="35"/>
      <c r="K557" s="36"/>
      <c r="L557" s="26" t="str">
        <f>IF(OR(F557 = "", G557 = ""), "", IF(F557 = "Vara", IFERROR(_xlfn.SINGLE(_xlfn.XLOOKUP(G557, Vöruskrá!A:A, Vöruskrá!E:E, "")), ""), IF(F557 = "Réttur", IFERROR(_xlfn.SINGLE(_xlfn.XLOOKUP(G557, Réttabanki!A:A, Réttabanki!AS:AS, "")), ""), "")))</f>
        <v/>
      </c>
      <c r="M557" s="26" t="str">
        <f>IF(OR(F557 = "", G557 = ""), "", IF(F557 = "Vara", IFERROR(_xlfn.SINGLE(_xlfn.XLOOKUP(G557, Vöruskrá!A:A, Vöruskrá!F:F, "")), ""), IF(F557 = "Réttur", IFERROR(_xlfn.SINGLE(_xlfn.XLOOKUP(G557, Réttabanki!A:A, Réttabanki!AT:AT, "")), ""), "")))</f>
        <v/>
      </c>
      <c r="N557" s="26" t="str">
        <f>IF(OR(F557 = "", G557 = ""), "", IF(F557 = "Vara", IFERROR(_xlfn.SINGLE(_xlfn.XLOOKUP(G557, Vöruskrá!A:A, Vöruskrá!G:G, "")), ""), IF(F557 = "Réttur", IFERROR(_xlfn.SINGLE(_xlfn.XLOOKUP(G557, Réttabanki!A:A, Réttabanki!AU:AU, "")), ""), "")))</f>
        <v/>
      </c>
      <c r="O557" s="26" t="str">
        <f>IF(OR(F557 = "", G557 = "", I557 = ""), "", IF(F557 = "Vara", IFERROR(_xlfn.SINGLE(_xlfn.XLOOKUP(G557, Vöruskrá!A:A, Vöruskrá!I:I, "")) * I557 / 100, ""), IF(F557 = "Réttur", IFERROR(_xlfn.SINGLE(_xlfn.XLOOKUP(G557, Réttabanki!A:A, Réttabanki!AV:AV, "")) * I557 / 100, ""), "")))</f>
        <v/>
      </c>
      <c r="P557" s="26" t="str">
        <f>IF(OR(F557 = "", G557 = "", I557 = ""), "", IF(F557 = "Vara", IFERROR(_xlfn.SINGLE(_xlfn.XLOOKUP(G557, Vöruskrá!A:A, Vöruskrá!J:J, "")) * I557 / 100, ""), IF(F557 = "Réttur", IFERROR(_xlfn.SINGLE(_xlfn.XLOOKUP(G557, Réttabanki!A:A, Réttabanki!AW:AW, "")) * I557 / 100, ""), "")))</f>
        <v/>
      </c>
      <c r="Q557" s="26" t="str">
        <f>IF(OR(F557 = "", G557 = "", I557 = ""), "", IF(F557 = "Vara", IFERROR(_xlfn.SINGLE(_xlfn.XLOOKUP(G557, Vöruskrá!A:A, Vöruskrá!N:N, "")) * I557 / 100, ""), IF(F557 = "Réttur", IFERROR(_xlfn.SINGLE(_xlfn.XLOOKUP(G557, Réttabanki!A:A, Réttabanki!BB:BB, "")) * I557 / 100, ""), "")))</f>
        <v/>
      </c>
    </row>
    <row r="558" spans="2:17">
      <c r="B558" s="33" t="str">
        <f>IF(A558&lt;&gt;"",CHOOSE(WEEKDAY(A558,2),"Mánudagur","Þriðjudagur","Miðvikudagur","Fimmtudagur","Föstudagur","Laugardagur","Sunnudagur"),IF(B557&lt;&gt;"",B557,""))</f>
        <v>Fimmtudagur</v>
      </c>
      <c r="C558" s="33">
        <f>IF(A558&lt;&gt;"",WEEKNUM(A558,21),IF(C557&lt;&gt;"",C557,""))</f>
        <v>27</v>
      </c>
      <c r="D558" s="34"/>
      <c r="E558" s="34"/>
      <c r="F558" s="34"/>
      <c r="G558" s="34"/>
      <c r="H558" s="34"/>
      <c r="I558" s="35"/>
      <c r="J558" s="35"/>
      <c r="K558" s="36"/>
      <c r="L558" s="26" t="str">
        <f>IF(OR(F558 = "", G558 = ""), "", IF(F558 = "Vara", IFERROR(_xlfn.SINGLE(_xlfn.XLOOKUP(G558, Vöruskrá!A:A, Vöruskrá!E:E, "")), ""), IF(F558 = "Réttur", IFERROR(_xlfn.SINGLE(_xlfn.XLOOKUP(G558, Réttabanki!A:A, Réttabanki!AS:AS, "")), ""), "")))</f>
        <v/>
      </c>
      <c r="M558" s="26" t="str">
        <f>IF(OR(F558 = "", G558 = ""), "", IF(F558 = "Vara", IFERROR(_xlfn.SINGLE(_xlfn.XLOOKUP(G558, Vöruskrá!A:A, Vöruskrá!F:F, "")), ""), IF(F558 = "Réttur", IFERROR(_xlfn.SINGLE(_xlfn.XLOOKUP(G558, Réttabanki!A:A, Réttabanki!AT:AT, "")), ""), "")))</f>
        <v/>
      </c>
      <c r="N558" s="26" t="str">
        <f>IF(OR(F558 = "", G558 = ""), "", IF(F558 = "Vara", IFERROR(_xlfn.SINGLE(_xlfn.XLOOKUP(G558, Vöruskrá!A:A, Vöruskrá!G:G, "")), ""), IF(F558 = "Réttur", IFERROR(_xlfn.SINGLE(_xlfn.XLOOKUP(G558, Réttabanki!A:A, Réttabanki!AU:AU, "")), ""), "")))</f>
        <v/>
      </c>
      <c r="O558" s="26" t="str">
        <f>IF(OR(F558 = "", G558 = "", I558 = ""), "", IF(F558 = "Vara", IFERROR(_xlfn.SINGLE(_xlfn.XLOOKUP(G558, Vöruskrá!A:A, Vöruskrá!I:I, "")) * I558 / 100, ""), IF(F558 = "Réttur", IFERROR(_xlfn.SINGLE(_xlfn.XLOOKUP(G558, Réttabanki!A:A, Réttabanki!AV:AV, "")) * I558 / 100, ""), "")))</f>
        <v/>
      </c>
      <c r="P558" s="26" t="str">
        <f>IF(OR(F558 = "", G558 = "", I558 = ""), "", IF(F558 = "Vara", IFERROR(_xlfn.SINGLE(_xlfn.XLOOKUP(G558, Vöruskrá!A:A, Vöruskrá!J:J, "")) * I558 / 100, ""), IF(F558 = "Réttur", IFERROR(_xlfn.SINGLE(_xlfn.XLOOKUP(G558, Réttabanki!A:A, Réttabanki!AW:AW, "")) * I558 / 100, ""), "")))</f>
        <v/>
      </c>
      <c r="Q558" s="26" t="str">
        <f>IF(OR(F558 = "", G558 = "", I558 = ""), "", IF(F558 = "Vara", IFERROR(_xlfn.SINGLE(_xlfn.XLOOKUP(G558, Vöruskrá!A:A, Vöruskrá!N:N, "")) * I558 / 100, ""), IF(F558 = "Réttur", IFERROR(_xlfn.SINGLE(_xlfn.XLOOKUP(G558, Réttabanki!A:A, Réttabanki!BB:BB, "")) * I558 / 100, ""), "")))</f>
        <v/>
      </c>
    </row>
    <row r="559" spans="2:17">
      <c r="B559" s="33" t="str">
        <f>IF(A559&lt;&gt;"",CHOOSE(WEEKDAY(A559,2),"Mánudagur","Þriðjudagur","Miðvikudagur","Fimmtudagur","Föstudagur","Laugardagur","Sunnudagur"),IF(B558&lt;&gt;"",B558,""))</f>
        <v>Fimmtudagur</v>
      </c>
      <c r="C559" s="33">
        <f>IF(A559&lt;&gt;"",WEEKNUM(A559,21),IF(C558&lt;&gt;"",C558,""))</f>
        <v>27</v>
      </c>
      <c r="D559" s="34"/>
      <c r="E559" s="34"/>
      <c r="F559" s="34"/>
      <c r="G559" s="34"/>
      <c r="H559" s="34"/>
      <c r="I559" s="35"/>
      <c r="J559" s="35"/>
      <c r="K559" s="36"/>
      <c r="L559" s="26" t="str">
        <f>IF(OR(F559 = "", G559 = ""), "", IF(F559 = "Vara", IFERROR(_xlfn.SINGLE(_xlfn.XLOOKUP(G559, Vöruskrá!A:A, Vöruskrá!E:E, "")), ""), IF(F559 = "Réttur", IFERROR(_xlfn.SINGLE(_xlfn.XLOOKUP(G559, Réttabanki!A:A, Réttabanki!AS:AS, "")), ""), "")))</f>
        <v/>
      </c>
      <c r="M559" s="26" t="str">
        <f>IF(OR(F559 = "", G559 = ""), "", IF(F559 = "Vara", IFERROR(_xlfn.SINGLE(_xlfn.XLOOKUP(G559, Vöruskrá!A:A, Vöruskrá!F:F, "")), ""), IF(F559 = "Réttur", IFERROR(_xlfn.SINGLE(_xlfn.XLOOKUP(G559, Réttabanki!A:A, Réttabanki!AT:AT, "")), ""), "")))</f>
        <v/>
      </c>
      <c r="N559" s="26" t="str">
        <f>IF(OR(F559 = "", G559 = ""), "", IF(F559 = "Vara", IFERROR(_xlfn.SINGLE(_xlfn.XLOOKUP(G559, Vöruskrá!A:A, Vöruskrá!G:G, "")), ""), IF(F559 = "Réttur", IFERROR(_xlfn.SINGLE(_xlfn.XLOOKUP(G559, Réttabanki!A:A, Réttabanki!AU:AU, "")), ""), "")))</f>
        <v/>
      </c>
      <c r="O559" s="26" t="str">
        <f>IF(OR(F559 = "", G559 = "", I559 = ""), "", IF(F559 = "Vara", IFERROR(_xlfn.SINGLE(_xlfn.XLOOKUP(G559, Vöruskrá!A:A, Vöruskrá!I:I, "")) * I559 / 100, ""), IF(F559 = "Réttur", IFERROR(_xlfn.SINGLE(_xlfn.XLOOKUP(G559, Réttabanki!A:A, Réttabanki!AV:AV, "")) * I559 / 100, ""), "")))</f>
        <v/>
      </c>
      <c r="P559" s="26" t="str">
        <f>IF(OR(F559 = "", G559 = "", I559 = ""), "", IF(F559 = "Vara", IFERROR(_xlfn.SINGLE(_xlfn.XLOOKUP(G559, Vöruskrá!A:A, Vöruskrá!J:J, "")) * I559 / 100, ""), IF(F559 = "Réttur", IFERROR(_xlfn.SINGLE(_xlfn.XLOOKUP(G559, Réttabanki!A:A, Réttabanki!AW:AW, "")) * I559 / 100, ""), "")))</f>
        <v/>
      </c>
      <c r="Q559" s="26" t="str">
        <f>IF(OR(F559 = "", G559 = "", I559 = ""), "", IF(F559 = "Vara", IFERROR(_xlfn.SINGLE(_xlfn.XLOOKUP(G559, Vöruskrá!A:A, Vöruskrá!N:N, "")) * I559 / 100, ""), IF(F559 = "Réttur", IFERROR(_xlfn.SINGLE(_xlfn.XLOOKUP(G559, Réttabanki!A:A, Réttabanki!BB:BB, "")) * I559 / 100, ""), "")))</f>
        <v/>
      </c>
    </row>
    <row r="560" spans="2:17">
      <c r="B560" s="33" t="str">
        <f>IF(A560&lt;&gt;"",CHOOSE(WEEKDAY(A560,2),"Mánudagur","Þriðjudagur","Miðvikudagur","Fimmtudagur","Föstudagur","Laugardagur","Sunnudagur"),IF(B559&lt;&gt;"",B559,""))</f>
        <v>Fimmtudagur</v>
      </c>
      <c r="C560" s="33">
        <f>IF(A560&lt;&gt;"",WEEKNUM(A560,21),IF(C559&lt;&gt;"",C559,""))</f>
        <v>27</v>
      </c>
      <c r="D560" s="34"/>
      <c r="E560" s="34"/>
      <c r="F560" s="34"/>
      <c r="G560" s="34"/>
      <c r="H560" s="34"/>
      <c r="I560" s="35"/>
      <c r="J560" s="35"/>
      <c r="K560" s="36"/>
      <c r="L560" s="26" t="str">
        <f>IF(OR(F560 = "", G560 = ""), "", IF(F560 = "Vara", IFERROR(_xlfn.SINGLE(_xlfn.XLOOKUP(G560, Vöruskrá!A:A, Vöruskrá!E:E, "")), ""), IF(F560 = "Réttur", IFERROR(_xlfn.SINGLE(_xlfn.XLOOKUP(G560, Réttabanki!A:A, Réttabanki!AS:AS, "")), ""), "")))</f>
        <v/>
      </c>
      <c r="M560" s="26" t="str">
        <f>IF(OR(F560 = "", G560 = ""), "", IF(F560 = "Vara", IFERROR(_xlfn.SINGLE(_xlfn.XLOOKUP(G560, Vöruskrá!A:A, Vöruskrá!F:F, "")), ""), IF(F560 = "Réttur", IFERROR(_xlfn.SINGLE(_xlfn.XLOOKUP(G560, Réttabanki!A:A, Réttabanki!AT:AT, "")), ""), "")))</f>
        <v/>
      </c>
      <c r="N560" s="26" t="str">
        <f>IF(OR(F560 = "", G560 = ""), "", IF(F560 = "Vara", IFERROR(_xlfn.SINGLE(_xlfn.XLOOKUP(G560, Vöruskrá!A:A, Vöruskrá!G:G, "")), ""), IF(F560 = "Réttur", IFERROR(_xlfn.SINGLE(_xlfn.XLOOKUP(G560, Réttabanki!A:A, Réttabanki!AU:AU, "")), ""), "")))</f>
        <v/>
      </c>
      <c r="O560" s="26" t="str">
        <f>IF(OR(F560 = "", G560 = "", I560 = ""), "", IF(F560 = "Vara", IFERROR(_xlfn.SINGLE(_xlfn.XLOOKUP(G560, Vöruskrá!A:A, Vöruskrá!I:I, "")) * I560 / 100, ""), IF(F560 = "Réttur", IFERROR(_xlfn.SINGLE(_xlfn.XLOOKUP(G560, Réttabanki!A:A, Réttabanki!AV:AV, "")) * I560 / 100, ""), "")))</f>
        <v/>
      </c>
      <c r="P560" s="26" t="str">
        <f>IF(OR(F560 = "", G560 = "", I560 = ""), "", IF(F560 = "Vara", IFERROR(_xlfn.SINGLE(_xlfn.XLOOKUP(G560, Vöruskrá!A:A, Vöruskrá!J:J, "")) * I560 / 100, ""), IF(F560 = "Réttur", IFERROR(_xlfn.SINGLE(_xlfn.XLOOKUP(G560, Réttabanki!A:A, Réttabanki!AW:AW, "")) * I560 / 100, ""), "")))</f>
        <v/>
      </c>
      <c r="Q560" s="26" t="str">
        <f>IF(OR(F560 = "", G560 = "", I560 = ""), "", IF(F560 = "Vara", IFERROR(_xlfn.SINGLE(_xlfn.XLOOKUP(G560, Vöruskrá!A:A, Vöruskrá!N:N, "")) * I560 / 100, ""), IF(F560 = "Réttur", IFERROR(_xlfn.SINGLE(_xlfn.XLOOKUP(G560, Réttabanki!A:A, Réttabanki!BB:BB, "")) * I560 / 100, ""), "")))</f>
        <v/>
      </c>
    </row>
    <row r="561" spans="2:17">
      <c r="B561" s="33" t="str">
        <f>IF(A561&lt;&gt;"",CHOOSE(WEEKDAY(A561,2),"Mánudagur","Þriðjudagur","Miðvikudagur","Fimmtudagur","Föstudagur","Laugardagur","Sunnudagur"),IF(B560&lt;&gt;"",B560,""))</f>
        <v>Fimmtudagur</v>
      </c>
      <c r="C561" s="33">
        <f>IF(A561&lt;&gt;"",WEEKNUM(A561,21),IF(C560&lt;&gt;"",C560,""))</f>
        <v>27</v>
      </c>
      <c r="D561" s="34"/>
      <c r="E561" s="34"/>
      <c r="F561" s="34"/>
      <c r="G561" s="34"/>
      <c r="H561" s="34"/>
      <c r="I561" s="35"/>
      <c r="J561" s="35"/>
      <c r="K561" s="36"/>
      <c r="L561" s="26" t="str">
        <f>IF(OR(F561 = "", G561 = ""), "", IF(F561 = "Vara", IFERROR(_xlfn.SINGLE(_xlfn.XLOOKUP(G561, Vöruskrá!A:A, Vöruskrá!E:E, "")), ""), IF(F561 = "Réttur", IFERROR(_xlfn.SINGLE(_xlfn.XLOOKUP(G561, Réttabanki!A:A, Réttabanki!AS:AS, "")), ""), "")))</f>
        <v/>
      </c>
      <c r="M561" s="26" t="str">
        <f>IF(OR(F561 = "", G561 = ""), "", IF(F561 = "Vara", IFERROR(_xlfn.SINGLE(_xlfn.XLOOKUP(G561, Vöruskrá!A:A, Vöruskrá!F:F, "")), ""), IF(F561 = "Réttur", IFERROR(_xlfn.SINGLE(_xlfn.XLOOKUP(G561, Réttabanki!A:A, Réttabanki!AT:AT, "")), ""), "")))</f>
        <v/>
      </c>
      <c r="N561" s="26" t="str">
        <f>IF(OR(F561 = "", G561 = ""), "", IF(F561 = "Vara", IFERROR(_xlfn.SINGLE(_xlfn.XLOOKUP(G561, Vöruskrá!A:A, Vöruskrá!G:G, "")), ""), IF(F561 = "Réttur", IFERROR(_xlfn.SINGLE(_xlfn.XLOOKUP(G561, Réttabanki!A:A, Réttabanki!AU:AU, "")), ""), "")))</f>
        <v/>
      </c>
      <c r="O561" s="26" t="str">
        <f>IF(OR(F561 = "", G561 = "", I561 = ""), "", IF(F561 = "Vara", IFERROR(_xlfn.SINGLE(_xlfn.XLOOKUP(G561, Vöruskrá!A:A, Vöruskrá!I:I, "")) * I561 / 100, ""), IF(F561 = "Réttur", IFERROR(_xlfn.SINGLE(_xlfn.XLOOKUP(G561, Réttabanki!A:A, Réttabanki!AV:AV, "")) * I561 / 100, ""), "")))</f>
        <v/>
      </c>
      <c r="P561" s="26" t="str">
        <f>IF(OR(F561 = "", G561 = "", I561 = ""), "", IF(F561 = "Vara", IFERROR(_xlfn.SINGLE(_xlfn.XLOOKUP(G561, Vöruskrá!A:A, Vöruskrá!J:J, "")) * I561 / 100, ""), IF(F561 = "Réttur", IFERROR(_xlfn.SINGLE(_xlfn.XLOOKUP(G561, Réttabanki!A:A, Réttabanki!AW:AW, "")) * I561 / 100, ""), "")))</f>
        <v/>
      </c>
      <c r="Q561" s="26" t="str">
        <f>IF(OR(F561 = "", G561 = "", I561 = ""), "", IF(F561 = "Vara", IFERROR(_xlfn.SINGLE(_xlfn.XLOOKUP(G561, Vöruskrá!A:A, Vöruskrá!N:N, "")) * I561 / 100, ""), IF(F561 = "Réttur", IFERROR(_xlfn.SINGLE(_xlfn.XLOOKUP(G561, Réttabanki!A:A, Réttabanki!BB:BB, "")) * I561 / 100, ""), "")))</f>
        <v/>
      </c>
    </row>
    <row r="562" spans="2:17">
      <c r="B562" s="33" t="str">
        <f>IF(A562&lt;&gt;"",CHOOSE(WEEKDAY(A562,2),"Mánudagur","Þriðjudagur","Miðvikudagur","Fimmtudagur","Föstudagur","Laugardagur","Sunnudagur"),IF(B561&lt;&gt;"",B561,""))</f>
        <v>Fimmtudagur</v>
      </c>
      <c r="C562" s="33">
        <f>IF(A562&lt;&gt;"",WEEKNUM(A562,21),IF(C561&lt;&gt;"",C561,""))</f>
        <v>27</v>
      </c>
      <c r="D562" s="34"/>
      <c r="E562" s="34"/>
      <c r="F562" s="34"/>
      <c r="G562" s="34"/>
      <c r="H562" s="34"/>
      <c r="I562" s="35"/>
      <c r="J562" s="35"/>
      <c r="K562" s="36"/>
      <c r="L562" s="26" t="str">
        <f>IF(OR(F562 = "", G562 = ""), "", IF(F562 = "Vara", IFERROR(_xlfn.SINGLE(_xlfn.XLOOKUP(G562, Vöruskrá!A:A, Vöruskrá!E:E, "")), ""), IF(F562 = "Réttur", IFERROR(_xlfn.SINGLE(_xlfn.XLOOKUP(G562, Réttabanki!A:A, Réttabanki!AS:AS, "")), ""), "")))</f>
        <v/>
      </c>
      <c r="M562" s="26" t="str">
        <f>IF(OR(F562 = "", G562 = ""), "", IF(F562 = "Vara", IFERROR(_xlfn.SINGLE(_xlfn.XLOOKUP(G562, Vöruskrá!A:A, Vöruskrá!F:F, "")), ""), IF(F562 = "Réttur", IFERROR(_xlfn.SINGLE(_xlfn.XLOOKUP(G562, Réttabanki!A:A, Réttabanki!AT:AT, "")), ""), "")))</f>
        <v/>
      </c>
      <c r="N562" s="26" t="str">
        <f>IF(OR(F562 = "", G562 = ""), "", IF(F562 = "Vara", IFERROR(_xlfn.SINGLE(_xlfn.XLOOKUP(G562, Vöruskrá!A:A, Vöruskrá!G:G, "")), ""), IF(F562 = "Réttur", IFERROR(_xlfn.SINGLE(_xlfn.XLOOKUP(G562, Réttabanki!A:A, Réttabanki!AU:AU, "")), ""), "")))</f>
        <v/>
      </c>
      <c r="O562" s="26" t="str">
        <f>IF(OR(F562 = "", G562 = "", I562 = ""), "", IF(F562 = "Vara", IFERROR(_xlfn.SINGLE(_xlfn.XLOOKUP(G562, Vöruskrá!A:A, Vöruskrá!I:I, "")) * I562 / 100, ""), IF(F562 = "Réttur", IFERROR(_xlfn.SINGLE(_xlfn.XLOOKUP(G562, Réttabanki!A:A, Réttabanki!AV:AV, "")) * I562 / 100, ""), "")))</f>
        <v/>
      </c>
      <c r="P562" s="26" t="str">
        <f>IF(OR(F562 = "", G562 = "", I562 = ""), "", IF(F562 = "Vara", IFERROR(_xlfn.SINGLE(_xlfn.XLOOKUP(G562, Vöruskrá!A:A, Vöruskrá!J:J, "")) * I562 / 100, ""), IF(F562 = "Réttur", IFERROR(_xlfn.SINGLE(_xlfn.XLOOKUP(G562, Réttabanki!A:A, Réttabanki!AW:AW, "")) * I562 / 100, ""), "")))</f>
        <v/>
      </c>
      <c r="Q562" s="26" t="str">
        <f>IF(OR(F562 = "", G562 = "", I562 = ""), "", IF(F562 = "Vara", IFERROR(_xlfn.SINGLE(_xlfn.XLOOKUP(G562, Vöruskrá!A:A, Vöruskrá!N:N, "")) * I562 / 100, ""), IF(F562 = "Réttur", IFERROR(_xlfn.SINGLE(_xlfn.XLOOKUP(G562, Réttabanki!A:A, Réttabanki!BB:BB, "")) * I562 / 100, ""), "")))</f>
        <v/>
      </c>
    </row>
    <row r="563" spans="2:17">
      <c r="B563" s="33" t="str">
        <f>IF(A563&lt;&gt;"",CHOOSE(WEEKDAY(A563,2),"Mánudagur","Þriðjudagur","Miðvikudagur","Fimmtudagur","Föstudagur","Laugardagur","Sunnudagur"),IF(B562&lt;&gt;"",B562,""))</f>
        <v>Fimmtudagur</v>
      </c>
      <c r="C563" s="33">
        <f>IF(A563&lt;&gt;"",WEEKNUM(A563,21),IF(C562&lt;&gt;"",C562,""))</f>
        <v>27</v>
      </c>
      <c r="D563" s="34"/>
      <c r="E563" s="34"/>
      <c r="F563" s="34"/>
      <c r="G563" s="34"/>
      <c r="H563" s="34"/>
      <c r="I563" s="35"/>
      <c r="J563" s="35"/>
      <c r="K563" s="36"/>
      <c r="L563" s="26" t="str">
        <f>IF(OR(F563 = "", G563 = ""), "", IF(F563 = "Vara", IFERROR(_xlfn.SINGLE(_xlfn.XLOOKUP(G563, Vöruskrá!A:A, Vöruskrá!E:E, "")), ""), IF(F563 = "Réttur", IFERROR(_xlfn.SINGLE(_xlfn.XLOOKUP(G563, Réttabanki!A:A, Réttabanki!AS:AS, "")), ""), "")))</f>
        <v/>
      </c>
      <c r="M563" s="26" t="str">
        <f>IF(OR(F563 = "", G563 = ""), "", IF(F563 = "Vara", IFERROR(_xlfn.SINGLE(_xlfn.XLOOKUP(G563, Vöruskrá!A:A, Vöruskrá!F:F, "")), ""), IF(F563 = "Réttur", IFERROR(_xlfn.SINGLE(_xlfn.XLOOKUP(G563, Réttabanki!A:A, Réttabanki!AT:AT, "")), ""), "")))</f>
        <v/>
      </c>
      <c r="N563" s="26" t="str">
        <f>IF(OR(F563 = "", G563 = ""), "", IF(F563 = "Vara", IFERROR(_xlfn.SINGLE(_xlfn.XLOOKUP(G563, Vöruskrá!A:A, Vöruskrá!G:G, "")), ""), IF(F563 = "Réttur", IFERROR(_xlfn.SINGLE(_xlfn.XLOOKUP(G563, Réttabanki!A:A, Réttabanki!AU:AU, "")), ""), "")))</f>
        <v/>
      </c>
      <c r="O563" s="26" t="str">
        <f>IF(OR(F563 = "", G563 = "", I563 = ""), "", IF(F563 = "Vara", IFERROR(_xlfn.SINGLE(_xlfn.XLOOKUP(G563, Vöruskrá!A:A, Vöruskrá!I:I, "")) * I563 / 100, ""), IF(F563 = "Réttur", IFERROR(_xlfn.SINGLE(_xlfn.XLOOKUP(G563, Réttabanki!A:A, Réttabanki!AV:AV, "")) * I563 / 100, ""), "")))</f>
        <v/>
      </c>
      <c r="P563" s="26" t="str">
        <f>IF(OR(F563 = "", G563 = "", I563 = ""), "", IF(F563 = "Vara", IFERROR(_xlfn.SINGLE(_xlfn.XLOOKUP(G563, Vöruskrá!A:A, Vöruskrá!J:J, "")) * I563 / 100, ""), IF(F563 = "Réttur", IFERROR(_xlfn.SINGLE(_xlfn.XLOOKUP(G563, Réttabanki!A:A, Réttabanki!AW:AW, "")) * I563 / 100, ""), "")))</f>
        <v/>
      </c>
      <c r="Q563" s="26" t="str">
        <f>IF(OR(F563 = "", G563 = "", I563 = ""), "", IF(F563 = "Vara", IFERROR(_xlfn.SINGLE(_xlfn.XLOOKUP(G563, Vöruskrá!A:A, Vöruskrá!N:N, "")) * I563 / 100, ""), IF(F563 = "Réttur", IFERROR(_xlfn.SINGLE(_xlfn.XLOOKUP(G563, Réttabanki!A:A, Réttabanki!BB:BB, "")) * I563 / 100, ""), "")))</f>
        <v/>
      </c>
    </row>
    <row r="564" spans="2:17">
      <c r="B564" s="33" t="str">
        <f>IF(A564&lt;&gt;"",CHOOSE(WEEKDAY(A564,2),"Mánudagur","Þriðjudagur","Miðvikudagur","Fimmtudagur","Föstudagur","Laugardagur","Sunnudagur"),IF(B563&lt;&gt;"",B563,""))</f>
        <v>Fimmtudagur</v>
      </c>
      <c r="C564" s="33">
        <f>IF(A564&lt;&gt;"",WEEKNUM(A564,21),IF(C563&lt;&gt;"",C563,""))</f>
        <v>27</v>
      </c>
      <c r="D564" s="34"/>
      <c r="E564" s="34"/>
      <c r="F564" s="34"/>
      <c r="G564" s="34"/>
      <c r="H564" s="34"/>
      <c r="I564" s="35"/>
      <c r="J564" s="35"/>
      <c r="K564" s="36"/>
      <c r="L564" s="26" t="str">
        <f>IF(OR(F564 = "", G564 = ""), "", IF(F564 = "Vara", IFERROR(_xlfn.SINGLE(_xlfn.XLOOKUP(G564, Vöruskrá!A:A, Vöruskrá!E:E, "")), ""), IF(F564 = "Réttur", IFERROR(_xlfn.SINGLE(_xlfn.XLOOKUP(G564, Réttabanki!A:A, Réttabanki!AS:AS, "")), ""), "")))</f>
        <v/>
      </c>
      <c r="M564" s="26" t="str">
        <f>IF(OR(F564 = "", G564 = ""), "", IF(F564 = "Vara", IFERROR(_xlfn.SINGLE(_xlfn.XLOOKUP(G564, Vöruskrá!A:A, Vöruskrá!F:F, "")), ""), IF(F564 = "Réttur", IFERROR(_xlfn.SINGLE(_xlfn.XLOOKUP(G564, Réttabanki!A:A, Réttabanki!AT:AT, "")), ""), "")))</f>
        <v/>
      </c>
      <c r="N564" s="26" t="str">
        <f>IF(OR(F564 = "", G564 = ""), "", IF(F564 = "Vara", IFERROR(_xlfn.SINGLE(_xlfn.XLOOKUP(G564, Vöruskrá!A:A, Vöruskrá!G:G, "")), ""), IF(F564 = "Réttur", IFERROR(_xlfn.SINGLE(_xlfn.XLOOKUP(G564, Réttabanki!A:A, Réttabanki!AU:AU, "")), ""), "")))</f>
        <v/>
      </c>
      <c r="O564" s="26" t="str">
        <f>IF(OR(F564 = "", G564 = "", I564 = ""), "", IF(F564 = "Vara", IFERROR(_xlfn.SINGLE(_xlfn.XLOOKUP(G564, Vöruskrá!A:A, Vöruskrá!I:I, "")) * I564 / 100, ""), IF(F564 = "Réttur", IFERROR(_xlfn.SINGLE(_xlfn.XLOOKUP(G564, Réttabanki!A:A, Réttabanki!AV:AV, "")) * I564 / 100, ""), "")))</f>
        <v/>
      </c>
      <c r="P564" s="26" t="str">
        <f>IF(OR(F564 = "", G564 = "", I564 = ""), "", IF(F564 = "Vara", IFERROR(_xlfn.SINGLE(_xlfn.XLOOKUP(G564, Vöruskrá!A:A, Vöruskrá!J:J, "")) * I564 / 100, ""), IF(F564 = "Réttur", IFERROR(_xlfn.SINGLE(_xlfn.XLOOKUP(G564, Réttabanki!A:A, Réttabanki!AW:AW, "")) * I564 / 100, ""), "")))</f>
        <v/>
      </c>
      <c r="Q564" s="26" t="str">
        <f>IF(OR(F564 = "", G564 = "", I564 = ""), "", IF(F564 = "Vara", IFERROR(_xlfn.SINGLE(_xlfn.XLOOKUP(G564, Vöruskrá!A:A, Vöruskrá!N:N, "")) * I564 / 100, ""), IF(F564 = "Réttur", IFERROR(_xlfn.SINGLE(_xlfn.XLOOKUP(G564, Réttabanki!A:A, Réttabanki!BB:BB, "")) * I564 / 100, ""), "")))</f>
        <v/>
      </c>
    </row>
    <row r="565" spans="2:17">
      <c r="B565" s="33" t="str">
        <f>IF(A565&lt;&gt;"",CHOOSE(WEEKDAY(A565,2),"Mánudagur","Þriðjudagur","Miðvikudagur","Fimmtudagur","Föstudagur","Laugardagur","Sunnudagur"),IF(B564&lt;&gt;"",B564,""))</f>
        <v>Fimmtudagur</v>
      </c>
      <c r="C565" s="33">
        <f>IF(A565&lt;&gt;"",WEEKNUM(A565,21),IF(C564&lt;&gt;"",C564,""))</f>
        <v>27</v>
      </c>
      <c r="D565" s="34"/>
      <c r="E565" s="34"/>
      <c r="F565" s="34"/>
      <c r="G565" s="34"/>
      <c r="H565" s="34"/>
      <c r="I565" s="35"/>
      <c r="J565" s="35"/>
      <c r="K565" s="36"/>
      <c r="L565" s="26" t="str">
        <f>IF(OR(F565 = "", G565 = ""), "", IF(F565 = "Vara", IFERROR(_xlfn.SINGLE(_xlfn.XLOOKUP(G565, Vöruskrá!A:A, Vöruskrá!E:E, "")), ""), IF(F565 = "Réttur", IFERROR(_xlfn.SINGLE(_xlfn.XLOOKUP(G565, Réttabanki!A:A, Réttabanki!AS:AS, "")), ""), "")))</f>
        <v/>
      </c>
      <c r="M565" s="26" t="str">
        <f>IF(OR(F565 = "", G565 = ""), "", IF(F565 = "Vara", IFERROR(_xlfn.SINGLE(_xlfn.XLOOKUP(G565, Vöruskrá!A:A, Vöruskrá!F:F, "")), ""), IF(F565 = "Réttur", IFERROR(_xlfn.SINGLE(_xlfn.XLOOKUP(G565, Réttabanki!A:A, Réttabanki!AT:AT, "")), ""), "")))</f>
        <v/>
      </c>
      <c r="N565" s="26" t="str">
        <f>IF(OR(F565 = "", G565 = ""), "", IF(F565 = "Vara", IFERROR(_xlfn.SINGLE(_xlfn.XLOOKUP(G565, Vöruskrá!A:A, Vöruskrá!G:G, "")), ""), IF(F565 = "Réttur", IFERROR(_xlfn.SINGLE(_xlfn.XLOOKUP(G565, Réttabanki!A:A, Réttabanki!AU:AU, "")), ""), "")))</f>
        <v/>
      </c>
      <c r="O565" s="26" t="str">
        <f>IF(OR(F565 = "", G565 = "", I565 = ""), "", IF(F565 = "Vara", IFERROR(_xlfn.SINGLE(_xlfn.XLOOKUP(G565, Vöruskrá!A:A, Vöruskrá!I:I, "")) * I565 / 100, ""), IF(F565 = "Réttur", IFERROR(_xlfn.SINGLE(_xlfn.XLOOKUP(G565, Réttabanki!A:A, Réttabanki!AV:AV, "")) * I565 / 100, ""), "")))</f>
        <v/>
      </c>
      <c r="P565" s="26" t="str">
        <f>IF(OR(F565 = "", G565 = "", I565 = ""), "", IF(F565 = "Vara", IFERROR(_xlfn.SINGLE(_xlfn.XLOOKUP(G565, Vöruskrá!A:A, Vöruskrá!J:J, "")) * I565 / 100, ""), IF(F565 = "Réttur", IFERROR(_xlfn.SINGLE(_xlfn.XLOOKUP(G565, Réttabanki!A:A, Réttabanki!AW:AW, "")) * I565 / 100, ""), "")))</f>
        <v/>
      </c>
      <c r="Q565" s="26" t="str">
        <f>IF(OR(F565 = "", G565 = "", I565 = ""), "", IF(F565 = "Vara", IFERROR(_xlfn.SINGLE(_xlfn.XLOOKUP(G565, Vöruskrá!A:A, Vöruskrá!N:N, "")) * I565 / 100, ""), IF(F565 = "Réttur", IFERROR(_xlfn.SINGLE(_xlfn.XLOOKUP(G565, Réttabanki!A:A, Réttabanki!BB:BB, "")) * I565 / 100, ""), "")))</f>
        <v/>
      </c>
    </row>
    <row r="566" spans="2:17">
      <c r="B566" s="33" t="str">
        <f>IF(A566&lt;&gt;"",CHOOSE(WEEKDAY(A566,2),"Mánudagur","Þriðjudagur","Miðvikudagur","Fimmtudagur","Föstudagur","Laugardagur","Sunnudagur"),IF(B565&lt;&gt;"",B565,""))</f>
        <v>Fimmtudagur</v>
      </c>
      <c r="C566" s="33">
        <f>IF(A566&lt;&gt;"",WEEKNUM(A566,21),IF(C565&lt;&gt;"",C565,""))</f>
        <v>27</v>
      </c>
      <c r="D566" s="34"/>
      <c r="E566" s="34"/>
      <c r="F566" s="34"/>
      <c r="G566" s="34"/>
      <c r="H566" s="34"/>
      <c r="I566" s="35"/>
      <c r="J566" s="35"/>
      <c r="K566" s="36"/>
      <c r="L566" s="26" t="str">
        <f>IF(OR(F566 = "", G566 = ""), "", IF(F566 = "Vara", IFERROR(_xlfn.SINGLE(_xlfn.XLOOKUP(G566, Vöruskrá!A:A, Vöruskrá!E:E, "")), ""), IF(F566 = "Réttur", IFERROR(_xlfn.SINGLE(_xlfn.XLOOKUP(G566, Réttabanki!A:A, Réttabanki!AS:AS, "")), ""), "")))</f>
        <v/>
      </c>
      <c r="M566" s="26" t="str">
        <f>IF(OR(F566 = "", G566 = ""), "", IF(F566 = "Vara", IFERROR(_xlfn.SINGLE(_xlfn.XLOOKUP(G566, Vöruskrá!A:A, Vöruskrá!F:F, "")), ""), IF(F566 = "Réttur", IFERROR(_xlfn.SINGLE(_xlfn.XLOOKUP(G566, Réttabanki!A:A, Réttabanki!AT:AT, "")), ""), "")))</f>
        <v/>
      </c>
      <c r="N566" s="26" t="str">
        <f>IF(OR(F566 = "", G566 = ""), "", IF(F566 = "Vara", IFERROR(_xlfn.SINGLE(_xlfn.XLOOKUP(G566, Vöruskrá!A:A, Vöruskrá!G:G, "")), ""), IF(F566 = "Réttur", IFERROR(_xlfn.SINGLE(_xlfn.XLOOKUP(G566, Réttabanki!A:A, Réttabanki!AU:AU, "")), ""), "")))</f>
        <v/>
      </c>
      <c r="O566" s="26" t="str">
        <f>IF(OR(F566 = "", G566 = "", I566 = ""), "", IF(F566 = "Vara", IFERROR(_xlfn.SINGLE(_xlfn.XLOOKUP(G566, Vöruskrá!A:A, Vöruskrá!I:I, "")) * I566 / 100, ""), IF(F566 = "Réttur", IFERROR(_xlfn.SINGLE(_xlfn.XLOOKUP(G566, Réttabanki!A:A, Réttabanki!AV:AV, "")) * I566 / 100, ""), "")))</f>
        <v/>
      </c>
      <c r="P566" s="26" t="str">
        <f>IF(OR(F566 = "", G566 = "", I566 = ""), "", IF(F566 = "Vara", IFERROR(_xlfn.SINGLE(_xlfn.XLOOKUP(G566, Vöruskrá!A:A, Vöruskrá!J:J, "")) * I566 / 100, ""), IF(F566 = "Réttur", IFERROR(_xlfn.SINGLE(_xlfn.XLOOKUP(G566, Réttabanki!A:A, Réttabanki!AW:AW, "")) * I566 / 100, ""), "")))</f>
        <v/>
      </c>
      <c r="Q566" s="26" t="str">
        <f>IF(OR(F566 = "", G566 = "", I566 = ""), "", IF(F566 = "Vara", IFERROR(_xlfn.SINGLE(_xlfn.XLOOKUP(G566, Vöruskrá!A:A, Vöruskrá!N:N, "")) * I566 / 100, ""), IF(F566 = "Réttur", IFERROR(_xlfn.SINGLE(_xlfn.XLOOKUP(G566, Réttabanki!A:A, Réttabanki!BB:BB, "")) * I566 / 100, ""), "")))</f>
        <v/>
      </c>
    </row>
    <row r="567" spans="2:17">
      <c r="B567" s="33" t="str">
        <f>IF(A567&lt;&gt;"",CHOOSE(WEEKDAY(A567,2),"Mánudagur","Þriðjudagur","Miðvikudagur","Fimmtudagur","Föstudagur","Laugardagur","Sunnudagur"),IF(B566&lt;&gt;"",B566,""))</f>
        <v>Fimmtudagur</v>
      </c>
      <c r="C567" s="33">
        <f>IF(A567&lt;&gt;"",WEEKNUM(A567,21),IF(C566&lt;&gt;"",C566,""))</f>
        <v>27</v>
      </c>
      <c r="D567" s="34"/>
      <c r="E567" s="34"/>
      <c r="F567" s="34"/>
      <c r="G567" s="34"/>
      <c r="H567" s="34"/>
      <c r="I567" s="35"/>
      <c r="J567" s="35"/>
      <c r="K567" s="36"/>
      <c r="L567" s="26" t="str">
        <f>IF(OR(F567 = "", G567 = ""), "", IF(F567 = "Vara", IFERROR(_xlfn.SINGLE(_xlfn.XLOOKUP(G567, Vöruskrá!A:A, Vöruskrá!E:E, "")), ""), IF(F567 = "Réttur", IFERROR(_xlfn.SINGLE(_xlfn.XLOOKUP(G567, Réttabanki!A:A, Réttabanki!AS:AS, "")), ""), "")))</f>
        <v/>
      </c>
      <c r="M567" s="26" t="str">
        <f>IF(OR(F567 = "", G567 = ""), "", IF(F567 = "Vara", IFERROR(_xlfn.SINGLE(_xlfn.XLOOKUP(G567, Vöruskrá!A:A, Vöruskrá!F:F, "")), ""), IF(F567 = "Réttur", IFERROR(_xlfn.SINGLE(_xlfn.XLOOKUP(G567, Réttabanki!A:A, Réttabanki!AT:AT, "")), ""), "")))</f>
        <v/>
      </c>
      <c r="N567" s="26" t="str">
        <f>IF(OR(F567 = "", G567 = ""), "", IF(F567 = "Vara", IFERROR(_xlfn.SINGLE(_xlfn.XLOOKUP(G567, Vöruskrá!A:A, Vöruskrá!G:G, "")), ""), IF(F567 = "Réttur", IFERROR(_xlfn.SINGLE(_xlfn.XLOOKUP(G567, Réttabanki!A:A, Réttabanki!AU:AU, "")), ""), "")))</f>
        <v/>
      </c>
      <c r="O567" s="26" t="str">
        <f>IF(OR(F567 = "", G567 = "", I567 = ""), "", IF(F567 = "Vara", IFERROR(_xlfn.SINGLE(_xlfn.XLOOKUP(G567, Vöruskrá!A:A, Vöruskrá!I:I, "")) * I567 / 100, ""), IF(F567 = "Réttur", IFERROR(_xlfn.SINGLE(_xlfn.XLOOKUP(G567, Réttabanki!A:A, Réttabanki!AV:AV, "")) * I567 / 100, ""), "")))</f>
        <v/>
      </c>
      <c r="P567" s="26" t="str">
        <f>IF(OR(F567 = "", G567 = "", I567 = ""), "", IF(F567 = "Vara", IFERROR(_xlfn.SINGLE(_xlfn.XLOOKUP(G567, Vöruskrá!A:A, Vöruskrá!J:J, "")) * I567 / 100, ""), IF(F567 = "Réttur", IFERROR(_xlfn.SINGLE(_xlfn.XLOOKUP(G567, Réttabanki!A:A, Réttabanki!AW:AW, "")) * I567 / 100, ""), "")))</f>
        <v/>
      </c>
      <c r="Q567" s="26" t="str">
        <f>IF(OR(F567 = "", G567 = "", I567 = ""), "", IF(F567 = "Vara", IFERROR(_xlfn.SINGLE(_xlfn.XLOOKUP(G567, Vöruskrá!A:A, Vöruskrá!N:N, "")) * I567 / 100, ""), IF(F567 = "Réttur", IFERROR(_xlfn.SINGLE(_xlfn.XLOOKUP(G567, Réttabanki!A:A, Réttabanki!BB:BB, "")) * I567 / 100, ""), "")))</f>
        <v/>
      </c>
    </row>
    <row r="568" spans="2:17">
      <c r="B568" s="33" t="str">
        <f>IF(A568&lt;&gt;"",CHOOSE(WEEKDAY(A568,2),"Mánudagur","Þriðjudagur","Miðvikudagur","Fimmtudagur","Föstudagur","Laugardagur","Sunnudagur"),IF(B567&lt;&gt;"",B567,""))</f>
        <v>Fimmtudagur</v>
      </c>
      <c r="C568" s="33">
        <f>IF(A568&lt;&gt;"",WEEKNUM(A568,21),IF(C567&lt;&gt;"",C567,""))</f>
        <v>27</v>
      </c>
      <c r="D568" s="34"/>
      <c r="E568" s="34"/>
      <c r="F568" s="34"/>
      <c r="G568" s="34"/>
      <c r="H568" s="34"/>
      <c r="I568" s="35"/>
      <c r="J568" s="35"/>
      <c r="K568" s="36"/>
      <c r="L568" s="26" t="str">
        <f>IF(OR(F568 = "", G568 = ""), "", IF(F568 = "Vara", IFERROR(_xlfn.SINGLE(_xlfn.XLOOKUP(G568, Vöruskrá!A:A, Vöruskrá!E:E, "")), ""), IF(F568 = "Réttur", IFERROR(_xlfn.SINGLE(_xlfn.XLOOKUP(G568, Réttabanki!A:A, Réttabanki!AS:AS, "")), ""), "")))</f>
        <v/>
      </c>
      <c r="M568" s="26" t="str">
        <f>IF(OR(F568 = "", G568 = ""), "", IF(F568 = "Vara", IFERROR(_xlfn.SINGLE(_xlfn.XLOOKUP(G568, Vöruskrá!A:A, Vöruskrá!F:F, "")), ""), IF(F568 = "Réttur", IFERROR(_xlfn.SINGLE(_xlfn.XLOOKUP(G568, Réttabanki!A:A, Réttabanki!AT:AT, "")), ""), "")))</f>
        <v/>
      </c>
      <c r="N568" s="26" t="str">
        <f>IF(OR(F568 = "", G568 = ""), "", IF(F568 = "Vara", IFERROR(_xlfn.SINGLE(_xlfn.XLOOKUP(G568, Vöruskrá!A:A, Vöruskrá!G:G, "")), ""), IF(F568 = "Réttur", IFERROR(_xlfn.SINGLE(_xlfn.XLOOKUP(G568, Réttabanki!A:A, Réttabanki!AU:AU, "")), ""), "")))</f>
        <v/>
      </c>
      <c r="O568" s="26" t="str">
        <f>IF(OR(F568 = "", G568 = "", I568 = ""), "", IF(F568 = "Vara", IFERROR(_xlfn.SINGLE(_xlfn.XLOOKUP(G568, Vöruskrá!A:A, Vöruskrá!I:I, "")) * I568 / 100, ""), IF(F568 = "Réttur", IFERROR(_xlfn.SINGLE(_xlfn.XLOOKUP(G568, Réttabanki!A:A, Réttabanki!AV:AV, "")) * I568 / 100, ""), "")))</f>
        <v/>
      </c>
      <c r="P568" s="26" t="str">
        <f>IF(OR(F568 = "", G568 = "", I568 = ""), "", IF(F568 = "Vara", IFERROR(_xlfn.SINGLE(_xlfn.XLOOKUP(G568, Vöruskrá!A:A, Vöruskrá!J:J, "")) * I568 / 100, ""), IF(F568 = "Réttur", IFERROR(_xlfn.SINGLE(_xlfn.XLOOKUP(G568, Réttabanki!A:A, Réttabanki!AW:AW, "")) * I568 / 100, ""), "")))</f>
        <v/>
      </c>
      <c r="Q568" s="26" t="str">
        <f>IF(OR(F568 = "", G568 = "", I568 = ""), "", IF(F568 = "Vara", IFERROR(_xlfn.SINGLE(_xlfn.XLOOKUP(G568, Vöruskrá!A:A, Vöruskrá!N:N, "")) * I568 / 100, ""), IF(F568 = "Réttur", IFERROR(_xlfn.SINGLE(_xlfn.XLOOKUP(G568, Réttabanki!A:A, Réttabanki!BB:BB, "")) * I568 / 100, ""), "")))</f>
        <v/>
      </c>
    </row>
    <row r="569" spans="2:17">
      <c r="B569" s="33" t="str">
        <f>IF(A569&lt;&gt;"",CHOOSE(WEEKDAY(A569,2),"Mánudagur","Þriðjudagur","Miðvikudagur","Fimmtudagur","Föstudagur","Laugardagur","Sunnudagur"),IF(B568&lt;&gt;"",B568,""))</f>
        <v>Fimmtudagur</v>
      </c>
      <c r="C569" s="33">
        <f>IF(A569&lt;&gt;"",WEEKNUM(A569,21),IF(C568&lt;&gt;"",C568,""))</f>
        <v>27</v>
      </c>
      <c r="D569" s="34"/>
      <c r="E569" s="34"/>
      <c r="F569" s="34"/>
      <c r="G569" s="34"/>
      <c r="H569" s="34"/>
      <c r="I569" s="35"/>
      <c r="J569" s="35"/>
      <c r="K569" s="36"/>
      <c r="L569" s="26" t="str">
        <f>IF(OR(F569 = "", G569 = ""), "", IF(F569 = "Vara", IFERROR(_xlfn.SINGLE(_xlfn.XLOOKUP(G569, Vöruskrá!A:A, Vöruskrá!E:E, "")), ""), IF(F569 = "Réttur", IFERROR(_xlfn.SINGLE(_xlfn.XLOOKUP(G569, Réttabanki!A:A, Réttabanki!AS:AS, "")), ""), "")))</f>
        <v/>
      </c>
      <c r="M569" s="26" t="str">
        <f>IF(OR(F569 = "", G569 = ""), "", IF(F569 = "Vara", IFERROR(_xlfn.SINGLE(_xlfn.XLOOKUP(G569, Vöruskrá!A:A, Vöruskrá!F:F, "")), ""), IF(F569 = "Réttur", IFERROR(_xlfn.SINGLE(_xlfn.XLOOKUP(G569, Réttabanki!A:A, Réttabanki!AT:AT, "")), ""), "")))</f>
        <v/>
      </c>
      <c r="N569" s="26" t="str">
        <f>IF(OR(F569 = "", G569 = ""), "", IF(F569 = "Vara", IFERROR(_xlfn.SINGLE(_xlfn.XLOOKUP(G569, Vöruskrá!A:A, Vöruskrá!G:G, "")), ""), IF(F569 = "Réttur", IFERROR(_xlfn.SINGLE(_xlfn.XLOOKUP(G569, Réttabanki!A:A, Réttabanki!AU:AU, "")), ""), "")))</f>
        <v/>
      </c>
      <c r="O569" s="26" t="str">
        <f>IF(OR(F569 = "", G569 = "", I569 = ""), "", IF(F569 = "Vara", IFERROR(_xlfn.SINGLE(_xlfn.XLOOKUP(G569, Vöruskrá!A:A, Vöruskrá!I:I, "")) * I569 / 100, ""), IF(F569 = "Réttur", IFERROR(_xlfn.SINGLE(_xlfn.XLOOKUP(G569, Réttabanki!A:A, Réttabanki!AV:AV, "")) * I569 / 100, ""), "")))</f>
        <v/>
      </c>
      <c r="P569" s="26" t="str">
        <f>IF(OR(F569 = "", G569 = "", I569 = ""), "", IF(F569 = "Vara", IFERROR(_xlfn.SINGLE(_xlfn.XLOOKUP(G569, Vöruskrá!A:A, Vöruskrá!J:J, "")) * I569 / 100, ""), IF(F569 = "Réttur", IFERROR(_xlfn.SINGLE(_xlfn.XLOOKUP(G569, Réttabanki!A:A, Réttabanki!AW:AW, "")) * I569 / 100, ""), "")))</f>
        <v/>
      </c>
      <c r="Q569" s="26" t="str">
        <f>IF(OR(F569 = "", G569 = "", I569 = ""), "", IF(F569 = "Vara", IFERROR(_xlfn.SINGLE(_xlfn.XLOOKUP(G569, Vöruskrá!A:A, Vöruskrá!N:N, "")) * I569 / 100, ""), IF(F569 = "Réttur", IFERROR(_xlfn.SINGLE(_xlfn.XLOOKUP(G569, Réttabanki!A:A, Réttabanki!BB:BB, "")) * I569 / 100, ""), "")))</f>
        <v/>
      </c>
    </row>
    <row r="570" spans="2:17">
      <c r="B570" s="33" t="str">
        <f>IF(A570&lt;&gt;"",CHOOSE(WEEKDAY(A570,2),"Mánudagur","Þriðjudagur","Miðvikudagur","Fimmtudagur","Föstudagur","Laugardagur","Sunnudagur"),IF(B569&lt;&gt;"",B569,""))</f>
        <v>Fimmtudagur</v>
      </c>
      <c r="C570" s="33">
        <f>IF(A570&lt;&gt;"",WEEKNUM(A570,21),IF(C569&lt;&gt;"",C569,""))</f>
        <v>27</v>
      </c>
      <c r="D570" s="34"/>
      <c r="E570" s="34"/>
      <c r="F570" s="34"/>
      <c r="G570" s="34"/>
      <c r="H570" s="34"/>
      <c r="I570" s="35"/>
      <c r="J570" s="35"/>
      <c r="K570" s="36"/>
      <c r="L570" s="26" t="str">
        <f>IF(OR(F570 = "", G570 = ""), "", IF(F570 = "Vara", IFERROR(_xlfn.SINGLE(_xlfn.XLOOKUP(G570, Vöruskrá!A:A, Vöruskrá!E:E, "")), ""), IF(F570 = "Réttur", IFERROR(_xlfn.SINGLE(_xlfn.XLOOKUP(G570, Réttabanki!A:A, Réttabanki!AS:AS, "")), ""), "")))</f>
        <v/>
      </c>
      <c r="M570" s="26" t="str">
        <f>IF(OR(F570 = "", G570 = ""), "", IF(F570 = "Vara", IFERROR(_xlfn.SINGLE(_xlfn.XLOOKUP(G570, Vöruskrá!A:A, Vöruskrá!F:F, "")), ""), IF(F570 = "Réttur", IFERROR(_xlfn.SINGLE(_xlfn.XLOOKUP(G570, Réttabanki!A:A, Réttabanki!AT:AT, "")), ""), "")))</f>
        <v/>
      </c>
      <c r="N570" s="26" t="str">
        <f>IF(OR(F570 = "", G570 = ""), "", IF(F570 = "Vara", IFERROR(_xlfn.SINGLE(_xlfn.XLOOKUP(G570, Vöruskrá!A:A, Vöruskrá!G:G, "")), ""), IF(F570 = "Réttur", IFERROR(_xlfn.SINGLE(_xlfn.XLOOKUP(G570, Réttabanki!A:A, Réttabanki!AU:AU, "")), ""), "")))</f>
        <v/>
      </c>
      <c r="O570" s="26" t="str">
        <f>IF(OR(F570 = "", G570 = "", I570 = ""), "", IF(F570 = "Vara", IFERROR(_xlfn.SINGLE(_xlfn.XLOOKUP(G570, Vöruskrá!A:A, Vöruskrá!I:I, "")) * I570 / 100, ""), IF(F570 = "Réttur", IFERROR(_xlfn.SINGLE(_xlfn.XLOOKUP(G570, Réttabanki!A:A, Réttabanki!AV:AV, "")) * I570 / 100, ""), "")))</f>
        <v/>
      </c>
      <c r="P570" s="26" t="str">
        <f>IF(OR(F570 = "", G570 = "", I570 = ""), "", IF(F570 = "Vara", IFERROR(_xlfn.SINGLE(_xlfn.XLOOKUP(G570, Vöruskrá!A:A, Vöruskrá!J:J, "")) * I570 / 100, ""), IF(F570 = "Réttur", IFERROR(_xlfn.SINGLE(_xlfn.XLOOKUP(G570, Réttabanki!A:A, Réttabanki!AW:AW, "")) * I570 / 100, ""), "")))</f>
        <v/>
      </c>
      <c r="Q570" s="26" t="str">
        <f>IF(OR(F570 = "", G570 = "", I570 = ""), "", IF(F570 = "Vara", IFERROR(_xlfn.SINGLE(_xlfn.XLOOKUP(G570, Vöruskrá!A:A, Vöruskrá!N:N, "")) * I570 / 100, ""), IF(F570 = "Réttur", IFERROR(_xlfn.SINGLE(_xlfn.XLOOKUP(G570, Réttabanki!A:A, Réttabanki!BB:BB, "")) * I570 / 100, ""), "")))</f>
        <v/>
      </c>
    </row>
    <row r="571" spans="2:17">
      <c r="B571" s="33" t="str">
        <f>IF(A571&lt;&gt;"",CHOOSE(WEEKDAY(A571,2),"Mánudagur","Þriðjudagur","Miðvikudagur","Fimmtudagur","Föstudagur","Laugardagur","Sunnudagur"),IF(B570&lt;&gt;"",B570,""))</f>
        <v>Fimmtudagur</v>
      </c>
      <c r="C571" s="33">
        <f>IF(A571&lt;&gt;"",WEEKNUM(A571,21),IF(C570&lt;&gt;"",C570,""))</f>
        <v>27</v>
      </c>
      <c r="D571" s="34"/>
      <c r="E571" s="34"/>
      <c r="F571" s="34"/>
      <c r="G571" s="34"/>
      <c r="H571" s="34"/>
      <c r="I571" s="35"/>
      <c r="J571" s="35"/>
      <c r="K571" s="36"/>
      <c r="L571" s="26" t="str">
        <f>IF(OR(F571 = "", G571 = ""), "", IF(F571 = "Vara", IFERROR(_xlfn.SINGLE(_xlfn.XLOOKUP(G571, Vöruskrá!A:A, Vöruskrá!E:E, "")), ""), IF(F571 = "Réttur", IFERROR(_xlfn.SINGLE(_xlfn.XLOOKUP(G571, Réttabanki!A:A, Réttabanki!AS:AS, "")), ""), "")))</f>
        <v/>
      </c>
      <c r="M571" s="26" t="str">
        <f>IF(OR(F571 = "", G571 = ""), "", IF(F571 = "Vara", IFERROR(_xlfn.SINGLE(_xlfn.XLOOKUP(G571, Vöruskrá!A:A, Vöruskrá!F:F, "")), ""), IF(F571 = "Réttur", IFERROR(_xlfn.SINGLE(_xlfn.XLOOKUP(G571, Réttabanki!A:A, Réttabanki!AT:AT, "")), ""), "")))</f>
        <v/>
      </c>
      <c r="N571" s="26" t="str">
        <f>IF(OR(F571 = "", G571 = ""), "", IF(F571 = "Vara", IFERROR(_xlfn.SINGLE(_xlfn.XLOOKUP(G571, Vöruskrá!A:A, Vöruskrá!G:G, "")), ""), IF(F571 = "Réttur", IFERROR(_xlfn.SINGLE(_xlfn.XLOOKUP(G571, Réttabanki!A:A, Réttabanki!AU:AU, "")), ""), "")))</f>
        <v/>
      </c>
      <c r="O571" s="26" t="str">
        <f>IF(OR(F571 = "", G571 = "", I571 = ""), "", IF(F571 = "Vara", IFERROR(_xlfn.SINGLE(_xlfn.XLOOKUP(G571, Vöruskrá!A:A, Vöruskrá!I:I, "")) * I571 / 100, ""), IF(F571 = "Réttur", IFERROR(_xlfn.SINGLE(_xlfn.XLOOKUP(G571, Réttabanki!A:A, Réttabanki!AV:AV, "")) * I571 / 100, ""), "")))</f>
        <v/>
      </c>
      <c r="P571" s="26" t="str">
        <f>IF(OR(F571 = "", G571 = "", I571 = ""), "", IF(F571 = "Vara", IFERROR(_xlfn.SINGLE(_xlfn.XLOOKUP(G571, Vöruskrá!A:A, Vöruskrá!J:J, "")) * I571 / 100, ""), IF(F571 = "Réttur", IFERROR(_xlfn.SINGLE(_xlfn.XLOOKUP(G571, Réttabanki!A:A, Réttabanki!AW:AW, "")) * I571 / 100, ""), "")))</f>
        <v/>
      </c>
      <c r="Q571" s="26" t="str">
        <f>IF(OR(F571 = "", G571 = "", I571 = ""), "", IF(F571 = "Vara", IFERROR(_xlfn.SINGLE(_xlfn.XLOOKUP(G571, Vöruskrá!A:A, Vöruskrá!N:N, "")) * I571 / 100, ""), IF(F571 = "Réttur", IFERROR(_xlfn.SINGLE(_xlfn.XLOOKUP(G571, Réttabanki!A:A, Réttabanki!BB:BB, "")) * I571 / 100, ""), "")))</f>
        <v/>
      </c>
    </row>
    <row r="572" spans="2:17">
      <c r="B572" s="33" t="str">
        <f>IF(A572&lt;&gt;"",CHOOSE(WEEKDAY(A572,2),"Mánudagur","Þriðjudagur","Miðvikudagur","Fimmtudagur","Föstudagur","Laugardagur","Sunnudagur"),IF(B571&lt;&gt;"",B571,""))</f>
        <v>Fimmtudagur</v>
      </c>
      <c r="C572" s="33">
        <f>IF(A572&lt;&gt;"",WEEKNUM(A572,21),IF(C571&lt;&gt;"",C571,""))</f>
        <v>27</v>
      </c>
      <c r="D572" s="34"/>
      <c r="E572" s="34"/>
      <c r="F572" s="34"/>
      <c r="G572" s="34"/>
      <c r="H572" s="34"/>
      <c r="I572" s="35"/>
      <c r="J572" s="35"/>
      <c r="K572" s="36"/>
      <c r="L572" s="26" t="str">
        <f>IF(OR(F572 = "", G572 = ""), "", IF(F572 = "Vara", IFERROR(_xlfn.SINGLE(_xlfn.XLOOKUP(G572, Vöruskrá!A:A, Vöruskrá!E:E, "")), ""), IF(F572 = "Réttur", IFERROR(_xlfn.SINGLE(_xlfn.XLOOKUP(G572, Réttabanki!A:A, Réttabanki!AS:AS, "")), ""), "")))</f>
        <v/>
      </c>
      <c r="M572" s="26" t="str">
        <f>IF(OR(F572 = "", G572 = ""), "", IF(F572 = "Vara", IFERROR(_xlfn.SINGLE(_xlfn.XLOOKUP(G572, Vöruskrá!A:A, Vöruskrá!F:F, "")), ""), IF(F572 = "Réttur", IFERROR(_xlfn.SINGLE(_xlfn.XLOOKUP(G572, Réttabanki!A:A, Réttabanki!AT:AT, "")), ""), "")))</f>
        <v/>
      </c>
      <c r="N572" s="26" t="str">
        <f>IF(OR(F572 = "", G572 = ""), "", IF(F572 = "Vara", IFERROR(_xlfn.SINGLE(_xlfn.XLOOKUP(G572, Vöruskrá!A:A, Vöruskrá!G:G, "")), ""), IF(F572 = "Réttur", IFERROR(_xlfn.SINGLE(_xlfn.XLOOKUP(G572, Réttabanki!A:A, Réttabanki!AU:AU, "")), ""), "")))</f>
        <v/>
      </c>
      <c r="O572" s="26" t="str">
        <f>IF(OR(F572 = "", G572 = "", I572 = ""), "", IF(F572 = "Vara", IFERROR(_xlfn.SINGLE(_xlfn.XLOOKUP(G572, Vöruskrá!A:A, Vöruskrá!I:I, "")) * I572 / 100, ""), IF(F572 = "Réttur", IFERROR(_xlfn.SINGLE(_xlfn.XLOOKUP(G572, Réttabanki!A:A, Réttabanki!AV:AV, "")) * I572 / 100, ""), "")))</f>
        <v/>
      </c>
      <c r="P572" s="26" t="str">
        <f>IF(OR(F572 = "", G572 = "", I572 = ""), "", IF(F572 = "Vara", IFERROR(_xlfn.SINGLE(_xlfn.XLOOKUP(G572, Vöruskrá!A:A, Vöruskrá!J:J, "")) * I572 / 100, ""), IF(F572 = "Réttur", IFERROR(_xlfn.SINGLE(_xlfn.XLOOKUP(G572, Réttabanki!A:A, Réttabanki!AW:AW, "")) * I572 / 100, ""), "")))</f>
        <v/>
      </c>
      <c r="Q572" s="26" t="str">
        <f>IF(OR(F572 = "", G572 = "", I572 = ""), "", IF(F572 = "Vara", IFERROR(_xlfn.SINGLE(_xlfn.XLOOKUP(G572, Vöruskrá!A:A, Vöruskrá!N:N, "")) * I572 / 100, ""), IF(F572 = "Réttur", IFERROR(_xlfn.SINGLE(_xlfn.XLOOKUP(G572, Réttabanki!A:A, Réttabanki!BB:BB, "")) * I572 / 100, ""), "")))</f>
        <v/>
      </c>
    </row>
    <row r="573" spans="2:17">
      <c r="B573" s="33" t="str">
        <f>IF(A573&lt;&gt;"",CHOOSE(WEEKDAY(A573,2),"Mánudagur","Þriðjudagur","Miðvikudagur","Fimmtudagur","Föstudagur","Laugardagur","Sunnudagur"),IF(B572&lt;&gt;"",B572,""))</f>
        <v>Fimmtudagur</v>
      </c>
      <c r="C573" s="33">
        <f>IF(A573&lt;&gt;"",WEEKNUM(A573,21),IF(C572&lt;&gt;"",C572,""))</f>
        <v>27</v>
      </c>
      <c r="D573" s="34"/>
      <c r="E573" s="34"/>
      <c r="F573" s="34"/>
      <c r="G573" s="34"/>
      <c r="H573" s="34"/>
      <c r="I573" s="35"/>
      <c r="J573" s="35"/>
      <c r="K573" s="36"/>
      <c r="L573" s="26" t="str">
        <f>IF(OR(F573 = "", G573 = ""), "", IF(F573 = "Vara", IFERROR(_xlfn.SINGLE(_xlfn.XLOOKUP(G573, Vöruskrá!A:A, Vöruskrá!E:E, "")), ""), IF(F573 = "Réttur", IFERROR(_xlfn.SINGLE(_xlfn.XLOOKUP(G573, Réttabanki!A:A, Réttabanki!AS:AS, "")), ""), "")))</f>
        <v/>
      </c>
      <c r="M573" s="26" t="str">
        <f>IF(OR(F573 = "", G573 = ""), "", IF(F573 = "Vara", IFERROR(_xlfn.SINGLE(_xlfn.XLOOKUP(G573, Vöruskrá!A:A, Vöruskrá!F:F, "")), ""), IF(F573 = "Réttur", IFERROR(_xlfn.SINGLE(_xlfn.XLOOKUP(G573, Réttabanki!A:A, Réttabanki!AT:AT, "")), ""), "")))</f>
        <v/>
      </c>
      <c r="N573" s="26" t="str">
        <f>IF(OR(F573 = "", G573 = ""), "", IF(F573 = "Vara", IFERROR(_xlfn.SINGLE(_xlfn.XLOOKUP(G573, Vöruskrá!A:A, Vöruskrá!G:G, "")), ""), IF(F573 = "Réttur", IFERROR(_xlfn.SINGLE(_xlfn.XLOOKUP(G573, Réttabanki!A:A, Réttabanki!AU:AU, "")), ""), "")))</f>
        <v/>
      </c>
      <c r="O573" s="26" t="str">
        <f>IF(OR(F573 = "", G573 = "", I573 = ""), "", IF(F573 = "Vara", IFERROR(_xlfn.SINGLE(_xlfn.XLOOKUP(G573, Vöruskrá!A:A, Vöruskrá!I:I, "")) * I573 / 100, ""), IF(F573 = "Réttur", IFERROR(_xlfn.SINGLE(_xlfn.XLOOKUP(G573, Réttabanki!A:A, Réttabanki!AV:AV, "")) * I573 / 100, ""), "")))</f>
        <v/>
      </c>
      <c r="P573" s="26" t="str">
        <f>IF(OR(F573 = "", G573 = "", I573 = ""), "", IF(F573 = "Vara", IFERROR(_xlfn.SINGLE(_xlfn.XLOOKUP(G573, Vöruskrá!A:A, Vöruskrá!J:J, "")) * I573 / 100, ""), IF(F573 = "Réttur", IFERROR(_xlfn.SINGLE(_xlfn.XLOOKUP(G573, Réttabanki!A:A, Réttabanki!AW:AW, "")) * I573 / 100, ""), "")))</f>
        <v/>
      </c>
      <c r="Q573" s="26" t="str">
        <f>IF(OR(F573 = "", G573 = "", I573 = ""), "", IF(F573 = "Vara", IFERROR(_xlfn.SINGLE(_xlfn.XLOOKUP(G573, Vöruskrá!A:A, Vöruskrá!N:N, "")) * I573 / 100, ""), IF(F573 = "Réttur", IFERROR(_xlfn.SINGLE(_xlfn.XLOOKUP(G573, Réttabanki!A:A, Réttabanki!BB:BB, "")) * I573 / 100, ""), "")))</f>
        <v/>
      </c>
    </row>
    <row r="574" spans="2:17">
      <c r="B574" s="33" t="str">
        <f>IF(A574&lt;&gt;"",CHOOSE(WEEKDAY(A574,2),"Mánudagur","Þriðjudagur","Miðvikudagur","Fimmtudagur","Föstudagur","Laugardagur","Sunnudagur"),IF(B573&lt;&gt;"",B573,""))</f>
        <v>Fimmtudagur</v>
      </c>
      <c r="C574" s="33">
        <f>IF(A574&lt;&gt;"",WEEKNUM(A574,21),IF(C573&lt;&gt;"",C573,""))</f>
        <v>27</v>
      </c>
      <c r="D574" s="34"/>
      <c r="E574" s="34"/>
      <c r="F574" s="34"/>
      <c r="G574" s="34"/>
      <c r="H574" s="34"/>
      <c r="I574" s="35"/>
      <c r="J574" s="35"/>
      <c r="K574" s="36"/>
      <c r="L574" s="26" t="str">
        <f>IF(OR(F574 = "", G574 = ""), "", IF(F574 = "Vara", IFERROR(_xlfn.SINGLE(_xlfn.XLOOKUP(G574, Vöruskrá!A:A, Vöruskrá!E:E, "")), ""), IF(F574 = "Réttur", IFERROR(_xlfn.SINGLE(_xlfn.XLOOKUP(G574, Réttabanki!A:A, Réttabanki!AS:AS, "")), ""), "")))</f>
        <v/>
      </c>
      <c r="M574" s="26" t="str">
        <f>IF(OR(F574 = "", G574 = ""), "", IF(F574 = "Vara", IFERROR(_xlfn.SINGLE(_xlfn.XLOOKUP(G574, Vöruskrá!A:A, Vöruskrá!F:F, "")), ""), IF(F574 = "Réttur", IFERROR(_xlfn.SINGLE(_xlfn.XLOOKUP(G574, Réttabanki!A:A, Réttabanki!AT:AT, "")), ""), "")))</f>
        <v/>
      </c>
      <c r="N574" s="26" t="str">
        <f>IF(OR(F574 = "", G574 = ""), "", IF(F574 = "Vara", IFERROR(_xlfn.SINGLE(_xlfn.XLOOKUP(G574, Vöruskrá!A:A, Vöruskrá!G:G, "")), ""), IF(F574 = "Réttur", IFERROR(_xlfn.SINGLE(_xlfn.XLOOKUP(G574, Réttabanki!A:A, Réttabanki!AU:AU, "")), ""), "")))</f>
        <v/>
      </c>
      <c r="O574" s="26" t="str">
        <f>IF(OR(F574 = "", G574 = "", I574 = ""), "", IF(F574 = "Vara", IFERROR(_xlfn.SINGLE(_xlfn.XLOOKUP(G574, Vöruskrá!A:A, Vöruskrá!I:I, "")) * I574 / 100, ""), IF(F574 = "Réttur", IFERROR(_xlfn.SINGLE(_xlfn.XLOOKUP(G574, Réttabanki!A:A, Réttabanki!AV:AV, "")) * I574 / 100, ""), "")))</f>
        <v/>
      </c>
      <c r="P574" s="26" t="str">
        <f>IF(OR(F574 = "", G574 = "", I574 = ""), "", IF(F574 = "Vara", IFERROR(_xlfn.SINGLE(_xlfn.XLOOKUP(G574, Vöruskrá!A:A, Vöruskrá!J:J, "")) * I574 / 100, ""), IF(F574 = "Réttur", IFERROR(_xlfn.SINGLE(_xlfn.XLOOKUP(G574, Réttabanki!A:A, Réttabanki!AW:AW, "")) * I574 / 100, ""), "")))</f>
        <v/>
      </c>
      <c r="Q574" s="26" t="str">
        <f>IF(OR(F574 = "", G574 = "", I574 = ""), "", IF(F574 = "Vara", IFERROR(_xlfn.SINGLE(_xlfn.XLOOKUP(G574, Vöruskrá!A:A, Vöruskrá!N:N, "")) * I574 / 100, ""), IF(F574 = "Réttur", IFERROR(_xlfn.SINGLE(_xlfn.XLOOKUP(G574, Réttabanki!A:A, Réttabanki!BB:BB, "")) * I574 / 100, ""), "")))</f>
        <v/>
      </c>
    </row>
    <row r="575" spans="2:17">
      <c r="B575" s="33" t="str">
        <f>IF(A575&lt;&gt;"",CHOOSE(WEEKDAY(A575,2),"Mánudagur","Þriðjudagur","Miðvikudagur","Fimmtudagur","Föstudagur","Laugardagur","Sunnudagur"),IF(B574&lt;&gt;"",B574,""))</f>
        <v>Fimmtudagur</v>
      </c>
      <c r="C575" s="33">
        <f>IF(A575&lt;&gt;"",WEEKNUM(A575,21),IF(C574&lt;&gt;"",C574,""))</f>
        <v>27</v>
      </c>
      <c r="D575" s="34"/>
      <c r="E575" s="34"/>
      <c r="F575" s="34"/>
      <c r="G575" s="34"/>
      <c r="H575" s="34"/>
      <c r="I575" s="35"/>
      <c r="J575" s="35"/>
      <c r="K575" s="36"/>
      <c r="L575" s="26" t="str">
        <f>IF(OR(F575 = "", G575 = ""), "", IF(F575 = "Vara", IFERROR(_xlfn.SINGLE(_xlfn.XLOOKUP(G575, Vöruskrá!A:A, Vöruskrá!E:E, "")), ""), IF(F575 = "Réttur", IFERROR(_xlfn.SINGLE(_xlfn.XLOOKUP(G575, Réttabanki!A:A, Réttabanki!AS:AS, "")), ""), "")))</f>
        <v/>
      </c>
      <c r="M575" s="26" t="str">
        <f>IF(OR(F575 = "", G575 = ""), "", IF(F575 = "Vara", IFERROR(_xlfn.SINGLE(_xlfn.XLOOKUP(G575, Vöruskrá!A:A, Vöruskrá!F:F, "")), ""), IF(F575 = "Réttur", IFERROR(_xlfn.SINGLE(_xlfn.XLOOKUP(G575, Réttabanki!A:A, Réttabanki!AT:AT, "")), ""), "")))</f>
        <v/>
      </c>
      <c r="N575" s="26" t="str">
        <f>IF(OR(F575 = "", G575 = ""), "", IF(F575 = "Vara", IFERROR(_xlfn.SINGLE(_xlfn.XLOOKUP(G575, Vöruskrá!A:A, Vöruskrá!G:G, "")), ""), IF(F575 = "Réttur", IFERROR(_xlfn.SINGLE(_xlfn.XLOOKUP(G575, Réttabanki!A:A, Réttabanki!AU:AU, "")), ""), "")))</f>
        <v/>
      </c>
      <c r="O575" s="26" t="str">
        <f>IF(OR(F575 = "", G575 = "", I575 = ""), "", IF(F575 = "Vara", IFERROR(_xlfn.SINGLE(_xlfn.XLOOKUP(G575, Vöruskrá!A:A, Vöruskrá!I:I, "")) * I575 / 100, ""), IF(F575 = "Réttur", IFERROR(_xlfn.SINGLE(_xlfn.XLOOKUP(G575, Réttabanki!A:A, Réttabanki!AV:AV, "")) * I575 / 100, ""), "")))</f>
        <v/>
      </c>
      <c r="P575" s="26" t="str">
        <f>IF(OR(F575 = "", G575 = "", I575 = ""), "", IF(F575 = "Vara", IFERROR(_xlfn.SINGLE(_xlfn.XLOOKUP(G575, Vöruskrá!A:A, Vöruskrá!J:J, "")) * I575 / 100, ""), IF(F575 = "Réttur", IFERROR(_xlfn.SINGLE(_xlfn.XLOOKUP(G575, Réttabanki!A:A, Réttabanki!AW:AW, "")) * I575 / 100, ""), "")))</f>
        <v/>
      </c>
      <c r="Q575" s="26" t="str">
        <f>IF(OR(F575 = "", G575 = "", I575 = ""), "", IF(F575 = "Vara", IFERROR(_xlfn.SINGLE(_xlfn.XLOOKUP(G575, Vöruskrá!A:A, Vöruskrá!N:N, "")) * I575 / 100, ""), IF(F575 = "Réttur", IFERROR(_xlfn.SINGLE(_xlfn.XLOOKUP(G575, Réttabanki!A:A, Réttabanki!BB:BB, "")) * I575 / 100, ""), "")))</f>
        <v/>
      </c>
    </row>
    <row r="576" spans="2:17">
      <c r="B576" s="33" t="str">
        <f>IF(A576&lt;&gt;"",CHOOSE(WEEKDAY(A576,2),"Mánudagur","Þriðjudagur","Miðvikudagur","Fimmtudagur","Föstudagur","Laugardagur","Sunnudagur"),IF(B575&lt;&gt;"",B575,""))</f>
        <v>Fimmtudagur</v>
      </c>
      <c r="C576" s="33">
        <f>IF(A576&lt;&gt;"",WEEKNUM(A576,21),IF(C575&lt;&gt;"",C575,""))</f>
        <v>27</v>
      </c>
      <c r="D576" s="34"/>
      <c r="E576" s="34"/>
      <c r="F576" s="34"/>
      <c r="G576" s="34"/>
      <c r="H576" s="34"/>
      <c r="I576" s="35"/>
      <c r="J576" s="35"/>
      <c r="K576" s="36"/>
      <c r="L576" s="26" t="str">
        <f>IF(OR(F576 = "", G576 = ""), "", IF(F576 = "Vara", IFERROR(_xlfn.SINGLE(_xlfn.XLOOKUP(G576, Vöruskrá!A:A, Vöruskrá!E:E, "")), ""), IF(F576 = "Réttur", IFERROR(_xlfn.SINGLE(_xlfn.XLOOKUP(G576, Réttabanki!A:A, Réttabanki!AS:AS, "")), ""), "")))</f>
        <v/>
      </c>
      <c r="M576" s="26" t="str">
        <f>IF(OR(F576 = "", G576 = ""), "", IF(F576 = "Vara", IFERROR(_xlfn.SINGLE(_xlfn.XLOOKUP(G576, Vöruskrá!A:A, Vöruskrá!F:F, "")), ""), IF(F576 = "Réttur", IFERROR(_xlfn.SINGLE(_xlfn.XLOOKUP(G576, Réttabanki!A:A, Réttabanki!AT:AT, "")), ""), "")))</f>
        <v/>
      </c>
      <c r="N576" s="26" t="str">
        <f>IF(OR(F576 = "", G576 = ""), "", IF(F576 = "Vara", IFERROR(_xlfn.SINGLE(_xlfn.XLOOKUP(G576, Vöruskrá!A:A, Vöruskrá!G:G, "")), ""), IF(F576 = "Réttur", IFERROR(_xlfn.SINGLE(_xlfn.XLOOKUP(G576, Réttabanki!A:A, Réttabanki!AU:AU, "")), ""), "")))</f>
        <v/>
      </c>
      <c r="O576" s="26" t="str">
        <f>IF(OR(F576 = "", G576 = "", I576 = ""), "", IF(F576 = "Vara", IFERROR(_xlfn.SINGLE(_xlfn.XLOOKUP(G576, Vöruskrá!A:A, Vöruskrá!I:I, "")) * I576 / 100, ""), IF(F576 = "Réttur", IFERROR(_xlfn.SINGLE(_xlfn.XLOOKUP(G576, Réttabanki!A:A, Réttabanki!AV:AV, "")) * I576 / 100, ""), "")))</f>
        <v/>
      </c>
      <c r="P576" s="26" t="str">
        <f>IF(OR(F576 = "", G576 = "", I576 = ""), "", IF(F576 = "Vara", IFERROR(_xlfn.SINGLE(_xlfn.XLOOKUP(G576, Vöruskrá!A:A, Vöruskrá!J:J, "")) * I576 / 100, ""), IF(F576 = "Réttur", IFERROR(_xlfn.SINGLE(_xlfn.XLOOKUP(G576, Réttabanki!A:A, Réttabanki!AW:AW, "")) * I576 / 100, ""), "")))</f>
        <v/>
      </c>
      <c r="Q576" s="26" t="str">
        <f>IF(OR(F576 = "", G576 = "", I576 = ""), "", IF(F576 = "Vara", IFERROR(_xlfn.SINGLE(_xlfn.XLOOKUP(G576, Vöruskrá!A:A, Vöruskrá!N:N, "")) * I576 / 100, ""), IF(F576 = "Réttur", IFERROR(_xlfn.SINGLE(_xlfn.XLOOKUP(G576, Réttabanki!A:A, Réttabanki!BB:BB, "")) * I576 / 100, ""), "")))</f>
        <v/>
      </c>
    </row>
    <row r="577" spans="2:17">
      <c r="B577" s="33" t="str">
        <f>IF(A577&lt;&gt;"",CHOOSE(WEEKDAY(A577,2),"Mánudagur","Þriðjudagur","Miðvikudagur","Fimmtudagur","Föstudagur","Laugardagur","Sunnudagur"),IF(B576&lt;&gt;"",B576,""))</f>
        <v>Fimmtudagur</v>
      </c>
      <c r="C577" s="33">
        <f>IF(A577&lt;&gt;"",WEEKNUM(A577,21),IF(C576&lt;&gt;"",C576,""))</f>
        <v>27</v>
      </c>
      <c r="D577" s="34"/>
      <c r="E577" s="34"/>
      <c r="F577" s="34"/>
      <c r="G577" s="34"/>
      <c r="H577" s="34"/>
      <c r="I577" s="35"/>
      <c r="J577" s="35"/>
      <c r="K577" s="36"/>
      <c r="L577" s="26" t="str">
        <f>IF(OR(F577 = "", G577 = ""), "", IF(F577 = "Vara", IFERROR(_xlfn.SINGLE(_xlfn.XLOOKUP(G577, Vöruskrá!A:A, Vöruskrá!E:E, "")), ""), IF(F577 = "Réttur", IFERROR(_xlfn.SINGLE(_xlfn.XLOOKUP(G577, Réttabanki!A:A, Réttabanki!AS:AS, "")), ""), "")))</f>
        <v/>
      </c>
      <c r="M577" s="26" t="str">
        <f>IF(OR(F577 = "", G577 = ""), "", IF(F577 = "Vara", IFERROR(_xlfn.SINGLE(_xlfn.XLOOKUP(G577, Vöruskrá!A:A, Vöruskrá!F:F, "")), ""), IF(F577 = "Réttur", IFERROR(_xlfn.SINGLE(_xlfn.XLOOKUP(G577, Réttabanki!A:A, Réttabanki!AT:AT, "")), ""), "")))</f>
        <v/>
      </c>
      <c r="N577" s="26" t="str">
        <f>IF(OR(F577 = "", G577 = ""), "", IF(F577 = "Vara", IFERROR(_xlfn.SINGLE(_xlfn.XLOOKUP(G577, Vöruskrá!A:A, Vöruskrá!G:G, "")), ""), IF(F577 = "Réttur", IFERROR(_xlfn.SINGLE(_xlfn.XLOOKUP(G577, Réttabanki!A:A, Réttabanki!AU:AU, "")), ""), "")))</f>
        <v/>
      </c>
      <c r="O577" s="26" t="str">
        <f>IF(OR(F577 = "", G577 = "", I577 = ""), "", IF(F577 = "Vara", IFERROR(_xlfn.SINGLE(_xlfn.XLOOKUP(G577, Vöruskrá!A:A, Vöruskrá!I:I, "")) * I577 / 100, ""), IF(F577 = "Réttur", IFERROR(_xlfn.SINGLE(_xlfn.XLOOKUP(G577, Réttabanki!A:A, Réttabanki!AV:AV, "")) * I577 / 100, ""), "")))</f>
        <v/>
      </c>
      <c r="P577" s="26" t="str">
        <f>IF(OR(F577 = "", G577 = "", I577 = ""), "", IF(F577 = "Vara", IFERROR(_xlfn.SINGLE(_xlfn.XLOOKUP(G577, Vöruskrá!A:A, Vöruskrá!J:J, "")) * I577 / 100, ""), IF(F577 = "Réttur", IFERROR(_xlfn.SINGLE(_xlfn.XLOOKUP(G577, Réttabanki!A:A, Réttabanki!AW:AW, "")) * I577 / 100, ""), "")))</f>
        <v/>
      </c>
      <c r="Q577" s="26" t="str">
        <f>IF(OR(F577 = "", G577 = "", I577 = ""), "", IF(F577 = "Vara", IFERROR(_xlfn.SINGLE(_xlfn.XLOOKUP(G577, Vöruskrá!A:A, Vöruskrá!N:N, "")) * I577 / 100, ""), IF(F577 = "Réttur", IFERROR(_xlfn.SINGLE(_xlfn.XLOOKUP(G577, Réttabanki!A:A, Réttabanki!BB:BB, "")) * I577 / 100, ""), "")))</f>
        <v/>
      </c>
    </row>
    <row r="578" spans="2:17">
      <c r="B578" s="33" t="str">
        <f>IF(A578&lt;&gt;"",CHOOSE(WEEKDAY(A578,2),"Mánudagur","Þriðjudagur","Miðvikudagur","Fimmtudagur","Föstudagur","Laugardagur","Sunnudagur"),IF(B577&lt;&gt;"",B577,""))</f>
        <v>Fimmtudagur</v>
      </c>
      <c r="C578" s="33">
        <f>IF(A578&lt;&gt;"",WEEKNUM(A578,21),IF(C577&lt;&gt;"",C577,""))</f>
        <v>27</v>
      </c>
      <c r="D578" s="34"/>
      <c r="E578" s="34"/>
      <c r="F578" s="34"/>
      <c r="G578" s="34"/>
      <c r="H578" s="34"/>
      <c r="I578" s="35"/>
      <c r="J578" s="35"/>
      <c r="K578" s="36"/>
      <c r="L578" s="26" t="str">
        <f>IF(OR(F578 = "", G578 = ""), "", IF(F578 = "Vara", IFERROR(_xlfn.SINGLE(_xlfn.XLOOKUP(G578, Vöruskrá!A:A, Vöruskrá!E:E, "")), ""), IF(F578 = "Réttur", IFERROR(_xlfn.SINGLE(_xlfn.XLOOKUP(G578, Réttabanki!A:A, Réttabanki!AS:AS, "")), ""), "")))</f>
        <v/>
      </c>
      <c r="M578" s="26" t="str">
        <f>IF(OR(F578 = "", G578 = ""), "", IF(F578 = "Vara", IFERROR(_xlfn.SINGLE(_xlfn.XLOOKUP(G578, Vöruskrá!A:A, Vöruskrá!F:F, "")), ""), IF(F578 = "Réttur", IFERROR(_xlfn.SINGLE(_xlfn.XLOOKUP(G578, Réttabanki!A:A, Réttabanki!AT:AT, "")), ""), "")))</f>
        <v/>
      </c>
      <c r="N578" s="26" t="str">
        <f>IF(OR(F578 = "", G578 = ""), "", IF(F578 = "Vara", IFERROR(_xlfn.SINGLE(_xlfn.XLOOKUP(G578, Vöruskrá!A:A, Vöruskrá!G:G, "")), ""), IF(F578 = "Réttur", IFERROR(_xlfn.SINGLE(_xlfn.XLOOKUP(G578, Réttabanki!A:A, Réttabanki!AU:AU, "")), ""), "")))</f>
        <v/>
      </c>
      <c r="O578" s="26" t="str">
        <f>IF(OR(F578 = "", G578 = "", I578 = ""), "", IF(F578 = "Vara", IFERROR(_xlfn.SINGLE(_xlfn.XLOOKUP(G578, Vöruskrá!A:A, Vöruskrá!I:I, "")) * I578 / 100, ""), IF(F578 = "Réttur", IFERROR(_xlfn.SINGLE(_xlfn.XLOOKUP(G578, Réttabanki!A:A, Réttabanki!AV:AV, "")) * I578 / 100, ""), "")))</f>
        <v/>
      </c>
      <c r="P578" s="26" t="str">
        <f>IF(OR(F578 = "", G578 = "", I578 = ""), "", IF(F578 = "Vara", IFERROR(_xlfn.SINGLE(_xlfn.XLOOKUP(G578, Vöruskrá!A:A, Vöruskrá!J:J, "")) * I578 / 100, ""), IF(F578 = "Réttur", IFERROR(_xlfn.SINGLE(_xlfn.XLOOKUP(G578, Réttabanki!A:A, Réttabanki!AW:AW, "")) * I578 / 100, ""), "")))</f>
        <v/>
      </c>
      <c r="Q578" s="26" t="str">
        <f>IF(OR(F578 = "", G578 = "", I578 = ""), "", IF(F578 = "Vara", IFERROR(_xlfn.SINGLE(_xlfn.XLOOKUP(G578, Vöruskrá!A:A, Vöruskrá!N:N, "")) * I578 / 100, ""), IF(F578 = "Réttur", IFERROR(_xlfn.SINGLE(_xlfn.XLOOKUP(G578, Réttabanki!A:A, Réttabanki!BB:BB, "")) * I578 / 100, ""), "")))</f>
        <v/>
      </c>
    </row>
    <row r="579" spans="2:17">
      <c r="B579" s="33" t="str">
        <f>IF(A579&lt;&gt;"",CHOOSE(WEEKDAY(A579,2),"Mánudagur","Þriðjudagur","Miðvikudagur","Fimmtudagur","Föstudagur","Laugardagur","Sunnudagur"),IF(B578&lt;&gt;"",B578,""))</f>
        <v>Fimmtudagur</v>
      </c>
      <c r="C579" s="33">
        <f>IF(A579&lt;&gt;"",WEEKNUM(A579,21),IF(C578&lt;&gt;"",C578,""))</f>
        <v>27</v>
      </c>
      <c r="D579" s="34"/>
      <c r="E579" s="34"/>
      <c r="F579" s="34"/>
      <c r="G579" s="34"/>
      <c r="H579" s="34"/>
      <c r="I579" s="35"/>
      <c r="J579" s="35"/>
      <c r="K579" s="36"/>
      <c r="L579" s="26" t="str">
        <f>IF(OR(F579 = "", G579 = ""), "", IF(F579 = "Vara", IFERROR(_xlfn.SINGLE(_xlfn.XLOOKUP(G579, Vöruskrá!A:A, Vöruskrá!E:E, "")), ""), IF(F579 = "Réttur", IFERROR(_xlfn.SINGLE(_xlfn.XLOOKUP(G579, Réttabanki!A:A, Réttabanki!AS:AS, "")), ""), "")))</f>
        <v/>
      </c>
      <c r="M579" s="26" t="str">
        <f>IF(OR(F579 = "", G579 = ""), "", IF(F579 = "Vara", IFERROR(_xlfn.SINGLE(_xlfn.XLOOKUP(G579, Vöruskrá!A:A, Vöruskrá!F:F, "")), ""), IF(F579 = "Réttur", IFERROR(_xlfn.SINGLE(_xlfn.XLOOKUP(G579, Réttabanki!A:A, Réttabanki!AT:AT, "")), ""), "")))</f>
        <v/>
      </c>
      <c r="N579" s="26" t="str">
        <f>IF(OR(F579 = "", G579 = ""), "", IF(F579 = "Vara", IFERROR(_xlfn.SINGLE(_xlfn.XLOOKUP(G579, Vöruskrá!A:A, Vöruskrá!G:G, "")), ""), IF(F579 = "Réttur", IFERROR(_xlfn.SINGLE(_xlfn.XLOOKUP(G579, Réttabanki!A:A, Réttabanki!AU:AU, "")), ""), "")))</f>
        <v/>
      </c>
      <c r="O579" s="26" t="str">
        <f>IF(OR(F579 = "", G579 = "", I579 = ""), "", IF(F579 = "Vara", IFERROR(_xlfn.SINGLE(_xlfn.XLOOKUP(G579, Vöruskrá!A:A, Vöruskrá!I:I, "")) * I579 / 100, ""), IF(F579 = "Réttur", IFERROR(_xlfn.SINGLE(_xlfn.XLOOKUP(G579, Réttabanki!A:A, Réttabanki!AV:AV, "")) * I579 / 100, ""), "")))</f>
        <v/>
      </c>
      <c r="P579" s="26" t="str">
        <f>IF(OR(F579 = "", G579 = "", I579 = ""), "", IF(F579 = "Vara", IFERROR(_xlfn.SINGLE(_xlfn.XLOOKUP(G579, Vöruskrá!A:A, Vöruskrá!J:J, "")) * I579 / 100, ""), IF(F579 = "Réttur", IFERROR(_xlfn.SINGLE(_xlfn.XLOOKUP(G579, Réttabanki!A:A, Réttabanki!AW:AW, "")) * I579 / 100, ""), "")))</f>
        <v/>
      </c>
      <c r="Q579" s="26" t="str">
        <f>IF(OR(F579 = "", G579 = "", I579 = ""), "", IF(F579 = "Vara", IFERROR(_xlfn.SINGLE(_xlfn.XLOOKUP(G579, Vöruskrá!A:A, Vöruskrá!N:N, "")) * I579 / 100, ""), IF(F579 = "Réttur", IFERROR(_xlfn.SINGLE(_xlfn.XLOOKUP(G579, Réttabanki!A:A, Réttabanki!BB:BB, "")) * I579 / 100, ""), "")))</f>
        <v/>
      </c>
    </row>
    <row r="580" spans="2:17">
      <c r="B580" s="33" t="str">
        <f>IF(A580&lt;&gt;"",CHOOSE(WEEKDAY(A580,2),"Mánudagur","Þriðjudagur","Miðvikudagur","Fimmtudagur","Föstudagur","Laugardagur","Sunnudagur"),IF(B579&lt;&gt;"",B579,""))</f>
        <v>Fimmtudagur</v>
      </c>
      <c r="C580" s="33">
        <f>IF(A580&lt;&gt;"",WEEKNUM(A580,21),IF(C579&lt;&gt;"",C579,""))</f>
        <v>27</v>
      </c>
      <c r="D580" s="34"/>
      <c r="E580" s="34"/>
      <c r="F580" s="34"/>
      <c r="G580" s="34"/>
      <c r="H580" s="34"/>
      <c r="I580" s="35"/>
      <c r="J580" s="35"/>
      <c r="K580" s="36"/>
      <c r="L580" s="26" t="str">
        <f>IF(OR(F580 = "", G580 = ""), "", IF(F580 = "Vara", IFERROR(_xlfn.SINGLE(_xlfn.XLOOKUP(G580, Vöruskrá!A:A, Vöruskrá!E:E, "")), ""), IF(F580 = "Réttur", IFERROR(_xlfn.SINGLE(_xlfn.XLOOKUP(G580, Réttabanki!A:A, Réttabanki!AS:AS, "")), ""), "")))</f>
        <v/>
      </c>
      <c r="M580" s="26" t="str">
        <f>IF(OR(F580 = "", G580 = ""), "", IF(F580 = "Vara", IFERROR(_xlfn.SINGLE(_xlfn.XLOOKUP(G580, Vöruskrá!A:A, Vöruskrá!F:F, "")), ""), IF(F580 = "Réttur", IFERROR(_xlfn.SINGLE(_xlfn.XLOOKUP(G580, Réttabanki!A:A, Réttabanki!AT:AT, "")), ""), "")))</f>
        <v/>
      </c>
      <c r="N580" s="26" t="str">
        <f>IF(OR(F580 = "", G580 = ""), "", IF(F580 = "Vara", IFERROR(_xlfn.SINGLE(_xlfn.XLOOKUP(G580, Vöruskrá!A:A, Vöruskrá!G:G, "")), ""), IF(F580 = "Réttur", IFERROR(_xlfn.SINGLE(_xlfn.XLOOKUP(G580, Réttabanki!A:A, Réttabanki!AU:AU, "")), ""), "")))</f>
        <v/>
      </c>
      <c r="O580" s="26" t="str">
        <f>IF(OR(F580 = "", G580 = "", I580 = ""), "", IF(F580 = "Vara", IFERROR(_xlfn.SINGLE(_xlfn.XLOOKUP(G580, Vöruskrá!A:A, Vöruskrá!I:I, "")) * I580 / 100, ""), IF(F580 = "Réttur", IFERROR(_xlfn.SINGLE(_xlfn.XLOOKUP(G580, Réttabanki!A:A, Réttabanki!AV:AV, "")) * I580 / 100, ""), "")))</f>
        <v/>
      </c>
      <c r="P580" s="26" t="str">
        <f>IF(OR(F580 = "", G580 = "", I580 = ""), "", IF(F580 = "Vara", IFERROR(_xlfn.SINGLE(_xlfn.XLOOKUP(G580, Vöruskrá!A:A, Vöruskrá!J:J, "")) * I580 / 100, ""), IF(F580 = "Réttur", IFERROR(_xlfn.SINGLE(_xlfn.XLOOKUP(G580, Réttabanki!A:A, Réttabanki!AW:AW, "")) * I580 / 100, ""), "")))</f>
        <v/>
      </c>
      <c r="Q580" s="26" t="str">
        <f>IF(OR(F580 = "", G580 = "", I580 = ""), "", IF(F580 = "Vara", IFERROR(_xlfn.SINGLE(_xlfn.XLOOKUP(G580, Vöruskrá!A:A, Vöruskrá!N:N, "")) * I580 / 100, ""), IF(F580 = "Réttur", IFERROR(_xlfn.SINGLE(_xlfn.XLOOKUP(G580, Réttabanki!A:A, Réttabanki!BB:BB, "")) * I580 / 100, ""), "")))</f>
        <v/>
      </c>
    </row>
    <row r="581" spans="2:17">
      <c r="B581" s="33" t="str">
        <f>IF(A581&lt;&gt;"",CHOOSE(WEEKDAY(A581,2),"Mánudagur","Þriðjudagur","Miðvikudagur","Fimmtudagur","Föstudagur","Laugardagur","Sunnudagur"),IF(B580&lt;&gt;"",B580,""))</f>
        <v>Fimmtudagur</v>
      </c>
      <c r="C581" s="33">
        <f>IF(A581&lt;&gt;"",WEEKNUM(A581,21),IF(C580&lt;&gt;"",C580,""))</f>
        <v>27</v>
      </c>
      <c r="D581" s="34"/>
      <c r="E581" s="34"/>
      <c r="F581" s="34"/>
      <c r="G581" s="34"/>
      <c r="H581" s="34"/>
      <c r="I581" s="35"/>
      <c r="J581" s="35"/>
      <c r="K581" s="36"/>
      <c r="L581" s="26" t="str">
        <f>IF(OR(F581 = "", G581 = ""), "", IF(F581 = "Vara", IFERROR(_xlfn.SINGLE(_xlfn.XLOOKUP(G581, Vöruskrá!A:A, Vöruskrá!E:E, "")), ""), IF(F581 = "Réttur", IFERROR(_xlfn.SINGLE(_xlfn.XLOOKUP(G581, Réttabanki!A:A, Réttabanki!AS:AS, "")), ""), "")))</f>
        <v/>
      </c>
      <c r="M581" s="26" t="str">
        <f>IF(OR(F581 = "", G581 = ""), "", IF(F581 = "Vara", IFERROR(_xlfn.SINGLE(_xlfn.XLOOKUP(G581, Vöruskrá!A:A, Vöruskrá!F:F, "")), ""), IF(F581 = "Réttur", IFERROR(_xlfn.SINGLE(_xlfn.XLOOKUP(G581, Réttabanki!A:A, Réttabanki!AT:AT, "")), ""), "")))</f>
        <v/>
      </c>
      <c r="N581" s="26" t="str">
        <f>IF(OR(F581 = "", G581 = ""), "", IF(F581 = "Vara", IFERROR(_xlfn.SINGLE(_xlfn.XLOOKUP(G581, Vöruskrá!A:A, Vöruskrá!G:G, "")), ""), IF(F581 = "Réttur", IFERROR(_xlfn.SINGLE(_xlfn.XLOOKUP(G581, Réttabanki!A:A, Réttabanki!AU:AU, "")), ""), "")))</f>
        <v/>
      </c>
      <c r="O581" s="26" t="str">
        <f>IF(OR(F581 = "", G581 = "", I581 = ""), "", IF(F581 = "Vara", IFERROR(_xlfn.SINGLE(_xlfn.XLOOKUP(G581, Vöruskrá!A:A, Vöruskrá!I:I, "")) * I581 / 100, ""), IF(F581 = "Réttur", IFERROR(_xlfn.SINGLE(_xlfn.XLOOKUP(G581, Réttabanki!A:A, Réttabanki!AV:AV, "")) * I581 / 100, ""), "")))</f>
        <v/>
      </c>
      <c r="P581" s="26" t="str">
        <f>IF(OR(F581 = "", G581 = "", I581 = ""), "", IF(F581 = "Vara", IFERROR(_xlfn.SINGLE(_xlfn.XLOOKUP(G581, Vöruskrá!A:A, Vöruskrá!J:J, "")) * I581 / 100, ""), IF(F581 = "Réttur", IFERROR(_xlfn.SINGLE(_xlfn.XLOOKUP(G581, Réttabanki!A:A, Réttabanki!AW:AW, "")) * I581 / 100, ""), "")))</f>
        <v/>
      </c>
      <c r="Q581" s="26" t="str">
        <f>IF(OR(F581 = "", G581 = "", I581 = ""), "", IF(F581 = "Vara", IFERROR(_xlfn.SINGLE(_xlfn.XLOOKUP(G581, Vöruskrá!A:A, Vöruskrá!N:N, "")) * I581 / 100, ""), IF(F581 = "Réttur", IFERROR(_xlfn.SINGLE(_xlfn.XLOOKUP(G581, Réttabanki!A:A, Réttabanki!BB:BB, "")) * I581 / 100, ""), "")))</f>
        <v/>
      </c>
    </row>
    <row r="582" spans="2:17">
      <c r="B582" s="33" t="str">
        <f>IF(A582&lt;&gt;"",CHOOSE(WEEKDAY(A582,2),"Mánudagur","Þriðjudagur","Miðvikudagur","Fimmtudagur","Föstudagur","Laugardagur","Sunnudagur"),IF(B581&lt;&gt;"",B581,""))</f>
        <v>Fimmtudagur</v>
      </c>
      <c r="C582" s="33">
        <f>IF(A582&lt;&gt;"",WEEKNUM(A582,21),IF(C581&lt;&gt;"",C581,""))</f>
        <v>27</v>
      </c>
      <c r="D582" s="34"/>
      <c r="E582" s="34"/>
      <c r="F582" s="34"/>
      <c r="G582" s="34"/>
      <c r="H582" s="34"/>
      <c r="I582" s="35"/>
      <c r="J582" s="35"/>
      <c r="K582" s="36"/>
      <c r="L582" s="26" t="str">
        <f>IF(OR(F582 = "", G582 = ""), "", IF(F582 = "Vara", IFERROR(_xlfn.SINGLE(_xlfn.XLOOKUP(G582, Vöruskrá!A:A, Vöruskrá!E:E, "")), ""), IF(F582 = "Réttur", IFERROR(_xlfn.SINGLE(_xlfn.XLOOKUP(G582, Réttabanki!A:A, Réttabanki!AS:AS, "")), ""), "")))</f>
        <v/>
      </c>
      <c r="M582" s="26" t="str">
        <f>IF(OR(F582 = "", G582 = ""), "", IF(F582 = "Vara", IFERROR(_xlfn.SINGLE(_xlfn.XLOOKUP(G582, Vöruskrá!A:A, Vöruskrá!F:F, "")), ""), IF(F582 = "Réttur", IFERROR(_xlfn.SINGLE(_xlfn.XLOOKUP(G582, Réttabanki!A:A, Réttabanki!AT:AT, "")), ""), "")))</f>
        <v/>
      </c>
      <c r="N582" s="26" t="str">
        <f>IF(OR(F582 = "", G582 = ""), "", IF(F582 = "Vara", IFERROR(_xlfn.SINGLE(_xlfn.XLOOKUP(G582, Vöruskrá!A:A, Vöruskrá!G:G, "")), ""), IF(F582 = "Réttur", IFERROR(_xlfn.SINGLE(_xlfn.XLOOKUP(G582, Réttabanki!A:A, Réttabanki!AU:AU, "")), ""), "")))</f>
        <v/>
      </c>
      <c r="O582" s="26" t="str">
        <f>IF(OR(F582 = "", G582 = "", I582 = ""), "", IF(F582 = "Vara", IFERROR(_xlfn.SINGLE(_xlfn.XLOOKUP(G582, Vöruskrá!A:A, Vöruskrá!I:I, "")) * I582 / 100, ""), IF(F582 = "Réttur", IFERROR(_xlfn.SINGLE(_xlfn.XLOOKUP(G582, Réttabanki!A:A, Réttabanki!AV:AV, "")) * I582 / 100, ""), "")))</f>
        <v/>
      </c>
      <c r="P582" s="26" t="str">
        <f>IF(OR(F582 = "", G582 = "", I582 = ""), "", IF(F582 = "Vara", IFERROR(_xlfn.SINGLE(_xlfn.XLOOKUP(G582, Vöruskrá!A:A, Vöruskrá!J:J, "")) * I582 / 100, ""), IF(F582 = "Réttur", IFERROR(_xlfn.SINGLE(_xlfn.XLOOKUP(G582, Réttabanki!A:A, Réttabanki!AW:AW, "")) * I582 / 100, ""), "")))</f>
        <v/>
      </c>
      <c r="Q582" s="26" t="str">
        <f>IF(OR(F582 = "", G582 = "", I582 = ""), "", IF(F582 = "Vara", IFERROR(_xlfn.SINGLE(_xlfn.XLOOKUP(G582, Vöruskrá!A:A, Vöruskrá!N:N, "")) * I582 / 100, ""), IF(F582 = "Réttur", IFERROR(_xlfn.SINGLE(_xlfn.XLOOKUP(G582, Réttabanki!A:A, Réttabanki!BB:BB, "")) * I582 / 100, ""), "")))</f>
        <v/>
      </c>
    </row>
    <row r="583" spans="2:17">
      <c r="B583" s="33" t="str">
        <f>IF(A583&lt;&gt;"",CHOOSE(WEEKDAY(A583,2),"Mánudagur","Þriðjudagur","Miðvikudagur","Fimmtudagur","Föstudagur","Laugardagur","Sunnudagur"),IF(B582&lt;&gt;"",B582,""))</f>
        <v>Fimmtudagur</v>
      </c>
      <c r="C583" s="33">
        <f>IF(A583&lt;&gt;"",WEEKNUM(A583,21),IF(C582&lt;&gt;"",C582,""))</f>
        <v>27</v>
      </c>
      <c r="D583" s="34"/>
      <c r="E583" s="34"/>
      <c r="F583" s="34"/>
      <c r="G583" s="34"/>
      <c r="H583" s="34"/>
      <c r="I583" s="35"/>
      <c r="J583" s="35"/>
      <c r="K583" s="36"/>
      <c r="L583" s="26" t="str">
        <f>IF(OR(F583 = "", G583 = ""), "", IF(F583 = "Vara", IFERROR(_xlfn.SINGLE(_xlfn.XLOOKUP(G583, Vöruskrá!A:A, Vöruskrá!E:E, "")), ""), IF(F583 = "Réttur", IFERROR(_xlfn.SINGLE(_xlfn.XLOOKUP(G583, Réttabanki!A:A, Réttabanki!AS:AS, "")), ""), "")))</f>
        <v/>
      </c>
      <c r="M583" s="26" t="str">
        <f>IF(OR(F583 = "", G583 = ""), "", IF(F583 = "Vara", IFERROR(_xlfn.SINGLE(_xlfn.XLOOKUP(G583, Vöruskrá!A:A, Vöruskrá!F:F, "")), ""), IF(F583 = "Réttur", IFERROR(_xlfn.SINGLE(_xlfn.XLOOKUP(G583, Réttabanki!A:A, Réttabanki!AT:AT, "")), ""), "")))</f>
        <v/>
      </c>
      <c r="N583" s="26" t="str">
        <f>IF(OR(F583 = "", G583 = ""), "", IF(F583 = "Vara", IFERROR(_xlfn.SINGLE(_xlfn.XLOOKUP(G583, Vöruskrá!A:A, Vöruskrá!G:G, "")), ""), IF(F583 = "Réttur", IFERROR(_xlfn.SINGLE(_xlfn.XLOOKUP(G583, Réttabanki!A:A, Réttabanki!AU:AU, "")), ""), "")))</f>
        <v/>
      </c>
      <c r="O583" s="26" t="str">
        <f>IF(OR(F583 = "", G583 = "", I583 = ""), "", IF(F583 = "Vara", IFERROR(_xlfn.SINGLE(_xlfn.XLOOKUP(G583, Vöruskrá!A:A, Vöruskrá!I:I, "")) * I583 / 100, ""), IF(F583 = "Réttur", IFERROR(_xlfn.SINGLE(_xlfn.XLOOKUP(G583, Réttabanki!A:A, Réttabanki!AV:AV, "")) * I583 / 100, ""), "")))</f>
        <v/>
      </c>
      <c r="P583" s="26" t="str">
        <f>IF(OR(F583 = "", G583 = "", I583 = ""), "", IF(F583 = "Vara", IFERROR(_xlfn.SINGLE(_xlfn.XLOOKUP(G583, Vöruskrá!A:A, Vöruskrá!J:J, "")) * I583 / 100, ""), IF(F583 = "Réttur", IFERROR(_xlfn.SINGLE(_xlfn.XLOOKUP(G583, Réttabanki!A:A, Réttabanki!AW:AW, "")) * I583 / 100, ""), "")))</f>
        <v/>
      </c>
      <c r="Q583" s="26" t="str">
        <f>IF(OR(F583 = "", G583 = "", I583 = ""), "", IF(F583 = "Vara", IFERROR(_xlfn.SINGLE(_xlfn.XLOOKUP(G583, Vöruskrá!A:A, Vöruskrá!N:N, "")) * I583 / 100, ""), IF(F583 = "Réttur", IFERROR(_xlfn.SINGLE(_xlfn.XLOOKUP(G583, Réttabanki!A:A, Réttabanki!BB:BB, "")) * I583 / 100, ""), "")))</f>
        <v/>
      </c>
    </row>
    <row r="584" spans="2:17">
      <c r="B584" s="33" t="str">
        <f>IF(A584&lt;&gt;"",CHOOSE(WEEKDAY(A584,2),"Mánudagur","Þriðjudagur","Miðvikudagur","Fimmtudagur","Föstudagur","Laugardagur","Sunnudagur"),IF(B583&lt;&gt;"",B583,""))</f>
        <v>Fimmtudagur</v>
      </c>
      <c r="C584" s="33">
        <f>IF(A584&lt;&gt;"",WEEKNUM(A584,21),IF(C583&lt;&gt;"",C583,""))</f>
        <v>27</v>
      </c>
      <c r="D584" s="34"/>
      <c r="E584" s="34"/>
      <c r="F584" s="34"/>
      <c r="G584" s="34"/>
      <c r="H584" s="34"/>
      <c r="I584" s="35"/>
      <c r="J584" s="35"/>
      <c r="K584" s="36"/>
      <c r="L584" s="26" t="str">
        <f>IF(OR(F584 = "", G584 = ""), "", IF(F584 = "Vara", IFERROR(_xlfn.SINGLE(_xlfn.XLOOKUP(G584, Vöruskrá!A:A, Vöruskrá!E:E, "")), ""), IF(F584 = "Réttur", IFERROR(_xlfn.SINGLE(_xlfn.XLOOKUP(G584, Réttabanki!A:A, Réttabanki!AS:AS, "")), ""), "")))</f>
        <v/>
      </c>
      <c r="M584" s="26" t="str">
        <f>IF(OR(F584 = "", G584 = ""), "", IF(F584 = "Vara", IFERROR(_xlfn.SINGLE(_xlfn.XLOOKUP(G584, Vöruskrá!A:A, Vöruskrá!F:F, "")), ""), IF(F584 = "Réttur", IFERROR(_xlfn.SINGLE(_xlfn.XLOOKUP(G584, Réttabanki!A:A, Réttabanki!AT:AT, "")), ""), "")))</f>
        <v/>
      </c>
      <c r="N584" s="26" t="str">
        <f>IF(OR(F584 = "", G584 = ""), "", IF(F584 = "Vara", IFERROR(_xlfn.SINGLE(_xlfn.XLOOKUP(G584, Vöruskrá!A:A, Vöruskrá!G:G, "")), ""), IF(F584 = "Réttur", IFERROR(_xlfn.SINGLE(_xlfn.XLOOKUP(G584, Réttabanki!A:A, Réttabanki!AU:AU, "")), ""), "")))</f>
        <v/>
      </c>
      <c r="O584" s="26" t="str">
        <f>IF(OR(F584 = "", G584 = "", I584 = ""), "", IF(F584 = "Vara", IFERROR(_xlfn.SINGLE(_xlfn.XLOOKUP(G584, Vöruskrá!A:A, Vöruskrá!I:I, "")) * I584 / 100, ""), IF(F584 = "Réttur", IFERROR(_xlfn.SINGLE(_xlfn.XLOOKUP(G584, Réttabanki!A:A, Réttabanki!AV:AV, "")) * I584 / 100, ""), "")))</f>
        <v/>
      </c>
      <c r="P584" s="26" t="str">
        <f>IF(OR(F584 = "", G584 = "", I584 = ""), "", IF(F584 = "Vara", IFERROR(_xlfn.SINGLE(_xlfn.XLOOKUP(G584, Vöruskrá!A:A, Vöruskrá!J:J, "")) * I584 / 100, ""), IF(F584 = "Réttur", IFERROR(_xlfn.SINGLE(_xlfn.XLOOKUP(G584, Réttabanki!A:A, Réttabanki!AW:AW, "")) * I584 / 100, ""), "")))</f>
        <v/>
      </c>
      <c r="Q584" s="26" t="str">
        <f>IF(OR(F584 = "", G584 = "", I584 = ""), "", IF(F584 = "Vara", IFERROR(_xlfn.SINGLE(_xlfn.XLOOKUP(G584, Vöruskrá!A:A, Vöruskrá!N:N, "")) * I584 / 100, ""), IF(F584 = "Réttur", IFERROR(_xlfn.SINGLE(_xlfn.XLOOKUP(G584, Réttabanki!A:A, Réttabanki!BB:BB, "")) * I584 / 100, ""), "")))</f>
        <v/>
      </c>
    </row>
    <row r="585" spans="2:17">
      <c r="B585" s="33" t="str">
        <f>IF(A585&lt;&gt;"",CHOOSE(WEEKDAY(A585,2),"Mánudagur","Þriðjudagur","Miðvikudagur","Fimmtudagur","Föstudagur","Laugardagur","Sunnudagur"),IF(B584&lt;&gt;"",B584,""))</f>
        <v>Fimmtudagur</v>
      </c>
      <c r="C585" s="33">
        <f>IF(A585&lt;&gt;"",WEEKNUM(A585,21),IF(C584&lt;&gt;"",C584,""))</f>
        <v>27</v>
      </c>
      <c r="D585" s="34"/>
      <c r="E585" s="34"/>
      <c r="F585" s="34"/>
      <c r="G585" s="34"/>
      <c r="H585" s="34"/>
      <c r="I585" s="35"/>
      <c r="J585" s="35"/>
      <c r="K585" s="36"/>
      <c r="L585" s="26" t="str">
        <f>IF(OR(F585 = "", G585 = ""), "", IF(F585 = "Vara", IFERROR(_xlfn.SINGLE(_xlfn.XLOOKUP(G585, Vöruskrá!A:A, Vöruskrá!E:E, "")), ""), IF(F585 = "Réttur", IFERROR(_xlfn.SINGLE(_xlfn.XLOOKUP(G585, Réttabanki!A:A, Réttabanki!AS:AS, "")), ""), "")))</f>
        <v/>
      </c>
      <c r="M585" s="26" t="str">
        <f>IF(OR(F585 = "", G585 = ""), "", IF(F585 = "Vara", IFERROR(_xlfn.SINGLE(_xlfn.XLOOKUP(G585, Vöruskrá!A:A, Vöruskrá!F:F, "")), ""), IF(F585 = "Réttur", IFERROR(_xlfn.SINGLE(_xlfn.XLOOKUP(G585, Réttabanki!A:A, Réttabanki!AT:AT, "")), ""), "")))</f>
        <v/>
      </c>
      <c r="N585" s="26" t="str">
        <f>IF(OR(F585 = "", G585 = ""), "", IF(F585 = "Vara", IFERROR(_xlfn.SINGLE(_xlfn.XLOOKUP(G585, Vöruskrá!A:A, Vöruskrá!G:G, "")), ""), IF(F585 = "Réttur", IFERROR(_xlfn.SINGLE(_xlfn.XLOOKUP(G585, Réttabanki!A:A, Réttabanki!AU:AU, "")), ""), "")))</f>
        <v/>
      </c>
      <c r="O585" s="26" t="str">
        <f>IF(OR(F585 = "", G585 = "", I585 = ""), "", IF(F585 = "Vara", IFERROR(_xlfn.SINGLE(_xlfn.XLOOKUP(G585, Vöruskrá!A:A, Vöruskrá!I:I, "")) * I585 / 100, ""), IF(F585 = "Réttur", IFERROR(_xlfn.SINGLE(_xlfn.XLOOKUP(G585, Réttabanki!A:A, Réttabanki!AV:AV, "")) * I585 / 100, ""), "")))</f>
        <v/>
      </c>
      <c r="P585" s="26" t="str">
        <f>IF(OR(F585 = "", G585 = "", I585 = ""), "", IF(F585 = "Vara", IFERROR(_xlfn.SINGLE(_xlfn.XLOOKUP(G585, Vöruskrá!A:A, Vöruskrá!J:J, "")) * I585 / 100, ""), IF(F585 = "Réttur", IFERROR(_xlfn.SINGLE(_xlfn.XLOOKUP(G585, Réttabanki!A:A, Réttabanki!AW:AW, "")) * I585 / 100, ""), "")))</f>
        <v/>
      </c>
      <c r="Q585" s="26" t="str">
        <f>IF(OR(F585 = "", G585 = "", I585 = ""), "", IF(F585 = "Vara", IFERROR(_xlfn.SINGLE(_xlfn.XLOOKUP(G585, Vöruskrá!A:A, Vöruskrá!N:N, "")) * I585 / 100, ""), IF(F585 = "Réttur", IFERROR(_xlfn.SINGLE(_xlfn.XLOOKUP(G585, Réttabanki!A:A, Réttabanki!BB:BB, "")) * I585 / 100, ""), "")))</f>
        <v/>
      </c>
    </row>
    <row r="586" spans="2:17">
      <c r="B586" s="33" t="str">
        <f>IF(A586&lt;&gt;"",CHOOSE(WEEKDAY(A586,2),"Mánudagur","Þriðjudagur","Miðvikudagur","Fimmtudagur","Föstudagur","Laugardagur","Sunnudagur"),IF(B585&lt;&gt;"",B585,""))</f>
        <v>Fimmtudagur</v>
      </c>
      <c r="C586" s="33">
        <f>IF(A586&lt;&gt;"",WEEKNUM(A586,21),IF(C585&lt;&gt;"",C585,""))</f>
        <v>27</v>
      </c>
      <c r="D586" s="34"/>
      <c r="E586" s="34"/>
      <c r="F586" s="34"/>
      <c r="G586" s="34"/>
      <c r="H586" s="34"/>
      <c r="I586" s="35"/>
      <c r="J586" s="35"/>
      <c r="K586" s="36"/>
      <c r="L586" s="26" t="str">
        <f>IF(OR(F586 = "", G586 = ""), "", IF(F586 = "Vara", IFERROR(_xlfn.SINGLE(_xlfn.XLOOKUP(G586, Vöruskrá!A:A, Vöruskrá!E:E, "")), ""), IF(F586 = "Réttur", IFERROR(_xlfn.SINGLE(_xlfn.XLOOKUP(G586, Réttabanki!A:A, Réttabanki!AS:AS, "")), ""), "")))</f>
        <v/>
      </c>
      <c r="M586" s="26" t="str">
        <f>IF(OR(F586 = "", G586 = ""), "", IF(F586 = "Vara", IFERROR(_xlfn.SINGLE(_xlfn.XLOOKUP(G586, Vöruskrá!A:A, Vöruskrá!F:F, "")), ""), IF(F586 = "Réttur", IFERROR(_xlfn.SINGLE(_xlfn.XLOOKUP(G586, Réttabanki!A:A, Réttabanki!AT:AT, "")), ""), "")))</f>
        <v/>
      </c>
      <c r="N586" s="26" t="str">
        <f>IF(OR(F586 = "", G586 = ""), "", IF(F586 = "Vara", IFERROR(_xlfn.SINGLE(_xlfn.XLOOKUP(G586, Vöruskrá!A:A, Vöruskrá!G:G, "")), ""), IF(F586 = "Réttur", IFERROR(_xlfn.SINGLE(_xlfn.XLOOKUP(G586, Réttabanki!A:A, Réttabanki!AU:AU, "")), ""), "")))</f>
        <v/>
      </c>
      <c r="O586" s="26" t="str">
        <f>IF(OR(F586 = "", G586 = "", I586 = ""), "", IF(F586 = "Vara", IFERROR(_xlfn.SINGLE(_xlfn.XLOOKUP(G586, Vöruskrá!A:A, Vöruskrá!I:I, "")) * I586 / 100, ""), IF(F586 = "Réttur", IFERROR(_xlfn.SINGLE(_xlfn.XLOOKUP(G586, Réttabanki!A:A, Réttabanki!AV:AV, "")) * I586 / 100, ""), "")))</f>
        <v/>
      </c>
      <c r="P586" s="26" t="str">
        <f>IF(OR(F586 = "", G586 = "", I586 = ""), "", IF(F586 = "Vara", IFERROR(_xlfn.SINGLE(_xlfn.XLOOKUP(G586, Vöruskrá!A:A, Vöruskrá!J:J, "")) * I586 / 100, ""), IF(F586 = "Réttur", IFERROR(_xlfn.SINGLE(_xlfn.XLOOKUP(G586, Réttabanki!A:A, Réttabanki!AW:AW, "")) * I586 / 100, ""), "")))</f>
        <v/>
      </c>
      <c r="Q586" s="26" t="str">
        <f>IF(OR(F586 = "", G586 = "", I586 = ""), "", IF(F586 = "Vara", IFERROR(_xlfn.SINGLE(_xlfn.XLOOKUP(G586, Vöruskrá!A:A, Vöruskrá!N:N, "")) * I586 / 100, ""), IF(F586 = "Réttur", IFERROR(_xlfn.SINGLE(_xlfn.XLOOKUP(G586, Réttabanki!A:A, Réttabanki!BB:BB, "")) * I586 / 100, ""), "")))</f>
        <v/>
      </c>
    </row>
    <row r="587" spans="2:17">
      <c r="B587" s="33" t="str">
        <f>IF(A587&lt;&gt;"",CHOOSE(WEEKDAY(A587,2),"Mánudagur","Þriðjudagur","Miðvikudagur","Fimmtudagur","Föstudagur","Laugardagur","Sunnudagur"),IF(B586&lt;&gt;"",B586,""))</f>
        <v>Fimmtudagur</v>
      </c>
      <c r="C587" s="33">
        <f>IF(A587&lt;&gt;"",WEEKNUM(A587,21),IF(C586&lt;&gt;"",C586,""))</f>
        <v>27</v>
      </c>
      <c r="D587" s="34"/>
      <c r="E587" s="34"/>
      <c r="F587" s="34"/>
      <c r="G587" s="34"/>
      <c r="H587" s="34"/>
      <c r="I587" s="35"/>
      <c r="J587" s="35"/>
      <c r="K587" s="36"/>
      <c r="L587" s="26" t="str">
        <f>IF(OR(F587 = "", G587 = ""), "", IF(F587 = "Vara", IFERROR(_xlfn.SINGLE(_xlfn.XLOOKUP(G587, Vöruskrá!A:A, Vöruskrá!E:E, "")), ""), IF(F587 = "Réttur", IFERROR(_xlfn.SINGLE(_xlfn.XLOOKUP(G587, Réttabanki!A:A, Réttabanki!AS:AS, "")), ""), "")))</f>
        <v/>
      </c>
      <c r="M587" s="26" t="str">
        <f>IF(OR(F587 = "", G587 = ""), "", IF(F587 = "Vara", IFERROR(_xlfn.SINGLE(_xlfn.XLOOKUP(G587, Vöruskrá!A:A, Vöruskrá!F:F, "")), ""), IF(F587 = "Réttur", IFERROR(_xlfn.SINGLE(_xlfn.XLOOKUP(G587, Réttabanki!A:A, Réttabanki!AT:AT, "")), ""), "")))</f>
        <v/>
      </c>
      <c r="N587" s="26" t="str">
        <f>IF(OR(F587 = "", G587 = ""), "", IF(F587 = "Vara", IFERROR(_xlfn.SINGLE(_xlfn.XLOOKUP(G587, Vöruskrá!A:A, Vöruskrá!G:G, "")), ""), IF(F587 = "Réttur", IFERROR(_xlfn.SINGLE(_xlfn.XLOOKUP(G587, Réttabanki!A:A, Réttabanki!AU:AU, "")), ""), "")))</f>
        <v/>
      </c>
      <c r="O587" s="26" t="str">
        <f>IF(OR(F587 = "", G587 = "", I587 = ""), "", IF(F587 = "Vara", IFERROR(_xlfn.SINGLE(_xlfn.XLOOKUP(G587, Vöruskrá!A:A, Vöruskrá!I:I, "")) * I587 / 100, ""), IF(F587 = "Réttur", IFERROR(_xlfn.SINGLE(_xlfn.XLOOKUP(G587, Réttabanki!A:A, Réttabanki!AV:AV, "")) * I587 / 100, ""), "")))</f>
        <v/>
      </c>
      <c r="P587" s="26" t="str">
        <f>IF(OR(F587 = "", G587 = "", I587 = ""), "", IF(F587 = "Vara", IFERROR(_xlfn.SINGLE(_xlfn.XLOOKUP(G587, Vöruskrá!A:A, Vöruskrá!J:J, "")) * I587 / 100, ""), IF(F587 = "Réttur", IFERROR(_xlfn.SINGLE(_xlfn.XLOOKUP(G587, Réttabanki!A:A, Réttabanki!AW:AW, "")) * I587 / 100, ""), "")))</f>
        <v/>
      </c>
      <c r="Q587" s="26" t="str">
        <f>IF(OR(F587 = "", G587 = "", I587 = ""), "", IF(F587 = "Vara", IFERROR(_xlfn.SINGLE(_xlfn.XLOOKUP(G587, Vöruskrá!A:A, Vöruskrá!N:N, "")) * I587 / 100, ""), IF(F587 = "Réttur", IFERROR(_xlfn.SINGLE(_xlfn.XLOOKUP(G587, Réttabanki!A:A, Réttabanki!BB:BB, "")) * I587 / 100, ""), "")))</f>
        <v/>
      </c>
    </row>
    <row r="588" spans="2:17">
      <c r="B588" s="33" t="str">
        <f>IF(A588&lt;&gt;"",CHOOSE(WEEKDAY(A588,2),"Mánudagur","Þriðjudagur","Miðvikudagur","Fimmtudagur","Föstudagur","Laugardagur","Sunnudagur"),IF(B587&lt;&gt;"",B587,""))</f>
        <v>Fimmtudagur</v>
      </c>
      <c r="C588" s="33">
        <f>IF(A588&lt;&gt;"",WEEKNUM(A588,21),IF(C587&lt;&gt;"",C587,""))</f>
        <v>27</v>
      </c>
      <c r="D588" s="34"/>
      <c r="E588" s="34"/>
      <c r="F588" s="34"/>
      <c r="G588" s="34"/>
      <c r="H588" s="34"/>
      <c r="I588" s="35"/>
      <c r="J588" s="35"/>
      <c r="K588" s="36"/>
      <c r="L588" s="26" t="str">
        <f>IF(OR(F588 = "", G588 = ""), "", IF(F588 = "Vara", IFERROR(_xlfn.SINGLE(_xlfn.XLOOKUP(G588, Vöruskrá!A:A, Vöruskrá!E:E, "")), ""), IF(F588 = "Réttur", IFERROR(_xlfn.SINGLE(_xlfn.XLOOKUP(G588, Réttabanki!A:A, Réttabanki!AS:AS, "")), ""), "")))</f>
        <v/>
      </c>
      <c r="M588" s="26" t="str">
        <f>IF(OR(F588 = "", G588 = ""), "", IF(F588 = "Vara", IFERROR(_xlfn.SINGLE(_xlfn.XLOOKUP(G588, Vöruskrá!A:A, Vöruskrá!F:F, "")), ""), IF(F588 = "Réttur", IFERROR(_xlfn.SINGLE(_xlfn.XLOOKUP(G588, Réttabanki!A:A, Réttabanki!AT:AT, "")), ""), "")))</f>
        <v/>
      </c>
      <c r="N588" s="26" t="str">
        <f>IF(OR(F588 = "", G588 = ""), "", IF(F588 = "Vara", IFERROR(_xlfn.SINGLE(_xlfn.XLOOKUP(G588, Vöruskrá!A:A, Vöruskrá!G:G, "")), ""), IF(F588 = "Réttur", IFERROR(_xlfn.SINGLE(_xlfn.XLOOKUP(G588, Réttabanki!A:A, Réttabanki!AU:AU, "")), ""), "")))</f>
        <v/>
      </c>
      <c r="O588" s="26" t="str">
        <f>IF(OR(F588 = "", G588 = "", I588 = ""), "", IF(F588 = "Vara", IFERROR(_xlfn.SINGLE(_xlfn.XLOOKUP(G588, Vöruskrá!A:A, Vöruskrá!I:I, "")) * I588 / 100, ""), IF(F588 = "Réttur", IFERROR(_xlfn.SINGLE(_xlfn.XLOOKUP(G588, Réttabanki!A:A, Réttabanki!AV:AV, "")) * I588 / 100, ""), "")))</f>
        <v/>
      </c>
      <c r="P588" s="26" t="str">
        <f>IF(OR(F588 = "", G588 = "", I588 = ""), "", IF(F588 = "Vara", IFERROR(_xlfn.SINGLE(_xlfn.XLOOKUP(G588, Vöruskrá!A:A, Vöruskrá!J:J, "")) * I588 / 100, ""), IF(F588 = "Réttur", IFERROR(_xlfn.SINGLE(_xlfn.XLOOKUP(G588, Réttabanki!A:A, Réttabanki!AW:AW, "")) * I588 / 100, ""), "")))</f>
        <v/>
      </c>
      <c r="Q588" s="26" t="str">
        <f>IF(OR(F588 = "", G588 = "", I588 = ""), "", IF(F588 = "Vara", IFERROR(_xlfn.SINGLE(_xlfn.XLOOKUP(G588, Vöruskrá!A:A, Vöruskrá!N:N, "")) * I588 / 100, ""), IF(F588 = "Réttur", IFERROR(_xlfn.SINGLE(_xlfn.XLOOKUP(G588, Réttabanki!A:A, Réttabanki!BB:BB, "")) * I588 / 100, ""), "")))</f>
        <v/>
      </c>
    </row>
    <row r="589" spans="2:17">
      <c r="B589" s="33" t="str">
        <f>IF(A589&lt;&gt;"",CHOOSE(WEEKDAY(A589,2),"Mánudagur","Þriðjudagur","Miðvikudagur","Fimmtudagur","Föstudagur","Laugardagur","Sunnudagur"),IF(B588&lt;&gt;"",B588,""))</f>
        <v>Fimmtudagur</v>
      </c>
      <c r="C589" s="33">
        <f>IF(A589&lt;&gt;"",WEEKNUM(A589,21),IF(C588&lt;&gt;"",C588,""))</f>
        <v>27</v>
      </c>
      <c r="D589" s="34"/>
      <c r="E589" s="34"/>
      <c r="F589" s="34"/>
      <c r="G589" s="34"/>
      <c r="H589" s="34"/>
      <c r="I589" s="35"/>
      <c r="J589" s="35"/>
      <c r="K589" s="36"/>
      <c r="L589" s="26" t="str">
        <f>IF(OR(F589 = "", G589 = ""), "", IF(F589 = "Vara", IFERROR(_xlfn.SINGLE(_xlfn.XLOOKUP(G589, Vöruskrá!A:A, Vöruskrá!E:E, "")), ""), IF(F589 = "Réttur", IFERROR(_xlfn.SINGLE(_xlfn.XLOOKUP(G589, Réttabanki!A:A, Réttabanki!AS:AS, "")), ""), "")))</f>
        <v/>
      </c>
      <c r="M589" s="26" t="str">
        <f>IF(OR(F589 = "", G589 = ""), "", IF(F589 = "Vara", IFERROR(_xlfn.SINGLE(_xlfn.XLOOKUP(G589, Vöruskrá!A:A, Vöruskrá!F:F, "")), ""), IF(F589 = "Réttur", IFERROR(_xlfn.SINGLE(_xlfn.XLOOKUP(G589, Réttabanki!A:A, Réttabanki!AT:AT, "")), ""), "")))</f>
        <v/>
      </c>
      <c r="N589" s="26" t="str">
        <f>IF(OR(F589 = "", G589 = ""), "", IF(F589 = "Vara", IFERROR(_xlfn.SINGLE(_xlfn.XLOOKUP(G589, Vöruskrá!A:A, Vöruskrá!G:G, "")), ""), IF(F589 = "Réttur", IFERROR(_xlfn.SINGLE(_xlfn.XLOOKUP(G589, Réttabanki!A:A, Réttabanki!AU:AU, "")), ""), "")))</f>
        <v/>
      </c>
      <c r="O589" s="26" t="str">
        <f>IF(OR(F589 = "", G589 = "", I589 = ""), "", IF(F589 = "Vara", IFERROR(_xlfn.SINGLE(_xlfn.XLOOKUP(G589, Vöruskrá!A:A, Vöruskrá!I:I, "")) * I589 / 100, ""), IF(F589 = "Réttur", IFERROR(_xlfn.SINGLE(_xlfn.XLOOKUP(G589, Réttabanki!A:A, Réttabanki!AV:AV, "")) * I589 / 100, ""), "")))</f>
        <v/>
      </c>
      <c r="P589" s="26" t="str">
        <f>IF(OR(F589 = "", G589 = "", I589 = ""), "", IF(F589 = "Vara", IFERROR(_xlfn.SINGLE(_xlfn.XLOOKUP(G589, Vöruskrá!A:A, Vöruskrá!J:J, "")) * I589 / 100, ""), IF(F589 = "Réttur", IFERROR(_xlfn.SINGLE(_xlfn.XLOOKUP(G589, Réttabanki!A:A, Réttabanki!AW:AW, "")) * I589 / 100, ""), "")))</f>
        <v/>
      </c>
      <c r="Q589" s="26" t="str">
        <f>IF(OR(F589 = "", G589 = "", I589 = ""), "", IF(F589 = "Vara", IFERROR(_xlfn.SINGLE(_xlfn.XLOOKUP(G589, Vöruskrá!A:A, Vöruskrá!N:N, "")) * I589 / 100, ""), IF(F589 = "Réttur", IFERROR(_xlfn.SINGLE(_xlfn.XLOOKUP(G589, Réttabanki!A:A, Réttabanki!BB:BB, "")) * I589 / 100, ""), "")))</f>
        <v/>
      </c>
    </row>
    <row r="590" spans="2:17">
      <c r="B590" s="33" t="str">
        <f>IF(A590&lt;&gt;"",CHOOSE(WEEKDAY(A590,2),"Mánudagur","Þriðjudagur","Miðvikudagur","Fimmtudagur","Föstudagur","Laugardagur","Sunnudagur"),IF(B589&lt;&gt;"",B589,""))</f>
        <v>Fimmtudagur</v>
      </c>
      <c r="C590" s="33">
        <f>IF(A590&lt;&gt;"",WEEKNUM(A590,21),IF(C589&lt;&gt;"",C589,""))</f>
        <v>27</v>
      </c>
      <c r="D590" s="34"/>
      <c r="E590" s="34"/>
      <c r="F590" s="34"/>
      <c r="G590" s="34"/>
      <c r="H590" s="34"/>
      <c r="I590" s="35"/>
      <c r="J590" s="35"/>
      <c r="K590" s="36"/>
      <c r="L590" s="26" t="str">
        <f>IF(OR(F590 = "", G590 = ""), "", IF(F590 = "Vara", IFERROR(_xlfn.SINGLE(_xlfn.XLOOKUP(G590, Vöruskrá!A:A, Vöruskrá!E:E, "")), ""), IF(F590 = "Réttur", IFERROR(_xlfn.SINGLE(_xlfn.XLOOKUP(G590, Réttabanki!A:A, Réttabanki!AS:AS, "")), ""), "")))</f>
        <v/>
      </c>
      <c r="M590" s="26" t="str">
        <f>IF(OR(F590 = "", G590 = ""), "", IF(F590 = "Vara", IFERROR(_xlfn.SINGLE(_xlfn.XLOOKUP(G590, Vöruskrá!A:A, Vöruskrá!F:F, "")), ""), IF(F590 = "Réttur", IFERROR(_xlfn.SINGLE(_xlfn.XLOOKUP(G590, Réttabanki!A:A, Réttabanki!AT:AT, "")), ""), "")))</f>
        <v/>
      </c>
      <c r="N590" s="26" t="str">
        <f>IF(OR(F590 = "", G590 = ""), "", IF(F590 = "Vara", IFERROR(_xlfn.SINGLE(_xlfn.XLOOKUP(G590, Vöruskrá!A:A, Vöruskrá!G:G, "")), ""), IF(F590 = "Réttur", IFERROR(_xlfn.SINGLE(_xlfn.XLOOKUP(G590, Réttabanki!A:A, Réttabanki!AU:AU, "")), ""), "")))</f>
        <v/>
      </c>
      <c r="O590" s="26" t="str">
        <f>IF(OR(F590 = "", G590 = "", I590 = ""), "", IF(F590 = "Vara", IFERROR(_xlfn.SINGLE(_xlfn.XLOOKUP(G590, Vöruskrá!A:A, Vöruskrá!I:I, "")) * I590 / 100, ""), IF(F590 = "Réttur", IFERROR(_xlfn.SINGLE(_xlfn.XLOOKUP(G590, Réttabanki!A:A, Réttabanki!AV:AV, "")) * I590 / 100, ""), "")))</f>
        <v/>
      </c>
      <c r="P590" s="26" t="str">
        <f>IF(OR(F590 = "", G590 = "", I590 = ""), "", IF(F590 = "Vara", IFERROR(_xlfn.SINGLE(_xlfn.XLOOKUP(G590, Vöruskrá!A:A, Vöruskrá!J:J, "")) * I590 / 100, ""), IF(F590 = "Réttur", IFERROR(_xlfn.SINGLE(_xlfn.XLOOKUP(G590, Réttabanki!A:A, Réttabanki!AW:AW, "")) * I590 / 100, ""), "")))</f>
        <v/>
      </c>
      <c r="Q590" s="26" t="str">
        <f>IF(OR(F590 = "", G590 = "", I590 = ""), "", IF(F590 = "Vara", IFERROR(_xlfn.SINGLE(_xlfn.XLOOKUP(G590, Vöruskrá!A:A, Vöruskrá!N:N, "")) * I590 / 100, ""), IF(F590 = "Réttur", IFERROR(_xlfn.SINGLE(_xlfn.XLOOKUP(G590, Réttabanki!A:A, Réttabanki!BB:BB, "")) * I590 / 100, ""), "")))</f>
        <v/>
      </c>
    </row>
    <row r="591" spans="2:17">
      <c r="B591" s="33" t="str">
        <f>IF(A591&lt;&gt;"",CHOOSE(WEEKDAY(A591,2),"Mánudagur","Þriðjudagur","Miðvikudagur","Fimmtudagur","Föstudagur","Laugardagur","Sunnudagur"),IF(B590&lt;&gt;"",B590,""))</f>
        <v>Fimmtudagur</v>
      </c>
      <c r="C591" s="33">
        <f>IF(A591&lt;&gt;"",WEEKNUM(A591,21),IF(C590&lt;&gt;"",C590,""))</f>
        <v>27</v>
      </c>
      <c r="D591" s="34"/>
      <c r="E591" s="34"/>
      <c r="F591" s="34"/>
      <c r="G591" s="34"/>
      <c r="H591" s="34"/>
      <c r="I591" s="35"/>
      <c r="J591" s="35"/>
      <c r="K591" s="36"/>
      <c r="L591" s="26" t="str">
        <f>IF(OR(F591 = "", G591 = ""), "", IF(F591 = "Vara", IFERROR(_xlfn.SINGLE(_xlfn.XLOOKUP(G591, Vöruskrá!A:A, Vöruskrá!E:E, "")), ""), IF(F591 = "Réttur", IFERROR(_xlfn.SINGLE(_xlfn.XLOOKUP(G591, Réttabanki!A:A, Réttabanki!AS:AS, "")), ""), "")))</f>
        <v/>
      </c>
      <c r="M591" s="26" t="str">
        <f>IF(OR(F591 = "", G591 = ""), "", IF(F591 = "Vara", IFERROR(_xlfn.SINGLE(_xlfn.XLOOKUP(G591, Vöruskrá!A:A, Vöruskrá!F:F, "")), ""), IF(F591 = "Réttur", IFERROR(_xlfn.SINGLE(_xlfn.XLOOKUP(G591, Réttabanki!A:A, Réttabanki!AT:AT, "")), ""), "")))</f>
        <v/>
      </c>
      <c r="N591" s="26" t="str">
        <f>IF(OR(F591 = "", G591 = ""), "", IF(F591 = "Vara", IFERROR(_xlfn.SINGLE(_xlfn.XLOOKUP(G591, Vöruskrá!A:A, Vöruskrá!G:G, "")), ""), IF(F591 = "Réttur", IFERROR(_xlfn.SINGLE(_xlfn.XLOOKUP(G591, Réttabanki!A:A, Réttabanki!AU:AU, "")), ""), "")))</f>
        <v/>
      </c>
      <c r="O591" s="26" t="str">
        <f>IF(OR(F591 = "", G591 = "", I591 = ""), "", IF(F591 = "Vara", IFERROR(_xlfn.SINGLE(_xlfn.XLOOKUP(G591, Vöruskrá!A:A, Vöruskrá!I:I, "")) * I591 / 100, ""), IF(F591 = "Réttur", IFERROR(_xlfn.SINGLE(_xlfn.XLOOKUP(G591, Réttabanki!A:A, Réttabanki!AV:AV, "")) * I591 / 100, ""), "")))</f>
        <v/>
      </c>
      <c r="P591" s="26" t="str">
        <f>IF(OR(F591 = "", G591 = "", I591 = ""), "", IF(F591 = "Vara", IFERROR(_xlfn.SINGLE(_xlfn.XLOOKUP(G591, Vöruskrá!A:A, Vöruskrá!J:J, "")) * I591 / 100, ""), IF(F591 = "Réttur", IFERROR(_xlfn.SINGLE(_xlfn.XLOOKUP(G591, Réttabanki!A:A, Réttabanki!AW:AW, "")) * I591 / 100, ""), "")))</f>
        <v/>
      </c>
      <c r="Q591" s="26" t="str">
        <f>IF(OR(F591 = "", G591 = "", I591 = ""), "", IF(F591 = "Vara", IFERROR(_xlfn.SINGLE(_xlfn.XLOOKUP(G591, Vöruskrá!A:A, Vöruskrá!N:N, "")) * I591 / 100, ""), IF(F591 = "Réttur", IFERROR(_xlfn.SINGLE(_xlfn.XLOOKUP(G591, Réttabanki!A:A, Réttabanki!BB:BB, "")) * I591 / 100, ""), "")))</f>
        <v/>
      </c>
    </row>
    <row r="592" spans="2:17">
      <c r="B592" s="33" t="str">
        <f>IF(A592&lt;&gt;"",CHOOSE(WEEKDAY(A592,2),"Mánudagur","Þriðjudagur","Miðvikudagur","Fimmtudagur","Föstudagur","Laugardagur","Sunnudagur"),IF(B591&lt;&gt;"",B591,""))</f>
        <v>Fimmtudagur</v>
      </c>
      <c r="C592" s="33">
        <f>IF(A592&lt;&gt;"",WEEKNUM(A592,21),IF(C591&lt;&gt;"",C591,""))</f>
        <v>27</v>
      </c>
      <c r="D592" s="34"/>
      <c r="E592" s="34"/>
      <c r="F592" s="34"/>
      <c r="G592" s="34"/>
      <c r="H592" s="34"/>
      <c r="I592" s="35"/>
      <c r="J592" s="35"/>
      <c r="K592" s="36"/>
      <c r="L592" s="26" t="str">
        <f>IF(OR(F592 = "", G592 = ""), "", IF(F592 = "Vara", IFERROR(_xlfn.SINGLE(_xlfn.XLOOKUP(G592, Vöruskrá!A:A, Vöruskrá!E:E, "")), ""), IF(F592 = "Réttur", IFERROR(_xlfn.SINGLE(_xlfn.XLOOKUP(G592, Réttabanki!A:A, Réttabanki!AS:AS, "")), ""), "")))</f>
        <v/>
      </c>
      <c r="M592" s="26" t="str">
        <f>IF(OR(F592 = "", G592 = ""), "", IF(F592 = "Vara", IFERROR(_xlfn.SINGLE(_xlfn.XLOOKUP(G592, Vöruskrá!A:A, Vöruskrá!F:F, "")), ""), IF(F592 = "Réttur", IFERROR(_xlfn.SINGLE(_xlfn.XLOOKUP(G592, Réttabanki!A:A, Réttabanki!AT:AT, "")), ""), "")))</f>
        <v/>
      </c>
      <c r="N592" s="26" t="str">
        <f>IF(OR(F592 = "", G592 = ""), "", IF(F592 = "Vara", IFERROR(_xlfn.SINGLE(_xlfn.XLOOKUP(G592, Vöruskrá!A:A, Vöruskrá!G:G, "")), ""), IF(F592 = "Réttur", IFERROR(_xlfn.SINGLE(_xlfn.XLOOKUP(G592, Réttabanki!A:A, Réttabanki!AU:AU, "")), ""), "")))</f>
        <v/>
      </c>
      <c r="O592" s="26" t="str">
        <f>IF(OR(F592 = "", G592 = "", I592 = ""), "", IF(F592 = "Vara", IFERROR(_xlfn.SINGLE(_xlfn.XLOOKUP(G592, Vöruskrá!A:A, Vöruskrá!I:I, "")) * I592 / 100, ""), IF(F592 = "Réttur", IFERROR(_xlfn.SINGLE(_xlfn.XLOOKUP(G592, Réttabanki!A:A, Réttabanki!AV:AV, "")) * I592 / 100, ""), "")))</f>
        <v/>
      </c>
      <c r="P592" s="26" t="str">
        <f>IF(OR(F592 = "", G592 = "", I592 = ""), "", IF(F592 = "Vara", IFERROR(_xlfn.SINGLE(_xlfn.XLOOKUP(G592, Vöruskrá!A:A, Vöruskrá!J:J, "")) * I592 / 100, ""), IF(F592 = "Réttur", IFERROR(_xlfn.SINGLE(_xlfn.XLOOKUP(G592, Réttabanki!A:A, Réttabanki!AW:AW, "")) * I592 / 100, ""), "")))</f>
        <v/>
      </c>
      <c r="Q592" s="26" t="str">
        <f>IF(OR(F592 = "", G592 = "", I592 = ""), "", IF(F592 = "Vara", IFERROR(_xlfn.SINGLE(_xlfn.XLOOKUP(G592, Vöruskrá!A:A, Vöruskrá!N:N, "")) * I592 / 100, ""), IF(F592 = "Réttur", IFERROR(_xlfn.SINGLE(_xlfn.XLOOKUP(G592, Réttabanki!A:A, Réttabanki!BB:BB, "")) * I592 / 100, ""), "")))</f>
        <v/>
      </c>
    </row>
    <row r="593" spans="2:17">
      <c r="B593" s="33" t="str">
        <f>IF(A593&lt;&gt;"",CHOOSE(WEEKDAY(A593,2),"Mánudagur","Þriðjudagur","Miðvikudagur","Fimmtudagur","Föstudagur","Laugardagur","Sunnudagur"),IF(B592&lt;&gt;"",B592,""))</f>
        <v>Fimmtudagur</v>
      </c>
      <c r="C593" s="33">
        <f>IF(A593&lt;&gt;"",WEEKNUM(A593,21),IF(C592&lt;&gt;"",C592,""))</f>
        <v>27</v>
      </c>
      <c r="D593" s="34"/>
      <c r="E593" s="34"/>
      <c r="F593" s="34"/>
      <c r="G593" s="34"/>
      <c r="H593" s="34"/>
      <c r="I593" s="35"/>
      <c r="J593" s="35"/>
      <c r="K593" s="36"/>
      <c r="L593" s="26" t="str">
        <f>IF(OR(F593 = "", G593 = ""), "", IF(F593 = "Vara", IFERROR(_xlfn.SINGLE(_xlfn.XLOOKUP(G593, Vöruskrá!A:A, Vöruskrá!E:E, "")), ""), IF(F593 = "Réttur", IFERROR(_xlfn.SINGLE(_xlfn.XLOOKUP(G593, Réttabanki!A:A, Réttabanki!AS:AS, "")), ""), "")))</f>
        <v/>
      </c>
      <c r="M593" s="26" t="str">
        <f>IF(OR(F593 = "", G593 = ""), "", IF(F593 = "Vara", IFERROR(_xlfn.SINGLE(_xlfn.XLOOKUP(G593, Vöruskrá!A:A, Vöruskrá!F:F, "")), ""), IF(F593 = "Réttur", IFERROR(_xlfn.SINGLE(_xlfn.XLOOKUP(G593, Réttabanki!A:A, Réttabanki!AT:AT, "")), ""), "")))</f>
        <v/>
      </c>
      <c r="N593" s="26" t="str">
        <f>IF(OR(F593 = "", G593 = ""), "", IF(F593 = "Vara", IFERROR(_xlfn.SINGLE(_xlfn.XLOOKUP(G593, Vöruskrá!A:A, Vöruskrá!G:G, "")), ""), IF(F593 = "Réttur", IFERROR(_xlfn.SINGLE(_xlfn.XLOOKUP(G593, Réttabanki!A:A, Réttabanki!AU:AU, "")), ""), "")))</f>
        <v/>
      </c>
      <c r="O593" s="26" t="str">
        <f>IF(OR(F593 = "", G593 = "", I593 = ""), "", IF(F593 = "Vara", IFERROR(_xlfn.SINGLE(_xlfn.XLOOKUP(G593, Vöruskrá!A:A, Vöruskrá!I:I, "")) * I593 / 100, ""), IF(F593 = "Réttur", IFERROR(_xlfn.SINGLE(_xlfn.XLOOKUP(G593, Réttabanki!A:A, Réttabanki!AV:AV, "")) * I593 / 100, ""), "")))</f>
        <v/>
      </c>
      <c r="P593" s="26" t="str">
        <f>IF(OR(F593 = "", G593 = "", I593 = ""), "", IF(F593 = "Vara", IFERROR(_xlfn.SINGLE(_xlfn.XLOOKUP(G593, Vöruskrá!A:A, Vöruskrá!J:J, "")) * I593 / 100, ""), IF(F593 = "Réttur", IFERROR(_xlfn.SINGLE(_xlfn.XLOOKUP(G593, Réttabanki!A:A, Réttabanki!AW:AW, "")) * I593 / 100, ""), "")))</f>
        <v/>
      </c>
      <c r="Q593" s="26" t="str">
        <f>IF(OR(F593 = "", G593 = "", I593 = ""), "", IF(F593 = "Vara", IFERROR(_xlfn.SINGLE(_xlfn.XLOOKUP(G593, Vöruskrá!A:A, Vöruskrá!N:N, "")) * I593 / 100, ""), IF(F593 = "Réttur", IFERROR(_xlfn.SINGLE(_xlfn.XLOOKUP(G593, Réttabanki!A:A, Réttabanki!BB:BB, "")) * I593 / 100, ""), "")))</f>
        <v/>
      </c>
    </row>
    <row r="594" spans="2:17">
      <c r="B594" s="33" t="str">
        <f>IF(A594&lt;&gt;"",CHOOSE(WEEKDAY(A594,2),"Mánudagur","Þriðjudagur","Miðvikudagur","Fimmtudagur","Föstudagur","Laugardagur","Sunnudagur"),IF(B593&lt;&gt;"",B593,""))</f>
        <v>Fimmtudagur</v>
      </c>
      <c r="C594" s="33">
        <f>IF(A594&lt;&gt;"",WEEKNUM(A594,21),IF(C593&lt;&gt;"",C593,""))</f>
        <v>27</v>
      </c>
      <c r="D594" s="34"/>
      <c r="E594" s="34"/>
      <c r="F594" s="34"/>
      <c r="G594" s="34"/>
      <c r="H594" s="34"/>
      <c r="I594" s="35"/>
      <c r="J594" s="35"/>
      <c r="K594" s="36"/>
      <c r="L594" s="26" t="str">
        <f>IF(OR(F594 = "", G594 = ""), "", IF(F594 = "Vara", IFERROR(_xlfn.SINGLE(_xlfn.XLOOKUP(G594, Vöruskrá!A:A, Vöruskrá!E:E, "")), ""), IF(F594 = "Réttur", IFERROR(_xlfn.SINGLE(_xlfn.XLOOKUP(G594, Réttabanki!A:A, Réttabanki!AS:AS, "")), ""), "")))</f>
        <v/>
      </c>
      <c r="M594" s="26" t="str">
        <f>IF(OR(F594 = "", G594 = ""), "", IF(F594 = "Vara", IFERROR(_xlfn.SINGLE(_xlfn.XLOOKUP(G594, Vöruskrá!A:A, Vöruskrá!F:F, "")), ""), IF(F594 = "Réttur", IFERROR(_xlfn.SINGLE(_xlfn.XLOOKUP(G594, Réttabanki!A:A, Réttabanki!AT:AT, "")), ""), "")))</f>
        <v/>
      </c>
      <c r="N594" s="26" t="str">
        <f>IF(OR(F594 = "", G594 = ""), "", IF(F594 = "Vara", IFERROR(_xlfn.SINGLE(_xlfn.XLOOKUP(G594, Vöruskrá!A:A, Vöruskrá!G:G, "")), ""), IF(F594 = "Réttur", IFERROR(_xlfn.SINGLE(_xlfn.XLOOKUP(G594, Réttabanki!A:A, Réttabanki!AU:AU, "")), ""), "")))</f>
        <v/>
      </c>
      <c r="O594" s="26" t="str">
        <f>IF(OR(F594 = "", G594 = "", I594 = ""), "", IF(F594 = "Vara", IFERROR(_xlfn.SINGLE(_xlfn.XLOOKUP(G594, Vöruskrá!A:A, Vöruskrá!I:I, "")) * I594 / 100, ""), IF(F594 = "Réttur", IFERROR(_xlfn.SINGLE(_xlfn.XLOOKUP(G594, Réttabanki!A:A, Réttabanki!AV:AV, "")) * I594 / 100, ""), "")))</f>
        <v/>
      </c>
      <c r="P594" s="26" t="str">
        <f>IF(OR(F594 = "", G594 = "", I594 = ""), "", IF(F594 = "Vara", IFERROR(_xlfn.SINGLE(_xlfn.XLOOKUP(G594, Vöruskrá!A:A, Vöruskrá!J:J, "")) * I594 / 100, ""), IF(F594 = "Réttur", IFERROR(_xlfn.SINGLE(_xlfn.XLOOKUP(G594, Réttabanki!A:A, Réttabanki!AW:AW, "")) * I594 / 100, ""), "")))</f>
        <v/>
      </c>
      <c r="Q594" s="26" t="str">
        <f>IF(OR(F594 = "", G594 = "", I594 = ""), "", IF(F594 = "Vara", IFERROR(_xlfn.SINGLE(_xlfn.XLOOKUP(G594, Vöruskrá!A:A, Vöruskrá!N:N, "")) * I594 / 100, ""), IF(F594 = "Réttur", IFERROR(_xlfn.SINGLE(_xlfn.XLOOKUP(G594, Réttabanki!A:A, Réttabanki!BB:BB, "")) * I594 / 100, ""), "")))</f>
        <v/>
      </c>
    </row>
    <row r="595" spans="2:17">
      <c r="B595" s="33" t="str">
        <f>IF(A595&lt;&gt;"",CHOOSE(WEEKDAY(A595,2),"Mánudagur","Þriðjudagur","Miðvikudagur","Fimmtudagur","Föstudagur","Laugardagur","Sunnudagur"),IF(B594&lt;&gt;"",B594,""))</f>
        <v>Fimmtudagur</v>
      </c>
      <c r="C595" s="33">
        <f>IF(A595&lt;&gt;"",WEEKNUM(A595,21),IF(C594&lt;&gt;"",C594,""))</f>
        <v>27</v>
      </c>
      <c r="D595" s="34"/>
      <c r="E595" s="34"/>
      <c r="F595" s="34"/>
      <c r="G595" s="34"/>
      <c r="H595" s="34"/>
      <c r="I595" s="35"/>
      <c r="J595" s="35"/>
      <c r="K595" s="36"/>
      <c r="L595" s="26" t="str">
        <f>IF(OR(F595 = "", G595 = ""), "", IF(F595 = "Vara", IFERROR(_xlfn.SINGLE(_xlfn.XLOOKUP(G595, Vöruskrá!A:A, Vöruskrá!E:E, "")), ""), IF(F595 = "Réttur", IFERROR(_xlfn.SINGLE(_xlfn.XLOOKUP(G595, Réttabanki!A:A, Réttabanki!AS:AS, "")), ""), "")))</f>
        <v/>
      </c>
      <c r="M595" s="26" t="str">
        <f>IF(OR(F595 = "", G595 = ""), "", IF(F595 = "Vara", IFERROR(_xlfn.SINGLE(_xlfn.XLOOKUP(G595, Vöruskrá!A:A, Vöruskrá!F:F, "")), ""), IF(F595 = "Réttur", IFERROR(_xlfn.SINGLE(_xlfn.XLOOKUP(G595, Réttabanki!A:A, Réttabanki!AT:AT, "")), ""), "")))</f>
        <v/>
      </c>
      <c r="N595" s="26" t="str">
        <f>IF(OR(F595 = "", G595 = ""), "", IF(F595 = "Vara", IFERROR(_xlfn.SINGLE(_xlfn.XLOOKUP(G595, Vöruskrá!A:A, Vöruskrá!G:G, "")), ""), IF(F595 = "Réttur", IFERROR(_xlfn.SINGLE(_xlfn.XLOOKUP(G595, Réttabanki!A:A, Réttabanki!AU:AU, "")), ""), "")))</f>
        <v/>
      </c>
      <c r="O595" s="26" t="str">
        <f>IF(OR(F595 = "", G595 = "", I595 = ""), "", IF(F595 = "Vara", IFERROR(_xlfn.SINGLE(_xlfn.XLOOKUP(G595, Vöruskrá!A:A, Vöruskrá!I:I, "")) * I595 / 100, ""), IF(F595 = "Réttur", IFERROR(_xlfn.SINGLE(_xlfn.XLOOKUP(G595, Réttabanki!A:A, Réttabanki!AV:AV, "")) * I595 / 100, ""), "")))</f>
        <v/>
      </c>
      <c r="P595" s="26" t="str">
        <f>IF(OR(F595 = "", G595 = "", I595 = ""), "", IF(F595 = "Vara", IFERROR(_xlfn.SINGLE(_xlfn.XLOOKUP(G595, Vöruskrá!A:A, Vöruskrá!J:J, "")) * I595 / 100, ""), IF(F595 = "Réttur", IFERROR(_xlfn.SINGLE(_xlfn.XLOOKUP(G595, Réttabanki!A:A, Réttabanki!AW:AW, "")) * I595 / 100, ""), "")))</f>
        <v/>
      </c>
      <c r="Q595" s="26" t="str">
        <f>IF(OR(F595 = "", G595 = "", I595 = ""), "", IF(F595 = "Vara", IFERROR(_xlfn.SINGLE(_xlfn.XLOOKUP(G595, Vöruskrá!A:A, Vöruskrá!N:N, "")) * I595 / 100, ""), IF(F595 = "Réttur", IFERROR(_xlfn.SINGLE(_xlfn.XLOOKUP(G595, Réttabanki!A:A, Réttabanki!BB:BB, "")) * I595 / 100, ""), "")))</f>
        <v/>
      </c>
    </row>
    <row r="596" spans="2:17">
      <c r="B596" s="33" t="str">
        <f>IF(A596&lt;&gt;"",CHOOSE(WEEKDAY(A596,2),"Mánudagur","Þriðjudagur","Miðvikudagur","Fimmtudagur","Föstudagur","Laugardagur","Sunnudagur"),IF(B595&lt;&gt;"",B595,""))</f>
        <v>Fimmtudagur</v>
      </c>
      <c r="C596" s="33">
        <f>IF(A596&lt;&gt;"",WEEKNUM(A596,21),IF(C595&lt;&gt;"",C595,""))</f>
        <v>27</v>
      </c>
      <c r="D596" s="34"/>
      <c r="E596" s="34"/>
      <c r="F596" s="34"/>
      <c r="G596" s="34"/>
      <c r="H596" s="34"/>
      <c r="I596" s="35"/>
      <c r="J596" s="35"/>
      <c r="K596" s="36"/>
      <c r="L596" s="26" t="str">
        <f>IF(OR(F596 = "", G596 = ""), "", IF(F596 = "Vara", IFERROR(_xlfn.SINGLE(_xlfn.XLOOKUP(G596, Vöruskrá!A:A, Vöruskrá!E:E, "")), ""), IF(F596 = "Réttur", IFERROR(_xlfn.SINGLE(_xlfn.XLOOKUP(G596, Réttabanki!A:A, Réttabanki!AS:AS, "")), ""), "")))</f>
        <v/>
      </c>
      <c r="M596" s="26" t="str">
        <f>IF(OR(F596 = "", G596 = ""), "", IF(F596 = "Vara", IFERROR(_xlfn.SINGLE(_xlfn.XLOOKUP(G596, Vöruskrá!A:A, Vöruskrá!F:F, "")), ""), IF(F596 = "Réttur", IFERROR(_xlfn.SINGLE(_xlfn.XLOOKUP(G596, Réttabanki!A:A, Réttabanki!AT:AT, "")), ""), "")))</f>
        <v/>
      </c>
      <c r="N596" s="26" t="str">
        <f>IF(OR(F596 = "", G596 = ""), "", IF(F596 = "Vara", IFERROR(_xlfn.SINGLE(_xlfn.XLOOKUP(G596, Vöruskrá!A:A, Vöruskrá!G:G, "")), ""), IF(F596 = "Réttur", IFERROR(_xlfn.SINGLE(_xlfn.XLOOKUP(G596, Réttabanki!A:A, Réttabanki!AU:AU, "")), ""), "")))</f>
        <v/>
      </c>
      <c r="O596" s="26" t="str">
        <f>IF(OR(F596 = "", G596 = "", I596 = ""), "", IF(F596 = "Vara", IFERROR(_xlfn.SINGLE(_xlfn.XLOOKUP(G596, Vöruskrá!A:A, Vöruskrá!I:I, "")) * I596 / 100, ""), IF(F596 = "Réttur", IFERROR(_xlfn.SINGLE(_xlfn.XLOOKUP(G596, Réttabanki!A:A, Réttabanki!AV:AV, "")) * I596 / 100, ""), "")))</f>
        <v/>
      </c>
      <c r="P596" s="26" t="str">
        <f>IF(OR(F596 = "", G596 = "", I596 = ""), "", IF(F596 = "Vara", IFERROR(_xlfn.SINGLE(_xlfn.XLOOKUP(G596, Vöruskrá!A:A, Vöruskrá!J:J, "")) * I596 / 100, ""), IF(F596 = "Réttur", IFERROR(_xlfn.SINGLE(_xlfn.XLOOKUP(G596, Réttabanki!A:A, Réttabanki!AW:AW, "")) * I596 / 100, ""), "")))</f>
        <v/>
      </c>
      <c r="Q596" s="26" t="str">
        <f>IF(OR(F596 = "", G596 = "", I596 = ""), "", IF(F596 = "Vara", IFERROR(_xlfn.SINGLE(_xlfn.XLOOKUP(G596, Vöruskrá!A:A, Vöruskrá!N:N, "")) * I596 / 100, ""), IF(F596 = "Réttur", IFERROR(_xlfn.SINGLE(_xlfn.XLOOKUP(G596, Réttabanki!A:A, Réttabanki!BB:BB, "")) * I596 / 100, ""), "")))</f>
        <v/>
      </c>
    </row>
    <row r="597" spans="2:17">
      <c r="B597" s="33" t="str">
        <f>IF(A597&lt;&gt;"",CHOOSE(WEEKDAY(A597,2),"Mánudagur","Þriðjudagur","Miðvikudagur","Fimmtudagur","Föstudagur","Laugardagur","Sunnudagur"),IF(B596&lt;&gt;"",B596,""))</f>
        <v>Fimmtudagur</v>
      </c>
      <c r="C597" s="33">
        <f>IF(A597&lt;&gt;"",WEEKNUM(A597,21),IF(C596&lt;&gt;"",C596,""))</f>
        <v>27</v>
      </c>
      <c r="D597" s="34"/>
      <c r="E597" s="34"/>
      <c r="F597" s="34"/>
      <c r="G597" s="34"/>
      <c r="H597" s="34"/>
      <c r="I597" s="35"/>
      <c r="J597" s="35"/>
      <c r="K597" s="36"/>
      <c r="L597" s="26" t="str">
        <f>IF(OR(F597 = "", G597 = ""), "", IF(F597 = "Vara", IFERROR(_xlfn.SINGLE(_xlfn.XLOOKUP(G597, Vöruskrá!A:A, Vöruskrá!E:E, "")), ""), IF(F597 = "Réttur", IFERROR(_xlfn.SINGLE(_xlfn.XLOOKUP(G597, Réttabanki!A:A, Réttabanki!AS:AS, "")), ""), "")))</f>
        <v/>
      </c>
      <c r="M597" s="26" t="str">
        <f>IF(OR(F597 = "", G597 = ""), "", IF(F597 = "Vara", IFERROR(_xlfn.SINGLE(_xlfn.XLOOKUP(G597, Vöruskrá!A:A, Vöruskrá!F:F, "")), ""), IF(F597 = "Réttur", IFERROR(_xlfn.SINGLE(_xlfn.XLOOKUP(G597, Réttabanki!A:A, Réttabanki!AT:AT, "")), ""), "")))</f>
        <v/>
      </c>
      <c r="N597" s="26" t="str">
        <f>IF(OR(F597 = "", G597 = ""), "", IF(F597 = "Vara", IFERROR(_xlfn.SINGLE(_xlfn.XLOOKUP(G597, Vöruskrá!A:A, Vöruskrá!G:G, "")), ""), IF(F597 = "Réttur", IFERROR(_xlfn.SINGLE(_xlfn.XLOOKUP(G597, Réttabanki!A:A, Réttabanki!AU:AU, "")), ""), "")))</f>
        <v/>
      </c>
      <c r="O597" s="26" t="str">
        <f>IF(OR(F597 = "", G597 = "", I597 = ""), "", IF(F597 = "Vara", IFERROR(_xlfn.SINGLE(_xlfn.XLOOKUP(G597, Vöruskrá!A:A, Vöruskrá!I:I, "")) * I597 / 100, ""), IF(F597 = "Réttur", IFERROR(_xlfn.SINGLE(_xlfn.XLOOKUP(G597, Réttabanki!A:A, Réttabanki!AV:AV, "")) * I597 / 100, ""), "")))</f>
        <v/>
      </c>
      <c r="P597" s="26" t="str">
        <f>IF(OR(F597 = "", G597 = "", I597 = ""), "", IF(F597 = "Vara", IFERROR(_xlfn.SINGLE(_xlfn.XLOOKUP(G597, Vöruskrá!A:A, Vöruskrá!J:J, "")) * I597 / 100, ""), IF(F597 = "Réttur", IFERROR(_xlfn.SINGLE(_xlfn.XLOOKUP(G597, Réttabanki!A:A, Réttabanki!AW:AW, "")) * I597 / 100, ""), "")))</f>
        <v/>
      </c>
      <c r="Q597" s="26" t="str">
        <f>IF(OR(F597 = "", G597 = "", I597 = ""), "", IF(F597 = "Vara", IFERROR(_xlfn.SINGLE(_xlfn.XLOOKUP(G597, Vöruskrá!A:A, Vöruskrá!N:N, "")) * I597 / 100, ""), IF(F597 = "Réttur", IFERROR(_xlfn.SINGLE(_xlfn.XLOOKUP(G597, Réttabanki!A:A, Réttabanki!BB:BB, "")) * I597 / 100, ""), "")))</f>
        <v/>
      </c>
    </row>
    <row r="598" spans="2:17">
      <c r="B598" s="33" t="str">
        <f>IF(A598&lt;&gt;"",CHOOSE(WEEKDAY(A598,2),"Mánudagur","Þriðjudagur","Miðvikudagur","Fimmtudagur","Föstudagur","Laugardagur","Sunnudagur"),IF(B597&lt;&gt;"",B597,""))</f>
        <v>Fimmtudagur</v>
      </c>
      <c r="C598" s="33">
        <f>IF(A598&lt;&gt;"",WEEKNUM(A598,21),IF(C597&lt;&gt;"",C597,""))</f>
        <v>27</v>
      </c>
      <c r="D598" s="34"/>
      <c r="E598" s="34"/>
      <c r="F598" s="34"/>
      <c r="G598" s="34"/>
      <c r="H598" s="34"/>
      <c r="I598" s="35"/>
      <c r="J598" s="35"/>
      <c r="K598" s="36"/>
      <c r="L598" s="26" t="str">
        <f>IF(OR(F598 = "", G598 = ""), "", IF(F598 = "Vara", IFERROR(_xlfn.SINGLE(_xlfn.XLOOKUP(G598, Vöruskrá!A:A, Vöruskrá!E:E, "")), ""), IF(F598 = "Réttur", IFERROR(_xlfn.SINGLE(_xlfn.XLOOKUP(G598, Réttabanki!A:A, Réttabanki!AS:AS, "")), ""), "")))</f>
        <v/>
      </c>
      <c r="M598" s="26" t="str">
        <f>IF(OR(F598 = "", G598 = ""), "", IF(F598 = "Vara", IFERROR(_xlfn.SINGLE(_xlfn.XLOOKUP(G598, Vöruskrá!A:A, Vöruskrá!F:F, "")), ""), IF(F598 = "Réttur", IFERROR(_xlfn.SINGLE(_xlfn.XLOOKUP(G598, Réttabanki!A:A, Réttabanki!AT:AT, "")), ""), "")))</f>
        <v/>
      </c>
      <c r="N598" s="26" t="str">
        <f>IF(OR(F598 = "", G598 = ""), "", IF(F598 = "Vara", IFERROR(_xlfn.SINGLE(_xlfn.XLOOKUP(G598, Vöruskrá!A:A, Vöruskrá!G:G, "")), ""), IF(F598 = "Réttur", IFERROR(_xlfn.SINGLE(_xlfn.XLOOKUP(G598, Réttabanki!A:A, Réttabanki!AU:AU, "")), ""), "")))</f>
        <v/>
      </c>
      <c r="O598" s="26" t="str">
        <f>IF(OR(F598 = "", G598 = "", I598 = ""), "", IF(F598 = "Vara", IFERROR(_xlfn.SINGLE(_xlfn.XLOOKUP(G598, Vöruskrá!A:A, Vöruskrá!I:I, "")) * I598 / 100, ""), IF(F598 = "Réttur", IFERROR(_xlfn.SINGLE(_xlfn.XLOOKUP(G598, Réttabanki!A:A, Réttabanki!AV:AV, "")) * I598 / 100, ""), "")))</f>
        <v/>
      </c>
      <c r="P598" s="26" t="str">
        <f>IF(OR(F598 = "", G598 = "", I598 = ""), "", IF(F598 = "Vara", IFERROR(_xlfn.SINGLE(_xlfn.XLOOKUP(G598, Vöruskrá!A:A, Vöruskrá!J:J, "")) * I598 / 100, ""), IF(F598 = "Réttur", IFERROR(_xlfn.SINGLE(_xlfn.XLOOKUP(G598, Réttabanki!A:A, Réttabanki!AW:AW, "")) * I598 / 100, ""), "")))</f>
        <v/>
      </c>
      <c r="Q598" s="26" t="str">
        <f>IF(OR(F598 = "", G598 = "", I598 = ""), "", IF(F598 = "Vara", IFERROR(_xlfn.SINGLE(_xlfn.XLOOKUP(G598, Vöruskrá!A:A, Vöruskrá!N:N, "")) * I598 / 100, ""), IF(F598 = "Réttur", IFERROR(_xlfn.SINGLE(_xlfn.XLOOKUP(G598, Réttabanki!A:A, Réttabanki!BB:BB, "")) * I598 / 100, ""), "")))</f>
        <v/>
      </c>
    </row>
    <row r="599" spans="2:17">
      <c r="B599" s="33" t="str">
        <f>IF(A599&lt;&gt;"",CHOOSE(WEEKDAY(A599,2),"Mánudagur","Þriðjudagur","Miðvikudagur","Fimmtudagur","Föstudagur","Laugardagur","Sunnudagur"),IF(B598&lt;&gt;"",B598,""))</f>
        <v>Fimmtudagur</v>
      </c>
      <c r="C599" s="33">
        <f>IF(A599&lt;&gt;"",WEEKNUM(A599,21),IF(C598&lt;&gt;"",C598,""))</f>
        <v>27</v>
      </c>
      <c r="D599" s="34"/>
      <c r="E599" s="34"/>
      <c r="F599" s="34"/>
      <c r="G599" s="34"/>
      <c r="H599" s="34"/>
      <c r="I599" s="35"/>
      <c r="J599" s="35"/>
      <c r="K599" s="36"/>
      <c r="L599" s="26" t="str">
        <f>IF(OR(F599 = "", G599 = ""), "", IF(F599 = "Vara", IFERROR(_xlfn.SINGLE(_xlfn.XLOOKUP(G599, Vöruskrá!A:A, Vöruskrá!E:E, "")), ""), IF(F599 = "Réttur", IFERROR(_xlfn.SINGLE(_xlfn.XLOOKUP(G599, Réttabanki!A:A, Réttabanki!AS:AS, "")), ""), "")))</f>
        <v/>
      </c>
      <c r="M599" s="26" t="str">
        <f>IF(OR(F599 = "", G599 = ""), "", IF(F599 = "Vara", IFERROR(_xlfn.SINGLE(_xlfn.XLOOKUP(G599, Vöruskrá!A:A, Vöruskrá!F:F, "")), ""), IF(F599 = "Réttur", IFERROR(_xlfn.SINGLE(_xlfn.XLOOKUP(G599, Réttabanki!A:A, Réttabanki!AT:AT, "")), ""), "")))</f>
        <v/>
      </c>
      <c r="N599" s="26" t="str">
        <f>IF(OR(F599 = "", G599 = ""), "", IF(F599 = "Vara", IFERROR(_xlfn.SINGLE(_xlfn.XLOOKUP(G599, Vöruskrá!A:A, Vöruskrá!G:G, "")), ""), IF(F599 = "Réttur", IFERROR(_xlfn.SINGLE(_xlfn.XLOOKUP(G599, Réttabanki!A:A, Réttabanki!AU:AU, "")), ""), "")))</f>
        <v/>
      </c>
      <c r="O599" s="26" t="str">
        <f>IF(OR(F599 = "", G599 = "", I599 = ""), "", IF(F599 = "Vara", IFERROR(_xlfn.SINGLE(_xlfn.XLOOKUP(G599, Vöruskrá!A:A, Vöruskrá!I:I, "")) * I599 / 100, ""), IF(F599 = "Réttur", IFERROR(_xlfn.SINGLE(_xlfn.XLOOKUP(G599, Réttabanki!A:A, Réttabanki!AV:AV, "")) * I599 / 100, ""), "")))</f>
        <v/>
      </c>
      <c r="P599" s="26" t="str">
        <f>IF(OR(F599 = "", G599 = "", I599 = ""), "", IF(F599 = "Vara", IFERROR(_xlfn.SINGLE(_xlfn.XLOOKUP(G599, Vöruskrá!A:A, Vöruskrá!J:J, "")) * I599 / 100, ""), IF(F599 = "Réttur", IFERROR(_xlfn.SINGLE(_xlfn.XLOOKUP(G599, Réttabanki!A:A, Réttabanki!AW:AW, "")) * I599 / 100, ""), "")))</f>
        <v/>
      </c>
      <c r="Q599" s="26" t="str">
        <f>IF(OR(F599 = "", G599 = "", I599 = ""), "", IF(F599 = "Vara", IFERROR(_xlfn.SINGLE(_xlfn.XLOOKUP(G599, Vöruskrá!A:A, Vöruskrá!N:N, "")) * I599 / 100, ""), IF(F599 = "Réttur", IFERROR(_xlfn.SINGLE(_xlfn.XLOOKUP(G599, Réttabanki!A:A, Réttabanki!BB:BB, "")) * I599 / 100, ""), "")))</f>
        <v/>
      </c>
    </row>
    <row r="600" spans="2:17">
      <c r="B600" s="33" t="str">
        <f>IF(A600&lt;&gt;"",CHOOSE(WEEKDAY(A600,2),"Mánudagur","Þriðjudagur","Miðvikudagur","Fimmtudagur","Föstudagur","Laugardagur","Sunnudagur"),IF(B599&lt;&gt;"",B599,""))</f>
        <v>Fimmtudagur</v>
      </c>
      <c r="C600" s="33">
        <f>IF(A600&lt;&gt;"",WEEKNUM(A600,21),IF(C599&lt;&gt;"",C599,""))</f>
        <v>27</v>
      </c>
      <c r="D600" s="34"/>
      <c r="E600" s="34"/>
      <c r="F600" s="34"/>
      <c r="G600" s="34"/>
      <c r="H600" s="34"/>
      <c r="I600" s="35"/>
      <c r="J600" s="35"/>
      <c r="K600" s="36"/>
      <c r="L600" s="26" t="str">
        <f>IF(OR(F600 = "", G600 = ""), "", IF(F600 = "Vara", IFERROR(_xlfn.SINGLE(_xlfn.XLOOKUP(G600, Vöruskrá!A:A, Vöruskrá!E:E, "")), ""), IF(F600 = "Réttur", IFERROR(_xlfn.SINGLE(_xlfn.XLOOKUP(G600, Réttabanki!A:A, Réttabanki!AS:AS, "")), ""), "")))</f>
        <v/>
      </c>
      <c r="M600" s="26" t="str">
        <f>IF(OR(F600 = "", G600 = ""), "", IF(F600 = "Vara", IFERROR(_xlfn.SINGLE(_xlfn.XLOOKUP(G600, Vöruskrá!A:A, Vöruskrá!F:F, "")), ""), IF(F600 = "Réttur", IFERROR(_xlfn.SINGLE(_xlfn.XLOOKUP(G600, Réttabanki!A:A, Réttabanki!AT:AT, "")), ""), "")))</f>
        <v/>
      </c>
      <c r="N600" s="26" t="str">
        <f>IF(OR(F600 = "", G600 = ""), "", IF(F600 = "Vara", IFERROR(_xlfn.SINGLE(_xlfn.XLOOKUP(G600, Vöruskrá!A:A, Vöruskrá!G:G, "")), ""), IF(F600 = "Réttur", IFERROR(_xlfn.SINGLE(_xlfn.XLOOKUP(G600, Réttabanki!A:A, Réttabanki!AU:AU, "")), ""), "")))</f>
        <v/>
      </c>
      <c r="O600" s="26" t="str">
        <f>IF(OR(F600 = "", G600 = "", I600 = ""), "", IF(F600 = "Vara", IFERROR(_xlfn.SINGLE(_xlfn.XLOOKUP(G600, Vöruskrá!A:A, Vöruskrá!I:I, "")) * I600 / 100, ""), IF(F600 = "Réttur", IFERROR(_xlfn.SINGLE(_xlfn.XLOOKUP(G600, Réttabanki!A:A, Réttabanki!AV:AV, "")) * I600 / 100, ""), "")))</f>
        <v/>
      </c>
      <c r="P600" s="26" t="str">
        <f>IF(OR(F600 = "", G600 = "", I600 = ""), "", IF(F600 = "Vara", IFERROR(_xlfn.SINGLE(_xlfn.XLOOKUP(G600, Vöruskrá!A:A, Vöruskrá!J:J, "")) * I600 / 100, ""), IF(F600 = "Réttur", IFERROR(_xlfn.SINGLE(_xlfn.XLOOKUP(G600, Réttabanki!A:A, Réttabanki!AW:AW, "")) * I600 / 100, ""), "")))</f>
        <v/>
      </c>
      <c r="Q600" s="26" t="str">
        <f>IF(OR(F600 = "", G600 = "", I600 = ""), "", IF(F600 = "Vara", IFERROR(_xlfn.SINGLE(_xlfn.XLOOKUP(G600, Vöruskrá!A:A, Vöruskrá!N:N, "")) * I600 / 100, ""), IF(F600 = "Réttur", IFERROR(_xlfn.SINGLE(_xlfn.XLOOKUP(G600, Réttabanki!A:A, Réttabanki!BB:BB, "")) * I600 / 100, ""), "")))</f>
        <v/>
      </c>
    </row>
    <row r="601" spans="2:17">
      <c r="B601" s="33" t="str">
        <f>IF(A601&lt;&gt;"",CHOOSE(WEEKDAY(A601,2),"Mánudagur","Þriðjudagur","Miðvikudagur","Fimmtudagur","Föstudagur","Laugardagur","Sunnudagur"),IF(B600&lt;&gt;"",B600,""))</f>
        <v>Fimmtudagur</v>
      </c>
      <c r="C601" s="33">
        <f>IF(A601&lt;&gt;"",WEEKNUM(A601,21),IF(C600&lt;&gt;"",C600,""))</f>
        <v>27</v>
      </c>
      <c r="D601" s="34"/>
      <c r="E601" s="34"/>
      <c r="F601" s="34"/>
      <c r="G601" s="34"/>
      <c r="H601" s="34"/>
      <c r="I601" s="35"/>
      <c r="J601" s="35"/>
      <c r="K601" s="36"/>
      <c r="L601" s="26" t="str">
        <f>IF(OR(F601 = "", G601 = ""), "", IF(F601 = "Vara", IFERROR(_xlfn.SINGLE(_xlfn.XLOOKUP(G601, Vöruskrá!A:A, Vöruskrá!E:E, "")), ""), IF(F601 = "Réttur", IFERROR(_xlfn.SINGLE(_xlfn.XLOOKUP(G601, Réttabanki!A:A, Réttabanki!AS:AS, "")), ""), "")))</f>
        <v/>
      </c>
      <c r="M601" s="26" t="str">
        <f>IF(OR(F601 = "", G601 = ""), "", IF(F601 = "Vara", IFERROR(_xlfn.SINGLE(_xlfn.XLOOKUP(G601, Vöruskrá!A:A, Vöruskrá!F:F, "")), ""), IF(F601 = "Réttur", IFERROR(_xlfn.SINGLE(_xlfn.XLOOKUP(G601, Réttabanki!A:A, Réttabanki!AT:AT, "")), ""), "")))</f>
        <v/>
      </c>
      <c r="N601" s="26" t="str">
        <f>IF(OR(F601 = "", G601 = ""), "", IF(F601 = "Vara", IFERROR(_xlfn.SINGLE(_xlfn.XLOOKUP(G601, Vöruskrá!A:A, Vöruskrá!G:G, "")), ""), IF(F601 = "Réttur", IFERROR(_xlfn.SINGLE(_xlfn.XLOOKUP(G601, Réttabanki!A:A, Réttabanki!AU:AU, "")), ""), "")))</f>
        <v/>
      </c>
      <c r="O601" s="26" t="str">
        <f>IF(OR(F601 = "", G601 = "", I601 = ""), "", IF(F601 = "Vara", IFERROR(_xlfn.SINGLE(_xlfn.XLOOKUP(G601, Vöruskrá!A:A, Vöruskrá!I:I, "")) * I601 / 100, ""), IF(F601 = "Réttur", IFERROR(_xlfn.SINGLE(_xlfn.XLOOKUP(G601, Réttabanki!A:A, Réttabanki!AV:AV, "")) * I601 / 100, ""), "")))</f>
        <v/>
      </c>
      <c r="P601" s="26" t="str">
        <f>IF(OR(F601 = "", G601 = "", I601 = ""), "", IF(F601 = "Vara", IFERROR(_xlfn.SINGLE(_xlfn.XLOOKUP(G601, Vöruskrá!A:A, Vöruskrá!J:J, "")) * I601 / 100, ""), IF(F601 = "Réttur", IFERROR(_xlfn.SINGLE(_xlfn.XLOOKUP(G601, Réttabanki!A:A, Réttabanki!AW:AW, "")) * I601 / 100, ""), "")))</f>
        <v/>
      </c>
      <c r="Q601" s="26" t="str">
        <f>IF(OR(F601 = "", G601 = "", I601 = ""), "", IF(F601 = "Vara", IFERROR(_xlfn.SINGLE(_xlfn.XLOOKUP(G601, Vöruskrá!A:A, Vöruskrá!N:N, "")) * I601 / 100, ""), IF(F601 = "Réttur", IFERROR(_xlfn.SINGLE(_xlfn.XLOOKUP(G601, Réttabanki!A:A, Réttabanki!BB:BB, "")) * I601 / 100, ""), "")))</f>
        <v/>
      </c>
    </row>
    <row r="602" spans="2:17">
      <c r="B602" s="33" t="str">
        <f>IF(A602&lt;&gt;"",CHOOSE(WEEKDAY(A602,2),"Mánudagur","Þriðjudagur","Miðvikudagur","Fimmtudagur","Föstudagur","Laugardagur","Sunnudagur"),IF(B601&lt;&gt;"",B601,""))</f>
        <v>Fimmtudagur</v>
      </c>
      <c r="C602" s="33">
        <f>IF(A602&lt;&gt;"",WEEKNUM(A602,21),IF(C601&lt;&gt;"",C601,""))</f>
        <v>27</v>
      </c>
      <c r="D602" s="34"/>
      <c r="E602" s="34"/>
      <c r="F602" s="34"/>
      <c r="G602" s="34"/>
      <c r="H602" s="34"/>
      <c r="I602" s="35"/>
      <c r="J602" s="35"/>
      <c r="K602" s="36"/>
      <c r="L602" s="26" t="str">
        <f>IF(OR(F602 = "", G602 = ""), "", IF(F602 = "Vara", IFERROR(_xlfn.SINGLE(_xlfn.XLOOKUP(G602, Vöruskrá!A:A, Vöruskrá!E:E, "")), ""), IF(F602 = "Réttur", IFERROR(_xlfn.SINGLE(_xlfn.XLOOKUP(G602, Réttabanki!A:A, Réttabanki!AS:AS, "")), ""), "")))</f>
        <v/>
      </c>
      <c r="M602" s="26" t="str">
        <f>IF(OR(F602 = "", G602 = ""), "", IF(F602 = "Vara", IFERROR(_xlfn.SINGLE(_xlfn.XLOOKUP(G602, Vöruskrá!A:A, Vöruskrá!F:F, "")), ""), IF(F602 = "Réttur", IFERROR(_xlfn.SINGLE(_xlfn.XLOOKUP(G602, Réttabanki!A:A, Réttabanki!AT:AT, "")), ""), "")))</f>
        <v/>
      </c>
      <c r="N602" s="26" t="str">
        <f>IF(OR(F602 = "", G602 = ""), "", IF(F602 = "Vara", IFERROR(_xlfn.SINGLE(_xlfn.XLOOKUP(G602, Vöruskrá!A:A, Vöruskrá!G:G, "")), ""), IF(F602 = "Réttur", IFERROR(_xlfn.SINGLE(_xlfn.XLOOKUP(G602, Réttabanki!A:A, Réttabanki!AU:AU, "")), ""), "")))</f>
        <v/>
      </c>
      <c r="O602" s="26" t="str">
        <f>IF(OR(F602 = "", G602 = "", I602 = ""), "", IF(F602 = "Vara", IFERROR(_xlfn.SINGLE(_xlfn.XLOOKUP(G602, Vöruskrá!A:A, Vöruskrá!I:I, "")) * I602 / 100, ""), IF(F602 = "Réttur", IFERROR(_xlfn.SINGLE(_xlfn.XLOOKUP(G602, Réttabanki!A:A, Réttabanki!AV:AV, "")) * I602 / 100, ""), "")))</f>
        <v/>
      </c>
      <c r="P602" s="26" t="str">
        <f>IF(OR(F602 = "", G602 = "", I602 = ""), "", IF(F602 = "Vara", IFERROR(_xlfn.SINGLE(_xlfn.XLOOKUP(G602, Vöruskrá!A:A, Vöruskrá!J:J, "")) * I602 / 100, ""), IF(F602 = "Réttur", IFERROR(_xlfn.SINGLE(_xlfn.XLOOKUP(G602, Réttabanki!A:A, Réttabanki!AW:AW, "")) * I602 / 100, ""), "")))</f>
        <v/>
      </c>
      <c r="Q602" s="26" t="str">
        <f>IF(OR(F602 = "", G602 = "", I602 = ""), "", IF(F602 = "Vara", IFERROR(_xlfn.SINGLE(_xlfn.XLOOKUP(G602, Vöruskrá!A:A, Vöruskrá!N:N, "")) * I602 / 100, ""), IF(F602 = "Réttur", IFERROR(_xlfn.SINGLE(_xlfn.XLOOKUP(G602, Réttabanki!A:A, Réttabanki!BB:BB, "")) * I602 / 100, ""), "")))</f>
        <v/>
      </c>
    </row>
    <row r="603" spans="2:17">
      <c r="B603" s="33" t="str">
        <f>IF(A603&lt;&gt;"",CHOOSE(WEEKDAY(A603,2),"Mánudagur","Þriðjudagur","Miðvikudagur","Fimmtudagur","Föstudagur","Laugardagur","Sunnudagur"),IF(B602&lt;&gt;"",B602,""))</f>
        <v>Fimmtudagur</v>
      </c>
      <c r="C603" s="33">
        <f>IF(A603&lt;&gt;"",WEEKNUM(A603,21),IF(C602&lt;&gt;"",C602,""))</f>
        <v>27</v>
      </c>
      <c r="D603" s="34"/>
      <c r="E603" s="34"/>
      <c r="F603" s="34"/>
      <c r="G603" s="34"/>
      <c r="H603" s="34"/>
      <c r="I603" s="35"/>
      <c r="J603" s="35"/>
      <c r="K603" s="36"/>
      <c r="L603" s="26" t="str">
        <f>IF(OR(F603 = "", G603 = ""), "", IF(F603 = "Vara", IFERROR(_xlfn.SINGLE(_xlfn.XLOOKUP(G603, Vöruskrá!A:A, Vöruskrá!E:E, "")), ""), IF(F603 = "Réttur", IFERROR(_xlfn.SINGLE(_xlfn.XLOOKUP(G603, Réttabanki!A:A, Réttabanki!AS:AS, "")), ""), "")))</f>
        <v/>
      </c>
      <c r="M603" s="26" t="str">
        <f>IF(OR(F603 = "", G603 = ""), "", IF(F603 = "Vara", IFERROR(_xlfn.SINGLE(_xlfn.XLOOKUP(G603, Vöruskrá!A:A, Vöruskrá!F:F, "")), ""), IF(F603 = "Réttur", IFERROR(_xlfn.SINGLE(_xlfn.XLOOKUP(G603, Réttabanki!A:A, Réttabanki!AT:AT, "")), ""), "")))</f>
        <v/>
      </c>
      <c r="N603" s="26" t="str">
        <f>IF(OR(F603 = "", G603 = ""), "", IF(F603 = "Vara", IFERROR(_xlfn.SINGLE(_xlfn.XLOOKUP(G603, Vöruskrá!A:A, Vöruskrá!G:G, "")), ""), IF(F603 = "Réttur", IFERROR(_xlfn.SINGLE(_xlfn.XLOOKUP(G603, Réttabanki!A:A, Réttabanki!AU:AU, "")), ""), "")))</f>
        <v/>
      </c>
      <c r="O603" s="26" t="str">
        <f>IF(OR(F603 = "", G603 = "", I603 = ""), "", IF(F603 = "Vara", IFERROR(_xlfn.SINGLE(_xlfn.XLOOKUP(G603, Vöruskrá!A:A, Vöruskrá!I:I, "")) * I603 / 100, ""), IF(F603 = "Réttur", IFERROR(_xlfn.SINGLE(_xlfn.XLOOKUP(G603, Réttabanki!A:A, Réttabanki!AV:AV, "")) * I603 / 100, ""), "")))</f>
        <v/>
      </c>
      <c r="P603" s="26" t="str">
        <f>IF(OR(F603 = "", G603 = "", I603 = ""), "", IF(F603 = "Vara", IFERROR(_xlfn.SINGLE(_xlfn.XLOOKUP(G603, Vöruskrá!A:A, Vöruskrá!J:J, "")) * I603 / 100, ""), IF(F603 = "Réttur", IFERROR(_xlfn.SINGLE(_xlfn.XLOOKUP(G603, Réttabanki!A:A, Réttabanki!AW:AW, "")) * I603 / 100, ""), "")))</f>
        <v/>
      </c>
      <c r="Q603" s="26" t="str">
        <f>IF(OR(F603 = "", G603 = "", I603 = ""), "", IF(F603 = "Vara", IFERROR(_xlfn.SINGLE(_xlfn.XLOOKUP(G603, Vöruskrá!A:A, Vöruskrá!N:N, "")) * I603 / 100, ""), IF(F603 = "Réttur", IFERROR(_xlfn.SINGLE(_xlfn.XLOOKUP(G603, Réttabanki!A:A, Réttabanki!BB:BB, "")) * I603 / 100, ""), "")))</f>
        <v/>
      </c>
    </row>
    <row r="604" spans="2:17">
      <c r="B604" s="33" t="str">
        <f>IF(A604&lt;&gt;"",CHOOSE(WEEKDAY(A604,2),"Mánudagur","Þriðjudagur","Miðvikudagur","Fimmtudagur","Föstudagur","Laugardagur","Sunnudagur"),IF(B603&lt;&gt;"",B603,""))</f>
        <v>Fimmtudagur</v>
      </c>
      <c r="C604" s="33">
        <f>IF(A604&lt;&gt;"",WEEKNUM(A604,21),IF(C603&lt;&gt;"",C603,""))</f>
        <v>27</v>
      </c>
      <c r="D604" s="34"/>
      <c r="E604" s="34"/>
      <c r="F604" s="34"/>
      <c r="G604" s="34"/>
      <c r="H604" s="34"/>
      <c r="I604" s="35"/>
      <c r="J604" s="35"/>
      <c r="K604" s="36"/>
      <c r="L604" s="26" t="str">
        <f>IF(OR(F604 = "", G604 = ""), "", IF(F604 = "Vara", IFERROR(_xlfn.SINGLE(_xlfn.XLOOKUP(G604, Vöruskrá!A:A, Vöruskrá!E:E, "")), ""), IF(F604 = "Réttur", IFERROR(_xlfn.SINGLE(_xlfn.XLOOKUP(G604, Réttabanki!A:A, Réttabanki!AS:AS, "")), ""), "")))</f>
        <v/>
      </c>
      <c r="M604" s="26" t="str">
        <f>IF(OR(F604 = "", G604 = ""), "", IF(F604 = "Vara", IFERROR(_xlfn.SINGLE(_xlfn.XLOOKUP(G604, Vöruskrá!A:A, Vöruskrá!F:F, "")), ""), IF(F604 = "Réttur", IFERROR(_xlfn.SINGLE(_xlfn.XLOOKUP(G604, Réttabanki!A:A, Réttabanki!AT:AT, "")), ""), "")))</f>
        <v/>
      </c>
      <c r="N604" s="26" t="str">
        <f>IF(OR(F604 = "", G604 = ""), "", IF(F604 = "Vara", IFERROR(_xlfn.SINGLE(_xlfn.XLOOKUP(G604, Vöruskrá!A:A, Vöruskrá!G:G, "")), ""), IF(F604 = "Réttur", IFERROR(_xlfn.SINGLE(_xlfn.XLOOKUP(G604, Réttabanki!A:A, Réttabanki!AU:AU, "")), ""), "")))</f>
        <v/>
      </c>
      <c r="O604" s="26" t="str">
        <f>IF(OR(F604 = "", G604 = "", I604 = ""), "", IF(F604 = "Vara", IFERROR(_xlfn.SINGLE(_xlfn.XLOOKUP(G604, Vöruskrá!A:A, Vöruskrá!I:I, "")) * I604 / 100, ""), IF(F604 = "Réttur", IFERROR(_xlfn.SINGLE(_xlfn.XLOOKUP(G604, Réttabanki!A:A, Réttabanki!AV:AV, "")) * I604 / 100, ""), "")))</f>
        <v/>
      </c>
      <c r="P604" s="26" t="str">
        <f>IF(OR(F604 = "", G604 = "", I604 = ""), "", IF(F604 = "Vara", IFERROR(_xlfn.SINGLE(_xlfn.XLOOKUP(G604, Vöruskrá!A:A, Vöruskrá!J:J, "")) * I604 / 100, ""), IF(F604 = "Réttur", IFERROR(_xlfn.SINGLE(_xlfn.XLOOKUP(G604, Réttabanki!A:A, Réttabanki!AW:AW, "")) * I604 / 100, ""), "")))</f>
        <v/>
      </c>
      <c r="Q604" s="26" t="str">
        <f>IF(OR(F604 = "", G604 = "", I604 = ""), "", IF(F604 = "Vara", IFERROR(_xlfn.SINGLE(_xlfn.XLOOKUP(G604, Vöruskrá!A:A, Vöruskrá!N:N, "")) * I604 / 100, ""), IF(F604 = "Réttur", IFERROR(_xlfn.SINGLE(_xlfn.XLOOKUP(G604, Réttabanki!A:A, Réttabanki!BB:BB, "")) * I604 / 100, ""), "")))</f>
        <v/>
      </c>
    </row>
    <row r="605" spans="2:17">
      <c r="B605" s="33" t="str">
        <f>IF(A605&lt;&gt;"",CHOOSE(WEEKDAY(A605,2),"Mánudagur","Þriðjudagur","Miðvikudagur","Fimmtudagur","Föstudagur","Laugardagur","Sunnudagur"),IF(B604&lt;&gt;"",B604,""))</f>
        <v>Fimmtudagur</v>
      </c>
      <c r="C605" s="33">
        <f>IF(A605&lt;&gt;"",WEEKNUM(A605,21),IF(C604&lt;&gt;"",C604,""))</f>
        <v>27</v>
      </c>
      <c r="D605" s="34"/>
      <c r="E605" s="34"/>
      <c r="F605" s="34"/>
      <c r="G605" s="34"/>
      <c r="H605" s="34"/>
      <c r="I605" s="35"/>
      <c r="J605" s="35"/>
      <c r="K605" s="36"/>
      <c r="L605" s="26" t="str">
        <f>IF(OR(F605 = "", G605 = ""), "", IF(F605 = "Vara", IFERROR(_xlfn.SINGLE(_xlfn.XLOOKUP(G605, Vöruskrá!A:A, Vöruskrá!E:E, "")), ""), IF(F605 = "Réttur", IFERROR(_xlfn.SINGLE(_xlfn.XLOOKUP(G605, Réttabanki!A:A, Réttabanki!AS:AS, "")), ""), "")))</f>
        <v/>
      </c>
      <c r="M605" s="26" t="str">
        <f>IF(OR(F605 = "", G605 = ""), "", IF(F605 = "Vara", IFERROR(_xlfn.SINGLE(_xlfn.XLOOKUP(G605, Vöruskrá!A:A, Vöruskrá!F:F, "")), ""), IF(F605 = "Réttur", IFERROR(_xlfn.SINGLE(_xlfn.XLOOKUP(G605, Réttabanki!A:A, Réttabanki!AT:AT, "")), ""), "")))</f>
        <v/>
      </c>
      <c r="N605" s="26" t="str">
        <f>IF(OR(F605 = "", G605 = ""), "", IF(F605 = "Vara", IFERROR(_xlfn.SINGLE(_xlfn.XLOOKUP(G605, Vöruskrá!A:A, Vöruskrá!G:G, "")), ""), IF(F605 = "Réttur", IFERROR(_xlfn.SINGLE(_xlfn.XLOOKUP(G605, Réttabanki!A:A, Réttabanki!AU:AU, "")), ""), "")))</f>
        <v/>
      </c>
      <c r="O605" s="26" t="str">
        <f>IF(OR(F605 = "", G605 = "", I605 = ""), "", IF(F605 = "Vara", IFERROR(_xlfn.SINGLE(_xlfn.XLOOKUP(G605, Vöruskrá!A:A, Vöruskrá!I:I, "")) * I605 / 100, ""), IF(F605 = "Réttur", IFERROR(_xlfn.SINGLE(_xlfn.XLOOKUP(G605, Réttabanki!A:A, Réttabanki!AV:AV, "")) * I605 / 100, ""), "")))</f>
        <v/>
      </c>
      <c r="P605" s="26" t="str">
        <f>IF(OR(F605 = "", G605 = "", I605 = ""), "", IF(F605 = "Vara", IFERROR(_xlfn.SINGLE(_xlfn.XLOOKUP(G605, Vöruskrá!A:A, Vöruskrá!J:J, "")) * I605 / 100, ""), IF(F605 = "Réttur", IFERROR(_xlfn.SINGLE(_xlfn.XLOOKUP(G605, Réttabanki!A:A, Réttabanki!AW:AW, "")) * I605 / 100, ""), "")))</f>
        <v/>
      </c>
      <c r="Q605" s="26" t="str">
        <f>IF(OR(F605 = "", G605 = "", I605 = ""), "", IF(F605 = "Vara", IFERROR(_xlfn.SINGLE(_xlfn.XLOOKUP(G605, Vöruskrá!A:A, Vöruskrá!N:N, "")) * I605 / 100, ""), IF(F605 = "Réttur", IFERROR(_xlfn.SINGLE(_xlfn.XLOOKUP(G605, Réttabanki!A:A, Réttabanki!BB:BB, "")) * I605 / 100, ""), "")))</f>
        <v/>
      </c>
    </row>
    <row r="606" spans="2:17">
      <c r="B606" s="33" t="str">
        <f>IF(A606&lt;&gt;"",CHOOSE(WEEKDAY(A606,2),"Mánudagur","Þriðjudagur","Miðvikudagur","Fimmtudagur","Föstudagur","Laugardagur","Sunnudagur"),IF(B605&lt;&gt;"",B605,""))</f>
        <v>Fimmtudagur</v>
      </c>
      <c r="C606" s="33">
        <f>IF(A606&lt;&gt;"",WEEKNUM(A606,21),IF(C605&lt;&gt;"",C605,""))</f>
        <v>27</v>
      </c>
      <c r="D606" s="34"/>
      <c r="E606" s="34"/>
      <c r="F606" s="34"/>
      <c r="G606" s="34"/>
      <c r="H606" s="34"/>
      <c r="I606" s="35"/>
      <c r="J606" s="35"/>
      <c r="K606" s="36"/>
      <c r="L606" s="26" t="str">
        <f>IF(OR(F606 = "", G606 = ""), "", IF(F606 = "Vara", IFERROR(_xlfn.SINGLE(_xlfn.XLOOKUP(G606, Vöruskrá!A:A, Vöruskrá!E:E, "")), ""), IF(F606 = "Réttur", IFERROR(_xlfn.SINGLE(_xlfn.XLOOKUP(G606, Réttabanki!A:A, Réttabanki!AS:AS, "")), ""), "")))</f>
        <v/>
      </c>
      <c r="M606" s="26" t="str">
        <f>IF(OR(F606 = "", G606 = ""), "", IF(F606 = "Vara", IFERROR(_xlfn.SINGLE(_xlfn.XLOOKUP(G606, Vöruskrá!A:A, Vöruskrá!F:F, "")), ""), IF(F606 = "Réttur", IFERROR(_xlfn.SINGLE(_xlfn.XLOOKUP(G606, Réttabanki!A:A, Réttabanki!AT:AT, "")), ""), "")))</f>
        <v/>
      </c>
      <c r="N606" s="26" t="str">
        <f>IF(OR(F606 = "", G606 = ""), "", IF(F606 = "Vara", IFERROR(_xlfn.SINGLE(_xlfn.XLOOKUP(G606, Vöruskrá!A:A, Vöruskrá!G:G, "")), ""), IF(F606 = "Réttur", IFERROR(_xlfn.SINGLE(_xlfn.XLOOKUP(G606, Réttabanki!A:A, Réttabanki!AU:AU, "")), ""), "")))</f>
        <v/>
      </c>
      <c r="O606" s="26" t="str">
        <f>IF(OR(F606 = "", G606 = "", I606 = ""), "", IF(F606 = "Vara", IFERROR(_xlfn.SINGLE(_xlfn.XLOOKUP(G606, Vöruskrá!A:A, Vöruskrá!I:I, "")) * I606 / 100, ""), IF(F606 = "Réttur", IFERROR(_xlfn.SINGLE(_xlfn.XLOOKUP(G606, Réttabanki!A:A, Réttabanki!AV:AV, "")) * I606 / 100, ""), "")))</f>
        <v/>
      </c>
      <c r="P606" s="26" t="str">
        <f>IF(OR(F606 = "", G606 = "", I606 = ""), "", IF(F606 = "Vara", IFERROR(_xlfn.SINGLE(_xlfn.XLOOKUP(G606, Vöruskrá!A:A, Vöruskrá!J:J, "")) * I606 / 100, ""), IF(F606 = "Réttur", IFERROR(_xlfn.SINGLE(_xlfn.XLOOKUP(G606, Réttabanki!A:A, Réttabanki!AW:AW, "")) * I606 / 100, ""), "")))</f>
        <v/>
      </c>
      <c r="Q606" s="26" t="str">
        <f>IF(OR(F606 = "", G606 = "", I606 = ""), "", IF(F606 = "Vara", IFERROR(_xlfn.SINGLE(_xlfn.XLOOKUP(G606, Vöruskrá!A:A, Vöruskrá!N:N, "")) * I606 / 100, ""), IF(F606 = "Réttur", IFERROR(_xlfn.SINGLE(_xlfn.XLOOKUP(G606, Réttabanki!A:A, Réttabanki!BB:BB, "")) * I606 / 100, ""), "")))</f>
        <v/>
      </c>
    </row>
    <row r="607" spans="2:17">
      <c r="B607" s="33" t="str">
        <f>IF(A607&lt;&gt;"",CHOOSE(WEEKDAY(A607,2),"Mánudagur","Þriðjudagur","Miðvikudagur","Fimmtudagur","Föstudagur","Laugardagur","Sunnudagur"),IF(B606&lt;&gt;"",B606,""))</f>
        <v>Fimmtudagur</v>
      </c>
      <c r="C607" s="33">
        <f>IF(A607&lt;&gt;"",WEEKNUM(A607,21),IF(C606&lt;&gt;"",C606,""))</f>
        <v>27</v>
      </c>
      <c r="D607" s="34"/>
      <c r="E607" s="34"/>
      <c r="F607" s="34"/>
      <c r="G607" s="34"/>
      <c r="H607" s="34"/>
      <c r="I607" s="35"/>
      <c r="J607" s="35"/>
      <c r="K607" s="36"/>
      <c r="L607" s="26" t="str">
        <f>IF(OR(F607 = "", G607 = ""), "", IF(F607 = "Vara", IFERROR(_xlfn.SINGLE(_xlfn.XLOOKUP(G607, Vöruskrá!A:A, Vöruskrá!E:E, "")), ""), IF(F607 = "Réttur", IFERROR(_xlfn.SINGLE(_xlfn.XLOOKUP(G607, Réttabanki!A:A, Réttabanki!AS:AS, "")), ""), "")))</f>
        <v/>
      </c>
      <c r="M607" s="26" t="str">
        <f>IF(OR(F607 = "", G607 = ""), "", IF(F607 = "Vara", IFERROR(_xlfn.SINGLE(_xlfn.XLOOKUP(G607, Vöruskrá!A:A, Vöruskrá!F:F, "")), ""), IF(F607 = "Réttur", IFERROR(_xlfn.SINGLE(_xlfn.XLOOKUP(G607, Réttabanki!A:A, Réttabanki!AT:AT, "")), ""), "")))</f>
        <v/>
      </c>
      <c r="N607" s="26" t="str">
        <f>IF(OR(F607 = "", G607 = ""), "", IF(F607 = "Vara", IFERROR(_xlfn.SINGLE(_xlfn.XLOOKUP(G607, Vöruskrá!A:A, Vöruskrá!G:G, "")), ""), IF(F607 = "Réttur", IFERROR(_xlfn.SINGLE(_xlfn.XLOOKUP(G607, Réttabanki!A:A, Réttabanki!AU:AU, "")), ""), "")))</f>
        <v/>
      </c>
      <c r="O607" s="26" t="str">
        <f>IF(OR(F607 = "", G607 = "", I607 = ""), "", IF(F607 = "Vara", IFERROR(_xlfn.SINGLE(_xlfn.XLOOKUP(G607, Vöruskrá!A:A, Vöruskrá!I:I, "")) * I607 / 100, ""), IF(F607 = "Réttur", IFERROR(_xlfn.SINGLE(_xlfn.XLOOKUP(G607, Réttabanki!A:A, Réttabanki!AV:AV, "")) * I607 / 100, ""), "")))</f>
        <v/>
      </c>
      <c r="P607" s="26" t="str">
        <f>IF(OR(F607 = "", G607 = "", I607 = ""), "", IF(F607 = "Vara", IFERROR(_xlfn.SINGLE(_xlfn.XLOOKUP(G607, Vöruskrá!A:A, Vöruskrá!J:J, "")) * I607 / 100, ""), IF(F607 = "Réttur", IFERROR(_xlfn.SINGLE(_xlfn.XLOOKUP(G607, Réttabanki!A:A, Réttabanki!AW:AW, "")) * I607 / 100, ""), "")))</f>
        <v/>
      </c>
      <c r="Q607" s="26" t="str">
        <f>IF(OR(F607 = "", G607 = "", I607 = ""), "", IF(F607 = "Vara", IFERROR(_xlfn.SINGLE(_xlfn.XLOOKUP(G607, Vöruskrá!A:A, Vöruskrá!N:N, "")) * I607 / 100, ""), IF(F607 = "Réttur", IFERROR(_xlfn.SINGLE(_xlfn.XLOOKUP(G607, Réttabanki!A:A, Réttabanki!BB:BB, "")) * I607 / 100, ""), "")))</f>
        <v/>
      </c>
    </row>
    <row r="608" spans="2:17">
      <c r="B608" s="33" t="str">
        <f>IF(A608&lt;&gt;"",CHOOSE(WEEKDAY(A608,2),"Mánudagur","Þriðjudagur","Miðvikudagur","Fimmtudagur","Föstudagur","Laugardagur","Sunnudagur"),IF(B607&lt;&gt;"",B607,""))</f>
        <v>Fimmtudagur</v>
      </c>
      <c r="C608" s="33">
        <f>IF(A608&lt;&gt;"",WEEKNUM(A608,21),IF(C607&lt;&gt;"",C607,""))</f>
        <v>27</v>
      </c>
      <c r="D608" s="34"/>
      <c r="E608" s="34"/>
      <c r="F608" s="34"/>
      <c r="G608" s="34"/>
      <c r="H608" s="34"/>
      <c r="I608" s="35"/>
      <c r="J608" s="35"/>
      <c r="K608" s="36"/>
      <c r="L608" s="26" t="str">
        <f>IF(OR(F608 = "", G608 = ""), "", IF(F608 = "Vara", IFERROR(_xlfn.SINGLE(_xlfn.XLOOKUP(G608, Vöruskrá!A:A, Vöruskrá!E:E, "")), ""), IF(F608 = "Réttur", IFERROR(_xlfn.SINGLE(_xlfn.XLOOKUP(G608, Réttabanki!A:A, Réttabanki!AS:AS, "")), ""), "")))</f>
        <v/>
      </c>
      <c r="M608" s="26" t="str">
        <f>IF(OR(F608 = "", G608 = ""), "", IF(F608 = "Vara", IFERROR(_xlfn.SINGLE(_xlfn.XLOOKUP(G608, Vöruskrá!A:A, Vöruskrá!F:F, "")), ""), IF(F608 = "Réttur", IFERROR(_xlfn.SINGLE(_xlfn.XLOOKUP(G608, Réttabanki!A:A, Réttabanki!AT:AT, "")), ""), "")))</f>
        <v/>
      </c>
      <c r="N608" s="26" t="str">
        <f>IF(OR(F608 = "", G608 = ""), "", IF(F608 = "Vara", IFERROR(_xlfn.SINGLE(_xlfn.XLOOKUP(G608, Vöruskrá!A:A, Vöruskrá!G:G, "")), ""), IF(F608 = "Réttur", IFERROR(_xlfn.SINGLE(_xlfn.XLOOKUP(G608, Réttabanki!A:A, Réttabanki!AU:AU, "")), ""), "")))</f>
        <v/>
      </c>
      <c r="O608" s="26" t="str">
        <f>IF(OR(F608 = "", G608 = "", I608 = ""), "", IF(F608 = "Vara", IFERROR(_xlfn.SINGLE(_xlfn.XLOOKUP(G608, Vöruskrá!A:A, Vöruskrá!I:I, "")) * I608 / 100, ""), IF(F608 = "Réttur", IFERROR(_xlfn.SINGLE(_xlfn.XLOOKUP(G608, Réttabanki!A:A, Réttabanki!AV:AV, "")) * I608 / 100, ""), "")))</f>
        <v/>
      </c>
      <c r="P608" s="26" t="str">
        <f>IF(OR(F608 = "", G608 = "", I608 = ""), "", IF(F608 = "Vara", IFERROR(_xlfn.SINGLE(_xlfn.XLOOKUP(G608, Vöruskrá!A:A, Vöruskrá!J:J, "")) * I608 / 100, ""), IF(F608 = "Réttur", IFERROR(_xlfn.SINGLE(_xlfn.XLOOKUP(G608, Réttabanki!A:A, Réttabanki!AW:AW, "")) * I608 / 100, ""), "")))</f>
        <v/>
      </c>
      <c r="Q608" s="26" t="str">
        <f>IF(OR(F608 = "", G608 = "", I608 = ""), "", IF(F608 = "Vara", IFERROR(_xlfn.SINGLE(_xlfn.XLOOKUP(G608, Vöruskrá!A:A, Vöruskrá!N:N, "")) * I608 / 100, ""), IF(F608 = "Réttur", IFERROR(_xlfn.SINGLE(_xlfn.XLOOKUP(G608, Réttabanki!A:A, Réttabanki!BB:BB, "")) * I608 / 100, ""), "")))</f>
        <v/>
      </c>
    </row>
    <row r="609" spans="2:17">
      <c r="B609" s="33" t="str">
        <f>IF(A609&lt;&gt;"",CHOOSE(WEEKDAY(A609,2),"Mánudagur","Þriðjudagur","Miðvikudagur","Fimmtudagur","Föstudagur","Laugardagur","Sunnudagur"),IF(B608&lt;&gt;"",B608,""))</f>
        <v>Fimmtudagur</v>
      </c>
      <c r="C609" s="33">
        <f>IF(A609&lt;&gt;"",WEEKNUM(A609,21),IF(C608&lt;&gt;"",C608,""))</f>
        <v>27</v>
      </c>
      <c r="D609" s="34"/>
      <c r="E609" s="34"/>
      <c r="F609" s="34"/>
      <c r="G609" s="34"/>
      <c r="H609" s="34"/>
      <c r="I609" s="35"/>
      <c r="J609" s="35"/>
      <c r="K609" s="36"/>
      <c r="L609" s="26" t="str">
        <f>IF(OR(F609 = "", G609 = ""), "", IF(F609 = "Vara", IFERROR(_xlfn.SINGLE(_xlfn.XLOOKUP(G609, Vöruskrá!A:A, Vöruskrá!E:E, "")), ""), IF(F609 = "Réttur", IFERROR(_xlfn.SINGLE(_xlfn.XLOOKUP(G609, Réttabanki!A:A, Réttabanki!AS:AS, "")), ""), "")))</f>
        <v/>
      </c>
      <c r="M609" s="26" t="str">
        <f>IF(OR(F609 = "", G609 = ""), "", IF(F609 = "Vara", IFERROR(_xlfn.SINGLE(_xlfn.XLOOKUP(G609, Vöruskrá!A:A, Vöruskrá!F:F, "")), ""), IF(F609 = "Réttur", IFERROR(_xlfn.SINGLE(_xlfn.XLOOKUP(G609, Réttabanki!A:A, Réttabanki!AT:AT, "")), ""), "")))</f>
        <v/>
      </c>
      <c r="N609" s="26" t="str">
        <f>IF(OR(F609 = "", G609 = ""), "", IF(F609 = "Vara", IFERROR(_xlfn.SINGLE(_xlfn.XLOOKUP(G609, Vöruskrá!A:A, Vöruskrá!G:G, "")), ""), IF(F609 = "Réttur", IFERROR(_xlfn.SINGLE(_xlfn.XLOOKUP(G609, Réttabanki!A:A, Réttabanki!AU:AU, "")), ""), "")))</f>
        <v/>
      </c>
      <c r="O609" s="26" t="str">
        <f>IF(OR(F609 = "", G609 = "", I609 = ""), "", IF(F609 = "Vara", IFERROR(_xlfn.SINGLE(_xlfn.XLOOKUP(G609, Vöruskrá!A:A, Vöruskrá!I:I, "")) * I609 / 100, ""), IF(F609 = "Réttur", IFERROR(_xlfn.SINGLE(_xlfn.XLOOKUP(G609, Réttabanki!A:A, Réttabanki!AV:AV, "")) * I609 / 100, ""), "")))</f>
        <v/>
      </c>
      <c r="P609" s="26" t="str">
        <f>IF(OR(F609 = "", G609 = "", I609 = ""), "", IF(F609 = "Vara", IFERROR(_xlfn.SINGLE(_xlfn.XLOOKUP(G609, Vöruskrá!A:A, Vöruskrá!J:J, "")) * I609 / 100, ""), IF(F609 = "Réttur", IFERROR(_xlfn.SINGLE(_xlfn.XLOOKUP(G609, Réttabanki!A:A, Réttabanki!AW:AW, "")) * I609 / 100, ""), "")))</f>
        <v/>
      </c>
      <c r="Q609" s="26" t="str">
        <f>IF(OR(F609 = "", G609 = "", I609 = ""), "", IF(F609 = "Vara", IFERROR(_xlfn.SINGLE(_xlfn.XLOOKUP(G609, Vöruskrá!A:A, Vöruskrá!N:N, "")) * I609 / 100, ""), IF(F609 = "Réttur", IFERROR(_xlfn.SINGLE(_xlfn.XLOOKUP(G609, Réttabanki!A:A, Réttabanki!BB:BB, "")) * I609 / 100, ""), "")))</f>
        <v/>
      </c>
    </row>
    <row r="610" spans="2:17">
      <c r="B610" s="33" t="str">
        <f>IF(A610&lt;&gt;"",CHOOSE(WEEKDAY(A610,2),"Mánudagur","Þriðjudagur","Miðvikudagur","Fimmtudagur","Föstudagur","Laugardagur","Sunnudagur"),IF(B609&lt;&gt;"",B609,""))</f>
        <v>Fimmtudagur</v>
      </c>
      <c r="C610" s="33">
        <f>IF(A610&lt;&gt;"",WEEKNUM(A610,21),IF(C609&lt;&gt;"",C609,""))</f>
        <v>27</v>
      </c>
      <c r="D610" s="34"/>
      <c r="E610" s="34"/>
      <c r="F610" s="34"/>
      <c r="G610" s="34"/>
      <c r="H610" s="34"/>
      <c r="I610" s="35"/>
      <c r="J610" s="35"/>
      <c r="K610" s="36"/>
      <c r="L610" s="26" t="str">
        <f>IF(OR(F610 = "", G610 = ""), "", IF(F610 = "Vara", IFERROR(_xlfn.SINGLE(_xlfn.XLOOKUP(G610, Vöruskrá!A:A, Vöruskrá!E:E, "")), ""), IF(F610 = "Réttur", IFERROR(_xlfn.SINGLE(_xlfn.XLOOKUP(G610, Réttabanki!A:A, Réttabanki!AS:AS, "")), ""), "")))</f>
        <v/>
      </c>
      <c r="M610" s="26" t="str">
        <f>IF(OR(F610 = "", G610 = ""), "", IF(F610 = "Vara", IFERROR(_xlfn.SINGLE(_xlfn.XLOOKUP(G610, Vöruskrá!A:A, Vöruskrá!F:F, "")), ""), IF(F610 = "Réttur", IFERROR(_xlfn.SINGLE(_xlfn.XLOOKUP(G610, Réttabanki!A:A, Réttabanki!AT:AT, "")), ""), "")))</f>
        <v/>
      </c>
      <c r="N610" s="26" t="str">
        <f>IF(OR(F610 = "", G610 = ""), "", IF(F610 = "Vara", IFERROR(_xlfn.SINGLE(_xlfn.XLOOKUP(G610, Vöruskrá!A:A, Vöruskrá!G:G, "")), ""), IF(F610 = "Réttur", IFERROR(_xlfn.SINGLE(_xlfn.XLOOKUP(G610, Réttabanki!A:A, Réttabanki!AU:AU, "")), ""), "")))</f>
        <v/>
      </c>
      <c r="O610" s="26" t="str">
        <f>IF(OR(F610 = "", G610 = "", I610 = ""), "", IF(F610 = "Vara", IFERROR(_xlfn.SINGLE(_xlfn.XLOOKUP(G610, Vöruskrá!A:A, Vöruskrá!I:I, "")) * I610 / 100, ""), IF(F610 = "Réttur", IFERROR(_xlfn.SINGLE(_xlfn.XLOOKUP(G610, Réttabanki!A:A, Réttabanki!AV:AV, "")) * I610 / 100, ""), "")))</f>
        <v/>
      </c>
      <c r="P610" s="26" t="str">
        <f>IF(OR(F610 = "", G610 = "", I610 = ""), "", IF(F610 = "Vara", IFERROR(_xlfn.SINGLE(_xlfn.XLOOKUP(G610, Vöruskrá!A:A, Vöruskrá!J:J, "")) * I610 / 100, ""), IF(F610 = "Réttur", IFERROR(_xlfn.SINGLE(_xlfn.XLOOKUP(G610, Réttabanki!A:A, Réttabanki!AW:AW, "")) * I610 / 100, ""), "")))</f>
        <v/>
      </c>
      <c r="Q610" s="26" t="str">
        <f>IF(OR(F610 = "", G610 = "", I610 = ""), "", IF(F610 = "Vara", IFERROR(_xlfn.SINGLE(_xlfn.XLOOKUP(G610, Vöruskrá!A:A, Vöruskrá!N:N, "")) * I610 / 100, ""), IF(F610 = "Réttur", IFERROR(_xlfn.SINGLE(_xlfn.XLOOKUP(G610, Réttabanki!A:A, Réttabanki!BB:BB, "")) * I610 / 100, ""), "")))</f>
        <v/>
      </c>
    </row>
    <row r="611" spans="2:17">
      <c r="B611" s="33" t="str">
        <f>IF(A611&lt;&gt;"",CHOOSE(WEEKDAY(A611,2),"Mánudagur","Þriðjudagur","Miðvikudagur","Fimmtudagur","Föstudagur","Laugardagur","Sunnudagur"),IF(B610&lt;&gt;"",B610,""))</f>
        <v>Fimmtudagur</v>
      </c>
      <c r="C611" s="33">
        <f>IF(A611&lt;&gt;"",WEEKNUM(A611,21),IF(C610&lt;&gt;"",C610,""))</f>
        <v>27</v>
      </c>
      <c r="D611" s="34"/>
      <c r="E611" s="34"/>
      <c r="F611" s="34"/>
      <c r="G611" s="34"/>
      <c r="H611" s="34"/>
      <c r="I611" s="35"/>
      <c r="J611" s="35"/>
      <c r="K611" s="36"/>
      <c r="L611" s="26" t="str">
        <f>IF(OR(F611 = "", G611 = ""), "", IF(F611 = "Vara", IFERROR(_xlfn.SINGLE(_xlfn.XLOOKUP(G611, Vöruskrá!A:A, Vöruskrá!E:E, "")), ""), IF(F611 = "Réttur", IFERROR(_xlfn.SINGLE(_xlfn.XLOOKUP(G611, Réttabanki!A:A, Réttabanki!AS:AS, "")), ""), "")))</f>
        <v/>
      </c>
      <c r="M611" s="26" t="str">
        <f>IF(OR(F611 = "", G611 = ""), "", IF(F611 = "Vara", IFERROR(_xlfn.SINGLE(_xlfn.XLOOKUP(G611, Vöruskrá!A:A, Vöruskrá!F:F, "")), ""), IF(F611 = "Réttur", IFERROR(_xlfn.SINGLE(_xlfn.XLOOKUP(G611, Réttabanki!A:A, Réttabanki!AT:AT, "")), ""), "")))</f>
        <v/>
      </c>
      <c r="N611" s="26" t="str">
        <f>IF(OR(F611 = "", G611 = ""), "", IF(F611 = "Vara", IFERROR(_xlfn.SINGLE(_xlfn.XLOOKUP(G611, Vöruskrá!A:A, Vöruskrá!G:G, "")), ""), IF(F611 = "Réttur", IFERROR(_xlfn.SINGLE(_xlfn.XLOOKUP(G611, Réttabanki!A:A, Réttabanki!AU:AU, "")), ""), "")))</f>
        <v/>
      </c>
      <c r="O611" s="26" t="str">
        <f>IF(OR(F611 = "", G611 = "", I611 = ""), "", IF(F611 = "Vara", IFERROR(_xlfn.SINGLE(_xlfn.XLOOKUP(G611, Vöruskrá!A:A, Vöruskrá!I:I, "")) * I611 / 100, ""), IF(F611 = "Réttur", IFERROR(_xlfn.SINGLE(_xlfn.XLOOKUP(G611, Réttabanki!A:A, Réttabanki!AV:AV, "")) * I611 / 100, ""), "")))</f>
        <v/>
      </c>
      <c r="P611" s="26" t="str">
        <f>IF(OR(F611 = "", G611 = "", I611 = ""), "", IF(F611 = "Vara", IFERROR(_xlfn.SINGLE(_xlfn.XLOOKUP(G611, Vöruskrá!A:A, Vöruskrá!J:J, "")) * I611 / 100, ""), IF(F611 = "Réttur", IFERROR(_xlfn.SINGLE(_xlfn.XLOOKUP(G611, Réttabanki!A:A, Réttabanki!AW:AW, "")) * I611 / 100, ""), "")))</f>
        <v/>
      </c>
      <c r="Q611" s="26" t="str">
        <f>IF(OR(F611 = "", G611 = "", I611 = ""), "", IF(F611 = "Vara", IFERROR(_xlfn.SINGLE(_xlfn.XLOOKUP(G611, Vöruskrá!A:A, Vöruskrá!N:N, "")) * I611 / 100, ""), IF(F611 = "Réttur", IFERROR(_xlfn.SINGLE(_xlfn.XLOOKUP(G611, Réttabanki!A:A, Réttabanki!BB:BB, "")) * I611 / 100, ""), "")))</f>
        <v/>
      </c>
    </row>
    <row r="612" spans="2:17">
      <c r="B612" s="33" t="str">
        <f>IF(A612&lt;&gt;"",CHOOSE(WEEKDAY(A612,2),"Mánudagur","Þriðjudagur","Miðvikudagur","Fimmtudagur","Föstudagur","Laugardagur","Sunnudagur"),IF(B611&lt;&gt;"",B611,""))</f>
        <v>Fimmtudagur</v>
      </c>
      <c r="C612" s="33">
        <f>IF(A612&lt;&gt;"",WEEKNUM(A612,21),IF(C611&lt;&gt;"",C611,""))</f>
        <v>27</v>
      </c>
      <c r="D612" s="34"/>
      <c r="E612" s="34"/>
      <c r="F612" s="34"/>
      <c r="G612" s="34"/>
      <c r="H612" s="34"/>
      <c r="I612" s="35"/>
      <c r="J612" s="35"/>
      <c r="K612" s="36"/>
      <c r="L612" s="26" t="str">
        <f>IF(OR(F612 = "", G612 = ""), "", IF(F612 = "Vara", IFERROR(_xlfn.SINGLE(_xlfn.XLOOKUP(G612, Vöruskrá!A:A, Vöruskrá!E:E, "")), ""), IF(F612 = "Réttur", IFERROR(_xlfn.SINGLE(_xlfn.XLOOKUP(G612, Réttabanki!A:A, Réttabanki!AS:AS, "")), ""), "")))</f>
        <v/>
      </c>
      <c r="M612" s="26" t="str">
        <f>IF(OR(F612 = "", G612 = ""), "", IF(F612 = "Vara", IFERROR(_xlfn.SINGLE(_xlfn.XLOOKUP(G612, Vöruskrá!A:A, Vöruskrá!F:F, "")), ""), IF(F612 = "Réttur", IFERROR(_xlfn.SINGLE(_xlfn.XLOOKUP(G612, Réttabanki!A:A, Réttabanki!AT:AT, "")), ""), "")))</f>
        <v/>
      </c>
      <c r="N612" s="26" t="str">
        <f>IF(OR(F612 = "", G612 = ""), "", IF(F612 = "Vara", IFERROR(_xlfn.SINGLE(_xlfn.XLOOKUP(G612, Vöruskrá!A:A, Vöruskrá!G:G, "")), ""), IF(F612 = "Réttur", IFERROR(_xlfn.SINGLE(_xlfn.XLOOKUP(G612, Réttabanki!A:A, Réttabanki!AU:AU, "")), ""), "")))</f>
        <v/>
      </c>
      <c r="O612" s="26" t="str">
        <f>IF(OR(F612 = "", G612 = "", I612 = ""), "", IF(F612 = "Vara", IFERROR(_xlfn.SINGLE(_xlfn.XLOOKUP(G612, Vöruskrá!A:A, Vöruskrá!I:I, "")) * I612 / 100, ""), IF(F612 = "Réttur", IFERROR(_xlfn.SINGLE(_xlfn.XLOOKUP(G612, Réttabanki!A:A, Réttabanki!AV:AV, "")) * I612 / 100, ""), "")))</f>
        <v/>
      </c>
      <c r="P612" s="26" t="str">
        <f>IF(OR(F612 = "", G612 = "", I612 = ""), "", IF(F612 = "Vara", IFERROR(_xlfn.SINGLE(_xlfn.XLOOKUP(G612, Vöruskrá!A:A, Vöruskrá!J:J, "")) * I612 / 100, ""), IF(F612 = "Réttur", IFERROR(_xlfn.SINGLE(_xlfn.XLOOKUP(G612, Réttabanki!A:A, Réttabanki!AW:AW, "")) * I612 / 100, ""), "")))</f>
        <v/>
      </c>
      <c r="Q612" s="26" t="str">
        <f>IF(OR(F612 = "", G612 = "", I612 = ""), "", IF(F612 = "Vara", IFERROR(_xlfn.SINGLE(_xlfn.XLOOKUP(G612, Vöruskrá!A:A, Vöruskrá!N:N, "")) * I612 / 100, ""), IF(F612 = "Réttur", IFERROR(_xlfn.SINGLE(_xlfn.XLOOKUP(G612, Réttabanki!A:A, Réttabanki!BB:BB, "")) * I612 / 100, ""), "")))</f>
        <v/>
      </c>
    </row>
    <row r="613" spans="2:17">
      <c r="B613" s="33" t="str">
        <f>IF(A613&lt;&gt;"",CHOOSE(WEEKDAY(A613,2),"Mánudagur","Þriðjudagur","Miðvikudagur","Fimmtudagur","Föstudagur","Laugardagur","Sunnudagur"),IF(B612&lt;&gt;"",B612,""))</f>
        <v>Fimmtudagur</v>
      </c>
      <c r="C613" s="33">
        <f>IF(A613&lt;&gt;"",WEEKNUM(A613,21),IF(C612&lt;&gt;"",C612,""))</f>
        <v>27</v>
      </c>
      <c r="D613" s="34"/>
      <c r="E613" s="34"/>
      <c r="F613" s="34"/>
      <c r="G613" s="34"/>
      <c r="H613" s="34"/>
      <c r="I613" s="35"/>
      <c r="J613" s="35"/>
      <c r="K613" s="36"/>
      <c r="L613" s="26" t="str">
        <f>IF(OR(F613 = "", G613 = ""), "", IF(F613 = "Vara", IFERROR(_xlfn.SINGLE(_xlfn.XLOOKUP(G613, Vöruskrá!A:A, Vöruskrá!E:E, "")), ""), IF(F613 = "Réttur", IFERROR(_xlfn.SINGLE(_xlfn.XLOOKUP(G613, Réttabanki!A:A, Réttabanki!AS:AS, "")), ""), "")))</f>
        <v/>
      </c>
      <c r="M613" s="26" t="str">
        <f>IF(OR(F613 = "", G613 = ""), "", IF(F613 = "Vara", IFERROR(_xlfn.SINGLE(_xlfn.XLOOKUP(G613, Vöruskrá!A:A, Vöruskrá!F:F, "")), ""), IF(F613 = "Réttur", IFERROR(_xlfn.SINGLE(_xlfn.XLOOKUP(G613, Réttabanki!A:A, Réttabanki!AT:AT, "")), ""), "")))</f>
        <v/>
      </c>
      <c r="N613" s="26" t="str">
        <f>IF(OR(F613 = "", G613 = ""), "", IF(F613 = "Vara", IFERROR(_xlfn.SINGLE(_xlfn.XLOOKUP(G613, Vöruskrá!A:A, Vöruskrá!G:G, "")), ""), IF(F613 = "Réttur", IFERROR(_xlfn.SINGLE(_xlfn.XLOOKUP(G613, Réttabanki!A:A, Réttabanki!AU:AU, "")), ""), "")))</f>
        <v/>
      </c>
      <c r="O613" s="26" t="str">
        <f>IF(OR(F613 = "", G613 = "", I613 = ""), "", IF(F613 = "Vara", IFERROR(_xlfn.SINGLE(_xlfn.XLOOKUP(G613, Vöruskrá!A:A, Vöruskrá!I:I, "")) * I613 / 100, ""), IF(F613 = "Réttur", IFERROR(_xlfn.SINGLE(_xlfn.XLOOKUP(G613, Réttabanki!A:A, Réttabanki!AV:AV, "")) * I613 / 100, ""), "")))</f>
        <v/>
      </c>
      <c r="P613" s="26" t="str">
        <f>IF(OR(F613 = "", G613 = "", I613 = ""), "", IF(F613 = "Vara", IFERROR(_xlfn.SINGLE(_xlfn.XLOOKUP(G613, Vöruskrá!A:A, Vöruskrá!J:J, "")) * I613 / 100, ""), IF(F613 = "Réttur", IFERROR(_xlfn.SINGLE(_xlfn.XLOOKUP(G613, Réttabanki!A:A, Réttabanki!AW:AW, "")) * I613 / 100, ""), "")))</f>
        <v/>
      </c>
      <c r="Q613" s="26" t="str">
        <f>IF(OR(F613 = "", G613 = "", I613 = ""), "", IF(F613 = "Vara", IFERROR(_xlfn.SINGLE(_xlfn.XLOOKUP(G613, Vöruskrá!A:A, Vöruskrá!N:N, "")) * I613 / 100, ""), IF(F613 = "Réttur", IFERROR(_xlfn.SINGLE(_xlfn.XLOOKUP(G613, Réttabanki!A:A, Réttabanki!BB:BB, "")) * I613 / 100, ""), "")))</f>
        <v/>
      </c>
    </row>
    <row r="614" spans="2:17">
      <c r="B614" s="33" t="str">
        <f>IF(A614&lt;&gt;"",CHOOSE(WEEKDAY(A614,2),"Mánudagur","Þriðjudagur","Miðvikudagur","Fimmtudagur","Föstudagur","Laugardagur","Sunnudagur"),IF(B613&lt;&gt;"",B613,""))</f>
        <v>Fimmtudagur</v>
      </c>
      <c r="C614" s="33">
        <f>IF(A614&lt;&gt;"",WEEKNUM(A614,21),IF(C613&lt;&gt;"",C613,""))</f>
        <v>27</v>
      </c>
      <c r="D614" s="34"/>
      <c r="E614" s="34"/>
      <c r="F614" s="34"/>
      <c r="G614" s="34"/>
      <c r="H614" s="34"/>
      <c r="I614" s="35"/>
      <c r="J614" s="35"/>
      <c r="K614" s="36"/>
      <c r="L614" s="26" t="str">
        <f>IF(OR(F614 = "", G614 = ""), "", IF(F614 = "Vara", IFERROR(_xlfn.SINGLE(_xlfn.XLOOKUP(G614, Vöruskrá!A:A, Vöruskrá!E:E, "")), ""), IF(F614 = "Réttur", IFERROR(_xlfn.SINGLE(_xlfn.XLOOKUP(G614, Réttabanki!A:A, Réttabanki!AS:AS, "")), ""), "")))</f>
        <v/>
      </c>
      <c r="M614" s="26" t="str">
        <f>IF(OR(F614 = "", G614 = ""), "", IF(F614 = "Vara", IFERROR(_xlfn.SINGLE(_xlfn.XLOOKUP(G614, Vöruskrá!A:A, Vöruskrá!F:F, "")), ""), IF(F614 = "Réttur", IFERROR(_xlfn.SINGLE(_xlfn.XLOOKUP(G614, Réttabanki!A:A, Réttabanki!AT:AT, "")), ""), "")))</f>
        <v/>
      </c>
      <c r="N614" s="26" t="str">
        <f>IF(OR(F614 = "", G614 = ""), "", IF(F614 = "Vara", IFERROR(_xlfn.SINGLE(_xlfn.XLOOKUP(G614, Vöruskrá!A:A, Vöruskrá!G:G, "")), ""), IF(F614 = "Réttur", IFERROR(_xlfn.SINGLE(_xlfn.XLOOKUP(G614, Réttabanki!A:A, Réttabanki!AU:AU, "")), ""), "")))</f>
        <v/>
      </c>
      <c r="O614" s="26" t="str">
        <f>IF(OR(F614 = "", G614 = "", I614 = ""), "", IF(F614 = "Vara", IFERROR(_xlfn.SINGLE(_xlfn.XLOOKUP(G614, Vöruskrá!A:A, Vöruskrá!I:I, "")) * I614 / 100, ""), IF(F614 = "Réttur", IFERROR(_xlfn.SINGLE(_xlfn.XLOOKUP(G614, Réttabanki!A:A, Réttabanki!AV:AV, "")) * I614 / 100, ""), "")))</f>
        <v/>
      </c>
      <c r="P614" s="26" t="str">
        <f>IF(OR(F614 = "", G614 = "", I614 = ""), "", IF(F614 = "Vara", IFERROR(_xlfn.SINGLE(_xlfn.XLOOKUP(G614, Vöruskrá!A:A, Vöruskrá!J:J, "")) * I614 / 100, ""), IF(F614 = "Réttur", IFERROR(_xlfn.SINGLE(_xlfn.XLOOKUP(G614, Réttabanki!A:A, Réttabanki!AW:AW, "")) * I614 / 100, ""), "")))</f>
        <v/>
      </c>
      <c r="Q614" s="26" t="str">
        <f>IF(OR(F614 = "", G614 = "", I614 = ""), "", IF(F614 = "Vara", IFERROR(_xlfn.SINGLE(_xlfn.XLOOKUP(G614, Vöruskrá!A:A, Vöruskrá!N:N, "")) * I614 / 100, ""), IF(F614 = "Réttur", IFERROR(_xlfn.SINGLE(_xlfn.XLOOKUP(G614, Réttabanki!A:A, Réttabanki!BB:BB, "")) * I614 / 100, ""), "")))</f>
        <v/>
      </c>
    </row>
    <row r="615" spans="2:17">
      <c r="B615" s="33" t="str">
        <f>IF(A615&lt;&gt;"",CHOOSE(WEEKDAY(A615,2),"Mánudagur","Þriðjudagur","Miðvikudagur","Fimmtudagur","Föstudagur","Laugardagur","Sunnudagur"),IF(B614&lt;&gt;"",B614,""))</f>
        <v>Fimmtudagur</v>
      </c>
      <c r="C615" s="33">
        <f>IF(A615&lt;&gt;"",WEEKNUM(A615,21),IF(C614&lt;&gt;"",C614,""))</f>
        <v>27</v>
      </c>
      <c r="D615" s="34"/>
      <c r="E615" s="34"/>
      <c r="F615" s="34"/>
      <c r="G615" s="34"/>
      <c r="H615" s="34"/>
      <c r="I615" s="35"/>
      <c r="J615" s="35"/>
      <c r="K615" s="36"/>
      <c r="L615" s="26" t="str">
        <f>IF(OR(F615 = "", G615 = ""), "", IF(F615 = "Vara", IFERROR(_xlfn.SINGLE(_xlfn.XLOOKUP(G615, Vöruskrá!A:A, Vöruskrá!E:E, "")), ""), IF(F615 = "Réttur", IFERROR(_xlfn.SINGLE(_xlfn.XLOOKUP(G615, Réttabanki!A:A, Réttabanki!AS:AS, "")), ""), "")))</f>
        <v/>
      </c>
      <c r="M615" s="26" t="str">
        <f>IF(OR(F615 = "", G615 = ""), "", IF(F615 = "Vara", IFERROR(_xlfn.SINGLE(_xlfn.XLOOKUP(G615, Vöruskrá!A:A, Vöruskrá!F:F, "")), ""), IF(F615 = "Réttur", IFERROR(_xlfn.SINGLE(_xlfn.XLOOKUP(G615, Réttabanki!A:A, Réttabanki!AT:AT, "")), ""), "")))</f>
        <v/>
      </c>
      <c r="N615" s="26" t="str">
        <f>IF(OR(F615 = "", G615 = ""), "", IF(F615 = "Vara", IFERROR(_xlfn.SINGLE(_xlfn.XLOOKUP(G615, Vöruskrá!A:A, Vöruskrá!G:G, "")), ""), IF(F615 = "Réttur", IFERROR(_xlfn.SINGLE(_xlfn.XLOOKUP(G615, Réttabanki!A:A, Réttabanki!AU:AU, "")), ""), "")))</f>
        <v/>
      </c>
      <c r="O615" s="26" t="str">
        <f>IF(OR(F615 = "", G615 = "", I615 = ""), "", IF(F615 = "Vara", IFERROR(_xlfn.SINGLE(_xlfn.XLOOKUP(G615, Vöruskrá!A:A, Vöruskrá!I:I, "")) * I615 / 100, ""), IF(F615 = "Réttur", IFERROR(_xlfn.SINGLE(_xlfn.XLOOKUP(G615, Réttabanki!A:A, Réttabanki!AV:AV, "")) * I615 / 100, ""), "")))</f>
        <v/>
      </c>
      <c r="P615" s="26" t="str">
        <f>IF(OR(F615 = "", G615 = "", I615 = ""), "", IF(F615 = "Vara", IFERROR(_xlfn.SINGLE(_xlfn.XLOOKUP(G615, Vöruskrá!A:A, Vöruskrá!J:J, "")) * I615 / 100, ""), IF(F615 = "Réttur", IFERROR(_xlfn.SINGLE(_xlfn.XLOOKUP(G615, Réttabanki!A:A, Réttabanki!AW:AW, "")) * I615 / 100, ""), "")))</f>
        <v/>
      </c>
      <c r="Q615" s="26" t="str">
        <f>IF(OR(F615 = "", G615 = "", I615 = ""), "", IF(F615 = "Vara", IFERROR(_xlfn.SINGLE(_xlfn.XLOOKUP(G615, Vöruskrá!A:A, Vöruskrá!N:N, "")) * I615 / 100, ""), IF(F615 = "Réttur", IFERROR(_xlfn.SINGLE(_xlfn.XLOOKUP(G615, Réttabanki!A:A, Réttabanki!BB:BB, "")) * I615 / 100, ""), "")))</f>
        <v/>
      </c>
    </row>
    <row r="616" spans="2:17">
      <c r="B616" s="33" t="str">
        <f>IF(A616&lt;&gt;"",CHOOSE(WEEKDAY(A616,2),"Mánudagur","Þriðjudagur","Miðvikudagur","Fimmtudagur","Föstudagur","Laugardagur","Sunnudagur"),IF(B615&lt;&gt;"",B615,""))</f>
        <v>Fimmtudagur</v>
      </c>
      <c r="C616" s="33">
        <f>IF(A616&lt;&gt;"",WEEKNUM(A616,21),IF(C615&lt;&gt;"",C615,""))</f>
        <v>27</v>
      </c>
      <c r="D616" s="34"/>
      <c r="E616" s="34"/>
      <c r="F616" s="34"/>
      <c r="G616" s="34"/>
      <c r="H616" s="34"/>
      <c r="I616" s="35"/>
      <c r="J616" s="35"/>
      <c r="K616" s="36"/>
      <c r="L616" s="26" t="str">
        <f>IF(OR(F616 = "", G616 = ""), "", IF(F616 = "Vara", IFERROR(_xlfn.SINGLE(_xlfn.XLOOKUP(G616, Vöruskrá!A:A, Vöruskrá!E:E, "")), ""), IF(F616 = "Réttur", IFERROR(_xlfn.SINGLE(_xlfn.XLOOKUP(G616, Réttabanki!A:A, Réttabanki!AS:AS, "")), ""), "")))</f>
        <v/>
      </c>
      <c r="M616" s="26" t="str">
        <f>IF(OR(F616 = "", G616 = ""), "", IF(F616 = "Vara", IFERROR(_xlfn.SINGLE(_xlfn.XLOOKUP(G616, Vöruskrá!A:A, Vöruskrá!F:F, "")), ""), IF(F616 = "Réttur", IFERROR(_xlfn.SINGLE(_xlfn.XLOOKUP(G616, Réttabanki!A:A, Réttabanki!AT:AT, "")), ""), "")))</f>
        <v/>
      </c>
      <c r="N616" s="26" t="str">
        <f>IF(OR(F616 = "", G616 = ""), "", IF(F616 = "Vara", IFERROR(_xlfn.SINGLE(_xlfn.XLOOKUP(G616, Vöruskrá!A:A, Vöruskrá!G:G, "")), ""), IF(F616 = "Réttur", IFERROR(_xlfn.SINGLE(_xlfn.XLOOKUP(G616, Réttabanki!A:A, Réttabanki!AU:AU, "")), ""), "")))</f>
        <v/>
      </c>
      <c r="O616" s="26" t="str">
        <f>IF(OR(F616 = "", G616 = "", I616 = ""), "", IF(F616 = "Vara", IFERROR(_xlfn.SINGLE(_xlfn.XLOOKUP(G616, Vöruskrá!A:A, Vöruskrá!I:I, "")) * I616 / 100, ""), IF(F616 = "Réttur", IFERROR(_xlfn.SINGLE(_xlfn.XLOOKUP(G616, Réttabanki!A:A, Réttabanki!AV:AV, "")) * I616 / 100, ""), "")))</f>
        <v/>
      </c>
      <c r="P616" s="26" t="str">
        <f>IF(OR(F616 = "", G616 = "", I616 = ""), "", IF(F616 = "Vara", IFERROR(_xlfn.SINGLE(_xlfn.XLOOKUP(G616, Vöruskrá!A:A, Vöruskrá!J:J, "")) * I616 / 100, ""), IF(F616 = "Réttur", IFERROR(_xlfn.SINGLE(_xlfn.XLOOKUP(G616, Réttabanki!A:A, Réttabanki!AW:AW, "")) * I616 / 100, ""), "")))</f>
        <v/>
      </c>
      <c r="Q616" s="26" t="str">
        <f>IF(OR(F616 = "", G616 = "", I616 = ""), "", IF(F616 = "Vara", IFERROR(_xlfn.SINGLE(_xlfn.XLOOKUP(G616, Vöruskrá!A:A, Vöruskrá!N:N, "")) * I616 / 100, ""), IF(F616 = "Réttur", IFERROR(_xlfn.SINGLE(_xlfn.XLOOKUP(G616, Réttabanki!A:A, Réttabanki!BB:BB, "")) * I616 / 100, ""), "")))</f>
        <v/>
      </c>
    </row>
    <row r="617" spans="2:17">
      <c r="B617" s="33" t="str">
        <f>IF(A617&lt;&gt;"",CHOOSE(WEEKDAY(A617,2),"Mánudagur","Þriðjudagur","Miðvikudagur","Fimmtudagur","Föstudagur","Laugardagur","Sunnudagur"),IF(B616&lt;&gt;"",B616,""))</f>
        <v>Fimmtudagur</v>
      </c>
      <c r="C617" s="33">
        <f>IF(A617&lt;&gt;"",WEEKNUM(A617,21),IF(C616&lt;&gt;"",C616,""))</f>
        <v>27</v>
      </c>
      <c r="D617" s="34"/>
      <c r="E617" s="34"/>
      <c r="F617" s="34"/>
      <c r="G617" s="34"/>
      <c r="H617" s="34"/>
      <c r="I617" s="35"/>
      <c r="J617" s="35"/>
      <c r="K617" s="36"/>
      <c r="L617" s="26" t="str">
        <f>IF(OR(F617 = "", G617 = ""), "", IF(F617 = "Vara", IFERROR(_xlfn.SINGLE(_xlfn.XLOOKUP(G617, Vöruskrá!A:A, Vöruskrá!E:E, "")), ""), IF(F617 = "Réttur", IFERROR(_xlfn.SINGLE(_xlfn.XLOOKUP(G617, Réttabanki!A:A, Réttabanki!AS:AS, "")), ""), "")))</f>
        <v/>
      </c>
      <c r="M617" s="26" t="str">
        <f>IF(OR(F617 = "", G617 = ""), "", IF(F617 = "Vara", IFERROR(_xlfn.SINGLE(_xlfn.XLOOKUP(G617, Vöruskrá!A:A, Vöruskrá!F:F, "")), ""), IF(F617 = "Réttur", IFERROR(_xlfn.SINGLE(_xlfn.XLOOKUP(G617, Réttabanki!A:A, Réttabanki!AT:AT, "")), ""), "")))</f>
        <v/>
      </c>
      <c r="N617" s="26" t="str">
        <f>IF(OR(F617 = "", G617 = ""), "", IF(F617 = "Vara", IFERROR(_xlfn.SINGLE(_xlfn.XLOOKUP(G617, Vöruskrá!A:A, Vöruskrá!G:G, "")), ""), IF(F617 = "Réttur", IFERROR(_xlfn.SINGLE(_xlfn.XLOOKUP(G617, Réttabanki!A:A, Réttabanki!AU:AU, "")), ""), "")))</f>
        <v/>
      </c>
      <c r="O617" s="26" t="str">
        <f>IF(OR(F617 = "", G617 = "", I617 = ""), "", IF(F617 = "Vara", IFERROR(_xlfn.SINGLE(_xlfn.XLOOKUP(G617, Vöruskrá!A:A, Vöruskrá!I:I, "")) * I617 / 100, ""), IF(F617 = "Réttur", IFERROR(_xlfn.SINGLE(_xlfn.XLOOKUP(G617, Réttabanki!A:A, Réttabanki!AV:AV, "")) * I617 / 100, ""), "")))</f>
        <v/>
      </c>
      <c r="P617" s="26" t="str">
        <f>IF(OR(F617 = "", G617 = "", I617 = ""), "", IF(F617 = "Vara", IFERROR(_xlfn.SINGLE(_xlfn.XLOOKUP(G617, Vöruskrá!A:A, Vöruskrá!J:J, "")) * I617 / 100, ""), IF(F617 = "Réttur", IFERROR(_xlfn.SINGLE(_xlfn.XLOOKUP(G617, Réttabanki!A:A, Réttabanki!AW:AW, "")) * I617 / 100, ""), "")))</f>
        <v/>
      </c>
      <c r="Q617" s="26" t="str">
        <f>IF(OR(F617 = "", G617 = "", I617 = ""), "", IF(F617 = "Vara", IFERROR(_xlfn.SINGLE(_xlfn.XLOOKUP(G617, Vöruskrá!A:A, Vöruskrá!N:N, "")) * I617 / 100, ""), IF(F617 = "Réttur", IFERROR(_xlfn.SINGLE(_xlfn.XLOOKUP(G617, Réttabanki!A:A, Réttabanki!BB:BB, "")) * I617 / 100, ""), "")))</f>
        <v/>
      </c>
    </row>
    <row r="618" spans="2:17">
      <c r="B618" s="33" t="str">
        <f>IF(A618&lt;&gt;"",CHOOSE(WEEKDAY(A618,2),"Mánudagur","Þriðjudagur","Miðvikudagur","Fimmtudagur","Föstudagur","Laugardagur","Sunnudagur"),IF(B617&lt;&gt;"",B617,""))</f>
        <v>Fimmtudagur</v>
      </c>
      <c r="C618" s="33">
        <f>IF(A618&lt;&gt;"",WEEKNUM(A618,21),IF(C617&lt;&gt;"",C617,""))</f>
        <v>27</v>
      </c>
      <c r="D618" s="34"/>
      <c r="E618" s="34"/>
      <c r="F618" s="34"/>
      <c r="G618" s="34"/>
      <c r="H618" s="34"/>
      <c r="I618" s="35"/>
      <c r="J618" s="35"/>
      <c r="K618" s="36"/>
      <c r="L618" s="26" t="str">
        <f>IF(OR(F618 = "", G618 = ""), "", IF(F618 = "Vara", IFERROR(_xlfn.SINGLE(_xlfn.XLOOKUP(G618, Vöruskrá!A:A, Vöruskrá!E:E, "")), ""), IF(F618 = "Réttur", IFERROR(_xlfn.SINGLE(_xlfn.XLOOKUP(G618, Réttabanki!A:A, Réttabanki!AS:AS, "")), ""), "")))</f>
        <v/>
      </c>
      <c r="M618" s="26" t="str">
        <f>IF(OR(F618 = "", G618 = ""), "", IF(F618 = "Vara", IFERROR(_xlfn.SINGLE(_xlfn.XLOOKUP(G618, Vöruskrá!A:A, Vöruskrá!F:F, "")), ""), IF(F618 = "Réttur", IFERROR(_xlfn.SINGLE(_xlfn.XLOOKUP(G618, Réttabanki!A:A, Réttabanki!AT:AT, "")), ""), "")))</f>
        <v/>
      </c>
      <c r="N618" s="26" t="str">
        <f>IF(OR(F618 = "", G618 = ""), "", IF(F618 = "Vara", IFERROR(_xlfn.SINGLE(_xlfn.XLOOKUP(G618, Vöruskrá!A:A, Vöruskrá!G:G, "")), ""), IF(F618 = "Réttur", IFERROR(_xlfn.SINGLE(_xlfn.XLOOKUP(G618, Réttabanki!A:A, Réttabanki!AU:AU, "")), ""), "")))</f>
        <v/>
      </c>
      <c r="O618" s="26" t="str">
        <f>IF(OR(F618 = "", G618 = "", I618 = ""), "", IF(F618 = "Vara", IFERROR(_xlfn.SINGLE(_xlfn.XLOOKUP(G618, Vöruskrá!A:A, Vöruskrá!I:I, "")) * I618 / 100, ""), IF(F618 = "Réttur", IFERROR(_xlfn.SINGLE(_xlfn.XLOOKUP(G618, Réttabanki!A:A, Réttabanki!AV:AV, "")) * I618 / 100, ""), "")))</f>
        <v/>
      </c>
      <c r="P618" s="26" t="str">
        <f>IF(OR(F618 = "", G618 = "", I618 = ""), "", IF(F618 = "Vara", IFERROR(_xlfn.SINGLE(_xlfn.XLOOKUP(G618, Vöruskrá!A:A, Vöruskrá!J:J, "")) * I618 / 100, ""), IF(F618 = "Réttur", IFERROR(_xlfn.SINGLE(_xlfn.XLOOKUP(G618, Réttabanki!A:A, Réttabanki!AW:AW, "")) * I618 / 100, ""), "")))</f>
        <v/>
      </c>
      <c r="Q618" s="26" t="str">
        <f>IF(OR(F618 = "", G618 = "", I618 = ""), "", IF(F618 = "Vara", IFERROR(_xlfn.SINGLE(_xlfn.XLOOKUP(G618, Vöruskrá!A:A, Vöruskrá!N:N, "")) * I618 / 100, ""), IF(F618 = "Réttur", IFERROR(_xlfn.SINGLE(_xlfn.XLOOKUP(G618, Réttabanki!A:A, Réttabanki!BB:BB, "")) * I618 / 100, ""), "")))</f>
        <v/>
      </c>
    </row>
    <row r="619" spans="2:17">
      <c r="B619" s="33" t="str">
        <f>IF(A619&lt;&gt;"",CHOOSE(WEEKDAY(A619,2),"Mánudagur","Þriðjudagur","Miðvikudagur","Fimmtudagur","Föstudagur","Laugardagur","Sunnudagur"),IF(B618&lt;&gt;"",B618,""))</f>
        <v>Fimmtudagur</v>
      </c>
      <c r="C619" s="33">
        <f>IF(A619&lt;&gt;"",WEEKNUM(A619,21),IF(C618&lt;&gt;"",C618,""))</f>
        <v>27</v>
      </c>
      <c r="D619" s="34"/>
      <c r="E619" s="34"/>
      <c r="F619" s="34"/>
      <c r="G619" s="34"/>
      <c r="H619" s="34"/>
      <c r="I619" s="35"/>
      <c r="J619" s="35"/>
      <c r="K619" s="36"/>
      <c r="L619" s="26" t="str">
        <f>IF(OR(F619 = "", G619 = ""), "", IF(F619 = "Vara", IFERROR(_xlfn.SINGLE(_xlfn.XLOOKUP(G619, Vöruskrá!A:A, Vöruskrá!E:E, "")), ""), IF(F619 = "Réttur", IFERROR(_xlfn.SINGLE(_xlfn.XLOOKUP(G619, Réttabanki!A:A, Réttabanki!AS:AS, "")), ""), "")))</f>
        <v/>
      </c>
      <c r="M619" s="26" t="str">
        <f>IF(OR(F619 = "", G619 = ""), "", IF(F619 = "Vara", IFERROR(_xlfn.SINGLE(_xlfn.XLOOKUP(G619, Vöruskrá!A:A, Vöruskrá!F:F, "")), ""), IF(F619 = "Réttur", IFERROR(_xlfn.SINGLE(_xlfn.XLOOKUP(G619, Réttabanki!A:A, Réttabanki!AT:AT, "")), ""), "")))</f>
        <v/>
      </c>
      <c r="N619" s="26" t="str">
        <f>IF(OR(F619 = "", G619 = ""), "", IF(F619 = "Vara", IFERROR(_xlfn.SINGLE(_xlfn.XLOOKUP(G619, Vöruskrá!A:A, Vöruskrá!G:G, "")), ""), IF(F619 = "Réttur", IFERROR(_xlfn.SINGLE(_xlfn.XLOOKUP(G619, Réttabanki!A:A, Réttabanki!AU:AU, "")), ""), "")))</f>
        <v/>
      </c>
      <c r="O619" s="26" t="str">
        <f>IF(OR(F619 = "", G619 = "", I619 = ""), "", IF(F619 = "Vara", IFERROR(_xlfn.SINGLE(_xlfn.XLOOKUP(G619, Vöruskrá!A:A, Vöruskrá!I:I, "")) * I619 / 100, ""), IF(F619 = "Réttur", IFERROR(_xlfn.SINGLE(_xlfn.XLOOKUP(G619, Réttabanki!A:A, Réttabanki!AV:AV, "")) * I619 / 100, ""), "")))</f>
        <v/>
      </c>
      <c r="P619" s="26" t="str">
        <f>IF(OR(F619 = "", G619 = "", I619 = ""), "", IF(F619 = "Vara", IFERROR(_xlfn.SINGLE(_xlfn.XLOOKUP(G619, Vöruskrá!A:A, Vöruskrá!J:J, "")) * I619 / 100, ""), IF(F619 = "Réttur", IFERROR(_xlfn.SINGLE(_xlfn.XLOOKUP(G619, Réttabanki!A:A, Réttabanki!AW:AW, "")) * I619 / 100, ""), "")))</f>
        <v/>
      </c>
      <c r="Q619" s="26" t="str">
        <f>IF(OR(F619 = "", G619 = "", I619 = ""), "", IF(F619 = "Vara", IFERROR(_xlfn.SINGLE(_xlfn.XLOOKUP(G619, Vöruskrá!A:A, Vöruskrá!N:N, "")) * I619 / 100, ""), IF(F619 = "Réttur", IFERROR(_xlfn.SINGLE(_xlfn.XLOOKUP(G619, Réttabanki!A:A, Réttabanki!BB:BB, "")) * I619 / 100, ""), "")))</f>
        <v/>
      </c>
    </row>
    <row r="620" spans="2:17">
      <c r="B620" s="33" t="str">
        <f>IF(A620&lt;&gt;"",CHOOSE(WEEKDAY(A620,2),"Mánudagur","Þriðjudagur","Miðvikudagur","Fimmtudagur","Föstudagur","Laugardagur","Sunnudagur"),IF(B619&lt;&gt;"",B619,""))</f>
        <v>Fimmtudagur</v>
      </c>
      <c r="C620" s="33">
        <f>IF(A620&lt;&gt;"",WEEKNUM(A620,21),IF(C619&lt;&gt;"",C619,""))</f>
        <v>27</v>
      </c>
      <c r="D620" s="34"/>
      <c r="E620" s="34"/>
      <c r="F620" s="34"/>
      <c r="G620" s="34"/>
      <c r="H620" s="34"/>
      <c r="I620" s="35"/>
      <c r="J620" s="35"/>
      <c r="K620" s="36"/>
      <c r="L620" s="26" t="str">
        <f>IF(OR(F620 = "", G620 = ""), "", IF(F620 = "Vara", IFERROR(_xlfn.SINGLE(_xlfn.XLOOKUP(G620, Vöruskrá!A:A, Vöruskrá!E:E, "")), ""), IF(F620 = "Réttur", IFERROR(_xlfn.SINGLE(_xlfn.XLOOKUP(G620, Réttabanki!A:A, Réttabanki!AS:AS, "")), ""), "")))</f>
        <v/>
      </c>
      <c r="M620" s="26" t="str">
        <f>IF(OR(F620 = "", G620 = ""), "", IF(F620 = "Vara", IFERROR(_xlfn.SINGLE(_xlfn.XLOOKUP(G620, Vöruskrá!A:A, Vöruskrá!F:F, "")), ""), IF(F620 = "Réttur", IFERROR(_xlfn.SINGLE(_xlfn.XLOOKUP(G620, Réttabanki!A:A, Réttabanki!AT:AT, "")), ""), "")))</f>
        <v/>
      </c>
      <c r="N620" s="26" t="str">
        <f>IF(OR(F620 = "", G620 = ""), "", IF(F620 = "Vara", IFERROR(_xlfn.SINGLE(_xlfn.XLOOKUP(G620, Vöruskrá!A:A, Vöruskrá!G:G, "")), ""), IF(F620 = "Réttur", IFERROR(_xlfn.SINGLE(_xlfn.XLOOKUP(G620, Réttabanki!A:A, Réttabanki!AU:AU, "")), ""), "")))</f>
        <v/>
      </c>
      <c r="O620" s="26" t="str">
        <f>IF(OR(F620 = "", G620 = "", I620 = ""), "", IF(F620 = "Vara", IFERROR(_xlfn.SINGLE(_xlfn.XLOOKUP(G620, Vöruskrá!A:A, Vöruskrá!I:I, "")) * I620 / 100, ""), IF(F620 = "Réttur", IFERROR(_xlfn.SINGLE(_xlfn.XLOOKUP(G620, Réttabanki!A:A, Réttabanki!AV:AV, "")) * I620 / 100, ""), "")))</f>
        <v/>
      </c>
      <c r="P620" s="26" t="str">
        <f>IF(OR(F620 = "", G620 = "", I620 = ""), "", IF(F620 = "Vara", IFERROR(_xlfn.SINGLE(_xlfn.XLOOKUP(G620, Vöruskrá!A:A, Vöruskrá!J:J, "")) * I620 / 100, ""), IF(F620 = "Réttur", IFERROR(_xlfn.SINGLE(_xlfn.XLOOKUP(G620, Réttabanki!A:A, Réttabanki!AW:AW, "")) * I620 / 100, ""), "")))</f>
        <v/>
      </c>
      <c r="Q620" s="26" t="str">
        <f>IF(OR(F620 = "", G620 = "", I620 = ""), "", IF(F620 = "Vara", IFERROR(_xlfn.SINGLE(_xlfn.XLOOKUP(G620, Vöruskrá!A:A, Vöruskrá!N:N, "")) * I620 / 100, ""), IF(F620 = "Réttur", IFERROR(_xlfn.SINGLE(_xlfn.XLOOKUP(G620, Réttabanki!A:A, Réttabanki!BB:BB, "")) * I620 / 100, ""), "")))</f>
        <v/>
      </c>
    </row>
    <row r="621" spans="2:17">
      <c r="B621" s="33" t="str">
        <f>IF(A621&lt;&gt;"",CHOOSE(WEEKDAY(A621,2),"Mánudagur","Þriðjudagur","Miðvikudagur","Fimmtudagur","Föstudagur","Laugardagur","Sunnudagur"),IF(B620&lt;&gt;"",B620,""))</f>
        <v>Fimmtudagur</v>
      </c>
      <c r="C621" s="33">
        <f>IF(A621&lt;&gt;"",WEEKNUM(A621,21),IF(C620&lt;&gt;"",C620,""))</f>
        <v>27</v>
      </c>
      <c r="D621" s="34"/>
      <c r="E621" s="34"/>
      <c r="F621" s="34"/>
      <c r="G621" s="34"/>
      <c r="H621" s="34"/>
      <c r="I621" s="35"/>
      <c r="J621" s="35"/>
      <c r="K621" s="36"/>
      <c r="L621" s="26" t="str">
        <f>IF(OR(F621 = "", G621 = ""), "", IF(F621 = "Vara", IFERROR(_xlfn.SINGLE(_xlfn.XLOOKUP(G621, Vöruskrá!A:A, Vöruskrá!E:E, "")), ""), IF(F621 = "Réttur", IFERROR(_xlfn.SINGLE(_xlfn.XLOOKUP(G621, Réttabanki!A:A, Réttabanki!AS:AS, "")), ""), "")))</f>
        <v/>
      </c>
      <c r="M621" s="26" t="str">
        <f>IF(OR(F621 = "", G621 = ""), "", IF(F621 = "Vara", IFERROR(_xlfn.SINGLE(_xlfn.XLOOKUP(G621, Vöruskrá!A:A, Vöruskrá!F:F, "")), ""), IF(F621 = "Réttur", IFERROR(_xlfn.SINGLE(_xlfn.XLOOKUP(G621, Réttabanki!A:A, Réttabanki!AT:AT, "")), ""), "")))</f>
        <v/>
      </c>
      <c r="N621" s="26" t="str">
        <f>IF(OR(F621 = "", G621 = ""), "", IF(F621 = "Vara", IFERROR(_xlfn.SINGLE(_xlfn.XLOOKUP(G621, Vöruskrá!A:A, Vöruskrá!G:G, "")), ""), IF(F621 = "Réttur", IFERROR(_xlfn.SINGLE(_xlfn.XLOOKUP(G621, Réttabanki!A:A, Réttabanki!AU:AU, "")), ""), "")))</f>
        <v/>
      </c>
      <c r="O621" s="26" t="str">
        <f>IF(OR(F621 = "", G621 = "", I621 = ""), "", IF(F621 = "Vara", IFERROR(_xlfn.SINGLE(_xlfn.XLOOKUP(G621, Vöruskrá!A:A, Vöruskrá!I:I, "")) * I621 / 100, ""), IF(F621 = "Réttur", IFERROR(_xlfn.SINGLE(_xlfn.XLOOKUP(G621, Réttabanki!A:A, Réttabanki!AV:AV, "")) * I621 / 100, ""), "")))</f>
        <v/>
      </c>
      <c r="P621" s="26" t="str">
        <f>IF(OR(F621 = "", G621 = "", I621 = ""), "", IF(F621 = "Vara", IFERROR(_xlfn.SINGLE(_xlfn.XLOOKUP(G621, Vöruskrá!A:A, Vöruskrá!J:J, "")) * I621 / 100, ""), IF(F621 = "Réttur", IFERROR(_xlfn.SINGLE(_xlfn.XLOOKUP(G621, Réttabanki!A:A, Réttabanki!AW:AW, "")) * I621 / 100, ""), "")))</f>
        <v/>
      </c>
      <c r="Q621" s="26" t="str">
        <f>IF(OR(F621 = "", G621 = "", I621 = ""), "", IF(F621 = "Vara", IFERROR(_xlfn.SINGLE(_xlfn.XLOOKUP(G621, Vöruskrá!A:A, Vöruskrá!N:N, "")) * I621 / 100, ""), IF(F621 = "Réttur", IFERROR(_xlfn.SINGLE(_xlfn.XLOOKUP(G621, Réttabanki!A:A, Réttabanki!BB:BB, "")) * I621 / 100, ""), "")))</f>
        <v/>
      </c>
    </row>
    <row r="622" spans="2:17">
      <c r="B622" s="33" t="str">
        <f>IF(A622&lt;&gt;"",CHOOSE(WEEKDAY(A622,2),"Mánudagur","Þriðjudagur","Miðvikudagur","Fimmtudagur","Föstudagur","Laugardagur","Sunnudagur"),IF(B621&lt;&gt;"",B621,""))</f>
        <v>Fimmtudagur</v>
      </c>
      <c r="C622" s="33">
        <f>IF(A622&lt;&gt;"",WEEKNUM(A622,21),IF(C621&lt;&gt;"",C621,""))</f>
        <v>27</v>
      </c>
      <c r="D622" s="34"/>
      <c r="E622" s="34"/>
      <c r="F622" s="34"/>
      <c r="G622" s="34"/>
      <c r="H622" s="34"/>
      <c r="I622" s="35"/>
      <c r="J622" s="35"/>
      <c r="K622" s="36"/>
      <c r="L622" s="26" t="str">
        <f>IF(OR(F622 = "", G622 = ""), "", IF(F622 = "Vara", IFERROR(_xlfn.SINGLE(_xlfn.XLOOKUP(G622, Vöruskrá!A:A, Vöruskrá!E:E, "")), ""), IF(F622 = "Réttur", IFERROR(_xlfn.SINGLE(_xlfn.XLOOKUP(G622, Réttabanki!A:A, Réttabanki!AS:AS, "")), ""), "")))</f>
        <v/>
      </c>
      <c r="M622" s="26" t="str">
        <f>IF(OR(F622 = "", G622 = ""), "", IF(F622 = "Vara", IFERROR(_xlfn.SINGLE(_xlfn.XLOOKUP(G622, Vöruskrá!A:A, Vöruskrá!F:F, "")), ""), IF(F622 = "Réttur", IFERROR(_xlfn.SINGLE(_xlfn.XLOOKUP(G622, Réttabanki!A:A, Réttabanki!AT:AT, "")), ""), "")))</f>
        <v/>
      </c>
      <c r="N622" s="26" t="str">
        <f>IF(OR(F622 = "", G622 = ""), "", IF(F622 = "Vara", IFERROR(_xlfn.SINGLE(_xlfn.XLOOKUP(G622, Vöruskrá!A:A, Vöruskrá!G:G, "")), ""), IF(F622 = "Réttur", IFERROR(_xlfn.SINGLE(_xlfn.XLOOKUP(G622, Réttabanki!A:A, Réttabanki!AU:AU, "")), ""), "")))</f>
        <v/>
      </c>
      <c r="O622" s="26" t="str">
        <f>IF(OR(F622 = "", G622 = "", I622 = ""), "", IF(F622 = "Vara", IFERROR(_xlfn.SINGLE(_xlfn.XLOOKUP(G622, Vöruskrá!A:A, Vöruskrá!I:I, "")) * I622 / 100, ""), IF(F622 = "Réttur", IFERROR(_xlfn.SINGLE(_xlfn.XLOOKUP(G622, Réttabanki!A:A, Réttabanki!AV:AV, "")) * I622 / 100, ""), "")))</f>
        <v/>
      </c>
      <c r="P622" s="26" t="str">
        <f>IF(OR(F622 = "", G622 = "", I622 = ""), "", IF(F622 = "Vara", IFERROR(_xlfn.SINGLE(_xlfn.XLOOKUP(G622, Vöruskrá!A:A, Vöruskrá!J:J, "")) * I622 / 100, ""), IF(F622 = "Réttur", IFERROR(_xlfn.SINGLE(_xlfn.XLOOKUP(G622, Réttabanki!A:A, Réttabanki!AW:AW, "")) * I622 / 100, ""), "")))</f>
        <v/>
      </c>
      <c r="Q622" s="26" t="str">
        <f>IF(OR(F622 = "", G622 = "", I622 = ""), "", IF(F622 = "Vara", IFERROR(_xlfn.SINGLE(_xlfn.XLOOKUP(G622, Vöruskrá!A:A, Vöruskrá!N:N, "")) * I622 / 100, ""), IF(F622 = "Réttur", IFERROR(_xlfn.SINGLE(_xlfn.XLOOKUP(G622, Réttabanki!A:A, Réttabanki!BB:BB, "")) * I622 / 100, ""), "")))</f>
        <v/>
      </c>
    </row>
    <row r="623" spans="2:17">
      <c r="B623" s="33" t="str">
        <f>IF(A623&lt;&gt;"",CHOOSE(WEEKDAY(A623,2),"Mánudagur","Þriðjudagur","Miðvikudagur","Fimmtudagur","Föstudagur","Laugardagur","Sunnudagur"),IF(B622&lt;&gt;"",B622,""))</f>
        <v>Fimmtudagur</v>
      </c>
      <c r="C623" s="33">
        <f>IF(A623&lt;&gt;"",WEEKNUM(A623,21),IF(C622&lt;&gt;"",C622,""))</f>
        <v>27</v>
      </c>
      <c r="D623" s="34"/>
      <c r="E623" s="34"/>
      <c r="F623" s="34"/>
      <c r="G623" s="34"/>
      <c r="H623" s="34"/>
      <c r="I623" s="35"/>
      <c r="J623" s="35"/>
      <c r="K623" s="36"/>
      <c r="L623" s="26" t="str">
        <f>IF(OR(F623 = "", G623 = ""), "", IF(F623 = "Vara", IFERROR(_xlfn.SINGLE(_xlfn.XLOOKUP(G623, Vöruskrá!A:A, Vöruskrá!E:E, "")), ""), IF(F623 = "Réttur", IFERROR(_xlfn.SINGLE(_xlfn.XLOOKUP(G623, Réttabanki!A:A, Réttabanki!AS:AS, "")), ""), "")))</f>
        <v/>
      </c>
      <c r="M623" s="26" t="str">
        <f>IF(OR(F623 = "", G623 = ""), "", IF(F623 = "Vara", IFERROR(_xlfn.SINGLE(_xlfn.XLOOKUP(G623, Vöruskrá!A:A, Vöruskrá!F:F, "")), ""), IF(F623 = "Réttur", IFERROR(_xlfn.SINGLE(_xlfn.XLOOKUP(G623, Réttabanki!A:A, Réttabanki!AT:AT, "")), ""), "")))</f>
        <v/>
      </c>
      <c r="N623" s="26" t="str">
        <f>IF(OR(F623 = "", G623 = ""), "", IF(F623 = "Vara", IFERROR(_xlfn.SINGLE(_xlfn.XLOOKUP(G623, Vöruskrá!A:A, Vöruskrá!G:G, "")), ""), IF(F623 = "Réttur", IFERROR(_xlfn.SINGLE(_xlfn.XLOOKUP(G623, Réttabanki!A:A, Réttabanki!AU:AU, "")), ""), "")))</f>
        <v/>
      </c>
      <c r="O623" s="26" t="str">
        <f>IF(OR(F623 = "", G623 = "", I623 = ""), "", IF(F623 = "Vara", IFERROR(_xlfn.SINGLE(_xlfn.XLOOKUP(G623, Vöruskrá!A:A, Vöruskrá!I:I, "")) * I623 / 100, ""), IF(F623 = "Réttur", IFERROR(_xlfn.SINGLE(_xlfn.XLOOKUP(G623, Réttabanki!A:A, Réttabanki!AV:AV, "")) * I623 / 100, ""), "")))</f>
        <v/>
      </c>
      <c r="P623" s="26" t="str">
        <f>IF(OR(F623 = "", G623 = "", I623 = ""), "", IF(F623 = "Vara", IFERROR(_xlfn.SINGLE(_xlfn.XLOOKUP(G623, Vöruskrá!A:A, Vöruskrá!J:J, "")) * I623 / 100, ""), IF(F623 = "Réttur", IFERROR(_xlfn.SINGLE(_xlfn.XLOOKUP(G623, Réttabanki!A:A, Réttabanki!AW:AW, "")) * I623 / 100, ""), "")))</f>
        <v/>
      </c>
      <c r="Q623" s="26" t="str">
        <f>IF(OR(F623 = "", G623 = "", I623 = ""), "", IF(F623 = "Vara", IFERROR(_xlfn.SINGLE(_xlfn.XLOOKUP(G623, Vöruskrá!A:A, Vöruskrá!N:N, "")) * I623 / 100, ""), IF(F623 = "Réttur", IFERROR(_xlfn.SINGLE(_xlfn.XLOOKUP(G623, Réttabanki!A:A, Réttabanki!BB:BB, "")) * I623 / 100, ""), "")))</f>
        <v/>
      </c>
    </row>
    <row r="624" spans="2:17">
      <c r="B624" s="33" t="str">
        <f>IF(A624&lt;&gt;"",CHOOSE(WEEKDAY(A624,2),"Mánudagur","Þriðjudagur","Miðvikudagur","Fimmtudagur","Föstudagur","Laugardagur","Sunnudagur"),IF(B623&lt;&gt;"",B623,""))</f>
        <v>Fimmtudagur</v>
      </c>
      <c r="C624" s="33">
        <f>IF(A624&lt;&gt;"",WEEKNUM(A624,21),IF(C623&lt;&gt;"",C623,""))</f>
        <v>27</v>
      </c>
      <c r="D624" s="34"/>
      <c r="E624" s="34"/>
      <c r="F624" s="34"/>
      <c r="G624" s="34"/>
      <c r="H624" s="34"/>
      <c r="I624" s="35"/>
      <c r="J624" s="35"/>
      <c r="K624" s="36"/>
      <c r="L624" s="26" t="str">
        <f>IF(OR(F624 = "", G624 = ""), "", IF(F624 = "Vara", IFERROR(_xlfn.SINGLE(_xlfn.XLOOKUP(G624, Vöruskrá!A:A, Vöruskrá!E:E, "")), ""), IF(F624 = "Réttur", IFERROR(_xlfn.SINGLE(_xlfn.XLOOKUP(G624, Réttabanki!A:A, Réttabanki!AS:AS, "")), ""), "")))</f>
        <v/>
      </c>
      <c r="M624" s="26" t="str">
        <f>IF(OR(F624 = "", G624 = ""), "", IF(F624 = "Vara", IFERROR(_xlfn.SINGLE(_xlfn.XLOOKUP(G624, Vöruskrá!A:A, Vöruskrá!F:F, "")), ""), IF(F624 = "Réttur", IFERROR(_xlfn.SINGLE(_xlfn.XLOOKUP(G624, Réttabanki!A:A, Réttabanki!AT:AT, "")), ""), "")))</f>
        <v/>
      </c>
      <c r="N624" s="26" t="str">
        <f>IF(OR(F624 = "", G624 = ""), "", IF(F624 = "Vara", IFERROR(_xlfn.SINGLE(_xlfn.XLOOKUP(G624, Vöruskrá!A:A, Vöruskrá!G:G, "")), ""), IF(F624 = "Réttur", IFERROR(_xlfn.SINGLE(_xlfn.XLOOKUP(G624, Réttabanki!A:A, Réttabanki!AU:AU, "")), ""), "")))</f>
        <v/>
      </c>
      <c r="O624" s="26" t="str">
        <f>IF(OR(F624 = "", G624 = "", I624 = ""), "", IF(F624 = "Vara", IFERROR(_xlfn.SINGLE(_xlfn.XLOOKUP(G624, Vöruskrá!A:A, Vöruskrá!I:I, "")) * I624 / 100, ""), IF(F624 = "Réttur", IFERROR(_xlfn.SINGLE(_xlfn.XLOOKUP(G624, Réttabanki!A:A, Réttabanki!AV:AV, "")) * I624 / 100, ""), "")))</f>
        <v/>
      </c>
      <c r="P624" s="26" t="str">
        <f>IF(OR(F624 = "", G624 = "", I624 = ""), "", IF(F624 = "Vara", IFERROR(_xlfn.SINGLE(_xlfn.XLOOKUP(G624, Vöruskrá!A:A, Vöruskrá!J:J, "")) * I624 / 100, ""), IF(F624 = "Réttur", IFERROR(_xlfn.SINGLE(_xlfn.XLOOKUP(G624, Réttabanki!A:A, Réttabanki!AW:AW, "")) * I624 / 100, ""), "")))</f>
        <v/>
      </c>
      <c r="Q624" s="26" t="str">
        <f>IF(OR(F624 = "", G624 = "", I624 = ""), "", IF(F624 = "Vara", IFERROR(_xlfn.SINGLE(_xlfn.XLOOKUP(G624, Vöruskrá!A:A, Vöruskrá!N:N, "")) * I624 / 100, ""), IF(F624 = "Réttur", IFERROR(_xlfn.SINGLE(_xlfn.XLOOKUP(G624, Réttabanki!A:A, Réttabanki!BB:BB, "")) * I624 / 100, ""), "")))</f>
        <v/>
      </c>
    </row>
    <row r="625" spans="2:17">
      <c r="B625" s="33" t="str">
        <f>IF(A625&lt;&gt;"",CHOOSE(WEEKDAY(A625,2),"Mánudagur","Þriðjudagur","Miðvikudagur","Fimmtudagur","Föstudagur","Laugardagur","Sunnudagur"),IF(B624&lt;&gt;"",B624,""))</f>
        <v>Fimmtudagur</v>
      </c>
      <c r="C625" s="33">
        <f>IF(A625&lt;&gt;"",WEEKNUM(A625,21),IF(C624&lt;&gt;"",C624,""))</f>
        <v>27</v>
      </c>
      <c r="D625" s="34"/>
      <c r="E625" s="34"/>
      <c r="F625" s="34"/>
      <c r="G625" s="34"/>
      <c r="H625" s="34"/>
      <c r="I625" s="35"/>
      <c r="J625" s="35"/>
      <c r="K625" s="36"/>
      <c r="L625" s="26" t="str">
        <f>IF(OR(F625 = "", G625 = ""), "", IF(F625 = "Vara", IFERROR(_xlfn.SINGLE(_xlfn.XLOOKUP(G625, Vöruskrá!A:A, Vöruskrá!E:E, "")), ""), IF(F625 = "Réttur", IFERROR(_xlfn.SINGLE(_xlfn.XLOOKUP(G625, Réttabanki!A:A, Réttabanki!AS:AS, "")), ""), "")))</f>
        <v/>
      </c>
      <c r="M625" s="26" t="str">
        <f>IF(OR(F625 = "", G625 = ""), "", IF(F625 = "Vara", IFERROR(_xlfn.SINGLE(_xlfn.XLOOKUP(G625, Vöruskrá!A:A, Vöruskrá!F:F, "")), ""), IF(F625 = "Réttur", IFERROR(_xlfn.SINGLE(_xlfn.XLOOKUP(G625, Réttabanki!A:A, Réttabanki!AT:AT, "")), ""), "")))</f>
        <v/>
      </c>
      <c r="N625" s="26" t="str">
        <f>IF(OR(F625 = "", G625 = ""), "", IF(F625 = "Vara", IFERROR(_xlfn.SINGLE(_xlfn.XLOOKUP(G625, Vöruskrá!A:A, Vöruskrá!G:G, "")), ""), IF(F625 = "Réttur", IFERROR(_xlfn.SINGLE(_xlfn.XLOOKUP(G625, Réttabanki!A:A, Réttabanki!AU:AU, "")), ""), "")))</f>
        <v/>
      </c>
      <c r="O625" s="26" t="str">
        <f>IF(OR(F625 = "", G625 = "", I625 = ""), "", IF(F625 = "Vara", IFERROR(_xlfn.SINGLE(_xlfn.XLOOKUP(G625, Vöruskrá!A:A, Vöruskrá!I:I, "")) * I625 / 100, ""), IF(F625 = "Réttur", IFERROR(_xlfn.SINGLE(_xlfn.XLOOKUP(G625, Réttabanki!A:A, Réttabanki!AV:AV, "")) * I625 / 100, ""), "")))</f>
        <v/>
      </c>
      <c r="P625" s="26" t="str">
        <f>IF(OR(F625 = "", G625 = "", I625 = ""), "", IF(F625 = "Vara", IFERROR(_xlfn.SINGLE(_xlfn.XLOOKUP(G625, Vöruskrá!A:A, Vöruskrá!J:J, "")) * I625 / 100, ""), IF(F625 = "Réttur", IFERROR(_xlfn.SINGLE(_xlfn.XLOOKUP(G625, Réttabanki!A:A, Réttabanki!AW:AW, "")) * I625 / 100, ""), "")))</f>
        <v/>
      </c>
      <c r="Q625" s="26" t="str">
        <f>IF(OR(F625 = "", G625 = "", I625 = ""), "", IF(F625 = "Vara", IFERROR(_xlfn.SINGLE(_xlfn.XLOOKUP(G625, Vöruskrá!A:A, Vöruskrá!N:N, "")) * I625 / 100, ""), IF(F625 = "Réttur", IFERROR(_xlfn.SINGLE(_xlfn.XLOOKUP(G625, Réttabanki!A:A, Réttabanki!BB:BB, "")) * I625 / 100, ""), "")))</f>
        <v/>
      </c>
    </row>
    <row r="626" spans="2:17">
      <c r="B626" s="33" t="str">
        <f>IF(A626&lt;&gt;"",CHOOSE(WEEKDAY(A626,2),"Mánudagur","Þriðjudagur","Miðvikudagur","Fimmtudagur","Föstudagur","Laugardagur","Sunnudagur"),IF(B625&lt;&gt;"",B625,""))</f>
        <v>Fimmtudagur</v>
      </c>
      <c r="C626" s="33">
        <f>IF(A626&lt;&gt;"",WEEKNUM(A626,21),IF(C625&lt;&gt;"",C625,""))</f>
        <v>27</v>
      </c>
      <c r="D626" s="34"/>
      <c r="E626" s="34"/>
      <c r="F626" s="34"/>
      <c r="G626" s="34"/>
      <c r="H626" s="34"/>
      <c r="I626" s="35"/>
      <c r="J626" s="35"/>
      <c r="K626" s="36"/>
      <c r="L626" s="26" t="str">
        <f>IF(OR(F626 = "", G626 = ""), "", IF(F626 = "Vara", IFERROR(_xlfn.SINGLE(_xlfn.XLOOKUP(G626, Vöruskrá!A:A, Vöruskrá!E:E, "")), ""), IF(F626 = "Réttur", IFERROR(_xlfn.SINGLE(_xlfn.XLOOKUP(G626, Réttabanki!A:A, Réttabanki!AS:AS, "")), ""), "")))</f>
        <v/>
      </c>
      <c r="M626" s="26" t="str">
        <f>IF(OR(F626 = "", G626 = ""), "", IF(F626 = "Vara", IFERROR(_xlfn.SINGLE(_xlfn.XLOOKUP(G626, Vöruskrá!A:A, Vöruskrá!F:F, "")), ""), IF(F626 = "Réttur", IFERROR(_xlfn.SINGLE(_xlfn.XLOOKUP(G626, Réttabanki!A:A, Réttabanki!AT:AT, "")), ""), "")))</f>
        <v/>
      </c>
      <c r="N626" s="26" t="str">
        <f>IF(OR(F626 = "", G626 = ""), "", IF(F626 = "Vara", IFERROR(_xlfn.SINGLE(_xlfn.XLOOKUP(G626, Vöruskrá!A:A, Vöruskrá!G:G, "")), ""), IF(F626 = "Réttur", IFERROR(_xlfn.SINGLE(_xlfn.XLOOKUP(G626, Réttabanki!A:A, Réttabanki!AU:AU, "")), ""), "")))</f>
        <v/>
      </c>
      <c r="O626" s="26" t="str">
        <f>IF(OR(F626 = "", G626 = "", I626 = ""), "", IF(F626 = "Vara", IFERROR(_xlfn.SINGLE(_xlfn.XLOOKUP(G626, Vöruskrá!A:A, Vöruskrá!I:I, "")) * I626 / 100, ""), IF(F626 = "Réttur", IFERROR(_xlfn.SINGLE(_xlfn.XLOOKUP(G626, Réttabanki!A:A, Réttabanki!AV:AV, "")) * I626 / 100, ""), "")))</f>
        <v/>
      </c>
      <c r="P626" s="26" t="str">
        <f>IF(OR(F626 = "", G626 = "", I626 = ""), "", IF(F626 = "Vara", IFERROR(_xlfn.SINGLE(_xlfn.XLOOKUP(G626, Vöruskrá!A:A, Vöruskrá!J:J, "")) * I626 / 100, ""), IF(F626 = "Réttur", IFERROR(_xlfn.SINGLE(_xlfn.XLOOKUP(G626, Réttabanki!A:A, Réttabanki!AW:AW, "")) * I626 / 100, ""), "")))</f>
        <v/>
      </c>
      <c r="Q626" s="26" t="str">
        <f>IF(OR(F626 = "", G626 = "", I626 = ""), "", IF(F626 = "Vara", IFERROR(_xlfn.SINGLE(_xlfn.XLOOKUP(G626, Vöruskrá!A:A, Vöruskrá!N:N, "")) * I626 / 100, ""), IF(F626 = "Réttur", IFERROR(_xlfn.SINGLE(_xlfn.XLOOKUP(G626, Réttabanki!A:A, Réttabanki!BB:BB, "")) * I626 / 100, ""), "")))</f>
        <v/>
      </c>
    </row>
    <row r="627" spans="2:17">
      <c r="B627" s="33" t="str">
        <f>IF(A627&lt;&gt;"",CHOOSE(WEEKDAY(A627,2),"Mánudagur","Þriðjudagur","Miðvikudagur","Fimmtudagur","Föstudagur","Laugardagur","Sunnudagur"),IF(B626&lt;&gt;"",B626,""))</f>
        <v>Fimmtudagur</v>
      </c>
      <c r="C627" s="33">
        <f>IF(A627&lt;&gt;"",WEEKNUM(A627,21),IF(C626&lt;&gt;"",C626,""))</f>
        <v>27</v>
      </c>
      <c r="D627" s="34"/>
      <c r="E627" s="34"/>
      <c r="F627" s="34"/>
      <c r="G627" s="34"/>
      <c r="H627" s="34"/>
      <c r="I627" s="35"/>
      <c r="J627" s="35"/>
      <c r="K627" s="36"/>
      <c r="L627" s="26" t="str">
        <f>IF(OR(F627 = "", G627 = ""), "", IF(F627 = "Vara", IFERROR(_xlfn.SINGLE(_xlfn.XLOOKUP(G627, Vöruskrá!A:A, Vöruskrá!E:E, "")), ""), IF(F627 = "Réttur", IFERROR(_xlfn.SINGLE(_xlfn.XLOOKUP(G627, Réttabanki!A:A, Réttabanki!AS:AS, "")), ""), "")))</f>
        <v/>
      </c>
      <c r="M627" s="26" t="str">
        <f>IF(OR(F627 = "", G627 = ""), "", IF(F627 = "Vara", IFERROR(_xlfn.SINGLE(_xlfn.XLOOKUP(G627, Vöruskrá!A:A, Vöruskrá!F:F, "")), ""), IF(F627 = "Réttur", IFERROR(_xlfn.SINGLE(_xlfn.XLOOKUP(G627, Réttabanki!A:A, Réttabanki!AT:AT, "")), ""), "")))</f>
        <v/>
      </c>
      <c r="N627" s="26" t="str">
        <f>IF(OR(F627 = "", G627 = ""), "", IF(F627 = "Vara", IFERROR(_xlfn.SINGLE(_xlfn.XLOOKUP(G627, Vöruskrá!A:A, Vöruskrá!G:G, "")), ""), IF(F627 = "Réttur", IFERROR(_xlfn.SINGLE(_xlfn.XLOOKUP(G627, Réttabanki!A:A, Réttabanki!AU:AU, "")), ""), "")))</f>
        <v/>
      </c>
      <c r="O627" s="26" t="str">
        <f>IF(OR(F627 = "", G627 = "", I627 = ""), "", IF(F627 = "Vara", IFERROR(_xlfn.SINGLE(_xlfn.XLOOKUP(G627, Vöruskrá!A:A, Vöruskrá!I:I, "")) * I627 / 100, ""), IF(F627 = "Réttur", IFERROR(_xlfn.SINGLE(_xlfn.XLOOKUP(G627, Réttabanki!A:A, Réttabanki!AV:AV, "")) * I627 / 100, ""), "")))</f>
        <v/>
      </c>
      <c r="P627" s="26" t="str">
        <f>IF(OR(F627 = "", G627 = "", I627 = ""), "", IF(F627 = "Vara", IFERROR(_xlfn.SINGLE(_xlfn.XLOOKUP(G627, Vöruskrá!A:A, Vöruskrá!J:J, "")) * I627 / 100, ""), IF(F627 = "Réttur", IFERROR(_xlfn.SINGLE(_xlfn.XLOOKUP(G627, Réttabanki!A:A, Réttabanki!AW:AW, "")) * I627 / 100, ""), "")))</f>
        <v/>
      </c>
      <c r="Q627" s="26" t="str">
        <f>IF(OR(F627 = "", G627 = "", I627 = ""), "", IF(F627 = "Vara", IFERROR(_xlfn.SINGLE(_xlfn.XLOOKUP(G627, Vöruskrá!A:A, Vöruskrá!N:N, "")) * I627 / 100, ""), IF(F627 = "Réttur", IFERROR(_xlfn.SINGLE(_xlfn.XLOOKUP(G627, Réttabanki!A:A, Réttabanki!BB:BB, "")) * I627 / 100, ""), "")))</f>
        <v/>
      </c>
    </row>
    <row r="628" spans="2:17">
      <c r="B628" s="33" t="str">
        <f>IF(A628&lt;&gt;"",CHOOSE(WEEKDAY(A628,2),"Mánudagur","Þriðjudagur","Miðvikudagur","Fimmtudagur","Föstudagur","Laugardagur","Sunnudagur"),IF(B627&lt;&gt;"",B627,""))</f>
        <v>Fimmtudagur</v>
      </c>
      <c r="C628" s="33">
        <f>IF(A628&lt;&gt;"",WEEKNUM(A628,21),IF(C627&lt;&gt;"",C627,""))</f>
        <v>27</v>
      </c>
      <c r="D628" s="34"/>
      <c r="E628" s="34"/>
      <c r="F628" s="34"/>
      <c r="G628" s="34"/>
      <c r="H628" s="34"/>
      <c r="I628" s="35"/>
      <c r="J628" s="35"/>
      <c r="K628" s="36"/>
      <c r="L628" s="26" t="str">
        <f>IF(OR(F628 = "", G628 = ""), "", IF(F628 = "Vara", IFERROR(_xlfn.SINGLE(_xlfn.XLOOKUP(G628, Vöruskrá!A:A, Vöruskrá!E:E, "")), ""), IF(F628 = "Réttur", IFERROR(_xlfn.SINGLE(_xlfn.XLOOKUP(G628, Réttabanki!A:A, Réttabanki!AS:AS, "")), ""), "")))</f>
        <v/>
      </c>
      <c r="M628" s="26" t="str">
        <f>IF(OR(F628 = "", G628 = ""), "", IF(F628 = "Vara", IFERROR(_xlfn.SINGLE(_xlfn.XLOOKUP(G628, Vöruskrá!A:A, Vöruskrá!F:F, "")), ""), IF(F628 = "Réttur", IFERROR(_xlfn.SINGLE(_xlfn.XLOOKUP(G628, Réttabanki!A:A, Réttabanki!AT:AT, "")), ""), "")))</f>
        <v/>
      </c>
      <c r="N628" s="26" t="str">
        <f>IF(OR(F628 = "", G628 = ""), "", IF(F628 = "Vara", IFERROR(_xlfn.SINGLE(_xlfn.XLOOKUP(G628, Vöruskrá!A:A, Vöruskrá!G:G, "")), ""), IF(F628 = "Réttur", IFERROR(_xlfn.SINGLE(_xlfn.XLOOKUP(G628, Réttabanki!A:A, Réttabanki!AU:AU, "")), ""), "")))</f>
        <v/>
      </c>
      <c r="O628" s="26" t="str">
        <f>IF(OR(F628 = "", G628 = "", I628 = ""), "", IF(F628 = "Vara", IFERROR(_xlfn.SINGLE(_xlfn.XLOOKUP(G628, Vöruskrá!A:A, Vöruskrá!I:I, "")) * I628 / 100, ""), IF(F628 = "Réttur", IFERROR(_xlfn.SINGLE(_xlfn.XLOOKUP(G628, Réttabanki!A:A, Réttabanki!AV:AV, "")) * I628 / 100, ""), "")))</f>
        <v/>
      </c>
      <c r="P628" s="26" t="str">
        <f>IF(OR(F628 = "", G628 = "", I628 = ""), "", IF(F628 = "Vara", IFERROR(_xlfn.SINGLE(_xlfn.XLOOKUP(G628, Vöruskrá!A:A, Vöruskrá!J:J, "")) * I628 / 100, ""), IF(F628 = "Réttur", IFERROR(_xlfn.SINGLE(_xlfn.XLOOKUP(G628, Réttabanki!A:A, Réttabanki!AW:AW, "")) * I628 / 100, ""), "")))</f>
        <v/>
      </c>
      <c r="Q628" s="26" t="str">
        <f>IF(OR(F628 = "", G628 = "", I628 = ""), "", IF(F628 = "Vara", IFERROR(_xlfn.SINGLE(_xlfn.XLOOKUP(G628, Vöruskrá!A:A, Vöruskrá!N:N, "")) * I628 / 100, ""), IF(F628 = "Réttur", IFERROR(_xlfn.SINGLE(_xlfn.XLOOKUP(G628, Réttabanki!A:A, Réttabanki!BB:BB, "")) * I628 / 100, ""), "")))</f>
        <v/>
      </c>
    </row>
    <row r="629" spans="2:17">
      <c r="B629" s="33" t="str">
        <f>IF(A629&lt;&gt;"",CHOOSE(WEEKDAY(A629,2),"Mánudagur","Þriðjudagur","Miðvikudagur","Fimmtudagur","Föstudagur","Laugardagur","Sunnudagur"),IF(B628&lt;&gt;"",B628,""))</f>
        <v>Fimmtudagur</v>
      </c>
      <c r="C629" s="33">
        <f>IF(A629&lt;&gt;"",WEEKNUM(A629,21),IF(C628&lt;&gt;"",C628,""))</f>
        <v>27</v>
      </c>
      <c r="D629" s="34"/>
      <c r="E629" s="34"/>
      <c r="F629" s="34"/>
      <c r="G629" s="34"/>
      <c r="H629" s="34"/>
      <c r="I629" s="35"/>
      <c r="J629" s="35"/>
      <c r="K629" s="36"/>
      <c r="L629" s="26" t="str">
        <f>IF(OR(F629 = "", G629 = ""), "", IF(F629 = "Vara", IFERROR(_xlfn.SINGLE(_xlfn.XLOOKUP(G629, Vöruskrá!A:A, Vöruskrá!E:E, "")), ""), IF(F629 = "Réttur", IFERROR(_xlfn.SINGLE(_xlfn.XLOOKUP(G629, Réttabanki!A:A, Réttabanki!AS:AS, "")), ""), "")))</f>
        <v/>
      </c>
      <c r="M629" s="26" t="str">
        <f>IF(OR(F629 = "", G629 = ""), "", IF(F629 = "Vara", IFERROR(_xlfn.SINGLE(_xlfn.XLOOKUP(G629, Vöruskrá!A:A, Vöruskrá!F:F, "")), ""), IF(F629 = "Réttur", IFERROR(_xlfn.SINGLE(_xlfn.XLOOKUP(G629, Réttabanki!A:A, Réttabanki!AT:AT, "")), ""), "")))</f>
        <v/>
      </c>
      <c r="N629" s="26" t="str">
        <f>IF(OR(F629 = "", G629 = ""), "", IF(F629 = "Vara", IFERROR(_xlfn.SINGLE(_xlfn.XLOOKUP(G629, Vöruskrá!A:A, Vöruskrá!G:G, "")), ""), IF(F629 = "Réttur", IFERROR(_xlfn.SINGLE(_xlfn.XLOOKUP(G629, Réttabanki!A:A, Réttabanki!AU:AU, "")), ""), "")))</f>
        <v/>
      </c>
      <c r="O629" s="26" t="str">
        <f>IF(OR(F629 = "", G629 = "", I629 = ""), "", IF(F629 = "Vara", IFERROR(_xlfn.SINGLE(_xlfn.XLOOKUP(G629, Vöruskrá!A:A, Vöruskrá!I:I, "")) * I629 / 100, ""), IF(F629 = "Réttur", IFERROR(_xlfn.SINGLE(_xlfn.XLOOKUP(G629, Réttabanki!A:A, Réttabanki!AV:AV, "")) * I629 / 100, ""), "")))</f>
        <v/>
      </c>
      <c r="P629" s="26" t="str">
        <f>IF(OR(F629 = "", G629 = "", I629 = ""), "", IF(F629 = "Vara", IFERROR(_xlfn.SINGLE(_xlfn.XLOOKUP(G629, Vöruskrá!A:A, Vöruskrá!J:J, "")) * I629 / 100, ""), IF(F629 = "Réttur", IFERROR(_xlfn.SINGLE(_xlfn.XLOOKUP(G629, Réttabanki!A:A, Réttabanki!AW:AW, "")) * I629 / 100, ""), "")))</f>
        <v/>
      </c>
      <c r="Q629" s="26" t="str">
        <f>IF(OR(F629 = "", G629 = "", I629 = ""), "", IF(F629 = "Vara", IFERROR(_xlfn.SINGLE(_xlfn.XLOOKUP(G629, Vöruskrá!A:A, Vöruskrá!N:N, "")) * I629 / 100, ""), IF(F629 = "Réttur", IFERROR(_xlfn.SINGLE(_xlfn.XLOOKUP(G629, Réttabanki!A:A, Réttabanki!BB:BB, "")) * I629 / 100, ""), "")))</f>
        <v/>
      </c>
    </row>
    <row r="630" spans="2:17">
      <c r="B630" s="33" t="str">
        <f>IF(A630&lt;&gt;"",CHOOSE(WEEKDAY(A630,2),"Mánudagur","Þriðjudagur","Miðvikudagur","Fimmtudagur","Föstudagur","Laugardagur","Sunnudagur"),IF(B629&lt;&gt;"",B629,""))</f>
        <v>Fimmtudagur</v>
      </c>
      <c r="C630" s="33">
        <f>IF(A630&lt;&gt;"",WEEKNUM(A630,21),IF(C629&lt;&gt;"",C629,""))</f>
        <v>27</v>
      </c>
      <c r="D630" s="34"/>
      <c r="E630" s="34"/>
      <c r="F630" s="34"/>
      <c r="G630" s="34"/>
      <c r="H630" s="34"/>
      <c r="I630" s="35"/>
      <c r="J630" s="35"/>
      <c r="K630" s="36"/>
      <c r="L630" s="26" t="str">
        <f>IF(OR(F630 = "", G630 = ""), "", IF(F630 = "Vara", IFERROR(_xlfn.SINGLE(_xlfn.XLOOKUP(G630, Vöruskrá!A:A, Vöruskrá!E:E, "")), ""), IF(F630 = "Réttur", IFERROR(_xlfn.SINGLE(_xlfn.XLOOKUP(G630, Réttabanki!A:A, Réttabanki!AS:AS, "")), ""), "")))</f>
        <v/>
      </c>
      <c r="M630" s="26" t="str">
        <f>IF(OR(F630 = "", G630 = ""), "", IF(F630 = "Vara", IFERROR(_xlfn.SINGLE(_xlfn.XLOOKUP(G630, Vöruskrá!A:A, Vöruskrá!F:F, "")), ""), IF(F630 = "Réttur", IFERROR(_xlfn.SINGLE(_xlfn.XLOOKUP(G630, Réttabanki!A:A, Réttabanki!AT:AT, "")), ""), "")))</f>
        <v/>
      </c>
      <c r="N630" s="26" t="str">
        <f>IF(OR(F630 = "", G630 = ""), "", IF(F630 = "Vara", IFERROR(_xlfn.SINGLE(_xlfn.XLOOKUP(G630, Vöruskrá!A:A, Vöruskrá!G:G, "")), ""), IF(F630 = "Réttur", IFERROR(_xlfn.SINGLE(_xlfn.XLOOKUP(G630, Réttabanki!A:A, Réttabanki!AU:AU, "")), ""), "")))</f>
        <v/>
      </c>
      <c r="O630" s="26" t="str">
        <f>IF(OR(F630 = "", G630 = "", I630 = ""), "", IF(F630 = "Vara", IFERROR(_xlfn.SINGLE(_xlfn.XLOOKUP(G630, Vöruskrá!A:A, Vöruskrá!I:I, "")) * I630 / 100, ""), IF(F630 = "Réttur", IFERROR(_xlfn.SINGLE(_xlfn.XLOOKUP(G630, Réttabanki!A:A, Réttabanki!AV:AV, "")) * I630 / 100, ""), "")))</f>
        <v/>
      </c>
      <c r="P630" s="26" t="str">
        <f>IF(OR(F630 = "", G630 = "", I630 = ""), "", IF(F630 = "Vara", IFERROR(_xlfn.SINGLE(_xlfn.XLOOKUP(G630, Vöruskrá!A:A, Vöruskrá!J:J, "")) * I630 / 100, ""), IF(F630 = "Réttur", IFERROR(_xlfn.SINGLE(_xlfn.XLOOKUP(G630, Réttabanki!A:A, Réttabanki!AW:AW, "")) * I630 / 100, ""), "")))</f>
        <v/>
      </c>
      <c r="Q630" s="26" t="str">
        <f>IF(OR(F630 = "", G630 = "", I630 = ""), "", IF(F630 = "Vara", IFERROR(_xlfn.SINGLE(_xlfn.XLOOKUP(G630, Vöruskrá!A:A, Vöruskrá!N:N, "")) * I630 / 100, ""), IF(F630 = "Réttur", IFERROR(_xlfn.SINGLE(_xlfn.XLOOKUP(G630, Réttabanki!A:A, Réttabanki!BB:BB, "")) * I630 / 100, ""), "")))</f>
        <v/>
      </c>
    </row>
    <row r="631" spans="2:17">
      <c r="B631" s="33" t="str">
        <f>IF(A631&lt;&gt;"",CHOOSE(WEEKDAY(A631,2),"Mánudagur","Þriðjudagur","Miðvikudagur","Fimmtudagur","Föstudagur","Laugardagur","Sunnudagur"),IF(B630&lt;&gt;"",B630,""))</f>
        <v>Fimmtudagur</v>
      </c>
      <c r="C631" s="33">
        <f>IF(A631&lt;&gt;"",WEEKNUM(A631,21),IF(C630&lt;&gt;"",C630,""))</f>
        <v>27</v>
      </c>
      <c r="D631" s="34"/>
      <c r="E631" s="34"/>
      <c r="F631" s="34"/>
      <c r="G631" s="34"/>
      <c r="H631" s="34"/>
      <c r="I631" s="35"/>
      <c r="J631" s="35"/>
      <c r="K631" s="36"/>
      <c r="L631" s="26" t="str">
        <f>IF(OR(F631 = "", G631 = ""), "", IF(F631 = "Vara", IFERROR(_xlfn.SINGLE(_xlfn.XLOOKUP(G631, Vöruskrá!A:A, Vöruskrá!E:E, "")), ""), IF(F631 = "Réttur", IFERROR(_xlfn.SINGLE(_xlfn.XLOOKUP(G631, Réttabanki!A:A, Réttabanki!AS:AS, "")), ""), "")))</f>
        <v/>
      </c>
      <c r="M631" s="26" t="str">
        <f>IF(OR(F631 = "", G631 = ""), "", IF(F631 = "Vara", IFERROR(_xlfn.SINGLE(_xlfn.XLOOKUP(G631, Vöruskrá!A:A, Vöruskrá!F:F, "")), ""), IF(F631 = "Réttur", IFERROR(_xlfn.SINGLE(_xlfn.XLOOKUP(G631, Réttabanki!A:A, Réttabanki!AT:AT, "")), ""), "")))</f>
        <v/>
      </c>
      <c r="N631" s="26" t="str">
        <f>IF(OR(F631 = "", G631 = ""), "", IF(F631 = "Vara", IFERROR(_xlfn.SINGLE(_xlfn.XLOOKUP(G631, Vöruskrá!A:A, Vöruskrá!G:G, "")), ""), IF(F631 = "Réttur", IFERROR(_xlfn.SINGLE(_xlfn.XLOOKUP(G631, Réttabanki!A:A, Réttabanki!AU:AU, "")), ""), "")))</f>
        <v/>
      </c>
      <c r="O631" s="26" t="str">
        <f>IF(OR(F631 = "", G631 = "", I631 = ""), "", IF(F631 = "Vara", IFERROR(_xlfn.SINGLE(_xlfn.XLOOKUP(G631, Vöruskrá!A:A, Vöruskrá!I:I, "")) * I631 / 100, ""), IF(F631 = "Réttur", IFERROR(_xlfn.SINGLE(_xlfn.XLOOKUP(G631, Réttabanki!A:A, Réttabanki!AV:AV, "")) * I631 / 100, ""), "")))</f>
        <v/>
      </c>
      <c r="P631" s="26" t="str">
        <f>IF(OR(F631 = "", G631 = "", I631 = ""), "", IF(F631 = "Vara", IFERROR(_xlfn.SINGLE(_xlfn.XLOOKUP(G631, Vöruskrá!A:A, Vöruskrá!J:J, "")) * I631 / 100, ""), IF(F631 = "Réttur", IFERROR(_xlfn.SINGLE(_xlfn.XLOOKUP(G631, Réttabanki!A:A, Réttabanki!AW:AW, "")) * I631 / 100, ""), "")))</f>
        <v/>
      </c>
      <c r="Q631" s="26" t="str">
        <f>IF(OR(F631 = "", G631 = "", I631 = ""), "", IF(F631 = "Vara", IFERROR(_xlfn.SINGLE(_xlfn.XLOOKUP(G631, Vöruskrá!A:A, Vöruskrá!N:N, "")) * I631 / 100, ""), IF(F631 = "Réttur", IFERROR(_xlfn.SINGLE(_xlfn.XLOOKUP(G631, Réttabanki!A:A, Réttabanki!BB:BB, "")) * I631 / 100, ""), "")))</f>
        <v/>
      </c>
    </row>
    <row r="632" spans="2:17">
      <c r="B632" s="33" t="str">
        <f>IF(A632&lt;&gt;"",CHOOSE(WEEKDAY(A632,2),"Mánudagur","Þriðjudagur","Miðvikudagur","Fimmtudagur","Föstudagur","Laugardagur","Sunnudagur"),IF(B631&lt;&gt;"",B631,""))</f>
        <v>Fimmtudagur</v>
      </c>
      <c r="C632" s="33">
        <f>IF(A632&lt;&gt;"",WEEKNUM(A632,21),IF(C631&lt;&gt;"",C631,""))</f>
        <v>27</v>
      </c>
      <c r="D632" s="34"/>
      <c r="E632" s="34"/>
      <c r="F632" s="34"/>
      <c r="G632" s="34"/>
      <c r="H632" s="34"/>
      <c r="I632" s="35"/>
      <c r="J632" s="35"/>
      <c r="K632" s="36"/>
      <c r="L632" s="26" t="str">
        <f>IF(OR(F632 = "", G632 = ""), "", IF(F632 = "Vara", IFERROR(_xlfn.SINGLE(_xlfn.XLOOKUP(G632, Vöruskrá!A:A, Vöruskrá!E:E, "")), ""), IF(F632 = "Réttur", IFERROR(_xlfn.SINGLE(_xlfn.XLOOKUP(G632, Réttabanki!A:A, Réttabanki!AS:AS, "")), ""), "")))</f>
        <v/>
      </c>
      <c r="M632" s="26" t="str">
        <f>IF(OR(F632 = "", G632 = ""), "", IF(F632 = "Vara", IFERROR(_xlfn.SINGLE(_xlfn.XLOOKUP(G632, Vöruskrá!A:A, Vöruskrá!F:F, "")), ""), IF(F632 = "Réttur", IFERROR(_xlfn.SINGLE(_xlfn.XLOOKUP(G632, Réttabanki!A:A, Réttabanki!AT:AT, "")), ""), "")))</f>
        <v/>
      </c>
      <c r="N632" s="26" t="str">
        <f>IF(OR(F632 = "", G632 = ""), "", IF(F632 = "Vara", IFERROR(_xlfn.SINGLE(_xlfn.XLOOKUP(G632, Vöruskrá!A:A, Vöruskrá!G:G, "")), ""), IF(F632 = "Réttur", IFERROR(_xlfn.SINGLE(_xlfn.XLOOKUP(G632, Réttabanki!A:A, Réttabanki!AU:AU, "")), ""), "")))</f>
        <v/>
      </c>
      <c r="O632" s="26" t="str">
        <f>IF(OR(F632 = "", G632 = "", I632 = ""), "", IF(F632 = "Vara", IFERROR(_xlfn.SINGLE(_xlfn.XLOOKUP(G632, Vöruskrá!A:A, Vöruskrá!I:I, "")) * I632 / 100, ""), IF(F632 = "Réttur", IFERROR(_xlfn.SINGLE(_xlfn.XLOOKUP(G632, Réttabanki!A:A, Réttabanki!AV:AV, "")) * I632 / 100, ""), "")))</f>
        <v/>
      </c>
      <c r="P632" s="26" t="str">
        <f>IF(OR(F632 = "", G632 = "", I632 = ""), "", IF(F632 = "Vara", IFERROR(_xlfn.SINGLE(_xlfn.XLOOKUP(G632, Vöruskrá!A:A, Vöruskrá!J:J, "")) * I632 / 100, ""), IF(F632 = "Réttur", IFERROR(_xlfn.SINGLE(_xlfn.XLOOKUP(G632, Réttabanki!A:A, Réttabanki!AW:AW, "")) * I632 / 100, ""), "")))</f>
        <v/>
      </c>
      <c r="Q632" s="26" t="str">
        <f>IF(OR(F632 = "", G632 = "", I632 = ""), "", IF(F632 = "Vara", IFERROR(_xlfn.SINGLE(_xlfn.XLOOKUP(G632, Vöruskrá!A:A, Vöruskrá!N:N, "")) * I632 / 100, ""), IF(F632 = "Réttur", IFERROR(_xlfn.SINGLE(_xlfn.XLOOKUP(G632, Réttabanki!A:A, Réttabanki!BB:BB, "")) * I632 / 100, ""), "")))</f>
        <v/>
      </c>
    </row>
    <row r="633" spans="2:17">
      <c r="B633" s="33" t="str">
        <f>IF(A633&lt;&gt;"",CHOOSE(WEEKDAY(A633,2),"Mánudagur","Þriðjudagur","Miðvikudagur","Fimmtudagur","Föstudagur","Laugardagur","Sunnudagur"),IF(B632&lt;&gt;"",B632,""))</f>
        <v>Fimmtudagur</v>
      </c>
      <c r="C633" s="33">
        <f>IF(A633&lt;&gt;"",WEEKNUM(A633,21),IF(C632&lt;&gt;"",C632,""))</f>
        <v>27</v>
      </c>
      <c r="D633" s="34"/>
      <c r="E633" s="34"/>
      <c r="F633" s="34"/>
      <c r="G633" s="34"/>
      <c r="H633" s="34"/>
      <c r="I633" s="35"/>
      <c r="J633" s="35"/>
      <c r="K633" s="36"/>
      <c r="L633" s="26" t="str">
        <f>IF(OR(F633 = "", G633 = ""), "", IF(F633 = "Vara", IFERROR(_xlfn.SINGLE(_xlfn.XLOOKUP(G633, Vöruskrá!A:A, Vöruskrá!E:E, "")), ""), IF(F633 = "Réttur", IFERROR(_xlfn.SINGLE(_xlfn.XLOOKUP(G633, Réttabanki!A:A, Réttabanki!AS:AS, "")), ""), "")))</f>
        <v/>
      </c>
      <c r="M633" s="26" t="str">
        <f>IF(OR(F633 = "", G633 = ""), "", IF(F633 = "Vara", IFERROR(_xlfn.SINGLE(_xlfn.XLOOKUP(G633, Vöruskrá!A:A, Vöruskrá!F:F, "")), ""), IF(F633 = "Réttur", IFERROR(_xlfn.SINGLE(_xlfn.XLOOKUP(G633, Réttabanki!A:A, Réttabanki!AT:AT, "")), ""), "")))</f>
        <v/>
      </c>
      <c r="N633" s="26" t="str">
        <f>IF(OR(F633 = "", G633 = ""), "", IF(F633 = "Vara", IFERROR(_xlfn.SINGLE(_xlfn.XLOOKUP(G633, Vöruskrá!A:A, Vöruskrá!G:G, "")), ""), IF(F633 = "Réttur", IFERROR(_xlfn.SINGLE(_xlfn.XLOOKUP(G633, Réttabanki!A:A, Réttabanki!AU:AU, "")), ""), "")))</f>
        <v/>
      </c>
      <c r="O633" s="26" t="str">
        <f>IF(OR(F633 = "", G633 = "", I633 = ""), "", IF(F633 = "Vara", IFERROR(_xlfn.SINGLE(_xlfn.XLOOKUP(G633, Vöruskrá!A:A, Vöruskrá!I:I, "")) * I633 / 100, ""), IF(F633 = "Réttur", IFERROR(_xlfn.SINGLE(_xlfn.XLOOKUP(G633, Réttabanki!A:A, Réttabanki!AV:AV, "")) * I633 / 100, ""), "")))</f>
        <v/>
      </c>
      <c r="P633" s="26" t="str">
        <f>IF(OR(F633 = "", G633 = "", I633 = ""), "", IF(F633 = "Vara", IFERROR(_xlfn.SINGLE(_xlfn.XLOOKUP(G633, Vöruskrá!A:A, Vöruskrá!J:J, "")) * I633 / 100, ""), IF(F633 = "Réttur", IFERROR(_xlfn.SINGLE(_xlfn.XLOOKUP(G633, Réttabanki!A:A, Réttabanki!AW:AW, "")) * I633 / 100, ""), "")))</f>
        <v/>
      </c>
      <c r="Q633" s="26" t="str">
        <f>IF(OR(F633 = "", G633 = "", I633 = ""), "", IF(F633 = "Vara", IFERROR(_xlfn.SINGLE(_xlfn.XLOOKUP(G633, Vöruskrá!A:A, Vöruskrá!N:N, "")) * I633 / 100, ""), IF(F633 = "Réttur", IFERROR(_xlfn.SINGLE(_xlfn.XLOOKUP(G633, Réttabanki!A:A, Réttabanki!BB:BB, "")) * I633 / 100, ""), "")))</f>
        <v/>
      </c>
    </row>
    <row r="634" spans="2:17">
      <c r="B634" s="33" t="str">
        <f>IF(A634&lt;&gt;"",CHOOSE(WEEKDAY(A634,2),"Mánudagur","Þriðjudagur","Miðvikudagur","Fimmtudagur","Föstudagur","Laugardagur","Sunnudagur"),IF(B633&lt;&gt;"",B633,""))</f>
        <v>Fimmtudagur</v>
      </c>
      <c r="C634" s="33">
        <f>IF(A634&lt;&gt;"",WEEKNUM(A634,21),IF(C633&lt;&gt;"",C633,""))</f>
        <v>27</v>
      </c>
      <c r="D634" s="34"/>
      <c r="E634" s="34"/>
      <c r="F634" s="34"/>
      <c r="G634" s="34"/>
      <c r="H634" s="34"/>
      <c r="I634" s="35"/>
      <c r="J634" s="35"/>
      <c r="K634" s="36"/>
      <c r="L634" s="26" t="str">
        <f>IF(OR(F634 = "", G634 = ""), "", IF(F634 = "Vara", IFERROR(_xlfn.SINGLE(_xlfn.XLOOKUP(G634, Vöruskrá!A:A, Vöruskrá!E:E, "")), ""), IF(F634 = "Réttur", IFERROR(_xlfn.SINGLE(_xlfn.XLOOKUP(G634, Réttabanki!A:A, Réttabanki!AS:AS, "")), ""), "")))</f>
        <v/>
      </c>
      <c r="M634" s="26" t="str">
        <f>IF(OR(F634 = "", G634 = ""), "", IF(F634 = "Vara", IFERROR(_xlfn.SINGLE(_xlfn.XLOOKUP(G634, Vöruskrá!A:A, Vöruskrá!F:F, "")), ""), IF(F634 = "Réttur", IFERROR(_xlfn.SINGLE(_xlfn.XLOOKUP(G634, Réttabanki!A:A, Réttabanki!AT:AT, "")), ""), "")))</f>
        <v/>
      </c>
      <c r="N634" s="26" t="str">
        <f>IF(OR(F634 = "", G634 = ""), "", IF(F634 = "Vara", IFERROR(_xlfn.SINGLE(_xlfn.XLOOKUP(G634, Vöruskrá!A:A, Vöruskrá!G:G, "")), ""), IF(F634 = "Réttur", IFERROR(_xlfn.SINGLE(_xlfn.XLOOKUP(G634, Réttabanki!A:A, Réttabanki!AU:AU, "")), ""), "")))</f>
        <v/>
      </c>
      <c r="O634" s="26" t="str">
        <f>IF(OR(F634 = "", G634 = "", I634 = ""), "", IF(F634 = "Vara", IFERROR(_xlfn.SINGLE(_xlfn.XLOOKUP(G634, Vöruskrá!A:A, Vöruskrá!I:I, "")) * I634 / 100, ""), IF(F634 = "Réttur", IFERROR(_xlfn.SINGLE(_xlfn.XLOOKUP(G634, Réttabanki!A:A, Réttabanki!AV:AV, "")) * I634 / 100, ""), "")))</f>
        <v/>
      </c>
      <c r="P634" s="26" t="str">
        <f>IF(OR(F634 = "", G634 = "", I634 = ""), "", IF(F634 = "Vara", IFERROR(_xlfn.SINGLE(_xlfn.XLOOKUP(G634, Vöruskrá!A:A, Vöruskrá!J:J, "")) * I634 / 100, ""), IF(F634 = "Réttur", IFERROR(_xlfn.SINGLE(_xlfn.XLOOKUP(G634, Réttabanki!A:A, Réttabanki!AW:AW, "")) * I634 / 100, ""), "")))</f>
        <v/>
      </c>
      <c r="Q634" s="26" t="str">
        <f>IF(OR(F634 = "", G634 = "", I634 = ""), "", IF(F634 = "Vara", IFERROR(_xlfn.SINGLE(_xlfn.XLOOKUP(G634, Vöruskrá!A:A, Vöruskrá!N:N, "")) * I634 / 100, ""), IF(F634 = "Réttur", IFERROR(_xlfn.SINGLE(_xlfn.XLOOKUP(G634, Réttabanki!A:A, Réttabanki!BB:BB, "")) * I634 / 100, ""), "")))</f>
        <v/>
      </c>
    </row>
    <row r="635" spans="2:17">
      <c r="B635" s="33" t="str">
        <f>IF(A635&lt;&gt;"",CHOOSE(WEEKDAY(A635,2),"Mánudagur","Þriðjudagur","Miðvikudagur","Fimmtudagur","Föstudagur","Laugardagur","Sunnudagur"),IF(B634&lt;&gt;"",B634,""))</f>
        <v>Fimmtudagur</v>
      </c>
      <c r="C635" s="33">
        <f>IF(A635&lt;&gt;"",WEEKNUM(A635,21),IF(C634&lt;&gt;"",C634,""))</f>
        <v>27</v>
      </c>
      <c r="D635" s="34"/>
      <c r="E635" s="34"/>
      <c r="F635" s="34"/>
      <c r="G635" s="34"/>
      <c r="H635" s="34"/>
      <c r="I635" s="35"/>
      <c r="J635" s="35"/>
      <c r="K635" s="36"/>
      <c r="L635" s="26" t="str">
        <f>IF(OR(F635 = "", G635 = ""), "", IF(F635 = "Vara", IFERROR(_xlfn.SINGLE(_xlfn.XLOOKUP(G635, Vöruskrá!A:A, Vöruskrá!E:E, "")), ""), IF(F635 = "Réttur", IFERROR(_xlfn.SINGLE(_xlfn.XLOOKUP(G635, Réttabanki!A:A, Réttabanki!AS:AS, "")), ""), "")))</f>
        <v/>
      </c>
      <c r="M635" s="26" t="str">
        <f>IF(OR(F635 = "", G635 = ""), "", IF(F635 = "Vara", IFERROR(_xlfn.SINGLE(_xlfn.XLOOKUP(G635, Vöruskrá!A:A, Vöruskrá!F:F, "")), ""), IF(F635 = "Réttur", IFERROR(_xlfn.SINGLE(_xlfn.XLOOKUP(G635, Réttabanki!A:A, Réttabanki!AT:AT, "")), ""), "")))</f>
        <v/>
      </c>
      <c r="N635" s="26" t="str">
        <f>IF(OR(F635 = "", G635 = ""), "", IF(F635 = "Vara", IFERROR(_xlfn.SINGLE(_xlfn.XLOOKUP(G635, Vöruskrá!A:A, Vöruskrá!G:G, "")), ""), IF(F635 = "Réttur", IFERROR(_xlfn.SINGLE(_xlfn.XLOOKUP(G635, Réttabanki!A:A, Réttabanki!AU:AU, "")), ""), "")))</f>
        <v/>
      </c>
      <c r="O635" s="26" t="str">
        <f>IF(OR(F635 = "", G635 = "", I635 = ""), "", IF(F635 = "Vara", IFERROR(_xlfn.SINGLE(_xlfn.XLOOKUP(G635, Vöruskrá!A:A, Vöruskrá!I:I, "")) * I635 / 100, ""), IF(F635 = "Réttur", IFERROR(_xlfn.SINGLE(_xlfn.XLOOKUP(G635, Réttabanki!A:A, Réttabanki!AV:AV, "")) * I635 / 100, ""), "")))</f>
        <v/>
      </c>
      <c r="P635" s="26" t="str">
        <f>IF(OR(F635 = "", G635 = "", I635 = ""), "", IF(F635 = "Vara", IFERROR(_xlfn.SINGLE(_xlfn.XLOOKUP(G635, Vöruskrá!A:A, Vöruskrá!J:J, "")) * I635 / 100, ""), IF(F635 = "Réttur", IFERROR(_xlfn.SINGLE(_xlfn.XLOOKUP(G635, Réttabanki!A:A, Réttabanki!AW:AW, "")) * I635 / 100, ""), "")))</f>
        <v/>
      </c>
      <c r="Q635" s="26" t="str">
        <f>IF(OR(F635 = "", G635 = "", I635 = ""), "", IF(F635 = "Vara", IFERROR(_xlfn.SINGLE(_xlfn.XLOOKUP(G635, Vöruskrá!A:A, Vöruskrá!N:N, "")) * I635 / 100, ""), IF(F635 = "Réttur", IFERROR(_xlfn.SINGLE(_xlfn.XLOOKUP(G635, Réttabanki!A:A, Réttabanki!BB:BB, "")) * I635 / 100, ""), "")))</f>
        <v/>
      </c>
    </row>
    <row r="636" spans="2:17">
      <c r="B636" s="33" t="str">
        <f>IF(A636&lt;&gt;"",CHOOSE(WEEKDAY(A636,2),"Mánudagur","Þriðjudagur","Miðvikudagur","Fimmtudagur","Föstudagur","Laugardagur","Sunnudagur"),IF(B635&lt;&gt;"",B635,""))</f>
        <v>Fimmtudagur</v>
      </c>
      <c r="C636" s="33">
        <f>IF(A636&lt;&gt;"",WEEKNUM(A636,21),IF(C635&lt;&gt;"",C635,""))</f>
        <v>27</v>
      </c>
      <c r="D636" s="34"/>
      <c r="E636" s="34"/>
      <c r="F636" s="34"/>
      <c r="G636" s="34"/>
      <c r="H636" s="34"/>
      <c r="I636" s="35"/>
      <c r="J636" s="35"/>
      <c r="K636" s="36"/>
      <c r="L636" s="26" t="str">
        <f>IF(OR(F636 = "", G636 = ""), "", IF(F636 = "Vara", IFERROR(_xlfn.SINGLE(_xlfn.XLOOKUP(G636, Vöruskrá!A:A, Vöruskrá!E:E, "")), ""), IF(F636 = "Réttur", IFERROR(_xlfn.SINGLE(_xlfn.XLOOKUP(G636, Réttabanki!A:A, Réttabanki!AS:AS, "")), ""), "")))</f>
        <v/>
      </c>
      <c r="M636" s="26" t="str">
        <f>IF(OR(F636 = "", G636 = ""), "", IF(F636 = "Vara", IFERROR(_xlfn.SINGLE(_xlfn.XLOOKUP(G636, Vöruskrá!A:A, Vöruskrá!F:F, "")), ""), IF(F636 = "Réttur", IFERROR(_xlfn.SINGLE(_xlfn.XLOOKUP(G636, Réttabanki!A:A, Réttabanki!AT:AT, "")), ""), "")))</f>
        <v/>
      </c>
      <c r="N636" s="26" t="str">
        <f>IF(OR(F636 = "", G636 = ""), "", IF(F636 = "Vara", IFERROR(_xlfn.SINGLE(_xlfn.XLOOKUP(G636, Vöruskrá!A:A, Vöruskrá!G:G, "")), ""), IF(F636 = "Réttur", IFERROR(_xlfn.SINGLE(_xlfn.XLOOKUP(G636, Réttabanki!A:A, Réttabanki!AU:AU, "")), ""), "")))</f>
        <v/>
      </c>
      <c r="O636" s="26" t="str">
        <f>IF(OR(F636 = "", G636 = "", I636 = ""), "", IF(F636 = "Vara", IFERROR(_xlfn.SINGLE(_xlfn.XLOOKUP(G636, Vöruskrá!A:A, Vöruskrá!I:I, "")) * I636 / 100, ""), IF(F636 = "Réttur", IFERROR(_xlfn.SINGLE(_xlfn.XLOOKUP(G636, Réttabanki!A:A, Réttabanki!AV:AV, "")) * I636 / 100, ""), "")))</f>
        <v/>
      </c>
      <c r="P636" s="26" t="str">
        <f>IF(OR(F636 = "", G636 = "", I636 = ""), "", IF(F636 = "Vara", IFERROR(_xlfn.SINGLE(_xlfn.XLOOKUP(G636, Vöruskrá!A:A, Vöruskrá!J:J, "")) * I636 / 100, ""), IF(F636 = "Réttur", IFERROR(_xlfn.SINGLE(_xlfn.XLOOKUP(G636, Réttabanki!A:A, Réttabanki!AW:AW, "")) * I636 / 100, ""), "")))</f>
        <v/>
      </c>
      <c r="Q636" s="26" t="str">
        <f>IF(OR(F636 = "", G636 = "", I636 = ""), "", IF(F636 = "Vara", IFERROR(_xlfn.SINGLE(_xlfn.XLOOKUP(G636, Vöruskrá!A:A, Vöruskrá!N:N, "")) * I636 / 100, ""), IF(F636 = "Réttur", IFERROR(_xlfn.SINGLE(_xlfn.XLOOKUP(G636, Réttabanki!A:A, Réttabanki!BB:BB, "")) * I636 / 100, ""), "")))</f>
        <v/>
      </c>
    </row>
    <row r="637" spans="2:17">
      <c r="B637" s="33" t="str">
        <f>IF(A637&lt;&gt;"",CHOOSE(WEEKDAY(A637,2),"Mánudagur","Þriðjudagur","Miðvikudagur","Fimmtudagur","Föstudagur","Laugardagur","Sunnudagur"),IF(B636&lt;&gt;"",B636,""))</f>
        <v>Fimmtudagur</v>
      </c>
      <c r="C637" s="33">
        <f>IF(A637&lt;&gt;"",WEEKNUM(A637,21),IF(C636&lt;&gt;"",C636,""))</f>
        <v>27</v>
      </c>
      <c r="D637" s="34"/>
      <c r="E637" s="34"/>
      <c r="F637" s="34"/>
      <c r="G637" s="34"/>
      <c r="H637" s="34"/>
      <c r="I637" s="35"/>
      <c r="J637" s="35"/>
      <c r="K637" s="36"/>
      <c r="L637" s="26" t="str">
        <f>IF(OR(F637 = "", G637 = ""), "", IF(F637 = "Vara", IFERROR(_xlfn.SINGLE(_xlfn.XLOOKUP(G637, Vöruskrá!A:A, Vöruskrá!E:E, "")), ""), IF(F637 = "Réttur", IFERROR(_xlfn.SINGLE(_xlfn.XLOOKUP(G637, Réttabanki!A:A, Réttabanki!AS:AS, "")), ""), "")))</f>
        <v/>
      </c>
      <c r="M637" s="26" t="str">
        <f>IF(OR(F637 = "", G637 = ""), "", IF(F637 = "Vara", IFERROR(_xlfn.SINGLE(_xlfn.XLOOKUP(G637, Vöruskrá!A:A, Vöruskrá!F:F, "")), ""), IF(F637 = "Réttur", IFERROR(_xlfn.SINGLE(_xlfn.XLOOKUP(G637, Réttabanki!A:A, Réttabanki!AT:AT, "")), ""), "")))</f>
        <v/>
      </c>
      <c r="N637" s="26" t="str">
        <f>IF(OR(F637 = "", G637 = ""), "", IF(F637 = "Vara", IFERROR(_xlfn.SINGLE(_xlfn.XLOOKUP(G637, Vöruskrá!A:A, Vöruskrá!G:G, "")), ""), IF(F637 = "Réttur", IFERROR(_xlfn.SINGLE(_xlfn.XLOOKUP(G637, Réttabanki!A:A, Réttabanki!AU:AU, "")), ""), "")))</f>
        <v/>
      </c>
      <c r="O637" s="26" t="str">
        <f>IF(OR(F637 = "", G637 = "", I637 = ""), "", IF(F637 = "Vara", IFERROR(_xlfn.SINGLE(_xlfn.XLOOKUP(G637, Vöruskrá!A:A, Vöruskrá!I:I, "")) * I637 / 100, ""), IF(F637 = "Réttur", IFERROR(_xlfn.SINGLE(_xlfn.XLOOKUP(G637, Réttabanki!A:A, Réttabanki!AV:AV, "")) * I637 / 100, ""), "")))</f>
        <v/>
      </c>
      <c r="P637" s="26" t="str">
        <f>IF(OR(F637 = "", G637 = "", I637 = ""), "", IF(F637 = "Vara", IFERROR(_xlfn.SINGLE(_xlfn.XLOOKUP(G637, Vöruskrá!A:A, Vöruskrá!J:J, "")) * I637 / 100, ""), IF(F637 = "Réttur", IFERROR(_xlfn.SINGLE(_xlfn.XLOOKUP(G637, Réttabanki!A:A, Réttabanki!AW:AW, "")) * I637 / 100, ""), "")))</f>
        <v/>
      </c>
      <c r="Q637" s="26" t="str">
        <f>IF(OR(F637 = "", G637 = "", I637 = ""), "", IF(F637 = "Vara", IFERROR(_xlfn.SINGLE(_xlfn.XLOOKUP(G637, Vöruskrá!A:A, Vöruskrá!N:N, "")) * I637 / 100, ""), IF(F637 = "Réttur", IFERROR(_xlfn.SINGLE(_xlfn.XLOOKUP(G637, Réttabanki!A:A, Réttabanki!BB:BB, "")) * I637 / 100, ""), "")))</f>
        <v/>
      </c>
    </row>
    <row r="638" spans="2:17">
      <c r="B638" s="33" t="str">
        <f>IF(A638&lt;&gt;"",CHOOSE(WEEKDAY(A638,2),"Mánudagur","Þriðjudagur","Miðvikudagur","Fimmtudagur","Föstudagur","Laugardagur","Sunnudagur"),IF(B637&lt;&gt;"",B637,""))</f>
        <v>Fimmtudagur</v>
      </c>
      <c r="C638" s="33">
        <f>IF(A638&lt;&gt;"",WEEKNUM(A638,21),IF(C637&lt;&gt;"",C637,""))</f>
        <v>27</v>
      </c>
      <c r="D638" s="34"/>
      <c r="E638" s="34"/>
      <c r="F638" s="34"/>
      <c r="G638" s="34"/>
      <c r="H638" s="34"/>
      <c r="I638" s="35"/>
      <c r="J638" s="35"/>
      <c r="K638" s="36"/>
      <c r="L638" s="26" t="str">
        <f>IF(OR(F638 = "", G638 = ""), "", IF(F638 = "Vara", IFERROR(_xlfn.SINGLE(_xlfn.XLOOKUP(G638, Vöruskrá!A:A, Vöruskrá!E:E, "")), ""), IF(F638 = "Réttur", IFERROR(_xlfn.SINGLE(_xlfn.XLOOKUP(G638, Réttabanki!A:A, Réttabanki!AS:AS, "")), ""), "")))</f>
        <v/>
      </c>
      <c r="M638" s="26" t="str">
        <f>IF(OR(F638 = "", G638 = ""), "", IF(F638 = "Vara", IFERROR(_xlfn.SINGLE(_xlfn.XLOOKUP(G638, Vöruskrá!A:A, Vöruskrá!F:F, "")), ""), IF(F638 = "Réttur", IFERROR(_xlfn.SINGLE(_xlfn.XLOOKUP(G638, Réttabanki!A:A, Réttabanki!AT:AT, "")), ""), "")))</f>
        <v/>
      </c>
      <c r="N638" s="26" t="str">
        <f>IF(OR(F638 = "", G638 = ""), "", IF(F638 = "Vara", IFERROR(_xlfn.SINGLE(_xlfn.XLOOKUP(G638, Vöruskrá!A:A, Vöruskrá!G:G, "")), ""), IF(F638 = "Réttur", IFERROR(_xlfn.SINGLE(_xlfn.XLOOKUP(G638, Réttabanki!A:A, Réttabanki!AU:AU, "")), ""), "")))</f>
        <v/>
      </c>
      <c r="O638" s="26" t="str">
        <f>IF(OR(F638 = "", G638 = "", I638 = ""), "", IF(F638 = "Vara", IFERROR(_xlfn.SINGLE(_xlfn.XLOOKUP(G638, Vöruskrá!A:A, Vöruskrá!I:I, "")) * I638 / 100, ""), IF(F638 = "Réttur", IFERROR(_xlfn.SINGLE(_xlfn.XLOOKUP(G638, Réttabanki!A:A, Réttabanki!AV:AV, "")) * I638 / 100, ""), "")))</f>
        <v/>
      </c>
      <c r="P638" s="26" t="str">
        <f>IF(OR(F638 = "", G638 = "", I638 = ""), "", IF(F638 = "Vara", IFERROR(_xlfn.SINGLE(_xlfn.XLOOKUP(G638, Vöruskrá!A:A, Vöruskrá!J:J, "")) * I638 / 100, ""), IF(F638 = "Réttur", IFERROR(_xlfn.SINGLE(_xlfn.XLOOKUP(G638, Réttabanki!A:A, Réttabanki!AW:AW, "")) * I638 / 100, ""), "")))</f>
        <v/>
      </c>
      <c r="Q638" s="26" t="str">
        <f>IF(OR(F638 = "", G638 = "", I638 = ""), "", IF(F638 = "Vara", IFERROR(_xlfn.SINGLE(_xlfn.XLOOKUP(G638, Vöruskrá!A:A, Vöruskrá!N:N, "")) * I638 / 100, ""), IF(F638 = "Réttur", IFERROR(_xlfn.SINGLE(_xlfn.XLOOKUP(G638, Réttabanki!A:A, Réttabanki!BB:BB, "")) * I638 / 100, ""), "")))</f>
        <v/>
      </c>
    </row>
    <row r="639" spans="2:17">
      <c r="B639" s="33" t="str">
        <f>IF(A639&lt;&gt;"",CHOOSE(WEEKDAY(A639,2),"Mánudagur","Þriðjudagur","Miðvikudagur","Fimmtudagur","Föstudagur","Laugardagur","Sunnudagur"),IF(B638&lt;&gt;"",B638,""))</f>
        <v>Fimmtudagur</v>
      </c>
      <c r="C639" s="33">
        <f>IF(A639&lt;&gt;"",WEEKNUM(A639,21),IF(C638&lt;&gt;"",C638,""))</f>
        <v>27</v>
      </c>
      <c r="D639" s="34"/>
      <c r="E639" s="34"/>
      <c r="F639" s="34"/>
      <c r="G639" s="34"/>
      <c r="H639" s="34"/>
      <c r="I639" s="35"/>
      <c r="J639" s="35"/>
      <c r="K639" s="36"/>
      <c r="L639" s="26" t="str">
        <f>IF(OR(F639 = "", G639 = ""), "", IF(F639 = "Vara", IFERROR(_xlfn.SINGLE(_xlfn.XLOOKUP(G639, Vöruskrá!A:A, Vöruskrá!E:E, "")), ""), IF(F639 = "Réttur", IFERROR(_xlfn.SINGLE(_xlfn.XLOOKUP(G639, Réttabanki!A:A, Réttabanki!AS:AS, "")), ""), "")))</f>
        <v/>
      </c>
      <c r="M639" s="26" t="str">
        <f>IF(OR(F639 = "", G639 = ""), "", IF(F639 = "Vara", IFERROR(_xlfn.SINGLE(_xlfn.XLOOKUP(G639, Vöruskrá!A:A, Vöruskrá!F:F, "")), ""), IF(F639 = "Réttur", IFERROR(_xlfn.SINGLE(_xlfn.XLOOKUP(G639, Réttabanki!A:A, Réttabanki!AT:AT, "")), ""), "")))</f>
        <v/>
      </c>
      <c r="N639" s="26" t="str">
        <f>IF(OR(F639 = "", G639 = ""), "", IF(F639 = "Vara", IFERROR(_xlfn.SINGLE(_xlfn.XLOOKUP(G639, Vöruskrá!A:A, Vöruskrá!G:G, "")), ""), IF(F639 = "Réttur", IFERROR(_xlfn.SINGLE(_xlfn.XLOOKUP(G639, Réttabanki!A:A, Réttabanki!AU:AU, "")), ""), "")))</f>
        <v/>
      </c>
      <c r="O639" s="26" t="str">
        <f>IF(OR(F639 = "", G639 = "", I639 = ""), "", IF(F639 = "Vara", IFERROR(_xlfn.SINGLE(_xlfn.XLOOKUP(G639, Vöruskrá!A:A, Vöruskrá!I:I, "")) * I639 / 100, ""), IF(F639 = "Réttur", IFERROR(_xlfn.SINGLE(_xlfn.XLOOKUP(G639, Réttabanki!A:A, Réttabanki!AV:AV, "")) * I639 / 100, ""), "")))</f>
        <v/>
      </c>
      <c r="P639" s="26" t="str">
        <f>IF(OR(F639 = "", G639 = "", I639 = ""), "", IF(F639 = "Vara", IFERROR(_xlfn.SINGLE(_xlfn.XLOOKUP(G639, Vöruskrá!A:A, Vöruskrá!J:J, "")) * I639 / 100, ""), IF(F639 = "Réttur", IFERROR(_xlfn.SINGLE(_xlfn.XLOOKUP(G639, Réttabanki!A:A, Réttabanki!AW:AW, "")) * I639 / 100, ""), "")))</f>
        <v/>
      </c>
      <c r="Q639" s="26" t="str">
        <f>IF(OR(F639 = "", G639 = "", I639 = ""), "", IF(F639 = "Vara", IFERROR(_xlfn.SINGLE(_xlfn.XLOOKUP(G639, Vöruskrá!A:A, Vöruskrá!N:N, "")) * I639 / 100, ""), IF(F639 = "Réttur", IFERROR(_xlfn.SINGLE(_xlfn.XLOOKUP(G639, Réttabanki!A:A, Réttabanki!BB:BB, "")) * I639 / 100, ""), "")))</f>
        <v/>
      </c>
    </row>
    <row r="640" spans="2:17">
      <c r="B640" s="33" t="str">
        <f>IF(A640&lt;&gt;"",CHOOSE(WEEKDAY(A640,2),"Mánudagur","Þriðjudagur","Miðvikudagur","Fimmtudagur","Föstudagur","Laugardagur","Sunnudagur"),IF(B639&lt;&gt;"",B639,""))</f>
        <v>Fimmtudagur</v>
      </c>
      <c r="C640" s="33">
        <f>IF(A640&lt;&gt;"",WEEKNUM(A640,21),IF(C639&lt;&gt;"",C639,""))</f>
        <v>27</v>
      </c>
      <c r="D640" s="34"/>
      <c r="E640" s="34"/>
      <c r="F640" s="34"/>
      <c r="G640" s="34"/>
      <c r="H640" s="34"/>
      <c r="I640" s="35"/>
      <c r="J640" s="35"/>
      <c r="K640" s="36"/>
      <c r="L640" s="26" t="str">
        <f>IF(OR(F640 = "", G640 = ""), "", IF(F640 = "Vara", IFERROR(_xlfn.SINGLE(_xlfn.XLOOKUP(G640, Vöruskrá!A:A, Vöruskrá!E:E, "")), ""), IF(F640 = "Réttur", IFERROR(_xlfn.SINGLE(_xlfn.XLOOKUP(G640, Réttabanki!A:A, Réttabanki!AS:AS, "")), ""), "")))</f>
        <v/>
      </c>
      <c r="M640" s="26" t="str">
        <f>IF(OR(F640 = "", G640 = ""), "", IF(F640 = "Vara", IFERROR(_xlfn.SINGLE(_xlfn.XLOOKUP(G640, Vöruskrá!A:A, Vöruskrá!F:F, "")), ""), IF(F640 = "Réttur", IFERROR(_xlfn.SINGLE(_xlfn.XLOOKUP(G640, Réttabanki!A:A, Réttabanki!AT:AT, "")), ""), "")))</f>
        <v/>
      </c>
      <c r="N640" s="26" t="str">
        <f>IF(OR(F640 = "", G640 = ""), "", IF(F640 = "Vara", IFERROR(_xlfn.SINGLE(_xlfn.XLOOKUP(G640, Vöruskrá!A:A, Vöruskrá!G:G, "")), ""), IF(F640 = "Réttur", IFERROR(_xlfn.SINGLE(_xlfn.XLOOKUP(G640, Réttabanki!A:A, Réttabanki!AU:AU, "")), ""), "")))</f>
        <v/>
      </c>
      <c r="O640" s="26" t="str">
        <f>IF(OR(F640 = "", G640 = "", I640 = ""), "", IF(F640 = "Vara", IFERROR(_xlfn.SINGLE(_xlfn.XLOOKUP(G640, Vöruskrá!A:A, Vöruskrá!I:I, "")) * I640 / 100, ""), IF(F640 = "Réttur", IFERROR(_xlfn.SINGLE(_xlfn.XLOOKUP(G640, Réttabanki!A:A, Réttabanki!AV:AV, "")) * I640 / 100, ""), "")))</f>
        <v/>
      </c>
      <c r="P640" s="26" t="str">
        <f>IF(OR(F640 = "", G640 = "", I640 = ""), "", IF(F640 = "Vara", IFERROR(_xlfn.SINGLE(_xlfn.XLOOKUP(G640, Vöruskrá!A:A, Vöruskrá!J:J, "")) * I640 / 100, ""), IF(F640 = "Réttur", IFERROR(_xlfn.SINGLE(_xlfn.XLOOKUP(G640, Réttabanki!A:A, Réttabanki!AW:AW, "")) * I640 / 100, ""), "")))</f>
        <v/>
      </c>
      <c r="Q640" s="26" t="str">
        <f>IF(OR(F640 = "", G640 = "", I640 = ""), "", IF(F640 = "Vara", IFERROR(_xlfn.SINGLE(_xlfn.XLOOKUP(G640, Vöruskrá!A:A, Vöruskrá!N:N, "")) * I640 / 100, ""), IF(F640 = "Réttur", IFERROR(_xlfn.SINGLE(_xlfn.XLOOKUP(G640, Réttabanki!A:A, Réttabanki!BB:BB, "")) * I640 / 100, ""), "")))</f>
        <v/>
      </c>
    </row>
    <row r="641" spans="2:17">
      <c r="B641" s="33" t="str">
        <f>IF(A641&lt;&gt;"",CHOOSE(WEEKDAY(A641,2),"Mánudagur","Þriðjudagur","Miðvikudagur","Fimmtudagur","Föstudagur","Laugardagur","Sunnudagur"),IF(B640&lt;&gt;"",B640,""))</f>
        <v>Fimmtudagur</v>
      </c>
      <c r="C641" s="33">
        <f>IF(A641&lt;&gt;"",WEEKNUM(A641,21),IF(C640&lt;&gt;"",C640,""))</f>
        <v>27</v>
      </c>
      <c r="D641" s="34"/>
      <c r="E641" s="34"/>
      <c r="F641" s="34"/>
      <c r="G641" s="34"/>
      <c r="H641" s="34"/>
      <c r="I641" s="35"/>
      <c r="J641" s="35"/>
      <c r="K641" s="36"/>
      <c r="L641" s="26" t="str">
        <f>IF(OR(F641 = "", G641 = ""), "", IF(F641 = "Vara", IFERROR(_xlfn.SINGLE(_xlfn.XLOOKUP(G641, Vöruskrá!A:A, Vöruskrá!E:E, "")), ""), IF(F641 = "Réttur", IFERROR(_xlfn.SINGLE(_xlfn.XLOOKUP(G641, Réttabanki!A:A, Réttabanki!AS:AS, "")), ""), "")))</f>
        <v/>
      </c>
      <c r="M641" s="26" t="str">
        <f>IF(OR(F641 = "", G641 = ""), "", IF(F641 = "Vara", IFERROR(_xlfn.SINGLE(_xlfn.XLOOKUP(G641, Vöruskrá!A:A, Vöruskrá!F:F, "")), ""), IF(F641 = "Réttur", IFERROR(_xlfn.SINGLE(_xlfn.XLOOKUP(G641, Réttabanki!A:A, Réttabanki!AT:AT, "")), ""), "")))</f>
        <v/>
      </c>
      <c r="N641" s="26" t="str">
        <f>IF(OR(F641 = "", G641 = ""), "", IF(F641 = "Vara", IFERROR(_xlfn.SINGLE(_xlfn.XLOOKUP(G641, Vöruskrá!A:A, Vöruskrá!G:G, "")), ""), IF(F641 = "Réttur", IFERROR(_xlfn.SINGLE(_xlfn.XLOOKUP(G641, Réttabanki!A:A, Réttabanki!AU:AU, "")), ""), "")))</f>
        <v/>
      </c>
      <c r="O641" s="26" t="str">
        <f>IF(OR(F641 = "", G641 = "", I641 = ""), "", IF(F641 = "Vara", IFERROR(_xlfn.SINGLE(_xlfn.XLOOKUP(G641, Vöruskrá!A:A, Vöruskrá!I:I, "")) * I641 / 100, ""), IF(F641 = "Réttur", IFERROR(_xlfn.SINGLE(_xlfn.XLOOKUP(G641, Réttabanki!A:A, Réttabanki!AV:AV, "")) * I641 / 100, ""), "")))</f>
        <v/>
      </c>
      <c r="P641" s="26" t="str">
        <f>IF(OR(F641 = "", G641 = "", I641 = ""), "", IF(F641 = "Vara", IFERROR(_xlfn.SINGLE(_xlfn.XLOOKUP(G641, Vöruskrá!A:A, Vöruskrá!J:J, "")) * I641 / 100, ""), IF(F641 = "Réttur", IFERROR(_xlfn.SINGLE(_xlfn.XLOOKUP(G641, Réttabanki!A:A, Réttabanki!AW:AW, "")) * I641 / 100, ""), "")))</f>
        <v/>
      </c>
      <c r="Q641" s="26" t="str">
        <f>IF(OR(F641 = "", G641 = "", I641 = ""), "", IF(F641 = "Vara", IFERROR(_xlfn.SINGLE(_xlfn.XLOOKUP(G641, Vöruskrá!A:A, Vöruskrá!N:N, "")) * I641 / 100, ""), IF(F641 = "Réttur", IFERROR(_xlfn.SINGLE(_xlfn.XLOOKUP(G641, Réttabanki!A:A, Réttabanki!BB:BB, "")) * I641 / 100, ""), "")))</f>
        <v/>
      </c>
    </row>
    <row r="642" spans="2:17">
      <c r="B642" s="33" t="str">
        <f>IF(A642&lt;&gt;"",CHOOSE(WEEKDAY(A642,2),"Mánudagur","Þriðjudagur","Miðvikudagur","Fimmtudagur","Föstudagur","Laugardagur","Sunnudagur"),IF(B641&lt;&gt;"",B641,""))</f>
        <v>Fimmtudagur</v>
      </c>
      <c r="C642" s="33">
        <f>IF(A642&lt;&gt;"",WEEKNUM(A642,21),IF(C641&lt;&gt;"",C641,""))</f>
        <v>27</v>
      </c>
      <c r="D642" s="34"/>
      <c r="E642" s="34"/>
      <c r="F642" s="34"/>
      <c r="G642" s="34"/>
      <c r="H642" s="34"/>
      <c r="I642" s="35"/>
      <c r="J642" s="35"/>
      <c r="K642" s="36"/>
      <c r="L642" s="26" t="str">
        <f>IF(OR(F642 = "", G642 = ""), "", IF(F642 = "Vara", IFERROR(_xlfn.SINGLE(_xlfn.XLOOKUP(G642, Vöruskrá!A:A, Vöruskrá!E:E, "")), ""), IF(F642 = "Réttur", IFERROR(_xlfn.SINGLE(_xlfn.XLOOKUP(G642, Réttabanki!A:A, Réttabanki!AS:AS, "")), ""), "")))</f>
        <v/>
      </c>
      <c r="M642" s="26" t="str">
        <f>IF(OR(F642 = "", G642 = ""), "", IF(F642 = "Vara", IFERROR(_xlfn.SINGLE(_xlfn.XLOOKUP(G642, Vöruskrá!A:A, Vöruskrá!F:F, "")), ""), IF(F642 = "Réttur", IFERROR(_xlfn.SINGLE(_xlfn.XLOOKUP(G642, Réttabanki!A:A, Réttabanki!AT:AT, "")), ""), "")))</f>
        <v/>
      </c>
      <c r="N642" s="26" t="str">
        <f>IF(OR(F642 = "", G642 = ""), "", IF(F642 = "Vara", IFERROR(_xlfn.SINGLE(_xlfn.XLOOKUP(G642, Vöruskrá!A:A, Vöruskrá!G:G, "")), ""), IF(F642 = "Réttur", IFERROR(_xlfn.SINGLE(_xlfn.XLOOKUP(G642, Réttabanki!A:A, Réttabanki!AU:AU, "")), ""), "")))</f>
        <v/>
      </c>
      <c r="O642" s="26" t="str">
        <f>IF(OR(F642 = "", G642 = "", I642 = ""), "", IF(F642 = "Vara", IFERROR(_xlfn.SINGLE(_xlfn.XLOOKUP(G642, Vöruskrá!A:A, Vöruskrá!I:I, "")) * I642 / 100, ""), IF(F642 = "Réttur", IFERROR(_xlfn.SINGLE(_xlfn.XLOOKUP(G642, Réttabanki!A:A, Réttabanki!AV:AV, "")) * I642 / 100, ""), "")))</f>
        <v/>
      </c>
      <c r="P642" s="26" t="str">
        <f>IF(OR(F642 = "", G642 = "", I642 = ""), "", IF(F642 = "Vara", IFERROR(_xlfn.SINGLE(_xlfn.XLOOKUP(G642, Vöruskrá!A:A, Vöruskrá!J:J, "")) * I642 / 100, ""), IF(F642 = "Réttur", IFERROR(_xlfn.SINGLE(_xlfn.XLOOKUP(G642, Réttabanki!A:A, Réttabanki!AW:AW, "")) * I642 / 100, ""), "")))</f>
        <v/>
      </c>
      <c r="Q642" s="26" t="str">
        <f>IF(OR(F642 = "", G642 = "", I642 = ""), "", IF(F642 = "Vara", IFERROR(_xlfn.SINGLE(_xlfn.XLOOKUP(G642, Vöruskrá!A:A, Vöruskrá!N:N, "")) * I642 / 100, ""), IF(F642 = "Réttur", IFERROR(_xlfn.SINGLE(_xlfn.XLOOKUP(G642, Réttabanki!A:A, Réttabanki!BB:BB, "")) * I642 / 100, ""), "")))</f>
        <v/>
      </c>
    </row>
    <row r="643" spans="2:17">
      <c r="B643" s="33" t="str">
        <f>IF(A643&lt;&gt;"",CHOOSE(WEEKDAY(A643,2),"Mánudagur","Þriðjudagur","Miðvikudagur","Fimmtudagur","Föstudagur","Laugardagur","Sunnudagur"),IF(B642&lt;&gt;"",B642,""))</f>
        <v>Fimmtudagur</v>
      </c>
      <c r="C643" s="33">
        <f>IF(A643&lt;&gt;"",WEEKNUM(A643,21),IF(C642&lt;&gt;"",C642,""))</f>
        <v>27</v>
      </c>
      <c r="D643" s="34"/>
      <c r="E643" s="34"/>
      <c r="F643" s="34"/>
      <c r="G643" s="34"/>
      <c r="H643" s="34"/>
      <c r="I643" s="35"/>
      <c r="J643" s="35"/>
      <c r="K643" s="36"/>
      <c r="L643" s="26" t="str">
        <f>IF(OR(F643 = "", G643 = ""), "", IF(F643 = "Vara", IFERROR(_xlfn.SINGLE(_xlfn.XLOOKUP(G643, Vöruskrá!A:A, Vöruskrá!E:E, "")), ""), IF(F643 = "Réttur", IFERROR(_xlfn.SINGLE(_xlfn.XLOOKUP(G643, Réttabanki!A:A, Réttabanki!AS:AS, "")), ""), "")))</f>
        <v/>
      </c>
      <c r="M643" s="26" t="str">
        <f>IF(OR(F643 = "", G643 = ""), "", IF(F643 = "Vara", IFERROR(_xlfn.SINGLE(_xlfn.XLOOKUP(G643, Vöruskrá!A:A, Vöruskrá!F:F, "")), ""), IF(F643 = "Réttur", IFERROR(_xlfn.SINGLE(_xlfn.XLOOKUP(G643, Réttabanki!A:A, Réttabanki!AT:AT, "")), ""), "")))</f>
        <v/>
      </c>
      <c r="N643" s="26" t="str">
        <f>IF(OR(F643 = "", G643 = ""), "", IF(F643 = "Vara", IFERROR(_xlfn.SINGLE(_xlfn.XLOOKUP(G643, Vöruskrá!A:A, Vöruskrá!G:G, "")), ""), IF(F643 = "Réttur", IFERROR(_xlfn.SINGLE(_xlfn.XLOOKUP(G643, Réttabanki!A:A, Réttabanki!AU:AU, "")), ""), "")))</f>
        <v/>
      </c>
      <c r="O643" s="26" t="str">
        <f>IF(OR(F643 = "", G643 = "", I643 = ""), "", IF(F643 = "Vara", IFERROR(_xlfn.SINGLE(_xlfn.XLOOKUP(G643, Vöruskrá!A:A, Vöruskrá!I:I, "")) * I643 / 100, ""), IF(F643 = "Réttur", IFERROR(_xlfn.SINGLE(_xlfn.XLOOKUP(G643, Réttabanki!A:A, Réttabanki!AV:AV, "")) * I643 / 100, ""), "")))</f>
        <v/>
      </c>
      <c r="P643" s="26" t="str">
        <f>IF(OR(F643 = "", G643 = "", I643 = ""), "", IF(F643 = "Vara", IFERROR(_xlfn.SINGLE(_xlfn.XLOOKUP(G643, Vöruskrá!A:A, Vöruskrá!J:J, "")) * I643 / 100, ""), IF(F643 = "Réttur", IFERROR(_xlfn.SINGLE(_xlfn.XLOOKUP(G643, Réttabanki!A:A, Réttabanki!AW:AW, "")) * I643 / 100, ""), "")))</f>
        <v/>
      </c>
      <c r="Q643" s="26" t="str">
        <f>IF(OR(F643 = "", G643 = "", I643 = ""), "", IF(F643 = "Vara", IFERROR(_xlfn.SINGLE(_xlfn.XLOOKUP(G643, Vöruskrá!A:A, Vöruskrá!N:N, "")) * I643 / 100, ""), IF(F643 = "Réttur", IFERROR(_xlfn.SINGLE(_xlfn.XLOOKUP(G643, Réttabanki!A:A, Réttabanki!BB:BB, "")) * I643 / 100, ""), "")))</f>
        <v/>
      </c>
    </row>
    <row r="644" spans="2:17">
      <c r="B644" s="33" t="str">
        <f>IF(A644&lt;&gt;"",CHOOSE(WEEKDAY(A644,2),"Mánudagur","Þriðjudagur","Miðvikudagur","Fimmtudagur","Föstudagur","Laugardagur","Sunnudagur"),IF(B643&lt;&gt;"",B643,""))</f>
        <v>Fimmtudagur</v>
      </c>
      <c r="C644" s="33">
        <f>IF(A644&lt;&gt;"",WEEKNUM(A644,21),IF(C643&lt;&gt;"",C643,""))</f>
        <v>27</v>
      </c>
      <c r="D644" s="34"/>
      <c r="E644" s="34"/>
      <c r="F644" s="34"/>
      <c r="G644" s="34"/>
      <c r="H644" s="34"/>
      <c r="I644" s="35"/>
      <c r="J644" s="35"/>
      <c r="K644" s="36"/>
      <c r="L644" s="26" t="str">
        <f>IF(OR(F644 = "", G644 = ""), "", IF(F644 = "Vara", IFERROR(_xlfn.SINGLE(_xlfn.XLOOKUP(G644, Vöruskrá!A:A, Vöruskrá!E:E, "")), ""), IF(F644 = "Réttur", IFERROR(_xlfn.SINGLE(_xlfn.XLOOKUP(G644, Réttabanki!A:A, Réttabanki!AS:AS, "")), ""), "")))</f>
        <v/>
      </c>
      <c r="M644" s="26" t="str">
        <f>IF(OR(F644 = "", G644 = ""), "", IF(F644 = "Vara", IFERROR(_xlfn.SINGLE(_xlfn.XLOOKUP(G644, Vöruskrá!A:A, Vöruskrá!F:F, "")), ""), IF(F644 = "Réttur", IFERROR(_xlfn.SINGLE(_xlfn.XLOOKUP(G644, Réttabanki!A:A, Réttabanki!AT:AT, "")), ""), "")))</f>
        <v/>
      </c>
      <c r="N644" s="26" t="str">
        <f>IF(OR(F644 = "", G644 = ""), "", IF(F644 = "Vara", IFERROR(_xlfn.SINGLE(_xlfn.XLOOKUP(G644, Vöruskrá!A:A, Vöruskrá!G:G, "")), ""), IF(F644 = "Réttur", IFERROR(_xlfn.SINGLE(_xlfn.XLOOKUP(G644, Réttabanki!A:A, Réttabanki!AU:AU, "")), ""), "")))</f>
        <v/>
      </c>
      <c r="O644" s="26" t="str">
        <f>IF(OR(F644 = "", G644 = "", I644 = ""), "", IF(F644 = "Vara", IFERROR(_xlfn.SINGLE(_xlfn.XLOOKUP(G644, Vöruskrá!A:A, Vöruskrá!I:I, "")) * I644 / 100, ""), IF(F644 = "Réttur", IFERROR(_xlfn.SINGLE(_xlfn.XLOOKUP(G644, Réttabanki!A:A, Réttabanki!AV:AV, "")) * I644 / 100, ""), "")))</f>
        <v/>
      </c>
      <c r="P644" s="26" t="str">
        <f>IF(OR(F644 = "", G644 = "", I644 = ""), "", IF(F644 = "Vara", IFERROR(_xlfn.SINGLE(_xlfn.XLOOKUP(G644, Vöruskrá!A:A, Vöruskrá!J:J, "")) * I644 / 100, ""), IF(F644 = "Réttur", IFERROR(_xlfn.SINGLE(_xlfn.XLOOKUP(G644, Réttabanki!A:A, Réttabanki!AW:AW, "")) * I644 / 100, ""), "")))</f>
        <v/>
      </c>
      <c r="Q644" s="26" t="str">
        <f>IF(OR(F644 = "", G644 = "", I644 = ""), "", IF(F644 = "Vara", IFERROR(_xlfn.SINGLE(_xlfn.XLOOKUP(G644, Vöruskrá!A:A, Vöruskrá!N:N, "")) * I644 / 100, ""), IF(F644 = "Réttur", IFERROR(_xlfn.SINGLE(_xlfn.XLOOKUP(G644, Réttabanki!A:A, Réttabanki!BB:BB, "")) * I644 / 100, ""), "")))</f>
        <v/>
      </c>
    </row>
    <row r="645" spans="2:17">
      <c r="B645" s="33" t="str">
        <f>IF(A645&lt;&gt;"",CHOOSE(WEEKDAY(A645,2),"Mánudagur","Þriðjudagur","Miðvikudagur","Fimmtudagur","Föstudagur","Laugardagur","Sunnudagur"),IF(B644&lt;&gt;"",B644,""))</f>
        <v>Fimmtudagur</v>
      </c>
      <c r="C645" s="33">
        <f>IF(A645&lt;&gt;"",WEEKNUM(A645,21),IF(C644&lt;&gt;"",C644,""))</f>
        <v>27</v>
      </c>
      <c r="D645" s="34"/>
      <c r="E645" s="34"/>
      <c r="F645" s="34"/>
      <c r="G645" s="34"/>
      <c r="H645" s="34"/>
      <c r="I645" s="35"/>
      <c r="J645" s="35"/>
      <c r="K645" s="36"/>
      <c r="L645" s="26" t="str">
        <f>IF(OR(F645 = "", G645 = ""), "", IF(F645 = "Vara", IFERROR(_xlfn.SINGLE(_xlfn.XLOOKUP(G645, Vöruskrá!A:A, Vöruskrá!E:E, "")), ""), IF(F645 = "Réttur", IFERROR(_xlfn.SINGLE(_xlfn.XLOOKUP(G645, Réttabanki!A:A, Réttabanki!AS:AS, "")), ""), "")))</f>
        <v/>
      </c>
      <c r="M645" s="26" t="str">
        <f>IF(OR(F645 = "", G645 = ""), "", IF(F645 = "Vara", IFERROR(_xlfn.SINGLE(_xlfn.XLOOKUP(G645, Vöruskrá!A:A, Vöruskrá!F:F, "")), ""), IF(F645 = "Réttur", IFERROR(_xlfn.SINGLE(_xlfn.XLOOKUP(G645, Réttabanki!A:A, Réttabanki!AT:AT, "")), ""), "")))</f>
        <v/>
      </c>
      <c r="N645" s="26" t="str">
        <f>IF(OR(F645 = "", G645 = ""), "", IF(F645 = "Vara", IFERROR(_xlfn.SINGLE(_xlfn.XLOOKUP(G645, Vöruskrá!A:A, Vöruskrá!G:G, "")), ""), IF(F645 = "Réttur", IFERROR(_xlfn.SINGLE(_xlfn.XLOOKUP(G645, Réttabanki!A:A, Réttabanki!AU:AU, "")), ""), "")))</f>
        <v/>
      </c>
      <c r="O645" s="26" t="str">
        <f>IF(OR(F645 = "", G645 = "", I645 = ""), "", IF(F645 = "Vara", IFERROR(_xlfn.SINGLE(_xlfn.XLOOKUP(G645, Vöruskrá!A:A, Vöruskrá!I:I, "")) * I645 / 100, ""), IF(F645 = "Réttur", IFERROR(_xlfn.SINGLE(_xlfn.XLOOKUP(G645, Réttabanki!A:A, Réttabanki!AV:AV, "")) * I645 / 100, ""), "")))</f>
        <v/>
      </c>
      <c r="P645" s="26" t="str">
        <f>IF(OR(F645 = "", G645 = "", I645 = ""), "", IF(F645 = "Vara", IFERROR(_xlfn.SINGLE(_xlfn.XLOOKUP(G645, Vöruskrá!A:A, Vöruskrá!J:J, "")) * I645 / 100, ""), IF(F645 = "Réttur", IFERROR(_xlfn.SINGLE(_xlfn.XLOOKUP(G645, Réttabanki!A:A, Réttabanki!AW:AW, "")) * I645 / 100, ""), "")))</f>
        <v/>
      </c>
      <c r="Q645" s="26" t="str">
        <f>IF(OR(F645 = "", G645 = "", I645 = ""), "", IF(F645 = "Vara", IFERROR(_xlfn.SINGLE(_xlfn.XLOOKUP(G645, Vöruskrá!A:A, Vöruskrá!N:N, "")) * I645 / 100, ""), IF(F645 = "Réttur", IFERROR(_xlfn.SINGLE(_xlfn.XLOOKUP(G645, Réttabanki!A:A, Réttabanki!BB:BB, "")) * I645 / 100, ""), "")))</f>
        <v/>
      </c>
    </row>
    <row r="646" spans="2:17">
      <c r="B646" s="33" t="str">
        <f>IF(A646&lt;&gt;"",CHOOSE(WEEKDAY(A646,2),"Mánudagur","Þriðjudagur","Miðvikudagur","Fimmtudagur","Föstudagur","Laugardagur","Sunnudagur"),IF(B645&lt;&gt;"",B645,""))</f>
        <v>Fimmtudagur</v>
      </c>
      <c r="C646" s="33">
        <f>IF(A646&lt;&gt;"",WEEKNUM(A646,21),IF(C645&lt;&gt;"",C645,""))</f>
        <v>27</v>
      </c>
      <c r="D646" s="34"/>
      <c r="E646" s="34"/>
      <c r="F646" s="34"/>
      <c r="G646" s="34"/>
      <c r="H646" s="34"/>
      <c r="I646" s="35"/>
      <c r="J646" s="35"/>
      <c r="K646" s="36"/>
      <c r="L646" s="26" t="str">
        <f>IF(OR(F646 = "", G646 = ""), "", IF(F646 = "Vara", IFERROR(_xlfn.SINGLE(_xlfn.XLOOKUP(G646, Vöruskrá!A:A, Vöruskrá!E:E, "")), ""), IF(F646 = "Réttur", IFERROR(_xlfn.SINGLE(_xlfn.XLOOKUP(G646, Réttabanki!A:A, Réttabanki!AS:AS, "")), ""), "")))</f>
        <v/>
      </c>
      <c r="M646" s="26" t="str">
        <f>IF(OR(F646 = "", G646 = ""), "", IF(F646 = "Vara", IFERROR(_xlfn.SINGLE(_xlfn.XLOOKUP(G646, Vöruskrá!A:A, Vöruskrá!F:F, "")), ""), IF(F646 = "Réttur", IFERROR(_xlfn.SINGLE(_xlfn.XLOOKUP(G646, Réttabanki!A:A, Réttabanki!AT:AT, "")), ""), "")))</f>
        <v/>
      </c>
      <c r="N646" s="26" t="str">
        <f>IF(OR(F646 = "", G646 = ""), "", IF(F646 = "Vara", IFERROR(_xlfn.SINGLE(_xlfn.XLOOKUP(G646, Vöruskrá!A:A, Vöruskrá!G:G, "")), ""), IF(F646 = "Réttur", IFERROR(_xlfn.SINGLE(_xlfn.XLOOKUP(G646, Réttabanki!A:A, Réttabanki!AU:AU, "")), ""), "")))</f>
        <v/>
      </c>
      <c r="O646" s="26" t="str">
        <f>IF(OR(F646 = "", G646 = "", I646 = ""), "", IF(F646 = "Vara", IFERROR(_xlfn.SINGLE(_xlfn.XLOOKUP(G646, Vöruskrá!A:A, Vöruskrá!I:I, "")) * I646 / 100, ""), IF(F646 = "Réttur", IFERROR(_xlfn.SINGLE(_xlfn.XLOOKUP(G646, Réttabanki!A:A, Réttabanki!AV:AV, "")) * I646 / 100, ""), "")))</f>
        <v/>
      </c>
      <c r="P646" s="26" t="str">
        <f>IF(OR(F646 = "", G646 = "", I646 = ""), "", IF(F646 = "Vara", IFERROR(_xlfn.SINGLE(_xlfn.XLOOKUP(G646, Vöruskrá!A:A, Vöruskrá!J:J, "")) * I646 / 100, ""), IF(F646 = "Réttur", IFERROR(_xlfn.SINGLE(_xlfn.XLOOKUP(G646, Réttabanki!A:A, Réttabanki!AW:AW, "")) * I646 / 100, ""), "")))</f>
        <v/>
      </c>
      <c r="Q646" s="26" t="str">
        <f>IF(OR(F646 = "", G646 = "", I646 = ""), "", IF(F646 = "Vara", IFERROR(_xlfn.SINGLE(_xlfn.XLOOKUP(G646, Vöruskrá!A:A, Vöruskrá!N:N, "")) * I646 / 100, ""), IF(F646 = "Réttur", IFERROR(_xlfn.SINGLE(_xlfn.XLOOKUP(G646, Réttabanki!A:A, Réttabanki!BB:BB, "")) * I646 / 100, ""), "")))</f>
        <v/>
      </c>
    </row>
    <row r="647" spans="2:17">
      <c r="B647" s="33" t="str">
        <f>IF(A647&lt;&gt;"",CHOOSE(WEEKDAY(A647,2),"Mánudagur","Þriðjudagur","Miðvikudagur","Fimmtudagur","Föstudagur","Laugardagur","Sunnudagur"),IF(B646&lt;&gt;"",B646,""))</f>
        <v>Fimmtudagur</v>
      </c>
      <c r="C647" s="33">
        <f>IF(A647&lt;&gt;"",WEEKNUM(A647,21),IF(C646&lt;&gt;"",C646,""))</f>
        <v>27</v>
      </c>
      <c r="D647" s="34"/>
      <c r="E647" s="34"/>
      <c r="F647" s="34"/>
      <c r="G647" s="34"/>
      <c r="H647" s="34"/>
      <c r="I647" s="35"/>
      <c r="J647" s="35"/>
      <c r="K647" s="36"/>
      <c r="L647" s="26" t="str">
        <f>IF(OR(F647 = "", G647 = ""), "", IF(F647 = "Vara", IFERROR(_xlfn.SINGLE(_xlfn.XLOOKUP(G647, Vöruskrá!A:A, Vöruskrá!E:E, "")), ""), IF(F647 = "Réttur", IFERROR(_xlfn.SINGLE(_xlfn.XLOOKUP(G647, Réttabanki!A:A, Réttabanki!AS:AS, "")), ""), "")))</f>
        <v/>
      </c>
      <c r="M647" s="26" t="str">
        <f>IF(OR(F647 = "", G647 = ""), "", IF(F647 = "Vara", IFERROR(_xlfn.SINGLE(_xlfn.XLOOKUP(G647, Vöruskrá!A:A, Vöruskrá!F:F, "")), ""), IF(F647 = "Réttur", IFERROR(_xlfn.SINGLE(_xlfn.XLOOKUP(G647, Réttabanki!A:A, Réttabanki!AT:AT, "")), ""), "")))</f>
        <v/>
      </c>
      <c r="N647" s="26" t="str">
        <f>IF(OR(F647 = "", G647 = ""), "", IF(F647 = "Vara", IFERROR(_xlfn.SINGLE(_xlfn.XLOOKUP(G647, Vöruskrá!A:A, Vöruskrá!G:G, "")), ""), IF(F647 = "Réttur", IFERROR(_xlfn.SINGLE(_xlfn.XLOOKUP(G647, Réttabanki!A:A, Réttabanki!AU:AU, "")), ""), "")))</f>
        <v/>
      </c>
      <c r="O647" s="26" t="str">
        <f>IF(OR(F647 = "", G647 = "", I647 = ""), "", IF(F647 = "Vara", IFERROR(_xlfn.SINGLE(_xlfn.XLOOKUP(G647, Vöruskrá!A:A, Vöruskrá!I:I, "")) * I647 / 100, ""), IF(F647 = "Réttur", IFERROR(_xlfn.SINGLE(_xlfn.XLOOKUP(G647, Réttabanki!A:A, Réttabanki!AV:AV, "")) * I647 / 100, ""), "")))</f>
        <v/>
      </c>
      <c r="P647" s="26" t="str">
        <f>IF(OR(F647 = "", G647 = "", I647 = ""), "", IF(F647 = "Vara", IFERROR(_xlfn.SINGLE(_xlfn.XLOOKUP(G647, Vöruskrá!A:A, Vöruskrá!J:J, "")) * I647 / 100, ""), IF(F647 = "Réttur", IFERROR(_xlfn.SINGLE(_xlfn.XLOOKUP(G647, Réttabanki!A:A, Réttabanki!AW:AW, "")) * I647 / 100, ""), "")))</f>
        <v/>
      </c>
      <c r="Q647" s="26" t="str">
        <f>IF(OR(F647 = "", G647 = "", I647 = ""), "", IF(F647 = "Vara", IFERROR(_xlfn.SINGLE(_xlfn.XLOOKUP(G647, Vöruskrá!A:A, Vöruskrá!N:N, "")) * I647 / 100, ""), IF(F647 = "Réttur", IFERROR(_xlfn.SINGLE(_xlfn.XLOOKUP(G647, Réttabanki!A:A, Réttabanki!BB:BB, "")) * I647 / 100, ""), "")))</f>
        <v/>
      </c>
    </row>
    <row r="648" spans="2:17">
      <c r="B648" s="33" t="str">
        <f>IF(A648&lt;&gt;"",CHOOSE(WEEKDAY(A648,2),"Mánudagur","Þriðjudagur","Miðvikudagur","Fimmtudagur","Föstudagur","Laugardagur","Sunnudagur"),IF(B647&lt;&gt;"",B647,""))</f>
        <v>Fimmtudagur</v>
      </c>
      <c r="C648" s="33">
        <f>IF(A648&lt;&gt;"",WEEKNUM(A648,21),IF(C647&lt;&gt;"",C647,""))</f>
        <v>27</v>
      </c>
      <c r="D648" s="34"/>
      <c r="E648" s="34"/>
      <c r="F648" s="34"/>
      <c r="G648" s="34"/>
      <c r="H648" s="34"/>
      <c r="I648" s="35"/>
      <c r="J648" s="35"/>
      <c r="K648" s="36"/>
      <c r="L648" s="26" t="str">
        <f>IF(OR(F648 = "", G648 = ""), "", IF(F648 = "Vara", IFERROR(_xlfn.SINGLE(_xlfn.XLOOKUP(G648, Vöruskrá!A:A, Vöruskrá!E:E, "")), ""), IF(F648 = "Réttur", IFERROR(_xlfn.SINGLE(_xlfn.XLOOKUP(G648, Réttabanki!A:A, Réttabanki!AS:AS, "")), ""), "")))</f>
        <v/>
      </c>
      <c r="M648" s="26" t="str">
        <f>IF(OR(F648 = "", G648 = ""), "", IF(F648 = "Vara", IFERROR(_xlfn.SINGLE(_xlfn.XLOOKUP(G648, Vöruskrá!A:A, Vöruskrá!F:F, "")), ""), IF(F648 = "Réttur", IFERROR(_xlfn.SINGLE(_xlfn.XLOOKUP(G648, Réttabanki!A:A, Réttabanki!AT:AT, "")), ""), "")))</f>
        <v/>
      </c>
      <c r="N648" s="26" t="str">
        <f>IF(OR(F648 = "", G648 = ""), "", IF(F648 = "Vara", IFERROR(_xlfn.SINGLE(_xlfn.XLOOKUP(G648, Vöruskrá!A:A, Vöruskrá!G:G, "")), ""), IF(F648 = "Réttur", IFERROR(_xlfn.SINGLE(_xlfn.XLOOKUP(G648, Réttabanki!A:A, Réttabanki!AU:AU, "")), ""), "")))</f>
        <v/>
      </c>
      <c r="O648" s="26" t="str">
        <f>IF(OR(F648 = "", G648 = "", I648 = ""), "", IF(F648 = "Vara", IFERROR(_xlfn.SINGLE(_xlfn.XLOOKUP(G648, Vöruskrá!A:A, Vöruskrá!I:I, "")) * I648 / 100, ""), IF(F648 = "Réttur", IFERROR(_xlfn.SINGLE(_xlfn.XLOOKUP(G648, Réttabanki!A:A, Réttabanki!AV:AV, "")) * I648 / 100, ""), "")))</f>
        <v/>
      </c>
      <c r="P648" s="26" t="str">
        <f>IF(OR(F648 = "", G648 = "", I648 = ""), "", IF(F648 = "Vara", IFERROR(_xlfn.SINGLE(_xlfn.XLOOKUP(G648, Vöruskrá!A:A, Vöruskrá!J:J, "")) * I648 / 100, ""), IF(F648 = "Réttur", IFERROR(_xlfn.SINGLE(_xlfn.XLOOKUP(G648, Réttabanki!A:A, Réttabanki!AW:AW, "")) * I648 / 100, ""), "")))</f>
        <v/>
      </c>
      <c r="Q648" s="26" t="str">
        <f>IF(OR(F648 = "", G648 = "", I648 = ""), "", IF(F648 = "Vara", IFERROR(_xlfn.SINGLE(_xlfn.XLOOKUP(G648, Vöruskrá!A:A, Vöruskrá!N:N, "")) * I648 / 100, ""), IF(F648 = "Réttur", IFERROR(_xlfn.SINGLE(_xlfn.XLOOKUP(G648, Réttabanki!A:A, Réttabanki!BB:BB, "")) * I648 / 100, ""), "")))</f>
        <v/>
      </c>
    </row>
    <row r="649" spans="2:17">
      <c r="B649" s="33" t="str">
        <f>IF(A649&lt;&gt;"",CHOOSE(WEEKDAY(A649,2),"Mánudagur","Þriðjudagur","Miðvikudagur","Fimmtudagur","Föstudagur","Laugardagur","Sunnudagur"),IF(B648&lt;&gt;"",B648,""))</f>
        <v>Fimmtudagur</v>
      </c>
      <c r="C649" s="33">
        <f>IF(A649&lt;&gt;"",WEEKNUM(A649,21),IF(C648&lt;&gt;"",C648,""))</f>
        <v>27</v>
      </c>
      <c r="D649" s="34"/>
      <c r="E649" s="34"/>
      <c r="F649" s="34"/>
      <c r="G649" s="34"/>
      <c r="H649" s="34"/>
      <c r="I649" s="35"/>
      <c r="J649" s="35"/>
      <c r="K649" s="36"/>
      <c r="L649" s="26" t="str">
        <f>IF(OR(F649 = "", G649 = ""), "", IF(F649 = "Vara", IFERROR(_xlfn.SINGLE(_xlfn.XLOOKUP(G649, Vöruskrá!A:A, Vöruskrá!E:E, "")), ""), IF(F649 = "Réttur", IFERROR(_xlfn.SINGLE(_xlfn.XLOOKUP(G649, Réttabanki!A:A, Réttabanki!AS:AS, "")), ""), "")))</f>
        <v/>
      </c>
      <c r="M649" s="26" t="str">
        <f>IF(OR(F649 = "", G649 = ""), "", IF(F649 = "Vara", IFERROR(_xlfn.SINGLE(_xlfn.XLOOKUP(G649, Vöruskrá!A:A, Vöruskrá!F:F, "")), ""), IF(F649 = "Réttur", IFERROR(_xlfn.SINGLE(_xlfn.XLOOKUP(G649, Réttabanki!A:A, Réttabanki!AT:AT, "")), ""), "")))</f>
        <v/>
      </c>
      <c r="N649" s="26" t="str">
        <f>IF(OR(F649 = "", G649 = ""), "", IF(F649 = "Vara", IFERROR(_xlfn.SINGLE(_xlfn.XLOOKUP(G649, Vöruskrá!A:A, Vöruskrá!G:G, "")), ""), IF(F649 = "Réttur", IFERROR(_xlfn.SINGLE(_xlfn.XLOOKUP(G649, Réttabanki!A:A, Réttabanki!AU:AU, "")), ""), "")))</f>
        <v/>
      </c>
      <c r="O649" s="26" t="str">
        <f>IF(OR(F649 = "", G649 = "", I649 = ""), "", IF(F649 = "Vara", IFERROR(_xlfn.SINGLE(_xlfn.XLOOKUP(G649, Vöruskrá!A:A, Vöruskrá!I:I, "")) * I649 / 100, ""), IF(F649 = "Réttur", IFERROR(_xlfn.SINGLE(_xlfn.XLOOKUP(G649, Réttabanki!A:A, Réttabanki!AV:AV, "")) * I649 / 100, ""), "")))</f>
        <v/>
      </c>
      <c r="P649" s="26" t="str">
        <f>IF(OR(F649 = "", G649 = "", I649 = ""), "", IF(F649 = "Vara", IFERROR(_xlfn.SINGLE(_xlfn.XLOOKUP(G649, Vöruskrá!A:A, Vöruskrá!J:J, "")) * I649 / 100, ""), IF(F649 = "Réttur", IFERROR(_xlfn.SINGLE(_xlfn.XLOOKUP(G649, Réttabanki!A:A, Réttabanki!AW:AW, "")) * I649 / 100, ""), "")))</f>
        <v/>
      </c>
      <c r="Q649" s="26" t="str">
        <f>IF(OR(F649 = "", G649 = "", I649 = ""), "", IF(F649 = "Vara", IFERROR(_xlfn.SINGLE(_xlfn.XLOOKUP(G649, Vöruskrá!A:A, Vöruskrá!N:N, "")) * I649 / 100, ""), IF(F649 = "Réttur", IFERROR(_xlfn.SINGLE(_xlfn.XLOOKUP(G649, Réttabanki!A:A, Réttabanki!BB:BB, "")) * I649 / 100, ""), "")))</f>
        <v/>
      </c>
    </row>
    <row r="650" spans="2:17">
      <c r="B650" s="33" t="str">
        <f>IF(A650&lt;&gt;"",CHOOSE(WEEKDAY(A650,2),"Mánudagur","Þriðjudagur","Miðvikudagur","Fimmtudagur","Föstudagur","Laugardagur","Sunnudagur"),IF(B649&lt;&gt;"",B649,""))</f>
        <v>Fimmtudagur</v>
      </c>
      <c r="C650" s="33">
        <f>IF(A650&lt;&gt;"",WEEKNUM(A650,21),IF(C649&lt;&gt;"",C649,""))</f>
        <v>27</v>
      </c>
      <c r="D650" s="34"/>
      <c r="E650" s="34"/>
      <c r="F650" s="34"/>
      <c r="G650" s="34"/>
      <c r="H650" s="34"/>
      <c r="I650" s="35"/>
      <c r="J650" s="35"/>
      <c r="K650" s="36"/>
      <c r="L650" s="26" t="str">
        <f>IF(OR(F650 = "", G650 = ""), "", IF(F650 = "Vara", IFERROR(_xlfn.SINGLE(_xlfn.XLOOKUP(G650, Vöruskrá!A:A, Vöruskrá!E:E, "")), ""), IF(F650 = "Réttur", IFERROR(_xlfn.SINGLE(_xlfn.XLOOKUP(G650, Réttabanki!A:A, Réttabanki!AS:AS, "")), ""), "")))</f>
        <v/>
      </c>
      <c r="M650" s="26" t="str">
        <f>IF(OR(F650 = "", G650 = ""), "", IF(F650 = "Vara", IFERROR(_xlfn.SINGLE(_xlfn.XLOOKUP(G650, Vöruskrá!A:A, Vöruskrá!F:F, "")), ""), IF(F650 = "Réttur", IFERROR(_xlfn.SINGLE(_xlfn.XLOOKUP(G650, Réttabanki!A:A, Réttabanki!AT:AT, "")), ""), "")))</f>
        <v/>
      </c>
      <c r="N650" s="26" t="str">
        <f>IF(OR(F650 = "", G650 = ""), "", IF(F650 = "Vara", IFERROR(_xlfn.SINGLE(_xlfn.XLOOKUP(G650, Vöruskrá!A:A, Vöruskrá!G:G, "")), ""), IF(F650 = "Réttur", IFERROR(_xlfn.SINGLE(_xlfn.XLOOKUP(G650, Réttabanki!A:A, Réttabanki!AU:AU, "")), ""), "")))</f>
        <v/>
      </c>
      <c r="O650" s="26" t="str">
        <f>IF(OR(F650 = "", G650 = "", I650 = ""), "", IF(F650 = "Vara", IFERROR(_xlfn.SINGLE(_xlfn.XLOOKUP(G650, Vöruskrá!A:A, Vöruskrá!I:I, "")) * I650 / 100, ""), IF(F650 = "Réttur", IFERROR(_xlfn.SINGLE(_xlfn.XLOOKUP(G650, Réttabanki!A:A, Réttabanki!AV:AV, "")) * I650 / 100, ""), "")))</f>
        <v/>
      </c>
      <c r="P650" s="26" t="str">
        <f>IF(OR(F650 = "", G650 = "", I650 = ""), "", IF(F650 = "Vara", IFERROR(_xlfn.SINGLE(_xlfn.XLOOKUP(G650, Vöruskrá!A:A, Vöruskrá!J:J, "")) * I650 / 100, ""), IF(F650 = "Réttur", IFERROR(_xlfn.SINGLE(_xlfn.XLOOKUP(G650, Réttabanki!A:A, Réttabanki!AW:AW, "")) * I650 / 100, ""), "")))</f>
        <v/>
      </c>
      <c r="Q650" s="26" t="str">
        <f>IF(OR(F650 = "", G650 = "", I650 = ""), "", IF(F650 = "Vara", IFERROR(_xlfn.SINGLE(_xlfn.XLOOKUP(G650, Vöruskrá!A:A, Vöruskrá!N:N, "")) * I650 / 100, ""), IF(F650 = "Réttur", IFERROR(_xlfn.SINGLE(_xlfn.XLOOKUP(G650, Réttabanki!A:A, Réttabanki!BB:BB, "")) * I650 / 100, ""), "")))</f>
        <v/>
      </c>
    </row>
    <row r="651" spans="2:17">
      <c r="B651" s="33" t="str">
        <f>IF(A651&lt;&gt;"",CHOOSE(WEEKDAY(A651,2),"Mánudagur","Þriðjudagur","Miðvikudagur","Fimmtudagur","Föstudagur","Laugardagur","Sunnudagur"),IF(B650&lt;&gt;"",B650,""))</f>
        <v>Fimmtudagur</v>
      </c>
      <c r="C651" s="33">
        <f>IF(A651&lt;&gt;"",WEEKNUM(A651,21),IF(C650&lt;&gt;"",C650,""))</f>
        <v>27</v>
      </c>
      <c r="D651" s="34"/>
      <c r="E651" s="34"/>
      <c r="F651" s="34"/>
      <c r="G651" s="34"/>
      <c r="H651" s="34"/>
      <c r="I651" s="35"/>
      <c r="J651" s="35"/>
      <c r="K651" s="36"/>
      <c r="L651" s="26" t="str">
        <f>IF(OR(F651 = "", G651 = ""), "", IF(F651 = "Vara", IFERROR(_xlfn.SINGLE(_xlfn.XLOOKUP(G651, Vöruskrá!A:A, Vöruskrá!E:E, "")), ""), IF(F651 = "Réttur", IFERROR(_xlfn.SINGLE(_xlfn.XLOOKUP(G651, Réttabanki!A:A, Réttabanki!AS:AS, "")), ""), "")))</f>
        <v/>
      </c>
      <c r="M651" s="26" t="str">
        <f>IF(OR(F651 = "", G651 = ""), "", IF(F651 = "Vara", IFERROR(_xlfn.SINGLE(_xlfn.XLOOKUP(G651, Vöruskrá!A:A, Vöruskrá!F:F, "")), ""), IF(F651 = "Réttur", IFERROR(_xlfn.SINGLE(_xlfn.XLOOKUP(G651, Réttabanki!A:A, Réttabanki!AT:AT, "")), ""), "")))</f>
        <v/>
      </c>
      <c r="N651" s="26" t="str">
        <f>IF(OR(F651 = "", G651 = ""), "", IF(F651 = "Vara", IFERROR(_xlfn.SINGLE(_xlfn.XLOOKUP(G651, Vöruskrá!A:A, Vöruskrá!G:G, "")), ""), IF(F651 = "Réttur", IFERROR(_xlfn.SINGLE(_xlfn.XLOOKUP(G651, Réttabanki!A:A, Réttabanki!AU:AU, "")), ""), "")))</f>
        <v/>
      </c>
      <c r="O651" s="26" t="str">
        <f>IF(OR(F651 = "", G651 = "", I651 = ""), "", IF(F651 = "Vara", IFERROR(_xlfn.SINGLE(_xlfn.XLOOKUP(G651, Vöruskrá!A:A, Vöruskrá!I:I, "")) * I651 / 100, ""), IF(F651 = "Réttur", IFERROR(_xlfn.SINGLE(_xlfn.XLOOKUP(G651, Réttabanki!A:A, Réttabanki!AV:AV, "")) * I651 / 100, ""), "")))</f>
        <v/>
      </c>
      <c r="P651" s="26" t="str">
        <f>IF(OR(F651 = "", G651 = "", I651 = ""), "", IF(F651 = "Vara", IFERROR(_xlfn.SINGLE(_xlfn.XLOOKUP(G651, Vöruskrá!A:A, Vöruskrá!J:J, "")) * I651 / 100, ""), IF(F651 = "Réttur", IFERROR(_xlfn.SINGLE(_xlfn.XLOOKUP(G651, Réttabanki!A:A, Réttabanki!AW:AW, "")) * I651 / 100, ""), "")))</f>
        <v/>
      </c>
      <c r="Q651" s="26" t="str">
        <f>IF(OR(F651 = "", G651 = "", I651 = ""), "", IF(F651 = "Vara", IFERROR(_xlfn.SINGLE(_xlfn.XLOOKUP(G651, Vöruskrá!A:A, Vöruskrá!N:N, "")) * I651 / 100, ""), IF(F651 = "Réttur", IFERROR(_xlfn.SINGLE(_xlfn.XLOOKUP(G651, Réttabanki!A:A, Réttabanki!BB:BB, "")) * I651 / 100, ""), "")))</f>
        <v/>
      </c>
    </row>
    <row r="652" spans="2:17">
      <c r="B652" s="33" t="str">
        <f>IF(A652&lt;&gt;"",CHOOSE(WEEKDAY(A652,2),"Mánudagur","Þriðjudagur","Miðvikudagur","Fimmtudagur","Föstudagur","Laugardagur","Sunnudagur"),IF(B651&lt;&gt;"",B651,""))</f>
        <v>Fimmtudagur</v>
      </c>
      <c r="C652" s="33">
        <f>IF(A652&lt;&gt;"",WEEKNUM(A652,21),IF(C651&lt;&gt;"",C651,""))</f>
        <v>27</v>
      </c>
      <c r="D652" s="34"/>
      <c r="E652" s="34"/>
      <c r="F652" s="34"/>
      <c r="G652" s="34"/>
      <c r="H652" s="34"/>
      <c r="I652" s="35"/>
      <c r="J652" s="35"/>
      <c r="K652" s="36"/>
      <c r="L652" s="26" t="str">
        <f>IF(OR(F652 = "", G652 = ""), "", IF(F652 = "Vara", IFERROR(_xlfn.SINGLE(_xlfn.XLOOKUP(G652, Vöruskrá!A:A, Vöruskrá!E:E, "")), ""), IF(F652 = "Réttur", IFERROR(_xlfn.SINGLE(_xlfn.XLOOKUP(G652, Réttabanki!A:A, Réttabanki!AS:AS, "")), ""), "")))</f>
        <v/>
      </c>
      <c r="M652" s="26" t="str">
        <f>IF(OR(F652 = "", G652 = ""), "", IF(F652 = "Vara", IFERROR(_xlfn.SINGLE(_xlfn.XLOOKUP(G652, Vöruskrá!A:A, Vöruskrá!F:F, "")), ""), IF(F652 = "Réttur", IFERROR(_xlfn.SINGLE(_xlfn.XLOOKUP(G652, Réttabanki!A:A, Réttabanki!AT:AT, "")), ""), "")))</f>
        <v/>
      </c>
      <c r="N652" s="26" t="str">
        <f>IF(OR(F652 = "", G652 = ""), "", IF(F652 = "Vara", IFERROR(_xlfn.SINGLE(_xlfn.XLOOKUP(G652, Vöruskrá!A:A, Vöruskrá!G:G, "")), ""), IF(F652 = "Réttur", IFERROR(_xlfn.SINGLE(_xlfn.XLOOKUP(G652, Réttabanki!A:A, Réttabanki!AU:AU, "")), ""), "")))</f>
        <v/>
      </c>
      <c r="O652" s="26" t="str">
        <f>IF(OR(F652 = "", G652 = "", I652 = ""), "", IF(F652 = "Vara", IFERROR(_xlfn.SINGLE(_xlfn.XLOOKUP(G652, Vöruskrá!A:A, Vöruskrá!I:I, "")) * I652 / 100, ""), IF(F652 = "Réttur", IFERROR(_xlfn.SINGLE(_xlfn.XLOOKUP(G652, Réttabanki!A:A, Réttabanki!AV:AV, "")) * I652 / 100, ""), "")))</f>
        <v/>
      </c>
      <c r="P652" s="26" t="str">
        <f>IF(OR(F652 = "", G652 = "", I652 = ""), "", IF(F652 = "Vara", IFERROR(_xlfn.SINGLE(_xlfn.XLOOKUP(G652, Vöruskrá!A:A, Vöruskrá!J:J, "")) * I652 / 100, ""), IF(F652 = "Réttur", IFERROR(_xlfn.SINGLE(_xlfn.XLOOKUP(G652, Réttabanki!A:A, Réttabanki!AW:AW, "")) * I652 / 100, ""), "")))</f>
        <v/>
      </c>
      <c r="Q652" s="26" t="str">
        <f>IF(OR(F652 = "", G652 = "", I652 = ""), "", IF(F652 = "Vara", IFERROR(_xlfn.SINGLE(_xlfn.XLOOKUP(G652, Vöruskrá!A:A, Vöruskrá!N:N, "")) * I652 / 100, ""), IF(F652 = "Réttur", IFERROR(_xlfn.SINGLE(_xlfn.XLOOKUP(G652, Réttabanki!A:A, Réttabanki!BB:BB, "")) * I652 / 100, ""), "")))</f>
        <v/>
      </c>
    </row>
    <row r="653" spans="2:17">
      <c r="B653" s="33" t="str">
        <f>IF(A653&lt;&gt;"",CHOOSE(WEEKDAY(A653,2),"Mánudagur","Þriðjudagur","Miðvikudagur","Fimmtudagur","Föstudagur","Laugardagur","Sunnudagur"),IF(B652&lt;&gt;"",B652,""))</f>
        <v>Fimmtudagur</v>
      </c>
      <c r="C653" s="33">
        <f>IF(A653&lt;&gt;"",WEEKNUM(A653,21),IF(C652&lt;&gt;"",C652,""))</f>
        <v>27</v>
      </c>
      <c r="D653" s="34"/>
      <c r="E653" s="34"/>
      <c r="F653" s="34"/>
      <c r="G653" s="34"/>
      <c r="H653" s="34"/>
      <c r="I653" s="35"/>
      <c r="J653" s="35"/>
      <c r="K653" s="36"/>
      <c r="L653" s="26" t="str">
        <f>IF(OR(F653 = "", G653 = ""), "", IF(F653 = "Vara", IFERROR(_xlfn.SINGLE(_xlfn.XLOOKUP(G653, Vöruskrá!A:A, Vöruskrá!E:E, "")), ""), IF(F653 = "Réttur", IFERROR(_xlfn.SINGLE(_xlfn.XLOOKUP(G653, Réttabanki!A:A, Réttabanki!AS:AS, "")), ""), "")))</f>
        <v/>
      </c>
      <c r="M653" s="26" t="str">
        <f>IF(OR(F653 = "", G653 = ""), "", IF(F653 = "Vara", IFERROR(_xlfn.SINGLE(_xlfn.XLOOKUP(G653, Vöruskrá!A:A, Vöruskrá!F:F, "")), ""), IF(F653 = "Réttur", IFERROR(_xlfn.SINGLE(_xlfn.XLOOKUP(G653, Réttabanki!A:A, Réttabanki!AT:AT, "")), ""), "")))</f>
        <v/>
      </c>
      <c r="N653" s="26" t="str">
        <f>IF(OR(F653 = "", G653 = ""), "", IF(F653 = "Vara", IFERROR(_xlfn.SINGLE(_xlfn.XLOOKUP(G653, Vöruskrá!A:A, Vöruskrá!G:G, "")), ""), IF(F653 = "Réttur", IFERROR(_xlfn.SINGLE(_xlfn.XLOOKUP(G653, Réttabanki!A:A, Réttabanki!AU:AU, "")), ""), "")))</f>
        <v/>
      </c>
      <c r="O653" s="26" t="str">
        <f>IF(OR(F653 = "", G653 = "", I653 = ""), "", IF(F653 = "Vara", IFERROR(_xlfn.SINGLE(_xlfn.XLOOKUP(G653, Vöruskrá!A:A, Vöruskrá!I:I, "")) * I653 / 100, ""), IF(F653 = "Réttur", IFERROR(_xlfn.SINGLE(_xlfn.XLOOKUP(G653, Réttabanki!A:A, Réttabanki!AV:AV, "")) * I653 / 100, ""), "")))</f>
        <v/>
      </c>
      <c r="P653" s="26" t="str">
        <f>IF(OR(F653 = "", G653 = "", I653 = ""), "", IF(F653 = "Vara", IFERROR(_xlfn.SINGLE(_xlfn.XLOOKUP(G653, Vöruskrá!A:A, Vöruskrá!J:J, "")) * I653 / 100, ""), IF(F653 = "Réttur", IFERROR(_xlfn.SINGLE(_xlfn.XLOOKUP(G653, Réttabanki!A:A, Réttabanki!AW:AW, "")) * I653 / 100, ""), "")))</f>
        <v/>
      </c>
      <c r="Q653" s="26" t="str">
        <f>IF(OR(F653 = "", G653 = "", I653 = ""), "", IF(F653 = "Vara", IFERROR(_xlfn.SINGLE(_xlfn.XLOOKUP(G653, Vöruskrá!A:A, Vöruskrá!N:N, "")) * I653 / 100, ""), IF(F653 = "Réttur", IFERROR(_xlfn.SINGLE(_xlfn.XLOOKUP(G653, Réttabanki!A:A, Réttabanki!BB:BB, "")) * I653 / 100, ""), "")))</f>
        <v/>
      </c>
    </row>
    <row r="654" spans="2:17">
      <c r="B654" s="33" t="str">
        <f>IF(A654&lt;&gt;"",CHOOSE(WEEKDAY(A654,2),"Mánudagur","Þriðjudagur","Miðvikudagur","Fimmtudagur","Föstudagur","Laugardagur","Sunnudagur"),IF(B653&lt;&gt;"",B653,""))</f>
        <v>Fimmtudagur</v>
      </c>
      <c r="C654" s="33">
        <f>IF(A654&lt;&gt;"",WEEKNUM(A654,21),IF(C653&lt;&gt;"",C653,""))</f>
        <v>27</v>
      </c>
      <c r="D654" s="34"/>
      <c r="E654" s="34"/>
      <c r="F654" s="34"/>
      <c r="G654" s="34"/>
      <c r="H654" s="34"/>
      <c r="I654" s="35"/>
      <c r="J654" s="35"/>
      <c r="K654" s="36"/>
      <c r="L654" s="26" t="str">
        <f>IF(OR(F654 = "", G654 = ""), "", IF(F654 = "Vara", IFERROR(_xlfn.SINGLE(_xlfn.XLOOKUP(G654, Vöruskrá!A:A, Vöruskrá!E:E, "")), ""), IF(F654 = "Réttur", IFERROR(_xlfn.SINGLE(_xlfn.XLOOKUP(G654, Réttabanki!A:A, Réttabanki!AS:AS, "")), ""), "")))</f>
        <v/>
      </c>
      <c r="M654" s="26" t="str">
        <f>IF(OR(F654 = "", G654 = ""), "", IF(F654 = "Vara", IFERROR(_xlfn.SINGLE(_xlfn.XLOOKUP(G654, Vöruskrá!A:A, Vöruskrá!F:F, "")), ""), IF(F654 = "Réttur", IFERROR(_xlfn.SINGLE(_xlfn.XLOOKUP(G654, Réttabanki!A:A, Réttabanki!AT:AT, "")), ""), "")))</f>
        <v/>
      </c>
      <c r="N654" s="26" t="str">
        <f>IF(OR(F654 = "", G654 = ""), "", IF(F654 = "Vara", IFERROR(_xlfn.SINGLE(_xlfn.XLOOKUP(G654, Vöruskrá!A:A, Vöruskrá!G:G, "")), ""), IF(F654 = "Réttur", IFERROR(_xlfn.SINGLE(_xlfn.XLOOKUP(G654, Réttabanki!A:A, Réttabanki!AU:AU, "")), ""), "")))</f>
        <v/>
      </c>
      <c r="O654" s="26" t="str">
        <f>IF(OR(F654 = "", G654 = "", I654 = ""), "", IF(F654 = "Vara", IFERROR(_xlfn.SINGLE(_xlfn.XLOOKUP(G654, Vöruskrá!A:A, Vöruskrá!I:I, "")) * I654 / 100, ""), IF(F654 = "Réttur", IFERROR(_xlfn.SINGLE(_xlfn.XLOOKUP(G654, Réttabanki!A:A, Réttabanki!AV:AV, "")) * I654 / 100, ""), "")))</f>
        <v/>
      </c>
      <c r="P654" s="26" t="str">
        <f>IF(OR(F654 = "", G654 = "", I654 = ""), "", IF(F654 = "Vara", IFERROR(_xlfn.SINGLE(_xlfn.XLOOKUP(G654, Vöruskrá!A:A, Vöruskrá!J:J, "")) * I654 / 100, ""), IF(F654 = "Réttur", IFERROR(_xlfn.SINGLE(_xlfn.XLOOKUP(G654, Réttabanki!A:A, Réttabanki!AW:AW, "")) * I654 / 100, ""), "")))</f>
        <v/>
      </c>
      <c r="Q654" s="26" t="str">
        <f>IF(OR(F654 = "", G654 = "", I654 = ""), "", IF(F654 = "Vara", IFERROR(_xlfn.SINGLE(_xlfn.XLOOKUP(G654, Vöruskrá!A:A, Vöruskrá!N:N, "")) * I654 / 100, ""), IF(F654 = "Réttur", IFERROR(_xlfn.SINGLE(_xlfn.XLOOKUP(G654, Réttabanki!A:A, Réttabanki!BB:BB, "")) * I654 / 100, ""), "")))</f>
        <v/>
      </c>
    </row>
    <row r="655" spans="2:17">
      <c r="B655" s="33" t="str">
        <f>IF(A655&lt;&gt;"",CHOOSE(WEEKDAY(A655,2),"Mánudagur","Þriðjudagur","Miðvikudagur","Fimmtudagur","Föstudagur","Laugardagur","Sunnudagur"),IF(B654&lt;&gt;"",B654,""))</f>
        <v>Fimmtudagur</v>
      </c>
      <c r="C655" s="33">
        <f>IF(A655&lt;&gt;"",WEEKNUM(A655,21),IF(C654&lt;&gt;"",C654,""))</f>
        <v>27</v>
      </c>
      <c r="D655" s="34"/>
      <c r="E655" s="34"/>
      <c r="F655" s="34"/>
      <c r="G655" s="34"/>
      <c r="H655" s="34"/>
      <c r="I655" s="35"/>
      <c r="J655" s="35"/>
      <c r="K655" s="36"/>
      <c r="L655" s="26" t="str">
        <f>IF(OR(F655 = "", G655 = ""), "", IF(F655 = "Vara", IFERROR(_xlfn.SINGLE(_xlfn.XLOOKUP(G655, Vöruskrá!A:A, Vöruskrá!E:E, "")), ""), IF(F655 = "Réttur", IFERROR(_xlfn.SINGLE(_xlfn.XLOOKUP(G655, Réttabanki!A:A, Réttabanki!AS:AS, "")), ""), "")))</f>
        <v/>
      </c>
      <c r="M655" s="26" t="str">
        <f>IF(OR(F655 = "", G655 = ""), "", IF(F655 = "Vara", IFERROR(_xlfn.SINGLE(_xlfn.XLOOKUP(G655, Vöruskrá!A:A, Vöruskrá!F:F, "")), ""), IF(F655 = "Réttur", IFERROR(_xlfn.SINGLE(_xlfn.XLOOKUP(G655, Réttabanki!A:A, Réttabanki!AT:AT, "")), ""), "")))</f>
        <v/>
      </c>
      <c r="N655" s="26" t="str">
        <f>IF(OR(F655 = "", G655 = ""), "", IF(F655 = "Vara", IFERROR(_xlfn.SINGLE(_xlfn.XLOOKUP(G655, Vöruskrá!A:A, Vöruskrá!G:G, "")), ""), IF(F655 = "Réttur", IFERROR(_xlfn.SINGLE(_xlfn.XLOOKUP(G655, Réttabanki!A:A, Réttabanki!AU:AU, "")), ""), "")))</f>
        <v/>
      </c>
      <c r="O655" s="26" t="str">
        <f>IF(OR(F655 = "", G655 = "", I655 = ""), "", IF(F655 = "Vara", IFERROR(_xlfn.SINGLE(_xlfn.XLOOKUP(G655, Vöruskrá!A:A, Vöruskrá!I:I, "")) * I655 / 100, ""), IF(F655 = "Réttur", IFERROR(_xlfn.SINGLE(_xlfn.XLOOKUP(G655, Réttabanki!A:A, Réttabanki!AV:AV, "")) * I655 / 100, ""), "")))</f>
        <v/>
      </c>
      <c r="P655" s="26" t="str">
        <f>IF(OR(F655 = "", G655 = "", I655 = ""), "", IF(F655 = "Vara", IFERROR(_xlfn.SINGLE(_xlfn.XLOOKUP(G655, Vöruskrá!A:A, Vöruskrá!J:J, "")) * I655 / 100, ""), IF(F655 = "Réttur", IFERROR(_xlfn.SINGLE(_xlfn.XLOOKUP(G655, Réttabanki!A:A, Réttabanki!AW:AW, "")) * I655 / 100, ""), "")))</f>
        <v/>
      </c>
      <c r="Q655" s="26" t="str">
        <f>IF(OR(F655 = "", G655 = "", I655 = ""), "", IF(F655 = "Vara", IFERROR(_xlfn.SINGLE(_xlfn.XLOOKUP(G655, Vöruskrá!A:A, Vöruskrá!N:N, "")) * I655 / 100, ""), IF(F655 = "Réttur", IFERROR(_xlfn.SINGLE(_xlfn.XLOOKUP(G655, Réttabanki!A:A, Réttabanki!BB:BB, "")) * I655 / 100, ""), "")))</f>
        <v/>
      </c>
    </row>
    <row r="656" spans="2:17">
      <c r="B656" s="33" t="str">
        <f>IF(A656&lt;&gt;"",CHOOSE(WEEKDAY(A656,2),"Mánudagur","Þriðjudagur","Miðvikudagur","Fimmtudagur","Föstudagur","Laugardagur","Sunnudagur"),IF(B655&lt;&gt;"",B655,""))</f>
        <v>Fimmtudagur</v>
      </c>
      <c r="C656" s="33">
        <f>IF(A656&lt;&gt;"",WEEKNUM(A656,21),IF(C655&lt;&gt;"",C655,""))</f>
        <v>27</v>
      </c>
      <c r="D656" s="34"/>
      <c r="E656" s="34"/>
      <c r="F656" s="34"/>
      <c r="G656" s="34"/>
      <c r="H656" s="34"/>
      <c r="I656" s="35"/>
      <c r="J656" s="35"/>
      <c r="K656" s="36"/>
      <c r="L656" s="26" t="str">
        <f>IF(OR(F656 = "", G656 = ""), "", IF(F656 = "Vara", IFERROR(_xlfn.SINGLE(_xlfn.XLOOKUP(G656, Vöruskrá!A:A, Vöruskrá!E:E, "")), ""), IF(F656 = "Réttur", IFERROR(_xlfn.SINGLE(_xlfn.XLOOKUP(G656, Réttabanki!A:A, Réttabanki!AS:AS, "")), ""), "")))</f>
        <v/>
      </c>
      <c r="M656" s="26" t="str">
        <f>IF(OR(F656 = "", G656 = ""), "", IF(F656 = "Vara", IFERROR(_xlfn.SINGLE(_xlfn.XLOOKUP(G656, Vöruskrá!A:A, Vöruskrá!F:F, "")), ""), IF(F656 = "Réttur", IFERROR(_xlfn.SINGLE(_xlfn.XLOOKUP(G656, Réttabanki!A:A, Réttabanki!AT:AT, "")), ""), "")))</f>
        <v/>
      </c>
      <c r="N656" s="26" t="str">
        <f>IF(OR(F656 = "", G656 = ""), "", IF(F656 = "Vara", IFERROR(_xlfn.SINGLE(_xlfn.XLOOKUP(G656, Vöruskrá!A:A, Vöruskrá!G:G, "")), ""), IF(F656 = "Réttur", IFERROR(_xlfn.SINGLE(_xlfn.XLOOKUP(G656, Réttabanki!A:A, Réttabanki!AU:AU, "")), ""), "")))</f>
        <v/>
      </c>
      <c r="O656" s="26" t="str">
        <f>IF(OR(F656 = "", G656 = "", I656 = ""), "", IF(F656 = "Vara", IFERROR(_xlfn.SINGLE(_xlfn.XLOOKUP(G656, Vöruskrá!A:A, Vöruskrá!I:I, "")) * I656 / 100, ""), IF(F656 = "Réttur", IFERROR(_xlfn.SINGLE(_xlfn.XLOOKUP(G656, Réttabanki!A:A, Réttabanki!AV:AV, "")) * I656 / 100, ""), "")))</f>
        <v/>
      </c>
      <c r="P656" s="26" t="str">
        <f>IF(OR(F656 = "", G656 = "", I656 = ""), "", IF(F656 = "Vara", IFERROR(_xlfn.SINGLE(_xlfn.XLOOKUP(G656, Vöruskrá!A:A, Vöruskrá!J:J, "")) * I656 / 100, ""), IF(F656 = "Réttur", IFERROR(_xlfn.SINGLE(_xlfn.XLOOKUP(G656, Réttabanki!A:A, Réttabanki!AW:AW, "")) * I656 / 100, ""), "")))</f>
        <v/>
      </c>
      <c r="Q656" s="26" t="str">
        <f>IF(OR(F656 = "", G656 = "", I656 = ""), "", IF(F656 = "Vara", IFERROR(_xlfn.SINGLE(_xlfn.XLOOKUP(G656, Vöruskrá!A:A, Vöruskrá!N:N, "")) * I656 / 100, ""), IF(F656 = "Réttur", IFERROR(_xlfn.SINGLE(_xlfn.XLOOKUP(G656, Réttabanki!A:A, Réttabanki!BB:BB, "")) * I656 / 100, ""), "")))</f>
        <v/>
      </c>
    </row>
    <row r="657" spans="2:17">
      <c r="B657" s="33" t="str">
        <f>IF(A657&lt;&gt;"",CHOOSE(WEEKDAY(A657,2),"Mánudagur","Þriðjudagur","Miðvikudagur","Fimmtudagur","Föstudagur","Laugardagur","Sunnudagur"),IF(B656&lt;&gt;"",B656,""))</f>
        <v>Fimmtudagur</v>
      </c>
      <c r="C657" s="33">
        <f>IF(A657&lt;&gt;"",WEEKNUM(A657,21),IF(C656&lt;&gt;"",C656,""))</f>
        <v>27</v>
      </c>
      <c r="D657" s="34"/>
      <c r="E657" s="34"/>
      <c r="F657" s="34"/>
      <c r="G657" s="34"/>
      <c r="H657" s="34"/>
      <c r="I657" s="35"/>
      <c r="J657" s="35"/>
      <c r="K657" s="36"/>
      <c r="L657" s="26" t="str">
        <f>IF(OR(F657 = "", G657 = ""), "", IF(F657 = "Vara", IFERROR(_xlfn.SINGLE(_xlfn.XLOOKUP(G657, Vöruskrá!A:A, Vöruskrá!E:E, "")), ""), IF(F657 = "Réttur", IFERROR(_xlfn.SINGLE(_xlfn.XLOOKUP(G657, Réttabanki!A:A, Réttabanki!AS:AS, "")), ""), "")))</f>
        <v/>
      </c>
      <c r="M657" s="26" t="str">
        <f>IF(OR(F657 = "", G657 = ""), "", IF(F657 = "Vara", IFERROR(_xlfn.SINGLE(_xlfn.XLOOKUP(G657, Vöruskrá!A:A, Vöruskrá!F:F, "")), ""), IF(F657 = "Réttur", IFERROR(_xlfn.SINGLE(_xlfn.XLOOKUP(G657, Réttabanki!A:A, Réttabanki!AT:AT, "")), ""), "")))</f>
        <v/>
      </c>
      <c r="N657" s="26" t="str">
        <f>IF(OR(F657 = "", G657 = ""), "", IF(F657 = "Vara", IFERROR(_xlfn.SINGLE(_xlfn.XLOOKUP(G657, Vöruskrá!A:A, Vöruskrá!G:G, "")), ""), IF(F657 = "Réttur", IFERROR(_xlfn.SINGLE(_xlfn.XLOOKUP(G657, Réttabanki!A:A, Réttabanki!AU:AU, "")), ""), "")))</f>
        <v/>
      </c>
      <c r="O657" s="26" t="str">
        <f>IF(OR(F657 = "", G657 = "", I657 = ""), "", IF(F657 = "Vara", IFERROR(_xlfn.SINGLE(_xlfn.XLOOKUP(G657, Vöruskrá!A:A, Vöruskrá!I:I, "")) * I657 / 100, ""), IF(F657 = "Réttur", IFERROR(_xlfn.SINGLE(_xlfn.XLOOKUP(G657, Réttabanki!A:A, Réttabanki!AV:AV, "")) * I657 / 100, ""), "")))</f>
        <v/>
      </c>
      <c r="P657" s="26" t="str">
        <f>IF(OR(F657 = "", G657 = "", I657 = ""), "", IF(F657 = "Vara", IFERROR(_xlfn.SINGLE(_xlfn.XLOOKUP(G657, Vöruskrá!A:A, Vöruskrá!J:J, "")) * I657 / 100, ""), IF(F657 = "Réttur", IFERROR(_xlfn.SINGLE(_xlfn.XLOOKUP(G657, Réttabanki!A:A, Réttabanki!AW:AW, "")) * I657 / 100, ""), "")))</f>
        <v/>
      </c>
      <c r="Q657" s="26" t="str">
        <f>IF(OR(F657 = "", G657 = "", I657 = ""), "", IF(F657 = "Vara", IFERROR(_xlfn.SINGLE(_xlfn.XLOOKUP(G657, Vöruskrá!A:A, Vöruskrá!N:N, "")) * I657 / 100, ""), IF(F657 = "Réttur", IFERROR(_xlfn.SINGLE(_xlfn.XLOOKUP(G657, Réttabanki!A:A, Réttabanki!BB:BB, "")) * I657 / 100, ""), "")))</f>
        <v/>
      </c>
    </row>
    <row r="658" spans="2:17">
      <c r="B658" s="33" t="str">
        <f>IF(A658&lt;&gt;"",CHOOSE(WEEKDAY(A658,2),"Mánudagur","Þriðjudagur","Miðvikudagur","Fimmtudagur","Föstudagur","Laugardagur","Sunnudagur"),IF(B657&lt;&gt;"",B657,""))</f>
        <v>Fimmtudagur</v>
      </c>
      <c r="C658" s="33">
        <f>IF(A658&lt;&gt;"",WEEKNUM(A658,21),IF(C657&lt;&gt;"",C657,""))</f>
        <v>27</v>
      </c>
      <c r="D658" s="34"/>
      <c r="E658" s="34"/>
      <c r="F658" s="34"/>
      <c r="G658" s="34"/>
      <c r="H658" s="34"/>
      <c r="I658" s="35"/>
      <c r="J658" s="35"/>
      <c r="K658" s="36"/>
      <c r="L658" s="26" t="str">
        <f>IF(OR(F658 = "", G658 = ""), "", IF(F658 = "Vara", IFERROR(_xlfn.SINGLE(_xlfn.XLOOKUP(G658, Vöruskrá!A:A, Vöruskrá!E:E, "")), ""), IF(F658 = "Réttur", IFERROR(_xlfn.SINGLE(_xlfn.XLOOKUP(G658, Réttabanki!A:A, Réttabanki!AS:AS, "")), ""), "")))</f>
        <v/>
      </c>
      <c r="M658" s="26" t="str">
        <f>IF(OR(F658 = "", G658 = ""), "", IF(F658 = "Vara", IFERROR(_xlfn.SINGLE(_xlfn.XLOOKUP(G658, Vöruskrá!A:A, Vöruskrá!F:F, "")), ""), IF(F658 = "Réttur", IFERROR(_xlfn.SINGLE(_xlfn.XLOOKUP(G658, Réttabanki!A:A, Réttabanki!AT:AT, "")), ""), "")))</f>
        <v/>
      </c>
      <c r="N658" s="26" t="str">
        <f>IF(OR(F658 = "", G658 = ""), "", IF(F658 = "Vara", IFERROR(_xlfn.SINGLE(_xlfn.XLOOKUP(G658, Vöruskrá!A:A, Vöruskrá!G:G, "")), ""), IF(F658 = "Réttur", IFERROR(_xlfn.SINGLE(_xlfn.XLOOKUP(G658, Réttabanki!A:A, Réttabanki!AU:AU, "")), ""), "")))</f>
        <v/>
      </c>
      <c r="O658" s="26" t="str">
        <f>IF(OR(F658 = "", G658 = "", I658 = ""), "", IF(F658 = "Vara", IFERROR(_xlfn.SINGLE(_xlfn.XLOOKUP(G658, Vöruskrá!A:A, Vöruskrá!I:I, "")) * I658 / 100, ""), IF(F658 = "Réttur", IFERROR(_xlfn.SINGLE(_xlfn.XLOOKUP(G658, Réttabanki!A:A, Réttabanki!AV:AV, "")) * I658 / 100, ""), "")))</f>
        <v/>
      </c>
      <c r="P658" s="26" t="str">
        <f>IF(OR(F658 = "", G658 = "", I658 = ""), "", IF(F658 = "Vara", IFERROR(_xlfn.SINGLE(_xlfn.XLOOKUP(G658, Vöruskrá!A:A, Vöruskrá!J:J, "")) * I658 / 100, ""), IF(F658 = "Réttur", IFERROR(_xlfn.SINGLE(_xlfn.XLOOKUP(G658, Réttabanki!A:A, Réttabanki!AW:AW, "")) * I658 / 100, ""), "")))</f>
        <v/>
      </c>
      <c r="Q658" s="26" t="str">
        <f>IF(OR(F658 = "", G658 = "", I658 = ""), "", IF(F658 = "Vara", IFERROR(_xlfn.SINGLE(_xlfn.XLOOKUP(G658, Vöruskrá!A:A, Vöruskrá!N:N, "")) * I658 / 100, ""), IF(F658 = "Réttur", IFERROR(_xlfn.SINGLE(_xlfn.XLOOKUP(G658, Réttabanki!A:A, Réttabanki!BB:BB, "")) * I658 / 100, ""), "")))</f>
        <v/>
      </c>
    </row>
    <row r="659" spans="2:17">
      <c r="B659" s="33" t="str">
        <f>IF(A659&lt;&gt;"",CHOOSE(WEEKDAY(A659,2),"Mánudagur","Þriðjudagur","Miðvikudagur","Fimmtudagur","Föstudagur","Laugardagur","Sunnudagur"),IF(B658&lt;&gt;"",B658,""))</f>
        <v>Fimmtudagur</v>
      </c>
      <c r="C659" s="33">
        <f>IF(A659&lt;&gt;"",WEEKNUM(A659,21),IF(C658&lt;&gt;"",C658,""))</f>
        <v>27</v>
      </c>
      <c r="D659" s="34"/>
      <c r="E659" s="34"/>
      <c r="F659" s="34"/>
      <c r="G659" s="34"/>
      <c r="H659" s="34"/>
      <c r="I659" s="35"/>
      <c r="J659" s="35"/>
      <c r="K659" s="36"/>
      <c r="L659" s="26" t="str">
        <f>IF(OR(F659 = "", G659 = ""), "", IF(F659 = "Vara", IFERROR(_xlfn.SINGLE(_xlfn.XLOOKUP(G659, Vöruskrá!A:A, Vöruskrá!E:E, "")), ""), IF(F659 = "Réttur", IFERROR(_xlfn.SINGLE(_xlfn.XLOOKUP(G659, Réttabanki!A:A, Réttabanki!AS:AS, "")), ""), "")))</f>
        <v/>
      </c>
      <c r="M659" s="26" t="str">
        <f>IF(OR(F659 = "", G659 = ""), "", IF(F659 = "Vara", IFERROR(_xlfn.SINGLE(_xlfn.XLOOKUP(G659, Vöruskrá!A:A, Vöruskrá!F:F, "")), ""), IF(F659 = "Réttur", IFERROR(_xlfn.SINGLE(_xlfn.XLOOKUP(G659, Réttabanki!A:A, Réttabanki!AT:AT, "")), ""), "")))</f>
        <v/>
      </c>
      <c r="N659" s="26" t="str">
        <f>IF(OR(F659 = "", G659 = ""), "", IF(F659 = "Vara", IFERROR(_xlfn.SINGLE(_xlfn.XLOOKUP(G659, Vöruskrá!A:A, Vöruskrá!G:G, "")), ""), IF(F659 = "Réttur", IFERROR(_xlfn.SINGLE(_xlfn.XLOOKUP(G659, Réttabanki!A:A, Réttabanki!AU:AU, "")), ""), "")))</f>
        <v/>
      </c>
      <c r="O659" s="26" t="str">
        <f>IF(OR(F659 = "", G659 = "", I659 = ""), "", IF(F659 = "Vara", IFERROR(_xlfn.SINGLE(_xlfn.XLOOKUP(G659, Vöruskrá!A:A, Vöruskrá!I:I, "")) * I659 / 100, ""), IF(F659 = "Réttur", IFERROR(_xlfn.SINGLE(_xlfn.XLOOKUP(G659, Réttabanki!A:A, Réttabanki!AV:AV, "")) * I659 / 100, ""), "")))</f>
        <v/>
      </c>
      <c r="P659" s="26" t="str">
        <f>IF(OR(F659 = "", G659 = "", I659 = ""), "", IF(F659 = "Vara", IFERROR(_xlfn.SINGLE(_xlfn.XLOOKUP(G659, Vöruskrá!A:A, Vöruskrá!J:J, "")) * I659 / 100, ""), IF(F659 = "Réttur", IFERROR(_xlfn.SINGLE(_xlfn.XLOOKUP(G659, Réttabanki!A:A, Réttabanki!AW:AW, "")) * I659 / 100, ""), "")))</f>
        <v/>
      </c>
      <c r="Q659" s="26" t="str">
        <f>IF(OR(F659 = "", G659 = "", I659 = ""), "", IF(F659 = "Vara", IFERROR(_xlfn.SINGLE(_xlfn.XLOOKUP(G659, Vöruskrá!A:A, Vöruskrá!N:N, "")) * I659 / 100, ""), IF(F659 = "Réttur", IFERROR(_xlfn.SINGLE(_xlfn.XLOOKUP(G659, Réttabanki!A:A, Réttabanki!BB:BB, "")) * I659 / 100, ""), "")))</f>
        <v/>
      </c>
    </row>
    <row r="660" spans="2:17">
      <c r="B660" s="33" t="str">
        <f>IF(A660&lt;&gt;"",CHOOSE(WEEKDAY(A660,2),"Mánudagur","Þriðjudagur","Miðvikudagur","Fimmtudagur","Föstudagur","Laugardagur","Sunnudagur"),IF(B659&lt;&gt;"",B659,""))</f>
        <v>Fimmtudagur</v>
      </c>
      <c r="C660" s="33">
        <f>IF(A660&lt;&gt;"",WEEKNUM(A660,21),IF(C659&lt;&gt;"",C659,""))</f>
        <v>27</v>
      </c>
      <c r="D660" s="34"/>
      <c r="E660" s="34"/>
      <c r="F660" s="34"/>
      <c r="G660" s="34"/>
      <c r="H660" s="34"/>
      <c r="I660" s="35"/>
      <c r="J660" s="35"/>
      <c r="K660" s="36"/>
      <c r="L660" s="26" t="str">
        <f>IF(OR(F660 = "", G660 = ""), "", IF(F660 = "Vara", IFERROR(_xlfn.SINGLE(_xlfn.XLOOKUP(G660, Vöruskrá!A:A, Vöruskrá!E:E, "")), ""), IF(F660 = "Réttur", IFERROR(_xlfn.SINGLE(_xlfn.XLOOKUP(G660, Réttabanki!A:A, Réttabanki!AS:AS, "")), ""), "")))</f>
        <v/>
      </c>
      <c r="M660" s="26" t="str">
        <f>IF(OR(F660 = "", G660 = ""), "", IF(F660 = "Vara", IFERROR(_xlfn.SINGLE(_xlfn.XLOOKUP(G660, Vöruskrá!A:A, Vöruskrá!F:F, "")), ""), IF(F660 = "Réttur", IFERROR(_xlfn.SINGLE(_xlfn.XLOOKUP(G660, Réttabanki!A:A, Réttabanki!AT:AT, "")), ""), "")))</f>
        <v/>
      </c>
      <c r="N660" s="26" t="str">
        <f>IF(OR(F660 = "", G660 = ""), "", IF(F660 = "Vara", IFERROR(_xlfn.SINGLE(_xlfn.XLOOKUP(G660, Vöruskrá!A:A, Vöruskrá!G:G, "")), ""), IF(F660 = "Réttur", IFERROR(_xlfn.SINGLE(_xlfn.XLOOKUP(G660, Réttabanki!A:A, Réttabanki!AU:AU, "")), ""), "")))</f>
        <v/>
      </c>
      <c r="O660" s="26" t="str">
        <f>IF(OR(F660 = "", G660 = "", I660 = ""), "", IF(F660 = "Vara", IFERROR(_xlfn.SINGLE(_xlfn.XLOOKUP(G660, Vöruskrá!A:A, Vöruskrá!I:I, "")) * I660 / 100, ""), IF(F660 = "Réttur", IFERROR(_xlfn.SINGLE(_xlfn.XLOOKUP(G660, Réttabanki!A:A, Réttabanki!AV:AV, "")) * I660 / 100, ""), "")))</f>
        <v/>
      </c>
      <c r="P660" s="26" t="str">
        <f>IF(OR(F660 = "", G660 = "", I660 = ""), "", IF(F660 = "Vara", IFERROR(_xlfn.SINGLE(_xlfn.XLOOKUP(G660, Vöruskrá!A:A, Vöruskrá!J:J, "")) * I660 / 100, ""), IF(F660 = "Réttur", IFERROR(_xlfn.SINGLE(_xlfn.XLOOKUP(G660, Réttabanki!A:A, Réttabanki!AW:AW, "")) * I660 / 100, ""), "")))</f>
        <v/>
      </c>
      <c r="Q660" s="26" t="str">
        <f>IF(OR(F660 = "", G660 = "", I660 = ""), "", IF(F660 = "Vara", IFERROR(_xlfn.SINGLE(_xlfn.XLOOKUP(G660, Vöruskrá!A:A, Vöruskrá!N:N, "")) * I660 / 100, ""), IF(F660 = "Réttur", IFERROR(_xlfn.SINGLE(_xlfn.XLOOKUP(G660, Réttabanki!A:A, Réttabanki!BB:BB, "")) * I660 / 100, ""), "")))</f>
        <v/>
      </c>
    </row>
    <row r="661" spans="2:17">
      <c r="B661" s="33" t="str">
        <f>IF(A661&lt;&gt;"",CHOOSE(WEEKDAY(A661,2),"Mánudagur","Þriðjudagur","Miðvikudagur","Fimmtudagur","Föstudagur","Laugardagur","Sunnudagur"),IF(B660&lt;&gt;"",B660,""))</f>
        <v>Fimmtudagur</v>
      </c>
      <c r="C661" s="33">
        <f>IF(A661&lt;&gt;"",WEEKNUM(A661,21),IF(C660&lt;&gt;"",C660,""))</f>
        <v>27</v>
      </c>
      <c r="D661" s="34"/>
      <c r="E661" s="34"/>
      <c r="F661" s="34"/>
      <c r="G661" s="34"/>
      <c r="H661" s="34"/>
      <c r="I661" s="35"/>
      <c r="J661" s="35"/>
      <c r="K661" s="36"/>
      <c r="L661" s="26" t="str">
        <f>IF(OR(F661 = "", G661 = ""), "", IF(F661 = "Vara", IFERROR(_xlfn.SINGLE(_xlfn.XLOOKUP(G661, Vöruskrá!A:A, Vöruskrá!E:E, "")), ""), IF(F661 = "Réttur", IFERROR(_xlfn.SINGLE(_xlfn.XLOOKUP(G661, Réttabanki!A:A, Réttabanki!AS:AS, "")), ""), "")))</f>
        <v/>
      </c>
      <c r="M661" s="26" t="str">
        <f>IF(OR(F661 = "", G661 = ""), "", IF(F661 = "Vara", IFERROR(_xlfn.SINGLE(_xlfn.XLOOKUP(G661, Vöruskrá!A:A, Vöruskrá!F:F, "")), ""), IF(F661 = "Réttur", IFERROR(_xlfn.SINGLE(_xlfn.XLOOKUP(G661, Réttabanki!A:A, Réttabanki!AT:AT, "")), ""), "")))</f>
        <v/>
      </c>
      <c r="N661" s="26" t="str">
        <f>IF(OR(F661 = "", G661 = ""), "", IF(F661 = "Vara", IFERROR(_xlfn.SINGLE(_xlfn.XLOOKUP(G661, Vöruskrá!A:A, Vöruskrá!G:G, "")), ""), IF(F661 = "Réttur", IFERROR(_xlfn.SINGLE(_xlfn.XLOOKUP(G661, Réttabanki!A:A, Réttabanki!AU:AU, "")), ""), "")))</f>
        <v/>
      </c>
      <c r="O661" s="26" t="str">
        <f>IF(OR(F661 = "", G661 = "", I661 = ""), "", IF(F661 = "Vara", IFERROR(_xlfn.SINGLE(_xlfn.XLOOKUP(G661, Vöruskrá!A:A, Vöruskrá!I:I, "")) * I661 / 100, ""), IF(F661 = "Réttur", IFERROR(_xlfn.SINGLE(_xlfn.XLOOKUP(G661, Réttabanki!A:A, Réttabanki!AV:AV, "")) * I661 / 100, ""), "")))</f>
        <v/>
      </c>
      <c r="P661" s="26" t="str">
        <f>IF(OR(F661 = "", G661 = "", I661 = ""), "", IF(F661 = "Vara", IFERROR(_xlfn.SINGLE(_xlfn.XLOOKUP(G661, Vöruskrá!A:A, Vöruskrá!J:J, "")) * I661 / 100, ""), IF(F661 = "Réttur", IFERROR(_xlfn.SINGLE(_xlfn.XLOOKUP(G661, Réttabanki!A:A, Réttabanki!AW:AW, "")) * I661 / 100, ""), "")))</f>
        <v/>
      </c>
      <c r="Q661" s="26" t="str">
        <f>IF(OR(F661 = "", G661 = "", I661 = ""), "", IF(F661 = "Vara", IFERROR(_xlfn.SINGLE(_xlfn.XLOOKUP(G661, Vöruskrá!A:A, Vöruskrá!N:N, "")) * I661 / 100, ""), IF(F661 = "Réttur", IFERROR(_xlfn.SINGLE(_xlfn.XLOOKUP(G661, Réttabanki!A:A, Réttabanki!BB:BB, "")) * I661 / 100, ""), "")))</f>
        <v/>
      </c>
    </row>
    <row r="662" spans="2:17">
      <c r="B662" s="33" t="str">
        <f>IF(A662&lt;&gt;"",CHOOSE(WEEKDAY(A662,2),"Mánudagur","Þriðjudagur","Miðvikudagur","Fimmtudagur","Föstudagur","Laugardagur","Sunnudagur"),IF(B661&lt;&gt;"",B661,""))</f>
        <v>Fimmtudagur</v>
      </c>
      <c r="C662" s="33">
        <f>IF(A662&lt;&gt;"",WEEKNUM(A662,21),IF(C661&lt;&gt;"",C661,""))</f>
        <v>27</v>
      </c>
      <c r="D662" s="34"/>
      <c r="E662" s="34"/>
      <c r="F662" s="34"/>
      <c r="G662" s="34"/>
      <c r="H662" s="34"/>
      <c r="I662" s="35"/>
      <c r="J662" s="35"/>
      <c r="K662" s="36"/>
      <c r="L662" s="26" t="str">
        <f>IF(OR(F662 = "", G662 = ""), "", IF(F662 = "Vara", IFERROR(_xlfn.SINGLE(_xlfn.XLOOKUP(G662, Vöruskrá!A:A, Vöruskrá!E:E, "")), ""), IF(F662 = "Réttur", IFERROR(_xlfn.SINGLE(_xlfn.XLOOKUP(G662, Réttabanki!A:A, Réttabanki!AS:AS, "")), ""), "")))</f>
        <v/>
      </c>
      <c r="M662" s="26" t="str">
        <f>IF(OR(F662 = "", G662 = ""), "", IF(F662 = "Vara", IFERROR(_xlfn.SINGLE(_xlfn.XLOOKUP(G662, Vöruskrá!A:A, Vöruskrá!F:F, "")), ""), IF(F662 = "Réttur", IFERROR(_xlfn.SINGLE(_xlfn.XLOOKUP(G662, Réttabanki!A:A, Réttabanki!AT:AT, "")), ""), "")))</f>
        <v/>
      </c>
      <c r="N662" s="26" t="str">
        <f>IF(OR(F662 = "", G662 = ""), "", IF(F662 = "Vara", IFERROR(_xlfn.SINGLE(_xlfn.XLOOKUP(G662, Vöruskrá!A:A, Vöruskrá!G:G, "")), ""), IF(F662 = "Réttur", IFERROR(_xlfn.SINGLE(_xlfn.XLOOKUP(G662, Réttabanki!A:A, Réttabanki!AU:AU, "")), ""), "")))</f>
        <v/>
      </c>
      <c r="O662" s="26" t="str">
        <f>IF(OR(F662 = "", G662 = "", I662 = ""), "", IF(F662 = "Vara", IFERROR(_xlfn.SINGLE(_xlfn.XLOOKUP(G662, Vöruskrá!A:A, Vöruskrá!I:I, "")) * I662 / 100, ""), IF(F662 = "Réttur", IFERROR(_xlfn.SINGLE(_xlfn.XLOOKUP(G662, Réttabanki!A:A, Réttabanki!AV:AV, "")) * I662 / 100, ""), "")))</f>
        <v/>
      </c>
      <c r="P662" s="26" t="str">
        <f>IF(OR(F662 = "", G662 = "", I662 = ""), "", IF(F662 = "Vara", IFERROR(_xlfn.SINGLE(_xlfn.XLOOKUP(G662, Vöruskrá!A:A, Vöruskrá!J:J, "")) * I662 / 100, ""), IF(F662 = "Réttur", IFERROR(_xlfn.SINGLE(_xlfn.XLOOKUP(G662, Réttabanki!A:A, Réttabanki!AW:AW, "")) * I662 / 100, ""), "")))</f>
        <v/>
      </c>
      <c r="Q662" s="26" t="str">
        <f>IF(OR(F662 = "", G662 = "", I662 = ""), "", IF(F662 = "Vara", IFERROR(_xlfn.SINGLE(_xlfn.XLOOKUP(G662, Vöruskrá!A:A, Vöruskrá!N:N, "")) * I662 / 100, ""), IF(F662 = "Réttur", IFERROR(_xlfn.SINGLE(_xlfn.XLOOKUP(G662, Réttabanki!A:A, Réttabanki!BB:BB, "")) * I662 / 100, ""), "")))</f>
        <v/>
      </c>
    </row>
    <row r="663" spans="2:17">
      <c r="B663" s="33" t="str">
        <f>IF(A663&lt;&gt;"",CHOOSE(WEEKDAY(A663,2),"Mánudagur","Þriðjudagur","Miðvikudagur","Fimmtudagur","Föstudagur","Laugardagur","Sunnudagur"),IF(B662&lt;&gt;"",B662,""))</f>
        <v>Fimmtudagur</v>
      </c>
      <c r="C663" s="33">
        <f>IF(A663&lt;&gt;"",WEEKNUM(A663,21),IF(C662&lt;&gt;"",C662,""))</f>
        <v>27</v>
      </c>
      <c r="D663" s="34"/>
      <c r="E663" s="34"/>
      <c r="F663" s="34"/>
      <c r="G663" s="34"/>
      <c r="H663" s="34"/>
      <c r="I663" s="35"/>
      <c r="J663" s="35"/>
      <c r="K663" s="36"/>
      <c r="L663" s="26" t="str">
        <f>IF(OR(F663 = "", G663 = ""), "", IF(F663 = "Vara", IFERROR(_xlfn.SINGLE(_xlfn.XLOOKUP(G663, Vöruskrá!A:A, Vöruskrá!E:E, "")), ""), IF(F663 = "Réttur", IFERROR(_xlfn.SINGLE(_xlfn.XLOOKUP(G663, Réttabanki!A:A, Réttabanki!AS:AS, "")), ""), "")))</f>
        <v/>
      </c>
      <c r="M663" s="26" t="str">
        <f>IF(OR(F663 = "", G663 = ""), "", IF(F663 = "Vara", IFERROR(_xlfn.SINGLE(_xlfn.XLOOKUP(G663, Vöruskrá!A:A, Vöruskrá!F:F, "")), ""), IF(F663 = "Réttur", IFERROR(_xlfn.SINGLE(_xlfn.XLOOKUP(G663, Réttabanki!A:A, Réttabanki!AT:AT, "")), ""), "")))</f>
        <v/>
      </c>
      <c r="N663" s="26" t="str">
        <f>IF(OR(F663 = "", G663 = ""), "", IF(F663 = "Vara", IFERROR(_xlfn.SINGLE(_xlfn.XLOOKUP(G663, Vöruskrá!A:A, Vöruskrá!G:G, "")), ""), IF(F663 = "Réttur", IFERROR(_xlfn.SINGLE(_xlfn.XLOOKUP(G663, Réttabanki!A:A, Réttabanki!AU:AU, "")), ""), "")))</f>
        <v/>
      </c>
      <c r="O663" s="26" t="str">
        <f>IF(OR(F663 = "", G663 = "", I663 = ""), "", IF(F663 = "Vara", IFERROR(_xlfn.SINGLE(_xlfn.XLOOKUP(G663, Vöruskrá!A:A, Vöruskrá!I:I, "")) * I663 / 100, ""), IF(F663 = "Réttur", IFERROR(_xlfn.SINGLE(_xlfn.XLOOKUP(G663, Réttabanki!A:A, Réttabanki!AV:AV, "")) * I663 / 100, ""), "")))</f>
        <v/>
      </c>
      <c r="P663" s="26" t="str">
        <f>IF(OR(F663 = "", G663 = "", I663 = ""), "", IF(F663 = "Vara", IFERROR(_xlfn.SINGLE(_xlfn.XLOOKUP(G663, Vöruskrá!A:A, Vöruskrá!J:J, "")) * I663 / 100, ""), IF(F663 = "Réttur", IFERROR(_xlfn.SINGLE(_xlfn.XLOOKUP(G663, Réttabanki!A:A, Réttabanki!AW:AW, "")) * I663 / 100, ""), "")))</f>
        <v/>
      </c>
      <c r="Q663" s="26" t="str">
        <f>IF(OR(F663 = "", G663 = "", I663 = ""), "", IF(F663 = "Vara", IFERROR(_xlfn.SINGLE(_xlfn.XLOOKUP(G663, Vöruskrá!A:A, Vöruskrá!N:N, "")) * I663 / 100, ""), IF(F663 = "Réttur", IFERROR(_xlfn.SINGLE(_xlfn.XLOOKUP(G663, Réttabanki!A:A, Réttabanki!BB:BB, "")) * I663 / 100, ""), "")))</f>
        <v/>
      </c>
    </row>
    <row r="664" spans="2:17">
      <c r="B664" s="33" t="str">
        <f>IF(A664&lt;&gt;"",CHOOSE(WEEKDAY(A664,2),"Mánudagur","Þriðjudagur","Miðvikudagur","Fimmtudagur","Föstudagur","Laugardagur","Sunnudagur"),IF(B663&lt;&gt;"",B663,""))</f>
        <v>Fimmtudagur</v>
      </c>
      <c r="C664" s="33">
        <f>IF(A664&lt;&gt;"",WEEKNUM(A664,21),IF(C663&lt;&gt;"",C663,""))</f>
        <v>27</v>
      </c>
      <c r="D664" s="34"/>
      <c r="E664" s="34"/>
      <c r="F664" s="34"/>
      <c r="G664" s="34"/>
      <c r="H664" s="34"/>
      <c r="I664" s="35"/>
      <c r="J664" s="35"/>
      <c r="K664" s="36"/>
      <c r="L664" s="26" t="str">
        <f>IF(OR(F664 = "", G664 = ""), "", IF(F664 = "Vara", IFERROR(_xlfn.SINGLE(_xlfn.XLOOKUP(G664, Vöruskrá!A:A, Vöruskrá!E:E, "")), ""), IF(F664 = "Réttur", IFERROR(_xlfn.SINGLE(_xlfn.XLOOKUP(G664, Réttabanki!A:A, Réttabanki!AS:AS, "")), ""), "")))</f>
        <v/>
      </c>
      <c r="M664" s="26" t="str">
        <f>IF(OR(F664 = "", G664 = ""), "", IF(F664 = "Vara", IFERROR(_xlfn.SINGLE(_xlfn.XLOOKUP(G664, Vöruskrá!A:A, Vöruskrá!F:F, "")), ""), IF(F664 = "Réttur", IFERROR(_xlfn.SINGLE(_xlfn.XLOOKUP(G664, Réttabanki!A:A, Réttabanki!AT:AT, "")), ""), "")))</f>
        <v/>
      </c>
      <c r="N664" s="26" t="str">
        <f>IF(OR(F664 = "", G664 = ""), "", IF(F664 = "Vara", IFERROR(_xlfn.SINGLE(_xlfn.XLOOKUP(G664, Vöruskrá!A:A, Vöruskrá!G:G, "")), ""), IF(F664 = "Réttur", IFERROR(_xlfn.SINGLE(_xlfn.XLOOKUP(G664, Réttabanki!A:A, Réttabanki!AU:AU, "")), ""), "")))</f>
        <v/>
      </c>
      <c r="O664" s="26" t="str">
        <f>IF(OR(F664 = "", G664 = "", I664 = ""), "", IF(F664 = "Vara", IFERROR(_xlfn.SINGLE(_xlfn.XLOOKUP(G664, Vöruskrá!A:A, Vöruskrá!I:I, "")) * I664 / 100, ""), IF(F664 = "Réttur", IFERROR(_xlfn.SINGLE(_xlfn.XLOOKUP(G664, Réttabanki!A:A, Réttabanki!AV:AV, "")) * I664 / 100, ""), "")))</f>
        <v/>
      </c>
      <c r="P664" s="26" t="str">
        <f>IF(OR(F664 = "", G664 = "", I664 = ""), "", IF(F664 = "Vara", IFERROR(_xlfn.SINGLE(_xlfn.XLOOKUP(G664, Vöruskrá!A:A, Vöruskrá!J:J, "")) * I664 / 100, ""), IF(F664 = "Réttur", IFERROR(_xlfn.SINGLE(_xlfn.XLOOKUP(G664, Réttabanki!A:A, Réttabanki!AW:AW, "")) * I664 / 100, ""), "")))</f>
        <v/>
      </c>
      <c r="Q664" s="26" t="str">
        <f>IF(OR(F664 = "", G664 = "", I664 = ""), "", IF(F664 = "Vara", IFERROR(_xlfn.SINGLE(_xlfn.XLOOKUP(G664, Vöruskrá!A:A, Vöruskrá!N:N, "")) * I664 / 100, ""), IF(F664 = "Réttur", IFERROR(_xlfn.SINGLE(_xlfn.XLOOKUP(G664, Réttabanki!A:A, Réttabanki!BB:BB, "")) * I664 / 100, ""), "")))</f>
        <v/>
      </c>
    </row>
    <row r="665" spans="2:17">
      <c r="B665" s="33" t="str">
        <f>IF(A665&lt;&gt;"",CHOOSE(WEEKDAY(A665,2),"Mánudagur","Þriðjudagur","Miðvikudagur","Fimmtudagur","Föstudagur","Laugardagur","Sunnudagur"),IF(B664&lt;&gt;"",B664,""))</f>
        <v>Fimmtudagur</v>
      </c>
      <c r="C665" s="33">
        <f>IF(A665&lt;&gt;"",WEEKNUM(A665,21),IF(C664&lt;&gt;"",C664,""))</f>
        <v>27</v>
      </c>
      <c r="D665" s="34"/>
      <c r="E665" s="34"/>
      <c r="F665" s="34"/>
      <c r="G665" s="34"/>
      <c r="H665" s="34"/>
      <c r="I665" s="35"/>
      <c r="J665" s="35"/>
      <c r="K665" s="36"/>
      <c r="L665" s="26" t="str">
        <f>IF(OR(F665 = "", G665 = ""), "", IF(F665 = "Vara", IFERROR(_xlfn.SINGLE(_xlfn.XLOOKUP(G665, Vöruskrá!A:A, Vöruskrá!E:E, "")), ""), IF(F665 = "Réttur", IFERROR(_xlfn.SINGLE(_xlfn.XLOOKUP(G665, Réttabanki!A:A, Réttabanki!AS:AS, "")), ""), "")))</f>
        <v/>
      </c>
      <c r="M665" s="26" t="str">
        <f>IF(OR(F665 = "", G665 = ""), "", IF(F665 = "Vara", IFERROR(_xlfn.SINGLE(_xlfn.XLOOKUP(G665, Vöruskrá!A:A, Vöruskrá!F:F, "")), ""), IF(F665 = "Réttur", IFERROR(_xlfn.SINGLE(_xlfn.XLOOKUP(G665, Réttabanki!A:A, Réttabanki!AT:AT, "")), ""), "")))</f>
        <v/>
      </c>
      <c r="N665" s="26" t="str">
        <f>IF(OR(F665 = "", G665 = ""), "", IF(F665 = "Vara", IFERROR(_xlfn.SINGLE(_xlfn.XLOOKUP(G665, Vöruskrá!A:A, Vöruskrá!G:G, "")), ""), IF(F665 = "Réttur", IFERROR(_xlfn.SINGLE(_xlfn.XLOOKUP(G665, Réttabanki!A:A, Réttabanki!AU:AU, "")), ""), "")))</f>
        <v/>
      </c>
      <c r="O665" s="26" t="str">
        <f>IF(OR(F665 = "", G665 = "", I665 = ""), "", IF(F665 = "Vara", IFERROR(_xlfn.SINGLE(_xlfn.XLOOKUP(G665, Vöruskrá!A:A, Vöruskrá!I:I, "")) * I665 / 100, ""), IF(F665 = "Réttur", IFERROR(_xlfn.SINGLE(_xlfn.XLOOKUP(G665, Réttabanki!A:A, Réttabanki!AV:AV, "")) * I665 / 100, ""), "")))</f>
        <v/>
      </c>
      <c r="P665" s="26" t="str">
        <f>IF(OR(F665 = "", G665 = "", I665 = ""), "", IF(F665 = "Vara", IFERROR(_xlfn.SINGLE(_xlfn.XLOOKUP(G665, Vöruskrá!A:A, Vöruskrá!J:J, "")) * I665 / 100, ""), IF(F665 = "Réttur", IFERROR(_xlfn.SINGLE(_xlfn.XLOOKUP(G665, Réttabanki!A:A, Réttabanki!AW:AW, "")) * I665 / 100, ""), "")))</f>
        <v/>
      </c>
      <c r="Q665" s="26" t="str">
        <f>IF(OR(F665 = "", G665 = "", I665 = ""), "", IF(F665 = "Vara", IFERROR(_xlfn.SINGLE(_xlfn.XLOOKUP(G665, Vöruskrá!A:A, Vöruskrá!N:N, "")) * I665 / 100, ""), IF(F665 = "Réttur", IFERROR(_xlfn.SINGLE(_xlfn.XLOOKUP(G665, Réttabanki!A:A, Réttabanki!BB:BB, "")) * I665 / 100, ""), "")))</f>
        <v/>
      </c>
    </row>
    <row r="666" spans="2:17">
      <c r="B666" s="33" t="str">
        <f>IF(A666&lt;&gt;"",CHOOSE(WEEKDAY(A666,2),"Mánudagur","Þriðjudagur","Miðvikudagur","Fimmtudagur","Föstudagur","Laugardagur","Sunnudagur"),IF(B665&lt;&gt;"",B665,""))</f>
        <v>Fimmtudagur</v>
      </c>
      <c r="C666" s="33">
        <f>IF(A666&lt;&gt;"",WEEKNUM(A666,21),IF(C665&lt;&gt;"",C665,""))</f>
        <v>27</v>
      </c>
      <c r="D666" s="34"/>
      <c r="E666" s="34"/>
      <c r="F666" s="34"/>
      <c r="G666" s="34"/>
      <c r="H666" s="34"/>
      <c r="I666" s="35"/>
      <c r="J666" s="35"/>
      <c r="K666" s="36"/>
      <c r="L666" s="26" t="str">
        <f>IF(OR(F666 = "", G666 = ""), "", IF(F666 = "Vara", IFERROR(_xlfn.SINGLE(_xlfn.XLOOKUP(G666, Vöruskrá!A:A, Vöruskrá!E:E, "")), ""), IF(F666 = "Réttur", IFERROR(_xlfn.SINGLE(_xlfn.XLOOKUP(G666, Réttabanki!A:A, Réttabanki!AS:AS, "")), ""), "")))</f>
        <v/>
      </c>
      <c r="M666" s="26" t="str">
        <f>IF(OR(F666 = "", G666 = ""), "", IF(F666 = "Vara", IFERROR(_xlfn.SINGLE(_xlfn.XLOOKUP(G666, Vöruskrá!A:A, Vöruskrá!F:F, "")), ""), IF(F666 = "Réttur", IFERROR(_xlfn.SINGLE(_xlfn.XLOOKUP(G666, Réttabanki!A:A, Réttabanki!AT:AT, "")), ""), "")))</f>
        <v/>
      </c>
      <c r="N666" s="26" t="str">
        <f>IF(OR(F666 = "", G666 = ""), "", IF(F666 = "Vara", IFERROR(_xlfn.SINGLE(_xlfn.XLOOKUP(G666, Vöruskrá!A:A, Vöruskrá!G:G, "")), ""), IF(F666 = "Réttur", IFERROR(_xlfn.SINGLE(_xlfn.XLOOKUP(G666, Réttabanki!A:A, Réttabanki!AU:AU, "")), ""), "")))</f>
        <v/>
      </c>
      <c r="O666" s="26" t="str">
        <f>IF(OR(F666 = "", G666 = "", I666 = ""), "", IF(F666 = "Vara", IFERROR(_xlfn.SINGLE(_xlfn.XLOOKUP(G666, Vöruskrá!A:A, Vöruskrá!I:I, "")) * I666 / 100, ""), IF(F666 = "Réttur", IFERROR(_xlfn.SINGLE(_xlfn.XLOOKUP(G666, Réttabanki!A:A, Réttabanki!AV:AV, "")) * I666 / 100, ""), "")))</f>
        <v/>
      </c>
      <c r="P666" s="26" t="str">
        <f>IF(OR(F666 = "", G666 = "", I666 = ""), "", IF(F666 = "Vara", IFERROR(_xlfn.SINGLE(_xlfn.XLOOKUP(G666, Vöruskrá!A:A, Vöruskrá!J:J, "")) * I666 / 100, ""), IF(F666 = "Réttur", IFERROR(_xlfn.SINGLE(_xlfn.XLOOKUP(G666, Réttabanki!A:A, Réttabanki!AW:AW, "")) * I666 / 100, ""), "")))</f>
        <v/>
      </c>
      <c r="Q666" s="26" t="str">
        <f>IF(OR(F666 = "", G666 = "", I666 = ""), "", IF(F666 = "Vara", IFERROR(_xlfn.SINGLE(_xlfn.XLOOKUP(G666, Vöruskrá!A:A, Vöruskrá!N:N, "")) * I666 / 100, ""), IF(F666 = "Réttur", IFERROR(_xlfn.SINGLE(_xlfn.XLOOKUP(G666, Réttabanki!A:A, Réttabanki!BB:BB, "")) * I666 / 100, ""), "")))</f>
        <v/>
      </c>
    </row>
    <row r="667" spans="2:17">
      <c r="B667" s="33" t="str">
        <f>IF(A667&lt;&gt;"",CHOOSE(WEEKDAY(A667,2),"Mánudagur","Þriðjudagur","Miðvikudagur","Fimmtudagur","Föstudagur","Laugardagur","Sunnudagur"),IF(B666&lt;&gt;"",B666,""))</f>
        <v>Fimmtudagur</v>
      </c>
      <c r="C667" s="33">
        <f>IF(A667&lt;&gt;"",WEEKNUM(A667,21),IF(C666&lt;&gt;"",C666,""))</f>
        <v>27</v>
      </c>
      <c r="D667" s="34"/>
      <c r="E667" s="34"/>
      <c r="F667" s="34"/>
      <c r="G667" s="34"/>
      <c r="H667" s="34"/>
      <c r="I667" s="35"/>
      <c r="J667" s="35"/>
      <c r="K667" s="36"/>
      <c r="L667" s="26" t="str">
        <f>IF(OR(F667 = "", G667 = ""), "", IF(F667 = "Vara", IFERROR(_xlfn.SINGLE(_xlfn.XLOOKUP(G667, Vöruskrá!A:A, Vöruskrá!E:E, "")), ""), IF(F667 = "Réttur", IFERROR(_xlfn.SINGLE(_xlfn.XLOOKUP(G667, Réttabanki!A:A, Réttabanki!AS:AS, "")), ""), "")))</f>
        <v/>
      </c>
      <c r="M667" s="26" t="str">
        <f>IF(OR(F667 = "", G667 = ""), "", IF(F667 = "Vara", IFERROR(_xlfn.SINGLE(_xlfn.XLOOKUP(G667, Vöruskrá!A:A, Vöruskrá!F:F, "")), ""), IF(F667 = "Réttur", IFERROR(_xlfn.SINGLE(_xlfn.XLOOKUP(G667, Réttabanki!A:A, Réttabanki!AT:AT, "")), ""), "")))</f>
        <v/>
      </c>
      <c r="N667" s="26" t="str">
        <f>IF(OR(F667 = "", G667 = ""), "", IF(F667 = "Vara", IFERROR(_xlfn.SINGLE(_xlfn.XLOOKUP(G667, Vöruskrá!A:A, Vöruskrá!G:G, "")), ""), IF(F667 = "Réttur", IFERROR(_xlfn.SINGLE(_xlfn.XLOOKUP(G667, Réttabanki!A:A, Réttabanki!AU:AU, "")), ""), "")))</f>
        <v/>
      </c>
      <c r="O667" s="26" t="str">
        <f>IF(OR(F667 = "", G667 = "", I667 = ""), "", IF(F667 = "Vara", IFERROR(_xlfn.SINGLE(_xlfn.XLOOKUP(G667, Vöruskrá!A:A, Vöruskrá!I:I, "")) * I667 / 100, ""), IF(F667 = "Réttur", IFERROR(_xlfn.SINGLE(_xlfn.XLOOKUP(G667, Réttabanki!A:A, Réttabanki!AV:AV, "")) * I667 / 100, ""), "")))</f>
        <v/>
      </c>
      <c r="P667" s="26" t="str">
        <f>IF(OR(F667 = "", G667 = "", I667 = ""), "", IF(F667 = "Vara", IFERROR(_xlfn.SINGLE(_xlfn.XLOOKUP(G667, Vöruskrá!A:A, Vöruskrá!J:J, "")) * I667 / 100, ""), IF(F667 = "Réttur", IFERROR(_xlfn.SINGLE(_xlfn.XLOOKUP(G667, Réttabanki!A:A, Réttabanki!AW:AW, "")) * I667 / 100, ""), "")))</f>
        <v/>
      </c>
      <c r="Q667" s="26" t="str">
        <f>IF(OR(F667 = "", G667 = "", I667 = ""), "", IF(F667 = "Vara", IFERROR(_xlfn.SINGLE(_xlfn.XLOOKUP(G667, Vöruskrá!A:A, Vöruskrá!N:N, "")) * I667 / 100, ""), IF(F667 = "Réttur", IFERROR(_xlfn.SINGLE(_xlfn.XLOOKUP(G667, Réttabanki!A:A, Réttabanki!BB:BB, "")) * I667 / 100, ""), "")))</f>
        <v/>
      </c>
    </row>
    <row r="668" spans="2:17">
      <c r="B668" s="33" t="str">
        <f>IF(A668&lt;&gt;"",CHOOSE(WEEKDAY(A668,2),"Mánudagur","Þriðjudagur","Miðvikudagur","Fimmtudagur","Föstudagur","Laugardagur","Sunnudagur"),IF(B667&lt;&gt;"",B667,""))</f>
        <v>Fimmtudagur</v>
      </c>
      <c r="C668" s="33">
        <f>IF(A668&lt;&gt;"",WEEKNUM(A668,21),IF(C667&lt;&gt;"",C667,""))</f>
        <v>27</v>
      </c>
      <c r="D668" s="34"/>
      <c r="E668" s="34"/>
      <c r="F668" s="34"/>
      <c r="G668" s="34"/>
      <c r="H668" s="34"/>
      <c r="I668" s="35"/>
      <c r="J668" s="35"/>
      <c r="K668" s="36"/>
      <c r="L668" s="26" t="str">
        <f>IF(OR(F668 = "", G668 = ""), "", IF(F668 = "Vara", IFERROR(_xlfn.SINGLE(_xlfn.XLOOKUP(G668, Vöruskrá!A:A, Vöruskrá!E:E, "")), ""), IF(F668 = "Réttur", IFERROR(_xlfn.SINGLE(_xlfn.XLOOKUP(G668, Réttabanki!A:A, Réttabanki!AS:AS, "")), ""), "")))</f>
        <v/>
      </c>
      <c r="M668" s="26" t="str">
        <f>IF(OR(F668 = "", G668 = ""), "", IF(F668 = "Vara", IFERROR(_xlfn.SINGLE(_xlfn.XLOOKUP(G668, Vöruskrá!A:A, Vöruskrá!F:F, "")), ""), IF(F668 = "Réttur", IFERROR(_xlfn.SINGLE(_xlfn.XLOOKUP(G668, Réttabanki!A:A, Réttabanki!AT:AT, "")), ""), "")))</f>
        <v/>
      </c>
      <c r="N668" s="26" t="str">
        <f>IF(OR(F668 = "", G668 = ""), "", IF(F668 = "Vara", IFERROR(_xlfn.SINGLE(_xlfn.XLOOKUP(G668, Vöruskrá!A:A, Vöruskrá!G:G, "")), ""), IF(F668 = "Réttur", IFERROR(_xlfn.SINGLE(_xlfn.XLOOKUP(G668, Réttabanki!A:A, Réttabanki!AU:AU, "")), ""), "")))</f>
        <v/>
      </c>
      <c r="O668" s="26" t="str">
        <f>IF(OR(F668 = "", G668 = "", I668 = ""), "", IF(F668 = "Vara", IFERROR(_xlfn.SINGLE(_xlfn.XLOOKUP(G668, Vöruskrá!A:A, Vöruskrá!I:I, "")) * I668 / 100, ""), IF(F668 = "Réttur", IFERROR(_xlfn.SINGLE(_xlfn.XLOOKUP(G668, Réttabanki!A:A, Réttabanki!AV:AV, "")) * I668 / 100, ""), "")))</f>
        <v/>
      </c>
      <c r="P668" s="26" t="str">
        <f>IF(OR(F668 = "", G668 = "", I668 = ""), "", IF(F668 = "Vara", IFERROR(_xlfn.SINGLE(_xlfn.XLOOKUP(G668, Vöruskrá!A:A, Vöruskrá!J:J, "")) * I668 / 100, ""), IF(F668 = "Réttur", IFERROR(_xlfn.SINGLE(_xlfn.XLOOKUP(G668, Réttabanki!A:A, Réttabanki!AW:AW, "")) * I668 / 100, ""), "")))</f>
        <v/>
      </c>
      <c r="Q668" s="26" t="str">
        <f>IF(OR(F668 = "", G668 = "", I668 = ""), "", IF(F668 = "Vara", IFERROR(_xlfn.SINGLE(_xlfn.XLOOKUP(G668, Vöruskrá!A:A, Vöruskrá!N:N, "")) * I668 / 100, ""), IF(F668 = "Réttur", IFERROR(_xlfn.SINGLE(_xlfn.XLOOKUP(G668, Réttabanki!A:A, Réttabanki!BB:BB, "")) * I668 / 100, ""), "")))</f>
        <v/>
      </c>
    </row>
    <row r="669" spans="2:17">
      <c r="B669" s="33" t="str">
        <f>IF(A669&lt;&gt;"",CHOOSE(WEEKDAY(A669,2),"Mánudagur","Þriðjudagur","Miðvikudagur","Fimmtudagur","Föstudagur","Laugardagur","Sunnudagur"),IF(B668&lt;&gt;"",B668,""))</f>
        <v>Fimmtudagur</v>
      </c>
      <c r="C669" s="33">
        <f>IF(A669&lt;&gt;"",WEEKNUM(A669,21),IF(C668&lt;&gt;"",C668,""))</f>
        <v>27</v>
      </c>
      <c r="D669" s="34"/>
      <c r="E669" s="34"/>
      <c r="F669" s="34"/>
      <c r="G669" s="34"/>
      <c r="H669" s="34"/>
      <c r="I669" s="35"/>
      <c r="J669" s="35"/>
      <c r="K669" s="36"/>
      <c r="L669" s="26" t="str">
        <f>IF(OR(F669 = "", G669 = ""), "", IF(F669 = "Vara", IFERROR(_xlfn.SINGLE(_xlfn.XLOOKUP(G669, Vöruskrá!A:A, Vöruskrá!E:E, "")), ""), IF(F669 = "Réttur", IFERROR(_xlfn.SINGLE(_xlfn.XLOOKUP(G669, Réttabanki!A:A, Réttabanki!AS:AS, "")), ""), "")))</f>
        <v/>
      </c>
      <c r="M669" s="26" t="str">
        <f>IF(OR(F669 = "", G669 = ""), "", IF(F669 = "Vara", IFERROR(_xlfn.SINGLE(_xlfn.XLOOKUP(G669, Vöruskrá!A:A, Vöruskrá!F:F, "")), ""), IF(F669 = "Réttur", IFERROR(_xlfn.SINGLE(_xlfn.XLOOKUP(G669, Réttabanki!A:A, Réttabanki!AT:AT, "")), ""), "")))</f>
        <v/>
      </c>
      <c r="N669" s="26" t="str">
        <f>IF(OR(F669 = "", G669 = ""), "", IF(F669 = "Vara", IFERROR(_xlfn.SINGLE(_xlfn.XLOOKUP(G669, Vöruskrá!A:A, Vöruskrá!G:G, "")), ""), IF(F669 = "Réttur", IFERROR(_xlfn.SINGLE(_xlfn.XLOOKUP(G669, Réttabanki!A:A, Réttabanki!AU:AU, "")), ""), "")))</f>
        <v/>
      </c>
      <c r="O669" s="26" t="str">
        <f>IF(OR(F669 = "", G669 = "", I669 = ""), "", IF(F669 = "Vara", IFERROR(_xlfn.SINGLE(_xlfn.XLOOKUP(G669, Vöruskrá!A:A, Vöruskrá!I:I, "")) * I669 / 100, ""), IF(F669 = "Réttur", IFERROR(_xlfn.SINGLE(_xlfn.XLOOKUP(G669, Réttabanki!A:A, Réttabanki!AV:AV, "")) * I669 / 100, ""), "")))</f>
        <v/>
      </c>
      <c r="P669" s="26" t="str">
        <f>IF(OR(F669 = "", G669 = "", I669 = ""), "", IF(F669 = "Vara", IFERROR(_xlfn.SINGLE(_xlfn.XLOOKUP(G669, Vöruskrá!A:A, Vöruskrá!J:J, "")) * I669 / 100, ""), IF(F669 = "Réttur", IFERROR(_xlfn.SINGLE(_xlfn.XLOOKUP(G669, Réttabanki!A:A, Réttabanki!AW:AW, "")) * I669 / 100, ""), "")))</f>
        <v/>
      </c>
      <c r="Q669" s="26" t="str">
        <f>IF(OR(F669 = "", G669 = "", I669 = ""), "", IF(F669 = "Vara", IFERROR(_xlfn.SINGLE(_xlfn.XLOOKUP(G669, Vöruskrá!A:A, Vöruskrá!N:N, "")) * I669 / 100, ""), IF(F669 = "Réttur", IFERROR(_xlfn.SINGLE(_xlfn.XLOOKUP(G669, Réttabanki!A:A, Réttabanki!BB:BB, "")) * I669 / 100, ""), "")))</f>
        <v/>
      </c>
    </row>
    <row r="670" spans="2:17">
      <c r="B670" s="33" t="str">
        <f>IF(A670&lt;&gt;"",CHOOSE(WEEKDAY(A670,2),"Mánudagur","Þriðjudagur","Miðvikudagur","Fimmtudagur","Föstudagur","Laugardagur","Sunnudagur"),IF(B669&lt;&gt;"",B669,""))</f>
        <v>Fimmtudagur</v>
      </c>
      <c r="C670" s="33">
        <f>IF(A670&lt;&gt;"",WEEKNUM(A670,21),IF(C669&lt;&gt;"",C669,""))</f>
        <v>27</v>
      </c>
      <c r="D670" s="34"/>
      <c r="E670" s="34"/>
      <c r="F670" s="34"/>
      <c r="G670" s="34"/>
      <c r="H670" s="34"/>
      <c r="I670" s="35"/>
      <c r="J670" s="35"/>
      <c r="K670" s="36"/>
      <c r="L670" s="26" t="str">
        <f>IF(OR(F670 = "", G670 = ""), "", IF(F670 = "Vara", IFERROR(_xlfn.SINGLE(_xlfn.XLOOKUP(G670, Vöruskrá!A:A, Vöruskrá!E:E, "")), ""), IF(F670 = "Réttur", IFERROR(_xlfn.SINGLE(_xlfn.XLOOKUP(G670, Réttabanki!A:A, Réttabanki!AS:AS, "")), ""), "")))</f>
        <v/>
      </c>
      <c r="M670" s="26" t="str">
        <f>IF(OR(F670 = "", G670 = ""), "", IF(F670 = "Vara", IFERROR(_xlfn.SINGLE(_xlfn.XLOOKUP(G670, Vöruskrá!A:A, Vöruskrá!F:F, "")), ""), IF(F670 = "Réttur", IFERROR(_xlfn.SINGLE(_xlfn.XLOOKUP(G670, Réttabanki!A:A, Réttabanki!AT:AT, "")), ""), "")))</f>
        <v/>
      </c>
      <c r="N670" s="26" t="str">
        <f>IF(OR(F670 = "", G670 = ""), "", IF(F670 = "Vara", IFERROR(_xlfn.SINGLE(_xlfn.XLOOKUP(G670, Vöruskrá!A:A, Vöruskrá!G:G, "")), ""), IF(F670 = "Réttur", IFERROR(_xlfn.SINGLE(_xlfn.XLOOKUP(G670, Réttabanki!A:A, Réttabanki!AU:AU, "")), ""), "")))</f>
        <v/>
      </c>
      <c r="O670" s="26" t="str">
        <f>IF(OR(F670 = "", G670 = "", I670 = ""), "", IF(F670 = "Vara", IFERROR(_xlfn.SINGLE(_xlfn.XLOOKUP(G670, Vöruskrá!A:A, Vöruskrá!I:I, "")) * I670 / 100, ""), IF(F670 = "Réttur", IFERROR(_xlfn.SINGLE(_xlfn.XLOOKUP(G670, Réttabanki!A:A, Réttabanki!AV:AV, "")) * I670 / 100, ""), "")))</f>
        <v/>
      </c>
      <c r="P670" s="26" t="str">
        <f>IF(OR(F670 = "", G670 = "", I670 = ""), "", IF(F670 = "Vara", IFERROR(_xlfn.SINGLE(_xlfn.XLOOKUP(G670, Vöruskrá!A:A, Vöruskrá!J:J, "")) * I670 / 100, ""), IF(F670 = "Réttur", IFERROR(_xlfn.SINGLE(_xlfn.XLOOKUP(G670, Réttabanki!A:A, Réttabanki!AW:AW, "")) * I670 / 100, ""), "")))</f>
        <v/>
      </c>
      <c r="Q670" s="26" t="str">
        <f>IF(OR(F670 = "", G670 = "", I670 = ""), "", IF(F670 = "Vara", IFERROR(_xlfn.SINGLE(_xlfn.XLOOKUP(G670, Vöruskrá!A:A, Vöruskrá!N:N, "")) * I670 / 100, ""), IF(F670 = "Réttur", IFERROR(_xlfn.SINGLE(_xlfn.XLOOKUP(G670, Réttabanki!A:A, Réttabanki!BB:BB, "")) * I670 / 100, ""), "")))</f>
        <v/>
      </c>
    </row>
    <row r="671" spans="2:17">
      <c r="B671" s="33" t="str">
        <f>IF(A671&lt;&gt;"",CHOOSE(WEEKDAY(A671,2),"Mánudagur","Þriðjudagur","Miðvikudagur","Fimmtudagur","Föstudagur","Laugardagur","Sunnudagur"),IF(B670&lt;&gt;"",B670,""))</f>
        <v>Fimmtudagur</v>
      </c>
      <c r="C671" s="33">
        <f>IF(A671&lt;&gt;"",WEEKNUM(A671,21),IF(C670&lt;&gt;"",C670,""))</f>
        <v>27</v>
      </c>
      <c r="D671" s="34"/>
      <c r="E671" s="34"/>
      <c r="F671" s="34"/>
      <c r="G671" s="34"/>
      <c r="H671" s="34"/>
      <c r="I671" s="35"/>
      <c r="J671" s="35"/>
      <c r="K671" s="36"/>
      <c r="L671" s="26" t="str">
        <f>IF(OR(F671 = "", G671 = ""), "", IF(F671 = "Vara", IFERROR(_xlfn.SINGLE(_xlfn.XLOOKUP(G671, Vöruskrá!A:A, Vöruskrá!E:E, "")), ""), IF(F671 = "Réttur", IFERROR(_xlfn.SINGLE(_xlfn.XLOOKUP(G671, Réttabanki!A:A, Réttabanki!AS:AS, "")), ""), "")))</f>
        <v/>
      </c>
      <c r="M671" s="26" t="str">
        <f>IF(OR(F671 = "", G671 = ""), "", IF(F671 = "Vara", IFERROR(_xlfn.SINGLE(_xlfn.XLOOKUP(G671, Vöruskrá!A:A, Vöruskrá!F:F, "")), ""), IF(F671 = "Réttur", IFERROR(_xlfn.SINGLE(_xlfn.XLOOKUP(G671, Réttabanki!A:A, Réttabanki!AT:AT, "")), ""), "")))</f>
        <v/>
      </c>
      <c r="N671" s="26" t="str">
        <f>IF(OR(F671 = "", G671 = ""), "", IF(F671 = "Vara", IFERROR(_xlfn.SINGLE(_xlfn.XLOOKUP(G671, Vöruskrá!A:A, Vöruskrá!G:G, "")), ""), IF(F671 = "Réttur", IFERROR(_xlfn.SINGLE(_xlfn.XLOOKUP(G671, Réttabanki!A:A, Réttabanki!AU:AU, "")), ""), "")))</f>
        <v/>
      </c>
      <c r="O671" s="26" t="str">
        <f>IF(OR(F671 = "", G671 = "", I671 = ""), "", IF(F671 = "Vara", IFERROR(_xlfn.SINGLE(_xlfn.XLOOKUP(G671, Vöruskrá!A:A, Vöruskrá!I:I, "")) * I671 / 100, ""), IF(F671 = "Réttur", IFERROR(_xlfn.SINGLE(_xlfn.XLOOKUP(G671, Réttabanki!A:A, Réttabanki!AV:AV, "")) * I671 / 100, ""), "")))</f>
        <v/>
      </c>
      <c r="P671" s="26" t="str">
        <f>IF(OR(F671 = "", G671 = "", I671 = ""), "", IF(F671 = "Vara", IFERROR(_xlfn.SINGLE(_xlfn.XLOOKUP(G671, Vöruskrá!A:A, Vöruskrá!J:J, "")) * I671 / 100, ""), IF(F671 = "Réttur", IFERROR(_xlfn.SINGLE(_xlfn.XLOOKUP(G671, Réttabanki!A:A, Réttabanki!AW:AW, "")) * I671 / 100, ""), "")))</f>
        <v/>
      </c>
      <c r="Q671" s="26" t="str">
        <f>IF(OR(F671 = "", G671 = "", I671 = ""), "", IF(F671 = "Vara", IFERROR(_xlfn.SINGLE(_xlfn.XLOOKUP(G671, Vöruskrá!A:A, Vöruskrá!N:N, "")) * I671 / 100, ""), IF(F671 = "Réttur", IFERROR(_xlfn.SINGLE(_xlfn.XLOOKUP(G671, Réttabanki!A:A, Réttabanki!BB:BB, "")) * I671 / 100, ""), "")))</f>
        <v/>
      </c>
    </row>
    <row r="672" spans="2:17">
      <c r="B672" s="33" t="str">
        <f>IF(A672&lt;&gt;"",CHOOSE(WEEKDAY(A672,2),"Mánudagur","Þriðjudagur","Miðvikudagur","Fimmtudagur","Föstudagur","Laugardagur","Sunnudagur"),IF(B671&lt;&gt;"",B671,""))</f>
        <v>Fimmtudagur</v>
      </c>
      <c r="C672" s="33">
        <f>IF(A672&lt;&gt;"",WEEKNUM(A672,21),IF(C671&lt;&gt;"",C671,""))</f>
        <v>27</v>
      </c>
      <c r="D672" s="34"/>
      <c r="E672" s="34"/>
      <c r="F672" s="34"/>
      <c r="G672" s="34"/>
      <c r="H672" s="34"/>
      <c r="I672" s="35"/>
      <c r="J672" s="35"/>
      <c r="K672" s="36"/>
      <c r="L672" s="26" t="str">
        <f>IF(OR(F672 = "", G672 = ""), "", IF(F672 = "Vara", IFERROR(_xlfn.SINGLE(_xlfn.XLOOKUP(G672, Vöruskrá!A:A, Vöruskrá!E:E, "")), ""), IF(F672 = "Réttur", IFERROR(_xlfn.SINGLE(_xlfn.XLOOKUP(G672, Réttabanki!A:A, Réttabanki!AS:AS, "")), ""), "")))</f>
        <v/>
      </c>
      <c r="M672" s="26" t="str">
        <f>IF(OR(F672 = "", G672 = ""), "", IF(F672 = "Vara", IFERROR(_xlfn.SINGLE(_xlfn.XLOOKUP(G672, Vöruskrá!A:A, Vöruskrá!F:F, "")), ""), IF(F672 = "Réttur", IFERROR(_xlfn.SINGLE(_xlfn.XLOOKUP(G672, Réttabanki!A:A, Réttabanki!AT:AT, "")), ""), "")))</f>
        <v/>
      </c>
      <c r="N672" s="26" t="str">
        <f>IF(OR(F672 = "", G672 = ""), "", IF(F672 = "Vara", IFERROR(_xlfn.SINGLE(_xlfn.XLOOKUP(G672, Vöruskrá!A:A, Vöruskrá!G:G, "")), ""), IF(F672 = "Réttur", IFERROR(_xlfn.SINGLE(_xlfn.XLOOKUP(G672, Réttabanki!A:A, Réttabanki!AU:AU, "")), ""), "")))</f>
        <v/>
      </c>
      <c r="O672" s="26" t="str">
        <f>IF(OR(F672 = "", G672 = "", I672 = ""), "", IF(F672 = "Vara", IFERROR(_xlfn.SINGLE(_xlfn.XLOOKUP(G672, Vöruskrá!A:A, Vöruskrá!I:I, "")) * I672 / 100, ""), IF(F672 = "Réttur", IFERROR(_xlfn.SINGLE(_xlfn.XLOOKUP(G672, Réttabanki!A:A, Réttabanki!AV:AV, "")) * I672 / 100, ""), "")))</f>
        <v/>
      </c>
      <c r="P672" s="26" t="str">
        <f>IF(OR(F672 = "", G672 = "", I672 = ""), "", IF(F672 = "Vara", IFERROR(_xlfn.SINGLE(_xlfn.XLOOKUP(G672, Vöruskrá!A:A, Vöruskrá!J:J, "")) * I672 / 100, ""), IF(F672 = "Réttur", IFERROR(_xlfn.SINGLE(_xlfn.XLOOKUP(G672, Réttabanki!A:A, Réttabanki!AW:AW, "")) * I672 / 100, ""), "")))</f>
        <v/>
      </c>
      <c r="Q672" s="26" t="str">
        <f>IF(OR(F672 = "", G672 = "", I672 = ""), "", IF(F672 = "Vara", IFERROR(_xlfn.SINGLE(_xlfn.XLOOKUP(G672, Vöruskrá!A:A, Vöruskrá!N:N, "")) * I672 / 100, ""), IF(F672 = "Réttur", IFERROR(_xlfn.SINGLE(_xlfn.XLOOKUP(G672, Réttabanki!A:A, Réttabanki!BB:BB, "")) * I672 / 100, ""), "")))</f>
        <v/>
      </c>
    </row>
    <row r="673" spans="2:17">
      <c r="B673" s="33" t="str">
        <f>IF(A673&lt;&gt;"",CHOOSE(WEEKDAY(A673,2),"Mánudagur","Þriðjudagur","Miðvikudagur","Fimmtudagur","Föstudagur","Laugardagur","Sunnudagur"),IF(B672&lt;&gt;"",B672,""))</f>
        <v>Fimmtudagur</v>
      </c>
      <c r="C673" s="33">
        <f>IF(A673&lt;&gt;"",WEEKNUM(A673,21),IF(C672&lt;&gt;"",C672,""))</f>
        <v>27</v>
      </c>
      <c r="D673" s="34"/>
      <c r="E673" s="34"/>
      <c r="F673" s="34"/>
      <c r="G673" s="34"/>
      <c r="H673" s="34"/>
      <c r="I673" s="35"/>
      <c r="J673" s="35"/>
      <c r="K673" s="36"/>
      <c r="L673" s="26" t="str">
        <f>IF(OR(F673 = "", G673 = ""), "", IF(F673 = "Vara", IFERROR(_xlfn.SINGLE(_xlfn.XLOOKUP(G673, Vöruskrá!A:A, Vöruskrá!E:E, "")), ""), IF(F673 = "Réttur", IFERROR(_xlfn.SINGLE(_xlfn.XLOOKUP(G673, Réttabanki!A:A, Réttabanki!AS:AS, "")), ""), "")))</f>
        <v/>
      </c>
      <c r="M673" s="26" t="str">
        <f>IF(OR(F673 = "", G673 = ""), "", IF(F673 = "Vara", IFERROR(_xlfn.SINGLE(_xlfn.XLOOKUP(G673, Vöruskrá!A:A, Vöruskrá!F:F, "")), ""), IF(F673 = "Réttur", IFERROR(_xlfn.SINGLE(_xlfn.XLOOKUP(G673, Réttabanki!A:A, Réttabanki!AT:AT, "")), ""), "")))</f>
        <v/>
      </c>
      <c r="N673" s="26" t="str">
        <f>IF(OR(F673 = "", G673 = ""), "", IF(F673 = "Vara", IFERROR(_xlfn.SINGLE(_xlfn.XLOOKUP(G673, Vöruskrá!A:A, Vöruskrá!G:G, "")), ""), IF(F673 = "Réttur", IFERROR(_xlfn.SINGLE(_xlfn.XLOOKUP(G673, Réttabanki!A:A, Réttabanki!AU:AU, "")), ""), "")))</f>
        <v/>
      </c>
      <c r="O673" s="26" t="str">
        <f>IF(OR(F673 = "", G673 = "", I673 = ""), "", IF(F673 = "Vara", IFERROR(_xlfn.SINGLE(_xlfn.XLOOKUP(G673, Vöruskrá!A:A, Vöruskrá!I:I, "")) * I673 / 100, ""), IF(F673 = "Réttur", IFERROR(_xlfn.SINGLE(_xlfn.XLOOKUP(G673, Réttabanki!A:A, Réttabanki!AV:AV, "")) * I673 / 100, ""), "")))</f>
        <v/>
      </c>
      <c r="P673" s="26" t="str">
        <f>IF(OR(F673 = "", G673 = "", I673 = ""), "", IF(F673 = "Vara", IFERROR(_xlfn.SINGLE(_xlfn.XLOOKUP(G673, Vöruskrá!A:A, Vöruskrá!J:J, "")) * I673 / 100, ""), IF(F673 = "Réttur", IFERROR(_xlfn.SINGLE(_xlfn.XLOOKUP(G673, Réttabanki!A:A, Réttabanki!AW:AW, "")) * I673 / 100, ""), "")))</f>
        <v/>
      </c>
      <c r="Q673" s="26" t="str">
        <f>IF(OR(F673 = "", G673 = "", I673 = ""), "", IF(F673 = "Vara", IFERROR(_xlfn.SINGLE(_xlfn.XLOOKUP(G673, Vöruskrá!A:A, Vöruskrá!N:N, "")) * I673 / 100, ""), IF(F673 = "Réttur", IFERROR(_xlfn.SINGLE(_xlfn.XLOOKUP(G673, Réttabanki!A:A, Réttabanki!BB:BB, "")) * I673 / 100, ""), "")))</f>
        <v/>
      </c>
    </row>
    <row r="674" spans="2:17">
      <c r="B674" s="33" t="str">
        <f>IF(A674&lt;&gt;"",CHOOSE(WEEKDAY(A674,2),"Mánudagur","Þriðjudagur","Miðvikudagur","Fimmtudagur","Föstudagur","Laugardagur","Sunnudagur"),IF(B673&lt;&gt;"",B673,""))</f>
        <v>Fimmtudagur</v>
      </c>
      <c r="C674" s="33">
        <f>IF(A674&lt;&gt;"",WEEKNUM(A674,21),IF(C673&lt;&gt;"",C673,""))</f>
        <v>27</v>
      </c>
      <c r="D674" s="34"/>
      <c r="E674" s="34"/>
      <c r="F674" s="34"/>
      <c r="G674" s="34"/>
      <c r="H674" s="34"/>
      <c r="I674" s="35"/>
      <c r="J674" s="35"/>
      <c r="K674" s="36"/>
      <c r="L674" s="26" t="str">
        <f>IF(OR(F674 = "", G674 = ""), "", IF(F674 = "Vara", IFERROR(_xlfn.SINGLE(_xlfn.XLOOKUP(G674, Vöruskrá!A:A, Vöruskrá!E:E, "")), ""), IF(F674 = "Réttur", IFERROR(_xlfn.SINGLE(_xlfn.XLOOKUP(G674, Réttabanki!A:A, Réttabanki!AS:AS, "")), ""), "")))</f>
        <v/>
      </c>
      <c r="M674" s="26" t="str">
        <f>IF(OR(F674 = "", G674 = ""), "", IF(F674 = "Vara", IFERROR(_xlfn.SINGLE(_xlfn.XLOOKUP(G674, Vöruskrá!A:A, Vöruskrá!F:F, "")), ""), IF(F674 = "Réttur", IFERROR(_xlfn.SINGLE(_xlfn.XLOOKUP(G674, Réttabanki!A:A, Réttabanki!AT:AT, "")), ""), "")))</f>
        <v/>
      </c>
      <c r="N674" s="26" t="str">
        <f>IF(OR(F674 = "", G674 = ""), "", IF(F674 = "Vara", IFERROR(_xlfn.SINGLE(_xlfn.XLOOKUP(G674, Vöruskrá!A:A, Vöruskrá!G:G, "")), ""), IF(F674 = "Réttur", IFERROR(_xlfn.SINGLE(_xlfn.XLOOKUP(G674, Réttabanki!A:A, Réttabanki!AU:AU, "")), ""), "")))</f>
        <v/>
      </c>
      <c r="O674" s="26" t="str">
        <f>IF(OR(F674 = "", G674 = "", I674 = ""), "", IF(F674 = "Vara", IFERROR(_xlfn.SINGLE(_xlfn.XLOOKUP(G674, Vöruskrá!A:A, Vöruskrá!I:I, "")) * I674 / 100, ""), IF(F674 = "Réttur", IFERROR(_xlfn.SINGLE(_xlfn.XLOOKUP(G674, Réttabanki!A:A, Réttabanki!AV:AV, "")) * I674 / 100, ""), "")))</f>
        <v/>
      </c>
      <c r="P674" s="26" t="str">
        <f>IF(OR(F674 = "", G674 = "", I674 = ""), "", IF(F674 = "Vara", IFERROR(_xlfn.SINGLE(_xlfn.XLOOKUP(G674, Vöruskrá!A:A, Vöruskrá!J:J, "")) * I674 / 100, ""), IF(F674 = "Réttur", IFERROR(_xlfn.SINGLE(_xlfn.XLOOKUP(G674, Réttabanki!A:A, Réttabanki!AW:AW, "")) * I674 / 100, ""), "")))</f>
        <v/>
      </c>
      <c r="Q674" s="26" t="str">
        <f>IF(OR(F674 = "", G674 = "", I674 = ""), "", IF(F674 = "Vara", IFERROR(_xlfn.SINGLE(_xlfn.XLOOKUP(G674, Vöruskrá!A:A, Vöruskrá!N:N, "")) * I674 / 100, ""), IF(F674 = "Réttur", IFERROR(_xlfn.SINGLE(_xlfn.XLOOKUP(G674, Réttabanki!A:A, Réttabanki!BB:BB, "")) * I674 / 100, ""), "")))</f>
        <v/>
      </c>
    </row>
    <row r="675" spans="2:17">
      <c r="B675" s="33" t="str">
        <f>IF(A675&lt;&gt;"",CHOOSE(WEEKDAY(A675,2),"Mánudagur","Þriðjudagur","Miðvikudagur","Fimmtudagur","Föstudagur","Laugardagur","Sunnudagur"),IF(B674&lt;&gt;"",B674,""))</f>
        <v>Fimmtudagur</v>
      </c>
      <c r="C675" s="33">
        <f>IF(A675&lt;&gt;"",WEEKNUM(A675,21),IF(C674&lt;&gt;"",C674,""))</f>
        <v>27</v>
      </c>
      <c r="D675" s="34"/>
      <c r="E675" s="34"/>
      <c r="F675" s="34"/>
      <c r="G675" s="34"/>
      <c r="H675" s="34"/>
      <c r="I675" s="35"/>
      <c r="J675" s="35"/>
      <c r="K675" s="36"/>
      <c r="L675" s="26" t="str">
        <f>IF(OR(F675 = "", G675 = ""), "", IF(F675 = "Vara", IFERROR(_xlfn.SINGLE(_xlfn.XLOOKUP(G675, Vöruskrá!A:A, Vöruskrá!E:E, "")), ""), IF(F675 = "Réttur", IFERROR(_xlfn.SINGLE(_xlfn.XLOOKUP(G675, Réttabanki!A:A, Réttabanki!AS:AS, "")), ""), "")))</f>
        <v/>
      </c>
      <c r="M675" s="26" t="str">
        <f>IF(OR(F675 = "", G675 = ""), "", IF(F675 = "Vara", IFERROR(_xlfn.SINGLE(_xlfn.XLOOKUP(G675, Vöruskrá!A:A, Vöruskrá!F:F, "")), ""), IF(F675 = "Réttur", IFERROR(_xlfn.SINGLE(_xlfn.XLOOKUP(G675, Réttabanki!A:A, Réttabanki!AT:AT, "")), ""), "")))</f>
        <v/>
      </c>
      <c r="N675" s="26" t="str">
        <f>IF(OR(F675 = "", G675 = ""), "", IF(F675 = "Vara", IFERROR(_xlfn.SINGLE(_xlfn.XLOOKUP(G675, Vöruskrá!A:A, Vöruskrá!G:G, "")), ""), IF(F675 = "Réttur", IFERROR(_xlfn.SINGLE(_xlfn.XLOOKUP(G675, Réttabanki!A:A, Réttabanki!AU:AU, "")), ""), "")))</f>
        <v/>
      </c>
      <c r="O675" s="26" t="str">
        <f>IF(OR(F675 = "", G675 = "", I675 = ""), "", IF(F675 = "Vara", IFERROR(_xlfn.SINGLE(_xlfn.XLOOKUP(G675, Vöruskrá!A:A, Vöruskrá!I:I, "")) * I675 / 100, ""), IF(F675 = "Réttur", IFERROR(_xlfn.SINGLE(_xlfn.XLOOKUP(G675, Réttabanki!A:A, Réttabanki!AV:AV, "")) * I675 / 100, ""), "")))</f>
        <v/>
      </c>
      <c r="P675" s="26" t="str">
        <f>IF(OR(F675 = "", G675 = "", I675 = ""), "", IF(F675 = "Vara", IFERROR(_xlfn.SINGLE(_xlfn.XLOOKUP(G675, Vöruskrá!A:A, Vöruskrá!J:J, "")) * I675 / 100, ""), IF(F675 = "Réttur", IFERROR(_xlfn.SINGLE(_xlfn.XLOOKUP(G675, Réttabanki!A:A, Réttabanki!AW:AW, "")) * I675 / 100, ""), "")))</f>
        <v/>
      </c>
      <c r="Q675" s="26" t="str">
        <f>IF(OR(F675 = "", G675 = "", I675 = ""), "", IF(F675 = "Vara", IFERROR(_xlfn.SINGLE(_xlfn.XLOOKUP(G675, Vöruskrá!A:A, Vöruskrá!N:N, "")) * I675 / 100, ""), IF(F675 = "Réttur", IFERROR(_xlfn.SINGLE(_xlfn.XLOOKUP(G675, Réttabanki!A:A, Réttabanki!BB:BB, "")) * I675 / 100, ""), "")))</f>
        <v/>
      </c>
    </row>
    <row r="676" spans="2:17">
      <c r="B676" s="33" t="str">
        <f>IF(A676&lt;&gt;"",CHOOSE(WEEKDAY(A676,2),"Mánudagur","Þriðjudagur","Miðvikudagur","Fimmtudagur","Föstudagur","Laugardagur","Sunnudagur"),IF(B675&lt;&gt;"",B675,""))</f>
        <v>Fimmtudagur</v>
      </c>
      <c r="C676" s="33">
        <f>IF(A676&lt;&gt;"",WEEKNUM(A676,21),IF(C675&lt;&gt;"",C675,""))</f>
        <v>27</v>
      </c>
      <c r="D676" s="34"/>
      <c r="E676" s="34"/>
      <c r="F676" s="34"/>
      <c r="G676" s="34"/>
      <c r="H676" s="34"/>
      <c r="I676" s="35"/>
      <c r="J676" s="35"/>
      <c r="K676" s="36"/>
      <c r="L676" s="26" t="str">
        <f>IF(OR(F676 = "", G676 = ""), "", IF(F676 = "Vara", IFERROR(_xlfn.SINGLE(_xlfn.XLOOKUP(G676, Vöruskrá!A:A, Vöruskrá!E:E, "")), ""), IF(F676 = "Réttur", IFERROR(_xlfn.SINGLE(_xlfn.XLOOKUP(G676, Réttabanki!A:A, Réttabanki!AS:AS, "")), ""), "")))</f>
        <v/>
      </c>
      <c r="M676" s="26" t="str">
        <f>IF(OR(F676 = "", G676 = ""), "", IF(F676 = "Vara", IFERROR(_xlfn.SINGLE(_xlfn.XLOOKUP(G676, Vöruskrá!A:A, Vöruskrá!F:F, "")), ""), IF(F676 = "Réttur", IFERROR(_xlfn.SINGLE(_xlfn.XLOOKUP(G676, Réttabanki!A:A, Réttabanki!AT:AT, "")), ""), "")))</f>
        <v/>
      </c>
      <c r="N676" s="26" t="str">
        <f>IF(OR(F676 = "", G676 = ""), "", IF(F676 = "Vara", IFERROR(_xlfn.SINGLE(_xlfn.XLOOKUP(G676, Vöruskrá!A:A, Vöruskrá!G:G, "")), ""), IF(F676 = "Réttur", IFERROR(_xlfn.SINGLE(_xlfn.XLOOKUP(G676, Réttabanki!A:A, Réttabanki!AU:AU, "")), ""), "")))</f>
        <v/>
      </c>
      <c r="O676" s="26" t="str">
        <f>IF(OR(F676 = "", G676 = "", I676 = ""), "", IF(F676 = "Vara", IFERROR(_xlfn.SINGLE(_xlfn.XLOOKUP(G676, Vöruskrá!A:A, Vöruskrá!I:I, "")) * I676 / 100, ""), IF(F676 = "Réttur", IFERROR(_xlfn.SINGLE(_xlfn.XLOOKUP(G676, Réttabanki!A:A, Réttabanki!AV:AV, "")) * I676 / 100, ""), "")))</f>
        <v/>
      </c>
      <c r="P676" s="26" t="str">
        <f>IF(OR(F676 = "", G676 = "", I676 = ""), "", IF(F676 = "Vara", IFERROR(_xlfn.SINGLE(_xlfn.XLOOKUP(G676, Vöruskrá!A:A, Vöruskrá!J:J, "")) * I676 / 100, ""), IF(F676 = "Réttur", IFERROR(_xlfn.SINGLE(_xlfn.XLOOKUP(G676, Réttabanki!A:A, Réttabanki!AW:AW, "")) * I676 / 100, ""), "")))</f>
        <v/>
      </c>
      <c r="Q676" s="26" t="str">
        <f>IF(OR(F676 = "", G676 = "", I676 = ""), "", IF(F676 = "Vara", IFERROR(_xlfn.SINGLE(_xlfn.XLOOKUP(G676, Vöruskrá!A:A, Vöruskrá!N:N, "")) * I676 / 100, ""), IF(F676 = "Réttur", IFERROR(_xlfn.SINGLE(_xlfn.XLOOKUP(G676, Réttabanki!A:A, Réttabanki!BB:BB, "")) * I676 / 100, ""), "")))</f>
        <v/>
      </c>
    </row>
    <row r="677" spans="2:17">
      <c r="B677" s="33" t="str">
        <f>IF(A677&lt;&gt;"",CHOOSE(WEEKDAY(A677,2),"Mánudagur","Þriðjudagur","Miðvikudagur","Fimmtudagur","Föstudagur","Laugardagur","Sunnudagur"),IF(B676&lt;&gt;"",B676,""))</f>
        <v>Fimmtudagur</v>
      </c>
      <c r="C677" s="33">
        <f>IF(A677&lt;&gt;"",WEEKNUM(A677,21),IF(C676&lt;&gt;"",C676,""))</f>
        <v>27</v>
      </c>
      <c r="D677" s="34"/>
      <c r="E677" s="34"/>
      <c r="F677" s="34"/>
      <c r="G677" s="34"/>
      <c r="H677" s="34"/>
      <c r="I677" s="35"/>
      <c r="J677" s="35"/>
      <c r="K677" s="36"/>
      <c r="L677" s="26" t="str">
        <f>IF(OR(F677 = "", G677 = ""), "", IF(F677 = "Vara", IFERROR(_xlfn.SINGLE(_xlfn.XLOOKUP(G677, Vöruskrá!A:A, Vöruskrá!E:E, "")), ""), IF(F677 = "Réttur", IFERROR(_xlfn.SINGLE(_xlfn.XLOOKUP(G677, Réttabanki!A:A, Réttabanki!AS:AS, "")), ""), "")))</f>
        <v/>
      </c>
      <c r="M677" s="26" t="str">
        <f>IF(OR(F677 = "", G677 = ""), "", IF(F677 = "Vara", IFERROR(_xlfn.SINGLE(_xlfn.XLOOKUP(G677, Vöruskrá!A:A, Vöruskrá!F:F, "")), ""), IF(F677 = "Réttur", IFERROR(_xlfn.SINGLE(_xlfn.XLOOKUP(G677, Réttabanki!A:A, Réttabanki!AT:AT, "")), ""), "")))</f>
        <v/>
      </c>
      <c r="N677" s="26" t="str">
        <f>IF(OR(F677 = "", G677 = ""), "", IF(F677 = "Vara", IFERROR(_xlfn.SINGLE(_xlfn.XLOOKUP(G677, Vöruskrá!A:A, Vöruskrá!G:G, "")), ""), IF(F677 = "Réttur", IFERROR(_xlfn.SINGLE(_xlfn.XLOOKUP(G677, Réttabanki!A:A, Réttabanki!AU:AU, "")), ""), "")))</f>
        <v/>
      </c>
      <c r="O677" s="26" t="str">
        <f>IF(OR(F677 = "", G677 = "", I677 = ""), "", IF(F677 = "Vara", IFERROR(_xlfn.SINGLE(_xlfn.XLOOKUP(G677, Vöruskrá!A:A, Vöruskrá!I:I, "")) * I677 / 100, ""), IF(F677 = "Réttur", IFERROR(_xlfn.SINGLE(_xlfn.XLOOKUP(G677, Réttabanki!A:A, Réttabanki!AV:AV, "")) * I677 / 100, ""), "")))</f>
        <v/>
      </c>
      <c r="P677" s="26" t="str">
        <f>IF(OR(F677 = "", G677 = "", I677 = ""), "", IF(F677 = "Vara", IFERROR(_xlfn.SINGLE(_xlfn.XLOOKUP(G677, Vöruskrá!A:A, Vöruskrá!J:J, "")) * I677 / 100, ""), IF(F677 = "Réttur", IFERROR(_xlfn.SINGLE(_xlfn.XLOOKUP(G677, Réttabanki!A:A, Réttabanki!AW:AW, "")) * I677 / 100, ""), "")))</f>
        <v/>
      </c>
      <c r="Q677" s="26" t="str">
        <f>IF(OR(F677 = "", G677 = "", I677 = ""), "", IF(F677 = "Vara", IFERROR(_xlfn.SINGLE(_xlfn.XLOOKUP(G677, Vöruskrá!A:A, Vöruskrá!N:N, "")) * I677 / 100, ""), IF(F677 = "Réttur", IFERROR(_xlfn.SINGLE(_xlfn.XLOOKUP(G677, Réttabanki!A:A, Réttabanki!BB:BB, "")) * I677 / 100, ""), "")))</f>
        <v/>
      </c>
    </row>
    <row r="678" spans="2:17">
      <c r="B678" s="33" t="str">
        <f>IF(A678&lt;&gt;"",CHOOSE(WEEKDAY(A678,2),"Mánudagur","Þriðjudagur","Miðvikudagur","Fimmtudagur","Föstudagur","Laugardagur","Sunnudagur"),IF(B677&lt;&gt;"",B677,""))</f>
        <v>Fimmtudagur</v>
      </c>
      <c r="C678" s="33">
        <f>IF(A678&lt;&gt;"",WEEKNUM(A678,21),IF(C677&lt;&gt;"",C677,""))</f>
        <v>27</v>
      </c>
      <c r="D678" s="34"/>
      <c r="E678" s="34"/>
      <c r="F678" s="34"/>
      <c r="G678" s="34"/>
      <c r="H678" s="34"/>
      <c r="I678" s="35"/>
      <c r="J678" s="35"/>
      <c r="K678" s="36"/>
      <c r="L678" s="26" t="str">
        <f>IF(OR(F678 = "", G678 = ""), "", IF(F678 = "Vara", IFERROR(_xlfn.SINGLE(_xlfn.XLOOKUP(G678, Vöruskrá!A:A, Vöruskrá!E:E, "")), ""), IF(F678 = "Réttur", IFERROR(_xlfn.SINGLE(_xlfn.XLOOKUP(G678, Réttabanki!A:A, Réttabanki!AS:AS, "")), ""), "")))</f>
        <v/>
      </c>
      <c r="M678" s="26" t="str">
        <f>IF(OR(F678 = "", G678 = ""), "", IF(F678 = "Vara", IFERROR(_xlfn.SINGLE(_xlfn.XLOOKUP(G678, Vöruskrá!A:A, Vöruskrá!F:F, "")), ""), IF(F678 = "Réttur", IFERROR(_xlfn.SINGLE(_xlfn.XLOOKUP(G678, Réttabanki!A:A, Réttabanki!AT:AT, "")), ""), "")))</f>
        <v/>
      </c>
      <c r="N678" s="26" t="str">
        <f>IF(OR(F678 = "", G678 = ""), "", IF(F678 = "Vara", IFERROR(_xlfn.SINGLE(_xlfn.XLOOKUP(G678, Vöruskrá!A:A, Vöruskrá!G:G, "")), ""), IF(F678 = "Réttur", IFERROR(_xlfn.SINGLE(_xlfn.XLOOKUP(G678, Réttabanki!A:A, Réttabanki!AU:AU, "")), ""), "")))</f>
        <v/>
      </c>
      <c r="O678" s="26" t="str">
        <f>IF(OR(F678 = "", G678 = "", I678 = ""), "", IF(F678 = "Vara", IFERROR(_xlfn.SINGLE(_xlfn.XLOOKUP(G678, Vöruskrá!A:A, Vöruskrá!I:I, "")) * I678 / 100, ""), IF(F678 = "Réttur", IFERROR(_xlfn.SINGLE(_xlfn.XLOOKUP(G678, Réttabanki!A:A, Réttabanki!AV:AV, "")) * I678 / 100, ""), "")))</f>
        <v/>
      </c>
      <c r="P678" s="26" t="str">
        <f>IF(OR(F678 = "", G678 = "", I678 = ""), "", IF(F678 = "Vara", IFERROR(_xlfn.SINGLE(_xlfn.XLOOKUP(G678, Vöruskrá!A:A, Vöruskrá!J:J, "")) * I678 / 100, ""), IF(F678 = "Réttur", IFERROR(_xlfn.SINGLE(_xlfn.XLOOKUP(G678, Réttabanki!A:A, Réttabanki!AW:AW, "")) * I678 / 100, ""), "")))</f>
        <v/>
      </c>
      <c r="Q678" s="26" t="str">
        <f>IF(OR(F678 = "", G678 = "", I678 = ""), "", IF(F678 = "Vara", IFERROR(_xlfn.SINGLE(_xlfn.XLOOKUP(G678, Vöruskrá!A:A, Vöruskrá!N:N, "")) * I678 / 100, ""), IF(F678 = "Réttur", IFERROR(_xlfn.SINGLE(_xlfn.XLOOKUP(G678, Réttabanki!A:A, Réttabanki!BB:BB, "")) * I678 / 100, ""), "")))</f>
        <v/>
      </c>
    </row>
    <row r="679" spans="2:17">
      <c r="B679" s="33" t="str">
        <f>IF(A679&lt;&gt;"",CHOOSE(WEEKDAY(A679,2),"Mánudagur","Þriðjudagur","Miðvikudagur","Fimmtudagur","Föstudagur","Laugardagur","Sunnudagur"),IF(B678&lt;&gt;"",B678,""))</f>
        <v>Fimmtudagur</v>
      </c>
      <c r="C679" s="33">
        <f>IF(A679&lt;&gt;"",WEEKNUM(A679,21),IF(C678&lt;&gt;"",C678,""))</f>
        <v>27</v>
      </c>
      <c r="D679" s="34"/>
      <c r="E679" s="34"/>
      <c r="F679" s="34"/>
      <c r="G679" s="34"/>
      <c r="H679" s="34"/>
      <c r="I679" s="35"/>
      <c r="J679" s="35"/>
      <c r="K679" s="36"/>
      <c r="L679" s="26" t="str">
        <f>IF(OR(F679 = "", G679 = ""), "", IF(F679 = "Vara", IFERROR(_xlfn.SINGLE(_xlfn.XLOOKUP(G679, Vöruskrá!A:A, Vöruskrá!E:E, "")), ""), IF(F679 = "Réttur", IFERROR(_xlfn.SINGLE(_xlfn.XLOOKUP(G679, Réttabanki!A:A, Réttabanki!AS:AS, "")), ""), "")))</f>
        <v/>
      </c>
      <c r="M679" s="26" t="str">
        <f>IF(OR(F679 = "", G679 = ""), "", IF(F679 = "Vara", IFERROR(_xlfn.SINGLE(_xlfn.XLOOKUP(G679, Vöruskrá!A:A, Vöruskrá!F:F, "")), ""), IF(F679 = "Réttur", IFERROR(_xlfn.SINGLE(_xlfn.XLOOKUP(G679, Réttabanki!A:A, Réttabanki!AT:AT, "")), ""), "")))</f>
        <v/>
      </c>
      <c r="N679" s="26" t="str">
        <f>IF(OR(F679 = "", G679 = ""), "", IF(F679 = "Vara", IFERROR(_xlfn.SINGLE(_xlfn.XLOOKUP(G679, Vöruskrá!A:A, Vöruskrá!G:G, "")), ""), IF(F679 = "Réttur", IFERROR(_xlfn.SINGLE(_xlfn.XLOOKUP(G679, Réttabanki!A:A, Réttabanki!AU:AU, "")), ""), "")))</f>
        <v/>
      </c>
      <c r="O679" s="26" t="str">
        <f>IF(OR(F679 = "", G679 = "", I679 = ""), "", IF(F679 = "Vara", IFERROR(_xlfn.SINGLE(_xlfn.XLOOKUP(G679, Vöruskrá!A:A, Vöruskrá!I:I, "")) * I679 / 100, ""), IF(F679 = "Réttur", IFERROR(_xlfn.SINGLE(_xlfn.XLOOKUP(G679, Réttabanki!A:A, Réttabanki!AV:AV, "")) * I679 / 100, ""), "")))</f>
        <v/>
      </c>
      <c r="P679" s="26" t="str">
        <f>IF(OR(F679 = "", G679 = "", I679 = ""), "", IF(F679 = "Vara", IFERROR(_xlfn.SINGLE(_xlfn.XLOOKUP(G679, Vöruskrá!A:A, Vöruskrá!J:J, "")) * I679 / 100, ""), IF(F679 = "Réttur", IFERROR(_xlfn.SINGLE(_xlfn.XLOOKUP(G679, Réttabanki!A:A, Réttabanki!AW:AW, "")) * I679 / 100, ""), "")))</f>
        <v/>
      </c>
      <c r="Q679" s="26" t="str">
        <f>IF(OR(F679 = "", G679 = "", I679 = ""), "", IF(F679 = "Vara", IFERROR(_xlfn.SINGLE(_xlfn.XLOOKUP(G679, Vöruskrá!A:A, Vöruskrá!N:N, "")) * I679 / 100, ""), IF(F679 = "Réttur", IFERROR(_xlfn.SINGLE(_xlfn.XLOOKUP(G679, Réttabanki!A:A, Réttabanki!BB:BB, "")) * I679 / 100, ""), "")))</f>
        <v/>
      </c>
    </row>
    <row r="680" spans="2:17">
      <c r="B680" s="33" t="str">
        <f>IF(A680&lt;&gt;"",CHOOSE(WEEKDAY(A680,2),"Mánudagur","Þriðjudagur","Miðvikudagur","Fimmtudagur","Föstudagur","Laugardagur","Sunnudagur"),IF(B679&lt;&gt;"",B679,""))</f>
        <v>Fimmtudagur</v>
      </c>
      <c r="C680" s="33">
        <f>IF(A680&lt;&gt;"",WEEKNUM(A680,21),IF(C679&lt;&gt;"",C679,""))</f>
        <v>27</v>
      </c>
      <c r="D680" s="34"/>
      <c r="E680" s="34"/>
      <c r="F680" s="34"/>
      <c r="G680" s="34"/>
      <c r="H680" s="34"/>
      <c r="I680" s="35"/>
      <c r="J680" s="35"/>
      <c r="K680" s="36"/>
      <c r="L680" s="26" t="str">
        <f>IF(OR(F680 = "", G680 = ""), "", IF(F680 = "Vara", IFERROR(_xlfn.SINGLE(_xlfn.XLOOKUP(G680, Vöruskrá!A:A, Vöruskrá!E:E, "")), ""), IF(F680 = "Réttur", IFERROR(_xlfn.SINGLE(_xlfn.XLOOKUP(G680, Réttabanki!A:A, Réttabanki!AS:AS, "")), ""), "")))</f>
        <v/>
      </c>
      <c r="M680" s="26" t="str">
        <f>IF(OR(F680 = "", G680 = ""), "", IF(F680 = "Vara", IFERROR(_xlfn.SINGLE(_xlfn.XLOOKUP(G680, Vöruskrá!A:A, Vöruskrá!F:F, "")), ""), IF(F680 = "Réttur", IFERROR(_xlfn.SINGLE(_xlfn.XLOOKUP(G680, Réttabanki!A:A, Réttabanki!AT:AT, "")), ""), "")))</f>
        <v/>
      </c>
      <c r="N680" s="26" t="str">
        <f>IF(OR(F680 = "", G680 = ""), "", IF(F680 = "Vara", IFERROR(_xlfn.SINGLE(_xlfn.XLOOKUP(G680, Vöruskrá!A:A, Vöruskrá!G:G, "")), ""), IF(F680 = "Réttur", IFERROR(_xlfn.SINGLE(_xlfn.XLOOKUP(G680, Réttabanki!A:A, Réttabanki!AU:AU, "")), ""), "")))</f>
        <v/>
      </c>
      <c r="O680" s="26" t="str">
        <f>IF(OR(F680 = "", G680 = "", I680 = ""), "", IF(F680 = "Vara", IFERROR(_xlfn.SINGLE(_xlfn.XLOOKUP(G680, Vöruskrá!A:A, Vöruskrá!I:I, "")) * I680 / 100, ""), IF(F680 = "Réttur", IFERROR(_xlfn.SINGLE(_xlfn.XLOOKUP(G680, Réttabanki!A:A, Réttabanki!AV:AV, "")) * I680 / 100, ""), "")))</f>
        <v/>
      </c>
      <c r="P680" s="26" t="str">
        <f>IF(OR(F680 = "", G680 = "", I680 = ""), "", IF(F680 = "Vara", IFERROR(_xlfn.SINGLE(_xlfn.XLOOKUP(G680, Vöruskrá!A:A, Vöruskrá!J:J, "")) * I680 / 100, ""), IF(F680 = "Réttur", IFERROR(_xlfn.SINGLE(_xlfn.XLOOKUP(G680, Réttabanki!A:A, Réttabanki!AW:AW, "")) * I680 / 100, ""), "")))</f>
        <v/>
      </c>
      <c r="Q680" s="26" t="str">
        <f>IF(OR(F680 = "", G680 = "", I680 = ""), "", IF(F680 = "Vara", IFERROR(_xlfn.SINGLE(_xlfn.XLOOKUP(G680, Vöruskrá!A:A, Vöruskrá!N:N, "")) * I680 / 100, ""), IF(F680 = "Réttur", IFERROR(_xlfn.SINGLE(_xlfn.XLOOKUP(G680, Réttabanki!A:A, Réttabanki!BB:BB, "")) * I680 / 100, ""), "")))</f>
        <v/>
      </c>
    </row>
    <row r="681" spans="2:17">
      <c r="B681" s="33" t="str">
        <f>IF(A681&lt;&gt;"",CHOOSE(WEEKDAY(A681,2),"Mánudagur","Þriðjudagur","Miðvikudagur","Fimmtudagur","Föstudagur","Laugardagur","Sunnudagur"),IF(B680&lt;&gt;"",B680,""))</f>
        <v>Fimmtudagur</v>
      </c>
      <c r="C681" s="33">
        <f>IF(A681&lt;&gt;"",WEEKNUM(A681,21),IF(C680&lt;&gt;"",C680,""))</f>
        <v>27</v>
      </c>
      <c r="D681" s="34"/>
      <c r="E681" s="34"/>
      <c r="F681" s="34"/>
      <c r="G681" s="34"/>
      <c r="H681" s="34"/>
      <c r="I681" s="35"/>
      <c r="J681" s="35"/>
      <c r="K681" s="36"/>
      <c r="L681" s="26" t="str">
        <f>IF(OR(F681 = "", G681 = ""), "", IF(F681 = "Vara", IFERROR(_xlfn.SINGLE(_xlfn.XLOOKUP(G681, Vöruskrá!A:A, Vöruskrá!E:E, "")), ""), IF(F681 = "Réttur", IFERROR(_xlfn.SINGLE(_xlfn.XLOOKUP(G681, Réttabanki!A:A, Réttabanki!AS:AS, "")), ""), "")))</f>
        <v/>
      </c>
      <c r="M681" s="26" t="str">
        <f>IF(OR(F681 = "", G681 = ""), "", IF(F681 = "Vara", IFERROR(_xlfn.SINGLE(_xlfn.XLOOKUP(G681, Vöruskrá!A:A, Vöruskrá!F:F, "")), ""), IF(F681 = "Réttur", IFERROR(_xlfn.SINGLE(_xlfn.XLOOKUP(G681, Réttabanki!A:A, Réttabanki!AT:AT, "")), ""), "")))</f>
        <v/>
      </c>
      <c r="N681" s="26" t="str">
        <f>IF(OR(F681 = "", G681 = ""), "", IF(F681 = "Vara", IFERROR(_xlfn.SINGLE(_xlfn.XLOOKUP(G681, Vöruskrá!A:A, Vöruskrá!G:G, "")), ""), IF(F681 = "Réttur", IFERROR(_xlfn.SINGLE(_xlfn.XLOOKUP(G681, Réttabanki!A:A, Réttabanki!AU:AU, "")), ""), "")))</f>
        <v/>
      </c>
      <c r="O681" s="26" t="str">
        <f>IF(OR(F681 = "", G681 = "", I681 = ""), "", IF(F681 = "Vara", IFERROR(_xlfn.SINGLE(_xlfn.XLOOKUP(G681, Vöruskrá!A:A, Vöruskrá!I:I, "")) * I681 / 100, ""), IF(F681 = "Réttur", IFERROR(_xlfn.SINGLE(_xlfn.XLOOKUP(G681, Réttabanki!A:A, Réttabanki!AV:AV, "")) * I681 / 100, ""), "")))</f>
        <v/>
      </c>
      <c r="P681" s="26" t="str">
        <f>IF(OR(F681 = "", G681 = "", I681 = ""), "", IF(F681 = "Vara", IFERROR(_xlfn.SINGLE(_xlfn.XLOOKUP(G681, Vöruskrá!A:A, Vöruskrá!J:J, "")) * I681 / 100, ""), IF(F681 = "Réttur", IFERROR(_xlfn.SINGLE(_xlfn.XLOOKUP(G681, Réttabanki!A:A, Réttabanki!AW:AW, "")) * I681 / 100, ""), "")))</f>
        <v/>
      </c>
      <c r="Q681" s="26" t="str">
        <f>IF(OR(F681 = "", G681 = "", I681 = ""), "", IF(F681 = "Vara", IFERROR(_xlfn.SINGLE(_xlfn.XLOOKUP(G681, Vöruskrá!A:A, Vöruskrá!N:N, "")) * I681 / 100, ""), IF(F681 = "Réttur", IFERROR(_xlfn.SINGLE(_xlfn.XLOOKUP(G681, Réttabanki!A:A, Réttabanki!BB:BB, "")) * I681 / 100, ""), "")))</f>
        <v/>
      </c>
    </row>
    <row r="682" spans="2:17">
      <c r="B682" s="33" t="str">
        <f>IF(A682&lt;&gt;"",CHOOSE(WEEKDAY(A682,2),"Mánudagur","Þriðjudagur","Miðvikudagur","Fimmtudagur","Föstudagur","Laugardagur","Sunnudagur"),IF(B681&lt;&gt;"",B681,""))</f>
        <v>Fimmtudagur</v>
      </c>
      <c r="C682" s="33">
        <f>IF(A682&lt;&gt;"",WEEKNUM(A682,21),IF(C681&lt;&gt;"",C681,""))</f>
        <v>27</v>
      </c>
      <c r="D682" s="34"/>
      <c r="E682" s="34"/>
      <c r="F682" s="34"/>
      <c r="G682" s="34"/>
      <c r="H682" s="34"/>
      <c r="I682" s="35"/>
      <c r="J682" s="35"/>
      <c r="K682" s="36"/>
      <c r="L682" s="26" t="str">
        <f>IF(OR(F682 = "", G682 = ""), "", IF(F682 = "Vara", IFERROR(_xlfn.SINGLE(_xlfn.XLOOKUP(G682, Vöruskrá!A:A, Vöruskrá!E:E, "")), ""), IF(F682 = "Réttur", IFERROR(_xlfn.SINGLE(_xlfn.XLOOKUP(G682, Réttabanki!A:A, Réttabanki!AS:AS, "")), ""), "")))</f>
        <v/>
      </c>
      <c r="M682" s="26" t="str">
        <f>IF(OR(F682 = "", G682 = ""), "", IF(F682 = "Vara", IFERROR(_xlfn.SINGLE(_xlfn.XLOOKUP(G682, Vöruskrá!A:A, Vöruskrá!F:F, "")), ""), IF(F682 = "Réttur", IFERROR(_xlfn.SINGLE(_xlfn.XLOOKUP(G682, Réttabanki!A:A, Réttabanki!AT:AT, "")), ""), "")))</f>
        <v/>
      </c>
      <c r="N682" s="26" t="str">
        <f>IF(OR(F682 = "", G682 = ""), "", IF(F682 = "Vara", IFERROR(_xlfn.SINGLE(_xlfn.XLOOKUP(G682, Vöruskrá!A:A, Vöruskrá!G:G, "")), ""), IF(F682 = "Réttur", IFERROR(_xlfn.SINGLE(_xlfn.XLOOKUP(G682, Réttabanki!A:A, Réttabanki!AU:AU, "")), ""), "")))</f>
        <v/>
      </c>
      <c r="O682" s="26" t="str">
        <f>IF(OR(F682 = "", G682 = "", I682 = ""), "", IF(F682 = "Vara", IFERROR(_xlfn.SINGLE(_xlfn.XLOOKUP(G682, Vöruskrá!A:A, Vöruskrá!I:I, "")) * I682 / 100, ""), IF(F682 = "Réttur", IFERROR(_xlfn.SINGLE(_xlfn.XLOOKUP(G682, Réttabanki!A:A, Réttabanki!AV:AV, "")) * I682 / 100, ""), "")))</f>
        <v/>
      </c>
      <c r="P682" s="26" t="str">
        <f>IF(OR(F682 = "", G682 = "", I682 = ""), "", IF(F682 = "Vara", IFERROR(_xlfn.SINGLE(_xlfn.XLOOKUP(G682, Vöruskrá!A:A, Vöruskrá!J:J, "")) * I682 / 100, ""), IF(F682 = "Réttur", IFERROR(_xlfn.SINGLE(_xlfn.XLOOKUP(G682, Réttabanki!A:A, Réttabanki!AW:AW, "")) * I682 / 100, ""), "")))</f>
        <v/>
      </c>
      <c r="Q682" s="26" t="str">
        <f>IF(OR(F682 = "", G682 = "", I682 = ""), "", IF(F682 = "Vara", IFERROR(_xlfn.SINGLE(_xlfn.XLOOKUP(G682, Vöruskrá!A:A, Vöruskrá!N:N, "")) * I682 / 100, ""), IF(F682 = "Réttur", IFERROR(_xlfn.SINGLE(_xlfn.XLOOKUP(G682, Réttabanki!A:A, Réttabanki!BB:BB, "")) * I682 / 100, ""), "")))</f>
        <v/>
      </c>
    </row>
    <row r="683" spans="2:17">
      <c r="B683" s="33" t="str">
        <f>IF(A683&lt;&gt;"",CHOOSE(WEEKDAY(A683,2),"Mánudagur","Þriðjudagur","Miðvikudagur","Fimmtudagur","Föstudagur","Laugardagur","Sunnudagur"),IF(B682&lt;&gt;"",B682,""))</f>
        <v>Fimmtudagur</v>
      </c>
      <c r="C683" s="33">
        <f>IF(A683&lt;&gt;"",WEEKNUM(A683,21),IF(C682&lt;&gt;"",C682,""))</f>
        <v>27</v>
      </c>
      <c r="D683" s="34"/>
      <c r="E683" s="34"/>
      <c r="F683" s="34"/>
      <c r="G683" s="34"/>
      <c r="H683" s="34"/>
      <c r="I683" s="35"/>
      <c r="J683" s="35"/>
      <c r="K683" s="36"/>
      <c r="L683" s="26" t="str">
        <f>IF(OR(F683 = "", G683 = ""), "", IF(F683 = "Vara", IFERROR(_xlfn.SINGLE(_xlfn.XLOOKUP(G683, Vöruskrá!A:A, Vöruskrá!E:E, "")), ""), IF(F683 = "Réttur", IFERROR(_xlfn.SINGLE(_xlfn.XLOOKUP(G683, Réttabanki!A:A, Réttabanki!AS:AS, "")), ""), "")))</f>
        <v/>
      </c>
      <c r="M683" s="26" t="str">
        <f>IF(OR(F683 = "", G683 = ""), "", IF(F683 = "Vara", IFERROR(_xlfn.SINGLE(_xlfn.XLOOKUP(G683, Vöruskrá!A:A, Vöruskrá!F:F, "")), ""), IF(F683 = "Réttur", IFERROR(_xlfn.SINGLE(_xlfn.XLOOKUP(G683, Réttabanki!A:A, Réttabanki!AT:AT, "")), ""), "")))</f>
        <v/>
      </c>
      <c r="N683" s="26" t="str">
        <f>IF(OR(F683 = "", G683 = ""), "", IF(F683 = "Vara", IFERROR(_xlfn.SINGLE(_xlfn.XLOOKUP(G683, Vöruskrá!A:A, Vöruskrá!G:G, "")), ""), IF(F683 = "Réttur", IFERROR(_xlfn.SINGLE(_xlfn.XLOOKUP(G683, Réttabanki!A:A, Réttabanki!AU:AU, "")), ""), "")))</f>
        <v/>
      </c>
      <c r="O683" s="26" t="str">
        <f>IF(OR(F683 = "", G683 = "", I683 = ""), "", IF(F683 = "Vara", IFERROR(_xlfn.SINGLE(_xlfn.XLOOKUP(G683, Vöruskrá!A:A, Vöruskrá!I:I, "")) * I683 / 100, ""), IF(F683 = "Réttur", IFERROR(_xlfn.SINGLE(_xlfn.XLOOKUP(G683, Réttabanki!A:A, Réttabanki!AV:AV, "")) * I683 / 100, ""), "")))</f>
        <v/>
      </c>
      <c r="P683" s="26" t="str">
        <f>IF(OR(F683 = "", G683 = "", I683 = ""), "", IF(F683 = "Vara", IFERROR(_xlfn.SINGLE(_xlfn.XLOOKUP(G683, Vöruskrá!A:A, Vöruskrá!J:J, "")) * I683 / 100, ""), IF(F683 = "Réttur", IFERROR(_xlfn.SINGLE(_xlfn.XLOOKUP(G683, Réttabanki!A:A, Réttabanki!AW:AW, "")) * I683 / 100, ""), "")))</f>
        <v/>
      </c>
      <c r="Q683" s="26" t="str">
        <f>IF(OR(F683 = "", G683 = "", I683 = ""), "", IF(F683 = "Vara", IFERROR(_xlfn.SINGLE(_xlfn.XLOOKUP(G683, Vöruskrá!A:A, Vöruskrá!N:N, "")) * I683 / 100, ""), IF(F683 = "Réttur", IFERROR(_xlfn.SINGLE(_xlfn.XLOOKUP(G683, Réttabanki!A:A, Réttabanki!BB:BB, "")) * I683 / 100, ""), "")))</f>
        <v/>
      </c>
    </row>
    <row r="684" spans="2:17">
      <c r="B684" s="33" t="str">
        <f>IF(A684&lt;&gt;"",CHOOSE(WEEKDAY(A684,2),"Mánudagur","Þriðjudagur","Miðvikudagur","Fimmtudagur","Föstudagur","Laugardagur","Sunnudagur"),IF(B683&lt;&gt;"",B683,""))</f>
        <v>Fimmtudagur</v>
      </c>
      <c r="C684" s="33">
        <f>IF(A684&lt;&gt;"",WEEKNUM(A684,21),IF(C683&lt;&gt;"",C683,""))</f>
        <v>27</v>
      </c>
      <c r="D684" s="34"/>
      <c r="E684" s="34"/>
      <c r="F684" s="34"/>
      <c r="G684" s="34"/>
      <c r="H684" s="34"/>
      <c r="I684" s="35"/>
      <c r="J684" s="35"/>
      <c r="K684" s="36"/>
      <c r="L684" s="26" t="str">
        <f>IF(OR(F684 = "", G684 = ""), "", IF(F684 = "Vara", IFERROR(_xlfn.SINGLE(_xlfn.XLOOKUP(G684, Vöruskrá!A:A, Vöruskrá!E:E, "")), ""), IF(F684 = "Réttur", IFERROR(_xlfn.SINGLE(_xlfn.XLOOKUP(G684, Réttabanki!A:A, Réttabanki!AS:AS, "")), ""), "")))</f>
        <v/>
      </c>
      <c r="M684" s="26" t="str">
        <f>IF(OR(F684 = "", G684 = ""), "", IF(F684 = "Vara", IFERROR(_xlfn.SINGLE(_xlfn.XLOOKUP(G684, Vöruskrá!A:A, Vöruskrá!F:F, "")), ""), IF(F684 = "Réttur", IFERROR(_xlfn.SINGLE(_xlfn.XLOOKUP(G684, Réttabanki!A:A, Réttabanki!AT:AT, "")), ""), "")))</f>
        <v/>
      </c>
      <c r="N684" s="26" t="str">
        <f>IF(OR(F684 = "", G684 = ""), "", IF(F684 = "Vara", IFERROR(_xlfn.SINGLE(_xlfn.XLOOKUP(G684, Vöruskrá!A:A, Vöruskrá!G:G, "")), ""), IF(F684 = "Réttur", IFERROR(_xlfn.SINGLE(_xlfn.XLOOKUP(G684, Réttabanki!A:A, Réttabanki!AU:AU, "")), ""), "")))</f>
        <v/>
      </c>
      <c r="O684" s="26" t="str">
        <f>IF(OR(F684 = "", G684 = "", I684 = ""), "", IF(F684 = "Vara", IFERROR(_xlfn.SINGLE(_xlfn.XLOOKUP(G684, Vöruskrá!A:A, Vöruskrá!I:I, "")) * I684 / 100, ""), IF(F684 = "Réttur", IFERROR(_xlfn.SINGLE(_xlfn.XLOOKUP(G684, Réttabanki!A:A, Réttabanki!AV:AV, "")) * I684 / 100, ""), "")))</f>
        <v/>
      </c>
      <c r="P684" s="26" t="str">
        <f>IF(OR(F684 = "", G684 = "", I684 = ""), "", IF(F684 = "Vara", IFERROR(_xlfn.SINGLE(_xlfn.XLOOKUP(G684, Vöruskrá!A:A, Vöruskrá!J:J, "")) * I684 / 100, ""), IF(F684 = "Réttur", IFERROR(_xlfn.SINGLE(_xlfn.XLOOKUP(G684, Réttabanki!A:A, Réttabanki!AW:AW, "")) * I684 / 100, ""), "")))</f>
        <v/>
      </c>
      <c r="Q684" s="26" t="str">
        <f>IF(OR(F684 = "", G684 = "", I684 = ""), "", IF(F684 = "Vara", IFERROR(_xlfn.SINGLE(_xlfn.XLOOKUP(G684, Vöruskrá!A:A, Vöruskrá!N:N, "")) * I684 / 100, ""), IF(F684 = "Réttur", IFERROR(_xlfn.SINGLE(_xlfn.XLOOKUP(G684, Réttabanki!A:A, Réttabanki!BB:BB, "")) * I684 / 100, ""), "")))</f>
        <v/>
      </c>
    </row>
    <row r="685" spans="2:17">
      <c r="B685" s="33" t="str">
        <f>IF(A685&lt;&gt;"",CHOOSE(WEEKDAY(A685,2),"Mánudagur","Þriðjudagur","Miðvikudagur","Fimmtudagur","Föstudagur","Laugardagur","Sunnudagur"),IF(B684&lt;&gt;"",B684,""))</f>
        <v>Fimmtudagur</v>
      </c>
      <c r="C685" s="33">
        <f>IF(A685&lt;&gt;"",WEEKNUM(A685,21),IF(C684&lt;&gt;"",C684,""))</f>
        <v>27</v>
      </c>
      <c r="D685" s="34"/>
      <c r="E685" s="34"/>
      <c r="F685" s="34"/>
      <c r="G685" s="34"/>
      <c r="H685" s="34"/>
      <c r="I685" s="35"/>
      <c r="J685" s="35"/>
      <c r="K685" s="36"/>
      <c r="L685" s="26" t="str">
        <f>IF(OR(F685 = "", G685 = ""), "", IF(F685 = "Vara", IFERROR(_xlfn.SINGLE(_xlfn.XLOOKUP(G685, Vöruskrá!A:A, Vöruskrá!E:E, "")), ""), IF(F685 = "Réttur", IFERROR(_xlfn.SINGLE(_xlfn.XLOOKUP(G685, Réttabanki!A:A, Réttabanki!AS:AS, "")), ""), "")))</f>
        <v/>
      </c>
      <c r="M685" s="26" t="str">
        <f>IF(OR(F685 = "", G685 = ""), "", IF(F685 = "Vara", IFERROR(_xlfn.SINGLE(_xlfn.XLOOKUP(G685, Vöruskrá!A:A, Vöruskrá!F:F, "")), ""), IF(F685 = "Réttur", IFERROR(_xlfn.SINGLE(_xlfn.XLOOKUP(G685, Réttabanki!A:A, Réttabanki!AT:AT, "")), ""), "")))</f>
        <v/>
      </c>
      <c r="N685" s="26" t="str">
        <f>IF(OR(F685 = "", G685 = ""), "", IF(F685 = "Vara", IFERROR(_xlfn.SINGLE(_xlfn.XLOOKUP(G685, Vöruskrá!A:A, Vöruskrá!G:G, "")), ""), IF(F685 = "Réttur", IFERROR(_xlfn.SINGLE(_xlfn.XLOOKUP(G685, Réttabanki!A:A, Réttabanki!AU:AU, "")), ""), "")))</f>
        <v/>
      </c>
      <c r="O685" s="26" t="str">
        <f>IF(OR(F685 = "", G685 = "", I685 = ""), "", IF(F685 = "Vara", IFERROR(_xlfn.SINGLE(_xlfn.XLOOKUP(G685, Vöruskrá!A:A, Vöruskrá!I:I, "")) * I685 / 100, ""), IF(F685 = "Réttur", IFERROR(_xlfn.SINGLE(_xlfn.XLOOKUP(G685, Réttabanki!A:A, Réttabanki!AV:AV, "")) * I685 / 100, ""), "")))</f>
        <v/>
      </c>
      <c r="P685" s="26" t="str">
        <f>IF(OR(F685 = "", G685 = "", I685 = ""), "", IF(F685 = "Vara", IFERROR(_xlfn.SINGLE(_xlfn.XLOOKUP(G685, Vöruskrá!A:A, Vöruskrá!J:J, "")) * I685 / 100, ""), IF(F685 = "Réttur", IFERROR(_xlfn.SINGLE(_xlfn.XLOOKUP(G685, Réttabanki!A:A, Réttabanki!AW:AW, "")) * I685 / 100, ""), "")))</f>
        <v/>
      </c>
      <c r="Q685" s="26" t="str">
        <f>IF(OR(F685 = "", G685 = "", I685 = ""), "", IF(F685 = "Vara", IFERROR(_xlfn.SINGLE(_xlfn.XLOOKUP(G685, Vöruskrá!A:A, Vöruskrá!N:N, "")) * I685 / 100, ""), IF(F685 = "Réttur", IFERROR(_xlfn.SINGLE(_xlfn.XLOOKUP(G685, Réttabanki!A:A, Réttabanki!BB:BB, "")) * I685 / 100, ""), "")))</f>
        <v/>
      </c>
    </row>
    <row r="686" spans="2:17">
      <c r="B686" s="33" t="str">
        <f>IF(A686&lt;&gt;"",CHOOSE(WEEKDAY(A686,2),"Mánudagur","Þriðjudagur","Miðvikudagur","Fimmtudagur","Föstudagur","Laugardagur","Sunnudagur"),IF(B685&lt;&gt;"",B685,""))</f>
        <v>Fimmtudagur</v>
      </c>
      <c r="C686" s="33">
        <f>IF(A686&lt;&gt;"",WEEKNUM(A686,21),IF(C685&lt;&gt;"",C685,""))</f>
        <v>27</v>
      </c>
      <c r="D686" s="34"/>
      <c r="E686" s="34"/>
      <c r="F686" s="34"/>
      <c r="G686" s="34"/>
      <c r="H686" s="34"/>
      <c r="I686" s="35"/>
      <c r="J686" s="35"/>
      <c r="K686" s="36"/>
      <c r="L686" s="26" t="str">
        <f>IF(OR(F686 = "", G686 = ""), "", IF(F686 = "Vara", IFERROR(_xlfn.SINGLE(_xlfn.XLOOKUP(G686, Vöruskrá!A:A, Vöruskrá!E:E, "")), ""), IF(F686 = "Réttur", IFERROR(_xlfn.SINGLE(_xlfn.XLOOKUP(G686, Réttabanki!A:A, Réttabanki!AS:AS, "")), ""), "")))</f>
        <v/>
      </c>
      <c r="M686" s="26" t="str">
        <f>IF(OR(F686 = "", G686 = ""), "", IF(F686 = "Vara", IFERROR(_xlfn.SINGLE(_xlfn.XLOOKUP(G686, Vöruskrá!A:A, Vöruskrá!F:F, "")), ""), IF(F686 = "Réttur", IFERROR(_xlfn.SINGLE(_xlfn.XLOOKUP(G686, Réttabanki!A:A, Réttabanki!AT:AT, "")), ""), "")))</f>
        <v/>
      </c>
      <c r="N686" s="26" t="str">
        <f>IF(OR(F686 = "", G686 = ""), "", IF(F686 = "Vara", IFERROR(_xlfn.SINGLE(_xlfn.XLOOKUP(G686, Vöruskrá!A:A, Vöruskrá!G:G, "")), ""), IF(F686 = "Réttur", IFERROR(_xlfn.SINGLE(_xlfn.XLOOKUP(G686, Réttabanki!A:A, Réttabanki!AU:AU, "")), ""), "")))</f>
        <v/>
      </c>
      <c r="O686" s="26" t="str">
        <f>IF(OR(F686 = "", G686 = "", I686 = ""), "", IF(F686 = "Vara", IFERROR(_xlfn.SINGLE(_xlfn.XLOOKUP(G686, Vöruskrá!A:A, Vöruskrá!I:I, "")) * I686 / 100, ""), IF(F686 = "Réttur", IFERROR(_xlfn.SINGLE(_xlfn.XLOOKUP(G686, Réttabanki!A:A, Réttabanki!AV:AV, "")) * I686 / 100, ""), "")))</f>
        <v/>
      </c>
      <c r="P686" s="26" t="str">
        <f>IF(OR(F686 = "", G686 = "", I686 = ""), "", IF(F686 = "Vara", IFERROR(_xlfn.SINGLE(_xlfn.XLOOKUP(G686, Vöruskrá!A:A, Vöruskrá!J:J, "")) * I686 / 100, ""), IF(F686 = "Réttur", IFERROR(_xlfn.SINGLE(_xlfn.XLOOKUP(G686, Réttabanki!A:A, Réttabanki!AW:AW, "")) * I686 / 100, ""), "")))</f>
        <v/>
      </c>
      <c r="Q686" s="26" t="str">
        <f>IF(OR(F686 = "", G686 = "", I686 = ""), "", IF(F686 = "Vara", IFERROR(_xlfn.SINGLE(_xlfn.XLOOKUP(G686, Vöruskrá!A:A, Vöruskrá!N:N, "")) * I686 / 100, ""), IF(F686 = "Réttur", IFERROR(_xlfn.SINGLE(_xlfn.XLOOKUP(G686, Réttabanki!A:A, Réttabanki!BB:BB, "")) * I686 / 100, ""), "")))</f>
        <v/>
      </c>
    </row>
    <row r="687" spans="2:17">
      <c r="B687" s="33" t="str">
        <f>IF(A687&lt;&gt;"",CHOOSE(WEEKDAY(A687,2),"Mánudagur","Þriðjudagur","Miðvikudagur","Fimmtudagur","Föstudagur","Laugardagur","Sunnudagur"),IF(B686&lt;&gt;"",B686,""))</f>
        <v>Fimmtudagur</v>
      </c>
      <c r="C687" s="33">
        <f>IF(A687&lt;&gt;"",WEEKNUM(A687,21),IF(C686&lt;&gt;"",C686,""))</f>
        <v>27</v>
      </c>
      <c r="D687" s="34"/>
      <c r="E687" s="34"/>
      <c r="F687" s="34"/>
      <c r="G687" s="34"/>
      <c r="H687" s="34"/>
      <c r="I687" s="35"/>
      <c r="J687" s="35"/>
      <c r="K687" s="36"/>
      <c r="L687" s="26" t="str">
        <f>IF(OR(F687 = "", G687 = ""), "", IF(F687 = "Vara", IFERROR(_xlfn.SINGLE(_xlfn.XLOOKUP(G687, Vöruskrá!A:A, Vöruskrá!E:E, "")), ""), IF(F687 = "Réttur", IFERROR(_xlfn.SINGLE(_xlfn.XLOOKUP(G687, Réttabanki!A:A, Réttabanki!AS:AS, "")), ""), "")))</f>
        <v/>
      </c>
      <c r="M687" s="26" t="str">
        <f>IF(OR(F687 = "", G687 = ""), "", IF(F687 = "Vara", IFERROR(_xlfn.SINGLE(_xlfn.XLOOKUP(G687, Vöruskrá!A:A, Vöruskrá!F:F, "")), ""), IF(F687 = "Réttur", IFERROR(_xlfn.SINGLE(_xlfn.XLOOKUP(G687, Réttabanki!A:A, Réttabanki!AT:AT, "")), ""), "")))</f>
        <v/>
      </c>
      <c r="N687" s="26" t="str">
        <f>IF(OR(F687 = "", G687 = ""), "", IF(F687 = "Vara", IFERROR(_xlfn.SINGLE(_xlfn.XLOOKUP(G687, Vöruskrá!A:A, Vöruskrá!G:G, "")), ""), IF(F687 = "Réttur", IFERROR(_xlfn.SINGLE(_xlfn.XLOOKUP(G687, Réttabanki!A:A, Réttabanki!AU:AU, "")), ""), "")))</f>
        <v/>
      </c>
      <c r="O687" s="26" t="str">
        <f>IF(OR(F687 = "", G687 = "", I687 = ""), "", IF(F687 = "Vara", IFERROR(_xlfn.SINGLE(_xlfn.XLOOKUP(G687, Vöruskrá!A:A, Vöruskrá!I:I, "")) * I687 / 100, ""), IF(F687 = "Réttur", IFERROR(_xlfn.SINGLE(_xlfn.XLOOKUP(G687, Réttabanki!A:A, Réttabanki!AV:AV, "")) * I687 / 100, ""), "")))</f>
        <v/>
      </c>
      <c r="P687" s="26" t="str">
        <f>IF(OR(F687 = "", G687 = "", I687 = ""), "", IF(F687 = "Vara", IFERROR(_xlfn.SINGLE(_xlfn.XLOOKUP(G687, Vöruskrá!A:A, Vöruskrá!J:J, "")) * I687 / 100, ""), IF(F687 = "Réttur", IFERROR(_xlfn.SINGLE(_xlfn.XLOOKUP(G687, Réttabanki!A:A, Réttabanki!AW:AW, "")) * I687 / 100, ""), "")))</f>
        <v/>
      </c>
      <c r="Q687" s="26" t="str">
        <f>IF(OR(F687 = "", G687 = "", I687 = ""), "", IF(F687 = "Vara", IFERROR(_xlfn.SINGLE(_xlfn.XLOOKUP(G687, Vöruskrá!A:A, Vöruskrá!N:N, "")) * I687 / 100, ""), IF(F687 = "Réttur", IFERROR(_xlfn.SINGLE(_xlfn.XLOOKUP(G687, Réttabanki!A:A, Réttabanki!BB:BB, "")) * I687 / 100, ""), "")))</f>
        <v/>
      </c>
    </row>
    <row r="688" spans="2:17">
      <c r="B688" s="33" t="str">
        <f>IF(A688&lt;&gt;"",CHOOSE(WEEKDAY(A688,2),"Mánudagur","Þriðjudagur","Miðvikudagur","Fimmtudagur","Föstudagur","Laugardagur","Sunnudagur"),IF(B687&lt;&gt;"",B687,""))</f>
        <v>Fimmtudagur</v>
      </c>
      <c r="C688" s="33">
        <f>IF(A688&lt;&gt;"",WEEKNUM(A688,21),IF(C687&lt;&gt;"",C687,""))</f>
        <v>27</v>
      </c>
      <c r="D688" s="34"/>
      <c r="E688" s="34"/>
      <c r="F688" s="34"/>
      <c r="G688" s="34"/>
      <c r="H688" s="34"/>
      <c r="I688" s="35"/>
      <c r="J688" s="35"/>
      <c r="K688" s="36"/>
      <c r="L688" s="26" t="str">
        <f>IF(OR(F688 = "", G688 = ""), "", IF(F688 = "Vara", IFERROR(_xlfn.SINGLE(_xlfn.XLOOKUP(G688, Vöruskrá!A:A, Vöruskrá!E:E, "")), ""), IF(F688 = "Réttur", IFERROR(_xlfn.SINGLE(_xlfn.XLOOKUP(G688, Réttabanki!A:A, Réttabanki!AS:AS, "")), ""), "")))</f>
        <v/>
      </c>
      <c r="M688" s="26" t="str">
        <f>IF(OR(F688 = "", G688 = ""), "", IF(F688 = "Vara", IFERROR(_xlfn.SINGLE(_xlfn.XLOOKUP(G688, Vöruskrá!A:A, Vöruskrá!F:F, "")), ""), IF(F688 = "Réttur", IFERROR(_xlfn.SINGLE(_xlfn.XLOOKUP(G688, Réttabanki!A:A, Réttabanki!AT:AT, "")), ""), "")))</f>
        <v/>
      </c>
      <c r="N688" s="26" t="str">
        <f>IF(OR(F688 = "", G688 = ""), "", IF(F688 = "Vara", IFERROR(_xlfn.SINGLE(_xlfn.XLOOKUP(G688, Vöruskrá!A:A, Vöruskrá!G:G, "")), ""), IF(F688 = "Réttur", IFERROR(_xlfn.SINGLE(_xlfn.XLOOKUP(G688, Réttabanki!A:A, Réttabanki!AU:AU, "")), ""), "")))</f>
        <v/>
      </c>
      <c r="O688" s="26" t="str">
        <f>IF(OR(F688 = "", G688 = "", I688 = ""), "", IF(F688 = "Vara", IFERROR(_xlfn.SINGLE(_xlfn.XLOOKUP(G688, Vöruskrá!A:A, Vöruskrá!I:I, "")) * I688 / 100, ""), IF(F688 = "Réttur", IFERROR(_xlfn.SINGLE(_xlfn.XLOOKUP(G688, Réttabanki!A:A, Réttabanki!AV:AV, "")) * I688 / 100, ""), "")))</f>
        <v/>
      </c>
      <c r="P688" s="26" t="str">
        <f>IF(OR(F688 = "", G688 = "", I688 = ""), "", IF(F688 = "Vara", IFERROR(_xlfn.SINGLE(_xlfn.XLOOKUP(G688, Vöruskrá!A:A, Vöruskrá!J:J, "")) * I688 / 100, ""), IF(F688 = "Réttur", IFERROR(_xlfn.SINGLE(_xlfn.XLOOKUP(G688, Réttabanki!A:A, Réttabanki!AW:AW, "")) * I688 / 100, ""), "")))</f>
        <v/>
      </c>
      <c r="Q688" s="26" t="str">
        <f>IF(OR(F688 = "", G688 = "", I688 = ""), "", IF(F688 = "Vara", IFERROR(_xlfn.SINGLE(_xlfn.XLOOKUP(G688, Vöruskrá!A:A, Vöruskrá!N:N, "")) * I688 / 100, ""), IF(F688 = "Réttur", IFERROR(_xlfn.SINGLE(_xlfn.XLOOKUP(G688, Réttabanki!A:A, Réttabanki!BB:BB, "")) * I688 / 100, ""), "")))</f>
        <v/>
      </c>
    </row>
    <row r="689" spans="2:17">
      <c r="B689" s="33" t="str">
        <f>IF(A689&lt;&gt;"",CHOOSE(WEEKDAY(A689,2),"Mánudagur","Þriðjudagur","Miðvikudagur","Fimmtudagur","Föstudagur","Laugardagur","Sunnudagur"),IF(B688&lt;&gt;"",B688,""))</f>
        <v>Fimmtudagur</v>
      </c>
      <c r="C689" s="33">
        <f>IF(A689&lt;&gt;"",WEEKNUM(A689,21),IF(C688&lt;&gt;"",C688,""))</f>
        <v>27</v>
      </c>
      <c r="D689" s="34"/>
      <c r="E689" s="34"/>
      <c r="F689" s="34"/>
      <c r="G689" s="34"/>
      <c r="H689" s="34"/>
      <c r="I689" s="35"/>
      <c r="J689" s="35"/>
      <c r="K689" s="36"/>
      <c r="L689" s="26" t="str">
        <f>IF(OR(F689 = "", G689 = ""), "", IF(F689 = "Vara", IFERROR(_xlfn.SINGLE(_xlfn.XLOOKUP(G689, Vöruskrá!A:A, Vöruskrá!E:E, "")), ""), IF(F689 = "Réttur", IFERROR(_xlfn.SINGLE(_xlfn.XLOOKUP(G689, Réttabanki!A:A, Réttabanki!AS:AS, "")), ""), "")))</f>
        <v/>
      </c>
      <c r="M689" s="26" t="str">
        <f>IF(OR(F689 = "", G689 = ""), "", IF(F689 = "Vara", IFERROR(_xlfn.SINGLE(_xlfn.XLOOKUP(G689, Vöruskrá!A:A, Vöruskrá!F:F, "")), ""), IF(F689 = "Réttur", IFERROR(_xlfn.SINGLE(_xlfn.XLOOKUP(G689, Réttabanki!A:A, Réttabanki!AT:AT, "")), ""), "")))</f>
        <v/>
      </c>
      <c r="N689" s="26" t="str">
        <f>IF(OR(F689 = "", G689 = ""), "", IF(F689 = "Vara", IFERROR(_xlfn.SINGLE(_xlfn.XLOOKUP(G689, Vöruskrá!A:A, Vöruskrá!G:G, "")), ""), IF(F689 = "Réttur", IFERROR(_xlfn.SINGLE(_xlfn.XLOOKUP(G689, Réttabanki!A:A, Réttabanki!AU:AU, "")), ""), "")))</f>
        <v/>
      </c>
      <c r="O689" s="26" t="str">
        <f>IF(OR(F689 = "", G689 = "", I689 = ""), "", IF(F689 = "Vara", IFERROR(_xlfn.SINGLE(_xlfn.XLOOKUP(G689, Vöruskrá!A:A, Vöruskrá!I:I, "")) * I689 / 100, ""), IF(F689 = "Réttur", IFERROR(_xlfn.SINGLE(_xlfn.XLOOKUP(G689, Réttabanki!A:A, Réttabanki!AV:AV, "")) * I689 / 100, ""), "")))</f>
        <v/>
      </c>
      <c r="P689" s="26" t="str">
        <f>IF(OR(F689 = "", G689 = "", I689 = ""), "", IF(F689 = "Vara", IFERROR(_xlfn.SINGLE(_xlfn.XLOOKUP(G689, Vöruskrá!A:A, Vöruskrá!J:J, "")) * I689 / 100, ""), IF(F689 = "Réttur", IFERROR(_xlfn.SINGLE(_xlfn.XLOOKUP(G689, Réttabanki!A:A, Réttabanki!AW:AW, "")) * I689 / 100, ""), "")))</f>
        <v/>
      </c>
      <c r="Q689" s="26" t="str">
        <f>IF(OR(F689 = "", G689 = "", I689 = ""), "", IF(F689 = "Vara", IFERROR(_xlfn.SINGLE(_xlfn.XLOOKUP(G689, Vöruskrá!A:A, Vöruskrá!N:N, "")) * I689 / 100, ""), IF(F689 = "Réttur", IFERROR(_xlfn.SINGLE(_xlfn.XLOOKUP(G689, Réttabanki!A:A, Réttabanki!BB:BB, "")) * I689 / 100, ""), "")))</f>
        <v/>
      </c>
    </row>
    <row r="690" spans="2:17">
      <c r="B690" s="33" t="str">
        <f>IF(A690&lt;&gt;"",CHOOSE(WEEKDAY(A690,2),"Mánudagur","Þriðjudagur","Miðvikudagur","Fimmtudagur","Föstudagur","Laugardagur","Sunnudagur"),IF(B689&lt;&gt;"",B689,""))</f>
        <v>Fimmtudagur</v>
      </c>
      <c r="C690" s="33">
        <f>IF(A690&lt;&gt;"",WEEKNUM(A690,21),IF(C689&lt;&gt;"",C689,""))</f>
        <v>27</v>
      </c>
      <c r="D690" s="34"/>
      <c r="E690" s="34"/>
      <c r="F690" s="34"/>
      <c r="G690" s="34"/>
      <c r="H690" s="34"/>
      <c r="I690" s="35"/>
      <c r="J690" s="35"/>
      <c r="K690" s="36"/>
      <c r="L690" s="26" t="str">
        <f>IF(OR(F690 = "", G690 = ""), "", IF(F690 = "Vara", IFERROR(_xlfn.SINGLE(_xlfn.XLOOKUP(G690, Vöruskrá!A:A, Vöruskrá!E:E, "")), ""), IF(F690 = "Réttur", IFERROR(_xlfn.SINGLE(_xlfn.XLOOKUP(G690, Réttabanki!A:A, Réttabanki!AS:AS, "")), ""), "")))</f>
        <v/>
      </c>
      <c r="M690" s="26" t="str">
        <f>IF(OR(F690 = "", G690 = ""), "", IF(F690 = "Vara", IFERROR(_xlfn.SINGLE(_xlfn.XLOOKUP(G690, Vöruskrá!A:A, Vöruskrá!F:F, "")), ""), IF(F690 = "Réttur", IFERROR(_xlfn.SINGLE(_xlfn.XLOOKUP(G690, Réttabanki!A:A, Réttabanki!AT:AT, "")), ""), "")))</f>
        <v/>
      </c>
      <c r="N690" s="26" t="str">
        <f>IF(OR(F690 = "", G690 = ""), "", IF(F690 = "Vara", IFERROR(_xlfn.SINGLE(_xlfn.XLOOKUP(G690, Vöruskrá!A:A, Vöruskrá!G:G, "")), ""), IF(F690 = "Réttur", IFERROR(_xlfn.SINGLE(_xlfn.XLOOKUP(G690, Réttabanki!A:A, Réttabanki!AU:AU, "")), ""), "")))</f>
        <v/>
      </c>
      <c r="O690" s="26" t="str">
        <f>IF(OR(F690 = "", G690 = "", I690 = ""), "", IF(F690 = "Vara", IFERROR(_xlfn.SINGLE(_xlfn.XLOOKUP(G690, Vöruskrá!A:A, Vöruskrá!I:I, "")) * I690 / 100, ""), IF(F690 = "Réttur", IFERROR(_xlfn.SINGLE(_xlfn.XLOOKUP(G690, Réttabanki!A:A, Réttabanki!AV:AV, "")) * I690 / 100, ""), "")))</f>
        <v/>
      </c>
      <c r="P690" s="26" t="str">
        <f>IF(OR(F690 = "", G690 = "", I690 = ""), "", IF(F690 = "Vara", IFERROR(_xlfn.SINGLE(_xlfn.XLOOKUP(G690, Vöruskrá!A:A, Vöruskrá!J:J, "")) * I690 / 100, ""), IF(F690 = "Réttur", IFERROR(_xlfn.SINGLE(_xlfn.XLOOKUP(G690, Réttabanki!A:A, Réttabanki!AW:AW, "")) * I690 / 100, ""), "")))</f>
        <v/>
      </c>
      <c r="Q690" s="26" t="str">
        <f>IF(OR(F690 = "", G690 = "", I690 = ""), "", IF(F690 = "Vara", IFERROR(_xlfn.SINGLE(_xlfn.XLOOKUP(G690, Vöruskrá!A:A, Vöruskrá!N:N, "")) * I690 / 100, ""), IF(F690 = "Réttur", IFERROR(_xlfn.SINGLE(_xlfn.XLOOKUP(G690, Réttabanki!A:A, Réttabanki!BB:BB, "")) * I690 / 100, ""), "")))</f>
        <v/>
      </c>
    </row>
    <row r="691" spans="2:17">
      <c r="B691" s="33" t="str">
        <f>IF(A691&lt;&gt;"",CHOOSE(WEEKDAY(A691,2),"Mánudagur","Þriðjudagur","Miðvikudagur","Fimmtudagur","Föstudagur","Laugardagur","Sunnudagur"),IF(B690&lt;&gt;"",B690,""))</f>
        <v>Fimmtudagur</v>
      </c>
      <c r="C691" s="33">
        <f>IF(A691&lt;&gt;"",WEEKNUM(A691,21),IF(C690&lt;&gt;"",C690,""))</f>
        <v>27</v>
      </c>
      <c r="D691" s="34"/>
      <c r="E691" s="34"/>
      <c r="F691" s="34"/>
      <c r="G691" s="34"/>
      <c r="H691" s="34"/>
      <c r="I691" s="35"/>
      <c r="J691" s="35"/>
      <c r="K691" s="36"/>
      <c r="L691" s="26" t="str">
        <f>IF(OR(F691 = "", G691 = ""), "", IF(F691 = "Vara", IFERROR(_xlfn.SINGLE(_xlfn.XLOOKUP(G691, Vöruskrá!A:A, Vöruskrá!E:E, "")), ""), IF(F691 = "Réttur", IFERROR(_xlfn.SINGLE(_xlfn.XLOOKUP(G691, Réttabanki!A:A, Réttabanki!AS:AS, "")), ""), "")))</f>
        <v/>
      </c>
      <c r="M691" s="26" t="str">
        <f>IF(OR(F691 = "", G691 = ""), "", IF(F691 = "Vara", IFERROR(_xlfn.SINGLE(_xlfn.XLOOKUP(G691, Vöruskrá!A:A, Vöruskrá!F:F, "")), ""), IF(F691 = "Réttur", IFERROR(_xlfn.SINGLE(_xlfn.XLOOKUP(G691, Réttabanki!A:A, Réttabanki!AT:AT, "")), ""), "")))</f>
        <v/>
      </c>
      <c r="N691" s="26" t="str">
        <f>IF(OR(F691 = "", G691 = ""), "", IF(F691 = "Vara", IFERROR(_xlfn.SINGLE(_xlfn.XLOOKUP(G691, Vöruskrá!A:A, Vöruskrá!G:G, "")), ""), IF(F691 = "Réttur", IFERROR(_xlfn.SINGLE(_xlfn.XLOOKUP(G691, Réttabanki!A:A, Réttabanki!AU:AU, "")), ""), "")))</f>
        <v/>
      </c>
      <c r="O691" s="26" t="str">
        <f>IF(OR(F691 = "", G691 = "", I691 = ""), "", IF(F691 = "Vara", IFERROR(_xlfn.SINGLE(_xlfn.XLOOKUP(G691, Vöruskrá!A:A, Vöruskrá!I:I, "")) * I691 / 100, ""), IF(F691 = "Réttur", IFERROR(_xlfn.SINGLE(_xlfn.XLOOKUP(G691, Réttabanki!A:A, Réttabanki!AV:AV, "")) * I691 / 100, ""), "")))</f>
        <v/>
      </c>
      <c r="P691" s="26" t="str">
        <f>IF(OR(F691 = "", G691 = "", I691 = ""), "", IF(F691 = "Vara", IFERROR(_xlfn.SINGLE(_xlfn.XLOOKUP(G691, Vöruskrá!A:A, Vöruskrá!J:J, "")) * I691 / 100, ""), IF(F691 = "Réttur", IFERROR(_xlfn.SINGLE(_xlfn.XLOOKUP(G691, Réttabanki!A:A, Réttabanki!AW:AW, "")) * I691 / 100, ""), "")))</f>
        <v/>
      </c>
      <c r="Q691" s="26" t="str">
        <f>IF(OR(F691 = "", G691 = "", I691 = ""), "", IF(F691 = "Vara", IFERROR(_xlfn.SINGLE(_xlfn.XLOOKUP(G691, Vöruskrá!A:A, Vöruskrá!N:N, "")) * I691 / 100, ""), IF(F691 = "Réttur", IFERROR(_xlfn.SINGLE(_xlfn.XLOOKUP(G691, Réttabanki!A:A, Réttabanki!BB:BB, "")) * I691 / 100, ""), "")))</f>
        <v/>
      </c>
    </row>
    <row r="692" spans="2:17">
      <c r="B692" s="33" t="str">
        <f>IF(A692&lt;&gt;"",CHOOSE(WEEKDAY(A692,2),"Mánudagur","Þriðjudagur","Miðvikudagur","Fimmtudagur","Föstudagur","Laugardagur","Sunnudagur"),IF(B691&lt;&gt;"",B691,""))</f>
        <v>Fimmtudagur</v>
      </c>
      <c r="C692" s="33">
        <f>IF(A692&lt;&gt;"",WEEKNUM(A692,21),IF(C691&lt;&gt;"",C691,""))</f>
        <v>27</v>
      </c>
      <c r="D692" s="34"/>
      <c r="E692" s="34"/>
      <c r="F692" s="34"/>
      <c r="G692" s="34"/>
      <c r="H692" s="34"/>
      <c r="I692" s="35"/>
      <c r="J692" s="35"/>
      <c r="K692" s="36"/>
      <c r="L692" s="26" t="str">
        <f>IF(OR(F692 = "", G692 = ""), "", IF(F692 = "Vara", IFERROR(_xlfn.SINGLE(_xlfn.XLOOKUP(G692, Vöruskrá!A:A, Vöruskrá!E:E, "")), ""), IF(F692 = "Réttur", IFERROR(_xlfn.SINGLE(_xlfn.XLOOKUP(G692, Réttabanki!A:A, Réttabanki!AS:AS, "")), ""), "")))</f>
        <v/>
      </c>
      <c r="M692" s="26" t="str">
        <f>IF(OR(F692 = "", G692 = ""), "", IF(F692 = "Vara", IFERROR(_xlfn.SINGLE(_xlfn.XLOOKUP(G692, Vöruskrá!A:A, Vöruskrá!F:F, "")), ""), IF(F692 = "Réttur", IFERROR(_xlfn.SINGLE(_xlfn.XLOOKUP(G692, Réttabanki!A:A, Réttabanki!AT:AT, "")), ""), "")))</f>
        <v/>
      </c>
      <c r="N692" s="26" t="str">
        <f>IF(OR(F692 = "", G692 = ""), "", IF(F692 = "Vara", IFERROR(_xlfn.SINGLE(_xlfn.XLOOKUP(G692, Vöruskrá!A:A, Vöruskrá!G:G, "")), ""), IF(F692 = "Réttur", IFERROR(_xlfn.SINGLE(_xlfn.XLOOKUP(G692, Réttabanki!A:A, Réttabanki!AU:AU, "")), ""), "")))</f>
        <v/>
      </c>
      <c r="O692" s="26" t="str">
        <f>IF(OR(F692 = "", G692 = "", I692 = ""), "", IF(F692 = "Vara", IFERROR(_xlfn.SINGLE(_xlfn.XLOOKUP(G692, Vöruskrá!A:A, Vöruskrá!I:I, "")) * I692 / 100, ""), IF(F692 = "Réttur", IFERROR(_xlfn.SINGLE(_xlfn.XLOOKUP(G692, Réttabanki!A:A, Réttabanki!AV:AV, "")) * I692 / 100, ""), "")))</f>
        <v/>
      </c>
      <c r="P692" s="26" t="str">
        <f>IF(OR(F692 = "", G692 = "", I692 = ""), "", IF(F692 = "Vara", IFERROR(_xlfn.SINGLE(_xlfn.XLOOKUP(G692, Vöruskrá!A:A, Vöruskrá!J:J, "")) * I692 / 100, ""), IF(F692 = "Réttur", IFERROR(_xlfn.SINGLE(_xlfn.XLOOKUP(G692, Réttabanki!A:A, Réttabanki!AW:AW, "")) * I692 / 100, ""), "")))</f>
        <v/>
      </c>
      <c r="Q692" s="26" t="str">
        <f>IF(OR(F692 = "", G692 = "", I692 = ""), "", IF(F692 = "Vara", IFERROR(_xlfn.SINGLE(_xlfn.XLOOKUP(G692, Vöruskrá!A:A, Vöruskrá!N:N, "")) * I692 / 100, ""), IF(F692 = "Réttur", IFERROR(_xlfn.SINGLE(_xlfn.XLOOKUP(G692, Réttabanki!A:A, Réttabanki!BB:BB, "")) * I692 / 100, ""), "")))</f>
        <v/>
      </c>
    </row>
    <row r="693" spans="2:17">
      <c r="B693" s="33" t="str">
        <f>IF(A693&lt;&gt;"",CHOOSE(WEEKDAY(A693,2),"Mánudagur","Þriðjudagur","Miðvikudagur","Fimmtudagur","Föstudagur","Laugardagur","Sunnudagur"),IF(B692&lt;&gt;"",B692,""))</f>
        <v>Fimmtudagur</v>
      </c>
      <c r="C693" s="33">
        <f>IF(A693&lt;&gt;"",WEEKNUM(A693,21),IF(C692&lt;&gt;"",C692,""))</f>
        <v>27</v>
      </c>
      <c r="D693" s="34"/>
      <c r="E693" s="34"/>
      <c r="F693" s="34"/>
      <c r="G693" s="34"/>
      <c r="H693" s="34"/>
      <c r="I693" s="35"/>
      <c r="J693" s="35"/>
      <c r="K693" s="36"/>
      <c r="L693" s="26" t="str">
        <f>IF(OR(F693 = "", G693 = ""), "", IF(F693 = "Vara", IFERROR(_xlfn.SINGLE(_xlfn.XLOOKUP(G693, Vöruskrá!A:A, Vöruskrá!E:E, "")), ""), IF(F693 = "Réttur", IFERROR(_xlfn.SINGLE(_xlfn.XLOOKUP(G693, Réttabanki!A:A, Réttabanki!AS:AS, "")), ""), "")))</f>
        <v/>
      </c>
      <c r="M693" s="26" t="str">
        <f>IF(OR(F693 = "", G693 = ""), "", IF(F693 = "Vara", IFERROR(_xlfn.SINGLE(_xlfn.XLOOKUP(G693, Vöruskrá!A:A, Vöruskrá!F:F, "")), ""), IF(F693 = "Réttur", IFERROR(_xlfn.SINGLE(_xlfn.XLOOKUP(G693, Réttabanki!A:A, Réttabanki!AT:AT, "")), ""), "")))</f>
        <v/>
      </c>
      <c r="N693" s="26" t="str">
        <f>IF(OR(F693 = "", G693 = ""), "", IF(F693 = "Vara", IFERROR(_xlfn.SINGLE(_xlfn.XLOOKUP(G693, Vöruskrá!A:A, Vöruskrá!G:G, "")), ""), IF(F693 = "Réttur", IFERROR(_xlfn.SINGLE(_xlfn.XLOOKUP(G693, Réttabanki!A:A, Réttabanki!AU:AU, "")), ""), "")))</f>
        <v/>
      </c>
      <c r="O693" s="26" t="str">
        <f>IF(OR(F693 = "", G693 = "", I693 = ""), "", IF(F693 = "Vara", IFERROR(_xlfn.SINGLE(_xlfn.XLOOKUP(G693, Vöruskrá!A:A, Vöruskrá!I:I, "")) * I693 / 100, ""), IF(F693 = "Réttur", IFERROR(_xlfn.SINGLE(_xlfn.XLOOKUP(G693, Réttabanki!A:A, Réttabanki!AV:AV, "")) * I693 / 100, ""), "")))</f>
        <v/>
      </c>
      <c r="P693" s="26" t="str">
        <f>IF(OR(F693 = "", G693 = "", I693 = ""), "", IF(F693 = "Vara", IFERROR(_xlfn.SINGLE(_xlfn.XLOOKUP(G693, Vöruskrá!A:A, Vöruskrá!J:J, "")) * I693 / 100, ""), IF(F693 = "Réttur", IFERROR(_xlfn.SINGLE(_xlfn.XLOOKUP(G693, Réttabanki!A:A, Réttabanki!AW:AW, "")) * I693 / 100, ""), "")))</f>
        <v/>
      </c>
      <c r="Q693" s="26" t="str">
        <f>IF(OR(F693 = "", G693 = "", I693 = ""), "", IF(F693 = "Vara", IFERROR(_xlfn.SINGLE(_xlfn.XLOOKUP(G693, Vöruskrá!A:A, Vöruskrá!N:N, "")) * I693 / 100, ""), IF(F693 = "Réttur", IFERROR(_xlfn.SINGLE(_xlfn.XLOOKUP(G693, Réttabanki!A:A, Réttabanki!BB:BB, "")) * I693 / 100, ""), "")))</f>
        <v/>
      </c>
    </row>
    <row r="694" spans="2:17">
      <c r="B694" s="33" t="str">
        <f>IF(A694&lt;&gt;"",CHOOSE(WEEKDAY(A694,2),"Mánudagur","Þriðjudagur","Miðvikudagur","Fimmtudagur","Föstudagur","Laugardagur","Sunnudagur"),IF(B693&lt;&gt;"",B693,""))</f>
        <v>Fimmtudagur</v>
      </c>
      <c r="C694" s="33">
        <f>IF(A694&lt;&gt;"",WEEKNUM(A694,21),IF(C693&lt;&gt;"",C693,""))</f>
        <v>27</v>
      </c>
      <c r="D694" s="34"/>
      <c r="E694" s="34"/>
      <c r="F694" s="34"/>
      <c r="G694" s="34"/>
      <c r="H694" s="34"/>
      <c r="I694" s="35"/>
      <c r="J694" s="35"/>
      <c r="K694" s="36"/>
      <c r="L694" s="26" t="str">
        <f>IF(OR(F694 = "", G694 = ""), "", IF(F694 = "Vara", IFERROR(_xlfn.SINGLE(_xlfn.XLOOKUP(G694, Vöruskrá!A:A, Vöruskrá!E:E, "")), ""), IF(F694 = "Réttur", IFERROR(_xlfn.SINGLE(_xlfn.XLOOKUP(G694, Réttabanki!A:A, Réttabanki!AS:AS, "")), ""), "")))</f>
        <v/>
      </c>
      <c r="M694" s="26" t="str">
        <f>IF(OR(F694 = "", G694 = ""), "", IF(F694 = "Vara", IFERROR(_xlfn.SINGLE(_xlfn.XLOOKUP(G694, Vöruskrá!A:A, Vöruskrá!F:F, "")), ""), IF(F694 = "Réttur", IFERROR(_xlfn.SINGLE(_xlfn.XLOOKUP(G694, Réttabanki!A:A, Réttabanki!AT:AT, "")), ""), "")))</f>
        <v/>
      </c>
      <c r="N694" s="26" t="str">
        <f>IF(OR(F694 = "", G694 = ""), "", IF(F694 = "Vara", IFERROR(_xlfn.SINGLE(_xlfn.XLOOKUP(G694, Vöruskrá!A:A, Vöruskrá!G:G, "")), ""), IF(F694 = "Réttur", IFERROR(_xlfn.SINGLE(_xlfn.XLOOKUP(G694, Réttabanki!A:A, Réttabanki!AU:AU, "")), ""), "")))</f>
        <v/>
      </c>
      <c r="O694" s="26" t="str">
        <f>IF(OR(F694 = "", G694 = "", I694 = ""), "", IF(F694 = "Vara", IFERROR(_xlfn.SINGLE(_xlfn.XLOOKUP(G694, Vöruskrá!A:A, Vöruskrá!I:I, "")) * I694 / 100, ""), IF(F694 = "Réttur", IFERROR(_xlfn.SINGLE(_xlfn.XLOOKUP(G694, Réttabanki!A:A, Réttabanki!AV:AV, "")) * I694 / 100, ""), "")))</f>
        <v/>
      </c>
      <c r="P694" s="26" t="str">
        <f>IF(OR(F694 = "", G694 = "", I694 = ""), "", IF(F694 = "Vara", IFERROR(_xlfn.SINGLE(_xlfn.XLOOKUP(G694, Vöruskrá!A:A, Vöruskrá!J:J, "")) * I694 / 100, ""), IF(F694 = "Réttur", IFERROR(_xlfn.SINGLE(_xlfn.XLOOKUP(G694, Réttabanki!A:A, Réttabanki!AW:AW, "")) * I694 / 100, ""), "")))</f>
        <v/>
      </c>
      <c r="Q694" s="26" t="str">
        <f>IF(OR(F694 = "", G694 = "", I694 = ""), "", IF(F694 = "Vara", IFERROR(_xlfn.SINGLE(_xlfn.XLOOKUP(G694, Vöruskrá!A:A, Vöruskrá!N:N, "")) * I694 / 100, ""), IF(F694 = "Réttur", IFERROR(_xlfn.SINGLE(_xlfn.XLOOKUP(G694, Réttabanki!A:A, Réttabanki!BB:BB, "")) * I694 / 100, ""), "")))</f>
        <v/>
      </c>
    </row>
    <row r="695" spans="2:17">
      <c r="B695" s="33" t="str">
        <f>IF(A695&lt;&gt;"",CHOOSE(WEEKDAY(A695,2),"Mánudagur","Þriðjudagur","Miðvikudagur","Fimmtudagur","Föstudagur","Laugardagur","Sunnudagur"),IF(B694&lt;&gt;"",B694,""))</f>
        <v>Fimmtudagur</v>
      </c>
      <c r="C695" s="33">
        <f>IF(A695&lt;&gt;"",WEEKNUM(A695,21),IF(C694&lt;&gt;"",C694,""))</f>
        <v>27</v>
      </c>
      <c r="D695" s="34"/>
      <c r="E695" s="34"/>
      <c r="F695" s="34"/>
      <c r="G695" s="34"/>
      <c r="H695" s="34"/>
      <c r="I695" s="35"/>
      <c r="J695" s="35"/>
      <c r="K695" s="36"/>
      <c r="L695" s="26" t="str">
        <f>IF(OR(F695 = "", G695 = ""), "", IF(F695 = "Vara", IFERROR(_xlfn.SINGLE(_xlfn.XLOOKUP(G695, Vöruskrá!A:A, Vöruskrá!E:E, "")), ""), IF(F695 = "Réttur", IFERROR(_xlfn.SINGLE(_xlfn.XLOOKUP(G695, Réttabanki!A:A, Réttabanki!AS:AS, "")), ""), "")))</f>
        <v/>
      </c>
      <c r="M695" s="26" t="str">
        <f>IF(OR(F695 = "", G695 = ""), "", IF(F695 = "Vara", IFERROR(_xlfn.SINGLE(_xlfn.XLOOKUP(G695, Vöruskrá!A:A, Vöruskrá!F:F, "")), ""), IF(F695 = "Réttur", IFERROR(_xlfn.SINGLE(_xlfn.XLOOKUP(G695, Réttabanki!A:A, Réttabanki!AT:AT, "")), ""), "")))</f>
        <v/>
      </c>
      <c r="N695" s="26" t="str">
        <f>IF(OR(F695 = "", G695 = ""), "", IF(F695 = "Vara", IFERROR(_xlfn.SINGLE(_xlfn.XLOOKUP(G695, Vöruskrá!A:A, Vöruskrá!G:G, "")), ""), IF(F695 = "Réttur", IFERROR(_xlfn.SINGLE(_xlfn.XLOOKUP(G695, Réttabanki!A:A, Réttabanki!AU:AU, "")), ""), "")))</f>
        <v/>
      </c>
      <c r="O695" s="26" t="str">
        <f>IF(OR(F695 = "", G695 = "", I695 = ""), "", IF(F695 = "Vara", IFERROR(_xlfn.SINGLE(_xlfn.XLOOKUP(G695, Vöruskrá!A:A, Vöruskrá!I:I, "")) * I695 / 100, ""), IF(F695 = "Réttur", IFERROR(_xlfn.SINGLE(_xlfn.XLOOKUP(G695, Réttabanki!A:A, Réttabanki!AV:AV, "")) * I695 / 100, ""), "")))</f>
        <v/>
      </c>
      <c r="P695" s="26" t="str">
        <f>IF(OR(F695 = "", G695 = "", I695 = ""), "", IF(F695 = "Vara", IFERROR(_xlfn.SINGLE(_xlfn.XLOOKUP(G695, Vöruskrá!A:A, Vöruskrá!J:J, "")) * I695 / 100, ""), IF(F695 = "Réttur", IFERROR(_xlfn.SINGLE(_xlfn.XLOOKUP(G695, Réttabanki!A:A, Réttabanki!AW:AW, "")) * I695 / 100, ""), "")))</f>
        <v/>
      </c>
      <c r="Q695" s="26" t="str">
        <f>IF(OR(F695 = "", G695 = "", I695 = ""), "", IF(F695 = "Vara", IFERROR(_xlfn.SINGLE(_xlfn.XLOOKUP(G695, Vöruskrá!A:A, Vöruskrá!N:N, "")) * I695 / 100, ""), IF(F695 = "Réttur", IFERROR(_xlfn.SINGLE(_xlfn.XLOOKUP(G695, Réttabanki!A:A, Réttabanki!BB:BB, "")) * I695 / 100, ""), "")))</f>
        <v/>
      </c>
    </row>
    <row r="696" spans="2:17">
      <c r="B696" s="33" t="str">
        <f>IF(A696&lt;&gt;"",CHOOSE(WEEKDAY(A696,2),"Mánudagur","Þriðjudagur","Miðvikudagur","Fimmtudagur","Föstudagur","Laugardagur","Sunnudagur"),IF(B695&lt;&gt;"",B695,""))</f>
        <v>Fimmtudagur</v>
      </c>
      <c r="C696" s="33">
        <f>IF(A696&lt;&gt;"",WEEKNUM(A696,21),IF(C695&lt;&gt;"",C695,""))</f>
        <v>27</v>
      </c>
      <c r="D696" s="34"/>
      <c r="E696" s="34"/>
      <c r="F696" s="34"/>
      <c r="G696" s="34"/>
      <c r="H696" s="34"/>
      <c r="I696" s="35"/>
      <c r="J696" s="35"/>
      <c r="K696" s="36"/>
      <c r="L696" s="26" t="str">
        <f>IF(OR(F696 = "", G696 = ""), "", IF(F696 = "Vara", IFERROR(_xlfn.SINGLE(_xlfn.XLOOKUP(G696, Vöruskrá!A:A, Vöruskrá!E:E, "")), ""), IF(F696 = "Réttur", IFERROR(_xlfn.SINGLE(_xlfn.XLOOKUP(G696, Réttabanki!A:A, Réttabanki!AS:AS, "")), ""), "")))</f>
        <v/>
      </c>
      <c r="M696" s="26" t="str">
        <f>IF(OR(F696 = "", G696 = ""), "", IF(F696 = "Vara", IFERROR(_xlfn.SINGLE(_xlfn.XLOOKUP(G696, Vöruskrá!A:A, Vöruskrá!F:F, "")), ""), IF(F696 = "Réttur", IFERROR(_xlfn.SINGLE(_xlfn.XLOOKUP(G696, Réttabanki!A:A, Réttabanki!AT:AT, "")), ""), "")))</f>
        <v/>
      </c>
      <c r="N696" s="26" t="str">
        <f>IF(OR(F696 = "", G696 = ""), "", IF(F696 = "Vara", IFERROR(_xlfn.SINGLE(_xlfn.XLOOKUP(G696, Vöruskrá!A:A, Vöruskrá!G:G, "")), ""), IF(F696 = "Réttur", IFERROR(_xlfn.SINGLE(_xlfn.XLOOKUP(G696, Réttabanki!A:A, Réttabanki!AU:AU, "")), ""), "")))</f>
        <v/>
      </c>
      <c r="O696" s="26" t="str">
        <f>IF(OR(F696 = "", G696 = "", I696 = ""), "", IF(F696 = "Vara", IFERROR(_xlfn.SINGLE(_xlfn.XLOOKUP(G696, Vöruskrá!A:A, Vöruskrá!I:I, "")) * I696 / 100, ""), IF(F696 = "Réttur", IFERROR(_xlfn.SINGLE(_xlfn.XLOOKUP(G696, Réttabanki!A:A, Réttabanki!AV:AV, "")) * I696 / 100, ""), "")))</f>
        <v/>
      </c>
      <c r="P696" s="26" t="str">
        <f>IF(OR(F696 = "", G696 = "", I696 = ""), "", IF(F696 = "Vara", IFERROR(_xlfn.SINGLE(_xlfn.XLOOKUP(G696, Vöruskrá!A:A, Vöruskrá!J:J, "")) * I696 / 100, ""), IF(F696 = "Réttur", IFERROR(_xlfn.SINGLE(_xlfn.XLOOKUP(G696, Réttabanki!A:A, Réttabanki!AW:AW, "")) * I696 / 100, ""), "")))</f>
        <v/>
      </c>
      <c r="Q696" s="26" t="str">
        <f>IF(OR(F696 = "", G696 = "", I696 = ""), "", IF(F696 = "Vara", IFERROR(_xlfn.SINGLE(_xlfn.XLOOKUP(G696, Vöruskrá!A:A, Vöruskrá!N:N, "")) * I696 / 100, ""), IF(F696 = "Réttur", IFERROR(_xlfn.SINGLE(_xlfn.XLOOKUP(G696, Réttabanki!A:A, Réttabanki!BB:BB, "")) * I696 / 100, ""), "")))</f>
        <v/>
      </c>
    </row>
    <row r="697" spans="2:17">
      <c r="B697" s="33" t="str">
        <f>IF(A697&lt;&gt;"",CHOOSE(WEEKDAY(A697,2),"Mánudagur","Þriðjudagur","Miðvikudagur","Fimmtudagur","Föstudagur","Laugardagur","Sunnudagur"),IF(B696&lt;&gt;"",B696,""))</f>
        <v>Fimmtudagur</v>
      </c>
      <c r="C697" s="33">
        <f>IF(A697&lt;&gt;"",WEEKNUM(A697,21),IF(C696&lt;&gt;"",C696,""))</f>
        <v>27</v>
      </c>
      <c r="D697" s="34"/>
      <c r="E697" s="34"/>
      <c r="F697" s="34"/>
      <c r="G697" s="34"/>
      <c r="H697" s="34"/>
      <c r="I697" s="35"/>
      <c r="J697" s="35"/>
      <c r="K697" s="36"/>
      <c r="L697" s="26" t="str">
        <f>IF(OR(F697 = "", G697 = ""), "", IF(F697 = "Vara", IFERROR(_xlfn.SINGLE(_xlfn.XLOOKUP(G697, Vöruskrá!A:A, Vöruskrá!E:E, "")), ""), IF(F697 = "Réttur", IFERROR(_xlfn.SINGLE(_xlfn.XLOOKUP(G697, Réttabanki!A:A, Réttabanki!AS:AS, "")), ""), "")))</f>
        <v/>
      </c>
      <c r="M697" s="26" t="str">
        <f>IF(OR(F697 = "", G697 = ""), "", IF(F697 = "Vara", IFERROR(_xlfn.SINGLE(_xlfn.XLOOKUP(G697, Vöruskrá!A:A, Vöruskrá!F:F, "")), ""), IF(F697 = "Réttur", IFERROR(_xlfn.SINGLE(_xlfn.XLOOKUP(G697, Réttabanki!A:A, Réttabanki!AT:AT, "")), ""), "")))</f>
        <v/>
      </c>
      <c r="N697" s="26" t="str">
        <f>IF(OR(F697 = "", G697 = ""), "", IF(F697 = "Vara", IFERROR(_xlfn.SINGLE(_xlfn.XLOOKUP(G697, Vöruskrá!A:A, Vöruskrá!G:G, "")), ""), IF(F697 = "Réttur", IFERROR(_xlfn.SINGLE(_xlfn.XLOOKUP(G697, Réttabanki!A:A, Réttabanki!AU:AU, "")), ""), "")))</f>
        <v/>
      </c>
      <c r="O697" s="26" t="str">
        <f>IF(OR(F697 = "", G697 = "", I697 = ""), "", IF(F697 = "Vara", IFERROR(_xlfn.SINGLE(_xlfn.XLOOKUP(G697, Vöruskrá!A:A, Vöruskrá!I:I, "")) * I697 / 100, ""), IF(F697 = "Réttur", IFERROR(_xlfn.SINGLE(_xlfn.XLOOKUP(G697, Réttabanki!A:A, Réttabanki!AV:AV, "")) * I697 / 100, ""), "")))</f>
        <v/>
      </c>
      <c r="P697" s="26" t="str">
        <f>IF(OR(F697 = "", G697 = "", I697 = ""), "", IF(F697 = "Vara", IFERROR(_xlfn.SINGLE(_xlfn.XLOOKUP(G697, Vöruskrá!A:A, Vöruskrá!J:J, "")) * I697 / 100, ""), IF(F697 = "Réttur", IFERROR(_xlfn.SINGLE(_xlfn.XLOOKUP(G697, Réttabanki!A:A, Réttabanki!AW:AW, "")) * I697 / 100, ""), "")))</f>
        <v/>
      </c>
      <c r="Q697" s="26" t="str">
        <f>IF(OR(F697 = "", G697 = "", I697 = ""), "", IF(F697 = "Vara", IFERROR(_xlfn.SINGLE(_xlfn.XLOOKUP(G697, Vöruskrá!A:A, Vöruskrá!N:N, "")) * I697 / 100, ""), IF(F697 = "Réttur", IFERROR(_xlfn.SINGLE(_xlfn.XLOOKUP(G697, Réttabanki!A:A, Réttabanki!BB:BB, "")) * I697 / 100, ""), "")))</f>
        <v/>
      </c>
    </row>
    <row r="698" spans="2:17">
      <c r="B698" s="33" t="str">
        <f>IF(A698&lt;&gt;"",CHOOSE(WEEKDAY(A698,2),"Mánudagur","Þriðjudagur","Miðvikudagur","Fimmtudagur","Föstudagur","Laugardagur","Sunnudagur"),IF(B697&lt;&gt;"",B697,""))</f>
        <v>Fimmtudagur</v>
      </c>
      <c r="C698" s="33">
        <f>IF(A698&lt;&gt;"",WEEKNUM(A698,21),IF(C697&lt;&gt;"",C697,""))</f>
        <v>27</v>
      </c>
      <c r="D698" s="34"/>
      <c r="E698" s="34"/>
      <c r="F698" s="34"/>
      <c r="G698" s="34"/>
      <c r="H698" s="34"/>
      <c r="I698" s="35"/>
      <c r="J698" s="35"/>
      <c r="K698" s="36"/>
      <c r="L698" s="26" t="str">
        <f>IF(OR(F698 = "", G698 = ""), "", IF(F698 = "Vara", IFERROR(_xlfn.SINGLE(_xlfn.XLOOKUP(G698, Vöruskrá!A:A, Vöruskrá!E:E, "")), ""), IF(F698 = "Réttur", IFERROR(_xlfn.SINGLE(_xlfn.XLOOKUP(G698, Réttabanki!A:A, Réttabanki!AS:AS, "")), ""), "")))</f>
        <v/>
      </c>
      <c r="M698" s="26" t="str">
        <f>IF(OR(F698 = "", G698 = ""), "", IF(F698 = "Vara", IFERROR(_xlfn.SINGLE(_xlfn.XLOOKUP(G698, Vöruskrá!A:A, Vöruskrá!F:F, "")), ""), IF(F698 = "Réttur", IFERROR(_xlfn.SINGLE(_xlfn.XLOOKUP(G698, Réttabanki!A:A, Réttabanki!AT:AT, "")), ""), "")))</f>
        <v/>
      </c>
      <c r="N698" s="26" t="str">
        <f>IF(OR(F698 = "", G698 = ""), "", IF(F698 = "Vara", IFERROR(_xlfn.SINGLE(_xlfn.XLOOKUP(G698, Vöruskrá!A:A, Vöruskrá!G:G, "")), ""), IF(F698 = "Réttur", IFERROR(_xlfn.SINGLE(_xlfn.XLOOKUP(G698, Réttabanki!A:A, Réttabanki!AU:AU, "")), ""), "")))</f>
        <v/>
      </c>
      <c r="O698" s="26" t="str">
        <f>IF(OR(F698 = "", G698 = "", I698 = ""), "", IF(F698 = "Vara", IFERROR(_xlfn.SINGLE(_xlfn.XLOOKUP(G698, Vöruskrá!A:A, Vöruskrá!I:I, "")) * I698 / 100, ""), IF(F698 = "Réttur", IFERROR(_xlfn.SINGLE(_xlfn.XLOOKUP(G698, Réttabanki!A:A, Réttabanki!AV:AV, "")) * I698 / 100, ""), "")))</f>
        <v/>
      </c>
      <c r="P698" s="26" t="str">
        <f>IF(OR(F698 = "", G698 = "", I698 = ""), "", IF(F698 = "Vara", IFERROR(_xlfn.SINGLE(_xlfn.XLOOKUP(G698, Vöruskrá!A:A, Vöruskrá!J:J, "")) * I698 / 100, ""), IF(F698 = "Réttur", IFERROR(_xlfn.SINGLE(_xlfn.XLOOKUP(G698, Réttabanki!A:A, Réttabanki!AW:AW, "")) * I698 / 100, ""), "")))</f>
        <v/>
      </c>
      <c r="Q698" s="26" t="str">
        <f>IF(OR(F698 = "", G698 = "", I698 = ""), "", IF(F698 = "Vara", IFERROR(_xlfn.SINGLE(_xlfn.XLOOKUP(G698, Vöruskrá!A:A, Vöruskrá!N:N, "")) * I698 / 100, ""), IF(F698 = "Réttur", IFERROR(_xlfn.SINGLE(_xlfn.XLOOKUP(G698, Réttabanki!A:A, Réttabanki!BB:BB, "")) * I698 / 100, ""), "")))</f>
        <v/>
      </c>
    </row>
    <row r="699" spans="2:17">
      <c r="B699" s="33" t="str">
        <f>IF(A699&lt;&gt;"",CHOOSE(WEEKDAY(A699,2),"Mánudagur","Þriðjudagur","Miðvikudagur","Fimmtudagur","Föstudagur","Laugardagur","Sunnudagur"),IF(B698&lt;&gt;"",B698,""))</f>
        <v>Fimmtudagur</v>
      </c>
      <c r="C699" s="33">
        <f>IF(A699&lt;&gt;"",WEEKNUM(A699,21),IF(C698&lt;&gt;"",C698,""))</f>
        <v>27</v>
      </c>
      <c r="D699" s="34"/>
      <c r="E699" s="34"/>
      <c r="F699" s="34"/>
      <c r="G699" s="34"/>
      <c r="H699" s="34"/>
      <c r="I699" s="35"/>
      <c r="J699" s="35"/>
      <c r="K699" s="36"/>
      <c r="L699" s="26" t="str">
        <f>IF(OR(F699 = "", G699 = ""), "", IF(F699 = "Vara", IFERROR(_xlfn.SINGLE(_xlfn.XLOOKUP(G699, Vöruskrá!A:A, Vöruskrá!E:E, "")), ""), IF(F699 = "Réttur", IFERROR(_xlfn.SINGLE(_xlfn.XLOOKUP(G699, Réttabanki!A:A, Réttabanki!AS:AS, "")), ""), "")))</f>
        <v/>
      </c>
      <c r="M699" s="26" t="str">
        <f>IF(OR(F699 = "", G699 = ""), "", IF(F699 = "Vara", IFERROR(_xlfn.SINGLE(_xlfn.XLOOKUP(G699, Vöruskrá!A:A, Vöruskrá!F:F, "")), ""), IF(F699 = "Réttur", IFERROR(_xlfn.SINGLE(_xlfn.XLOOKUP(G699, Réttabanki!A:A, Réttabanki!AT:AT, "")), ""), "")))</f>
        <v/>
      </c>
      <c r="N699" s="26" t="str">
        <f>IF(OR(F699 = "", G699 = ""), "", IF(F699 = "Vara", IFERROR(_xlfn.SINGLE(_xlfn.XLOOKUP(G699, Vöruskrá!A:A, Vöruskrá!G:G, "")), ""), IF(F699 = "Réttur", IFERROR(_xlfn.SINGLE(_xlfn.XLOOKUP(G699, Réttabanki!A:A, Réttabanki!AU:AU, "")), ""), "")))</f>
        <v/>
      </c>
      <c r="O699" s="26" t="str">
        <f>IF(OR(F699 = "", G699 = "", I699 = ""), "", IF(F699 = "Vara", IFERROR(_xlfn.SINGLE(_xlfn.XLOOKUP(G699, Vöruskrá!A:A, Vöruskrá!I:I, "")) * I699 / 100, ""), IF(F699 = "Réttur", IFERROR(_xlfn.SINGLE(_xlfn.XLOOKUP(G699, Réttabanki!A:A, Réttabanki!AV:AV, "")) * I699 / 100, ""), "")))</f>
        <v/>
      </c>
      <c r="P699" s="26" t="str">
        <f>IF(OR(F699 = "", G699 = "", I699 = ""), "", IF(F699 = "Vara", IFERROR(_xlfn.SINGLE(_xlfn.XLOOKUP(G699, Vöruskrá!A:A, Vöruskrá!J:J, "")) * I699 / 100, ""), IF(F699 = "Réttur", IFERROR(_xlfn.SINGLE(_xlfn.XLOOKUP(G699, Réttabanki!A:A, Réttabanki!AW:AW, "")) * I699 / 100, ""), "")))</f>
        <v/>
      </c>
      <c r="Q699" s="26" t="str">
        <f>IF(OR(F699 = "", G699 = "", I699 = ""), "", IF(F699 = "Vara", IFERROR(_xlfn.SINGLE(_xlfn.XLOOKUP(G699, Vöruskrá!A:A, Vöruskrá!N:N, "")) * I699 / 100, ""), IF(F699 = "Réttur", IFERROR(_xlfn.SINGLE(_xlfn.XLOOKUP(G699, Réttabanki!A:A, Réttabanki!BB:BB, "")) * I699 / 100, ""), "")))</f>
        <v/>
      </c>
    </row>
    <row r="700" spans="2:17">
      <c r="B700" s="33" t="str">
        <f>IF(A700&lt;&gt;"",CHOOSE(WEEKDAY(A700,2),"Mánudagur","Þriðjudagur","Miðvikudagur","Fimmtudagur","Föstudagur","Laugardagur","Sunnudagur"),IF(B699&lt;&gt;"",B699,""))</f>
        <v>Fimmtudagur</v>
      </c>
      <c r="C700" s="33">
        <f>IF(A700&lt;&gt;"",WEEKNUM(A700,21),IF(C699&lt;&gt;"",C699,""))</f>
        <v>27</v>
      </c>
      <c r="D700" s="34"/>
      <c r="E700" s="34"/>
      <c r="F700" s="34"/>
      <c r="G700" s="34"/>
      <c r="H700" s="34"/>
      <c r="I700" s="35"/>
      <c r="J700" s="35"/>
      <c r="K700" s="36"/>
      <c r="L700" s="26" t="str">
        <f>IF(OR(F700 = "", G700 = ""), "", IF(F700 = "Vara", IFERROR(_xlfn.SINGLE(_xlfn.XLOOKUP(G700, Vöruskrá!A:A, Vöruskrá!E:E, "")), ""), IF(F700 = "Réttur", IFERROR(_xlfn.SINGLE(_xlfn.XLOOKUP(G700, Réttabanki!A:A, Réttabanki!AS:AS, "")), ""), "")))</f>
        <v/>
      </c>
      <c r="M700" s="26" t="str">
        <f>IF(OR(F700 = "", G700 = ""), "", IF(F700 = "Vara", IFERROR(_xlfn.SINGLE(_xlfn.XLOOKUP(G700, Vöruskrá!A:A, Vöruskrá!F:F, "")), ""), IF(F700 = "Réttur", IFERROR(_xlfn.SINGLE(_xlfn.XLOOKUP(G700, Réttabanki!A:A, Réttabanki!AT:AT, "")), ""), "")))</f>
        <v/>
      </c>
      <c r="N700" s="26" t="str">
        <f>IF(OR(F700 = "", G700 = ""), "", IF(F700 = "Vara", IFERROR(_xlfn.SINGLE(_xlfn.XLOOKUP(G700, Vöruskrá!A:A, Vöruskrá!G:G, "")), ""), IF(F700 = "Réttur", IFERROR(_xlfn.SINGLE(_xlfn.XLOOKUP(G700, Réttabanki!A:A, Réttabanki!AU:AU, "")), ""), "")))</f>
        <v/>
      </c>
      <c r="O700" s="26" t="str">
        <f>IF(OR(F700 = "", G700 = "", I700 = ""), "", IF(F700 = "Vara", IFERROR(_xlfn.SINGLE(_xlfn.XLOOKUP(G700, Vöruskrá!A:A, Vöruskrá!I:I, "")) * I700 / 100, ""), IF(F700 = "Réttur", IFERROR(_xlfn.SINGLE(_xlfn.XLOOKUP(G700, Réttabanki!A:A, Réttabanki!AV:AV, "")) * I700 / 100, ""), "")))</f>
        <v/>
      </c>
      <c r="P700" s="26" t="str">
        <f>IF(OR(F700 = "", G700 = "", I700 = ""), "", IF(F700 = "Vara", IFERROR(_xlfn.SINGLE(_xlfn.XLOOKUP(G700, Vöruskrá!A:A, Vöruskrá!J:J, "")) * I700 / 100, ""), IF(F700 = "Réttur", IFERROR(_xlfn.SINGLE(_xlfn.XLOOKUP(G700, Réttabanki!A:A, Réttabanki!AW:AW, "")) * I700 / 100, ""), "")))</f>
        <v/>
      </c>
      <c r="Q700" s="26" t="str">
        <f>IF(OR(F700 = "", G700 = "", I700 = ""), "", IF(F700 = "Vara", IFERROR(_xlfn.SINGLE(_xlfn.XLOOKUP(G700, Vöruskrá!A:A, Vöruskrá!N:N, "")) * I700 / 100, ""), IF(F700 = "Réttur", IFERROR(_xlfn.SINGLE(_xlfn.XLOOKUP(G700, Réttabanki!A:A, Réttabanki!BB:BB, "")) * I700 / 100, ""), "")))</f>
        <v/>
      </c>
    </row>
    <row r="701" spans="2:17">
      <c r="B701" s="33" t="str">
        <f>IF(A701&lt;&gt;"",CHOOSE(WEEKDAY(A701,2),"Mánudagur","Þriðjudagur","Miðvikudagur","Fimmtudagur","Föstudagur","Laugardagur","Sunnudagur"),IF(B700&lt;&gt;"",B700,""))</f>
        <v>Fimmtudagur</v>
      </c>
      <c r="C701" s="33">
        <f>IF(A701&lt;&gt;"",WEEKNUM(A701,21),IF(C700&lt;&gt;"",C700,""))</f>
        <v>27</v>
      </c>
      <c r="D701" s="34"/>
      <c r="E701" s="34"/>
      <c r="F701" s="34"/>
      <c r="G701" s="34"/>
      <c r="H701" s="34"/>
      <c r="I701" s="35"/>
      <c r="J701" s="35"/>
      <c r="K701" s="36"/>
      <c r="L701" s="26" t="str">
        <f>IF(OR(F701 = "", G701 = ""), "", IF(F701 = "Vara", IFERROR(_xlfn.SINGLE(_xlfn.XLOOKUP(G701, Vöruskrá!A:A, Vöruskrá!E:E, "")), ""), IF(F701 = "Réttur", IFERROR(_xlfn.SINGLE(_xlfn.XLOOKUP(G701, Réttabanki!A:A, Réttabanki!AS:AS, "")), ""), "")))</f>
        <v/>
      </c>
      <c r="M701" s="26" t="str">
        <f>IF(OR(F701 = "", G701 = ""), "", IF(F701 = "Vara", IFERROR(_xlfn.SINGLE(_xlfn.XLOOKUP(G701, Vöruskrá!A:A, Vöruskrá!F:F, "")), ""), IF(F701 = "Réttur", IFERROR(_xlfn.SINGLE(_xlfn.XLOOKUP(G701, Réttabanki!A:A, Réttabanki!AT:AT, "")), ""), "")))</f>
        <v/>
      </c>
      <c r="N701" s="26" t="str">
        <f>IF(OR(F701 = "", G701 = ""), "", IF(F701 = "Vara", IFERROR(_xlfn.SINGLE(_xlfn.XLOOKUP(G701, Vöruskrá!A:A, Vöruskrá!G:G, "")), ""), IF(F701 = "Réttur", IFERROR(_xlfn.SINGLE(_xlfn.XLOOKUP(G701, Réttabanki!A:A, Réttabanki!AU:AU, "")), ""), "")))</f>
        <v/>
      </c>
      <c r="O701" s="26" t="str">
        <f>IF(OR(F701 = "", G701 = "", I701 = ""), "", IF(F701 = "Vara", IFERROR(_xlfn.SINGLE(_xlfn.XLOOKUP(G701, Vöruskrá!A:A, Vöruskrá!I:I, "")) * I701 / 100, ""), IF(F701 = "Réttur", IFERROR(_xlfn.SINGLE(_xlfn.XLOOKUP(G701, Réttabanki!A:A, Réttabanki!AV:AV, "")) * I701 / 100, ""), "")))</f>
        <v/>
      </c>
      <c r="P701" s="26" t="str">
        <f>IF(OR(F701 = "", G701 = "", I701 = ""), "", IF(F701 = "Vara", IFERROR(_xlfn.SINGLE(_xlfn.XLOOKUP(G701, Vöruskrá!A:A, Vöruskrá!J:J, "")) * I701 / 100, ""), IF(F701 = "Réttur", IFERROR(_xlfn.SINGLE(_xlfn.XLOOKUP(G701, Réttabanki!A:A, Réttabanki!AW:AW, "")) * I701 / 100, ""), "")))</f>
        <v/>
      </c>
      <c r="Q701" s="26" t="str">
        <f>IF(OR(F701 = "", G701 = "", I701 = ""), "", IF(F701 = "Vara", IFERROR(_xlfn.SINGLE(_xlfn.XLOOKUP(G701, Vöruskrá!A:A, Vöruskrá!N:N, "")) * I701 / 100, ""), IF(F701 = "Réttur", IFERROR(_xlfn.SINGLE(_xlfn.XLOOKUP(G701, Réttabanki!A:A, Réttabanki!BB:BB, "")) * I701 / 100, ""), "")))</f>
        <v/>
      </c>
    </row>
    <row r="702" spans="2:17">
      <c r="B702" s="33" t="str">
        <f>IF(A702&lt;&gt;"",CHOOSE(WEEKDAY(A702,2),"Mánudagur","Þriðjudagur","Miðvikudagur","Fimmtudagur","Föstudagur","Laugardagur","Sunnudagur"),IF(B701&lt;&gt;"",B701,""))</f>
        <v>Fimmtudagur</v>
      </c>
      <c r="C702" s="33">
        <f>IF(A702&lt;&gt;"",WEEKNUM(A702,21),IF(C701&lt;&gt;"",C701,""))</f>
        <v>27</v>
      </c>
      <c r="D702" s="34"/>
      <c r="E702" s="34"/>
      <c r="F702" s="34"/>
      <c r="G702" s="34"/>
      <c r="H702" s="34"/>
      <c r="I702" s="35"/>
      <c r="J702" s="35"/>
      <c r="K702" s="36"/>
      <c r="L702" s="26" t="str">
        <f>IF(OR(F702 = "", G702 = ""), "", IF(F702 = "Vara", IFERROR(_xlfn.SINGLE(_xlfn.XLOOKUP(G702, Vöruskrá!A:A, Vöruskrá!E:E, "")), ""), IF(F702 = "Réttur", IFERROR(_xlfn.SINGLE(_xlfn.XLOOKUP(G702, Réttabanki!A:A, Réttabanki!AS:AS, "")), ""), "")))</f>
        <v/>
      </c>
      <c r="M702" s="26" t="str">
        <f>IF(OR(F702 = "", G702 = ""), "", IF(F702 = "Vara", IFERROR(_xlfn.SINGLE(_xlfn.XLOOKUP(G702, Vöruskrá!A:A, Vöruskrá!F:F, "")), ""), IF(F702 = "Réttur", IFERROR(_xlfn.SINGLE(_xlfn.XLOOKUP(G702, Réttabanki!A:A, Réttabanki!AT:AT, "")), ""), "")))</f>
        <v/>
      </c>
      <c r="N702" s="26" t="str">
        <f>IF(OR(F702 = "", G702 = ""), "", IF(F702 = "Vara", IFERROR(_xlfn.SINGLE(_xlfn.XLOOKUP(G702, Vöruskrá!A:A, Vöruskrá!G:G, "")), ""), IF(F702 = "Réttur", IFERROR(_xlfn.SINGLE(_xlfn.XLOOKUP(G702, Réttabanki!A:A, Réttabanki!AU:AU, "")), ""), "")))</f>
        <v/>
      </c>
      <c r="O702" s="26" t="str">
        <f>IF(OR(F702 = "", G702 = "", I702 = ""), "", IF(F702 = "Vara", IFERROR(_xlfn.SINGLE(_xlfn.XLOOKUP(G702, Vöruskrá!A:A, Vöruskrá!I:I, "")) * I702 / 100, ""), IF(F702 = "Réttur", IFERROR(_xlfn.SINGLE(_xlfn.XLOOKUP(G702, Réttabanki!A:A, Réttabanki!AV:AV, "")) * I702 / 100, ""), "")))</f>
        <v/>
      </c>
      <c r="P702" s="26" t="str">
        <f>IF(OR(F702 = "", G702 = "", I702 = ""), "", IF(F702 = "Vara", IFERROR(_xlfn.SINGLE(_xlfn.XLOOKUP(G702, Vöruskrá!A:A, Vöruskrá!J:J, "")) * I702 / 100, ""), IF(F702 = "Réttur", IFERROR(_xlfn.SINGLE(_xlfn.XLOOKUP(G702, Réttabanki!A:A, Réttabanki!AW:AW, "")) * I702 / 100, ""), "")))</f>
        <v/>
      </c>
      <c r="Q702" s="26" t="str">
        <f>IF(OR(F702 = "", G702 = "", I702 = ""), "", IF(F702 = "Vara", IFERROR(_xlfn.SINGLE(_xlfn.XLOOKUP(G702, Vöruskrá!A:A, Vöruskrá!N:N, "")) * I702 / 100, ""), IF(F702 = "Réttur", IFERROR(_xlfn.SINGLE(_xlfn.XLOOKUP(G702, Réttabanki!A:A, Réttabanki!BB:BB, "")) * I702 / 100, ""), "")))</f>
        <v/>
      </c>
    </row>
    <row r="703" spans="2:17">
      <c r="B703" s="33" t="str">
        <f>IF(A703&lt;&gt;"",CHOOSE(WEEKDAY(A703,2),"Mánudagur","Þriðjudagur","Miðvikudagur","Fimmtudagur","Föstudagur","Laugardagur","Sunnudagur"),IF(B702&lt;&gt;"",B702,""))</f>
        <v>Fimmtudagur</v>
      </c>
      <c r="C703" s="33">
        <f>IF(A703&lt;&gt;"",WEEKNUM(A703,21),IF(C702&lt;&gt;"",C702,""))</f>
        <v>27</v>
      </c>
      <c r="D703" s="34"/>
      <c r="E703" s="34"/>
      <c r="F703" s="34"/>
      <c r="G703" s="34"/>
      <c r="H703" s="34"/>
      <c r="I703" s="35"/>
      <c r="J703" s="35"/>
      <c r="K703" s="36"/>
      <c r="L703" s="26" t="str">
        <f>IF(OR(F703 = "", G703 = ""), "", IF(F703 = "Vara", IFERROR(_xlfn.SINGLE(_xlfn.XLOOKUP(G703, Vöruskrá!A:A, Vöruskrá!E:E, "")), ""), IF(F703 = "Réttur", IFERROR(_xlfn.SINGLE(_xlfn.XLOOKUP(G703, Réttabanki!A:A, Réttabanki!AS:AS, "")), ""), "")))</f>
        <v/>
      </c>
      <c r="M703" s="26" t="str">
        <f>IF(OR(F703 = "", G703 = ""), "", IF(F703 = "Vara", IFERROR(_xlfn.SINGLE(_xlfn.XLOOKUP(G703, Vöruskrá!A:A, Vöruskrá!F:F, "")), ""), IF(F703 = "Réttur", IFERROR(_xlfn.SINGLE(_xlfn.XLOOKUP(G703, Réttabanki!A:A, Réttabanki!AT:AT, "")), ""), "")))</f>
        <v/>
      </c>
      <c r="N703" s="26" t="str">
        <f>IF(OR(F703 = "", G703 = ""), "", IF(F703 = "Vara", IFERROR(_xlfn.SINGLE(_xlfn.XLOOKUP(G703, Vöruskrá!A:A, Vöruskrá!G:G, "")), ""), IF(F703 = "Réttur", IFERROR(_xlfn.SINGLE(_xlfn.XLOOKUP(G703, Réttabanki!A:A, Réttabanki!AU:AU, "")), ""), "")))</f>
        <v/>
      </c>
      <c r="O703" s="26" t="str">
        <f>IF(OR(F703 = "", G703 = "", I703 = ""), "", IF(F703 = "Vara", IFERROR(_xlfn.SINGLE(_xlfn.XLOOKUP(G703, Vöruskrá!A:A, Vöruskrá!I:I, "")) * I703 / 100, ""), IF(F703 = "Réttur", IFERROR(_xlfn.SINGLE(_xlfn.XLOOKUP(G703, Réttabanki!A:A, Réttabanki!AV:AV, "")) * I703 / 100, ""), "")))</f>
        <v/>
      </c>
      <c r="P703" s="26" t="str">
        <f>IF(OR(F703 = "", G703 = "", I703 = ""), "", IF(F703 = "Vara", IFERROR(_xlfn.SINGLE(_xlfn.XLOOKUP(G703, Vöruskrá!A:A, Vöruskrá!J:J, "")) * I703 / 100, ""), IF(F703 = "Réttur", IFERROR(_xlfn.SINGLE(_xlfn.XLOOKUP(G703, Réttabanki!A:A, Réttabanki!AW:AW, "")) * I703 / 100, ""), "")))</f>
        <v/>
      </c>
      <c r="Q703" s="26" t="str">
        <f>IF(OR(F703 = "", G703 = "", I703 = ""), "", IF(F703 = "Vara", IFERROR(_xlfn.SINGLE(_xlfn.XLOOKUP(G703, Vöruskrá!A:A, Vöruskrá!N:N, "")) * I703 / 100, ""), IF(F703 = "Réttur", IFERROR(_xlfn.SINGLE(_xlfn.XLOOKUP(G703, Réttabanki!A:A, Réttabanki!BB:BB, "")) * I703 / 100, ""), "")))</f>
        <v/>
      </c>
    </row>
    <row r="704" spans="2:17">
      <c r="B704" s="33" t="str">
        <f>IF(A704&lt;&gt;"",CHOOSE(WEEKDAY(A704,2),"Mánudagur","Þriðjudagur","Miðvikudagur","Fimmtudagur","Föstudagur","Laugardagur","Sunnudagur"),IF(B703&lt;&gt;"",B703,""))</f>
        <v>Fimmtudagur</v>
      </c>
      <c r="C704" s="33">
        <f>IF(A704&lt;&gt;"",WEEKNUM(A704,21),IF(C703&lt;&gt;"",C703,""))</f>
        <v>27</v>
      </c>
      <c r="D704" s="34"/>
      <c r="E704" s="34"/>
      <c r="F704" s="34"/>
      <c r="G704" s="34"/>
      <c r="H704" s="34"/>
      <c r="I704" s="35"/>
      <c r="J704" s="35"/>
      <c r="K704" s="36"/>
      <c r="L704" s="26" t="str">
        <f>IF(OR(F704 = "", G704 = ""), "", IF(F704 = "Vara", IFERROR(_xlfn.SINGLE(_xlfn.XLOOKUP(G704, Vöruskrá!A:A, Vöruskrá!E:E, "")), ""), IF(F704 = "Réttur", IFERROR(_xlfn.SINGLE(_xlfn.XLOOKUP(G704, Réttabanki!A:A, Réttabanki!AS:AS, "")), ""), "")))</f>
        <v/>
      </c>
      <c r="M704" s="26" t="str">
        <f>IF(OR(F704 = "", G704 = ""), "", IF(F704 = "Vara", IFERROR(_xlfn.SINGLE(_xlfn.XLOOKUP(G704, Vöruskrá!A:A, Vöruskrá!F:F, "")), ""), IF(F704 = "Réttur", IFERROR(_xlfn.SINGLE(_xlfn.XLOOKUP(G704, Réttabanki!A:A, Réttabanki!AT:AT, "")), ""), "")))</f>
        <v/>
      </c>
      <c r="N704" s="26" t="str">
        <f>IF(OR(F704 = "", G704 = ""), "", IF(F704 = "Vara", IFERROR(_xlfn.SINGLE(_xlfn.XLOOKUP(G704, Vöruskrá!A:A, Vöruskrá!G:G, "")), ""), IF(F704 = "Réttur", IFERROR(_xlfn.SINGLE(_xlfn.XLOOKUP(G704, Réttabanki!A:A, Réttabanki!AU:AU, "")), ""), "")))</f>
        <v/>
      </c>
      <c r="O704" s="26" t="str">
        <f>IF(OR(F704 = "", G704 = "", I704 = ""), "", IF(F704 = "Vara", IFERROR(_xlfn.SINGLE(_xlfn.XLOOKUP(G704, Vöruskrá!A:A, Vöruskrá!I:I, "")) * I704 / 100, ""), IF(F704 = "Réttur", IFERROR(_xlfn.SINGLE(_xlfn.XLOOKUP(G704, Réttabanki!A:A, Réttabanki!AV:AV, "")) * I704 / 100, ""), "")))</f>
        <v/>
      </c>
      <c r="P704" s="26" t="str">
        <f>IF(OR(F704 = "", G704 = "", I704 = ""), "", IF(F704 = "Vara", IFERROR(_xlfn.SINGLE(_xlfn.XLOOKUP(G704, Vöruskrá!A:A, Vöruskrá!J:J, "")) * I704 / 100, ""), IF(F704 = "Réttur", IFERROR(_xlfn.SINGLE(_xlfn.XLOOKUP(G704, Réttabanki!A:A, Réttabanki!AW:AW, "")) * I704 / 100, ""), "")))</f>
        <v/>
      </c>
      <c r="Q704" s="26" t="str">
        <f>IF(OR(F704 = "", G704 = "", I704 = ""), "", IF(F704 = "Vara", IFERROR(_xlfn.SINGLE(_xlfn.XLOOKUP(G704, Vöruskrá!A:A, Vöruskrá!N:N, "")) * I704 / 100, ""), IF(F704 = "Réttur", IFERROR(_xlfn.SINGLE(_xlfn.XLOOKUP(G704, Réttabanki!A:A, Réttabanki!BB:BB, "")) * I704 / 100, ""), "")))</f>
        <v/>
      </c>
    </row>
    <row r="705" spans="2:17">
      <c r="B705" s="33" t="str">
        <f>IF(A705&lt;&gt;"",CHOOSE(WEEKDAY(A705,2),"Mánudagur","Þriðjudagur","Miðvikudagur","Fimmtudagur","Föstudagur","Laugardagur","Sunnudagur"),IF(B704&lt;&gt;"",B704,""))</f>
        <v>Fimmtudagur</v>
      </c>
      <c r="C705" s="33">
        <f>IF(A705&lt;&gt;"",WEEKNUM(A705,21),IF(C704&lt;&gt;"",C704,""))</f>
        <v>27</v>
      </c>
      <c r="D705" s="34"/>
      <c r="E705" s="34"/>
      <c r="F705" s="34"/>
      <c r="G705" s="34"/>
      <c r="H705" s="34"/>
      <c r="I705" s="35"/>
      <c r="J705" s="35"/>
      <c r="K705" s="36"/>
      <c r="L705" s="26" t="str">
        <f>IF(OR(F705 = "", G705 = ""), "", IF(F705 = "Vara", IFERROR(_xlfn.SINGLE(_xlfn.XLOOKUP(G705, Vöruskrá!A:A, Vöruskrá!E:E, "")), ""), IF(F705 = "Réttur", IFERROR(_xlfn.SINGLE(_xlfn.XLOOKUP(G705, Réttabanki!A:A, Réttabanki!AS:AS, "")), ""), "")))</f>
        <v/>
      </c>
      <c r="M705" s="26" t="str">
        <f>IF(OR(F705 = "", G705 = ""), "", IF(F705 = "Vara", IFERROR(_xlfn.SINGLE(_xlfn.XLOOKUP(G705, Vöruskrá!A:A, Vöruskrá!F:F, "")), ""), IF(F705 = "Réttur", IFERROR(_xlfn.SINGLE(_xlfn.XLOOKUP(G705, Réttabanki!A:A, Réttabanki!AT:AT, "")), ""), "")))</f>
        <v/>
      </c>
      <c r="N705" s="26" t="str">
        <f>IF(OR(F705 = "", G705 = ""), "", IF(F705 = "Vara", IFERROR(_xlfn.SINGLE(_xlfn.XLOOKUP(G705, Vöruskrá!A:A, Vöruskrá!G:G, "")), ""), IF(F705 = "Réttur", IFERROR(_xlfn.SINGLE(_xlfn.XLOOKUP(G705, Réttabanki!A:A, Réttabanki!AU:AU, "")), ""), "")))</f>
        <v/>
      </c>
      <c r="O705" s="26" t="str">
        <f>IF(OR(F705 = "", G705 = "", I705 = ""), "", IF(F705 = "Vara", IFERROR(_xlfn.SINGLE(_xlfn.XLOOKUP(G705, Vöruskrá!A:A, Vöruskrá!I:I, "")) * I705 / 100, ""), IF(F705 = "Réttur", IFERROR(_xlfn.SINGLE(_xlfn.XLOOKUP(G705, Réttabanki!A:A, Réttabanki!AV:AV, "")) * I705 / 100, ""), "")))</f>
        <v/>
      </c>
      <c r="P705" s="26" t="str">
        <f>IF(OR(F705 = "", G705 = "", I705 = ""), "", IF(F705 = "Vara", IFERROR(_xlfn.SINGLE(_xlfn.XLOOKUP(G705, Vöruskrá!A:A, Vöruskrá!J:J, "")) * I705 / 100, ""), IF(F705 = "Réttur", IFERROR(_xlfn.SINGLE(_xlfn.XLOOKUP(G705, Réttabanki!A:A, Réttabanki!AW:AW, "")) * I705 / 100, ""), "")))</f>
        <v/>
      </c>
      <c r="Q705" s="26" t="str">
        <f>IF(OR(F705 = "", G705 = "", I705 = ""), "", IF(F705 = "Vara", IFERROR(_xlfn.SINGLE(_xlfn.XLOOKUP(G705, Vöruskrá!A:A, Vöruskrá!N:N, "")) * I705 / 100, ""), IF(F705 = "Réttur", IFERROR(_xlfn.SINGLE(_xlfn.XLOOKUP(G705, Réttabanki!A:A, Réttabanki!BB:BB, "")) * I705 / 100, ""), "")))</f>
        <v/>
      </c>
    </row>
    <row r="706" spans="2:17">
      <c r="B706" s="33" t="str">
        <f>IF(A706&lt;&gt;"",CHOOSE(WEEKDAY(A706,2),"Mánudagur","Þriðjudagur","Miðvikudagur","Fimmtudagur","Föstudagur","Laugardagur","Sunnudagur"),IF(B705&lt;&gt;"",B705,""))</f>
        <v>Fimmtudagur</v>
      </c>
      <c r="C706" s="33">
        <f>IF(A706&lt;&gt;"",WEEKNUM(A706,21),IF(C705&lt;&gt;"",C705,""))</f>
        <v>27</v>
      </c>
      <c r="D706" s="34"/>
      <c r="E706" s="34"/>
      <c r="F706" s="34"/>
      <c r="G706" s="34"/>
      <c r="H706" s="34"/>
      <c r="I706" s="35"/>
      <c r="J706" s="35"/>
      <c r="K706" s="36"/>
      <c r="L706" s="26" t="str">
        <f>IF(OR(F706 = "", G706 = ""), "", IF(F706 = "Vara", IFERROR(_xlfn.SINGLE(_xlfn.XLOOKUP(G706, Vöruskrá!A:A, Vöruskrá!E:E, "")), ""), IF(F706 = "Réttur", IFERROR(_xlfn.SINGLE(_xlfn.XLOOKUP(G706, Réttabanki!A:A, Réttabanki!AS:AS, "")), ""), "")))</f>
        <v/>
      </c>
      <c r="M706" s="26" t="str">
        <f>IF(OR(F706 = "", G706 = ""), "", IF(F706 = "Vara", IFERROR(_xlfn.SINGLE(_xlfn.XLOOKUP(G706, Vöruskrá!A:A, Vöruskrá!F:F, "")), ""), IF(F706 = "Réttur", IFERROR(_xlfn.SINGLE(_xlfn.XLOOKUP(G706, Réttabanki!A:A, Réttabanki!AT:AT, "")), ""), "")))</f>
        <v/>
      </c>
      <c r="N706" s="26" t="str">
        <f>IF(OR(F706 = "", G706 = ""), "", IF(F706 = "Vara", IFERROR(_xlfn.SINGLE(_xlfn.XLOOKUP(G706, Vöruskrá!A:A, Vöruskrá!G:G, "")), ""), IF(F706 = "Réttur", IFERROR(_xlfn.SINGLE(_xlfn.XLOOKUP(G706, Réttabanki!A:A, Réttabanki!AU:AU, "")), ""), "")))</f>
        <v/>
      </c>
      <c r="O706" s="26" t="str">
        <f>IF(OR(F706 = "", G706 = "", I706 = ""), "", IF(F706 = "Vara", IFERROR(_xlfn.SINGLE(_xlfn.XLOOKUP(G706, Vöruskrá!A:A, Vöruskrá!I:I, "")) * I706 / 100, ""), IF(F706 = "Réttur", IFERROR(_xlfn.SINGLE(_xlfn.XLOOKUP(G706, Réttabanki!A:A, Réttabanki!AV:AV, "")) * I706 / 100, ""), "")))</f>
        <v/>
      </c>
      <c r="P706" s="26" t="str">
        <f>IF(OR(F706 = "", G706 = "", I706 = ""), "", IF(F706 = "Vara", IFERROR(_xlfn.SINGLE(_xlfn.XLOOKUP(G706, Vöruskrá!A:A, Vöruskrá!J:J, "")) * I706 / 100, ""), IF(F706 = "Réttur", IFERROR(_xlfn.SINGLE(_xlfn.XLOOKUP(G706, Réttabanki!A:A, Réttabanki!AW:AW, "")) * I706 / 100, ""), "")))</f>
        <v/>
      </c>
      <c r="Q706" s="26" t="str">
        <f>IF(OR(F706 = "", G706 = "", I706 = ""), "", IF(F706 = "Vara", IFERROR(_xlfn.SINGLE(_xlfn.XLOOKUP(G706, Vöruskrá!A:A, Vöruskrá!N:N, "")) * I706 / 100, ""), IF(F706 = "Réttur", IFERROR(_xlfn.SINGLE(_xlfn.XLOOKUP(G706, Réttabanki!A:A, Réttabanki!BB:BB, "")) * I706 / 100, ""), "")))</f>
        <v/>
      </c>
    </row>
    <row r="707" spans="2:17">
      <c r="B707" s="33" t="str">
        <f>IF(A707&lt;&gt;"",CHOOSE(WEEKDAY(A707,2),"Mánudagur","Þriðjudagur","Miðvikudagur","Fimmtudagur","Föstudagur","Laugardagur","Sunnudagur"),IF(B706&lt;&gt;"",B706,""))</f>
        <v>Fimmtudagur</v>
      </c>
      <c r="C707" s="33">
        <f>IF(A707&lt;&gt;"",WEEKNUM(A707,21),IF(C706&lt;&gt;"",C706,""))</f>
        <v>27</v>
      </c>
      <c r="D707" s="34"/>
      <c r="E707" s="34"/>
      <c r="F707" s="34"/>
      <c r="G707" s="34"/>
      <c r="H707" s="34"/>
      <c r="I707" s="35"/>
      <c r="J707" s="35"/>
      <c r="K707" s="36"/>
      <c r="L707" s="26" t="str">
        <f>IF(OR(F707 = "", G707 = ""), "", IF(F707 = "Vara", IFERROR(_xlfn.SINGLE(_xlfn.XLOOKUP(G707, Vöruskrá!A:A, Vöruskrá!E:E, "")), ""), IF(F707 = "Réttur", IFERROR(_xlfn.SINGLE(_xlfn.XLOOKUP(G707, Réttabanki!A:A, Réttabanki!AS:AS, "")), ""), "")))</f>
        <v/>
      </c>
      <c r="M707" s="26" t="str">
        <f>IF(OR(F707 = "", G707 = ""), "", IF(F707 = "Vara", IFERROR(_xlfn.SINGLE(_xlfn.XLOOKUP(G707, Vöruskrá!A:A, Vöruskrá!F:F, "")), ""), IF(F707 = "Réttur", IFERROR(_xlfn.SINGLE(_xlfn.XLOOKUP(G707, Réttabanki!A:A, Réttabanki!AT:AT, "")), ""), "")))</f>
        <v/>
      </c>
      <c r="N707" s="26" t="str">
        <f>IF(OR(F707 = "", G707 = ""), "", IF(F707 = "Vara", IFERROR(_xlfn.SINGLE(_xlfn.XLOOKUP(G707, Vöruskrá!A:A, Vöruskrá!G:G, "")), ""), IF(F707 = "Réttur", IFERROR(_xlfn.SINGLE(_xlfn.XLOOKUP(G707, Réttabanki!A:A, Réttabanki!AU:AU, "")), ""), "")))</f>
        <v/>
      </c>
      <c r="O707" s="26" t="str">
        <f>IF(OR(F707 = "", G707 = "", I707 = ""), "", IF(F707 = "Vara", IFERROR(_xlfn.SINGLE(_xlfn.XLOOKUP(G707, Vöruskrá!A:A, Vöruskrá!I:I, "")) * I707 / 100, ""), IF(F707 = "Réttur", IFERROR(_xlfn.SINGLE(_xlfn.XLOOKUP(G707, Réttabanki!A:A, Réttabanki!AV:AV, "")) * I707 / 100, ""), "")))</f>
        <v/>
      </c>
      <c r="P707" s="26" t="str">
        <f>IF(OR(F707 = "", G707 = "", I707 = ""), "", IF(F707 = "Vara", IFERROR(_xlfn.SINGLE(_xlfn.XLOOKUP(G707, Vöruskrá!A:A, Vöruskrá!J:J, "")) * I707 / 100, ""), IF(F707 = "Réttur", IFERROR(_xlfn.SINGLE(_xlfn.XLOOKUP(G707, Réttabanki!A:A, Réttabanki!AW:AW, "")) * I707 / 100, ""), "")))</f>
        <v/>
      </c>
      <c r="Q707" s="26" t="str">
        <f>IF(OR(F707 = "", G707 = "", I707 = ""), "", IF(F707 = "Vara", IFERROR(_xlfn.SINGLE(_xlfn.XLOOKUP(G707, Vöruskrá!A:A, Vöruskrá!N:N, "")) * I707 / 100, ""), IF(F707 = "Réttur", IFERROR(_xlfn.SINGLE(_xlfn.XLOOKUP(G707, Réttabanki!A:A, Réttabanki!BB:BB, "")) * I707 / 100, ""), "")))</f>
        <v/>
      </c>
    </row>
    <row r="708" spans="2:17">
      <c r="B708" s="33" t="str">
        <f>IF(A708&lt;&gt;"",CHOOSE(WEEKDAY(A708,2),"Mánudagur","Þriðjudagur","Miðvikudagur","Fimmtudagur","Föstudagur","Laugardagur","Sunnudagur"),IF(B707&lt;&gt;"",B707,""))</f>
        <v>Fimmtudagur</v>
      </c>
      <c r="C708" s="33">
        <f>IF(A708&lt;&gt;"",WEEKNUM(A708,21),IF(C707&lt;&gt;"",C707,""))</f>
        <v>27</v>
      </c>
      <c r="D708" s="34"/>
      <c r="E708" s="34"/>
      <c r="F708" s="34"/>
      <c r="G708" s="34"/>
      <c r="H708" s="34"/>
      <c r="I708" s="35"/>
      <c r="J708" s="35"/>
      <c r="K708" s="36"/>
      <c r="L708" s="26" t="str">
        <f>IF(OR(F708 = "", G708 = ""), "", IF(F708 = "Vara", IFERROR(_xlfn.SINGLE(_xlfn.XLOOKUP(G708, Vöruskrá!A:A, Vöruskrá!E:E, "")), ""), IF(F708 = "Réttur", IFERROR(_xlfn.SINGLE(_xlfn.XLOOKUP(G708, Réttabanki!A:A, Réttabanki!AS:AS, "")), ""), "")))</f>
        <v/>
      </c>
      <c r="M708" s="26" t="str">
        <f>IF(OR(F708 = "", G708 = ""), "", IF(F708 = "Vara", IFERROR(_xlfn.SINGLE(_xlfn.XLOOKUP(G708, Vöruskrá!A:A, Vöruskrá!F:F, "")), ""), IF(F708 = "Réttur", IFERROR(_xlfn.SINGLE(_xlfn.XLOOKUP(G708, Réttabanki!A:A, Réttabanki!AT:AT, "")), ""), "")))</f>
        <v/>
      </c>
      <c r="N708" s="26" t="str">
        <f>IF(OR(F708 = "", G708 = ""), "", IF(F708 = "Vara", IFERROR(_xlfn.SINGLE(_xlfn.XLOOKUP(G708, Vöruskrá!A:A, Vöruskrá!G:G, "")), ""), IF(F708 = "Réttur", IFERROR(_xlfn.SINGLE(_xlfn.XLOOKUP(G708, Réttabanki!A:A, Réttabanki!AU:AU, "")), ""), "")))</f>
        <v/>
      </c>
      <c r="O708" s="26" t="str">
        <f>IF(OR(F708 = "", G708 = "", I708 = ""), "", IF(F708 = "Vara", IFERROR(_xlfn.SINGLE(_xlfn.XLOOKUP(G708, Vöruskrá!A:A, Vöruskrá!I:I, "")) * I708 / 100, ""), IF(F708 = "Réttur", IFERROR(_xlfn.SINGLE(_xlfn.XLOOKUP(G708, Réttabanki!A:A, Réttabanki!AV:AV, "")) * I708 / 100, ""), "")))</f>
        <v/>
      </c>
      <c r="P708" s="26" t="str">
        <f>IF(OR(F708 = "", G708 = "", I708 = ""), "", IF(F708 = "Vara", IFERROR(_xlfn.SINGLE(_xlfn.XLOOKUP(G708, Vöruskrá!A:A, Vöruskrá!J:J, "")) * I708 / 100, ""), IF(F708 = "Réttur", IFERROR(_xlfn.SINGLE(_xlfn.XLOOKUP(G708, Réttabanki!A:A, Réttabanki!AW:AW, "")) * I708 / 100, ""), "")))</f>
        <v/>
      </c>
      <c r="Q708" s="26" t="str">
        <f>IF(OR(F708 = "", G708 = "", I708 = ""), "", IF(F708 = "Vara", IFERROR(_xlfn.SINGLE(_xlfn.XLOOKUP(G708, Vöruskrá!A:A, Vöruskrá!N:N, "")) * I708 / 100, ""), IF(F708 = "Réttur", IFERROR(_xlfn.SINGLE(_xlfn.XLOOKUP(G708, Réttabanki!A:A, Réttabanki!BB:BB, "")) * I708 / 100, ""), "")))</f>
        <v/>
      </c>
    </row>
    <row r="709" spans="2:17">
      <c r="B709" s="33" t="str">
        <f>IF(A709&lt;&gt;"",CHOOSE(WEEKDAY(A709,2),"Mánudagur","Þriðjudagur","Miðvikudagur","Fimmtudagur","Föstudagur","Laugardagur","Sunnudagur"),IF(B708&lt;&gt;"",B708,""))</f>
        <v>Fimmtudagur</v>
      </c>
      <c r="C709" s="33">
        <f>IF(A709&lt;&gt;"",WEEKNUM(A709,21),IF(C708&lt;&gt;"",C708,""))</f>
        <v>27</v>
      </c>
      <c r="D709" s="34"/>
      <c r="E709" s="34"/>
      <c r="F709" s="34"/>
      <c r="G709" s="34"/>
      <c r="H709" s="34"/>
      <c r="I709" s="35"/>
      <c r="J709" s="35"/>
      <c r="K709" s="36"/>
      <c r="L709" s="26" t="str">
        <f>IF(OR(F709 = "", G709 = ""), "", IF(F709 = "Vara", IFERROR(_xlfn.SINGLE(_xlfn.XLOOKUP(G709, Vöruskrá!A:A, Vöruskrá!E:E, "")), ""), IF(F709 = "Réttur", IFERROR(_xlfn.SINGLE(_xlfn.XLOOKUP(G709, Réttabanki!A:A, Réttabanki!AS:AS, "")), ""), "")))</f>
        <v/>
      </c>
      <c r="M709" s="26" t="str">
        <f>IF(OR(F709 = "", G709 = ""), "", IF(F709 = "Vara", IFERROR(_xlfn.SINGLE(_xlfn.XLOOKUP(G709, Vöruskrá!A:A, Vöruskrá!F:F, "")), ""), IF(F709 = "Réttur", IFERROR(_xlfn.SINGLE(_xlfn.XLOOKUP(G709, Réttabanki!A:A, Réttabanki!AT:AT, "")), ""), "")))</f>
        <v/>
      </c>
      <c r="N709" s="26" t="str">
        <f>IF(OR(F709 = "", G709 = ""), "", IF(F709 = "Vara", IFERROR(_xlfn.SINGLE(_xlfn.XLOOKUP(G709, Vöruskrá!A:A, Vöruskrá!G:G, "")), ""), IF(F709 = "Réttur", IFERROR(_xlfn.SINGLE(_xlfn.XLOOKUP(G709, Réttabanki!A:A, Réttabanki!AU:AU, "")), ""), "")))</f>
        <v/>
      </c>
      <c r="O709" s="26" t="str">
        <f>IF(OR(F709 = "", G709 = "", I709 = ""), "", IF(F709 = "Vara", IFERROR(_xlfn.SINGLE(_xlfn.XLOOKUP(G709, Vöruskrá!A:A, Vöruskrá!I:I, "")) * I709 / 100, ""), IF(F709 = "Réttur", IFERROR(_xlfn.SINGLE(_xlfn.XLOOKUP(G709, Réttabanki!A:A, Réttabanki!AV:AV, "")) * I709 / 100, ""), "")))</f>
        <v/>
      </c>
      <c r="P709" s="26" t="str">
        <f>IF(OR(F709 = "", G709 = "", I709 = ""), "", IF(F709 = "Vara", IFERROR(_xlfn.SINGLE(_xlfn.XLOOKUP(G709, Vöruskrá!A:A, Vöruskrá!J:J, "")) * I709 / 100, ""), IF(F709 = "Réttur", IFERROR(_xlfn.SINGLE(_xlfn.XLOOKUP(G709, Réttabanki!A:A, Réttabanki!AW:AW, "")) * I709 / 100, ""), "")))</f>
        <v/>
      </c>
      <c r="Q709" s="26" t="str">
        <f>IF(OR(F709 = "", G709 = "", I709 = ""), "", IF(F709 = "Vara", IFERROR(_xlfn.SINGLE(_xlfn.XLOOKUP(G709, Vöruskrá!A:A, Vöruskrá!N:N, "")) * I709 / 100, ""), IF(F709 = "Réttur", IFERROR(_xlfn.SINGLE(_xlfn.XLOOKUP(G709, Réttabanki!A:A, Réttabanki!BB:BB, "")) * I709 / 100, ""), "")))</f>
        <v/>
      </c>
    </row>
    <row r="710" spans="2:17">
      <c r="B710" s="33" t="str">
        <f>IF(A710&lt;&gt;"",CHOOSE(WEEKDAY(A710,2),"Mánudagur","Þriðjudagur","Miðvikudagur","Fimmtudagur","Föstudagur","Laugardagur","Sunnudagur"),IF(B709&lt;&gt;"",B709,""))</f>
        <v>Fimmtudagur</v>
      </c>
      <c r="C710" s="33">
        <f>IF(A710&lt;&gt;"",WEEKNUM(A710,21),IF(C709&lt;&gt;"",C709,""))</f>
        <v>27</v>
      </c>
      <c r="D710" s="34"/>
      <c r="E710" s="34"/>
      <c r="F710" s="34"/>
      <c r="G710" s="34"/>
      <c r="H710" s="34"/>
      <c r="I710" s="35"/>
      <c r="J710" s="35"/>
      <c r="K710" s="36"/>
      <c r="L710" s="26" t="str">
        <f>IF(OR(F710 = "", G710 = ""), "", IF(F710 = "Vara", IFERROR(_xlfn.SINGLE(_xlfn.XLOOKUP(G710, Vöruskrá!A:A, Vöruskrá!E:E, "")), ""), IF(F710 = "Réttur", IFERROR(_xlfn.SINGLE(_xlfn.XLOOKUP(G710, Réttabanki!A:A, Réttabanki!AS:AS, "")), ""), "")))</f>
        <v/>
      </c>
      <c r="M710" s="26" t="str">
        <f>IF(OR(F710 = "", G710 = ""), "", IF(F710 = "Vara", IFERROR(_xlfn.SINGLE(_xlfn.XLOOKUP(G710, Vöruskrá!A:A, Vöruskrá!F:F, "")), ""), IF(F710 = "Réttur", IFERROR(_xlfn.SINGLE(_xlfn.XLOOKUP(G710, Réttabanki!A:A, Réttabanki!AT:AT, "")), ""), "")))</f>
        <v/>
      </c>
      <c r="N710" s="26" t="str">
        <f>IF(OR(F710 = "", G710 = ""), "", IF(F710 = "Vara", IFERROR(_xlfn.SINGLE(_xlfn.XLOOKUP(G710, Vöruskrá!A:A, Vöruskrá!G:G, "")), ""), IF(F710 = "Réttur", IFERROR(_xlfn.SINGLE(_xlfn.XLOOKUP(G710, Réttabanki!A:A, Réttabanki!AU:AU, "")), ""), "")))</f>
        <v/>
      </c>
      <c r="O710" s="26" t="str">
        <f>IF(OR(F710 = "", G710 = "", I710 = ""), "", IF(F710 = "Vara", IFERROR(_xlfn.SINGLE(_xlfn.XLOOKUP(G710, Vöruskrá!A:A, Vöruskrá!I:I, "")) * I710 / 100, ""), IF(F710 = "Réttur", IFERROR(_xlfn.SINGLE(_xlfn.XLOOKUP(G710, Réttabanki!A:A, Réttabanki!AV:AV, "")) * I710 / 100, ""), "")))</f>
        <v/>
      </c>
      <c r="P710" s="26" t="str">
        <f>IF(OR(F710 = "", G710 = "", I710 = ""), "", IF(F710 = "Vara", IFERROR(_xlfn.SINGLE(_xlfn.XLOOKUP(G710, Vöruskrá!A:A, Vöruskrá!J:J, "")) * I710 / 100, ""), IF(F710 = "Réttur", IFERROR(_xlfn.SINGLE(_xlfn.XLOOKUP(G710, Réttabanki!A:A, Réttabanki!AW:AW, "")) * I710 / 100, ""), "")))</f>
        <v/>
      </c>
      <c r="Q710" s="26" t="str">
        <f>IF(OR(F710 = "", G710 = "", I710 = ""), "", IF(F710 = "Vara", IFERROR(_xlfn.SINGLE(_xlfn.XLOOKUP(G710, Vöruskrá!A:A, Vöruskrá!N:N, "")) * I710 / 100, ""), IF(F710 = "Réttur", IFERROR(_xlfn.SINGLE(_xlfn.XLOOKUP(G710, Réttabanki!A:A, Réttabanki!BB:BB, "")) * I710 / 100, ""), "")))</f>
        <v/>
      </c>
    </row>
    <row r="711" spans="2:17">
      <c r="B711" s="33" t="str">
        <f>IF(A711&lt;&gt;"",CHOOSE(WEEKDAY(A711,2),"Mánudagur","Þriðjudagur","Miðvikudagur","Fimmtudagur","Föstudagur","Laugardagur","Sunnudagur"),IF(B710&lt;&gt;"",B710,""))</f>
        <v>Fimmtudagur</v>
      </c>
      <c r="C711" s="33">
        <f>IF(A711&lt;&gt;"",WEEKNUM(A711,21),IF(C710&lt;&gt;"",C710,""))</f>
        <v>27</v>
      </c>
      <c r="D711" s="34"/>
      <c r="E711" s="34"/>
      <c r="F711" s="34"/>
      <c r="G711" s="34"/>
      <c r="H711" s="34"/>
      <c r="I711" s="35"/>
      <c r="J711" s="35"/>
      <c r="K711" s="36"/>
      <c r="L711" s="26" t="str">
        <f>IF(OR(F711 = "", G711 = ""), "", IF(F711 = "Vara", IFERROR(_xlfn.SINGLE(_xlfn.XLOOKUP(G711, Vöruskrá!A:A, Vöruskrá!E:E, "")), ""), IF(F711 = "Réttur", IFERROR(_xlfn.SINGLE(_xlfn.XLOOKUP(G711, Réttabanki!A:A, Réttabanki!AS:AS, "")), ""), "")))</f>
        <v/>
      </c>
      <c r="M711" s="26" t="str">
        <f>IF(OR(F711 = "", G711 = ""), "", IF(F711 = "Vara", IFERROR(_xlfn.SINGLE(_xlfn.XLOOKUP(G711, Vöruskrá!A:A, Vöruskrá!F:F, "")), ""), IF(F711 = "Réttur", IFERROR(_xlfn.SINGLE(_xlfn.XLOOKUP(G711, Réttabanki!A:A, Réttabanki!AT:AT, "")), ""), "")))</f>
        <v/>
      </c>
      <c r="N711" s="26" t="str">
        <f>IF(OR(F711 = "", G711 = ""), "", IF(F711 = "Vara", IFERROR(_xlfn.SINGLE(_xlfn.XLOOKUP(G711, Vöruskrá!A:A, Vöruskrá!G:G, "")), ""), IF(F711 = "Réttur", IFERROR(_xlfn.SINGLE(_xlfn.XLOOKUP(G711, Réttabanki!A:A, Réttabanki!AU:AU, "")), ""), "")))</f>
        <v/>
      </c>
      <c r="O711" s="26" t="str">
        <f>IF(OR(F711 = "", G711 = "", I711 = ""), "", IF(F711 = "Vara", IFERROR(_xlfn.SINGLE(_xlfn.XLOOKUP(G711, Vöruskrá!A:A, Vöruskrá!I:I, "")) * I711 / 100, ""), IF(F711 = "Réttur", IFERROR(_xlfn.SINGLE(_xlfn.XLOOKUP(G711, Réttabanki!A:A, Réttabanki!AV:AV, "")) * I711 / 100, ""), "")))</f>
        <v/>
      </c>
      <c r="P711" s="26" t="str">
        <f>IF(OR(F711 = "", G711 = "", I711 = ""), "", IF(F711 = "Vara", IFERROR(_xlfn.SINGLE(_xlfn.XLOOKUP(G711, Vöruskrá!A:A, Vöruskrá!J:J, "")) * I711 / 100, ""), IF(F711 = "Réttur", IFERROR(_xlfn.SINGLE(_xlfn.XLOOKUP(G711, Réttabanki!A:A, Réttabanki!AW:AW, "")) * I711 / 100, ""), "")))</f>
        <v/>
      </c>
      <c r="Q711" s="26" t="str">
        <f>IF(OR(F711 = "", G711 = "", I711 = ""), "", IF(F711 = "Vara", IFERROR(_xlfn.SINGLE(_xlfn.XLOOKUP(G711, Vöruskrá!A:A, Vöruskrá!N:N, "")) * I711 / 100, ""), IF(F711 = "Réttur", IFERROR(_xlfn.SINGLE(_xlfn.XLOOKUP(G711, Réttabanki!A:A, Réttabanki!BB:BB, "")) * I711 / 100, ""), "")))</f>
        <v/>
      </c>
    </row>
    <row r="712" spans="2:17">
      <c r="B712" s="33" t="str">
        <f>IF(A712&lt;&gt;"",CHOOSE(WEEKDAY(A712,2),"Mánudagur","Þriðjudagur","Miðvikudagur","Fimmtudagur","Föstudagur","Laugardagur","Sunnudagur"),IF(B711&lt;&gt;"",B711,""))</f>
        <v>Fimmtudagur</v>
      </c>
      <c r="C712" s="33">
        <f>IF(A712&lt;&gt;"",WEEKNUM(A712,21),IF(C711&lt;&gt;"",C711,""))</f>
        <v>27</v>
      </c>
      <c r="D712" s="34"/>
      <c r="E712" s="34"/>
      <c r="F712" s="34"/>
      <c r="G712" s="34"/>
      <c r="H712" s="34"/>
      <c r="I712" s="35"/>
      <c r="J712" s="35"/>
      <c r="K712" s="36"/>
      <c r="L712" s="26" t="str">
        <f>IF(OR(F712 = "", G712 = ""), "", IF(F712 = "Vara", IFERROR(_xlfn.SINGLE(_xlfn.XLOOKUP(G712, Vöruskrá!A:A, Vöruskrá!E:E, "")), ""), IF(F712 = "Réttur", IFERROR(_xlfn.SINGLE(_xlfn.XLOOKUP(G712, Réttabanki!A:A, Réttabanki!AS:AS, "")), ""), "")))</f>
        <v/>
      </c>
      <c r="M712" s="26" t="str">
        <f>IF(OR(F712 = "", G712 = ""), "", IF(F712 = "Vara", IFERROR(_xlfn.SINGLE(_xlfn.XLOOKUP(G712, Vöruskrá!A:A, Vöruskrá!F:F, "")), ""), IF(F712 = "Réttur", IFERROR(_xlfn.SINGLE(_xlfn.XLOOKUP(G712, Réttabanki!A:A, Réttabanki!AT:AT, "")), ""), "")))</f>
        <v/>
      </c>
      <c r="N712" s="26" t="str">
        <f>IF(OR(F712 = "", G712 = ""), "", IF(F712 = "Vara", IFERROR(_xlfn.SINGLE(_xlfn.XLOOKUP(G712, Vöruskrá!A:A, Vöruskrá!G:G, "")), ""), IF(F712 = "Réttur", IFERROR(_xlfn.SINGLE(_xlfn.XLOOKUP(G712, Réttabanki!A:A, Réttabanki!AU:AU, "")), ""), "")))</f>
        <v/>
      </c>
      <c r="O712" s="26" t="str">
        <f>IF(OR(F712 = "", G712 = "", I712 = ""), "", IF(F712 = "Vara", IFERROR(_xlfn.SINGLE(_xlfn.XLOOKUP(G712, Vöruskrá!A:A, Vöruskrá!I:I, "")) * I712 / 100, ""), IF(F712 = "Réttur", IFERROR(_xlfn.SINGLE(_xlfn.XLOOKUP(G712, Réttabanki!A:A, Réttabanki!AV:AV, "")) * I712 / 100, ""), "")))</f>
        <v/>
      </c>
      <c r="P712" s="26" t="str">
        <f>IF(OR(F712 = "", G712 = "", I712 = ""), "", IF(F712 = "Vara", IFERROR(_xlfn.SINGLE(_xlfn.XLOOKUP(G712, Vöruskrá!A:A, Vöruskrá!J:J, "")) * I712 / 100, ""), IF(F712 = "Réttur", IFERROR(_xlfn.SINGLE(_xlfn.XLOOKUP(G712, Réttabanki!A:A, Réttabanki!AW:AW, "")) * I712 / 100, ""), "")))</f>
        <v/>
      </c>
      <c r="Q712" s="26" t="str">
        <f>IF(OR(F712 = "", G712 = "", I712 = ""), "", IF(F712 = "Vara", IFERROR(_xlfn.SINGLE(_xlfn.XLOOKUP(G712, Vöruskrá!A:A, Vöruskrá!N:N, "")) * I712 / 100, ""), IF(F712 = "Réttur", IFERROR(_xlfn.SINGLE(_xlfn.XLOOKUP(G712, Réttabanki!A:A, Réttabanki!BB:BB, "")) * I712 / 100, ""), "")))</f>
        <v/>
      </c>
    </row>
    <row r="713" spans="2:17">
      <c r="B713" s="33" t="str">
        <f>IF(A713&lt;&gt;"",CHOOSE(WEEKDAY(A713,2),"Mánudagur","Þriðjudagur","Miðvikudagur","Fimmtudagur","Föstudagur","Laugardagur","Sunnudagur"),IF(B712&lt;&gt;"",B712,""))</f>
        <v>Fimmtudagur</v>
      </c>
      <c r="C713" s="33">
        <f>IF(A713&lt;&gt;"",WEEKNUM(A713,21),IF(C712&lt;&gt;"",C712,""))</f>
        <v>27</v>
      </c>
      <c r="D713" s="34"/>
      <c r="E713" s="34"/>
      <c r="F713" s="34"/>
      <c r="G713" s="34"/>
      <c r="H713" s="34"/>
      <c r="I713" s="35"/>
      <c r="J713" s="35"/>
      <c r="K713" s="36"/>
      <c r="L713" s="26" t="str">
        <f>IF(OR(F713 = "", G713 = ""), "", IF(F713 = "Vara", IFERROR(_xlfn.SINGLE(_xlfn.XLOOKUP(G713, Vöruskrá!A:A, Vöruskrá!E:E, "")), ""), IF(F713 = "Réttur", IFERROR(_xlfn.SINGLE(_xlfn.XLOOKUP(G713, Réttabanki!A:A, Réttabanki!AS:AS, "")), ""), "")))</f>
        <v/>
      </c>
      <c r="M713" s="26" t="str">
        <f>IF(OR(F713 = "", G713 = ""), "", IF(F713 = "Vara", IFERROR(_xlfn.SINGLE(_xlfn.XLOOKUP(G713, Vöruskrá!A:A, Vöruskrá!F:F, "")), ""), IF(F713 = "Réttur", IFERROR(_xlfn.SINGLE(_xlfn.XLOOKUP(G713, Réttabanki!A:A, Réttabanki!AT:AT, "")), ""), "")))</f>
        <v/>
      </c>
      <c r="N713" s="26" t="str">
        <f>IF(OR(F713 = "", G713 = ""), "", IF(F713 = "Vara", IFERROR(_xlfn.SINGLE(_xlfn.XLOOKUP(G713, Vöruskrá!A:A, Vöruskrá!G:G, "")), ""), IF(F713 = "Réttur", IFERROR(_xlfn.SINGLE(_xlfn.XLOOKUP(G713, Réttabanki!A:A, Réttabanki!AU:AU, "")), ""), "")))</f>
        <v/>
      </c>
      <c r="O713" s="26" t="str">
        <f>IF(OR(F713 = "", G713 = "", I713 = ""), "", IF(F713 = "Vara", IFERROR(_xlfn.SINGLE(_xlfn.XLOOKUP(G713, Vöruskrá!A:A, Vöruskrá!I:I, "")) * I713 / 100, ""), IF(F713 = "Réttur", IFERROR(_xlfn.SINGLE(_xlfn.XLOOKUP(G713, Réttabanki!A:A, Réttabanki!AV:AV, "")) * I713 / 100, ""), "")))</f>
        <v/>
      </c>
      <c r="P713" s="26" t="str">
        <f>IF(OR(F713 = "", G713 = "", I713 = ""), "", IF(F713 = "Vara", IFERROR(_xlfn.SINGLE(_xlfn.XLOOKUP(G713, Vöruskrá!A:A, Vöruskrá!J:J, "")) * I713 / 100, ""), IF(F713 = "Réttur", IFERROR(_xlfn.SINGLE(_xlfn.XLOOKUP(G713, Réttabanki!A:A, Réttabanki!AW:AW, "")) * I713 / 100, ""), "")))</f>
        <v/>
      </c>
      <c r="Q713" s="26" t="str">
        <f>IF(OR(F713 = "", G713 = "", I713 = ""), "", IF(F713 = "Vara", IFERROR(_xlfn.SINGLE(_xlfn.XLOOKUP(G713, Vöruskrá!A:A, Vöruskrá!N:N, "")) * I713 / 100, ""), IF(F713 = "Réttur", IFERROR(_xlfn.SINGLE(_xlfn.XLOOKUP(G713, Réttabanki!A:A, Réttabanki!BB:BB, "")) * I713 / 100, ""), "")))</f>
        <v/>
      </c>
    </row>
    <row r="714" spans="2:17">
      <c r="B714" s="33" t="str">
        <f>IF(A714&lt;&gt;"",CHOOSE(WEEKDAY(A714,2),"Mánudagur","Þriðjudagur","Miðvikudagur","Fimmtudagur","Föstudagur","Laugardagur","Sunnudagur"),IF(B713&lt;&gt;"",B713,""))</f>
        <v>Fimmtudagur</v>
      </c>
      <c r="C714" s="33">
        <f>IF(A714&lt;&gt;"",WEEKNUM(A714,21),IF(C713&lt;&gt;"",C713,""))</f>
        <v>27</v>
      </c>
      <c r="D714" s="34"/>
      <c r="E714" s="34"/>
      <c r="F714" s="34"/>
      <c r="G714" s="34"/>
      <c r="H714" s="34"/>
      <c r="I714" s="35"/>
      <c r="J714" s="35"/>
      <c r="K714" s="36"/>
      <c r="L714" s="26" t="str">
        <f>IF(OR(F714 = "", G714 = ""), "", IF(F714 = "Vara", IFERROR(_xlfn.SINGLE(_xlfn.XLOOKUP(G714, Vöruskrá!A:A, Vöruskrá!E:E, "")), ""), IF(F714 = "Réttur", IFERROR(_xlfn.SINGLE(_xlfn.XLOOKUP(G714, Réttabanki!A:A, Réttabanki!AS:AS, "")), ""), "")))</f>
        <v/>
      </c>
      <c r="M714" s="26" t="str">
        <f>IF(OR(F714 = "", G714 = ""), "", IF(F714 = "Vara", IFERROR(_xlfn.SINGLE(_xlfn.XLOOKUP(G714, Vöruskrá!A:A, Vöruskrá!F:F, "")), ""), IF(F714 = "Réttur", IFERROR(_xlfn.SINGLE(_xlfn.XLOOKUP(G714, Réttabanki!A:A, Réttabanki!AT:AT, "")), ""), "")))</f>
        <v/>
      </c>
      <c r="N714" s="26" t="str">
        <f>IF(OR(F714 = "", G714 = ""), "", IF(F714 = "Vara", IFERROR(_xlfn.SINGLE(_xlfn.XLOOKUP(G714, Vöruskrá!A:A, Vöruskrá!G:G, "")), ""), IF(F714 = "Réttur", IFERROR(_xlfn.SINGLE(_xlfn.XLOOKUP(G714, Réttabanki!A:A, Réttabanki!AU:AU, "")), ""), "")))</f>
        <v/>
      </c>
      <c r="O714" s="26" t="str">
        <f>IF(OR(F714 = "", G714 = "", I714 = ""), "", IF(F714 = "Vara", IFERROR(_xlfn.SINGLE(_xlfn.XLOOKUP(G714, Vöruskrá!A:A, Vöruskrá!I:I, "")) * I714 / 100, ""), IF(F714 = "Réttur", IFERROR(_xlfn.SINGLE(_xlfn.XLOOKUP(G714, Réttabanki!A:A, Réttabanki!AV:AV, "")) * I714 / 100, ""), "")))</f>
        <v/>
      </c>
      <c r="P714" s="26" t="str">
        <f>IF(OR(F714 = "", G714 = "", I714 = ""), "", IF(F714 = "Vara", IFERROR(_xlfn.SINGLE(_xlfn.XLOOKUP(G714, Vöruskrá!A:A, Vöruskrá!J:J, "")) * I714 / 100, ""), IF(F714 = "Réttur", IFERROR(_xlfn.SINGLE(_xlfn.XLOOKUP(G714, Réttabanki!A:A, Réttabanki!AW:AW, "")) * I714 / 100, ""), "")))</f>
        <v/>
      </c>
      <c r="Q714" s="26" t="str">
        <f>IF(OR(F714 = "", G714 = "", I714 = ""), "", IF(F714 = "Vara", IFERROR(_xlfn.SINGLE(_xlfn.XLOOKUP(G714, Vöruskrá!A:A, Vöruskrá!N:N, "")) * I714 / 100, ""), IF(F714 = "Réttur", IFERROR(_xlfn.SINGLE(_xlfn.XLOOKUP(G714, Réttabanki!A:A, Réttabanki!BB:BB, "")) * I714 / 100, ""), "")))</f>
        <v/>
      </c>
    </row>
    <row r="715" spans="2:17">
      <c r="B715" s="33" t="str">
        <f>IF(A715&lt;&gt;"",CHOOSE(WEEKDAY(A715,2),"Mánudagur","Þriðjudagur","Miðvikudagur","Fimmtudagur","Föstudagur","Laugardagur","Sunnudagur"),IF(B714&lt;&gt;"",B714,""))</f>
        <v>Fimmtudagur</v>
      </c>
      <c r="C715" s="33">
        <f>IF(A715&lt;&gt;"",WEEKNUM(A715,21),IF(C714&lt;&gt;"",C714,""))</f>
        <v>27</v>
      </c>
      <c r="D715" s="34"/>
      <c r="E715" s="34"/>
      <c r="F715" s="34"/>
      <c r="G715" s="34"/>
      <c r="H715" s="34"/>
      <c r="I715" s="35"/>
      <c r="J715" s="35"/>
      <c r="K715" s="36"/>
      <c r="L715" s="26" t="str">
        <f>IF(OR(F715 = "", G715 = ""), "", IF(F715 = "Vara", IFERROR(_xlfn.SINGLE(_xlfn.XLOOKUP(G715, Vöruskrá!A:A, Vöruskrá!E:E, "")), ""), IF(F715 = "Réttur", IFERROR(_xlfn.SINGLE(_xlfn.XLOOKUP(G715, Réttabanki!A:A, Réttabanki!AS:AS, "")), ""), "")))</f>
        <v/>
      </c>
      <c r="M715" s="26" t="str">
        <f>IF(OR(F715 = "", G715 = ""), "", IF(F715 = "Vara", IFERROR(_xlfn.SINGLE(_xlfn.XLOOKUP(G715, Vöruskrá!A:A, Vöruskrá!F:F, "")), ""), IF(F715 = "Réttur", IFERROR(_xlfn.SINGLE(_xlfn.XLOOKUP(G715, Réttabanki!A:A, Réttabanki!AT:AT, "")), ""), "")))</f>
        <v/>
      </c>
      <c r="N715" s="26" t="str">
        <f>IF(OR(F715 = "", G715 = ""), "", IF(F715 = "Vara", IFERROR(_xlfn.SINGLE(_xlfn.XLOOKUP(G715, Vöruskrá!A:A, Vöruskrá!G:G, "")), ""), IF(F715 = "Réttur", IFERROR(_xlfn.SINGLE(_xlfn.XLOOKUP(G715, Réttabanki!A:A, Réttabanki!AU:AU, "")), ""), "")))</f>
        <v/>
      </c>
      <c r="O715" s="26" t="str">
        <f>IF(OR(F715 = "", G715 = "", I715 = ""), "", IF(F715 = "Vara", IFERROR(_xlfn.SINGLE(_xlfn.XLOOKUP(G715, Vöruskrá!A:A, Vöruskrá!I:I, "")) * I715 / 100, ""), IF(F715 = "Réttur", IFERROR(_xlfn.SINGLE(_xlfn.XLOOKUP(G715, Réttabanki!A:A, Réttabanki!AV:AV, "")) * I715 / 100, ""), "")))</f>
        <v/>
      </c>
      <c r="P715" s="26" t="str">
        <f>IF(OR(F715 = "", G715 = "", I715 = ""), "", IF(F715 = "Vara", IFERROR(_xlfn.SINGLE(_xlfn.XLOOKUP(G715, Vöruskrá!A:A, Vöruskrá!J:J, "")) * I715 / 100, ""), IF(F715 = "Réttur", IFERROR(_xlfn.SINGLE(_xlfn.XLOOKUP(G715, Réttabanki!A:A, Réttabanki!AW:AW, "")) * I715 / 100, ""), "")))</f>
        <v/>
      </c>
      <c r="Q715" s="26" t="str">
        <f>IF(OR(F715 = "", G715 = "", I715 = ""), "", IF(F715 = "Vara", IFERROR(_xlfn.SINGLE(_xlfn.XLOOKUP(G715, Vöruskrá!A:A, Vöruskrá!N:N, "")) * I715 / 100, ""), IF(F715 = "Réttur", IFERROR(_xlfn.SINGLE(_xlfn.XLOOKUP(G715, Réttabanki!A:A, Réttabanki!BB:BB, "")) * I715 / 100, ""), "")))</f>
        <v/>
      </c>
    </row>
    <row r="716" spans="2:17">
      <c r="B716" s="33" t="str">
        <f>IF(A716&lt;&gt;"",CHOOSE(WEEKDAY(A716,2),"Mánudagur","Þriðjudagur","Miðvikudagur","Fimmtudagur","Föstudagur","Laugardagur","Sunnudagur"),IF(B715&lt;&gt;"",B715,""))</f>
        <v>Fimmtudagur</v>
      </c>
      <c r="C716" s="33">
        <f>IF(A716&lt;&gt;"",WEEKNUM(A716,21),IF(C715&lt;&gt;"",C715,""))</f>
        <v>27</v>
      </c>
      <c r="D716" s="34"/>
      <c r="E716" s="34"/>
      <c r="F716" s="34"/>
      <c r="G716" s="34"/>
      <c r="H716" s="34"/>
      <c r="I716" s="35"/>
      <c r="J716" s="35"/>
      <c r="K716" s="36"/>
      <c r="L716" s="26" t="str">
        <f>IF(OR(F716 = "", G716 = ""), "", IF(F716 = "Vara", IFERROR(_xlfn.SINGLE(_xlfn.XLOOKUP(G716, Vöruskrá!A:A, Vöruskrá!E:E, "")), ""), IF(F716 = "Réttur", IFERROR(_xlfn.SINGLE(_xlfn.XLOOKUP(G716, Réttabanki!A:A, Réttabanki!AS:AS, "")), ""), "")))</f>
        <v/>
      </c>
      <c r="M716" s="26" t="str">
        <f>IF(OR(F716 = "", G716 = ""), "", IF(F716 = "Vara", IFERROR(_xlfn.SINGLE(_xlfn.XLOOKUP(G716, Vöruskrá!A:A, Vöruskrá!F:F, "")), ""), IF(F716 = "Réttur", IFERROR(_xlfn.SINGLE(_xlfn.XLOOKUP(G716, Réttabanki!A:A, Réttabanki!AT:AT, "")), ""), "")))</f>
        <v/>
      </c>
      <c r="N716" s="26" t="str">
        <f>IF(OR(F716 = "", G716 = ""), "", IF(F716 = "Vara", IFERROR(_xlfn.SINGLE(_xlfn.XLOOKUP(G716, Vöruskrá!A:A, Vöruskrá!G:G, "")), ""), IF(F716 = "Réttur", IFERROR(_xlfn.SINGLE(_xlfn.XLOOKUP(G716, Réttabanki!A:A, Réttabanki!AU:AU, "")), ""), "")))</f>
        <v/>
      </c>
      <c r="O716" s="26" t="str">
        <f>IF(OR(F716 = "", G716 = "", I716 = ""), "", IF(F716 = "Vara", IFERROR(_xlfn.SINGLE(_xlfn.XLOOKUP(G716, Vöruskrá!A:A, Vöruskrá!I:I, "")) * I716 / 100, ""), IF(F716 = "Réttur", IFERROR(_xlfn.SINGLE(_xlfn.XLOOKUP(G716, Réttabanki!A:A, Réttabanki!AV:AV, "")) * I716 / 100, ""), "")))</f>
        <v/>
      </c>
      <c r="P716" s="26" t="str">
        <f>IF(OR(F716 = "", G716 = "", I716 = ""), "", IF(F716 = "Vara", IFERROR(_xlfn.SINGLE(_xlfn.XLOOKUP(G716, Vöruskrá!A:A, Vöruskrá!J:J, "")) * I716 / 100, ""), IF(F716 = "Réttur", IFERROR(_xlfn.SINGLE(_xlfn.XLOOKUP(G716, Réttabanki!A:A, Réttabanki!AW:AW, "")) * I716 / 100, ""), "")))</f>
        <v/>
      </c>
      <c r="Q716" s="26" t="str">
        <f>IF(OR(F716 = "", G716 = "", I716 = ""), "", IF(F716 = "Vara", IFERROR(_xlfn.SINGLE(_xlfn.XLOOKUP(G716, Vöruskrá!A:A, Vöruskrá!N:N, "")) * I716 / 100, ""), IF(F716 = "Réttur", IFERROR(_xlfn.SINGLE(_xlfn.XLOOKUP(G716, Réttabanki!A:A, Réttabanki!BB:BB, "")) * I716 / 100, ""), "")))</f>
        <v/>
      </c>
    </row>
    <row r="717" spans="2:17">
      <c r="B717" s="33" t="str">
        <f>IF(A717&lt;&gt;"",CHOOSE(WEEKDAY(A717,2),"Mánudagur","Þriðjudagur","Miðvikudagur","Fimmtudagur","Föstudagur","Laugardagur","Sunnudagur"),IF(B716&lt;&gt;"",B716,""))</f>
        <v>Fimmtudagur</v>
      </c>
      <c r="C717" s="33">
        <f>IF(A717&lt;&gt;"",WEEKNUM(A717,21),IF(C716&lt;&gt;"",C716,""))</f>
        <v>27</v>
      </c>
      <c r="D717" s="34"/>
      <c r="E717" s="34"/>
      <c r="F717" s="34"/>
      <c r="G717" s="34"/>
      <c r="H717" s="34"/>
      <c r="I717" s="35"/>
      <c r="J717" s="35"/>
      <c r="K717" s="36"/>
      <c r="L717" s="26" t="str">
        <f>IF(OR(F717 = "", G717 = ""), "", IF(F717 = "Vara", IFERROR(_xlfn.SINGLE(_xlfn.XLOOKUP(G717, Vöruskrá!A:A, Vöruskrá!E:E, "")), ""), IF(F717 = "Réttur", IFERROR(_xlfn.SINGLE(_xlfn.XLOOKUP(G717, Réttabanki!A:A, Réttabanki!AS:AS, "")), ""), "")))</f>
        <v/>
      </c>
      <c r="M717" s="26" t="str">
        <f>IF(OR(F717 = "", G717 = ""), "", IF(F717 = "Vara", IFERROR(_xlfn.SINGLE(_xlfn.XLOOKUP(G717, Vöruskrá!A:A, Vöruskrá!F:F, "")), ""), IF(F717 = "Réttur", IFERROR(_xlfn.SINGLE(_xlfn.XLOOKUP(G717, Réttabanki!A:A, Réttabanki!AT:AT, "")), ""), "")))</f>
        <v/>
      </c>
      <c r="N717" s="26" t="str">
        <f>IF(OR(F717 = "", G717 = ""), "", IF(F717 = "Vara", IFERROR(_xlfn.SINGLE(_xlfn.XLOOKUP(G717, Vöruskrá!A:A, Vöruskrá!G:G, "")), ""), IF(F717 = "Réttur", IFERROR(_xlfn.SINGLE(_xlfn.XLOOKUP(G717, Réttabanki!A:A, Réttabanki!AU:AU, "")), ""), "")))</f>
        <v/>
      </c>
      <c r="O717" s="26" t="str">
        <f>IF(OR(F717 = "", G717 = "", I717 = ""), "", IF(F717 = "Vara", IFERROR(_xlfn.SINGLE(_xlfn.XLOOKUP(G717, Vöruskrá!A:A, Vöruskrá!I:I, "")) * I717 / 100, ""), IF(F717 = "Réttur", IFERROR(_xlfn.SINGLE(_xlfn.XLOOKUP(G717, Réttabanki!A:A, Réttabanki!AV:AV, "")) * I717 / 100, ""), "")))</f>
        <v/>
      </c>
      <c r="P717" s="26" t="str">
        <f>IF(OR(F717 = "", G717 = "", I717 = ""), "", IF(F717 = "Vara", IFERROR(_xlfn.SINGLE(_xlfn.XLOOKUP(G717, Vöruskrá!A:A, Vöruskrá!J:J, "")) * I717 / 100, ""), IF(F717 = "Réttur", IFERROR(_xlfn.SINGLE(_xlfn.XLOOKUP(G717, Réttabanki!A:A, Réttabanki!AW:AW, "")) * I717 / 100, ""), "")))</f>
        <v/>
      </c>
      <c r="Q717" s="26" t="str">
        <f>IF(OR(F717 = "", G717 = "", I717 = ""), "", IF(F717 = "Vara", IFERROR(_xlfn.SINGLE(_xlfn.XLOOKUP(G717, Vöruskrá!A:A, Vöruskrá!N:N, "")) * I717 / 100, ""), IF(F717 = "Réttur", IFERROR(_xlfn.SINGLE(_xlfn.XLOOKUP(G717, Réttabanki!A:A, Réttabanki!BB:BB, "")) * I717 / 100, ""), "")))</f>
        <v/>
      </c>
    </row>
    <row r="718" spans="2:17">
      <c r="B718" s="33" t="str">
        <f>IF(A718&lt;&gt;"",CHOOSE(WEEKDAY(A718,2),"Mánudagur","Þriðjudagur","Miðvikudagur","Fimmtudagur","Föstudagur","Laugardagur","Sunnudagur"),IF(B717&lt;&gt;"",B717,""))</f>
        <v>Fimmtudagur</v>
      </c>
      <c r="C718" s="33">
        <f>IF(A718&lt;&gt;"",WEEKNUM(A718,21),IF(C717&lt;&gt;"",C717,""))</f>
        <v>27</v>
      </c>
      <c r="D718" s="34"/>
      <c r="E718" s="34"/>
      <c r="F718" s="34"/>
      <c r="G718" s="34"/>
      <c r="H718" s="34"/>
      <c r="I718" s="35"/>
      <c r="J718" s="35"/>
      <c r="K718" s="36"/>
      <c r="L718" s="26" t="str">
        <f>IF(OR(F718 = "", G718 = ""), "", IF(F718 = "Vara", IFERROR(_xlfn.SINGLE(_xlfn.XLOOKUP(G718, Vöruskrá!A:A, Vöruskrá!E:E, "")), ""), IF(F718 = "Réttur", IFERROR(_xlfn.SINGLE(_xlfn.XLOOKUP(G718, Réttabanki!A:A, Réttabanki!AS:AS, "")), ""), "")))</f>
        <v/>
      </c>
      <c r="M718" s="26" t="str">
        <f>IF(OR(F718 = "", G718 = ""), "", IF(F718 = "Vara", IFERROR(_xlfn.SINGLE(_xlfn.XLOOKUP(G718, Vöruskrá!A:A, Vöruskrá!F:F, "")), ""), IF(F718 = "Réttur", IFERROR(_xlfn.SINGLE(_xlfn.XLOOKUP(G718, Réttabanki!A:A, Réttabanki!AT:AT, "")), ""), "")))</f>
        <v/>
      </c>
      <c r="N718" s="26" t="str">
        <f>IF(OR(F718 = "", G718 = ""), "", IF(F718 = "Vara", IFERROR(_xlfn.SINGLE(_xlfn.XLOOKUP(G718, Vöruskrá!A:A, Vöruskrá!G:G, "")), ""), IF(F718 = "Réttur", IFERROR(_xlfn.SINGLE(_xlfn.XLOOKUP(G718, Réttabanki!A:A, Réttabanki!AU:AU, "")), ""), "")))</f>
        <v/>
      </c>
      <c r="O718" s="26" t="str">
        <f>IF(OR(F718 = "", G718 = "", I718 = ""), "", IF(F718 = "Vara", IFERROR(_xlfn.SINGLE(_xlfn.XLOOKUP(G718, Vöruskrá!A:A, Vöruskrá!I:I, "")) * I718 / 100, ""), IF(F718 = "Réttur", IFERROR(_xlfn.SINGLE(_xlfn.XLOOKUP(G718, Réttabanki!A:A, Réttabanki!AV:AV, "")) * I718 / 100, ""), "")))</f>
        <v/>
      </c>
      <c r="P718" s="26" t="str">
        <f>IF(OR(F718 = "", G718 = "", I718 = ""), "", IF(F718 = "Vara", IFERROR(_xlfn.SINGLE(_xlfn.XLOOKUP(G718, Vöruskrá!A:A, Vöruskrá!J:J, "")) * I718 / 100, ""), IF(F718 = "Réttur", IFERROR(_xlfn.SINGLE(_xlfn.XLOOKUP(G718, Réttabanki!A:A, Réttabanki!AW:AW, "")) * I718 / 100, ""), "")))</f>
        <v/>
      </c>
      <c r="Q718" s="26" t="str">
        <f>IF(OR(F718 = "", G718 = "", I718 = ""), "", IF(F718 = "Vara", IFERROR(_xlfn.SINGLE(_xlfn.XLOOKUP(G718, Vöruskrá!A:A, Vöruskrá!N:N, "")) * I718 / 100, ""), IF(F718 = "Réttur", IFERROR(_xlfn.SINGLE(_xlfn.XLOOKUP(G718, Réttabanki!A:A, Réttabanki!BB:BB, "")) * I718 / 100, ""), "")))</f>
        <v/>
      </c>
    </row>
    <row r="719" spans="2:17">
      <c r="B719" s="33" t="str">
        <f>IF(A719&lt;&gt;"",CHOOSE(WEEKDAY(A719,2),"Mánudagur","Þriðjudagur","Miðvikudagur","Fimmtudagur","Föstudagur","Laugardagur","Sunnudagur"),IF(B718&lt;&gt;"",B718,""))</f>
        <v>Fimmtudagur</v>
      </c>
      <c r="C719" s="33">
        <f>IF(A719&lt;&gt;"",WEEKNUM(A719,21),IF(C718&lt;&gt;"",C718,""))</f>
        <v>27</v>
      </c>
      <c r="D719" s="34"/>
      <c r="E719" s="34"/>
      <c r="F719" s="34"/>
      <c r="G719" s="34"/>
      <c r="H719" s="34"/>
      <c r="I719" s="35"/>
      <c r="J719" s="35"/>
      <c r="K719" s="36"/>
      <c r="L719" s="26" t="str">
        <f>IF(OR(F719 = "", G719 = ""), "", IF(F719 = "Vara", IFERROR(_xlfn.SINGLE(_xlfn.XLOOKUP(G719, Vöruskrá!A:A, Vöruskrá!E:E, "")), ""), IF(F719 = "Réttur", IFERROR(_xlfn.SINGLE(_xlfn.XLOOKUP(G719, Réttabanki!A:A, Réttabanki!AS:AS, "")), ""), "")))</f>
        <v/>
      </c>
      <c r="M719" s="26" t="str">
        <f>IF(OR(F719 = "", G719 = ""), "", IF(F719 = "Vara", IFERROR(_xlfn.SINGLE(_xlfn.XLOOKUP(G719, Vöruskrá!A:A, Vöruskrá!F:F, "")), ""), IF(F719 = "Réttur", IFERROR(_xlfn.SINGLE(_xlfn.XLOOKUP(G719, Réttabanki!A:A, Réttabanki!AT:AT, "")), ""), "")))</f>
        <v/>
      </c>
      <c r="N719" s="26" t="str">
        <f>IF(OR(F719 = "", G719 = ""), "", IF(F719 = "Vara", IFERROR(_xlfn.SINGLE(_xlfn.XLOOKUP(G719, Vöruskrá!A:A, Vöruskrá!G:G, "")), ""), IF(F719 = "Réttur", IFERROR(_xlfn.SINGLE(_xlfn.XLOOKUP(G719, Réttabanki!A:A, Réttabanki!AU:AU, "")), ""), "")))</f>
        <v/>
      </c>
      <c r="O719" s="26" t="str">
        <f>IF(OR(F719 = "", G719 = "", I719 = ""), "", IF(F719 = "Vara", IFERROR(_xlfn.SINGLE(_xlfn.XLOOKUP(G719, Vöruskrá!A:A, Vöruskrá!I:I, "")) * I719 / 100, ""), IF(F719 = "Réttur", IFERROR(_xlfn.SINGLE(_xlfn.XLOOKUP(G719, Réttabanki!A:A, Réttabanki!AV:AV, "")) * I719 / 100, ""), "")))</f>
        <v/>
      </c>
      <c r="P719" s="26" t="str">
        <f>IF(OR(F719 = "", G719 = "", I719 = ""), "", IF(F719 = "Vara", IFERROR(_xlfn.SINGLE(_xlfn.XLOOKUP(G719, Vöruskrá!A:A, Vöruskrá!J:J, "")) * I719 / 100, ""), IF(F719 = "Réttur", IFERROR(_xlfn.SINGLE(_xlfn.XLOOKUP(G719, Réttabanki!A:A, Réttabanki!AW:AW, "")) * I719 / 100, ""), "")))</f>
        <v/>
      </c>
      <c r="Q719" s="26" t="str">
        <f>IF(OR(F719 = "", G719 = "", I719 = ""), "", IF(F719 = "Vara", IFERROR(_xlfn.SINGLE(_xlfn.XLOOKUP(G719, Vöruskrá!A:A, Vöruskrá!N:N, "")) * I719 / 100, ""), IF(F719 = "Réttur", IFERROR(_xlfn.SINGLE(_xlfn.XLOOKUP(G719, Réttabanki!A:A, Réttabanki!BB:BB, "")) * I719 / 100, ""), "")))</f>
        <v/>
      </c>
    </row>
    <row r="720" spans="2:17">
      <c r="B720" s="33" t="str">
        <f>IF(A720&lt;&gt;"",CHOOSE(WEEKDAY(A720,2),"Mánudagur","Þriðjudagur","Miðvikudagur","Fimmtudagur","Föstudagur","Laugardagur","Sunnudagur"),IF(B719&lt;&gt;"",B719,""))</f>
        <v>Fimmtudagur</v>
      </c>
      <c r="C720" s="33">
        <f>IF(A720&lt;&gt;"",WEEKNUM(A720,21),IF(C719&lt;&gt;"",C719,""))</f>
        <v>27</v>
      </c>
      <c r="D720" s="34"/>
      <c r="E720" s="34"/>
      <c r="F720" s="34"/>
      <c r="G720" s="34"/>
      <c r="H720" s="34"/>
      <c r="I720" s="35"/>
      <c r="J720" s="35"/>
      <c r="K720" s="36"/>
      <c r="L720" s="26" t="str">
        <f>IF(OR(F720 = "", G720 = ""), "", IF(F720 = "Vara", IFERROR(_xlfn.SINGLE(_xlfn.XLOOKUP(G720, Vöruskrá!A:A, Vöruskrá!E:E, "")), ""), IF(F720 = "Réttur", IFERROR(_xlfn.SINGLE(_xlfn.XLOOKUP(G720, Réttabanki!A:A, Réttabanki!AS:AS, "")), ""), "")))</f>
        <v/>
      </c>
      <c r="M720" s="26" t="str">
        <f>IF(OR(F720 = "", G720 = ""), "", IF(F720 = "Vara", IFERROR(_xlfn.SINGLE(_xlfn.XLOOKUP(G720, Vöruskrá!A:A, Vöruskrá!F:F, "")), ""), IF(F720 = "Réttur", IFERROR(_xlfn.SINGLE(_xlfn.XLOOKUP(G720, Réttabanki!A:A, Réttabanki!AT:AT, "")), ""), "")))</f>
        <v/>
      </c>
      <c r="N720" s="26" t="str">
        <f>IF(OR(F720 = "", G720 = ""), "", IF(F720 = "Vara", IFERROR(_xlfn.SINGLE(_xlfn.XLOOKUP(G720, Vöruskrá!A:A, Vöruskrá!G:G, "")), ""), IF(F720 = "Réttur", IFERROR(_xlfn.SINGLE(_xlfn.XLOOKUP(G720, Réttabanki!A:A, Réttabanki!AU:AU, "")), ""), "")))</f>
        <v/>
      </c>
      <c r="O720" s="26" t="str">
        <f>IF(OR(F720 = "", G720 = "", I720 = ""), "", IF(F720 = "Vara", IFERROR(_xlfn.SINGLE(_xlfn.XLOOKUP(G720, Vöruskrá!A:A, Vöruskrá!I:I, "")) * I720 / 100, ""), IF(F720 = "Réttur", IFERROR(_xlfn.SINGLE(_xlfn.XLOOKUP(G720, Réttabanki!A:A, Réttabanki!AV:AV, "")) * I720 / 100, ""), "")))</f>
        <v/>
      </c>
      <c r="P720" s="26" t="str">
        <f>IF(OR(F720 = "", G720 = "", I720 = ""), "", IF(F720 = "Vara", IFERROR(_xlfn.SINGLE(_xlfn.XLOOKUP(G720, Vöruskrá!A:A, Vöruskrá!J:J, "")) * I720 / 100, ""), IF(F720 = "Réttur", IFERROR(_xlfn.SINGLE(_xlfn.XLOOKUP(G720, Réttabanki!A:A, Réttabanki!AW:AW, "")) * I720 / 100, ""), "")))</f>
        <v/>
      </c>
      <c r="Q720" s="26" t="str">
        <f>IF(OR(F720 = "", G720 = "", I720 = ""), "", IF(F720 = "Vara", IFERROR(_xlfn.SINGLE(_xlfn.XLOOKUP(G720, Vöruskrá!A:A, Vöruskrá!N:N, "")) * I720 / 100, ""), IF(F720 = "Réttur", IFERROR(_xlfn.SINGLE(_xlfn.XLOOKUP(G720, Réttabanki!A:A, Réttabanki!BB:BB, "")) * I720 / 100, ""), "")))</f>
        <v/>
      </c>
    </row>
    <row r="721" spans="2:17">
      <c r="B721" s="33" t="str">
        <f>IF(A721&lt;&gt;"",CHOOSE(WEEKDAY(A721,2),"Mánudagur","Þriðjudagur","Miðvikudagur","Fimmtudagur","Föstudagur","Laugardagur","Sunnudagur"),IF(B720&lt;&gt;"",B720,""))</f>
        <v>Fimmtudagur</v>
      </c>
      <c r="C721" s="33">
        <f>IF(A721&lt;&gt;"",WEEKNUM(A721,21),IF(C720&lt;&gt;"",C720,""))</f>
        <v>27</v>
      </c>
      <c r="D721" s="34"/>
      <c r="E721" s="34"/>
      <c r="F721" s="34"/>
      <c r="G721" s="34"/>
      <c r="H721" s="34"/>
      <c r="I721" s="35"/>
      <c r="J721" s="35"/>
      <c r="K721" s="36"/>
      <c r="L721" s="26" t="str">
        <f>IF(OR(F721 = "", G721 = ""), "", IF(F721 = "Vara", IFERROR(_xlfn.SINGLE(_xlfn.XLOOKUP(G721, Vöruskrá!A:A, Vöruskrá!E:E, "")), ""), IF(F721 = "Réttur", IFERROR(_xlfn.SINGLE(_xlfn.XLOOKUP(G721, Réttabanki!A:A, Réttabanki!AS:AS, "")), ""), "")))</f>
        <v/>
      </c>
      <c r="M721" s="26" t="str">
        <f>IF(OR(F721 = "", G721 = ""), "", IF(F721 = "Vara", IFERROR(_xlfn.SINGLE(_xlfn.XLOOKUP(G721, Vöruskrá!A:A, Vöruskrá!F:F, "")), ""), IF(F721 = "Réttur", IFERROR(_xlfn.SINGLE(_xlfn.XLOOKUP(G721, Réttabanki!A:A, Réttabanki!AT:AT, "")), ""), "")))</f>
        <v/>
      </c>
      <c r="N721" s="26" t="str">
        <f>IF(OR(F721 = "", G721 = ""), "", IF(F721 = "Vara", IFERROR(_xlfn.SINGLE(_xlfn.XLOOKUP(G721, Vöruskrá!A:A, Vöruskrá!G:G, "")), ""), IF(F721 = "Réttur", IFERROR(_xlfn.SINGLE(_xlfn.XLOOKUP(G721, Réttabanki!A:A, Réttabanki!AU:AU, "")), ""), "")))</f>
        <v/>
      </c>
      <c r="O721" s="26" t="str">
        <f>IF(OR(F721 = "", G721 = "", I721 = ""), "", IF(F721 = "Vara", IFERROR(_xlfn.SINGLE(_xlfn.XLOOKUP(G721, Vöruskrá!A:A, Vöruskrá!I:I, "")) * I721 / 100, ""), IF(F721 = "Réttur", IFERROR(_xlfn.SINGLE(_xlfn.XLOOKUP(G721, Réttabanki!A:A, Réttabanki!AV:AV, "")) * I721 / 100, ""), "")))</f>
        <v/>
      </c>
      <c r="P721" s="26" t="str">
        <f>IF(OR(F721 = "", G721 = "", I721 = ""), "", IF(F721 = "Vara", IFERROR(_xlfn.SINGLE(_xlfn.XLOOKUP(G721, Vöruskrá!A:A, Vöruskrá!J:J, "")) * I721 / 100, ""), IF(F721 = "Réttur", IFERROR(_xlfn.SINGLE(_xlfn.XLOOKUP(G721, Réttabanki!A:A, Réttabanki!AW:AW, "")) * I721 / 100, ""), "")))</f>
        <v/>
      </c>
      <c r="Q721" s="26" t="str">
        <f>IF(OR(F721 = "", G721 = "", I721 = ""), "", IF(F721 = "Vara", IFERROR(_xlfn.SINGLE(_xlfn.XLOOKUP(G721, Vöruskrá!A:A, Vöruskrá!N:N, "")) * I721 / 100, ""), IF(F721 = "Réttur", IFERROR(_xlfn.SINGLE(_xlfn.XLOOKUP(G721, Réttabanki!A:A, Réttabanki!BB:BB, "")) * I721 / 100, ""), "")))</f>
        <v/>
      </c>
    </row>
    <row r="722" spans="2:17">
      <c r="B722" s="33" t="str">
        <f>IF(A722&lt;&gt;"",CHOOSE(WEEKDAY(A722,2),"Mánudagur","Þriðjudagur","Miðvikudagur","Fimmtudagur","Föstudagur","Laugardagur","Sunnudagur"),IF(B721&lt;&gt;"",B721,""))</f>
        <v>Fimmtudagur</v>
      </c>
      <c r="C722" s="33">
        <f>IF(A722&lt;&gt;"",WEEKNUM(A722,21),IF(C721&lt;&gt;"",C721,""))</f>
        <v>27</v>
      </c>
      <c r="D722" s="34"/>
      <c r="E722" s="34"/>
      <c r="F722" s="34"/>
      <c r="G722" s="34"/>
      <c r="H722" s="34"/>
      <c r="I722" s="35"/>
      <c r="J722" s="35"/>
      <c r="K722" s="36"/>
      <c r="L722" s="26" t="str">
        <f>IF(OR(F722 = "", G722 = ""), "", IF(F722 = "Vara", IFERROR(_xlfn.SINGLE(_xlfn.XLOOKUP(G722, Vöruskrá!A:A, Vöruskrá!E:E, "")), ""), IF(F722 = "Réttur", IFERROR(_xlfn.SINGLE(_xlfn.XLOOKUP(G722, Réttabanki!A:A, Réttabanki!AS:AS, "")), ""), "")))</f>
        <v/>
      </c>
      <c r="M722" s="26" t="str">
        <f>IF(OR(F722 = "", G722 = ""), "", IF(F722 = "Vara", IFERROR(_xlfn.SINGLE(_xlfn.XLOOKUP(G722, Vöruskrá!A:A, Vöruskrá!F:F, "")), ""), IF(F722 = "Réttur", IFERROR(_xlfn.SINGLE(_xlfn.XLOOKUP(G722, Réttabanki!A:A, Réttabanki!AT:AT, "")), ""), "")))</f>
        <v/>
      </c>
      <c r="N722" s="26" t="str">
        <f>IF(OR(F722 = "", G722 = ""), "", IF(F722 = "Vara", IFERROR(_xlfn.SINGLE(_xlfn.XLOOKUP(G722, Vöruskrá!A:A, Vöruskrá!G:G, "")), ""), IF(F722 = "Réttur", IFERROR(_xlfn.SINGLE(_xlfn.XLOOKUP(G722, Réttabanki!A:A, Réttabanki!AU:AU, "")), ""), "")))</f>
        <v/>
      </c>
      <c r="O722" s="26" t="str">
        <f>IF(OR(F722 = "", G722 = "", I722 = ""), "", IF(F722 = "Vara", IFERROR(_xlfn.SINGLE(_xlfn.XLOOKUP(G722, Vöruskrá!A:A, Vöruskrá!I:I, "")) * I722 / 100, ""), IF(F722 = "Réttur", IFERROR(_xlfn.SINGLE(_xlfn.XLOOKUP(G722, Réttabanki!A:A, Réttabanki!AV:AV, "")) * I722 / 100, ""), "")))</f>
        <v/>
      </c>
      <c r="P722" s="26" t="str">
        <f>IF(OR(F722 = "", G722 = "", I722 = ""), "", IF(F722 = "Vara", IFERROR(_xlfn.SINGLE(_xlfn.XLOOKUP(G722, Vöruskrá!A:A, Vöruskrá!J:J, "")) * I722 / 100, ""), IF(F722 = "Réttur", IFERROR(_xlfn.SINGLE(_xlfn.XLOOKUP(G722, Réttabanki!A:A, Réttabanki!AW:AW, "")) * I722 / 100, ""), "")))</f>
        <v/>
      </c>
      <c r="Q722" s="26" t="str">
        <f>IF(OR(F722 = "", G722 = "", I722 = ""), "", IF(F722 = "Vara", IFERROR(_xlfn.SINGLE(_xlfn.XLOOKUP(G722, Vöruskrá!A:A, Vöruskrá!N:N, "")) * I722 / 100, ""), IF(F722 = "Réttur", IFERROR(_xlfn.SINGLE(_xlfn.XLOOKUP(G722, Réttabanki!A:A, Réttabanki!BB:BB, "")) * I722 / 100, ""), "")))</f>
        <v/>
      </c>
    </row>
    <row r="723" spans="2:17">
      <c r="B723" s="33" t="str">
        <f>IF(A723&lt;&gt;"",CHOOSE(WEEKDAY(A723,2),"Mánudagur","Þriðjudagur","Miðvikudagur","Fimmtudagur","Föstudagur","Laugardagur","Sunnudagur"),IF(B722&lt;&gt;"",B722,""))</f>
        <v>Fimmtudagur</v>
      </c>
      <c r="C723" s="33">
        <f>IF(A723&lt;&gt;"",WEEKNUM(A723,21),IF(C722&lt;&gt;"",C722,""))</f>
        <v>27</v>
      </c>
      <c r="D723" s="34"/>
      <c r="E723" s="34"/>
      <c r="F723" s="34"/>
      <c r="G723" s="34"/>
      <c r="H723" s="34"/>
      <c r="I723" s="35"/>
      <c r="J723" s="35"/>
      <c r="K723" s="36"/>
      <c r="L723" s="26" t="str">
        <f>IF(OR(F723 = "", G723 = ""), "", IF(F723 = "Vara", IFERROR(_xlfn.SINGLE(_xlfn.XLOOKUP(G723, Vöruskrá!A:A, Vöruskrá!E:E, "")), ""), IF(F723 = "Réttur", IFERROR(_xlfn.SINGLE(_xlfn.XLOOKUP(G723, Réttabanki!A:A, Réttabanki!AS:AS, "")), ""), "")))</f>
        <v/>
      </c>
      <c r="M723" s="26" t="str">
        <f>IF(OR(F723 = "", G723 = ""), "", IF(F723 = "Vara", IFERROR(_xlfn.SINGLE(_xlfn.XLOOKUP(G723, Vöruskrá!A:A, Vöruskrá!F:F, "")), ""), IF(F723 = "Réttur", IFERROR(_xlfn.SINGLE(_xlfn.XLOOKUP(G723, Réttabanki!A:A, Réttabanki!AT:AT, "")), ""), "")))</f>
        <v/>
      </c>
      <c r="N723" s="26" t="str">
        <f>IF(OR(F723 = "", G723 = ""), "", IF(F723 = "Vara", IFERROR(_xlfn.SINGLE(_xlfn.XLOOKUP(G723, Vöruskrá!A:A, Vöruskrá!G:G, "")), ""), IF(F723 = "Réttur", IFERROR(_xlfn.SINGLE(_xlfn.XLOOKUP(G723, Réttabanki!A:A, Réttabanki!AU:AU, "")), ""), "")))</f>
        <v/>
      </c>
      <c r="O723" s="26" t="str">
        <f>IF(OR(F723 = "", G723 = "", I723 = ""), "", IF(F723 = "Vara", IFERROR(_xlfn.SINGLE(_xlfn.XLOOKUP(G723, Vöruskrá!A:A, Vöruskrá!I:I, "")) * I723 / 100, ""), IF(F723 = "Réttur", IFERROR(_xlfn.SINGLE(_xlfn.XLOOKUP(G723, Réttabanki!A:A, Réttabanki!AV:AV, "")) * I723 / 100, ""), "")))</f>
        <v/>
      </c>
      <c r="P723" s="26" t="str">
        <f>IF(OR(F723 = "", G723 = "", I723 = ""), "", IF(F723 = "Vara", IFERROR(_xlfn.SINGLE(_xlfn.XLOOKUP(G723, Vöruskrá!A:A, Vöruskrá!J:J, "")) * I723 / 100, ""), IF(F723 = "Réttur", IFERROR(_xlfn.SINGLE(_xlfn.XLOOKUP(G723, Réttabanki!A:A, Réttabanki!AW:AW, "")) * I723 / 100, ""), "")))</f>
        <v/>
      </c>
      <c r="Q723" s="26" t="str">
        <f>IF(OR(F723 = "", G723 = "", I723 = ""), "", IF(F723 = "Vara", IFERROR(_xlfn.SINGLE(_xlfn.XLOOKUP(G723, Vöruskrá!A:A, Vöruskrá!N:N, "")) * I723 / 100, ""), IF(F723 = "Réttur", IFERROR(_xlfn.SINGLE(_xlfn.XLOOKUP(G723, Réttabanki!A:A, Réttabanki!BB:BB, "")) * I723 / 100, ""), "")))</f>
        <v/>
      </c>
    </row>
    <row r="724" spans="2:17">
      <c r="B724" s="33" t="str">
        <f>IF(A724&lt;&gt;"",CHOOSE(WEEKDAY(A724,2),"Mánudagur","Þriðjudagur","Miðvikudagur","Fimmtudagur","Föstudagur","Laugardagur","Sunnudagur"),IF(B723&lt;&gt;"",B723,""))</f>
        <v>Fimmtudagur</v>
      </c>
      <c r="C724" s="33">
        <f>IF(A724&lt;&gt;"",WEEKNUM(A724,21),IF(C723&lt;&gt;"",C723,""))</f>
        <v>27</v>
      </c>
      <c r="D724" s="34"/>
      <c r="E724" s="34"/>
      <c r="F724" s="34"/>
      <c r="G724" s="34"/>
      <c r="H724" s="34"/>
      <c r="I724" s="35"/>
      <c r="J724" s="35"/>
      <c r="K724" s="36"/>
      <c r="L724" s="26" t="str">
        <f>IF(OR(F724 = "", G724 = ""), "", IF(F724 = "Vara", IFERROR(_xlfn.SINGLE(_xlfn.XLOOKUP(G724, Vöruskrá!A:A, Vöruskrá!E:E, "")), ""), IF(F724 = "Réttur", IFERROR(_xlfn.SINGLE(_xlfn.XLOOKUP(G724, Réttabanki!A:A, Réttabanki!AS:AS, "")), ""), "")))</f>
        <v/>
      </c>
      <c r="M724" s="26" t="str">
        <f>IF(OR(F724 = "", G724 = ""), "", IF(F724 = "Vara", IFERROR(_xlfn.SINGLE(_xlfn.XLOOKUP(G724, Vöruskrá!A:A, Vöruskrá!F:F, "")), ""), IF(F724 = "Réttur", IFERROR(_xlfn.SINGLE(_xlfn.XLOOKUP(G724, Réttabanki!A:A, Réttabanki!AT:AT, "")), ""), "")))</f>
        <v/>
      </c>
      <c r="N724" s="26" t="str">
        <f>IF(OR(F724 = "", G724 = ""), "", IF(F724 = "Vara", IFERROR(_xlfn.SINGLE(_xlfn.XLOOKUP(G724, Vöruskrá!A:A, Vöruskrá!G:G, "")), ""), IF(F724 = "Réttur", IFERROR(_xlfn.SINGLE(_xlfn.XLOOKUP(G724, Réttabanki!A:A, Réttabanki!AU:AU, "")), ""), "")))</f>
        <v/>
      </c>
      <c r="O724" s="26" t="str">
        <f>IF(OR(F724 = "", G724 = "", I724 = ""), "", IF(F724 = "Vara", IFERROR(_xlfn.SINGLE(_xlfn.XLOOKUP(G724, Vöruskrá!A:A, Vöruskrá!I:I, "")) * I724 / 100, ""), IF(F724 = "Réttur", IFERROR(_xlfn.SINGLE(_xlfn.XLOOKUP(G724, Réttabanki!A:A, Réttabanki!AV:AV, "")) * I724 / 100, ""), "")))</f>
        <v/>
      </c>
      <c r="P724" s="26" t="str">
        <f>IF(OR(F724 = "", G724 = "", I724 = ""), "", IF(F724 = "Vara", IFERROR(_xlfn.SINGLE(_xlfn.XLOOKUP(G724, Vöruskrá!A:A, Vöruskrá!J:J, "")) * I724 / 100, ""), IF(F724 = "Réttur", IFERROR(_xlfn.SINGLE(_xlfn.XLOOKUP(G724, Réttabanki!A:A, Réttabanki!AW:AW, "")) * I724 / 100, ""), "")))</f>
        <v/>
      </c>
      <c r="Q724" s="26" t="str">
        <f>IF(OR(F724 = "", G724 = "", I724 = ""), "", IF(F724 = "Vara", IFERROR(_xlfn.SINGLE(_xlfn.XLOOKUP(G724, Vöruskrá!A:A, Vöruskrá!N:N, "")) * I724 / 100, ""), IF(F724 = "Réttur", IFERROR(_xlfn.SINGLE(_xlfn.XLOOKUP(G724, Réttabanki!A:A, Réttabanki!BB:BB, "")) * I724 / 100, ""), "")))</f>
        <v/>
      </c>
    </row>
    <row r="725" spans="2:17">
      <c r="B725" s="33" t="str">
        <f>IF(A725&lt;&gt;"",CHOOSE(WEEKDAY(A725,2),"Mánudagur","Þriðjudagur","Miðvikudagur","Fimmtudagur","Föstudagur","Laugardagur","Sunnudagur"),IF(B724&lt;&gt;"",B724,""))</f>
        <v>Fimmtudagur</v>
      </c>
      <c r="C725" s="33">
        <f>IF(A725&lt;&gt;"",WEEKNUM(A725,21),IF(C724&lt;&gt;"",C724,""))</f>
        <v>27</v>
      </c>
      <c r="D725" s="34"/>
      <c r="E725" s="34"/>
      <c r="F725" s="34"/>
      <c r="G725" s="34"/>
      <c r="H725" s="34"/>
      <c r="I725" s="35"/>
      <c r="J725" s="35"/>
      <c r="K725" s="36"/>
      <c r="L725" s="26" t="str">
        <f>IF(OR(F725 = "", G725 = ""), "", IF(F725 = "Vara", IFERROR(_xlfn.SINGLE(_xlfn.XLOOKUP(G725, Vöruskrá!A:A, Vöruskrá!E:E, "")), ""), IF(F725 = "Réttur", IFERROR(_xlfn.SINGLE(_xlfn.XLOOKUP(G725, Réttabanki!A:A, Réttabanki!AS:AS, "")), ""), "")))</f>
        <v/>
      </c>
      <c r="M725" s="26" t="str">
        <f>IF(OR(F725 = "", G725 = ""), "", IF(F725 = "Vara", IFERROR(_xlfn.SINGLE(_xlfn.XLOOKUP(G725, Vöruskrá!A:A, Vöruskrá!F:F, "")), ""), IF(F725 = "Réttur", IFERROR(_xlfn.SINGLE(_xlfn.XLOOKUP(G725, Réttabanki!A:A, Réttabanki!AT:AT, "")), ""), "")))</f>
        <v/>
      </c>
      <c r="N725" s="26" t="str">
        <f>IF(OR(F725 = "", G725 = ""), "", IF(F725 = "Vara", IFERROR(_xlfn.SINGLE(_xlfn.XLOOKUP(G725, Vöruskrá!A:A, Vöruskrá!G:G, "")), ""), IF(F725 = "Réttur", IFERROR(_xlfn.SINGLE(_xlfn.XLOOKUP(G725, Réttabanki!A:A, Réttabanki!AU:AU, "")), ""), "")))</f>
        <v/>
      </c>
      <c r="O725" s="26" t="str">
        <f>IF(OR(F725 = "", G725 = "", I725 = ""), "", IF(F725 = "Vara", IFERROR(_xlfn.SINGLE(_xlfn.XLOOKUP(G725, Vöruskrá!A:A, Vöruskrá!I:I, "")) * I725 / 100, ""), IF(F725 = "Réttur", IFERROR(_xlfn.SINGLE(_xlfn.XLOOKUP(G725, Réttabanki!A:A, Réttabanki!AV:AV, "")) * I725 / 100, ""), "")))</f>
        <v/>
      </c>
      <c r="P725" s="26" t="str">
        <f>IF(OR(F725 = "", G725 = "", I725 = ""), "", IF(F725 = "Vara", IFERROR(_xlfn.SINGLE(_xlfn.XLOOKUP(G725, Vöruskrá!A:A, Vöruskrá!J:J, "")) * I725 / 100, ""), IF(F725 = "Réttur", IFERROR(_xlfn.SINGLE(_xlfn.XLOOKUP(G725, Réttabanki!A:A, Réttabanki!AW:AW, "")) * I725 / 100, ""), "")))</f>
        <v/>
      </c>
      <c r="Q725" s="26" t="str">
        <f>IF(OR(F725 = "", G725 = "", I725 = ""), "", IF(F725 = "Vara", IFERROR(_xlfn.SINGLE(_xlfn.XLOOKUP(G725, Vöruskrá!A:A, Vöruskrá!N:N, "")) * I725 / 100, ""), IF(F725 = "Réttur", IFERROR(_xlfn.SINGLE(_xlfn.XLOOKUP(G725, Réttabanki!A:A, Réttabanki!BB:BB, "")) * I725 / 100, ""), "")))</f>
        <v/>
      </c>
    </row>
    <row r="726" spans="2:17">
      <c r="B726" s="33" t="str">
        <f>IF(A726&lt;&gt;"",CHOOSE(WEEKDAY(A726,2),"Mánudagur","Þriðjudagur","Miðvikudagur","Fimmtudagur","Föstudagur","Laugardagur","Sunnudagur"),IF(B725&lt;&gt;"",B725,""))</f>
        <v>Fimmtudagur</v>
      </c>
      <c r="C726" s="33">
        <f>IF(A726&lt;&gt;"",WEEKNUM(A726,21),IF(C725&lt;&gt;"",C725,""))</f>
        <v>27</v>
      </c>
      <c r="D726" s="34"/>
      <c r="E726" s="34"/>
      <c r="F726" s="34"/>
      <c r="G726" s="34"/>
      <c r="H726" s="34"/>
      <c r="I726" s="35"/>
      <c r="J726" s="35"/>
      <c r="K726" s="36"/>
      <c r="L726" s="26" t="str">
        <f>IF(OR(F726 = "", G726 = ""), "", IF(F726 = "Vara", IFERROR(_xlfn.SINGLE(_xlfn.XLOOKUP(G726, Vöruskrá!A:A, Vöruskrá!E:E, "")), ""), IF(F726 = "Réttur", IFERROR(_xlfn.SINGLE(_xlfn.XLOOKUP(G726, Réttabanki!A:A, Réttabanki!AS:AS, "")), ""), "")))</f>
        <v/>
      </c>
      <c r="M726" s="26" t="str">
        <f>IF(OR(F726 = "", G726 = ""), "", IF(F726 = "Vara", IFERROR(_xlfn.SINGLE(_xlfn.XLOOKUP(G726, Vöruskrá!A:A, Vöruskrá!F:F, "")), ""), IF(F726 = "Réttur", IFERROR(_xlfn.SINGLE(_xlfn.XLOOKUP(G726, Réttabanki!A:A, Réttabanki!AT:AT, "")), ""), "")))</f>
        <v/>
      </c>
      <c r="N726" s="26" t="str">
        <f>IF(OR(F726 = "", G726 = ""), "", IF(F726 = "Vara", IFERROR(_xlfn.SINGLE(_xlfn.XLOOKUP(G726, Vöruskrá!A:A, Vöruskrá!G:G, "")), ""), IF(F726 = "Réttur", IFERROR(_xlfn.SINGLE(_xlfn.XLOOKUP(G726, Réttabanki!A:A, Réttabanki!AU:AU, "")), ""), "")))</f>
        <v/>
      </c>
      <c r="O726" s="26" t="str">
        <f>IF(OR(F726 = "", G726 = "", I726 = ""), "", IF(F726 = "Vara", IFERROR(_xlfn.SINGLE(_xlfn.XLOOKUP(G726, Vöruskrá!A:A, Vöruskrá!I:I, "")) * I726 / 100, ""), IF(F726 = "Réttur", IFERROR(_xlfn.SINGLE(_xlfn.XLOOKUP(G726, Réttabanki!A:A, Réttabanki!AV:AV, "")) * I726 / 100, ""), "")))</f>
        <v/>
      </c>
      <c r="P726" s="26" t="str">
        <f>IF(OR(F726 = "", G726 = "", I726 = ""), "", IF(F726 = "Vara", IFERROR(_xlfn.SINGLE(_xlfn.XLOOKUP(G726, Vöruskrá!A:A, Vöruskrá!J:J, "")) * I726 / 100, ""), IF(F726 = "Réttur", IFERROR(_xlfn.SINGLE(_xlfn.XLOOKUP(G726, Réttabanki!A:A, Réttabanki!AW:AW, "")) * I726 / 100, ""), "")))</f>
        <v/>
      </c>
      <c r="Q726" s="26" t="str">
        <f>IF(OR(F726 = "", G726 = "", I726 = ""), "", IF(F726 = "Vara", IFERROR(_xlfn.SINGLE(_xlfn.XLOOKUP(G726, Vöruskrá!A:A, Vöruskrá!N:N, "")) * I726 / 100, ""), IF(F726 = "Réttur", IFERROR(_xlfn.SINGLE(_xlfn.XLOOKUP(G726, Réttabanki!A:A, Réttabanki!BB:BB, "")) * I726 / 100, ""), "")))</f>
        <v/>
      </c>
    </row>
    <row r="727" spans="2:17">
      <c r="B727" s="33" t="str">
        <f>IF(A727&lt;&gt;"",CHOOSE(WEEKDAY(A727,2),"Mánudagur","Þriðjudagur","Miðvikudagur","Fimmtudagur","Föstudagur","Laugardagur","Sunnudagur"),IF(B726&lt;&gt;"",B726,""))</f>
        <v>Fimmtudagur</v>
      </c>
      <c r="C727" s="33">
        <f>IF(A727&lt;&gt;"",WEEKNUM(A727,21),IF(C726&lt;&gt;"",C726,""))</f>
        <v>27</v>
      </c>
      <c r="D727" s="34"/>
      <c r="E727" s="34"/>
      <c r="F727" s="34"/>
      <c r="G727" s="34"/>
      <c r="H727" s="34"/>
      <c r="I727" s="35"/>
      <c r="J727" s="35"/>
      <c r="K727" s="36"/>
      <c r="L727" s="26" t="str">
        <f>IF(OR(F727 = "", G727 = ""), "", IF(F727 = "Vara", IFERROR(_xlfn.SINGLE(_xlfn.XLOOKUP(G727, Vöruskrá!A:A, Vöruskrá!E:E, "")), ""), IF(F727 = "Réttur", IFERROR(_xlfn.SINGLE(_xlfn.XLOOKUP(G727, Réttabanki!A:A, Réttabanki!AS:AS, "")), ""), "")))</f>
        <v/>
      </c>
      <c r="M727" s="26" t="str">
        <f>IF(OR(F727 = "", G727 = ""), "", IF(F727 = "Vara", IFERROR(_xlfn.SINGLE(_xlfn.XLOOKUP(G727, Vöruskrá!A:A, Vöruskrá!F:F, "")), ""), IF(F727 = "Réttur", IFERROR(_xlfn.SINGLE(_xlfn.XLOOKUP(G727, Réttabanki!A:A, Réttabanki!AT:AT, "")), ""), "")))</f>
        <v/>
      </c>
      <c r="N727" s="26" t="str">
        <f>IF(OR(F727 = "", G727 = ""), "", IF(F727 = "Vara", IFERROR(_xlfn.SINGLE(_xlfn.XLOOKUP(G727, Vöruskrá!A:A, Vöruskrá!G:G, "")), ""), IF(F727 = "Réttur", IFERROR(_xlfn.SINGLE(_xlfn.XLOOKUP(G727, Réttabanki!A:A, Réttabanki!AU:AU, "")), ""), "")))</f>
        <v/>
      </c>
      <c r="O727" s="26" t="str">
        <f>IF(OR(F727 = "", G727 = "", I727 = ""), "", IF(F727 = "Vara", IFERROR(_xlfn.SINGLE(_xlfn.XLOOKUP(G727, Vöruskrá!A:A, Vöruskrá!I:I, "")) * I727 / 100, ""), IF(F727 = "Réttur", IFERROR(_xlfn.SINGLE(_xlfn.XLOOKUP(G727, Réttabanki!A:A, Réttabanki!AV:AV, "")) * I727 / 100, ""), "")))</f>
        <v/>
      </c>
      <c r="P727" s="26" t="str">
        <f>IF(OR(F727 = "", G727 = "", I727 = ""), "", IF(F727 = "Vara", IFERROR(_xlfn.SINGLE(_xlfn.XLOOKUP(G727, Vöruskrá!A:A, Vöruskrá!J:J, "")) * I727 / 100, ""), IF(F727 = "Réttur", IFERROR(_xlfn.SINGLE(_xlfn.XLOOKUP(G727, Réttabanki!A:A, Réttabanki!AW:AW, "")) * I727 / 100, ""), "")))</f>
        <v/>
      </c>
      <c r="Q727" s="26" t="str">
        <f>IF(OR(F727 = "", G727 = "", I727 = ""), "", IF(F727 = "Vara", IFERROR(_xlfn.SINGLE(_xlfn.XLOOKUP(G727, Vöruskrá!A:A, Vöruskrá!N:N, "")) * I727 / 100, ""), IF(F727 = "Réttur", IFERROR(_xlfn.SINGLE(_xlfn.XLOOKUP(G727, Réttabanki!A:A, Réttabanki!BB:BB, "")) * I727 / 100, ""), "")))</f>
        <v/>
      </c>
    </row>
    <row r="728" spans="2:17">
      <c r="B728" s="33" t="str">
        <f>IF(A728&lt;&gt;"",CHOOSE(WEEKDAY(A728,2),"Mánudagur","Þriðjudagur","Miðvikudagur","Fimmtudagur","Föstudagur","Laugardagur","Sunnudagur"),IF(B727&lt;&gt;"",B727,""))</f>
        <v>Fimmtudagur</v>
      </c>
      <c r="C728" s="33">
        <f>IF(A728&lt;&gt;"",WEEKNUM(A728,21),IF(C727&lt;&gt;"",C727,""))</f>
        <v>27</v>
      </c>
      <c r="D728" s="34"/>
      <c r="E728" s="34"/>
      <c r="F728" s="34"/>
      <c r="G728" s="34"/>
      <c r="H728" s="34"/>
      <c r="I728" s="35"/>
      <c r="J728" s="35"/>
      <c r="K728" s="36"/>
      <c r="L728" s="26" t="str">
        <f>IF(OR(F728 = "", G728 = ""), "", IF(F728 = "Vara", IFERROR(_xlfn.SINGLE(_xlfn.XLOOKUP(G728, Vöruskrá!A:A, Vöruskrá!E:E, "")), ""), IF(F728 = "Réttur", IFERROR(_xlfn.SINGLE(_xlfn.XLOOKUP(G728, Réttabanki!A:A, Réttabanki!AS:AS, "")), ""), "")))</f>
        <v/>
      </c>
      <c r="M728" s="26" t="str">
        <f>IF(OR(F728 = "", G728 = ""), "", IF(F728 = "Vara", IFERROR(_xlfn.SINGLE(_xlfn.XLOOKUP(G728, Vöruskrá!A:A, Vöruskrá!F:F, "")), ""), IF(F728 = "Réttur", IFERROR(_xlfn.SINGLE(_xlfn.XLOOKUP(G728, Réttabanki!A:A, Réttabanki!AT:AT, "")), ""), "")))</f>
        <v/>
      </c>
      <c r="N728" s="26" t="str">
        <f>IF(OR(F728 = "", G728 = ""), "", IF(F728 = "Vara", IFERROR(_xlfn.SINGLE(_xlfn.XLOOKUP(G728, Vöruskrá!A:A, Vöruskrá!G:G, "")), ""), IF(F728 = "Réttur", IFERROR(_xlfn.SINGLE(_xlfn.XLOOKUP(G728, Réttabanki!A:A, Réttabanki!AU:AU, "")), ""), "")))</f>
        <v/>
      </c>
      <c r="O728" s="26" t="str">
        <f>IF(OR(F728 = "", G728 = "", I728 = ""), "", IF(F728 = "Vara", IFERROR(_xlfn.SINGLE(_xlfn.XLOOKUP(G728, Vöruskrá!A:A, Vöruskrá!I:I, "")) * I728 / 100, ""), IF(F728 = "Réttur", IFERROR(_xlfn.SINGLE(_xlfn.XLOOKUP(G728, Réttabanki!A:A, Réttabanki!AV:AV, "")) * I728 / 100, ""), "")))</f>
        <v/>
      </c>
      <c r="P728" s="26" t="str">
        <f>IF(OR(F728 = "", G728 = "", I728 = ""), "", IF(F728 = "Vara", IFERROR(_xlfn.SINGLE(_xlfn.XLOOKUP(G728, Vöruskrá!A:A, Vöruskrá!J:J, "")) * I728 / 100, ""), IF(F728 = "Réttur", IFERROR(_xlfn.SINGLE(_xlfn.XLOOKUP(G728, Réttabanki!A:A, Réttabanki!AW:AW, "")) * I728 / 100, ""), "")))</f>
        <v/>
      </c>
      <c r="Q728" s="26" t="str">
        <f>IF(OR(F728 = "", G728 = "", I728 = ""), "", IF(F728 = "Vara", IFERROR(_xlfn.SINGLE(_xlfn.XLOOKUP(G728, Vöruskrá!A:A, Vöruskrá!N:N, "")) * I728 / 100, ""), IF(F728 = "Réttur", IFERROR(_xlfn.SINGLE(_xlfn.XLOOKUP(G728, Réttabanki!A:A, Réttabanki!BB:BB, "")) * I728 / 100, ""), "")))</f>
        <v/>
      </c>
    </row>
    <row r="729" spans="2:17">
      <c r="B729" s="33" t="str">
        <f>IF(A729&lt;&gt;"",CHOOSE(WEEKDAY(A729,2),"Mánudagur","Þriðjudagur","Miðvikudagur","Fimmtudagur","Föstudagur","Laugardagur","Sunnudagur"),IF(B728&lt;&gt;"",B728,""))</f>
        <v>Fimmtudagur</v>
      </c>
      <c r="C729" s="33">
        <f>IF(A729&lt;&gt;"",WEEKNUM(A729,21),IF(C728&lt;&gt;"",C728,""))</f>
        <v>27</v>
      </c>
      <c r="D729" s="34"/>
      <c r="E729" s="34"/>
      <c r="F729" s="34"/>
      <c r="G729" s="34"/>
      <c r="H729" s="34"/>
      <c r="I729" s="35"/>
      <c r="J729" s="35"/>
      <c r="K729" s="36"/>
      <c r="L729" s="26" t="str">
        <f>IF(OR(F729 = "", G729 = ""), "", IF(F729 = "Vara", IFERROR(_xlfn.SINGLE(_xlfn.XLOOKUP(G729, Vöruskrá!A:A, Vöruskrá!E:E, "")), ""), IF(F729 = "Réttur", IFERROR(_xlfn.SINGLE(_xlfn.XLOOKUP(G729, Réttabanki!A:A, Réttabanki!AS:AS, "")), ""), "")))</f>
        <v/>
      </c>
      <c r="M729" s="26" t="str">
        <f>IF(OR(F729 = "", G729 = ""), "", IF(F729 = "Vara", IFERROR(_xlfn.SINGLE(_xlfn.XLOOKUP(G729, Vöruskrá!A:A, Vöruskrá!F:F, "")), ""), IF(F729 = "Réttur", IFERROR(_xlfn.SINGLE(_xlfn.XLOOKUP(G729, Réttabanki!A:A, Réttabanki!AT:AT, "")), ""), "")))</f>
        <v/>
      </c>
      <c r="N729" s="26" t="str">
        <f>IF(OR(F729 = "", G729 = ""), "", IF(F729 = "Vara", IFERROR(_xlfn.SINGLE(_xlfn.XLOOKUP(G729, Vöruskrá!A:A, Vöruskrá!G:G, "")), ""), IF(F729 = "Réttur", IFERROR(_xlfn.SINGLE(_xlfn.XLOOKUP(G729, Réttabanki!A:A, Réttabanki!AU:AU, "")), ""), "")))</f>
        <v/>
      </c>
      <c r="O729" s="26" t="str">
        <f>IF(OR(F729 = "", G729 = "", I729 = ""), "", IF(F729 = "Vara", IFERROR(_xlfn.SINGLE(_xlfn.XLOOKUP(G729, Vöruskrá!A:A, Vöruskrá!I:I, "")) * I729 / 100, ""), IF(F729 = "Réttur", IFERROR(_xlfn.SINGLE(_xlfn.XLOOKUP(G729, Réttabanki!A:A, Réttabanki!AV:AV, "")) * I729 / 100, ""), "")))</f>
        <v/>
      </c>
      <c r="P729" s="26" t="str">
        <f>IF(OR(F729 = "", G729 = "", I729 = ""), "", IF(F729 = "Vara", IFERROR(_xlfn.SINGLE(_xlfn.XLOOKUP(G729, Vöruskrá!A:A, Vöruskrá!J:J, "")) * I729 / 100, ""), IF(F729 = "Réttur", IFERROR(_xlfn.SINGLE(_xlfn.XLOOKUP(G729, Réttabanki!A:A, Réttabanki!AW:AW, "")) * I729 / 100, ""), "")))</f>
        <v/>
      </c>
      <c r="Q729" s="26" t="str">
        <f>IF(OR(F729 = "", G729 = "", I729 = ""), "", IF(F729 = "Vara", IFERROR(_xlfn.SINGLE(_xlfn.XLOOKUP(G729, Vöruskrá!A:A, Vöruskrá!N:N, "")) * I729 / 100, ""), IF(F729 = "Réttur", IFERROR(_xlfn.SINGLE(_xlfn.XLOOKUP(G729, Réttabanki!A:A, Réttabanki!BB:BB, "")) * I729 / 100, ""), "")))</f>
        <v/>
      </c>
    </row>
    <row r="730" spans="2:17">
      <c r="B730" s="33" t="str">
        <f>IF(A730&lt;&gt;"",CHOOSE(WEEKDAY(A730,2),"Mánudagur","Þriðjudagur","Miðvikudagur","Fimmtudagur","Föstudagur","Laugardagur","Sunnudagur"),IF(B729&lt;&gt;"",B729,""))</f>
        <v>Fimmtudagur</v>
      </c>
      <c r="C730" s="33">
        <f>IF(A730&lt;&gt;"",WEEKNUM(A730,21),IF(C729&lt;&gt;"",C729,""))</f>
        <v>27</v>
      </c>
      <c r="D730" s="34"/>
      <c r="E730" s="34"/>
      <c r="F730" s="34"/>
      <c r="G730" s="34"/>
      <c r="H730" s="34"/>
      <c r="I730" s="35"/>
      <c r="J730" s="35"/>
      <c r="K730" s="36"/>
      <c r="L730" s="26" t="str">
        <f>IF(OR(F730 = "", G730 = ""), "", IF(F730 = "Vara", IFERROR(_xlfn.SINGLE(_xlfn.XLOOKUP(G730, Vöruskrá!A:A, Vöruskrá!E:E, "")), ""), IF(F730 = "Réttur", IFERROR(_xlfn.SINGLE(_xlfn.XLOOKUP(G730, Réttabanki!A:A, Réttabanki!AS:AS, "")), ""), "")))</f>
        <v/>
      </c>
      <c r="M730" s="26" t="str">
        <f>IF(OR(F730 = "", G730 = ""), "", IF(F730 = "Vara", IFERROR(_xlfn.SINGLE(_xlfn.XLOOKUP(G730, Vöruskrá!A:A, Vöruskrá!F:F, "")), ""), IF(F730 = "Réttur", IFERROR(_xlfn.SINGLE(_xlfn.XLOOKUP(G730, Réttabanki!A:A, Réttabanki!AT:AT, "")), ""), "")))</f>
        <v/>
      </c>
      <c r="N730" s="26" t="str">
        <f>IF(OR(F730 = "", G730 = ""), "", IF(F730 = "Vara", IFERROR(_xlfn.SINGLE(_xlfn.XLOOKUP(G730, Vöruskrá!A:A, Vöruskrá!G:G, "")), ""), IF(F730 = "Réttur", IFERROR(_xlfn.SINGLE(_xlfn.XLOOKUP(G730, Réttabanki!A:A, Réttabanki!AU:AU, "")), ""), "")))</f>
        <v/>
      </c>
      <c r="O730" s="26" t="str">
        <f>IF(OR(F730 = "", G730 = "", I730 = ""), "", IF(F730 = "Vara", IFERROR(_xlfn.SINGLE(_xlfn.XLOOKUP(G730, Vöruskrá!A:A, Vöruskrá!I:I, "")) * I730 / 100, ""), IF(F730 = "Réttur", IFERROR(_xlfn.SINGLE(_xlfn.XLOOKUP(G730, Réttabanki!A:A, Réttabanki!AV:AV, "")) * I730 / 100, ""), "")))</f>
        <v/>
      </c>
      <c r="P730" s="26" t="str">
        <f>IF(OR(F730 = "", G730 = "", I730 = ""), "", IF(F730 = "Vara", IFERROR(_xlfn.SINGLE(_xlfn.XLOOKUP(G730, Vöruskrá!A:A, Vöruskrá!J:J, "")) * I730 / 100, ""), IF(F730 = "Réttur", IFERROR(_xlfn.SINGLE(_xlfn.XLOOKUP(G730, Réttabanki!A:A, Réttabanki!AW:AW, "")) * I730 / 100, ""), "")))</f>
        <v/>
      </c>
      <c r="Q730" s="26" t="str">
        <f>IF(OR(F730 = "", G730 = "", I730 = ""), "", IF(F730 = "Vara", IFERROR(_xlfn.SINGLE(_xlfn.XLOOKUP(G730, Vöruskrá!A:A, Vöruskrá!N:N, "")) * I730 / 100, ""), IF(F730 = "Réttur", IFERROR(_xlfn.SINGLE(_xlfn.XLOOKUP(G730, Réttabanki!A:A, Réttabanki!BB:BB, "")) * I730 / 100, ""), "")))</f>
        <v/>
      </c>
    </row>
    <row r="731" spans="2:17">
      <c r="B731" s="33" t="str">
        <f>IF(A731&lt;&gt;"",CHOOSE(WEEKDAY(A731,2),"Mánudagur","Þriðjudagur","Miðvikudagur","Fimmtudagur","Föstudagur","Laugardagur","Sunnudagur"),IF(B730&lt;&gt;"",B730,""))</f>
        <v>Fimmtudagur</v>
      </c>
      <c r="C731" s="33">
        <f>IF(A731&lt;&gt;"",WEEKNUM(A731,21),IF(C730&lt;&gt;"",C730,""))</f>
        <v>27</v>
      </c>
      <c r="D731" s="34"/>
      <c r="E731" s="34"/>
      <c r="F731" s="34"/>
      <c r="G731" s="34"/>
      <c r="H731" s="34"/>
      <c r="I731" s="35"/>
      <c r="J731" s="35"/>
      <c r="K731" s="36"/>
      <c r="L731" s="26" t="str">
        <f>IF(OR(F731 = "", G731 = ""), "", IF(F731 = "Vara", IFERROR(_xlfn.SINGLE(_xlfn.XLOOKUP(G731, Vöruskrá!A:A, Vöruskrá!E:E, "")), ""), IF(F731 = "Réttur", IFERROR(_xlfn.SINGLE(_xlfn.XLOOKUP(G731, Réttabanki!A:A, Réttabanki!AS:AS, "")), ""), "")))</f>
        <v/>
      </c>
      <c r="M731" s="26" t="str">
        <f>IF(OR(F731 = "", G731 = ""), "", IF(F731 = "Vara", IFERROR(_xlfn.SINGLE(_xlfn.XLOOKUP(G731, Vöruskrá!A:A, Vöruskrá!F:F, "")), ""), IF(F731 = "Réttur", IFERROR(_xlfn.SINGLE(_xlfn.XLOOKUP(G731, Réttabanki!A:A, Réttabanki!AT:AT, "")), ""), "")))</f>
        <v/>
      </c>
      <c r="N731" s="26" t="str">
        <f>IF(OR(F731 = "", G731 = ""), "", IF(F731 = "Vara", IFERROR(_xlfn.SINGLE(_xlfn.XLOOKUP(G731, Vöruskrá!A:A, Vöruskrá!G:G, "")), ""), IF(F731 = "Réttur", IFERROR(_xlfn.SINGLE(_xlfn.XLOOKUP(G731, Réttabanki!A:A, Réttabanki!AU:AU, "")), ""), "")))</f>
        <v/>
      </c>
      <c r="O731" s="26" t="str">
        <f>IF(OR(F731 = "", G731 = "", I731 = ""), "", IF(F731 = "Vara", IFERROR(_xlfn.SINGLE(_xlfn.XLOOKUP(G731, Vöruskrá!A:A, Vöruskrá!I:I, "")) * I731 / 100, ""), IF(F731 = "Réttur", IFERROR(_xlfn.SINGLE(_xlfn.XLOOKUP(G731, Réttabanki!A:A, Réttabanki!AV:AV, "")) * I731 / 100, ""), "")))</f>
        <v/>
      </c>
      <c r="P731" s="26" t="str">
        <f>IF(OR(F731 = "", G731 = "", I731 = ""), "", IF(F731 = "Vara", IFERROR(_xlfn.SINGLE(_xlfn.XLOOKUP(G731, Vöruskrá!A:A, Vöruskrá!J:J, "")) * I731 / 100, ""), IF(F731 = "Réttur", IFERROR(_xlfn.SINGLE(_xlfn.XLOOKUP(G731, Réttabanki!A:A, Réttabanki!AW:AW, "")) * I731 / 100, ""), "")))</f>
        <v/>
      </c>
      <c r="Q731" s="26" t="str">
        <f>IF(OR(F731 = "", G731 = "", I731 = ""), "", IF(F731 = "Vara", IFERROR(_xlfn.SINGLE(_xlfn.XLOOKUP(G731, Vöruskrá!A:A, Vöruskrá!N:N, "")) * I731 / 100, ""), IF(F731 = "Réttur", IFERROR(_xlfn.SINGLE(_xlfn.XLOOKUP(G731, Réttabanki!A:A, Réttabanki!BB:BB, "")) * I731 / 100, ""), "")))</f>
        <v/>
      </c>
    </row>
    <row r="732" spans="2:17">
      <c r="B732" s="33" t="str">
        <f>IF(A732&lt;&gt;"",CHOOSE(WEEKDAY(A732,2),"Mánudagur","Þriðjudagur","Miðvikudagur","Fimmtudagur","Föstudagur","Laugardagur","Sunnudagur"),IF(B731&lt;&gt;"",B731,""))</f>
        <v>Fimmtudagur</v>
      </c>
      <c r="C732" s="33">
        <f>IF(A732&lt;&gt;"",WEEKNUM(A732,21),IF(C731&lt;&gt;"",C731,""))</f>
        <v>27</v>
      </c>
      <c r="D732" s="34"/>
      <c r="E732" s="34"/>
      <c r="F732" s="34"/>
      <c r="G732" s="34"/>
      <c r="H732" s="34"/>
      <c r="I732" s="35"/>
      <c r="J732" s="35"/>
      <c r="K732" s="36"/>
      <c r="L732" s="26" t="str">
        <f>IF(OR(F732 = "", G732 = ""), "", IF(F732 = "Vara", IFERROR(_xlfn.SINGLE(_xlfn.XLOOKUP(G732, Vöruskrá!A:A, Vöruskrá!E:E, "")), ""), IF(F732 = "Réttur", IFERROR(_xlfn.SINGLE(_xlfn.XLOOKUP(G732, Réttabanki!A:A, Réttabanki!AS:AS, "")), ""), "")))</f>
        <v/>
      </c>
      <c r="M732" s="26" t="str">
        <f>IF(OR(F732 = "", G732 = ""), "", IF(F732 = "Vara", IFERROR(_xlfn.SINGLE(_xlfn.XLOOKUP(G732, Vöruskrá!A:A, Vöruskrá!F:F, "")), ""), IF(F732 = "Réttur", IFERROR(_xlfn.SINGLE(_xlfn.XLOOKUP(G732, Réttabanki!A:A, Réttabanki!AT:AT, "")), ""), "")))</f>
        <v/>
      </c>
      <c r="N732" s="26" t="str">
        <f>IF(OR(F732 = "", G732 = ""), "", IF(F732 = "Vara", IFERROR(_xlfn.SINGLE(_xlfn.XLOOKUP(G732, Vöruskrá!A:A, Vöruskrá!G:G, "")), ""), IF(F732 = "Réttur", IFERROR(_xlfn.SINGLE(_xlfn.XLOOKUP(G732, Réttabanki!A:A, Réttabanki!AU:AU, "")), ""), "")))</f>
        <v/>
      </c>
      <c r="O732" s="26" t="str">
        <f>IF(OR(F732 = "", G732 = "", I732 = ""), "", IF(F732 = "Vara", IFERROR(_xlfn.SINGLE(_xlfn.XLOOKUP(G732, Vöruskrá!A:A, Vöruskrá!I:I, "")) * I732 / 100, ""), IF(F732 = "Réttur", IFERROR(_xlfn.SINGLE(_xlfn.XLOOKUP(G732, Réttabanki!A:A, Réttabanki!AV:AV, "")) * I732 / 100, ""), "")))</f>
        <v/>
      </c>
      <c r="P732" s="26" t="str">
        <f>IF(OR(F732 = "", G732 = "", I732 = ""), "", IF(F732 = "Vara", IFERROR(_xlfn.SINGLE(_xlfn.XLOOKUP(G732, Vöruskrá!A:A, Vöruskrá!J:J, "")) * I732 / 100, ""), IF(F732 = "Réttur", IFERROR(_xlfn.SINGLE(_xlfn.XLOOKUP(G732, Réttabanki!A:A, Réttabanki!AW:AW, "")) * I732 / 100, ""), "")))</f>
        <v/>
      </c>
      <c r="Q732" s="26" t="str">
        <f>IF(OR(F732 = "", G732 = "", I732 = ""), "", IF(F732 = "Vara", IFERROR(_xlfn.SINGLE(_xlfn.XLOOKUP(G732, Vöruskrá!A:A, Vöruskrá!N:N, "")) * I732 / 100, ""), IF(F732 = "Réttur", IFERROR(_xlfn.SINGLE(_xlfn.XLOOKUP(G732, Réttabanki!A:A, Réttabanki!BB:BB, "")) * I732 / 100, ""), "")))</f>
        <v/>
      </c>
    </row>
    <row r="733" spans="2:17">
      <c r="B733" s="33" t="str">
        <f>IF(A733&lt;&gt;"",CHOOSE(WEEKDAY(A733,2),"Mánudagur","Þriðjudagur","Miðvikudagur","Fimmtudagur","Föstudagur","Laugardagur","Sunnudagur"),IF(B732&lt;&gt;"",B732,""))</f>
        <v>Fimmtudagur</v>
      </c>
      <c r="C733" s="33">
        <f>IF(A733&lt;&gt;"",WEEKNUM(A733,21),IF(C732&lt;&gt;"",C732,""))</f>
        <v>27</v>
      </c>
      <c r="D733" s="34"/>
      <c r="E733" s="34"/>
      <c r="F733" s="34"/>
      <c r="G733" s="34"/>
      <c r="H733" s="34"/>
      <c r="I733" s="35"/>
      <c r="J733" s="35"/>
      <c r="K733" s="36"/>
      <c r="L733" s="26" t="str">
        <f>IF(OR(F733 = "", G733 = ""), "", IF(F733 = "Vara", IFERROR(_xlfn.SINGLE(_xlfn.XLOOKUP(G733, Vöruskrá!A:A, Vöruskrá!E:E, "")), ""), IF(F733 = "Réttur", IFERROR(_xlfn.SINGLE(_xlfn.XLOOKUP(G733, Réttabanki!A:A, Réttabanki!AS:AS, "")), ""), "")))</f>
        <v/>
      </c>
      <c r="M733" s="26" t="str">
        <f>IF(OR(F733 = "", G733 = ""), "", IF(F733 = "Vara", IFERROR(_xlfn.SINGLE(_xlfn.XLOOKUP(G733, Vöruskrá!A:A, Vöruskrá!F:F, "")), ""), IF(F733 = "Réttur", IFERROR(_xlfn.SINGLE(_xlfn.XLOOKUP(G733, Réttabanki!A:A, Réttabanki!AT:AT, "")), ""), "")))</f>
        <v/>
      </c>
      <c r="N733" s="26" t="str">
        <f>IF(OR(F733 = "", G733 = ""), "", IF(F733 = "Vara", IFERROR(_xlfn.SINGLE(_xlfn.XLOOKUP(G733, Vöruskrá!A:A, Vöruskrá!G:G, "")), ""), IF(F733 = "Réttur", IFERROR(_xlfn.SINGLE(_xlfn.XLOOKUP(G733, Réttabanki!A:A, Réttabanki!AU:AU, "")), ""), "")))</f>
        <v/>
      </c>
      <c r="O733" s="26" t="str">
        <f>IF(OR(F733 = "", G733 = "", I733 = ""), "", IF(F733 = "Vara", IFERROR(_xlfn.SINGLE(_xlfn.XLOOKUP(G733, Vöruskrá!A:A, Vöruskrá!I:I, "")) * I733 / 100, ""), IF(F733 = "Réttur", IFERROR(_xlfn.SINGLE(_xlfn.XLOOKUP(G733, Réttabanki!A:A, Réttabanki!AV:AV, "")) * I733 / 100, ""), "")))</f>
        <v/>
      </c>
      <c r="P733" s="26" t="str">
        <f>IF(OR(F733 = "", G733 = "", I733 = ""), "", IF(F733 = "Vara", IFERROR(_xlfn.SINGLE(_xlfn.XLOOKUP(G733, Vöruskrá!A:A, Vöruskrá!J:J, "")) * I733 / 100, ""), IF(F733 = "Réttur", IFERROR(_xlfn.SINGLE(_xlfn.XLOOKUP(G733, Réttabanki!A:A, Réttabanki!AW:AW, "")) * I733 / 100, ""), "")))</f>
        <v/>
      </c>
      <c r="Q733" s="26" t="str">
        <f>IF(OR(F733 = "", G733 = "", I733 = ""), "", IF(F733 = "Vara", IFERROR(_xlfn.SINGLE(_xlfn.XLOOKUP(G733, Vöruskrá!A:A, Vöruskrá!N:N, "")) * I733 / 100, ""), IF(F733 = "Réttur", IFERROR(_xlfn.SINGLE(_xlfn.XLOOKUP(G733, Réttabanki!A:A, Réttabanki!BB:BB, "")) * I733 / 100, ""), "")))</f>
        <v/>
      </c>
    </row>
    <row r="734" spans="2:17">
      <c r="B734" s="33" t="str">
        <f>IF(A734&lt;&gt;"",CHOOSE(WEEKDAY(A734,2),"Mánudagur","Þriðjudagur","Miðvikudagur","Fimmtudagur","Föstudagur","Laugardagur","Sunnudagur"),IF(B733&lt;&gt;"",B733,""))</f>
        <v>Fimmtudagur</v>
      </c>
      <c r="C734" s="33">
        <f>IF(A734&lt;&gt;"",WEEKNUM(A734,21),IF(C733&lt;&gt;"",C733,""))</f>
        <v>27</v>
      </c>
      <c r="D734" s="34"/>
      <c r="E734" s="34"/>
      <c r="F734" s="34"/>
      <c r="G734" s="34"/>
      <c r="H734" s="34"/>
      <c r="I734" s="35"/>
      <c r="J734" s="35"/>
      <c r="K734" s="36"/>
      <c r="L734" s="26" t="str">
        <f>IF(OR(F734 = "", G734 = ""), "", IF(F734 = "Vara", IFERROR(_xlfn.SINGLE(_xlfn.XLOOKUP(G734, Vöruskrá!A:A, Vöruskrá!E:E, "")), ""), IF(F734 = "Réttur", IFERROR(_xlfn.SINGLE(_xlfn.XLOOKUP(G734, Réttabanki!A:A, Réttabanki!AS:AS, "")), ""), "")))</f>
        <v/>
      </c>
      <c r="M734" s="26" t="str">
        <f>IF(OR(F734 = "", G734 = ""), "", IF(F734 = "Vara", IFERROR(_xlfn.SINGLE(_xlfn.XLOOKUP(G734, Vöruskrá!A:A, Vöruskrá!F:F, "")), ""), IF(F734 = "Réttur", IFERROR(_xlfn.SINGLE(_xlfn.XLOOKUP(G734, Réttabanki!A:A, Réttabanki!AT:AT, "")), ""), "")))</f>
        <v/>
      </c>
      <c r="N734" s="26" t="str">
        <f>IF(OR(F734 = "", G734 = ""), "", IF(F734 = "Vara", IFERROR(_xlfn.SINGLE(_xlfn.XLOOKUP(G734, Vöruskrá!A:A, Vöruskrá!G:G, "")), ""), IF(F734 = "Réttur", IFERROR(_xlfn.SINGLE(_xlfn.XLOOKUP(G734, Réttabanki!A:A, Réttabanki!AU:AU, "")), ""), "")))</f>
        <v/>
      </c>
      <c r="O734" s="26" t="str">
        <f>IF(OR(F734 = "", G734 = "", I734 = ""), "", IF(F734 = "Vara", IFERROR(_xlfn.SINGLE(_xlfn.XLOOKUP(G734, Vöruskrá!A:A, Vöruskrá!I:I, "")) * I734 / 100, ""), IF(F734 = "Réttur", IFERROR(_xlfn.SINGLE(_xlfn.XLOOKUP(G734, Réttabanki!A:A, Réttabanki!AV:AV, "")) * I734 / 100, ""), "")))</f>
        <v/>
      </c>
      <c r="P734" s="26" t="str">
        <f>IF(OR(F734 = "", G734 = "", I734 = ""), "", IF(F734 = "Vara", IFERROR(_xlfn.SINGLE(_xlfn.XLOOKUP(G734, Vöruskrá!A:A, Vöruskrá!J:J, "")) * I734 / 100, ""), IF(F734 = "Réttur", IFERROR(_xlfn.SINGLE(_xlfn.XLOOKUP(G734, Réttabanki!A:A, Réttabanki!AW:AW, "")) * I734 / 100, ""), "")))</f>
        <v/>
      </c>
      <c r="Q734" s="26" t="str">
        <f>IF(OR(F734 = "", G734 = "", I734 = ""), "", IF(F734 = "Vara", IFERROR(_xlfn.SINGLE(_xlfn.XLOOKUP(G734, Vöruskrá!A:A, Vöruskrá!N:N, "")) * I734 / 100, ""), IF(F734 = "Réttur", IFERROR(_xlfn.SINGLE(_xlfn.XLOOKUP(G734, Réttabanki!A:A, Réttabanki!BB:BB, "")) * I734 / 100, ""), "")))</f>
        <v/>
      </c>
    </row>
    <row r="735" spans="2:17">
      <c r="B735" s="33" t="str">
        <f>IF(A735&lt;&gt;"",CHOOSE(WEEKDAY(A735,2),"Mánudagur","Þriðjudagur","Miðvikudagur","Fimmtudagur","Föstudagur","Laugardagur","Sunnudagur"),IF(B734&lt;&gt;"",B734,""))</f>
        <v>Fimmtudagur</v>
      </c>
      <c r="C735" s="33">
        <f>IF(A735&lt;&gt;"",WEEKNUM(A735,21),IF(C734&lt;&gt;"",C734,""))</f>
        <v>27</v>
      </c>
      <c r="D735" s="34"/>
      <c r="E735" s="34"/>
      <c r="F735" s="34"/>
      <c r="G735" s="34"/>
      <c r="H735" s="34"/>
      <c r="I735" s="35"/>
      <c r="J735" s="35"/>
      <c r="K735" s="36"/>
      <c r="L735" s="26" t="str">
        <f>IF(OR(F735 = "", G735 = ""), "", IF(F735 = "Vara", IFERROR(_xlfn.SINGLE(_xlfn.XLOOKUP(G735, Vöruskrá!A:A, Vöruskrá!E:E, "")), ""), IF(F735 = "Réttur", IFERROR(_xlfn.SINGLE(_xlfn.XLOOKUP(G735, Réttabanki!A:A, Réttabanki!AS:AS, "")), ""), "")))</f>
        <v/>
      </c>
      <c r="M735" s="26" t="str">
        <f>IF(OR(F735 = "", G735 = ""), "", IF(F735 = "Vara", IFERROR(_xlfn.SINGLE(_xlfn.XLOOKUP(G735, Vöruskrá!A:A, Vöruskrá!F:F, "")), ""), IF(F735 = "Réttur", IFERROR(_xlfn.SINGLE(_xlfn.XLOOKUP(G735, Réttabanki!A:A, Réttabanki!AT:AT, "")), ""), "")))</f>
        <v/>
      </c>
      <c r="N735" s="26" t="str">
        <f>IF(OR(F735 = "", G735 = ""), "", IF(F735 = "Vara", IFERROR(_xlfn.SINGLE(_xlfn.XLOOKUP(G735, Vöruskrá!A:A, Vöruskrá!G:G, "")), ""), IF(F735 = "Réttur", IFERROR(_xlfn.SINGLE(_xlfn.XLOOKUP(G735, Réttabanki!A:A, Réttabanki!AU:AU, "")), ""), "")))</f>
        <v/>
      </c>
      <c r="O735" s="26" t="str">
        <f>IF(OR(F735 = "", G735 = "", I735 = ""), "", IF(F735 = "Vara", IFERROR(_xlfn.SINGLE(_xlfn.XLOOKUP(G735, Vöruskrá!A:A, Vöruskrá!I:I, "")) * I735 / 100, ""), IF(F735 = "Réttur", IFERROR(_xlfn.SINGLE(_xlfn.XLOOKUP(G735, Réttabanki!A:A, Réttabanki!AV:AV, "")) * I735 / 100, ""), "")))</f>
        <v/>
      </c>
      <c r="P735" s="26" t="str">
        <f>IF(OR(F735 = "", G735 = "", I735 = ""), "", IF(F735 = "Vara", IFERROR(_xlfn.SINGLE(_xlfn.XLOOKUP(G735, Vöruskrá!A:A, Vöruskrá!J:J, "")) * I735 / 100, ""), IF(F735 = "Réttur", IFERROR(_xlfn.SINGLE(_xlfn.XLOOKUP(G735, Réttabanki!A:A, Réttabanki!AW:AW, "")) * I735 / 100, ""), "")))</f>
        <v/>
      </c>
      <c r="Q735" s="26" t="str">
        <f>IF(OR(F735 = "", G735 = "", I735 = ""), "", IF(F735 = "Vara", IFERROR(_xlfn.SINGLE(_xlfn.XLOOKUP(G735, Vöruskrá!A:A, Vöruskrá!N:N, "")) * I735 / 100, ""), IF(F735 = "Réttur", IFERROR(_xlfn.SINGLE(_xlfn.XLOOKUP(G735, Réttabanki!A:A, Réttabanki!BB:BB, "")) * I735 / 100, ""), "")))</f>
        <v/>
      </c>
    </row>
    <row r="736" spans="2:17">
      <c r="B736" s="33" t="str">
        <f>IF(A736&lt;&gt;"",CHOOSE(WEEKDAY(A736,2),"Mánudagur","Þriðjudagur","Miðvikudagur","Fimmtudagur","Föstudagur","Laugardagur","Sunnudagur"),IF(B735&lt;&gt;"",B735,""))</f>
        <v>Fimmtudagur</v>
      </c>
      <c r="C736" s="33">
        <f>IF(A736&lt;&gt;"",WEEKNUM(A736,21),IF(C735&lt;&gt;"",C735,""))</f>
        <v>27</v>
      </c>
      <c r="D736" s="34"/>
      <c r="E736" s="34"/>
      <c r="F736" s="34"/>
      <c r="G736" s="34"/>
      <c r="H736" s="34"/>
      <c r="I736" s="35"/>
      <c r="J736" s="35"/>
      <c r="K736" s="36"/>
      <c r="L736" s="26" t="str">
        <f>IF(OR(F736 = "", G736 = ""), "", IF(F736 = "Vara", IFERROR(_xlfn.SINGLE(_xlfn.XLOOKUP(G736, Vöruskrá!A:A, Vöruskrá!E:E, "")), ""), IF(F736 = "Réttur", IFERROR(_xlfn.SINGLE(_xlfn.XLOOKUP(G736, Réttabanki!A:A, Réttabanki!AS:AS, "")), ""), "")))</f>
        <v/>
      </c>
      <c r="M736" s="26" t="str">
        <f>IF(OR(F736 = "", G736 = ""), "", IF(F736 = "Vara", IFERROR(_xlfn.SINGLE(_xlfn.XLOOKUP(G736, Vöruskrá!A:A, Vöruskrá!F:F, "")), ""), IF(F736 = "Réttur", IFERROR(_xlfn.SINGLE(_xlfn.XLOOKUP(G736, Réttabanki!A:A, Réttabanki!AT:AT, "")), ""), "")))</f>
        <v/>
      </c>
      <c r="N736" s="26" t="str">
        <f>IF(OR(F736 = "", G736 = ""), "", IF(F736 = "Vara", IFERROR(_xlfn.SINGLE(_xlfn.XLOOKUP(G736, Vöruskrá!A:A, Vöruskrá!G:G, "")), ""), IF(F736 = "Réttur", IFERROR(_xlfn.SINGLE(_xlfn.XLOOKUP(G736, Réttabanki!A:A, Réttabanki!AU:AU, "")), ""), "")))</f>
        <v/>
      </c>
      <c r="O736" s="26" t="str">
        <f>IF(OR(F736 = "", G736 = "", I736 = ""), "", IF(F736 = "Vara", IFERROR(_xlfn.SINGLE(_xlfn.XLOOKUP(G736, Vöruskrá!A:A, Vöruskrá!I:I, "")) * I736 / 100, ""), IF(F736 = "Réttur", IFERROR(_xlfn.SINGLE(_xlfn.XLOOKUP(G736, Réttabanki!A:A, Réttabanki!AV:AV, "")) * I736 / 100, ""), "")))</f>
        <v/>
      </c>
      <c r="P736" s="26" t="str">
        <f>IF(OR(F736 = "", G736 = "", I736 = ""), "", IF(F736 = "Vara", IFERROR(_xlfn.SINGLE(_xlfn.XLOOKUP(G736, Vöruskrá!A:A, Vöruskrá!J:J, "")) * I736 / 100, ""), IF(F736 = "Réttur", IFERROR(_xlfn.SINGLE(_xlfn.XLOOKUP(G736, Réttabanki!A:A, Réttabanki!AW:AW, "")) * I736 / 100, ""), "")))</f>
        <v/>
      </c>
      <c r="Q736" s="26" t="str">
        <f>IF(OR(F736 = "", G736 = "", I736 = ""), "", IF(F736 = "Vara", IFERROR(_xlfn.SINGLE(_xlfn.XLOOKUP(G736, Vöruskrá!A:A, Vöruskrá!N:N, "")) * I736 / 100, ""), IF(F736 = "Réttur", IFERROR(_xlfn.SINGLE(_xlfn.XLOOKUP(G736, Réttabanki!A:A, Réttabanki!BB:BB, "")) * I736 / 100, ""), "")))</f>
        <v/>
      </c>
    </row>
    <row r="737" spans="2:17">
      <c r="B737" s="33" t="str">
        <f>IF(A737&lt;&gt;"",CHOOSE(WEEKDAY(A737,2),"Mánudagur","Þriðjudagur","Miðvikudagur","Fimmtudagur","Föstudagur","Laugardagur","Sunnudagur"),IF(B736&lt;&gt;"",B736,""))</f>
        <v>Fimmtudagur</v>
      </c>
      <c r="C737" s="33">
        <f>IF(A737&lt;&gt;"",WEEKNUM(A737,21),IF(C736&lt;&gt;"",C736,""))</f>
        <v>27</v>
      </c>
      <c r="D737" s="34"/>
      <c r="E737" s="34"/>
      <c r="F737" s="34"/>
      <c r="G737" s="34"/>
      <c r="H737" s="34"/>
      <c r="I737" s="35"/>
      <c r="J737" s="35"/>
      <c r="K737" s="36"/>
      <c r="L737" s="26" t="str">
        <f>IF(OR(F737 = "", G737 = ""), "", IF(F737 = "Vara", IFERROR(_xlfn.SINGLE(_xlfn.XLOOKUP(G737, Vöruskrá!A:A, Vöruskrá!E:E, "")), ""), IF(F737 = "Réttur", IFERROR(_xlfn.SINGLE(_xlfn.XLOOKUP(G737, Réttabanki!A:A, Réttabanki!AS:AS, "")), ""), "")))</f>
        <v/>
      </c>
      <c r="M737" s="26" t="str">
        <f>IF(OR(F737 = "", G737 = ""), "", IF(F737 = "Vara", IFERROR(_xlfn.SINGLE(_xlfn.XLOOKUP(G737, Vöruskrá!A:A, Vöruskrá!F:F, "")), ""), IF(F737 = "Réttur", IFERROR(_xlfn.SINGLE(_xlfn.XLOOKUP(G737, Réttabanki!A:A, Réttabanki!AT:AT, "")), ""), "")))</f>
        <v/>
      </c>
      <c r="N737" s="26" t="str">
        <f>IF(OR(F737 = "", G737 = ""), "", IF(F737 = "Vara", IFERROR(_xlfn.SINGLE(_xlfn.XLOOKUP(G737, Vöruskrá!A:A, Vöruskrá!G:G, "")), ""), IF(F737 = "Réttur", IFERROR(_xlfn.SINGLE(_xlfn.XLOOKUP(G737, Réttabanki!A:A, Réttabanki!AU:AU, "")), ""), "")))</f>
        <v/>
      </c>
      <c r="O737" s="26" t="str">
        <f>IF(OR(F737 = "", G737 = "", I737 = ""), "", IF(F737 = "Vara", IFERROR(_xlfn.SINGLE(_xlfn.XLOOKUP(G737, Vöruskrá!A:A, Vöruskrá!I:I, "")) * I737 / 100, ""), IF(F737 = "Réttur", IFERROR(_xlfn.SINGLE(_xlfn.XLOOKUP(G737, Réttabanki!A:A, Réttabanki!AV:AV, "")) * I737 / 100, ""), "")))</f>
        <v/>
      </c>
      <c r="P737" s="26" t="str">
        <f>IF(OR(F737 = "", G737 = "", I737 = ""), "", IF(F737 = "Vara", IFERROR(_xlfn.SINGLE(_xlfn.XLOOKUP(G737, Vöruskrá!A:A, Vöruskrá!J:J, "")) * I737 / 100, ""), IF(F737 = "Réttur", IFERROR(_xlfn.SINGLE(_xlfn.XLOOKUP(G737, Réttabanki!A:A, Réttabanki!AW:AW, "")) * I737 / 100, ""), "")))</f>
        <v/>
      </c>
      <c r="Q737" s="26" t="str">
        <f>IF(OR(F737 = "", G737 = "", I737 = ""), "", IF(F737 = "Vara", IFERROR(_xlfn.SINGLE(_xlfn.XLOOKUP(G737, Vöruskrá!A:A, Vöruskrá!N:N, "")) * I737 / 100, ""), IF(F737 = "Réttur", IFERROR(_xlfn.SINGLE(_xlfn.XLOOKUP(G737, Réttabanki!A:A, Réttabanki!BB:BB, "")) * I737 / 100, ""), "")))</f>
        <v/>
      </c>
    </row>
    <row r="738" spans="2:17">
      <c r="B738" s="33" t="str">
        <f>IF(A738&lt;&gt;"",CHOOSE(WEEKDAY(A738,2),"Mánudagur","Þriðjudagur","Miðvikudagur","Fimmtudagur","Föstudagur","Laugardagur","Sunnudagur"),IF(B737&lt;&gt;"",B737,""))</f>
        <v>Fimmtudagur</v>
      </c>
      <c r="C738" s="33">
        <f>IF(A738&lt;&gt;"",WEEKNUM(A738,21),IF(C737&lt;&gt;"",C737,""))</f>
        <v>27</v>
      </c>
      <c r="D738" s="34"/>
      <c r="E738" s="34"/>
      <c r="F738" s="34"/>
      <c r="G738" s="34"/>
      <c r="H738" s="34"/>
      <c r="I738" s="35"/>
      <c r="J738" s="35"/>
      <c r="K738" s="36"/>
      <c r="L738" s="26" t="str">
        <f>IF(OR(F738 = "", G738 = ""), "", IF(F738 = "Vara", IFERROR(_xlfn.SINGLE(_xlfn.XLOOKUP(G738, Vöruskrá!A:A, Vöruskrá!E:E, "")), ""), IF(F738 = "Réttur", IFERROR(_xlfn.SINGLE(_xlfn.XLOOKUP(G738, Réttabanki!A:A, Réttabanki!AS:AS, "")), ""), "")))</f>
        <v/>
      </c>
      <c r="M738" s="26" t="str">
        <f>IF(OR(F738 = "", G738 = ""), "", IF(F738 = "Vara", IFERROR(_xlfn.SINGLE(_xlfn.XLOOKUP(G738, Vöruskrá!A:A, Vöruskrá!F:F, "")), ""), IF(F738 = "Réttur", IFERROR(_xlfn.SINGLE(_xlfn.XLOOKUP(G738, Réttabanki!A:A, Réttabanki!AT:AT, "")), ""), "")))</f>
        <v/>
      </c>
      <c r="N738" s="26" t="str">
        <f>IF(OR(F738 = "", G738 = ""), "", IF(F738 = "Vara", IFERROR(_xlfn.SINGLE(_xlfn.XLOOKUP(G738, Vöruskrá!A:A, Vöruskrá!G:G, "")), ""), IF(F738 = "Réttur", IFERROR(_xlfn.SINGLE(_xlfn.XLOOKUP(G738, Réttabanki!A:A, Réttabanki!AU:AU, "")), ""), "")))</f>
        <v/>
      </c>
      <c r="O738" s="26" t="str">
        <f>IF(OR(F738 = "", G738 = "", I738 = ""), "", IF(F738 = "Vara", IFERROR(_xlfn.SINGLE(_xlfn.XLOOKUP(G738, Vöruskrá!A:A, Vöruskrá!I:I, "")) * I738 / 100, ""), IF(F738 = "Réttur", IFERROR(_xlfn.SINGLE(_xlfn.XLOOKUP(G738, Réttabanki!A:A, Réttabanki!AV:AV, "")) * I738 / 100, ""), "")))</f>
        <v/>
      </c>
      <c r="P738" s="26" t="str">
        <f>IF(OR(F738 = "", G738 = "", I738 = ""), "", IF(F738 = "Vara", IFERROR(_xlfn.SINGLE(_xlfn.XLOOKUP(G738, Vöruskrá!A:A, Vöruskrá!J:J, "")) * I738 / 100, ""), IF(F738 = "Réttur", IFERROR(_xlfn.SINGLE(_xlfn.XLOOKUP(G738, Réttabanki!A:A, Réttabanki!AW:AW, "")) * I738 / 100, ""), "")))</f>
        <v/>
      </c>
      <c r="Q738" s="26" t="str">
        <f>IF(OR(F738 = "", G738 = "", I738 = ""), "", IF(F738 = "Vara", IFERROR(_xlfn.SINGLE(_xlfn.XLOOKUP(G738, Vöruskrá!A:A, Vöruskrá!N:N, "")) * I738 / 100, ""), IF(F738 = "Réttur", IFERROR(_xlfn.SINGLE(_xlfn.XLOOKUP(G738, Réttabanki!A:A, Réttabanki!BB:BB, "")) * I738 / 100, ""), "")))</f>
        <v/>
      </c>
    </row>
    <row r="739" spans="2:17">
      <c r="B739" s="33" t="str">
        <f>IF(A739&lt;&gt;"",CHOOSE(WEEKDAY(A739,2),"Mánudagur","Þriðjudagur","Miðvikudagur","Fimmtudagur","Föstudagur","Laugardagur","Sunnudagur"),IF(B738&lt;&gt;"",B738,""))</f>
        <v>Fimmtudagur</v>
      </c>
      <c r="C739" s="33">
        <f>IF(A739&lt;&gt;"",WEEKNUM(A739,21),IF(C738&lt;&gt;"",C738,""))</f>
        <v>27</v>
      </c>
      <c r="D739" s="34"/>
      <c r="E739" s="34"/>
      <c r="F739" s="34"/>
      <c r="G739" s="34"/>
      <c r="H739" s="34"/>
      <c r="I739" s="35"/>
      <c r="J739" s="35"/>
      <c r="K739" s="36"/>
      <c r="L739" s="26" t="str">
        <f>IF(OR(F739 = "", G739 = ""), "", IF(F739 = "Vara", IFERROR(_xlfn.SINGLE(_xlfn.XLOOKUP(G739, Vöruskrá!A:A, Vöruskrá!E:E, "")), ""), IF(F739 = "Réttur", IFERROR(_xlfn.SINGLE(_xlfn.XLOOKUP(G739, Réttabanki!A:A, Réttabanki!AS:AS, "")), ""), "")))</f>
        <v/>
      </c>
      <c r="M739" s="26" t="str">
        <f>IF(OR(F739 = "", G739 = ""), "", IF(F739 = "Vara", IFERROR(_xlfn.SINGLE(_xlfn.XLOOKUP(G739, Vöruskrá!A:A, Vöruskrá!F:F, "")), ""), IF(F739 = "Réttur", IFERROR(_xlfn.SINGLE(_xlfn.XLOOKUP(G739, Réttabanki!A:A, Réttabanki!AT:AT, "")), ""), "")))</f>
        <v/>
      </c>
      <c r="N739" s="26" t="str">
        <f>IF(OR(F739 = "", G739 = ""), "", IF(F739 = "Vara", IFERROR(_xlfn.SINGLE(_xlfn.XLOOKUP(G739, Vöruskrá!A:A, Vöruskrá!G:G, "")), ""), IF(F739 = "Réttur", IFERROR(_xlfn.SINGLE(_xlfn.XLOOKUP(G739, Réttabanki!A:A, Réttabanki!AU:AU, "")), ""), "")))</f>
        <v/>
      </c>
      <c r="O739" s="26" t="str">
        <f>IF(OR(F739 = "", G739 = "", I739 = ""), "", IF(F739 = "Vara", IFERROR(_xlfn.SINGLE(_xlfn.XLOOKUP(G739, Vöruskrá!A:A, Vöruskrá!I:I, "")) * I739 / 100, ""), IF(F739 = "Réttur", IFERROR(_xlfn.SINGLE(_xlfn.XLOOKUP(G739, Réttabanki!A:A, Réttabanki!AV:AV, "")) * I739 / 100, ""), "")))</f>
        <v/>
      </c>
      <c r="P739" s="26" t="str">
        <f>IF(OR(F739 = "", G739 = "", I739 = ""), "", IF(F739 = "Vara", IFERROR(_xlfn.SINGLE(_xlfn.XLOOKUP(G739, Vöruskrá!A:A, Vöruskrá!J:J, "")) * I739 / 100, ""), IF(F739 = "Réttur", IFERROR(_xlfn.SINGLE(_xlfn.XLOOKUP(G739, Réttabanki!A:A, Réttabanki!AW:AW, "")) * I739 / 100, ""), "")))</f>
        <v/>
      </c>
      <c r="Q739" s="26" t="str">
        <f>IF(OR(F739 = "", G739 = "", I739 = ""), "", IF(F739 = "Vara", IFERROR(_xlfn.SINGLE(_xlfn.XLOOKUP(G739, Vöruskrá!A:A, Vöruskrá!N:N, "")) * I739 / 100, ""), IF(F739 = "Réttur", IFERROR(_xlfn.SINGLE(_xlfn.XLOOKUP(G739, Réttabanki!A:A, Réttabanki!BB:BB, "")) * I739 / 100, ""), "")))</f>
        <v/>
      </c>
    </row>
    <row r="740" spans="2:17">
      <c r="B740" s="33" t="str">
        <f>IF(A740&lt;&gt;"",CHOOSE(WEEKDAY(A740,2),"Mánudagur","Þriðjudagur","Miðvikudagur","Fimmtudagur","Föstudagur","Laugardagur","Sunnudagur"),IF(B739&lt;&gt;"",B739,""))</f>
        <v>Fimmtudagur</v>
      </c>
      <c r="C740" s="33">
        <f>IF(A740&lt;&gt;"",WEEKNUM(A740,21),IF(C739&lt;&gt;"",C739,""))</f>
        <v>27</v>
      </c>
      <c r="D740" s="34"/>
      <c r="E740" s="34"/>
      <c r="F740" s="34"/>
      <c r="G740" s="34"/>
      <c r="H740" s="34"/>
      <c r="I740" s="35"/>
      <c r="J740" s="35"/>
      <c r="K740" s="36"/>
      <c r="L740" s="26" t="str">
        <f>IF(OR(F740 = "", G740 = ""), "", IF(F740 = "Vara", IFERROR(_xlfn.SINGLE(_xlfn.XLOOKUP(G740, Vöruskrá!A:A, Vöruskrá!E:E, "")), ""), IF(F740 = "Réttur", IFERROR(_xlfn.SINGLE(_xlfn.XLOOKUP(G740, Réttabanki!A:A, Réttabanki!AS:AS, "")), ""), "")))</f>
        <v/>
      </c>
      <c r="M740" s="26" t="str">
        <f>IF(OR(F740 = "", G740 = ""), "", IF(F740 = "Vara", IFERROR(_xlfn.SINGLE(_xlfn.XLOOKUP(G740, Vöruskrá!A:A, Vöruskrá!F:F, "")), ""), IF(F740 = "Réttur", IFERROR(_xlfn.SINGLE(_xlfn.XLOOKUP(G740, Réttabanki!A:A, Réttabanki!AT:AT, "")), ""), "")))</f>
        <v/>
      </c>
      <c r="N740" s="26" t="str">
        <f>IF(OR(F740 = "", G740 = ""), "", IF(F740 = "Vara", IFERROR(_xlfn.SINGLE(_xlfn.XLOOKUP(G740, Vöruskrá!A:A, Vöruskrá!G:G, "")), ""), IF(F740 = "Réttur", IFERROR(_xlfn.SINGLE(_xlfn.XLOOKUP(G740, Réttabanki!A:A, Réttabanki!AU:AU, "")), ""), "")))</f>
        <v/>
      </c>
      <c r="O740" s="26" t="str">
        <f>IF(OR(F740 = "", G740 = "", I740 = ""), "", IF(F740 = "Vara", IFERROR(_xlfn.SINGLE(_xlfn.XLOOKUP(G740, Vöruskrá!A:A, Vöruskrá!I:I, "")) * I740 / 100, ""), IF(F740 = "Réttur", IFERROR(_xlfn.SINGLE(_xlfn.XLOOKUP(G740, Réttabanki!A:A, Réttabanki!AV:AV, "")) * I740 / 100, ""), "")))</f>
        <v/>
      </c>
      <c r="P740" s="26" t="str">
        <f>IF(OR(F740 = "", G740 = "", I740 = ""), "", IF(F740 = "Vara", IFERROR(_xlfn.SINGLE(_xlfn.XLOOKUP(G740, Vöruskrá!A:A, Vöruskrá!J:J, "")) * I740 / 100, ""), IF(F740 = "Réttur", IFERROR(_xlfn.SINGLE(_xlfn.XLOOKUP(G740, Réttabanki!A:A, Réttabanki!AW:AW, "")) * I740 / 100, ""), "")))</f>
        <v/>
      </c>
      <c r="Q740" s="26" t="str">
        <f>IF(OR(F740 = "", G740 = "", I740 = ""), "", IF(F740 = "Vara", IFERROR(_xlfn.SINGLE(_xlfn.XLOOKUP(G740, Vöruskrá!A:A, Vöruskrá!N:N, "")) * I740 / 100, ""), IF(F740 = "Réttur", IFERROR(_xlfn.SINGLE(_xlfn.XLOOKUP(G740, Réttabanki!A:A, Réttabanki!BB:BB, "")) * I740 / 100, ""), "")))</f>
        <v/>
      </c>
    </row>
    <row r="741" spans="2:17">
      <c r="B741" s="33" t="str">
        <f>IF(A741&lt;&gt;"",CHOOSE(WEEKDAY(A741,2),"Mánudagur","Þriðjudagur","Miðvikudagur","Fimmtudagur","Föstudagur","Laugardagur","Sunnudagur"),IF(B740&lt;&gt;"",B740,""))</f>
        <v>Fimmtudagur</v>
      </c>
      <c r="C741" s="33">
        <f>IF(A741&lt;&gt;"",WEEKNUM(A741,21),IF(C740&lt;&gt;"",C740,""))</f>
        <v>27</v>
      </c>
      <c r="D741" s="34"/>
      <c r="E741" s="34"/>
      <c r="F741" s="34"/>
      <c r="G741" s="34"/>
      <c r="H741" s="34"/>
      <c r="I741" s="35"/>
      <c r="J741" s="35"/>
      <c r="K741" s="36"/>
      <c r="L741" s="26" t="str">
        <f>IF(OR(F741 = "", G741 = ""), "", IF(F741 = "Vara", IFERROR(_xlfn.SINGLE(_xlfn.XLOOKUP(G741, Vöruskrá!A:A, Vöruskrá!E:E, "")), ""), IF(F741 = "Réttur", IFERROR(_xlfn.SINGLE(_xlfn.XLOOKUP(G741, Réttabanki!A:A, Réttabanki!AS:AS, "")), ""), "")))</f>
        <v/>
      </c>
      <c r="M741" s="26" t="str">
        <f>IF(OR(F741 = "", G741 = ""), "", IF(F741 = "Vara", IFERROR(_xlfn.SINGLE(_xlfn.XLOOKUP(G741, Vöruskrá!A:A, Vöruskrá!F:F, "")), ""), IF(F741 = "Réttur", IFERROR(_xlfn.SINGLE(_xlfn.XLOOKUP(G741, Réttabanki!A:A, Réttabanki!AT:AT, "")), ""), "")))</f>
        <v/>
      </c>
      <c r="N741" s="26" t="str">
        <f>IF(OR(F741 = "", G741 = ""), "", IF(F741 = "Vara", IFERROR(_xlfn.SINGLE(_xlfn.XLOOKUP(G741, Vöruskrá!A:A, Vöruskrá!G:G, "")), ""), IF(F741 = "Réttur", IFERROR(_xlfn.SINGLE(_xlfn.XLOOKUP(G741, Réttabanki!A:A, Réttabanki!AU:AU, "")), ""), "")))</f>
        <v/>
      </c>
      <c r="O741" s="26" t="str">
        <f>IF(OR(F741 = "", G741 = "", I741 = ""), "", IF(F741 = "Vara", IFERROR(_xlfn.SINGLE(_xlfn.XLOOKUP(G741, Vöruskrá!A:A, Vöruskrá!I:I, "")) * I741 / 100, ""), IF(F741 = "Réttur", IFERROR(_xlfn.SINGLE(_xlfn.XLOOKUP(G741, Réttabanki!A:A, Réttabanki!AV:AV, "")) * I741 / 100, ""), "")))</f>
        <v/>
      </c>
      <c r="P741" s="26" t="str">
        <f>IF(OR(F741 = "", G741 = "", I741 = ""), "", IF(F741 = "Vara", IFERROR(_xlfn.SINGLE(_xlfn.XLOOKUP(G741, Vöruskrá!A:A, Vöruskrá!J:J, "")) * I741 / 100, ""), IF(F741 = "Réttur", IFERROR(_xlfn.SINGLE(_xlfn.XLOOKUP(G741, Réttabanki!A:A, Réttabanki!AW:AW, "")) * I741 / 100, ""), "")))</f>
        <v/>
      </c>
      <c r="Q741" s="26" t="str">
        <f>IF(OR(F741 = "", G741 = "", I741 = ""), "", IF(F741 = "Vara", IFERROR(_xlfn.SINGLE(_xlfn.XLOOKUP(G741, Vöruskrá!A:A, Vöruskrá!N:N, "")) * I741 / 100, ""), IF(F741 = "Réttur", IFERROR(_xlfn.SINGLE(_xlfn.XLOOKUP(G741, Réttabanki!A:A, Réttabanki!BB:BB, "")) * I741 / 100, ""), "")))</f>
        <v/>
      </c>
    </row>
    <row r="742" spans="2:17">
      <c r="B742" s="33" t="str">
        <f>IF(A742&lt;&gt;"",CHOOSE(WEEKDAY(A742,2),"Mánudagur","Þriðjudagur","Miðvikudagur","Fimmtudagur","Föstudagur","Laugardagur","Sunnudagur"),IF(B741&lt;&gt;"",B741,""))</f>
        <v>Fimmtudagur</v>
      </c>
      <c r="C742" s="33">
        <f>IF(A742&lt;&gt;"",WEEKNUM(A742,21),IF(C741&lt;&gt;"",C741,""))</f>
        <v>27</v>
      </c>
      <c r="D742" s="34"/>
      <c r="E742" s="34"/>
      <c r="F742" s="34"/>
      <c r="G742" s="34"/>
      <c r="H742" s="34"/>
      <c r="I742" s="35"/>
      <c r="J742" s="35"/>
      <c r="K742" s="36"/>
      <c r="L742" s="26" t="str">
        <f>IF(OR(F742 = "", G742 = ""), "", IF(F742 = "Vara", IFERROR(_xlfn.SINGLE(_xlfn.XLOOKUP(G742, Vöruskrá!A:A, Vöruskrá!E:E, "")), ""), IF(F742 = "Réttur", IFERROR(_xlfn.SINGLE(_xlfn.XLOOKUP(G742, Réttabanki!A:A, Réttabanki!AS:AS, "")), ""), "")))</f>
        <v/>
      </c>
      <c r="M742" s="26" t="str">
        <f>IF(OR(F742 = "", G742 = ""), "", IF(F742 = "Vara", IFERROR(_xlfn.SINGLE(_xlfn.XLOOKUP(G742, Vöruskrá!A:A, Vöruskrá!F:F, "")), ""), IF(F742 = "Réttur", IFERROR(_xlfn.SINGLE(_xlfn.XLOOKUP(G742, Réttabanki!A:A, Réttabanki!AT:AT, "")), ""), "")))</f>
        <v/>
      </c>
      <c r="N742" s="26" t="str">
        <f>IF(OR(F742 = "", G742 = ""), "", IF(F742 = "Vara", IFERROR(_xlfn.SINGLE(_xlfn.XLOOKUP(G742, Vöruskrá!A:A, Vöruskrá!G:G, "")), ""), IF(F742 = "Réttur", IFERROR(_xlfn.SINGLE(_xlfn.XLOOKUP(G742, Réttabanki!A:A, Réttabanki!AU:AU, "")), ""), "")))</f>
        <v/>
      </c>
      <c r="O742" s="26" t="str">
        <f>IF(OR(F742 = "", G742 = "", I742 = ""), "", IF(F742 = "Vara", IFERROR(_xlfn.SINGLE(_xlfn.XLOOKUP(G742, Vöruskrá!A:A, Vöruskrá!I:I, "")) * I742 / 100, ""), IF(F742 = "Réttur", IFERROR(_xlfn.SINGLE(_xlfn.XLOOKUP(G742, Réttabanki!A:A, Réttabanki!AV:AV, "")) * I742 / 100, ""), "")))</f>
        <v/>
      </c>
      <c r="P742" s="26" t="str">
        <f>IF(OR(F742 = "", G742 = "", I742 = ""), "", IF(F742 = "Vara", IFERROR(_xlfn.SINGLE(_xlfn.XLOOKUP(G742, Vöruskrá!A:A, Vöruskrá!J:J, "")) * I742 / 100, ""), IF(F742 = "Réttur", IFERROR(_xlfn.SINGLE(_xlfn.XLOOKUP(G742, Réttabanki!A:A, Réttabanki!AW:AW, "")) * I742 / 100, ""), "")))</f>
        <v/>
      </c>
      <c r="Q742" s="26" t="str">
        <f>IF(OR(F742 = "", G742 = "", I742 = ""), "", IF(F742 = "Vara", IFERROR(_xlfn.SINGLE(_xlfn.XLOOKUP(G742, Vöruskrá!A:A, Vöruskrá!N:N, "")) * I742 / 100, ""), IF(F742 = "Réttur", IFERROR(_xlfn.SINGLE(_xlfn.XLOOKUP(G742, Réttabanki!A:A, Réttabanki!BB:BB, "")) * I742 / 100, ""), "")))</f>
        <v/>
      </c>
    </row>
    <row r="743" spans="2:17">
      <c r="B743" s="33" t="str">
        <f>IF(A743&lt;&gt;"",CHOOSE(WEEKDAY(A743,2),"Mánudagur","Þriðjudagur","Miðvikudagur","Fimmtudagur","Föstudagur","Laugardagur","Sunnudagur"),IF(B742&lt;&gt;"",B742,""))</f>
        <v>Fimmtudagur</v>
      </c>
      <c r="C743" s="33">
        <f>IF(A743&lt;&gt;"",WEEKNUM(A743,21),IF(C742&lt;&gt;"",C742,""))</f>
        <v>27</v>
      </c>
      <c r="D743" s="34"/>
      <c r="E743" s="34"/>
      <c r="F743" s="34"/>
      <c r="G743" s="34"/>
      <c r="H743" s="34"/>
      <c r="I743" s="35"/>
      <c r="J743" s="35"/>
      <c r="K743" s="36"/>
      <c r="L743" s="26" t="str">
        <f>IF(OR(F743 = "", G743 = ""), "", IF(F743 = "Vara", IFERROR(_xlfn.SINGLE(_xlfn.XLOOKUP(G743, Vöruskrá!A:A, Vöruskrá!E:E, "")), ""), IF(F743 = "Réttur", IFERROR(_xlfn.SINGLE(_xlfn.XLOOKUP(G743, Réttabanki!A:A, Réttabanki!AS:AS, "")), ""), "")))</f>
        <v/>
      </c>
      <c r="M743" s="26" t="str">
        <f>IF(OR(F743 = "", G743 = ""), "", IF(F743 = "Vara", IFERROR(_xlfn.SINGLE(_xlfn.XLOOKUP(G743, Vöruskrá!A:A, Vöruskrá!F:F, "")), ""), IF(F743 = "Réttur", IFERROR(_xlfn.SINGLE(_xlfn.XLOOKUP(G743, Réttabanki!A:A, Réttabanki!AT:AT, "")), ""), "")))</f>
        <v/>
      </c>
      <c r="N743" s="26" t="str">
        <f>IF(OR(F743 = "", G743 = ""), "", IF(F743 = "Vara", IFERROR(_xlfn.SINGLE(_xlfn.XLOOKUP(G743, Vöruskrá!A:A, Vöruskrá!G:G, "")), ""), IF(F743 = "Réttur", IFERROR(_xlfn.SINGLE(_xlfn.XLOOKUP(G743, Réttabanki!A:A, Réttabanki!AU:AU, "")), ""), "")))</f>
        <v/>
      </c>
      <c r="O743" s="26" t="str">
        <f>IF(OR(F743 = "", G743 = "", I743 = ""), "", IF(F743 = "Vara", IFERROR(_xlfn.SINGLE(_xlfn.XLOOKUP(G743, Vöruskrá!A:A, Vöruskrá!I:I, "")) * I743 / 100, ""), IF(F743 = "Réttur", IFERROR(_xlfn.SINGLE(_xlfn.XLOOKUP(G743, Réttabanki!A:A, Réttabanki!AV:AV, "")) * I743 / 100, ""), "")))</f>
        <v/>
      </c>
      <c r="P743" s="26" t="str">
        <f>IF(OR(F743 = "", G743 = "", I743 = ""), "", IF(F743 = "Vara", IFERROR(_xlfn.SINGLE(_xlfn.XLOOKUP(G743, Vöruskrá!A:A, Vöruskrá!J:J, "")) * I743 / 100, ""), IF(F743 = "Réttur", IFERROR(_xlfn.SINGLE(_xlfn.XLOOKUP(G743, Réttabanki!A:A, Réttabanki!AW:AW, "")) * I743 / 100, ""), "")))</f>
        <v/>
      </c>
      <c r="Q743" s="26" t="str">
        <f>IF(OR(F743 = "", G743 = "", I743 = ""), "", IF(F743 = "Vara", IFERROR(_xlfn.SINGLE(_xlfn.XLOOKUP(G743, Vöruskrá!A:A, Vöruskrá!N:N, "")) * I743 / 100, ""), IF(F743 = "Réttur", IFERROR(_xlfn.SINGLE(_xlfn.XLOOKUP(G743, Réttabanki!A:A, Réttabanki!BB:BB, "")) * I743 / 100, ""), "")))</f>
        <v/>
      </c>
    </row>
    <row r="744" spans="2:17">
      <c r="B744" s="33" t="str">
        <f>IF(A744&lt;&gt;"",CHOOSE(WEEKDAY(A744,2),"Mánudagur","Þriðjudagur","Miðvikudagur","Fimmtudagur","Föstudagur","Laugardagur","Sunnudagur"),IF(B743&lt;&gt;"",B743,""))</f>
        <v>Fimmtudagur</v>
      </c>
      <c r="C744" s="33">
        <f>IF(A744&lt;&gt;"",WEEKNUM(A744,21),IF(C743&lt;&gt;"",C743,""))</f>
        <v>27</v>
      </c>
      <c r="D744" s="34"/>
      <c r="E744" s="34"/>
      <c r="F744" s="34"/>
      <c r="G744" s="34"/>
      <c r="H744" s="34"/>
      <c r="I744" s="35"/>
      <c r="J744" s="35"/>
      <c r="K744" s="36"/>
      <c r="L744" s="26" t="str">
        <f>IF(OR(F744 = "", G744 = ""), "", IF(F744 = "Vara", IFERROR(_xlfn.SINGLE(_xlfn.XLOOKUP(G744, Vöruskrá!A:A, Vöruskrá!E:E, "")), ""), IF(F744 = "Réttur", IFERROR(_xlfn.SINGLE(_xlfn.XLOOKUP(G744, Réttabanki!A:A, Réttabanki!AS:AS, "")), ""), "")))</f>
        <v/>
      </c>
      <c r="M744" s="26" t="str">
        <f>IF(OR(F744 = "", G744 = ""), "", IF(F744 = "Vara", IFERROR(_xlfn.SINGLE(_xlfn.XLOOKUP(G744, Vöruskrá!A:A, Vöruskrá!F:F, "")), ""), IF(F744 = "Réttur", IFERROR(_xlfn.SINGLE(_xlfn.XLOOKUP(G744, Réttabanki!A:A, Réttabanki!AT:AT, "")), ""), "")))</f>
        <v/>
      </c>
      <c r="N744" s="26" t="str">
        <f>IF(OR(F744 = "", G744 = ""), "", IF(F744 = "Vara", IFERROR(_xlfn.SINGLE(_xlfn.XLOOKUP(G744, Vöruskrá!A:A, Vöruskrá!G:G, "")), ""), IF(F744 = "Réttur", IFERROR(_xlfn.SINGLE(_xlfn.XLOOKUP(G744, Réttabanki!A:A, Réttabanki!AU:AU, "")), ""), "")))</f>
        <v/>
      </c>
      <c r="O744" s="26" t="str">
        <f>IF(OR(F744 = "", G744 = "", I744 = ""), "", IF(F744 = "Vara", IFERROR(_xlfn.SINGLE(_xlfn.XLOOKUP(G744, Vöruskrá!A:A, Vöruskrá!I:I, "")) * I744 / 100, ""), IF(F744 = "Réttur", IFERROR(_xlfn.SINGLE(_xlfn.XLOOKUP(G744, Réttabanki!A:A, Réttabanki!AV:AV, "")) * I744 / 100, ""), "")))</f>
        <v/>
      </c>
      <c r="P744" s="26" t="str">
        <f>IF(OR(F744 = "", G744 = "", I744 = ""), "", IF(F744 = "Vara", IFERROR(_xlfn.SINGLE(_xlfn.XLOOKUP(G744, Vöruskrá!A:A, Vöruskrá!J:J, "")) * I744 / 100, ""), IF(F744 = "Réttur", IFERROR(_xlfn.SINGLE(_xlfn.XLOOKUP(G744, Réttabanki!A:A, Réttabanki!AW:AW, "")) * I744 / 100, ""), "")))</f>
        <v/>
      </c>
      <c r="Q744" s="26" t="str">
        <f>IF(OR(F744 = "", G744 = "", I744 = ""), "", IF(F744 = "Vara", IFERROR(_xlfn.SINGLE(_xlfn.XLOOKUP(G744, Vöruskrá!A:A, Vöruskrá!N:N, "")) * I744 / 100, ""), IF(F744 = "Réttur", IFERROR(_xlfn.SINGLE(_xlfn.XLOOKUP(G744, Réttabanki!A:A, Réttabanki!BB:BB, "")) * I744 / 100, ""), "")))</f>
        <v/>
      </c>
    </row>
    <row r="745" spans="2:17">
      <c r="B745" s="33" t="str">
        <f>IF(A745&lt;&gt;"",CHOOSE(WEEKDAY(A745,2),"Mánudagur","Þriðjudagur","Miðvikudagur","Fimmtudagur","Föstudagur","Laugardagur","Sunnudagur"),IF(B744&lt;&gt;"",B744,""))</f>
        <v>Fimmtudagur</v>
      </c>
      <c r="C745" s="33">
        <f>IF(A745&lt;&gt;"",WEEKNUM(A745,21),IF(C744&lt;&gt;"",C744,""))</f>
        <v>27</v>
      </c>
      <c r="D745" s="34"/>
      <c r="E745" s="34"/>
      <c r="F745" s="34"/>
      <c r="G745" s="34"/>
      <c r="H745" s="34"/>
      <c r="I745" s="35"/>
      <c r="J745" s="35"/>
      <c r="K745" s="36"/>
      <c r="L745" s="26" t="str">
        <f>IF(OR(F745 = "", G745 = ""), "", IF(F745 = "Vara", IFERROR(_xlfn.SINGLE(_xlfn.XLOOKUP(G745, Vöruskrá!A:A, Vöruskrá!E:E, "")), ""), IF(F745 = "Réttur", IFERROR(_xlfn.SINGLE(_xlfn.XLOOKUP(G745, Réttabanki!A:A, Réttabanki!AS:AS, "")), ""), "")))</f>
        <v/>
      </c>
      <c r="M745" s="26" t="str">
        <f>IF(OR(F745 = "", G745 = ""), "", IF(F745 = "Vara", IFERROR(_xlfn.SINGLE(_xlfn.XLOOKUP(G745, Vöruskrá!A:A, Vöruskrá!F:F, "")), ""), IF(F745 = "Réttur", IFERROR(_xlfn.SINGLE(_xlfn.XLOOKUP(G745, Réttabanki!A:A, Réttabanki!AT:AT, "")), ""), "")))</f>
        <v/>
      </c>
      <c r="N745" s="26" t="str">
        <f>IF(OR(F745 = "", G745 = ""), "", IF(F745 = "Vara", IFERROR(_xlfn.SINGLE(_xlfn.XLOOKUP(G745, Vöruskrá!A:A, Vöruskrá!G:G, "")), ""), IF(F745 = "Réttur", IFERROR(_xlfn.SINGLE(_xlfn.XLOOKUP(G745, Réttabanki!A:A, Réttabanki!AU:AU, "")), ""), "")))</f>
        <v/>
      </c>
      <c r="O745" s="26" t="str">
        <f>IF(OR(F745 = "", G745 = "", I745 = ""), "", IF(F745 = "Vara", IFERROR(_xlfn.SINGLE(_xlfn.XLOOKUP(G745, Vöruskrá!A:A, Vöruskrá!I:I, "")) * I745 / 100, ""), IF(F745 = "Réttur", IFERROR(_xlfn.SINGLE(_xlfn.XLOOKUP(G745, Réttabanki!A:A, Réttabanki!AV:AV, "")) * I745 / 100, ""), "")))</f>
        <v/>
      </c>
      <c r="P745" s="26" t="str">
        <f>IF(OR(F745 = "", G745 = "", I745 = ""), "", IF(F745 = "Vara", IFERROR(_xlfn.SINGLE(_xlfn.XLOOKUP(G745, Vöruskrá!A:A, Vöruskrá!J:J, "")) * I745 / 100, ""), IF(F745 = "Réttur", IFERROR(_xlfn.SINGLE(_xlfn.XLOOKUP(G745, Réttabanki!A:A, Réttabanki!AW:AW, "")) * I745 / 100, ""), "")))</f>
        <v/>
      </c>
      <c r="Q745" s="26" t="str">
        <f>IF(OR(F745 = "", G745 = "", I745 = ""), "", IF(F745 = "Vara", IFERROR(_xlfn.SINGLE(_xlfn.XLOOKUP(G745, Vöruskrá!A:A, Vöruskrá!N:N, "")) * I745 / 100, ""), IF(F745 = "Réttur", IFERROR(_xlfn.SINGLE(_xlfn.XLOOKUP(G745, Réttabanki!A:A, Réttabanki!BB:BB, "")) * I745 / 100, ""), "")))</f>
        <v/>
      </c>
    </row>
    <row r="746" spans="2:17">
      <c r="B746" s="33" t="str">
        <f>IF(A746&lt;&gt;"",CHOOSE(WEEKDAY(A746,2),"Mánudagur","Þriðjudagur","Miðvikudagur","Fimmtudagur","Föstudagur","Laugardagur","Sunnudagur"),IF(B745&lt;&gt;"",B745,""))</f>
        <v>Fimmtudagur</v>
      </c>
      <c r="C746" s="33">
        <f>IF(A746&lt;&gt;"",WEEKNUM(A746,21),IF(C745&lt;&gt;"",C745,""))</f>
        <v>27</v>
      </c>
      <c r="D746" s="34"/>
      <c r="E746" s="34"/>
      <c r="F746" s="34"/>
      <c r="G746" s="34"/>
      <c r="H746" s="34"/>
      <c r="I746" s="35"/>
      <c r="J746" s="35"/>
      <c r="K746" s="36"/>
      <c r="L746" s="26" t="str">
        <f>IF(OR(F746 = "", G746 = ""), "", IF(F746 = "Vara", IFERROR(_xlfn.SINGLE(_xlfn.XLOOKUP(G746, Vöruskrá!A:A, Vöruskrá!E:E, "")), ""), IF(F746 = "Réttur", IFERROR(_xlfn.SINGLE(_xlfn.XLOOKUP(G746, Réttabanki!A:A, Réttabanki!AS:AS, "")), ""), "")))</f>
        <v/>
      </c>
      <c r="M746" s="26" t="str">
        <f>IF(OR(F746 = "", G746 = ""), "", IF(F746 = "Vara", IFERROR(_xlfn.SINGLE(_xlfn.XLOOKUP(G746, Vöruskrá!A:A, Vöruskrá!F:F, "")), ""), IF(F746 = "Réttur", IFERROR(_xlfn.SINGLE(_xlfn.XLOOKUP(G746, Réttabanki!A:A, Réttabanki!AT:AT, "")), ""), "")))</f>
        <v/>
      </c>
      <c r="N746" s="26" t="str">
        <f>IF(OR(F746 = "", G746 = ""), "", IF(F746 = "Vara", IFERROR(_xlfn.SINGLE(_xlfn.XLOOKUP(G746, Vöruskrá!A:A, Vöruskrá!G:G, "")), ""), IF(F746 = "Réttur", IFERROR(_xlfn.SINGLE(_xlfn.XLOOKUP(G746, Réttabanki!A:A, Réttabanki!AU:AU, "")), ""), "")))</f>
        <v/>
      </c>
      <c r="O746" s="26" t="str">
        <f>IF(OR(F746 = "", G746 = "", I746 = ""), "", IF(F746 = "Vara", IFERROR(_xlfn.SINGLE(_xlfn.XLOOKUP(G746, Vöruskrá!A:A, Vöruskrá!I:I, "")) * I746 / 100, ""), IF(F746 = "Réttur", IFERROR(_xlfn.SINGLE(_xlfn.XLOOKUP(G746, Réttabanki!A:A, Réttabanki!AV:AV, "")) * I746 / 100, ""), "")))</f>
        <v/>
      </c>
      <c r="P746" s="26" t="str">
        <f>IF(OR(F746 = "", G746 = "", I746 = ""), "", IF(F746 = "Vara", IFERROR(_xlfn.SINGLE(_xlfn.XLOOKUP(G746, Vöruskrá!A:A, Vöruskrá!J:J, "")) * I746 / 100, ""), IF(F746 = "Réttur", IFERROR(_xlfn.SINGLE(_xlfn.XLOOKUP(G746, Réttabanki!A:A, Réttabanki!AW:AW, "")) * I746 / 100, ""), "")))</f>
        <v/>
      </c>
      <c r="Q746" s="26" t="str">
        <f>IF(OR(F746 = "", G746 = "", I746 = ""), "", IF(F746 = "Vara", IFERROR(_xlfn.SINGLE(_xlfn.XLOOKUP(G746, Vöruskrá!A:A, Vöruskrá!N:N, "")) * I746 / 100, ""), IF(F746 = "Réttur", IFERROR(_xlfn.SINGLE(_xlfn.XLOOKUP(G746, Réttabanki!A:A, Réttabanki!BB:BB, "")) * I746 / 100, ""), "")))</f>
        <v/>
      </c>
    </row>
    <row r="747" spans="2:17">
      <c r="B747" s="33" t="str">
        <f>IF(A747&lt;&gt;"",CHOOSE(WEEKDAY(A747,2),"Mánudagur","Þriðjudagur","Miðvikudagur","Fimmtudagur","Föstudagur","Laugardagur","Sunnudagur"),IF(B746&lt;&gt;"",B746,""))</f>
        <v>Fimmtudagur</v>
      </c>
      <c r="C747" s="33">
        <f>IF(A747&lt;&gt;"",WEEKNUM(A747,21),IF(C746&lt;&gt;"",C746,""))</f>
        <v>27</v>
      </c>
      <c r="D747" s="34"/>
      <c r="E747" s="34"/>
      <c r="F747" s="34"/>
      <c r="G747" s="34"/>
      <c r="H747" s="34"/>
      <c r="I747" s="35"/>
      <c r="J747" s="35"/>
      <c r="K747" s="36"/>
      <c r="L747" s="26" t="str">
        <f>IF(OR(F747 = "", G747 = ""), "", IF(F747 = "Vara", IFERROR(_xlfn.SINGLE(_xlfn.XLOOKUP(G747, Vöruskrá!A:A, Vöruskrá!E:E, "")), ""), IF(F747 = "Réttur", IFERROR(_xlfn.SINGLE(_xlfn.XLOOKUP(G747, Réttabanki!A:A, Réttabanki!AS:AS, "")), ""), "")))</f>
        <v/>
      </c>
      <c r="M747" s="26" t="str">
        <f>IF(OR(F747 = "", G747 = ""), "", IF(F747 = "Vara", IFERROR(_xlfn.SINGLE(_xlfn.XLOOKUP(G747, Vöruskrá!A:A, Vöruskrá!F:F, "")), ""), IF(F747 = "Réttur", IFERROR(_xlfn.SINGLE(_xlfn.XLOOKUP(G747, Réttabanki!A:A, Réttabanki!AT:AT, "")), ""), "")))</f>
        <v/>
      </c>
      <c r="N747" s="26" t="str">
        <f>IF(OR(F747 = "", G747 = ""), "", IF(F747 = "Vara", IFERROR(_xlfn.SINGLE(_xlfn.XLOOKUP(G747, Vöruskrá!A:A, Vöruskrá!G:G, "")), ""), IF(F747 = "Réttur", IFERROR(_xlfn.SINGLE(_xlfn.XLOOKUP(G747, Réttabanki!A:A, Réttabanki!AU:AU, "")), ""), "")))</f>
        <v/>
      </c>
      <c r="O747" s="26" t="str">
        <f>IF(OR(F747 = "", G747 = "", I747 = ""), "", IF(F747 = "Vara", IFERROR(_xlfn.SINGLE(_xlfn.XLOOKUP(G747, Vöruskrá!A:A, Vöruskrá!I:I, "")) * I747 / 100, ""), IF(F747 = "Réttur", IFERROR(_xlfn.SINGLE(_xlfn.XLOOKUP(G747, Réttabanki!A:A, Réttabanki!AV:AV, "")) * I747 / 100, ""), "")))</f>
        <v/>
      </c>
      <c r="P747" s="26" t="str">
        <f>IF(OR(F747 = "", G747 = "", I747 = ""), "", IF(F747 = "Vara", IFERROR(_xlfn.SINGLE(_xlfn.XLOOKUP(G747, Vöruskrá!A:A, Vöruskrá!J:J, "")) * I747 / 100, ""), IF(F747 = "Réttur", IFERROR(_xlfn.SINGLE(_xlfn.XLOOKUP(G747, Réttabanki!A:A, Réttabanki!AW:AW, "")) * I747 / 100, ""), "")))</f>
        <v/>
      </c>
      <c r="Q747" s="26" t="str">
        <f>IF(OR(F747 = "", G747 = "", I747 = ""), "", IF(F747 = "Vara", IFERROR(_xlfn.SINGLE(_xlfn.XLOOKUP(G747, Vöruskrá!A:A, Vöruskrá!N:N, "")) * I747 / 100, ""), IF(F747 = "Réttur", IFERROR(_xlfn.SINGLE(_xlfn.XLOOKUP(G747, Réttabanki!A:A, Réttabanki!BB:BB, "")) * I747 / 100, ""), "")))</f>
        <v/>
      </c>
    </row>
    <row r="748" spans="2:17">
      <c r="B748" s="33" t="str">
        <f>IF(A748&lt;&gt;"",CHOOSE(WEEKDAY(A748,2),"Mánudagur","Þriðjudagur","Miðvikudagur","Fimmtudagur","Föstudagur","Laugardagur","Sunnudagur"),IF(B747&lt;&gt;"",B747,""))</f>
        <v>Fimmtudagur</v>
      </c>
      <c r="C748" s="33">
        <f>IF(A748&lt;&gt;"",WEEKNUM(A748,21),IF(C747&lt;&gt;"",C747,""))</f>
        <v>27</v>
      </c>
      <c r="D748" s="34"/>
      <c r="E748" s="34"/>
      <c r="F748" s="34"/>
      <c r="G748" s="34"/>
      <c r="H748" s="34"/>
      <c r="I748" s="35"/>
      <c r="J748" s="35"/>
      <c r="K748" s="36"/>
      <c r="L748" s="26" t="str">
        <f>IF(OR(F748 = "", G748 = ""), "", IF(F748 = "Vara", IFERROR(_xlfn.SINGLE(_xlfn.XLOOKUP(G748, Vöruskrá!A:A, Vöruskrá!E:E, "")), ""), IF(F748 = "Réttur", IFERROR(_xlfn.SINGLE(_xlfn.XLOOKUP(G748, Réttabanki!A:A, Réttabanki!AS:AS, "")), ""), "")))</f>
        <v/>
      </c>
      <c r="M748" s="26" t="str">
        <f>IF(OR(F748 = "", G748 = ""), "", IF(F748 = "Vara", IFERROR(_xlfn.SINGLE(_xlfn.XLOOKUP(G748, Vöruskrá!A:A, Vöruskrá!F:F, "")), ""), IF(F748 = "Réttur", IFERROR(_xlfn.SINGLE(_xlfn.XLOOKUP(G748, Réttabanki!A:A, Réttabanki!AT:AT, "")), ""), "")))</f>
        <v/>
      </c>
      <c r="N748" s="26" t="str">
        <f>IF(OR(F748 = "", G748 = ""), "", IF(F748 = "Vara", IFERROR(_xlfn.SINGLE(_xlfn.XLOOKUP(G748, Vöruskrá!A:A, Vöruskrá!G:G, "")), ""), IF(F748 = "Réttur", IFERROR(_xlfn.SINGLE(_xlfn.XLOOKUP(G748, Réttabanki!A:A, Réttabanki!AU:AU, "")), ""), "")))</f>
        <v/>
      </c>
      <c r="O748" s="26" t="str">
        <f>IF(OR(F748 = "", G748 = "", I748 = ""), "", IF(F748 = "Vara", IFERROR(_xlfn.SINGLE(_xlfn.XLOOKUP(G748, Vöruskrá!A:A, Vöruskrá!I:I, "")) * I748 / 100, ""), IF(F748 = "Réttur", IFERROR(_xlfn.SINGLE(_xlfn.XLOOKUP(G748, Réttabanki!A:A, Réttabanki!AV:AV, "")) * I748 / 100, ""), "")))</f>
        <v/>
      </c>
      <c r="P748" s="26" t="str">
        <f>IF(OR(F748 = "", G748 = "", I748 = ""), "", IF(F748 = "Vara", IFERROR(_xlfn.SINGLE(_xlfn.XLOOKUP(G748, Vöruskrá!A:A, Vöruskrá!J:J, "")) * I748 / 100, ""), IF(F748 = "Réttur", IFERROR(_xlfn.SINGLE(_xlfn.XLOOKUP(G748, Réttabanki!A:A, Réttabanki!AW:AW, "")) * I748 / 100, ""), "")))</f>
        <v/>
      </c>
      <c r="Q748" s="26" t="str">
        <f>IF(OR(F748 = "", G748 = "", I748 = ""), "", IF(F748 = "Vara", IFERROR(_xlfn.SINGLE(_xlfn.XLOOKUP(G748, Vöruskrá!A:A, Vöruskrá!N:N, "")) * I748 / 100, ""), IF(F748 = "Réttur", IFERROR(_xlfn.SINGLE(_xlfn.XLOOKUP(G748, Réttabanki!A:A, Réttabanki!BB:BB, "")) * I748 / 100, ""), "")))</f>
        <v/>
      </c>
    </row>
    <row r="749" spans="2:17">
      <c r="B749" s="33" t="str">
        <f>IF(A749&lt;&gt;"",CHOOSE(WEEKDAY(A749,2),"Mánudagur","Þriðjudagur","Miðvikudagur","Fimmtudagur","Föstudagur","Laugardagur","Sunnudagur"),IF(B748&lt;&gt;"",B748,""))</f>
        <v>Fimmtudagur</v>
      </c>
      <c r="C749" s="33">
        <f>IF(A749&lt;&gt;"",WEEKNUM(A749,21),IF(C748&lt;&gt;"",C748,""))</f>
        <v>27</v>
      </c>
      <c r="D749" s="34"/>
      <c r="E749" s="34"/>
      <c r="F749" s="34"/>
      <c r="G749" s="34"/>
      <c r="H749" s="34"/>
      <c r="I749" s="35"/>
      <c r="J749" s="35"/>
      <c r="K749" s="36"/>
      <c r="L749" s="26" t="str">
        <f>IF(OR(F749 = "", G749 = ""), "", IF(F749 = "Vara", IFERROR(_xlfn.SINGLE(_xlfn.XLOOKUP(G749, Vöruskrá!A:A, Vöruskrá!E:E, "")), ""), IF(F749 = "Réttur", IFERROR(_xlfn.SINGLE(_xlfn.XLOOKUP(G749, Réttabanki!A:A, Réttabanki!AS:AS, "")), ""), "")))</f>
        <v/>
      </c>
      <c r="M749" s="26" t="str">
        <f>IF(OR(F749 = "", G749 = ""), "", IF(F749 = "Vara", IFERROR(_xlfn.SINGLE(_xlfn.XLOOKUP(G749, Vöruskrá!A:A, Vöruskrá!F:F, "")), ""), IF(F749 = "Réttur", IFERROR(_xlfn.SINGLE(_xlfn.XLOOKUP(G749, Réttabanki!A:A, Réttabanki!AT:AT, "")), ""), "")))</f>
        <v/>
      </c>
      <c r="N749" s="26" t="str">
        <f>IF(OR(F749 = "", G749 = ""), "", IF(F749 = "Vara", IFERROR(_xlfn.SINGLE(_xlfn.XLOOKUP(G749, Vöruskrá!A:A, Vöruskrá!G:G, "")), ""), IF(F749 = "Réttur", IFERROR(_xlfn.SINGLE(_xlfn.XLOOKUP(G749, Réttabanki!A:A, Réttabanki!AU:AU, "")), ""), "")))</f>
        <v/>
      </c>
      <c r="O749" s="26" t="str">
        <f>IF(OR(F749 = "", G749 = "", I749 = ""), "", IF(F749 = "Vara", IFERROR(_xlfn.SINGLE(_xlfn.XLOOKUP(G749, Vöruskrá!A:A, Vöruskrá!I:I, "")) * I749 / 100, ""), IF(F749 = "Réttur", IFERROR(_xlfn.SINGLE(_xlfn.XLOOKUP(G749, Réttabanki!A:A, Réttabanki!AV:AV, "")) * I749 / 100, ""), "")))</f>
        <v/>
      </c>
      <c r="P749" s="26" t="str">
        <f>IF(OR(F749 = "", G749 = "", I749 = ""), "", IF(F749 = "Vara", IFERROR(_xlfn.SINGLE(_xlfn.XLOOKUP(G749, Vöruskrá!A:A, Vöruskrá!J:J, "")) * I749 / 100, ""), IF(F749 = "Réttur", IFERROR(_xlfn.SINGLE(_xlfn.XLOOKUP(G749, Réttabanki!A:A, Réttabanki!AW:AW, "")) * I749 / 100, ""), "")))</f>
        <v/>
      </c>
      <c r="Q749" s="26" t="str">
        <f>IF(OR(F749 = "", G749 = "", I749 = ""), "", IF(F749 = "Vara", IFERROR(_xlfn.SINGLE(_xlfn.XLOOKUP(G749, Vöruskrá!A:A, Vöruskrá!N:N, "")) * I749 / 100, ""), IF(F749 = "Réttur", IFERROR(_xlfn.SINGLE(_xlfn.XLOOKUP(G749, Réttabanki!A:A, Réttabanki!BB:BB, "")) * I749 / 100, ""), "")))</f>
        <v/>
      </c>
    </row>
    <row r="750" spans="2:17">
      <c r="B750" s="33" t="str">
        <f>IF(A750&lt;&gt;"",CHOOSE(WEEKDAY(A750,2),"Mánudagur","Þriðjudagur","Miðvikudagur","Fimmtudagur","Föstudagur","Laugardagur","Sunnudagur"),IF(B749&lt;&gt;"",B749,""))</f>
        <v>Fimmtudagur</v>
      </c>
      <c r="C750" s="33">
        <f>IF(A750&lt;&gt;"",WEEKNUM(A750,21),IF(C749&lt;&gt;"",C749,""))</f>
        <v>27</v>
      </c>
      <c r="D750" s="34"/>
      <c r="E750" s="34"/>
      <c r="F750" s="34"/>
      <c r="G750" s="34"/>
      <c r="H750" s="34"/>
      <c r="I750" s="35"/>
      <c r="J750" s="35"/>
      <c r="K750" s="36"/>
      <c r="L750" s="26" t="str">
        <f>IF(OR(F750 = "", G750 = ""), "", IF(F750 = "Vara", IFERROR(_xlfn.SINGLE(_xlfn.XLOOKUP(G750, Vöruskrá!A:A, Vöruskrá!E:E, "")), ""), IF(F750 = "Réttur", IFERROR(_xlfn.SINGLE(_xlfn.XLOOKUP(G750, Réttabanki!A:A, Réttabanki!AS:AS, "")), ""), "")))</f>
        <v/>
      </c>
      <c r="M750" s="26" t="str">
        <f>IF(OR(F750 = "", G750 = ""), "", IF(F750 = "Vara", IFERROR(_xlfn.SINGLE(_xlfn.XLOOKUP(G750, Vöruskrá!A:A, Vöruskrá!F:F, "")), ""), IF(F750 = "Réttur", IFERROR(_xlfn.SINGLE(_xlfn.XLOOKUP(G750, Réttabanki!A:A, Réttabanki!AT:AT, "")), ""), "")))</f>
        <v/>
      </c>
      <c r="N750" s="26" t="str">
        <f>IF(OR(F750 = "", G750 = ""), "", IF(F750 = "Vara", IFERROR(_xlfn.SINGLE(_xlfn.XLOOKUP(G750, Vöruskrá!A:A, Vöruskrá!G:G, "")), ""), IF(F750 = "Réttur", IFERROR(_xlfn.SINGLE(_xlfn.XLOOKUP(G750, Réttabanki!A:A, Réttabanki!AU:AU, "")), ""), "")))</f>
        <v/>
      </c>
      <c r="O750" s="26" t="str">
        <f>IF(OR(F750 = "", G750 = "", I750 = ""), "", IF(F750 = "Vara", IFERROR(_xlfn.SINGLE(_xlfn.XLOOKUP(G750, Vöruskrá!A:A, Vöruskrá!I:I, "")) * I750 / 100, ""), IF(F750 = "Réttur", IFERROR(_xlfn.SINGLE(_xlfn.XLOOKUP(G750, Réttabanki!A:A, Réttabanki!AV:AV, "")) * I750 / 100, ""), "")))</f>
        <v/>
      </c>
      <c r="P750" s="26" t="str">
        <f>IF(OR(F750 = "", G750 = "", I750 = ""), "", IF(F750 = "Vara", IFERROR(_xlfn.SINGLE(_xlfn.XLOOKUP(G750, Vöruskrá!A:A, Vöruskrá!J:J, "")) * I750 / 100, ""), IF(F750 = "Réttur", IFERROR(_xlfn.SINGLE(_xlfn.XLOOKUP(G750, Réttabanki!A:A, Réttabanki!AW:AW, "")) * I750 / 100, ""), "")))</f>
        <v/>
      </c>
      <c r="Q750" s="26" t="str">
        <f>IF(OR(F750 = "", G750 = "", I750 = ""), "", IF(F750 = "Vara", IFERROR(_xlfn.SINGLE(_xlfn.XLOOKUP(G750, Vöruskrá!A:A, Vöruskrá!N:N, "")) * I750 / 100, ""), IF(F750 = "Réttur", IFERROR(_xlfn.SINGLE(_xlfn.XLOOKUP(G750, Réttabanki!A:A, Réttabanki!BB:BB, "")) * I750 / 100, ""), "")))</f>
        <v/>
      </c>
    </row>
    <row r="751" spans="2:17">
      <c r="B751" s="33" t="str">
        <f>IF(A751&lt;&gt;"",CHOOSE(WEEKDAY(A751,2),"Mánudagur","Þriðjudagur","Miðvikudagur","Fimmtudagur","Föstudagur","Laugardagur","Sunnudagur"),IF(B750&lt;&gt;"",B750,""))</f>
        <v>Fimmtudagur</v>
      </c>
      <c r="C751" s="33">
        <f>IF(A751&lt;&gt;"",WEEKNUM(A751,21),IF(C750&lt;&gt;"",C750,""))</f>
        <v>27</v>
      </c>
      <c r="D751" s="34"/>
      <c r="E751" s="34"/>
      <c r="F751" s="34"/>
      <c r="G751" s="34"/>
      <c r="H751" s="34"/>
      <c r="I751" s="35"/>
      <c r="J751" s="35"/>
      <c r="K751" s="36"/>
      <c r="L751" s="26" t="str">
        <f>IF(OR(F751 = "", G751 = ""), "", IF(F751 = "Vara", IFERROR(_xlfn.SINGLE(_xlfn.XLOOKUP(G751, Vöruskrá!A:A, Vöruskrá!E:E, "")), ""), IF(F751 = "Réttur", IFERROR(_xlfn.SINGLE(_xlfn.XLOOKUP(G751, Réttabanki!A:A, Réttabanki!AS:AS, "")), ""), "")))</f>
        <v/>
      </c>
      <c r="M751" s="26" t="str">
        <f>IF(OR(F751 = "", G751 = ""), "", IF(F751 = "Vara", IFERROR(_xlfn.SINGLE(_xlfn.XLOOKUP(G751, Vöruskrá!A:A, Vöruskrá!F:F, "")), ""), IF(F751 = "Réttur", IFERROR(_xlfn.SINGLE(_xlfn.XLOOKUP(G751, Réttabanki!A:A, Réttabanki!AT:AT, "")), ""), "")))</f>
        <v/>
      </c>
      <c r="N751" s="26" t="str">
        <f>IF(OR(F751 = "", G751 = ""), "", IF(F751 = "Vara", IFERROR(_xlfn.SINGLE(_xlfn.XLOOKUP(G751, Vöruskrá!A:A, Vöruskrá!G:G, "")), ""), IF(F751 = "Réttur", IFERROR(_xlfn.SINGLE(_xlfn.XLOOKUP(G751, Réttabanki!A:A, Réttabanki!AU:AU, "")), ""), "")))</f>
        <v/>
      </c>
      <c r="O751" s="26" t="str">
        <f>IF(OR(F751 = "", G751 = "", I751 = ""), "", IF(F751 = "Vara", IFERROR(_xlfn.SINGLE(_xlfn.XLOOKUP(G751, Vöruskrá!A:A, Vöruskrá!I:I, "")) * I751 / 100, ""), IF(F751 = "Réttur", IFERROR(_xlfn.SINGLE(_xlfn.XLOOKUP(G751, Réttabanki!A:A, Réttabanki!AV:AV, "")) * I751 / 100, ""), "")))</f>
        <v/>
      </c>
      <c r="P751" s="26" t="str">
        <f>IF(OR(F751 = "", G751 = "", I751 = ""), "", IF(F751 = "Vara", IFERROR(_xlfn.SINGLE(_xlfn.XLOOKUP(G751, Vöruskrá!A:A, Vöruskrá!J:J, "")) * I751 / 100, ""), IF(F751 = "Réttur", IFERROR(_xlfn.SINGLE(_xlfn.XLOOKUP(G751, Réttabanki!A:A, Réttabanki!AW:AW, "")) * I751 / 100, ""), "")))</f>
        <v/>
      </c>
      <c r="Q751" s="26" t="str">
        <f>IF(OR(F751 = "", G751 = "", I751 = ""), "", IF(F751 = "Vara", IFERROR(_xlfn.SINGLE(_xlfn.XLOOKUP(G751, Vöruskrá!A:A, Vöruskrá!N:N, "")) * I751 / 100, ""), IF(F751 = "Réttur", IFERROR(_xlfn.SINGLE(_xlfn.XLOOKUP(G751, Réttabanki!A:A, Réttabanki!BB:BB, "")) * I751 / 100, ""), "")))</f>
        <v/>
      </c>
    </row>
    <row r="752" spans="2:17">
      <c r="B752" s="33" t="str">
        <f>IF(A752&lt;&gt;"",CHOOSE(WEEKDAY(A752,2),"Mánudagur","Þriðjudagur","Miðvikudagur","Fimmtudagur","Föstudagur","Laugardagur","Sunnudagur"),IF(B751&lt;&gt;"",B751,""))</f>
        <v>Fimmtudagur</v>
      </c>
      <c r="C752" s="33">
        <f>IF(A752&lt;&gt;"",WEEKNUM(A752,21),IF(C751&lt;&gt;"",C751,""))</f>
        <v>27</v>
      </c>
      <c r="D752" s="34"/>
      <c r="E752" s="34"/>
      <c r="F752" s="34"/>
      <c r="G752" s="34"/>
      <c r="H752" s="34"/>
      <c r="I752" s="35"/>
      <c r="J752" s="35"/>
      <c r="K752" s="36"/>
      <c r="L752" s="26" t="str">
        <f>IF(OR(F752 = "", G752 = ""), "", IF(F752 = "Vara", IFERROR(_xlfn.SINGLE(_xlfn.XLOOKUP(G752, Vöruskrá!A:A, Vöruskrá!E:E, "")), ""), IF(F752 = "Réttur", IFERROR(_xlfn.SINGLE(_xlfn.XLOOKUP(G752, Réttabanki!A:A, Réttabanki!AS:AS, "")), ""), "")))</f>
        <v/>
      </c>
      <c r="M752" s="26" t="str">
        <f>IF(OR(F752 = "", G752 = ""), "", IF(F752 = "Vara", IFERROR(_xlfn.SINGLE(_xlfn.XLOOKUP(G752, Vöruskrá!A:A, Vöruskrá!F:F, "")), ""), IF(F752 = "Réttur", IFERROR(_xlfn.SINGLE(_xlfn.XLOOKUP(G752, Réttabanki!A:A, Réttabanki!AT:AT, "")), ""), "")))</f>
        <v/>
      </c>
      <c r="N752" s="26" t="str">
        <f>IF(OR(F752 = "", G752 = ""), "", IF(F752 = "Vara", IFERROR(_xlfn.SINGLE(_xlfn.XLOOKUP(G752, Vöruskrá!A:A, Vöruskrá!G:G, "")), ""), IF(F752 = "Réttur", IFERROR(_xlfn.SINGLE(_xlfn.XLOOKUP(G752, Réttabanki!A:A, Réttabanki!AU:AU, "")), ""), "")))</f>
        <v/>
      </c>
      <c r="O752" s="26" t="str">
        <f>IF(OR(F752 = "", G752 = "", I752 = ""), "", IF(F752 = "Vara", IFERROR(_xlfn.SINGLE(_xlfn.XLOOKUP(G752, Vöruskrá!A:A, Vöruskrá!I:I, "")) * I752 / 100, ""), IF(F752 = "Réttur", IFERROR(_xlfn.SINGLE(_xlfn.XLOOKUP(G752, Réttabanki!A:A, Réttabanki!AV:AV, "")) * I752 / 100, ""), "")))</f>
        <v/>
      </c>
      <c r="P752" s="26" t="str">
        <f>IF(OR(F752 = "", G752 = "", I752 = ""), "", IF(F752 = "Vara", IFERROR(_xlfn.SINGLE(_xlfn.XLOOKUP(G752, Vöruskrá!A:A, Vöruskrá!J:J, "")) * I752 / 100, ""), IF(F752 = "Réttur", IFERROR(_xlfn.SINGLE(_xlfn.XLOOKUP(G752, Réttabanki!A:A, Réttabanki!AW:AW, "")) * I752 / 100, ""), "")))</f>
        <v/>
      </c>
      <c r="Q752" s="26" t="str">
        <f>IF(OR(F752 = "", G752 = "", I752 = ""), "", IF(F752 = "Vara", IFERROR(_xlfn.SINGLE(_xlfn.XLOOKUP(G752, Vöruskrá!A:A, Vöruskrá!N:N, "")) * I752 / 100, ""), IF(F752 = "Réttur", IFERROR(_xlfn.SINGLE(_xlfn.XLOOKUP(G752, Réttabanki!A:A, Réttabanki!BB:BB, "")) * I752 / 100, ""), "")))</f>
        <v/>
      </c>
    </row>
    <row r="753" spans="2:17">
      <c r="B753" s="33" t="str">
        <f>IF(A753&lt;&gt;"",CHOOSE(WEEKDAY(A753,2),"Mánudagur","Þriðjudagur","Miðvikudagur","Fimmtudagur","Föstudagur","Laugardagur","Sunnudagur"),IF(B752&lt;&gt;"",B752,""))</f>
        <v>Fimmtudagur</v>
      </c>
      <c r="C753" s="33">
        <f>IF(A753&lt;&gt;"",WEEKNUM(A753,21),IF(C752&lt;&gt;"",C752,""))</f>
        <v>27</v>
      </c>
      <c r="D753" s="34"/>
      <c r="E753" s="34"/>
      <c r="F753" s="34"/>
      <c r="G753" s="34"/>
      <c r="H753" s="34"/>
      <c r="I753" s="35"/>
      <c r="J753" s="35"/>
      <c r="K753" s="36"/>
      <c r="L753" s="26" t="str">
        <f>IF(OR(F753 = "", G753 = ""), "", IF(F753 = "Vara", IFERROR(_xlfn.SINGLE(_xlfn.XLOOKUP(G753, Vöruskrá!A:A, Vöruskrá!E:E, "")), ""), IF(F753 = "Réttur", IFERROR(_xlfn.SINGLE(_xlfn.XLOOKUP(G753, Réttabanki!A:A, Réttabanki!AS:AS, "")), ""), "")))</f>
        <v/>
      </c>
      <c r="M753" s="26" t="str">
        <f>IF(OR(F753 = "", G753 = ""), "", IF(F753 = "Vara", IFERROR(_xlfn.SINGLE(_xlfn.XLOOKUP(G753, Vöruskrá!A:A, Vöruskrá!F:F, "")), ""), IF(F753 = "Réttur", IFERROR(_xlfn.SINGLE(_xlfn.XLOOKUP(G753, Réttabanki!A:A, Réttabanki!AT:AT, "")), ""), "")))</f>
        <v/>
      </c>
      <c r="N753" s="26" t="str">
        <f>IF(OR(F753 = "", G753 = ""), "", IF(F753 = "Vara", IFERROR(_xlfn.SINGLE(_xlfn.XLOOKUP(G753, Vöruskrá!A:A, Vöruskrá!G:G, "")), ""), IF(F753 = "Réttur", IFERROR(_xlfn.SINGLE(_xlfn.XLOOKUP(G753, Réttabanki!A:A, Réttabanki!AU:AU, "")), ""), "")))</f>
        <v/>
      </c>
      <c r="O753" s="26" t="str">
        <f>IF(OR(F753 = "", G753 = "", I753 = ""), "", IF(F753 = "Vara", IFERROR(_xlfn.SINGLE(_xlfn.XLOOKUP(G753, Vöruskrá!A:A, Vöruskrá!I:I, "")) * I753 / 100, ""), IF(F753 = "Réttur", IFERROR(_xlfn.SINGLE(_xlfn.XLOOKUP(G753, Réttabanki!A:A, Réttabanki!AV:AV, "")) * I753 / 100, ""), "")))</f>
        <v/>
      </c>
      <c r="P753" s="26" t="str">
        <f>IF(OR(F753 = "", G753 = "", I753 = ""), "", IF(F753 = "Vara", IFERROR(_xlfn.SINGLE(_xlfn.XLOOKUP(G753, Vöruskrá!A:A, Vöruskrá!J:J, "")) * I753 / 100, ""), IF(F753 = "Réttur", IFERROR(_xlfn.SINGLE(_xlfn.XLOOKUP(G753, Réttabanki!A:A, Réttabanki!AW:AW, "")) * I753 / 100, ""), "")))</f>
        <v/>
      </c>
      <c r="Q753" s="26" t="str">
        <f>IF(OR(F753 = "", G753 = "", I753 = ""), "", IF(F753 = "Vara", IFERROR(_xlfn.SINGLE(_xlfn.XLOOKUP(G753, Vöruskrá!A:A, Vöruskrá!N:N, "")) * I753 / 100, ""), IF(F753 = "Réttur", IFERROR(_xlfn.SINGLE(_xlfn.XLOOKUP(G753, Réttabanki!A:A, Réttabanki!BB:BB, "")) * I753 / 100, ""), "")))</f>
        <v/>
      </c>
    </row>
    <row r="754" spans="2:17">
      <c r="B754" s="33" t="str">
        <f>IF(A754&lt;&gt;"",CHOOSE(WEEKDAY(A754,2),"Mánudagur","Þriðjudagur","Miðvikudagur","Fimmtudagur","Föstudagur","Laugardagur","Sunnudagur"),IF(B753&lt;&gt;"",B753,""))</f>
        <v>Fimmtudagur</v>
      </c>
      <c r="C754" s="33">
        <f>IF(A754&lt;&gt;"",WEEKNUM(A754,21),IF(C753&lt;&gt;"",C753,""))</f>
        <v>27</v>
      </c>
      <c r="D754" s="34"/>
      <c r="E754" s="34"/>
      <c r="F754" s="34"/>
      <c r="G754" s="34"/>
      <c r="H754" s="34"/>
      <c r="I754" s="35"/>
      <c r="J754" s="35"/>
      <c r="K754" s="36"/>
      <c r="L754" s="26" t="str">
        <f>IF(OR(F754 = "", G754 = ""), "", IF(F754 = "Vara", IFERROR(_xlfn.SINGLE(_xlfn.XLOOKUP(G754, Vöruskrá!A:A, Vöruskrá!E:E, "")), ""), IF(F754 = "Réttur", IFERROR(_xlfn.SINGLE(_xlfn.XLOOKUP(G754, Réttabanki!A:A, Réttabanki!AS:AS, "")), ""), "")))</f>
        <v/>
      </c>
      <c r="M754" s="26" t="str">
        <f>IF(OR(F754 = "", G754 = ""), "", IF(F754 = "Vara", IFERROR(_xlfn.SINGLE(_xlfn.XLOOKUP(G754, Vöruskrá!A:A, Vöruskrá!F:F, "")), ""), IF(F754 = "Réttur", IFERROR(_xlfn.SINGLE(_xlfn.XLOOKUP(G754, Réttabanki!A:A, Réttabanki!AT:AT, "")), ""), "")))</f>
        <v/>
      </c>
      <c r="N754" s="26" t="str">
        <f>IF(OR(F754 = "", G754 = ""), "", IF(F754 = "Vara", IFERROR(_xlfn.SINGLE(_xlfn.XLOOKUP(G754, Vöruskrá!A:A, Vöruskrá!G:G, "")), ""), IF(F754 = "Réttur", IFERROR(_xlfn.SINGLE(_xlfn.XLOOKUP(G754, Réttabanki!A:A, Réttabanki!AU:AU, "")), ""), "")))</f>
        <v/>
      </c>
      <c r="O754" s="26" t="str">
        <f>IF(OR(F754 = "", G754 = "", I754 = ""), "", IF(F754 = "Vara", IFERROR(_xlfn.SINGLE(_xlfn.XLOOKUP(G754, Vöruskrá!A:A, Vöruskrá!I:I, "")) * I754 / 100, ""), IF(F754 = "Réttur", IFERROR(_xlfn.SINGLE(_xlfn.XLOOKUP(G754, Réttabanki!A:A, Réttabanki!AV:AV, "")) * I754 / 100, ""), "")))</f>
        <v/>
      </c>
      <c r="P754" s="26" t="str">
        <f>IF(OR(F754 = "", G754 = "", I754 = ""), "", IF(F754 = "Vara", IFERROR(_xlfn.SINGLE(_xlfn.XLOOKUP(G754, Vöruskrá!A:A, Vöruskrá!J:J, "")) * I754 / 100, ""), IF(F754 = "Réttur", IFERROR(_xlfn.SINGLE(_xlfn.XLOOKUP(G754, Réttabanki!A:A, Réttabanki!AW:AW, "")) * I754 / 100, ""), "")))</f>
        <v/>
      </c>
      <c r="Q754" s="26" t="str">
        <f>IF(OR(F754 = "", G754 = "", I754 = ""), "", IF(F754 = "Vara", IFERROR(_xlfn.SINGLE(_xlfn.XLOOKUP(G754, Vöruskrá!A:A, Vöruskrá!N:N, "")) * I754 / 100, ""), IF(F754 = "Réttur", IFERROR(_xlfn.SINGLE(_xlfn.XLOOKUP(G754, Réttabanki!A:A, Réttabanki!BB:BB, "")) * I754 / 100, ""), "")))</f>
        <v/>
      </c>
    </row>
    <row r="755" spans="2:17">
      <c r="B755" s="33" t="str">
        <f>IF(A755&lt;&gt;"",CHOOSE(WEEKDAY(A755,2),"Mánudagur","Þriðjudagur","Miðvikudagur","Fimmtudagur","Föstudagur","Laugardagur","Sunnudagur"),IF(B754&lt;&gt;"",B754,""))</f>
        <v>Fimmtudagur</v>
      </c>
      <c r="C755" s="33">
        <f>IF(A755&lt;&gt;"",WEEKNUM(A755,21),IF(C754&lt;&gt;"",C754,""))</f>
        <v>27</v>
      </c>
      <c r="D755" s="34"/>
      <c r="E755" s="34"/>
      <c r="F755" s="34"/>
      <c r="G755" s="34"/>
      <c r="H755" s="34"/>
      <c r="I755" s="35"/>
      <c r="J755" s="35"/>
      <c r="K755" s="36"/>
      <c r="L755" s="26" t="str">
        <f>IF(OR(F755 = "", G755 = ""), "", IF(F755 = "Vara", IFERROR(_xlfn.SINGLE(_xlfn.XLOOKUP(G755, Vöruskrá!A:A, Vöruskrá!E:E, "")), ""), IF(F755 = "Réttur", IFERROR(_xlfn.SINGLE(_xlfn.XLOOKUP(G755, Réttabanki!A:A, Réttabanki!AS:AS, "")), ""), "")))</f>
        <v/>
      </c>
      <c r="M755" s="26" t="str">
        <f>IF(OR(F755 = "", G755 = ""), "", IF(F755 = "Vara", IFERROR(_xlfn.SINGLE(_xlfn.XLOOKUP(G755, Vöruskrá!A:A, Vöruskrá!F:F, "")), ""), IF(F755 = "Réttur", IFERROR(_xlfn.SINGLE(_xlfn.XLOOKUP(G755, Réttabanki!A:A, Réttabanki!AT:AT, "")), ""), "")))</f>
        <v/>
      </c>
      <c r="N755" s="26" t="str">
        <f>IF(OR(F755 = "", G755 = ""), "", IF(F755 = "Vara", IFERROR(_xlfn.SINGLE(_xlfn.XLOOKUP(G755, Vöruskrá!A:A, Vöruskrá!G:G, "")), ""), IF(F755 = "Réttur", IFERROR(_xlfn.SINGLE(_xlfn.XLOOKUP(G755, Réttabanki!A:A, Réttabanki!AU:AU, "")), ""), "")))</f>
        <v/>
      </c>
      <c r="O755" s="26" t="str">
        <f>IF(OR(F755 = "", G755 = "", I755 = ""), "", IF(F755 = "Vara", IFERROR(_xlfn.SINGLE(_xlfn.XLOOKUP(G755, Vöruskrá!A:A, Vöruskrá!I:I, "")) * I755 / 100, ""), IF(F755 = "Réttur", IFERROR(_xlfn.SINGLE(_xlfn.XLOOKUP(G755, Réttabanki!A:A, Réttabanki!AV:AV, "")) * I755 / 100, ""), "")))</f>
        <v/>
      </c>
      <c r="P755" s="26" t="str">
        <f>IF(OR(F755 = "", G755 = "", I755 = ""), "", IF(F755 = "Vara", IFERROR(_xlfn.SINGLE(_xlfn.XLOOKUP(G755, Vöruskrá!A:A, Vöruskrá!J:J, "")) * I755 / 100, ""), IF(F755 = "Réttur", IFERROR(_xlfn.SINGLE(_xlfn.XLOOKUP(G755, Réttabanki!A:A, Réttabanki!AW:AW, "")) * I755 / 100, ""), "")))</f>
        <v/>
      </c>
      <c r="Q755" s="26" t="str">
        <f>IF(OR(F755 = "", G755 = "", I755 = ""), "", IF(F755 = "Vara", IFERROR(_xlfn.SINGLE(_xlfn.XLOOKUP(G755, Vöruskrá!A:A, Vöruskrá!N:N, "")) * I755 / 100, ""), IF(F755 = "Réttur", IFERROR(_xlfn.SINGLE(_xlfn.XLOOKUP(G755, Réttabanki!A:A, Réttabanki!BB:BB, "")) * I755 / 100, ""), "")))</f>
        <v/>
      </c>
    </row>
    <row r="756" spans="2:17">
      <c r="B756" s="33" t="str">
        <f>IF(A756&lt;&gt;"",CHOOSE(WEEKDAY(A756,2),"Mánudagur","Þriðjudagur","Miðvikudagur","Fimmtudagur","Föstudagur","Laugardagur","Sunnudagur"),IF(B755&lt;&gt;"",B755,""))</f>
        <v>Fimmtudagur</v>
      </c>
      <c r="C756" s="33">
        <f>IF(A756&lt;&gt;"",WEEKNUM(A756,21),IF(C755&lt;&gt;"",C755,""))</f>
        <v>27</v>
      </c>
      <c r="D756" s="34"/>
      <c r="E756" s="34"/>
      <c r="F756" s="34"/>
      <c r="G756" s="34"/>
      <c r="H756" s="34"/>
      <c r="I756" s="35"/>
      <c r="J756" s="35"/>
      <c r="K756" s="36"/>
      <c r="L756" s="26" t="str">
        <f>IF(OR(F756 = "", G756 = ""), "", IF(F756 = "Vara", IFERROR(_xlfn.SINGLE(_xlfn.XLOOKUP(G756, Vöruskrá!A:A, Vöruskrá!E:E, "")), ""), IF(F756 = "Réttur", IFERROR(_xlfn.SINGLE(_xlfn.XLOOKUP(G756, Réttabanki!A:A, Réttabanki!AS:AS, "")), ""), "")))</f>
        <v/>
      </c>
      <c r="M756" s="26" t="str">
        <f>IF(OR(F756 = "", G756 = ""), "", IF(F756 = "Vara", IFERROR(_xlfn.SINGLE(_xlfn.XLOOKUP(G756, Vöruskrá!A:A, Vöruskrá!F:F, "")), ""), IF(F756 = "Réttur", IFERROR(_xlfn.SINGLE(_xlfn.XLOOKUP(G756, Réttabanki!A:A, Réttabanki!AT:AT, "")), ""), "")))</f>
        <v/>
      </c>
      <c r="N756" s="26" t="str">
        <f>IF(OR(F756 = "", G756 = ""), "", IF(F756 = "Vara", IFERROR(_xlfn.SINGLE(_xlfn.XLOOKUP(G756, Vöruskrá!A:A, Vöruskrá!G:G, "")), ""), IF(F756 = "Réttur", IFERROR(_xlfn.SINGLE(_xlfn.XLOOKUP(G756, Réttabanki!A:A, Réttabanki!AU:AU, "")), ""), "")))</f>
        <v/>
      </c>
      <c r="O756" s="26" t="str">
        <f>IF(OR(F756 = "", G756 = "", I756 = ""), "", IF(F756 = "Vara", IFERROR(_xlfn.SINGLE(_xlfn.XLOOKUP(G756, Vöruskrá!A:A, Vöruskrá!I:I, "")) * I756 / 100, ""), IF(F756 = "Réttur", IFERROR(_xlfn.SINGLE(_xlfn.XLOOKUP(G756, Réttabanki!A:A, Réttabanki!AV:AV, "")) * I756 / 100, ""), "")))</f>
        <v/>
      </c>
      <c r="P756" s="26" t="str">
        <f>IF(OR(F756 = "", G756 = "", I756 = ""), "", IF(F756 = "Vara", IFERROR(_xlfn.SINGLE(_xlfn.XLOOKUP(G756, Vöruskrá!A:A, Vöruskrá!J:J, "")) * I756 / 100, ""), IF(F756 = "Réttur", IFERROR(_xlfn.SINGLE(_xlfn.XLOOKUP(G756, Réttabanki!A:A, Réttabanki!AW:AW, "")) * I756 / 100, ""), "")))</f>
        <v/>
      </c>
      <c r="Q756" s="26" t="str">
        <f>IF(OR(F756 = "", G756 = "", I756 = ""), "", IF(F756 = "Vara", IFERROR(_xlfn.SINGLE(_xlfn.XLOOKUP(G756, Vöruskrá!A:A, Vöruskrá!N:N, "")) * I756 / 100, ""), IF(F756 = "Réttur", IFERROR(_xlfn.SINGLE(_xlfn.XLOOKUP(G756, Réttabanki!A:A, Réttabanki!BB:BB, "")) * I756 / 100, ""), "")))</f>
        <v/>
      </c>
    </row>
    <row r="757" spans="2:17">
      <c r="B757" s="33" t="str">
        <f>IF(A757&lt;&gt;"",CHOOSE(WEEKDAY(A757,2),"Mánudagur","Þriðjudagur","Miðvikudagur","Fimmtudagur","Föstudagur","Laugardagur","Sunnudagur"),IF(B756&lt;&gt;"",B756,""))</f>
        <v>Fimmtudagur</v>
      </c>
      <c r="C757" s="33">
        <f>IF(A757&lt;&gt;"",WEEKNUM(A757,21),IF(C756&lt;&gt;"",C756,""))</f>
        <v>27</v>
      </c>
      <c r="D757" s="34"/>
      <c r="E757" s="34"/>
      <c r="F757" s="34"/>
      <c r="G757" s="34"/>
      <c r="H757" s="34"/>
      <c r="I757" s="35"/>
      <c r="J757" s="35"/>
      <c r="K757" s="36"/>
      <c r="L757" s="26" t="str">
        <f>IF(OR(F757 = "", G757 = ""), "", IF(F757 = "Vara", IFERROR(_xlfn.SINGLE(_xlfn.XLOOKUP(G757, Vöruskrá!A:A, Vöruskrá!E:E, "")), ""), IF(F757 = "Réttur", IFERROR(_xlfn.SINGLE(_xlfn.XLOOKUP(G757, Réttabanki!A:A, Réttabanki!AS:AS, "")), ""), "")))</f>
        <v/>
      </c>
      <c r="M757" s="26" t="str">
        <f>IF(OR(F757 = "", G757 = ""), "", IF(F757 = "Vara", IFERROR(_xlfn.SINGLE(_xlfn.XLOOKUP(G757, Vöruskrá!A:A, Vöruskrá!F:F, "")), ""), IF(F757 = "Réttur", IFERROR(_xlfn.SINGLE(_xlfn.XLOOKUP(G757, Réttabanki!A:A, Réttabanki!AT:AT, "")), ""), "")))</f>
        <v/>
      </c>
      <c r="N757" s="26" t="str">
        <f>IF(OR(F757 = "", G757 = ""), "", IF(F757 = "Vara", IFERROR(_xlfn.SINGLE(_xlfn.XLOOKUP(G757, Vöruskrá!A:A, Vöruskrá!G:G, "")), ""), IF(F757 = "Réttur", IFERROR(_xlfn.SINGLE(_xlfn.XLOOKUP(G757, Réttabanki!A:A, Réttabanki!AU:AU, "")), ""), "")))</f>
        <v/>
      </c>
      <c r="O757" s="26" t="str">
        <f>IF(OR(F757 = "", G757 = "", I757 = ""), "", IF(F757 = "Vara", IFERROR(_xlfn.SINGLE(_xlfn.XLOOKUP(G757, Vöruskrá!A:A, Vöruskrá!I:I, "")) * I757 / 100, ""), IF(F757 = "Réttur", IFERROR(_xlfn.SINGLE(_xlfn.XLOOKUP(G757, Réttabanki!A:A, Réttabanki!AV:AV, "")) * I757 / 100, ""), "")))</f>
        <v/>
      </c>
      <c r="P757" s="26" t="str">
        <f>IF(OR(F757 = "", G757 = "", I757 = ""), "", IF(F757 = "Vara", IFERROR(_xlfn.SINGLE(_xlfn.XLOOKUP(G757, Vöruskrá!A:A, Vöruskrá!J:J, "")) * I757 / 100, ""), IF(F757 = "Réttur", IFERROR(_xlfn.SINGLE(_xlfn.XLOOKUP(G757, Réttabanki!A:A, Réttabanki!AW:AW, "")) * I757 / 100, ""), "")))</f>
        <v/>
      </c>
      <c r="Q757" s="26" t="str">
        <f>IF(OR(F757 = "", G757 = "", I757 = ""), "", IF(F757 = "Vara", IFERROR(_xlfn.SINGLE(_xlfn.XLOOKUP(G757, Vöruskrá!A:A, Vöruskrá!N:N, "")) * I757 / 100, ""), IF(F757 = "Réttur", IFERROR(_xlfn.SINGLE(_xlfn.XLOOKUP(G757, Réttabanki!A:A, Réttabanki!BB:BB, "")) * I757 / 100, ""), "")))</f>
        <v/>
      </c>
    </row>
    <row r="758" spans="2:17">
      <c r="B758" s="33" t="str">
        <f>IF(A758&lt;&gt;"",CHOOSE(WEEKDAY(A758,2),"Mánudagur","Þriðjudagur","Miðvikudagur","Fimmtudagur","Föstudagur","Laugardagur","Sunnudagur"),IF(B757&lt;&gt;"",B757,""))</f>
        <v>Fimmtudagur</v>
      </c>
      <c r="C758" s="33">
        <f>IF(A758&lt;&gt;"",WEEKNUM(A758,21),IF(C757&lt;&gt;"",C757,""))</f>
        <v>27</v>
      </c>
      <c r="D758" s="34"/>
      <c r="E758" s="34"/>
      <c r="F758" s="34"/>
      <c r="G758" s="34"/>
      <c r="H758" s="34"/>
      <c r="I758" s="35"/>
      <c r="J758" s="35"/>
      <c r="K758" s="36"/>
      <c r="L758" s="26" t="str">
        <f>IF(OR(F758 = "", G758 = ""), "", IF(F758 = "Vara", IFERROR(_xlfn.SINGLE(_xlfn.XLOOKUP(G758, Vöruskrá!A:A, Vöruskrá!E:E, "")), ""), IF(F758 = "Réttur", IFERROR(_xlfn.SINGLE(_xlfn.XLOOKUP(G758, Réttabanki!A:A, Réttabanki!AS:AS, "")), ""), "")))</f>
        <v/>
      </c>
      <c r="M758" s="26" t="str">
        <f>IF(OR(F758 = "", G758 = ""), "", IF(F758 = "Vara", IFERROR(_xlfn.SINGLE(_xlfn.XLOOKUP(G758, Vöruskrá!A:A, Vöruskrá!F:F, "")), ""), IF(F758 = "Réttur", IFERROR(_xlfn.SINGLE(_xlfn.XLOOKUP(G758, Réttabanki!A:A, Réttabanki!AT:AT, "")), ""), "")))</f>
        <v/>
      </c>
      <c r="N758" s="26" t="str">
        <f>IF(OR(F758 = "", G758 = ""), "", IF(F758 = "Vara", IFERROR(_xlfn.SINGLE(_xlfn.XLOOKUP(G758, Vöruskrá!A:A, Vöruskrá!G:G, "")), ""), IF(F758 = "Réttur", IFERROR(_xlfn.SINGLE(_xlfn.XLOOKUP(G758, Réttabanki!A:A, Réttabanki!AU:AU, "")), ""), "")))</f>
        <v/>
      </c>
      <c r="O758" s="26" t="str">
        <f>IF(OR(F758 = "", G758 = "", I758 = ""), "", IF(F758 = "Vara", IFERROR(_xlfn.SINGLE(_xlfn.XLOOKUP(G758, Vöruskrá!A:A, Vöruskrá!I:I, "")) * I758 / 100, ""), IF(F758 = "Réttur", IFERROR(_xlfn.SINGLE(_xlfn.XLOOKUP(G758, Réttabanki!A:A, Réttabanki!AV:AV, "")) * I758 / 100, ""), "")))</f>
        <v/>
      </c>
      <c r="P758" s="26" t="str">
        <f>IF(OR(F758 = "", G758 = "", I758 = ""), "", IF(F758 = "Vara", IFERROR(_xlfn.SINGLE(_xlfn.XLOOKUP(G758, Vöruskrá!A:A, Vöruskrá!J:J, "")) * I758 / 100, ""), IF(F758 = "Réttur", IFERROR(_xlfn.SINGLE(_xlfn.XLOOKUP(G758, Réttabanki!A:A, Réttabanki!AW:AW, "")) * I758 / 100, ""), "")))</f>
        <v/>
      </c>
      <c r="Q758" s="26" t="str">
        <f>IF(OR(F758 = "", G758 = "", I758 = ""), "", IF(F758 = "Vara", IFERROR(_xlfn.SINGLE(_xlfn.XLOOKUP(G758, Vöruskrá!A:A, Vöruskrá!N:N, "")) * I758 / 100, ""), IF(F758 = "Réttur", IFERROR(_xlfn.SINGLE(_xlfn.XLOOKUP(G758, Réttabanki!A:A, Réttabanki!BB:BB, "")) * I758 / 100, ""), "")))</f>
        <v/>
      </c>
    </row>
    <row r="759" spans="2:17">
      <c r="B759" s="33" t="str">
        <f>IF(A759&lt;&gt;"",CHOOSE(WEEKDAY(A759,2),"Mánudagur","Þriðjudagur","Miðvikudagur","Fimmtudagur","Föstudagur","Laugardagur","Sunnudagur"),IF(B758&lt;&gt;"",B758,""))</f>
        <v>Fimmtudagur</v>
      </c>
      <c r="C759" s="33">
        <f>IF(A759&lt;&gt;"",WEEKNUM(A759,21),IF(C758&lt;&gt;"",C758,""))</f>
        <v>27</v>
      </c>
      <c r="D759" s="34"/>
      <c r="E759" s="34"/>
      <c r="F759" s="34"/>
      <c r="G759" s="34"/>
      <c r="H759" s="34"/>
      <c r="I759" s="35"/>
      <c r="J759" s="35"/>
      <c r="K759" s="36"/>
      <c r="L759" s="26" t="str">
        <f>IF(OR(F759 = "", G759 = ""), "", IF(F759 = "Vara", IFERROR(_xlfn.SINGLE(_xlfn.XLOOKUP(G759, Vöruskrá!A:A, Vöruskrá!E:E, "")), ""), IF(F759 = "Réttur", IFERROR(_xlfn.SINGLE(_xlfn.XLOOKUP(G759, Réttabanki!A:A, Réttabanki!AS:AS, "")), ""), "")))</f>
        <v/>
      </c>
      <c r="M759" s="26" t="str">
        <f>IF(OR(F759 = "", G759 = ""), "", IF(F759 = "Vara", IFERROR(_xlfn.SINGLE(_xlfn.XLOOKUP(G759, Vöruskrá!A:A, Vöruskrá!F:F, "")), ""), IF(F759 = "Réttur", IFERROR(_xlfn.SINGLE(_xlfn.XLOOKUP(G759, Réttabanki!A:A, Réttabanki!AT:AT, "")), ""), "")))</f>
        <v/>
      </c>
      <c r="N759" s="26" t="str">
        <f>IF(OR(F759 = "", G759 = ""), "", IF(F759 = "Vara", IFERROR(_xlfn.SINGLE(_xlfn.XLOOKUP(G759, Vöruskrá!A:A, Vöruskrá!G:G, "")), ""), IF(F759 = "Réttur", IFERROR(_xlfn.SINGLE(_xlfn.XLOOKUP(G759, Réttabanki!A:A, Réttabanki!AU:AU, "")), ""), "")))</f>
        <v/>
      </c>
      <c r="O759" s="26" t="str">
        <f>IF(OR(F759 = "", G759 = "", I759 = ""), "", IF(F759 = "Vara", IFERROR(_xlfn.SINGLE(_xlfn.XLOOKUP(G759, Vöruskrá!A:A, Vöruskrá!I:I, "")) * I759 / 100, ""), IF(F759 = "Réttur", IFERROR(_xlfn.SINGLE(_xlfn.XLOOKUP(G759, Réttabanki!A:A, Réttabanki!AV:AV, "")) * I759 / 100, ""), "")))</f>
        <v/>
      </c>
      <c r="P759" s="26" t="str">
        <f>IF(OR(F759 = "", G759 = "", I759 = ""), "", IF(F759 = "Vara", IFERROR(_xlfn.SINGLE(_xlfn.XLOOKUP(G759, Vöruskrá!A:A, Vöruskrá!J:J, "")) * I759 / 100, ""), IF(F759 = "Réttur", IFERROR(_xlfn.SINGLE(_xlfn.XLOOKUP(G759, Réttabanki!A:A, Réttabanki!AW:AW, "")) * I759 / 100, ""), "")))</f>
        <v/>
      </c>
      <c r="Q759" s="26" t="str">
        <f>IF(OR(F759 = "", G759 = "", I759 = ""), "", IF(F759 = "Vara", IFERROR(_xlfn.SINGLE(_xlfn.XLOOKUP(G759, Vöruskrá!A:A, Vöruskrá!N:N, "")) * I759 / 100, ""), IF(F759 = "Réttur", IFERROR(_xlfn.SINGLE(_xlfn.XLOOKUP(G759, Réttabanki!A:A, Réttabanki!BB:BB, "")) * I759 / 100, ""), "")))</f>
        <v/>
      </c>
    </row>
    <row r="760" spans="2:17">
      <c r="B760" s="33" t="str">
        <f>IF(A760&lt;&gt;"",CHOOSE(WEEKDAY(A760,2),"Mánudagur","Þriðjudagur","Miðvikudagur","Fimmtudagur","Föstudagur","Laugardagur","Sunnudagur"),IF(B759&lt;&gt;"",B759,""))</f>
        <v>Fimmtudagur</v>
      </c>
      <c r="C760" s="33">
        <f>IF(A760&lt;&gt;"",WEEKNUM(A760,21),IF(C759&lt;&gt;"",C759,""))</f>
        <v>27</v>
      </c>
      <c r="D760" s="34"/>
      <c r="E760" s="34"/>
      <c r="F760" s="34"/>
      <c r="G760" s="34"/>
      <c r="H760" s="34"/>
      <c r="I760" s="35"/>
      <c r="J760" s="35"/>
      <c r="K760" s="36"/>
      <c r="L760" s="26" t="str">
        <f>IF(OR(F760 = "", G760 = ""), "", IF(F760 = "Vara", IFERROR(_xlfn.SINGLE(_xlfn.XLOOKUP(G760, Vöruskrá!A:A, Vöruskrá!E:E, "")), ""), IF(F760 = "Réttur", IFERROR(_xlfn.SINGLE(_xlfn.XLOOKUP(G760, Réttabanki!A:A, Réttabanki!AS:AS, "")), ""), "")))</f>
        <v/>
      </c>
      <c r="M760" s="26" t="str">
        <f>IF(OR(F760 = "", G760 = ""), "", IF(F760 = "Vara", IFERROR(_xlfn.SINGLE(_xlfn.XLOOKUP(G760, Vöruskrá!A:A, Vöruskrá!F:F, "")), ""), IF(F760 = "Réttur", IFERROR(_xlfn.SINGLE(_xlfn.XLOOKUP(G760, Réttabanki!A:A, Réttabanki!AT:AT, "")), ""), "")))</f>
        <v/>
      </c>
      <c r="N760" s="26" t="str">
        <f>IF(OR(F760 = "", G760 = ""), "", IF(F760 = "Vara", IFERROR(_xlfn.SINGLE(_xlfn.XLOOKUP(G760, Vöruskrá!A:A, Vöruskrá!G:G, "")), ""), IF(F760 = "Réttur", IFERROR(_xlfn.SINGLE(_xlfn.XLOOKUP(G760, Réttabanki!A:A, Réttabanki!AU:AU, "")), ""), "")))</f>
        <v/>
      </c>
      <c r="O760" s="26" t="str">
        <f>IF(OR(F760 = "", G760 = "", I760 = ""), "", IF(F760 = "Vara", IFERROR(_xlfn.SINGLE(_xlfn.XLOOKUP(G760, Vöruskrá!A:A, Vöruskrá!I:I, "")) * I760 / 100, ""), IF(F760 = "Réttur", IFERROR(_xlfn.SINGLE(_xlfn.XLOOKUP(G760, Réttabanki!A:A, Réttabanki!AV:AV, "")) * I760 / 100, ""), "")))</f>
        <v/>
      </c>
      <c r="P760" s="26" t="str">
        <f>IF(OR(F760 = "", G760 = "", I760 = ""), "", IF(F760 = "Vara", IFERROR(_xlfn.SINGLE(_xlfn.XLOOKUP(G760, Vöruskrá!A:A, Vöruskrá!J:J, "")) * I760 / 100, ""), IF(F760 = "Réttur", IFERROR(_xlfn.SINGLE(_xlfn.XLOOKUP(G760, Réttabanki!A:A, Réttabanki!AW:AW, "")) * I760 / 100, ""), "")))</f>
        <v/>
      </c>
      <c r="Q760" s="26" t="str">
        <f>IF(OR(F760 = "", G760 = "", I760 = ""), "", IF(F760 = "Vara", IFERROR(_xlfn.SINGLE(_xlfn.XLOOKUP(G760, Vöruskrá!A:A, Vöruskrá!N:N, "")) * I760 / 100, ""), IF(F760 = "Réttur", IFERROR(_xlfn.SINGLE(_xlfn.XLOOKUP(G760, Réttabanki!A:A, Réttabanki!BB:BB, "")) * I760 / 100, ""), "")))</f>
        <v/>
      </c>
    </row>
    <row r="761" spans="2:17">
      <c r="B761" s="33" t="str">
        <f>IF(A761&lt;&gt;"",CHOOSE(WEEKDAY(A761,2),"Mánudagur","Þriðjudagur","Miðvikudagur","Fimmtudagur","Föstudagur","Laugardagur","Sunnudagur"),IF(B760&lt;&gt;"",B760,""))</f>
        <v>Fimmtudagur</v>
      </c>
      <c r="C761" s="33">
        <f>IF(A761&lt;&gt;"",WEEKNUM(A761,21),IF(C760&lt;&gt;"",C760,""))</f>
        <v>27</v>
      </c>
      <c r="D761" s="34"/>
      <c r="E761" s="34"/>
      <c r="F761" s="34"/>
      <c r="G761" s="34"/>
      <c r="H761" s="34"/>
      <c r="I761" s="35"/>
      <c r="J761" s="35"/>
      <c r="K761" s="36"/>
      <c r="L761" s="26" t="str">
        <f>IF(OR(F761 = "", G761 = ""), "", IF(F761 = "Vara", IFERROR(_xlfn.SINGLE(_xlfn.XLOOKUP(G761, Vöruskrá!A:A, Vöruskrá!E:E, "")), ""), IF(F761 = "Réttur", IFERROR(_xlfn.SINGLE(_xlfn.XLOOKUP(G761, Réttabanki!A:A, Réttabanki!AS:AS, "")), ""), "")))</f>
        <v/>
      </c>
      <c r="M761" s="26" t="str">
        <f>IF(OR(F761 = "", G761 = ""), "", IF(F761 = "Vara", IFERROR(_xlfn.SINGLE(_xlfn.XLOOKUP(G761, Vöruskrá!A:A, Vöruskrá!F:F, "")), ""), IF(F761 = "Réttur", IFERROR(_xlfn.SINGLE(_xlfn.XLOOKUP(G761, Réttabanki!A:A, Réttabanki!AT:AT, "")), ""), "")))</f>
        <v/>
      </c>
      <c r="N761" s="26" t="str">
        <f>IF(OR(F761 = "", G761 = ""), "", IF(F761 = "Vara", IFERROR(_xlfn.SINGLE(_xlfn.XLOOKUP(G761, Vöruskrá!A:A, Vöruskrá!G:G, "")), ""), IF(F761 = "Réttur", IFERROR(_xlfn.SINGLE(_xlfn.XLOOKUP(G761, Réttabanki!A:A, Réttabanki!AU:AU, "")), ""), "")))</f>
        <v/>
      </c>
      <c r="O761" s="26" t="str">
        <f>IF(OR(F761 = "", G761 = "", I761 = ""), "", IF(F761 = "Vara", IFERROR(_xlfn.SINGLE(_xlfn.XLOOKUP(G761, Vöruskrá!A:A, Vöruskrá!I:I, "")) * I761 / 100, ""), IF(F761 = "Réttur", IFERROR(_xlfn.SINGLE(_xlfn.XLOOKUP(G761, Réttabanki!A:A, Réttabanki!AV:AV, "")) * I761 / 100, ""), "")))</f>
        <v/>
      </c>
      <c r="P761" s="26" t="str">
        <f>IF(OR(F761 = "", G761 = "", I761 = ""), "", IF(F761 = "Vara", IFERROR(_xlfn.SINGLE(_xlfn.XLOOKUP(G761, Vöruskrá!A:A, Vöruskrá!J:J, "")) * I761 / 100, ""), IF(F761 = "Réttur", IFERROR(_xlfn.SINGLE(_xlfn.XLOOKUP(G761, Réttabanki!A:A, Réttabanki!AW:AW, "")) * I761 / 100, ""), "")))</f>
        <v/>
      </c>
      <c r="Q761" s="26" t="str">
        <f>IF(OR(F761 = "", G761 = "", I761 = ""), "", IF(F761 = "Vara", IFERROR(_xlfn.SINGLE(_xlfn.XLOOKUP(G761, Vöruskrá!A:A, Vöruskrá!N:N, "")) * I761 / 100, ""), IF(F761 = "Réttur", IFERROR(_xlfn.SINGLE(_xlfn.XLOOKUP(G761, Réttabanki!A:A, Réttabanki!BB:BB, "")) * I761 / 100, ""), "")))</f>
        <v/>
      </c>
    </row>
    <row r="762" spans="2:17">
      <c r="B762" s="33" t="str">
        <f>IF(A762&lt;&gt;"",CHOOSE(WEEKDAY(A762,2),"Mánudagur","Þriðjudagur","Miðvikudagur","Fimmtudagur","Föstudagur","Laugardagur","Sunnudagur"),IF(B761&lt;&gt;"",B761,""))</f>
        <v>Fimmtudagur</v>
      </c>
      <c r="C762" s="33">
        <f>IF(A762&lt;&gt;"",WEEKNUM(A762,21),IF(C761&lt;&gt;"",C761,""))</f>
        <v>27</v>
      </c>
      <c r="D762" s="34"/>
      <c r="E762" s="34"/>
      <c r="F762" s="34"/>
      <c r="G762" s="34"/>
      <c r="H762" s="34"/>
      <c r="I762" s="35"/>
      <c r="J762" s="35"/>
      <c r="K762" s="36"/>
      <c r="L762" s="26" t="str">
        <f>IF(OR(F762 = "", G762 = ""), "", IF(F762 = "Vara", IFERROR(_xlfn.SINGLE(_xlfn.XLOOKUP(G762, Vöruskrá!A:A, Vöruskrá!E:E, "")), ""), IF(F762 = "Réttur", IFERROR(_xlfn.SINGLE(_xlfn.XLOOKUP(G762, Réttabanki!A:A, Réttabanki!AS:AS, "")), ""), "")))</f>
        <v/>
      </c>
      <c r="M762" s="26" t="str">
        <f>IF(OR(F762 = "", G762 = ""), "", IF(F762 = "Vara", IFERROR(_xlfn.SINGLE(_xlfn.XLOOKUP(G762, Vöruskrá!A:A, Vöruskrá!F:F, "")), ""), IF(F762 = "Réttur", IFERROR(_xlfn.SINGLE(_xlfn.XLOOKUP(G762, Réttabanki!A:A, Réttabanki!AT:AT, "")), ""), "")))</f>
        <v/>
      </c>
      <c r="N762" s="26" t="str">
        <f>IF(OR(F762 = "", G762 = ""), "", IF(F762 = "Vara", IFERROR(_xlfn.SINGLE(_xlfn.XLOOKUP(G762, Vöruskrá!A:A, Vöruskrá!G:G, "")), ""), IF(F762 = "Réttur", IFERROR(_xlfn.SINGLE(_xlfn.XLOOKUP(G762, Réttabanki!A:A, Réttabanki!AU:AU, "")), ""), "")))</f>
        <v/>
      </c>
      <c r="O762" s="26" t="str">
        <f>IF(OR(F762 = "", G762 = "", I762 = ""), "", IF(F762 = "Vara", IFERROR(_xlfn.SINGLE(_xlfn.XLOOKUP(G762, Vöruskrá!A:A, Vöruskrá!I:I, "")) * I762 / 100, ""), IF(F762 = "Réttur", IFERROR(_xlfn.SINGLE(_xlfn.XLOOKUP(G762, Réttabanki!A:A, Réttabanki!AV:AV, "")) * I762 / 100, ""), "")))</f>
        <v/>
      </c>
      <c r="P762" s="26" t="str">
        <f>IF(OR(F762 = "", G762 = "", I762 = ""), "", IF(F762 = "Vara", IFERROR(_xlfn.SINGLE(_xlfn.XLOOKUP(G762, Vöruskrá!A:A, Vöruskrá!J:J, "")) * I762 / 100, ""), IF(F762 = "Réttur", IFERROR(_xlfn.SINGLE(_xlfn.XLOOKUP(G762, Réttabanki!A:A, Réttabanki!AW:AW, "")) * I762 / 100, ""), "")))</f>
        <v/>
      </c>
      <c r="Q762" s="26" t="str">
        <f>IF(OR(F762 = "", G762 = "", I762 = ""), "", IF(F762 = "Vara", IFERROR(_xlfn.SINGLE(_xlfn.XLOOKUP(G762, Vöruskrá!A:A, Vöruskrá!N:N, "")) * I762 / 100, ""), IF(F762 = "Réttur", IFERROR(_xlfn.SINGLE(_xlfn.XLOOKUP(G762, Réttabanki!A:A, Réttabanki!BB:BB, "")) * I762 / 100, ""), "")))</f>
        <v/>
      </c>
    </row>
    <row r="763" spans="2:17">
      <c r="B763" s="33" t="str">
        <f>IF(A763&lt;&gt;"",CHOOSE(WEEKDAY(A763,2),"Mánudagur","Þriðjudagur","Miðvikudagur","Fimmtudagur","Föstudagur","Laugardagur","Sunnudagur"),IF(B762&lt;&gt;"",B762,""))</f>
        <v>Fimmtudagur</v>
      </c>
      <c r="C763" s="33">
        <f>IF(A763&lt;&gt;"",WEEKNUM(A763,21),IF(C762&lt;&gt;"",C762,""))</f>
        <v>27</v>
      </c>
      <c r="D763" s="34"/>
      <c r="E763" s="34"/>
      <c r="F763" s="34"/>
      <c r="G763" s="34"/>
      <c r="H763" s="34"/>
      <c r="I763" s="35"/>
      <c r="J763" s="35"/>
      <c r="K763" s="36"/>
      <c r="L763" s="26" t="str">
        <f>IF(OR(F763 = "", G763 = ""), "", IF(F763 = "Vara", IFERROR(_xlfn.SINGLE(_xlfn.XLOOKUP(G763, Vöruskrá!A:A, Vöruskrá!E:E, "")), ""), IF(F763 = "Réttur", IFERROR(_xlfn.SINGLE(_xlfn.XLOOKUP(G763, Réttabanki!A:A, Réttabanki!AS:AS, "")), ""), "")))</f>
        <v/>
      </c>
      <c r="M763" s="26" t="str">
        <f>IF(OR(F763 = "", G763 = ""), "", IF(F763 = "Vara", IFERROR(_xlfn.SINGLE(_xlfn.XLOOKUP(G763, Vöruskrá!A:A, Vöruskrá!F:F, "")), ""), IF(F763 = "Réttur", IFERROR(_xlfn.SINGLE(_xlfn.XLOOKUP(G763, Réttabanki!A:A, Réttabanki!AT:AT, "")), ""), "")))</f>
        <v/>
      </c>
      <c r="N763" s="26" t="str">
        <f>IF(OR(F763 = "", G763 = ""), "", IF(F763 = "Vara", IFERROR(_xlfn.SINGLE(_xlfn.XLOOKUP(G763, Vöruskrá!A:A, Vöruskrá!G:G, "")), ""), IF(F763 = "Réttur", IFERROR(_xlfn.SINGLE(_xlfn.XLOOKUP(G763, Réttabanki!A:A, Réttabanki!AU:AU, "")), ""), "")))</f>
        <v/>
      </c>
      <c r="O763" s="26" t="str">
        <f>IF(OR(F763 = "", G763 = "", I763 = ""), "", IF(F763 = "Vara", IFERROR(_xlfn.SINGLE(_xlfn.XLOOKUP(G763, Vöruskrá!A:A, Vöruskrá!I:I, "")) * I763 / 100, ""), IF(F763 = "Réttur", IFERROR(_xlfn.SINGLE(_xlfn.XLOOKUP(G763, Réttabanki!A:A, Réttabanki!AV:AV, "")) * I763 / 100, ""), "")))</f>
        <v/>
      </c>
      <c r="P763" s="26" t="str">
        <f>IF(OR(F763 = "", G763 = "", I763 = ""), "", IF(F763 = "Vara", IFERROR(_xlfn.SINGLE(_xlfn.XLOOKUP(G763, Vöruskrá!A:A, Vöruskrá!J:J, "")) * I763 / 100, ""), IF(F763 = "Réttur", IFERROR(_xlfn.SINGLE(_xlfn.XLOOKUP(G763, Réttabanki!A:A, Réttabanki!AW:AW, "")) * I763 / 100, ""), "")))</f>
        <v/>
      </c>
      <c r="Q763" s="26" t="str">
        <f>IF(OR(F763 = "", G763 = "", I763 = ""), "", IF(F763 = "Vara", IFERROR(_xlfn.SINGLE(_xlfn.XLOOKUP(G763, Vöruskrá!A:A, Vöruskrá!N:N, "")) * I763 / 100, ""), IF(F763 = "Réttur", IFERROR(_xlfn.SINGLE(_xlfn.XLOOKUP(G763, Réttabanki!A:A, Réttabanki!BB:BB, "")) * I763 / 100, ""), "")))</f>
        <v/>
      </c>
    </row>
    <row r="764" spans="2:17">
      <c r="B764" s="33" t="str">
        <f>IF(A764&lt;&gt;"",CHOOSE(WEEKDAY(A764,2),"Mánudagur","Þriðjudagur","Miðvikudagur","Fimmtudagur","Föstudagur","Laugardagur","Sunnudagur"),IF(B763&lt;&gt;"",B763,""))</f>
        <v>Fimmtudagur</v>
      </c>
      <c r="C764" s="33">
        <f>IF(A764&lt;&gt;"",WEEKNUM(A764,21),IF(C763&lt;&gt;"",C763,""))</f>
        <v>27</v>
      </c>
      <c r="D764" s="34"/>
      <c r="E764" s="34"/>
      <c r="F764" s="34"/>
      <c r="G764" s="34"/>
      <c r="H764" s="34"/>
      <c r="I764" s="35"/>
      <c r="J764" s="35"/>
      <c r="K764" s="36"/>
      <c r="L764" s="26" t="str">
        <f>IF(OR(F764 = "", G764 = ""), "", IF(F764 = "Vara", IFERROR(_xlfn.SINGLE(_xlfn.XLOOKUP(G764, Vöruskrá!A:A, Vöruskrá!E:E, "")), ""), IF(F764 = "Réttur", IFERROR(_xlfn.SINGLE(_xlfn.XLOOKUP(G764, Réttabanki!A:A, Réttabanki!AS:AS, "")), ""), "")))</f>
        <v/>
      </c>
      <c r="M764" s="26" t="str">
        <f>IF(OR(F764 = "", G764 = ""), "", IF(F764 = "Vara", IFERROR(_xlfn.SINGLE(_xlfn.XLOOKUP(G764, Vöruskrá!A:A, Vöruskrá!F:F, "")), ""), IF(F764 = "Réttur", IFERROR(_xlfn.SINGLE(_xlfn.XLOOKUP(G764, Réttabanki!A:A, Réttabanki!AT:AT, "")), ""), "")))</f>
        <v/>
      </c>
      <c r="N764" s="26" t="str">
        <f>IF(OR(F764 = "", G764 = ""), "", IF(F764 = "Vara", IFERROR(_xlfn.SINGLE(_xlfn.XLOOKUP(G764, Vöruskrá!A:A, Vöruskrá!G:G, "")), ""), IF(F764 = "Réttur", IFERROR(_xlfn.SINGLE(_xlfn.XLOOKUP(G764, Réttabanki!A:A, Réttabanki!AU:AU, "")), ""), "")))</f>
        <v/>
      </c>
      <c r="O764" s="26" t="str">
        <f>IF(OR(F764 = "", G764 = "", I764 = ""), "", IF(F764 = "Vara", IFERROR(_xlfn.SINGLE(_xlfn.XLOOKUP(G764, Vöruskrá!A:A, Vöruskrá!I:I, "")) * I764 / 100, ""), IF(F764 = "Réttur", IFERROR(_xlfn.SINGLE(_xlfn.XLOOKUP(G764, Réttabanki!A:A, Réttabanki!AV:AV, "")) * I764 / 100, ""), "")))</f>
        <v/>
      </c>
      <c r="P764" s="26" t="str">
        <f>IF(OR(F764 = "", G764 = "", I764 = ""), "", IF(F764 = "Vara", IFERROR(_xlfn.SINGLE(_xlfn.XLOOKUP(G764, Vöruskrá!A:A, Vöruskrá!J:J, "")) * I764 / 100, ""), IF(F764 = "Réttur", IFERROR(_xlfn.SINGLE(_xlfn.XLOOKUP(G764, Réttabanki!A:A, Réttabanki!AW:AW, "")) * I764 / 100, ""), "")))</f>
        <v/>
      </c>
      <c r="Q764" s="26" t="str">
        <f>IF(OR(F764 = "", G764 = "", I764 = ""), "", IF(F764 = "Vara", IFERROR(_xlfn.SINGLE(_xlfn.XLOOKUP(G764, Vöruskrá!A:A, Vöruskrá!N:N, "")) * I764 / 100, ""), IF(F764 = "Réttur", IFERROR(_xlfn.SINGLE(_xlfn.XLOOKUP(G764, Réttabanki!A:A, Réttabanki!BB:BB, "")) * I764 / 100, ""), "")))</f>
        <v/>
      </c>
    </row>
    <row r="765" spans="2:17">
      <c r="B765" s="33" t="str">
        <f>IF(A765&lt;&gt;"",CHOOSE(WEEKDAY(A765,2),"Mánudagur","Þriðjudagur","Miðvikudagur","Fimmtudagur","Föstudagur","Laugardagur","Sunnudagur"),IF(B764&lt;&gt;"",B764,""))</f>
        <v>Fimmtudagur</v>
      </c>
      <c r="C765" s="33">
        <f>IF(A765&lt;&gt;"",WEEKNUM(A765,21),IF(C764&lt;&gt;"",C764,""))</f>
        <v>27</v>
      </c>
      <c r="D765" s="34"/>
      <c r="E765" s="34"/>
      <c r="F765" s="34"/>
      <c r="G765" s="34"/>
      <c r="H765" s="34"/>
      <c r="I765" s="35"/>
      <c r="J765" s="35"/>
      <c r="K765" s="36"/>
      <c r="L765" s="26" t="str">
        <f>IF(OR(F765 = "", G765 = ""), "", IF(F765 = "Vara", IFERROR(_xlfn.SINGLE(_xlfn.XLOOKUP(G765, Vöruskrá!A:A, Vöruskrá!E:E, "")), ""), IF(F765 = "Réttur", IFERROR(_xlfn.SINGLE(_xlfn.XLOOKUP(G765, Réttabanki!A:A, Réttabanki!AS:AS, "")), ""), "")))</f>
        <v/>
      </c>
      <c r="M765" s="26" t="str">
        <f>IF(OR(F765 = "", G765 = ""), "", IF(F765 = "Vara", IFERROR(_xlfn.SINGLE(_xlfn.XLOOKUP(G765, Vöruskrá!A:A, Vöruskrá!F:F, "")), ""), IF(F765 = "Réttur", IFERROR(_xlfn.SINGLE(_xlfn.XLOOKUP(G765, Réttabanki!A:A, Réttabanki!AT:AT, "")), ""), "")))</f>
        <v/>
      </c>
      <c r="N765" s="26" t="str">
        <f>IF(OR(F765 = "", G765 = ""), "", IF(F765 = "Vara", IFERROR(_xlfn.SINGLE(_xlfn.XLOOKUP(G765, Vöruskrá!A:A, Vöruskrá!G:G, "")), ""), IF(F765 = "Réttur", IFERROR(_xlfn.SINGLE(_xlfn.XLOOKUP(G765, Réttabanki!A:A, Réttabanki!AU:AU, "")), ""), "")))</f>
        <v/>
      </c>
      <c r="O765" s="26" t="str">
        <f>IF(OR(F765 = "", G765 = "", I765 = ""), "", IF(F765 = "Vara", IFERROR(_xlfn.SINGLE(_xlfn.XLOOKUP(G765, Vöruskrá!A:A, Vöruskrá!I:I, "")) * I765 / 100, ""), IF(F765 = "Réttur", IFERROR(_xlfn.SINGLE(_xlfn.XLOOKUP(G765, Réttabanki!A:A, Réttabanki!AV:AV, "")) * I765 / 100, ""), "")))</f>
        <v/>
      </c>
      <c r="P765" s="26" t="str">
        <f>IF(OR(F765 = "", G765 = "", I765 = ""), "", IF(F765 = "Vara", IFERROR(_xlfn.SINGLE(_xlfn.XLOOKUP(G765, Vöruskrá!A:A, Vöruskrá!J:J, "")) * I765 / 100, ""), IF(F765 = "Réttur", IFERROR(_xlfn.SINGLE(_xlfn.XLOOKUP(G765, Réttabanki!A:A, Réttabanki!AW:AW, "")) * I765 / 100, ""), "")))</f>
        <v/>
      </c>
      <c r="Q765" s="26" t="str">
        <f>IF(OR(F765 = "", G765 = "", I765 = ""), "", IF(F765 = "Vara", IFERROR(_xlfn.SINGLE(_xlfn.XLOOKUP(G765, Vöruskrá!A:A, Vöruskrá!N:N, "")) * I765 / 100, ""), IF(F765 = "Réttur", IFERROR(_xlfn.SINGLE(_xlfn.XLOOKUP(G765, Réttabanki!A:A, Réttabanki!BB:BB, "")) * I765 / 100, ""), "")))</f>
        <v/>
      </c>
    </row>
    <row r="766" spans="2:17">
      <c r="B766" s="33" t="str">
        <f>IF(A766&lt;&gt;"",CHOOSE(WEEKDAY(A766,2),"Mánudagur","Þriðjudagur","Miðvikudagur","Fimmtudagur","Föstudagur","Laugardagur","Sunnudagur"),IF(B765&lt;&gt;"",B765,""))</f>
        <v>Fimmtudagur</v>
      </c>
      <c r="C766" s="33">
        <f>IF(A766&lt;&gt;"",WEEKNUM(A766,21),IF(C765&lt;&gt;"",C765,""))</f>
        <v>27</v>
      </c>
      <c r="D766" s="34"/>
      <c r="E766" s="34"/>
      <c r="F766" s="34"/>
      <c r="G766" s="34"/>
      <c r="H766" s="34"/>
      <c r="I766" s="35"/>
      <c r="J766" s="35"/>
      <c r="K766" s="36"/>
      <c r="L766" s="26" t="str">
        <f>IF(OR(F766 = "", G766 = ""), "", IF(F766 = "Vara", IFERROR(_xlfn.SINGLE(_xlfn.XLOOKUP(G766, Vöruskrá!A:A, Vöruskrá!E:E, "")), ""), IF(F766 = "Réttur", IFERROR(_xlfn.SINGLE(_xlfn.XLOOKUP(G766, Réttabanki!A:A, Réttabanki!AS:AS, "")), ""), "")))</f>
        <v/>
      </c>
      <c r="M766" s="26" t="str">
        <f>IF(OR(F766 = "", G766 = ""), "", IF(F766 = "Vara", IFERROR(_xlfn.SINGLE(_xlfn.XLOOKUP(G766, Vöruskrá!A:A, Vöruskrá!F:F, "")), ""), IF(F766 = "Réttur", IFERROR(_xlfn.SINGLE(_xlfn.XLOOKUP(G766, Réttabanki!A:A, Réttabanki!AT:AT, "")), ""), "")))</f>
        <v/>
      </c>
      <c r="N766" s="26" t="str">
        <f>IF(OR(F766 = "", G766 = ""), "", IF(F766 = "Vara", IFERROR(_xlfn.SINGLE(_xlfn.XLOOKUP(G766, Vöruskrá!A:A, Vöruskrá!G:G, "")), ""), IF(F766 = "Réttur", IFERROR(_xlfn.SINGLE(_xlfn.XLOOKUP(G766, Réttabanki!A:A, Réttabanki!AU:AU, "")), ""), "")))</f>
        <v/>
      </c>
      <c r="O766" s="26" t="str">
        <f>IF(OR(F766 = "", G766 = "", I766 = ""), "", IF(F766 = "Vara", IFERROR(_xlfn.SINGLE(_xlfn.XLOOKUP(G766, Vöruskrá!A:A, Vöruskrá!I:I, "")) * I766 / 100, ""), IF(F766 = "Réttur", IFERROR(_xlfn.SINGLE(_xlfn.XLOOKUP(G766, Réttabanki!A:A, Réttabanki!AV:AV, "")) * I766 / 100, ""), "")))</f>
        <v/>
      </c>
      <c r="P766" s="26" t="str">
        <f>IF(OR(F766 = "", G766 = "", I766 = ""), "", IF(F766 = "Vara", IFERROR(_xlfn.SINGLE(_xlfn.XLOOKUP(G766, Vöruskrá!A:A, Vöruskrá!J:J, "")) * I766 / 100, ""), IF(F766 = "Réttur", IFERROR(_xlfn.SINGLE(_xlfn.XLOOKUP(G766, Réttabanki!A:A, Réttabanki!AW:AW, "")) * I766 / 100, ""), "")))</f>
        <v/>
      </c>
      <c r="Q766" s="26" t="str">
        <f>IF(OR(F766 = "", G766 = "", I766 = ""), "", IF(F766 = "Vara", IFERROR(_xlfn.SINGLE(_xlfn.XLOOKUP(G766, Vöruskrá!A:A, Vöruskrá!N:N, "")) * I766 / 100, ""), IF(F766 = "Réttur", IFERROR(_xlfn.SINGLE(_xlfn.XLOOKUP(G766, Réttabanki!A:A, Réttabanki!BB:BB, "")) * I766 / 100, ""), "")))</f>
        <v/>
      </c>
    </row>
    <row r="767" spans="2:17">
      <c r="B767" s="33" t="str">
        <f>IF(A767&lt;&gt;"",CHOOSE(WEEKDAY(A767,2),"Mánudagur","Þriðjudagur","Miðvikudagur","Fimmtudagur","Föstudagur","Laugardagur","Sunnudagur"),IF(B766&lt;&gt;"",B766,""))</f>
        <v>Fimmtudagur</v>
      </c>
      <c r="C767" s="33">
        <f>IF(A767&lt;&gt;"",WEEKNUM(A767,21),IF(C766&lt;&gt;"",C766,""))</f>
        <v>27</v>
      </c>
      <c r="D767" s="34"/>
      <c r="E767" s="34"/>
      <c r="F767" s="34"/>
      <c r="G767" s="34"/>
      <c r="H767" s="34"/>
      <c r="I767" s="35"/>
      <c r="J767" s="35"/>
      <c r="K767" s="36"/>
      <c r="L767" s="26" t="str">
        <f>IF(OR(F767 = "", G767 = ""), "", IF(F767 = "Vara", IFERROR(_xlfn.SINGLE(_xlfn.XLOOKUP(G767, Vöruskrá!A:A, Vöruskrá!E:E, "")), ""), IF(F767 = "Réttur", IFERROR(_xlfn.SINGLE(_xlfn.XLOOKUP(G767, Réttabanki!A:A, Réttabanki!AS:AS, "")), ""), "")))</f>
        <v/>
      </c>
      <c r="M767" s="26" t="str">
        <f>IF(OR(F767 = "", G767 = ""), "", IF(F767 = "Vara", IFERROR(_xlfn.SINGLE(_xlfn.XLOOKUP(G767, Vöruskrá!A:A, Vöruskrá!F:F, "")), ""), IF(F767 = "Réttur", IFERROR(_xlfn.SINGLE(_xlfn.XLOOKUP(G767, Réttabanki!A:A, Réttabanki!AT:AT, "")), ""), "")))</f>
        <v/>
      </c>
      <c r="N767" s="26" t="str">
        <f>IF(OR(F767 = "", G767 = ""), "", IF(F767 = "Vara", IFERROR(_xlfn.SINGLE(_xlfn.XLOOKUP(G767, Vöruskrá!A:A, Vöruskrá!G:G, "")), ""), IF(F767 = "Réttur", IFERROR(_xlfn.SINGLE(_xlfn.XLOOKUP(G767, Réttabanki!A:A, Réttabanki!AU:AU, "")), ""), "")))</f>
        <v/>
      </c>
      <c r="O767" s="26" t="str">
        <f>IF(OR(F767 = "", G767 = "", I767 = ""), "", IF(F767 = "Vara", IFERROR(_xlfn.SINGLE(_xlfn.XLOOKUP(G767, Vöruskrá!A:A, Vöruskrá!I:I, "")) * I767 / 100, ""), IF(F767 = "Réttur", IFERROR(_xlfn.SINGLE(_xlfn.XLOOKUP(G767, Réttabanki!A:A, Réttabanki!AV:AV, "")) * I767 / 100, ""), "")))</f>
        <v/>
      </c>
      <c r="P767" s="26" t="str">
        <f>IF(OR(F767 = "", G767 = "", I767 = ""), "", IF(F767 = "Vara", IFERROR(_xlfn.SINGLE(_xlfn.XLOOKUP(G767, Vöruskrá!A:A, Vöruskrá!J:J, "")) * I767 / 100, ""), IF(F767 = "Réttur", IFERROR(_xlfn.SINGLE(_xlfn.XLOOKUP(G767, Réttabanki!A:A, Réttabanki!AW:AW, "")) * I767 / 100, ""), "")))</f>
        <v/>
      </c>
      <c r="Q767" s="26" t="str">
        <f>IF(OR(F767 = "", G767 = "", I767 = ""), "", IF(F767 = "Vara", IFERROR(_xlfn.SINGLE(_xlfn.XLOOKUP(G767, Vöruskrá!A:A, Vöruskrá!N:N, "")) * I767 / 100, ""), IF(F767 = "Réttur", IFERROR(_xlfn.SINGLE(_xlfn.XLOOKUP(G767, Réttabanki!A:A, Réttabanki!BB:BB, "")) * I767 / 100, ""), "")))</f>
        <v/>
      </c>
    </row>
    <row r="768" spans="2:17">
      <c r="B768" s="33" t="str">
        <f>IF(A768&lt;&gt;"",CHOOSE(WEEKDAY(A768,2),"Mánudagur","Þriðjudagur","Miðvikudagur","Fimmtudagur","Föstudagur","Laugardagur","Sunnudagur"),IF(B767&lt;&gt;"",B767,""))</f>
        <v>Fimmtudagur</v>
      </c>
      <c r="C768" s="33">
        <f>IF(A768&lt;&gt;"",WEEKNUM(A768,21),IF(C767&lt;&gt;"",C767,""))</f>
        <v>27</v>
      </c>
      <c r="D768" s="34"/>
      <c r="E768" s="34"/>
      <c r="F768" s="34"/>
      <c r="G768" s="34"/>
      <c r="H768" s="34"/>
      <c r="I768" s="35"/>
      <c r="J768" s="35"/>
      <c r="K768" s="36"/>
      <c r="L768" s="26" t="str">
        <f>IF(OR(F768 = "", G768 = ""), "", IF(F768 = "Vara", IFERROR(_xlfn.SINGLE(_xlfn.XLOOKUP(G768, Vöruskrá!A:A, Vöruskrá!E:E, "")), ""), IF(F768 = "Réttur", IFERROR(_xlfn.SINGLE(_xlfn.XLOOKUP(G768, Réttabanki!A:A, Réttabanki!AS:AS, "")), ""), "")))</f>
        <v/>
      </c>
      <c r="M768" s="26" t="str">
        <f>IF(OR(F768 = "", G768 = ""), "", IF(F768 = "Vara", IFERROR(_xlfn.SINGLE(_xlfn.XLOOKUP(G768, Vöruskrá!A:A, Vöruskrá!F:F, "")), ""), IF(F768 = "Réttur", IFERROR(_xlfn.SINGLE(_xlfn.XLOOKUP(G768, Réttabanki!A:A, Réttabanki!AT:AT, "")), ""), "")))</f>
        <v/>
      </c>
      <c r="N768" s="26" t="str">
        <f>IF(OR(F768 = "", G768 = ""), "", IF(F768 = "Vara", IFERROR(_xlfn.SINGLE(_xlfn.XLOOKUP(G768, Vöruskrá!A:A, Vöruskrá!G:G, "")), ""), IF(F768 = "Réttur", IFERROR(_xlfn.SINGLE(_xlfn.XLOOKUP(G768, Réttabanki!A:A, Réttabanki!AU:AU, "")), ""), "")))</f>
        <v/>
      </c>
      <c r="O768" s="26" t="str">
        <f>IF(OR(F768 = "", G768 = "", I768 = ""), "", IF(F768 = "Vara", IFERROR(_xlfn.SINGLE(_xlfn.XLOOKUP(G768, Vöruskrá!A:A, Vöruskrá!I:I, "")) * I768 / 100, ""), IF(F768 = "Réttur", IFERROR(_xlfn.SINGLE(_xlfn.XLOOKUP(G768, Réttabanki!A:A, Réttabanki!AV:AV, "")) * I768 / 100, ""), "")))</f>
        <v/>
      </c>
      <c r="P768" s="26" t="str">
        <f>IF(OR(F768 = "", G768 = "", I768 = ""), "", IF(F768 = "Vara", IFERROR(_xlfn.SINGLE(_xlfn.XLOOKUP(G768, Vöruskrá!A:A, Vöruskrá!J:J, "")) * I768 / 100, ""), IF(F768 = "Réttur", IFERROR(_xlfn.SINGLE(_xlfn.XLOOKUP(G768, Réttabanki!A:A, Réttabanki!AW:AW, "")) * I768 / 100, ""), "")))</f>
        <v/>
      </c>
      <c r="Q768" s="26" t="str">
        <f>IF(OR(F768 = "", G768 = "", I768 = ""), "", IF(F768 = "Vara", IFERROR(_xlfn.SINGLE(_xlfn.XLOOKUP(G768, Vöruskrá!A:A, Vöruskrá!N:N, "")) * I768 / 100, ""), IF(F768 = "Réttur", IFERROR(_xlfn.SINGLE(_xlfn.XLOOKUP(G768, Réttabanki!A:A, Réttabanki!BB:BB, "")) * I768 / 100, ""), "")))</f>
        <v/>
      </c>
    </row>
    <row r="769" spans="2:17">
      <c r="B769" s="33" t="str">
        <f>IF(A769&lt;&gt;"",CHOOSE(WEEKDAY(A769,2),"Mánudagur","Þriðjudagur","Miðvikudagur","Fimmtudagur","Föstudagur","Laugardagur","Sunnudagur"),IF(B768&lt;&gt;"",B768,""))</f>
        <v>Fimmtudagur</v>
      </c>
      <c r="C769" s="33">
        <f>IF(A769&lt;&gt;"",WEEKNUM(A769,21),IF(C768&lt;&gt;"",C768,""))</f>
        <v>27</v>
      </c>
      <c r="D769" s="34"/>
      <c r="E769" s="34"/>
      <c r="F769" s="34"/>
      <c r="G769" s="34"/>
      <c r="H769" s="34"/>
      <c r="I769" s="35"/>
      <c r="J769" s="35"/>
      <c r="K769" s="36"/>
      <c r="L769" s="26" t="str">
        <f>IF(OR(F769 = "", G769 = ""), "", IF(F769 = "Vara", IFERROR(_xlfn.SINGLE(_xlfn.XLOOKUP(G769, Vöruskrá!A:A, Vöruskrá!E:E, "")), ""), IF(F769 = "Réttur", IFERROR(_xlfn.SINGLE(_xlfn.XLOOKUP(G769, Réttabanki!A:A, Réttabanki!AS:AS, "")), ""), "")))</f>
        <v/>
      </c>
      <c r="M769" s="26" t="str">
        <f>IF(OR(F769 = "", G769 = ""), "", IF(F769 = "Vara", IFERROR(_xlfn.SINGLE(_xlfn.XLOOKUP(G769, Vöruskrá!A:A, Vöruskrá!F:F, "")), ""), IF(F769 = "Réttur", IFERROR(_xlfn.SINGLE(_xlfn.XLOOKUP(G769, Réttabanki!A:A, Réttabanki!AT:AT, "")), ""), "")))</f>
        <v/>
      </c>
      <c r="N769" s="26" t="str">
        <f>IF(OR(F769 = "", G769 = ""), "", IF(F769 = "Vara", IFERROR(_xlfn.SINGLE(_xlfn.XLOOKUP(G769, Vöruskrá!A:A, Vöruskrá!G:G, "")), ""), IF(F769 = "Réttur", IFERROR(_xlfn.SINGLE(_xlfn.XLOOKUP(G769, Réttabanki!A:A, Réttabanki!AU:AU, "")), ""), "")))</f>
        <v/>
      </c>
      <c r="O769" s="26" t="str">
        <f>IF(OR(F769 = "", G769 = "", I769 = ""), "", IF(F769 = "Vara", IFERROR(_xlfn.SINGLE(_xlfn.XLOOKUP(G769, Vöruskrá!A:A, Vöruskrá!I:I, "")) * I769 / 100, ""), IF(F769 = "Réttur", IFERROR(_xlfn.SINGLE(_xlfn.XLOOKUP(G769, Réttabanki!A:A, Réttabanki!AV:AV, "")) * I769 / 100, ""), "")))</f>
        <v/>
      </c>
      <c r="P769" s="26" t="str">
        <f>IF(OR(F769 = "", G769 = "", I769 = ""), "", IF(F769 = "Vara", IFERROR(_xlfn.SINGLE(_xlfn.XLOOKUP(G769, Vöruskrá!A:A, Vöruskrá!J:J, "")) * I769 / 100, ""), IF(F769 = "Réttur", IFERROR(_xlfn.SINGLE(_xlfn.XLOOKUP(G769, Réttabanki!A:A, Réttabanki!AW:AW, "")) * I769 / 100, ""), "")))</f>
        <v/>
      </c>
      <c r="Q769" s="26" t="str">
        <f>IF(OR(F769 = "", G769 = "", I769 = ""), "", IF(F769 = "Vara", IFERROR(_xlfn.SINGLE(_xlfn.XLOOKUP(G769, Vöruskrá!A:A, Vöruskrá!N:N, "")) * I769 / 100, ""), IF(F769 = "Réttur", IFERROR(_xlfn.SINGLE(_xlfn.XLOOKUP(G769, Réttabanki!A:A, Réttabanki!BB:BB, "")) * I769 / 100, ""), "")))</f>
        <v/>
      </c>
    </row>
    <row r="770" spans="2:17">
      <c r="B770" s="33" t="str">
        <f>IF(A770&lt;&gt;"",CHOOSE(WEEKDAY(A770,2),"Mánudagur","Þriðjudagur","Miðvikudagur","Fimmtudagur","Föstudagur","Laugardagur","Sunnudagur"),IF(B769&lt;&gt;"",B769,""))</f>
        <v>Fimmtudagur</v>
      </c>
      <c r="C770" s="33">
        <f>IF(A770&lt;&gt;"",WEEKNUM(A770,21),IF(C769&lt;&gt;"",C769,""))</f>
        <v>27</v>
      </c>
      <c r="D770" s="34"/>
      <c r="E770" s="34"/>
      <c r="F770" s="34"/>
      <c r="G770" s="34"/>
      <c r="H770" s="34"/>
      <c r="I770" s="35"/>
      <c r="J770" s="35"/>
      <c r="K770" s="36"/>
      <c r="L770" s="26" t="str">
        <f>IF(OR(F770 = "", G770 = ""), "", IF(F770 = "Vara", IFERROR(_xlfn.SINGLE(_xlfn.XLOOKUP(G770, Vöruskrá!A:A, Vöruskrá!E:E, "")), ""), IF(F770 = "Réttur", IFERROR(_xlfn.SINGLE(_xlfn.XLOOKUP(G770, Réttabanki!A:A, Réttabanki!AS:AS, "")), ""), "")))</f>
        <v/>
      </c>
      <c r="M770" s="26" t="str">
        <f>IF(OR(F770 = "", G770 = ""), "", IF(F770 = "Vara", IFERROR(_xlfn.SINGLE(_xlfn.XLOOKUP(G770, Vöruskrá!A:A, Vöruskrá!F:F, "")), ""), IF(F770 = "Réttur", IFERROR(_xlfn.SINGLE(_xlfn.XLOOKUP(G770, Réttabanki!A:A, Réttabanki!AT:AT, "")), ""), "")))</f>
        <v/>
      </c>
      <c r="N770" s="26" t="str">
        <f>IF(OR(F770 = "", G770 = ""), "", IF(F770 = "Vara", IFERROR(_xlfn.SINGLE(_xlfn.XLOOKUP(G770, Vöruskrá!A:A, Vöruskrá!G:G, "")), ""), IF(F770 = "Réttur", IFERROR(_xlfn.SINGLE(_xlfn.XLOOKUP(G770, Réttabanki!A:A, Réttabanki!AU:AU, "")), ""), "")))</f>
        <v/>
      </c>
      <c r="O770" s="26" t="str">
        <f>IF(OR(F770 = "", G770 = "", I770 = ""), "", IF(F770 = "Vara", IFERROR(_xlfn.SINGLE(_xlfn.XLOOKUP(G770, Vöruskrá!A:A, Vöruskrá!I:I, "")) * I770 / 100, ""), IF(F770 = "Réttur", IFERROR(_xlfn.SINGLE(_xlfn.XLOOKUP(G770, Réttabanki!A:A, Réttabanki!AV:AV, "")) * I770 / 100, ""), "")))</f>
        <v/>
      </c>
      <c r="P770" s="26" t="str">
        <f>IF(OR(F770 = "", G770 = "", I770 = ""), "", IF(F770 = "Vara", IFERROR(_xlfn.SINGLE(_xlfn.XLOOKUP(G770, Vöruskrá!A:A, Vöruskrá!J:J, "")) * I770 / 100, ""), IF(F770 = "Réttur", IFERROR(_xlfn.SINGLE(_xlfn.XLOOKUP(G770, Réttabanki!A:A, Réttabanki!AW:AW, "")) * I770 / 100, ""), "")))</f>
        <v/>
      </c>
      <c r="Q770" s="26" t="str">
        <f>IF(OR(F770 = "", G770 = "", I770 = ""), "", IF(F770 = "Vara", IFERROR(_xlfn.SINGLE(_xlfn.XLOOKUP(G770, Vöruskrá!A:A, Vöruskrá!N:N, "")) * I770 / 100, ""), IF(F770 = "Réttur", IFERROR(_xlfn.SINGLE(_xlfn.XLOOKUP(G770, Réttabanki!A:A, Réttabanki!BB:BB, "")) * I770 / 100, ""), "")))</f>
        <v/>
      </c>
    </row>
    <row r="771" spans="2:17">
      <c r="B771" s="33" t="str">
        <f>IF(A771&lt;&gt;"",CHOOSE(WEEKDAY(A771,2),"Mánudagur","Þriðjudagur","Miðvikudagur","Fimmtudagur","Föstudagur","Laugardagur","Sunnudagur"),IF(B770&lt;&gt;"",B770,""))</f>
        <v>Fimmtudagur</v>
      </c>
      <c r="C771" s="33">
        <f>IF(A771&lt;&gt;"",WEEKNUM(A771,21),IF(C770&lt;&gt;"",C770,""))</f>
        <v>27</v>
      </c>
      <c r="D771" s="34"/>
      <c r="E771" s="34"/>
      <c r="F771" s="34"/>
      <c r="G771" s="34"/>
      <c r="H771" s="34"/>
      <c r="I771" s="35"/>
      <c r="J771" s="35"/>
      <c r="K771" s="36"/>
      <c r="L771" s="26" t="str">
        <f>IF(OR(F771 = "", G771 = ""), "", IF(F771 = "Vara", IFERROR(_xlfn.SINGLE(_xlfn.XLOOKUP(G771, Vöruskrá!A:A, Vöruskrá!E:E, "")), ""), IF(F771 = "Réttur", IFERROR(_xlfn.SINGLE(_xlfn.XLOOKUP(G771, Réttabanki!A:A, Réttabanki!AS:AS, "")), ""), "")))</f>
        <v/>
      </c>
      <c r="M771" s="26" t="str">
        <f>IF(OR(F771 = "", G771 = ""), "", IF(F771 = "Vara", IFERROR(_xlfn.SINGLE(_xlfn.XLOOKUP(G771, Vöruskrá!A:A, Vöruskrá!F:F, "")), ""), IF(F771 = "Réttur", IFERROR(_xlfn.SINGLE(_xlfn.XLOOKUP(G771, Réttabanki!A:A, Réttabanki!AT:AT, "")), ""), "")))</f>
        <v/>
      </c>
      <c r="N771" s="26" t="str">
        <f>IF(OR(F771 = "", G771 = ""), "", IF(F771 = "Vara", IFERROR(_xlfn.SINGLE(_xlfn.XLOOKUP(G771, Vöruskrá!A:A, Vöruskrá!G:G, "")), ""), IF(F771 = "Réttur", IFERROR(_xlfn.SINGLE(_xlfn.XLOOKUP(G771, Réttabanki!A:A, Réttabanki!AU:AU, "")), ""), "")))</f>
        <v/>
      </c>
      <c r="O771" s="26" t="str">
        <f>IF(OR(F771 = "", G771 = "", I771 = ""), "", IF(F771 = "Vara", IFERROR(_xlfn.SINGLE(_xlfn.XLOOKUP(G771, Vöruskrá!A:A, Vöruskrá!I:I, "")) * I771 / 100, ""), IF(F771 = "Réttur", IFERROR(_xlfn.SINGLE(_xlfn.XLOOKUP(G771, Réttabanki!A:A, Réttabanki!AV:AV, "")) * I771 / 100, ""), "")))</f>
        <v/>
      </c>
      <c r="P771" s="26" t="str">
        <f>IF(OR(F771 = "", G771 = "", I771 = ""), "", IF(F771 = "Vara", IFERROR(_xlfn.SINGLE(_xlfn.XLOOKUP(G771, Vöruskrá!A:A, Vöruskrá!J:J, "")) * I771 / 100, ""), IF(F771 = "Réttur", IFERROR(_xlfn.SINGLE(_xlfn.XLOOKUP(G771, Réttabanki!A:A, Réttabanki!AW:AW, "")) * I771 / 100, ""), "")))</f>
        <v/>
      </c>
      <c r="Q771" s="26" t="str">
        <f>IF(OR(F771 = "", G771 = "", I771 = ""), "", IF(F771 = "Vara", IFERROR(_xlfn.SINGLE(_xlfn.XLOOKUP(G771, Vöruskrá!A:A, Vöruskrá!N:N, "")) * I771 / 100, ""), IF(F771 = "Réttur", IFERROR(_xlfn.SINGLE(_xlfn.XLOOKUP(G771, Réttabanki!A:A, Réttabanki!BB:BB, "")) * I771 / 100, ""), "")))</f>
        <v/>
      </c>
    </row>
    <row r="772" spans="2:17">
      <c r="B772" s="33" t="str">
        <f>IF(A772&lt;&gt;"",CHOOSE(WEEKDAY(A772,2),"Mánudagur","Þriðjudagur","Miðvikudagur","Fimmtudagur","Föstudagur","Laugardagur","Sunnudagur"),IF(B771&lt;&gt;"",B771,""))</f>
        <v>Fimmtudagur</v>
      </c>
      <c r="C772" s="33">
        <f>IF(A772&lt;&gt;"",WEEKNUM(A772,21),IF(C771&lt;&gt;"",C771,""))</f>
        <v>27</v>
      </c>
      <c r="D772" s="34"/>
      <c r="E772" s="34"/>
      <c r="F772" s="34"/>
      <c r="G772" s="34"/>
      <c r="H772" s="34"/>
      <c r="I772" s="35"/>
      <c r="J772" s="35"/>
      <c r="K772" s="36"/>
      <c r="L772" s="26" t="str">
        <f>IF(OR(F772 = "", G772 = ""), "", IF(F772 = "Vara", IFERROR(_xlfn.SINGLE(_xlfn.XLOOKUP(G772, Vöruskrá!A:A, Vöruskrá!E:E, "")), ""), IF(F772 = "Réttur", IFERROR(_xlfn.SINGLE(_xlfn.XLOOKUP(G772, Réttabanki!A:A, Réttabanki!AS:AS, "")), ""), "")))</f>
        <v/>
      </c>
      <c r="M772" s="26" t="str">
        <f>IF(OR(F772 = "", G772 = ""), "", IF(F772 = "Vara", IFERROR(_xlfn.SINGLE(_xlfn.XLOOKUP(G772, Vöruskrá!A:A, Vöruskrá!F:F, "")), ""), IF(F772 = "Réttur", IFERROR(_xlfn.SINGLE(_xlfn.XLOOKUP(G772, Réttabanki!A:A, Réttabanki!AT:AT, "")), ""), "")))</f>
        <v/>
      </c>
      <c r="N772" s="26" t="str">
        <f>IF(OR(F772 = "", G772 = ""), "", IF(F772 = "Vara", IFERROR(_xlfn.SINGLE(_xlfn.XLOOKUP(G772, Vöruskrá!A:A, Vöruskrá!G:G, "")), ""), IF(F772 = "Réttur", IFERROR(_xlfn.SINGLE(_xlfn.XLOOKUP(G772, Réttabanki!A:A, Réttabanki!AU:AU, "")), ""), "")))</f>
        <v/>
      </c>
      <c r="O772" s="26" t="str">
        <f>IF(OR(F772 = "", G772 = "", I772 = ""), "", IF(F772 = "Vara", IFERROR(_xlfn.SINGLE(_xlfn.XLOOKUP(G772, Vöruskrá!A:A, Vöruskrá!I:I, "")) * I772 / 100, ""), IF(F772 = "Réttur", IFERROR(_xlfn.SINGLE(_xlfn.XLOOKUP(G772, Réttabanki!A:A, Réttabanki!AV:AV, "")) * I772 / 100, ""), "")))</f>
        <v/>
      </c>
      <c r="P772" s="26" t="str">
        <f>IF(OR(F772 = "", G772 = "", I772 = ""), "", IF(F772 = "Vara", IFERROR(_xlfn.SINGLE(_xlfn.XLOOKUP(G772, Vöruskrá!A:A, Vöruskrá!J:J, "")) * I772 / 100, ""), IF(F772 = "Réttur", IFERROR(_xlfn.SINGLE(_xlfn.XLOOKUP(G772, Réttabanki!A:A, Réttabanki!AW:AW, "")) * I772 / 100, ""), "")))</f>
        <v/>
      </c>
      <c r="Q772" s="26" t="str">
        <f>IF(OR(F772 = "", G772 = "", I772 = ""), "", IF(F772 = "Vara", IFERROR(_xlfn.SINGLE(_xlfn.XLOOKUP(G772, Vöruskrá!A:A, Vöruskrá!N:N, "")) * I772 / 100, ""), IF(F772 = "Réttur", IFERROR(_xlfn.SINGLE(_xlfn.XLOOKUP(G772, Réttabanki!A:A, Réttabanki!BB:BB, "")) * I772 / 100, ""), "")))</f>
        <v/>
      </c>
    </row>
    <row r="773" spans="2:17">
      <c r="B773" s="33" t="str">
        <f>IF(A773&lt;&gt;"",CHOOSE(WEEKDAY(A773,2),"Mánudagur","Þriðjudagur","Miðvikudagur","Fimmtudagur","Föstudagur","Laugardagur","Sunnudagur"),IF(B772&lt;&gt;"",B772,""))</f>
        <v>Fimmtudagur</v>
      </c>
      <c r="C773" s="33">
        <f>IF(A773&lt;&gt;"",WEEKNUM(A773,21),IF(C772&lt;&gt;"",C772,""))</f>
        <v>27</v>
      </c>
      <c r="D773" s="34"/>
      <c r="E773" s="34"/>
      <c r="F773" s="34"/>
      <c r="G773" s="34"/>
      <c r="H773" s="34"/>
      <c r="I773" s="35"/>
      <c r="J773" s="35"/>
      <c r="K773" s="36"/>
      <c r="L773" s="26" t="str">
        <f>IF(OR(F773 = "", G773 = ""), "", IF(F773 = "Vara", IFERROR(_xlfn.SINGLE(_xlfn.XLOOKUP(G773, Vöruskrá!A:A, Vöruskrá!E:E, "")), ""), IF(F773 = "Réttur", IFERROR(_xlfn.SINGLE(_xlfn.XLOOKUP(G773, Réttabanki!A:A, Réttabanki!AS:AS, "")), ""), "")))</f>
        <v/>
      </c>
      <c r="M773" s="26" t="str">
        <f>IF(OR(F773 = "", G773 = ""), "", IF(F773 = "Vara", IFERROR(_xlfn.SINGLE(_xlfn.XLOOKUP(G773, Vöruskrá!A:A, Vöruskrá!F:F, "")), ""), IF(F773 = "Réttur", IFERROR(_xlfn.SINGLE(_xlfn.XLOOKUP(G773, Réttabanki!A:A, Réttabanki!AT:AT, "")), ""), "")))</f>
        <v/>
      </c>
      <c r="N773" s="26" t="str">
        <f>IF(OR(F773 = "", G773 = ""), "", IF(F773 = "Vara", IFERROR(_xlfn.SINGLE(_xlfn.XLOOKUP(G773, Vöruskrá!A:A, Vöruskrá!G:G, "")), ""), IF(F773 = "Réttur", IFERROR(_xlfn.SINGLE(_xlfn.XLOOKUP(G773, Réttabanki!A:A, Réttabanki!AU:AU, "")), ""), "")))</f>
        <v/>
      </c>
      <c r="O773" s="26" t="str">
        <f>IF(OR(F773 = "", G773 = "", I773 = ""), "", IF(F773 = "Vara", IFERROR(_xlfn.SINGLE(_xlfn.XLOOKUP(G773, Vöruskrá!A:A, Vöruskrá!I:I, "")) * I773 / 100, ""), IF(F773 = "Réttur", IFERROR(_xlfn.SINGLE(_xlfn.XLOOKUP(G773, Réttabanki!A:A, Réttabanki!AV:AV, "")) * I773 / 100, ""), "")))</f>
        <v/>
      </c>
      <c r="P773" s="26" t="str">
        <f>IF(OR(F773 = "", G773 = "", I773 = ""), "", IF(F773 = "Vara", IFERROR(_xlfn.SINGLE(_xlfn.XLOOKUP(G773, Vöruskrá!A:A, Vöruskrá!J:J, "")) * I773 / 100, ""), IF(F773 = "Réttur", IFERROR(_xlfn.SINGLE(_xlfn.XLOOKUP(G773, Réttabanki!A:A, Réttabanki!AW:AW, "")) * I773 / 100, ""), "")))</f>
        <v/>
      </c>
      <c r="Q773" s="26" t="str">
        <f>IF(OR(F773 = "", G773 = "", I773 = ""), "", IF(F773 = "Vara", IFERROR(_xlfn.SINGLE(_xlfn.XLOOKUP(G773, Vöruskrá!A:A, Vöruskrá!N:N, "")) * I773 / 100, ""), IF(F773 = "Réttur", IFERROR(_xlfn.SINGLE(_xlfn.XLOOKUP(G773, Réttabanki!A:A, Réttabanki!BB:BB, "")) * I773 / 100, ""), "")))</f>
        <v/>
      </c>
    </row>
    <row r="774" spans="2:17">
      <c r="B774" s="33" t="str">
        <f>IF(A774&lt;&gt;"",CHOOSE(WEEKDAY(A774,2),"Mánudagur","Þriðjudagur","Miðvikudagur","Fimmtudagur","Föstudagur","Laugardagur","Sunnudagur"),IF(B773&lt;&gt;"",B773,""))</f>
        <v>Fimmtudagur</v>
      </c>
      <c r="C774" s="33">
        <f>IF(A774&lt;&gt;"",WEEKNUM(A774,21),IF(C773&lt;&gt;"",C773,""))</f>
        <v>27</v>
      </c>
      <c r="D774" s="34"/>
      <c r="E774" s="34"/>
      <c r="F774" s="34"/>
      <c r="G774" s="34"/>
      <c r="H774" s="34"/>
      <c r="I774" s="35"/>
      <c r="J774" s="35"/>
      <c r="K774" s="36"/>
      <c r="L774" s="26" t="str">
        <f>IF(OR(F774 = "", G774 = ""), "", IF(F774 = "Vara", IFERROR(_xlfn.SINGLE(_xlfn.XLOOKUP(G774, Vöruskrá!A:A, Vöruskrá!E:E, "")), ""), IF(F774 = "Réttur", IFERROR(_xlfn.SINGLE(_xlfn.XLOOKUP(G774, Réttabanki!A:A, Réttabanki!AS:AS, "")), ""), "")))</f>
        <v/>
      </c>
      <c r="M774" s="26" t="str">
        <f>IF(OR(F774 = "", G774 = ""), "", IF(F774 = "Vara", IFERROR(_xlfn.SINGLE(_xlfn.XLOOKUP(G774, Vöruskrá!A:A, Vöruskrá!F:F, "")), ""), IF(F774 = "Réttur", IFERROR(_xlfn.SINGLE(_xlfn.XLOOKUP(G774, Réttabanki!A:A, Réttabanki!AT:AT, "")), ""), "")))</f>
        <v/>
      </c>
      <c r="N774" s="26" t="str">
        <f>IF(OR(F774 = "", G774 = ""), "", IF(F774 = "Vara", IFERROR(_xlfn.SINGLE(_xlfn.XLOOKUP(G774, Vöruskrá!A:A, Vöruskrá!G:G, "")), ""), IF(F774 = "Réttur", IFERROR(_xlfn.SINGLE(_xlfn.XLOOKUP(G774, Réttabanki!A:A, Réttabanki!AU:AU, "")), ""), "")))</f>
        <v/>
      </c>
      <c r="O774" s="26" t="str">
        <f>IF(OR(F774 = "", G774 = "", I774 = ""), "", IF(F774 = "Vara", IFERROR(_xlfn.SINGLE(_xlfn.XLOOKUP(G774, Vöruskrá!A:A, Vöruskrá!I:I, "")) * I774 / 100, ""), IF(F774 = "Réttur", IFERROR(_xlfn.SINGLE(_xlfn.XLOOKUP(G774, Réttabanki!A:A, Réttabanki!AV:AV, "")) * I774 / 100, ""), "")))</f>
        <v/>
      </c>
      <c r="P774" s="26" t="str">
        <f>IF(OR(F774 = "", G774 = "", I774 = ""), "", IF(F774 = "Vara", IFERROR(_xlfn.SINGLE(_xlfn.XLOOKUP(G774, Vöruskrá!A:A, Vöruskrá!J:J, "")) * I774 / 100, ""), IF(F774 = "Réttur", IFERROR(_xlfn.SINGLE(_xlfn.XLOOKUP(G774, Réttabanki!A:A, Réttabanki!AW:AW, "")) * I774 / 100, ""), "")))</f>
        <v/>
      </c>
      <c r="Q774" s="26" t="str">
        <f>IF(OR(F774 = "", G774 = "", I774 = ""), "", IF(F774 = "Vara", IFERROR(_xlfn.SINGLE(_xlfn.XLOOKUP(G774, Vöruskrá!A:A, Vöruskrá!N:N, "")) * I774 / 100, ""), IF(F774 = "Réttur", IFERROR(_xlfn.SINGLE(_xlfn.XLOOKUP(G774, Réttabanki!A:A, Réttabanki!BB:BB, "")) * I774 / 100, ""), "")))</f>
        <v/>
      </c>
    </row>
    <row r="775" spans="2:17">
      <c r="B775" s="33" t="str">
        <f>IF(A775&lt;&gt;"",CHOOSE(WEEKDAY(A775,2),"Mánudagur","Þriðjudagur","Miðvikudagur","Fimmtudagur","Föstudagur","Laugardagur","Sunnudagur"),IF(B774&lt;&gt;"",B774,""))</f>
        <v>Fimmtudagur</v>
      </c>
      <c r="C775" s="33">
        <f>IF(A775&lt;&gt;"",WEEKNUM(A775,21),IF(C774&lt;&gt;"",C774,""))</f>
        <v>27</v>
      </c>
      <c r="D775" s="34"/>
      <c r="E775" s="34"/>
      <c r="F775" s="34"/>
      <c r="G775" s="34"/>
      <c r="H775" s="34"/>
      <c r="I775" s="35"/>
      <c r="J775" s="35"/>
      <c r="K775" s="36"/>
      <c r="L775" s="26" t="str">
        <f>IF(OR(F775 = "", G775 = ""), "", IF(F775 = "Vara", IFERROR(_xlfn.SINGLE(_xlfn.XLOOKUP(G775, Vöruskrá!A:A, Vöruskrá!E:E, "")), ""), IF(F775 = "Réttur", IFERROR(_xlfn.SINGLE(_xlfn.XLOOKUP(G775, Réttabanki!A:A, Réttabanki!AS:AS, "")), ""), "")))</f>
        <v/>
      </c>
      <c r="M775" s="26" t="str">
        <f>IF(OR(F775 = "", G775 = ""), "", IF(F775 = "Vara", IFERROR(_xlfn.SINGLE(_xlfn.XLOOKUP(G775, Vöruskrá!A:A, Vöruskrá!F:F, "")), ""), IF(F775 = "Réttur", IFERROR(_xlfn.SINGLE(_xlfn.XLOOKUP(G775, Réttabanki!A:A, Réttabanki!AT:AT, "")), ""), "")))</f>
        <v/>
      </c>
      <c r="N775" s="26" t="str">
        <f>IF(OR(F775 = "", G775 = ""), "", IF(F775 = "Vara", IFERROR(_xlfn.SINGLE(_xlfn.XLOOKUP(G775, Vöruskrá!A:A, Vöruskrá!G:G, "")), ""), IF(F775 = "Réttur", IFERROR(_xlfn.SINGLE(_xlfn.XLOOKUP(G775, Réttabanki!A:A, Réttabanki!AU:AU, "")), ""), "")))</f>
        <v/>
      </c>
      <c r="O775" s="26" t="str">
        <f>IF(OR(F775 = "", G775 = "", I775 = ""), "", IF(F775 = "Vara", IFERROR(_xlfn.SINGLE(_xlfn.XLOOKUP(G775, Vöruskrá!A:A, Vöruskrá!I:I, "")) * I775 / 100, ""), IF(F775 = "Réttur", IFERROR(_xlfn.SINGLE(_xlfn.XLOOKUP(G775, Réttabanki!A:A, Réttabanki!AV:AV, "")) * I775 / 100, ""), "")))</f>
        <v/>
      </c>
      <c r="P775" s="26" t="str">
        <f>IF(OR(F775 = "", G775 = "", I775 = ""), "", IF(F775 = "Vara", IFERROR(_xlfn.SINGLE(_xlfn.XLOOKUP(G775, Vöruskrá!A:A, Vöruskrá!J:J, "")) * I775 / 100, ""), IF(F775 = "Réttur", IFERROR(_xlfn.SINGLE(_xlfn.XLOOKUP(G775, Réttabanki!A:A, Réttabanki!AW:AW, "")) * I775 / 100, ""), "")))</f>
        <v/>
      </c>
      <c r="Q775" s="26" t="str">
        <f>IF(OR(F775 = "", G775 = "", I775 = ""), "", IF(F775 = "Vara", IFERROR(_xlfn.SINGLE(_xlfn.XLOOKUP(G775, Vöruskrá!A:A, Vöruskrá!N:N, "")) * I775 / 100, ""), IF(F775 = "Réttur", IFERROR(_xlfn.SINGLE(_xlfn.XLOOKUP(G775, Réttabanki!A:A, Réttabanki!BB:BB, "")) * I775 / 100, ""), "")))</f>
        <v/>
      </c>
    </row>
    <row r="776" spans="2:17">
      <c r="B776" s="33" t="str">
        <f>IF(A776&lt;&gt;"",CHOOSE(WEEKDAY(A776,2),"Mánudagur","Þriðjudagur","Miðvikudagur","Fimmtudagur","Föstudagur","Laugardagur","Sunnudagur"),IF(B775&lt;&gt;"",B775,""))</f>
        <v>Fimmtudagur</v>
      </c>
      <c r="C776" s="33">
        <f>IF(A776&lt;&gt;"",WEEKNUM(A776,21),IF(C775&lt;&gt;"",C775,""))</f>
        <v>27</v>
      </c>
      <c r="D776" s="34"/>
      <c r="E776" s="34"/>
      <c r="F776" s="34"/>
      <c r="G776" s="34"/>
      <c r="H776" s="34"/>
      <c r="I776" s="35"/>
      <c r="J776" s="35"/>
      <c r="K776" s="36"/>
      <c r="L776" s="26" t="str">
        <f>IF(OR(F776 = "", G776 = ""), "", IF(F776 = "Vara", IFERROR(_xlfn.SINGLE(_xlfn.XLOOKUP(G776, Vöruskrá!A:A, Vöruskrá!E:E, "")), ""), IF(F776 = "Réttur", IFERROR(_xlfn.SINGLE(_xlfn.XLOOKUP(G776, Réttabanki!A:A, Réttabanki!AS:AS, "")), ""), "")))</f>
        <v/>
      </c>
      <c r="M776" s="26" t="str">
        <f>IF(OR(F776 = "", G776 = ""), "", IF(F776 = "Vara", IFERROR(_xlfn.SINGLE(_xlfn.XLOOKUP(G776, Vöruskrá!A:A, Vöruskrá!F:F, "")), ""), IF(F776 = "Réttur", IFERROR(_xlfn.SINGLE(_xlfn.XLOOKUP(G776, Réttabanki!A:A, Réttabanki!AT:AT, "")), ""), "")))</f>
        <v/>
      </c>
      <c r="N776" s="26" t="str">
        <f>IF(OR(F776 = "", G776 = ""), "", IF(F776 = "Vara", IFERROR(_xlfn.SINGLE(_xlfn.XLOOKUP(G776, Vöruskrá!A:A, Vöruskrá!G:G, "")), ""), IF(F776 = "Réttur", IFERROR(_xlfn.SINGLE(_xlfn.XLOOKUP(G776, Réttabanki!A:A, Réttabanki!AU:AU, "")), ""), "")))</f>
        <v/>
      </c>
      <c r="O776" s="26" t="str">
        <f>IF(OR(F776 = "", G776 = "", I776 = ""), "", IF(F776 = "Vara", IFERROR(_xlfn.SINGLE(_xlfn.XLOOKUP(G776, Vöruskrá!A:A, Vöruskrá!I:I, "")) * I776 / 100, ""), IF(F776 = "Réttur", IFERROR(_xlfn.SINGLE(_xlfn.XLOOKUP(G776, Réttabanki!A:A, Réttabanki!AV:AV, "")) * I776 / 100, ""), "")))</f>
        <v/>
      </c>
      <c r="P776" s="26" t="str">
        <f>IF(OR(F776 = "", G776 = "", I776 = ""), "", IF(F776 = "Vara", IFERROR(_xlfn.SINGLE(_xlfn.XLOOKUP(G776, Vöruskrá!A:A, Vöruskrá!J:J, "")) * I776 / 100, ""), IF(F776 = "Réttur", IFERROR(_xlfn.SINGLE(_xlfn.XLOOKUP(G776, Réttabanki!A:A, Réttabanki!AW:AW, "")) * I776 / 100, ""), "")))</f>
        <v/>
      </c>
      <c r="Q776" s="26" t="str">
        <f>IF(OR(F776 = "", G776 = "", I776 = ""), "", IF(F776 = "Vara", IFERROR(_xlfn.SINGLE(_xlfn.XLOOKUP(G776, Vöruskrá!A:A, Vöruskrá!N:N, "")) * I776 / 100, ""), IF(F776 = "Réttur", IFERROR(_xlfn.SINGLE(_xlfn.XLOOKUP(G776, Réttabanki!A:A, Réttabanki!BB:BB, "")) * I776 / 100, ""), "")))</f>
        <v/>
      </c>
    </row>
    <row r="777" spans="2:17">
      <c r="B777" s="33" t="str">
        <f>IF(A777&lt;&gt;"",CHOOSE(WEEKDAY(A777,2),"Mánudagur","Þriðjudagur","Miðvikudagur","Fimmtudagur","Föstudagur","Laugardagur","Sunnudagur"),IF(B776&lt;&gt;"",B776,""))</f>
        <v>Fimmtudagur</v>
      </c>
      <c r="C777" s="33">
        <f>IF(A777&lt;&gt;"",WEEKNUM(A777,21),IF(C776&lt;&gt;"",C776,""))</f>
        <v>27</v>
      </c>
      <c r="D777" s="34"/>
      <c r="E777" s="34"/>
      <c r="F777" s="34"/>
      <c r="G777" s="34"/>
      <c r="H777" s="34"/>
      <c r="I777" s="35"/>
      <c r="J777" s="35"/>
      <c r="K777" s="36"/>
      <c r="L777" s="26" t="str">
        <f>IF(OR(F777 = "", G777 = ""), "", IF(F777 = "Vara", IFERROR(_xlfn.SINGLE(_xlfn.XLOOKUP(G777, Vöruskrá!A:A, Vöruskrá!E:E, "")), ""), IF(F777 = "Réttur", IFERROR(_xlfn.SINGLE(_xlfn.XLOOKUP(G777, Réttabanki!A:A, Réttabanki!AS:AS, "")), ""), "")))</f>
        <v/>
      </c>
      <c r="M777" s="26" t="str">
        <f>IF(OR(F777 = "", G777 = ""), "", IF(F777 = "Vara", IFERROR(_xlfn.SINGLE(_xlfn.XLOOKUP(G777, Vöruskrá!A:A, Vöruskrá!F:F, "")), ""), IF(F777 = "Réttur", IFERROR(_xlfn.SINGLE(_xlfn.XLOOKUP(G777, Réttabanki!A:A, Réttabanki!AT:AT, "")), ""), "")))</f>
        <v/>
      </c>
      <c r="N777" s="26" t="str">
        <f>IF(OR(F777 = "", G777 = ""), "", IF(F777 = "Vara", IFERROR(_xlfn.SINGLE(_xlfn.XLOOKUP(G777, Vöruskrá!A:A, Vöruskrá!G:G, "")), ""), IF(F777 = "Réttur", IFERROR(_xlfn.SINGLE(_xlfn.XLOOKUP(G777, Réttabanki!A:A, Réttabanki!AU:AU, "")), ""), "")))</f>
        <v/>
      </c>
      <c r="O777" s="26" t="str">
        <f>IF(OR(F777 = "", G777 = "", I777 = ""), "", IF(F777 = "Vara", IFERROR(_xlfn.SINGLE(_xlfn.XLOOKUP(G777, Vöruskrá!A:A, Vöruskrá!I:I, "")) * I777 / 100, ""), IF(F777 = "Réttur", IFERROR(_xlfn.SINGLE(_xlfn.XLOOKUP(G777, Réttabanki!A:A, Réttabanki!AV:AV, "")) * I777 / 100, ""), "")))</f>
        <v/>
      </c>
      <c r="P777" s="26" t="str">
        <f>IF(OR(F777 = "", G777 = "", I777 = ""), "", IF(F777 = "Vara", IFERROR(_xlfn.SINGLE(_xlfn.XLOOKUP(G777, Vöruskrá!A:A, Vöruskrá!J:J, "")) * I777 / 100, ""), IF(F777 = "Réttur", IFERROR(_xlfn.SINGLE(_xlfn.XLOOKUP(G777, Réttabanki!A:A, Réttabanki!AW:AW, "")) * I777 / 100, ""), "")))</f>
        <v/>
      </c>
      <c r="Q777" s="26" t="str">
        <f>IF(OR(F777 = "", G777 = "", I777 = ""), "", IF(F777 = "Vara", IFERROR(_xlfn.SINGLE(_xlfn.XLOOKUP(G777, Vöruskrá!A:A, Vöruskrá!N:N, "")) * I777 / 100, ""), IF(F777 = "Réttur", IFERROR(_xlfn.SINGLE(_xlfn.XLOOKUP(G777, Réttabanki!A:A, Réttabanki!BB:BB, "")) * I777 / 100, ""), "")))</f>
        <v/>
      </c>
    </row>
    <row r="778" spans="2:17">
      <c r="B778" s="33" t="str">
        <f>IF(A778&lt;&gt;"",CHOOSE(WEEKDAY(A778,2),"Mánudagur","Þriðjudagur","Miðvikudagur","Fimmtudagur","Föstudagur","Laugardagur","Sunnudagur"),IF(B777&lt;&gt;"",B777,""))</f>
        <v>Fimmtudagur</v>
      </c>
      <c r="C778" s="33">
        <f>IF(A778&lt;&gt;"",WEEKNUM(A778,21),IF(C777&lt;&gt;"",C777,""))</f>
        <v>27</v>
      </c>
      <c r="D778" s="34"/>
      <c r="E778" s="34"/>
      <c r="F778" s="34"/>
      <c r="G778" s="34"/>
      <c r="H778" s="34"/>
      <c r="I778" s="35"/>
      <c r="J778" s="35"/>
      <c r="K778" s="36"/>
      <c r="L778" s="26" t="str">
        <f>IF(OR(F778 = "", G778 = ""), "", IF(F778 = "Vara", IFERROR(_xlfn.SINGLE(_xlfn.XLOOKUP(G778, Vöruskrá!A:A, Vöruskrá!E:E, "")), ""), IF(F778 = "Réttur", IFERROR(_xlfn.SINGLE(_xlfn.XLOOKUP(G778, Réttabanki!A:A, Réttabanki!AS:AS, "")), ""), "")))</f>
        <v/>
      </c>
      <c r="M778" s="26" t="str">
        <f>IF(OR(F778 = "", G778 = ""), "", IF(F778 = "Vara", IFERROR(_xlfn.SINGLE(_xlfn.XLOOKUP(G778, Vöruskrá!A:A, Vöruskrá!F:F, "")), ""), IF(F778 = "Réttur", IFERROR(_xlfn.SINGLE(_xlfn.XLOOKUP(G778, Réttabanki!A:A, Réttabanki!AT:AT, "")), ""), "")))</f>
        <v/>
      </c>
      <c r="N778" s="26" t="str">
        <f>IF(OR(F778 = "", G778 = ""), "", IF(F778 = "Vara", IFERROR(_xlfn.SINGLE(_xlfn.XLOOKUP(G778, Vöruskrá!A:A, Vöruskrá!G:G, "")), ""), IF(F778 = "Réttur", IFERROR(_xlfn.SINGLE(_xlfn.XLOOKUP(G778, Réttabanki!A:A, Réttabanki!AU:AU, "")), ""), "")))</f>
        <v/>
      </c>
      <c r="O778" s="26" t="str">
        <f>IF(OR(F778 = "", G778 = "", I778 = ""), "", IF(F778 = "Vara", IFERROR(_xlfn.SINGLE(_xlfn.XLOOKUP(G778, Vöruskrá!A:A, Vöruskrá!I:I, "")) * I778 / 100, ""), IF(F778 = "Réttur", IFERROR(_xlfn.SINGLE(_xlfn.XLOOKUP(G778, Réttabanki!A:A, Réttabanki!AV:AV, "")) * I778 / 100, ""), "")))</f>
        <v/>
      </c>
      <c r="P778" s="26" t="str">
        <f>IF(OR(F778 = "", G778 = "", I778 = ""), "", IF(F778 = "Vara", IFERROR(_xlfn.SINGLE(_xlfn.XLOOKUP(G778, Vöruskrá!A:A, Vöruskrá!J:J, "")) * I778 / 100, ""), IF(F778 = "Réttur", IFERROR(_xlfn.SINGLE(_xlfn.XLOOKUP(G778, Réttabanki!A:A, Réttabanki!AW:AW, "")) * I778 / 100, ""), "")))</f>
        <v/>
      </c>
      <c r="Q778" s="26" t="str">
        <f>IF(OR(F778 = "", G778 = "", I778 = ""), "", IF(F778 = "Vara", IFERROR(_xlfn.SINGLE(_xlfn.XLOOKUP(G778, Vöruskrá!A:A, Vöruskrá!N:N, "")) * I778 / 100, ""), IF(F778 = "Réttur", IFERROR(_xlfn.SINGLE(_xlfn.XLOOKUP(G778, Réttabanki!A:A, Réttabanki!BB:BB, "")) * I778 / 100, ""), "")))</f>
        <v/>
      </c>
    </row>
    <row r="779" spans="2:17">
      <c r="B779" s="33" t="str">
        <f>IF(A779&lt;&gt;"",CHOOSE(WEEKDAY(A779,2),"Mánudagur","Þriðjudagur","Miðvikudagur","Fimmtudagur","Föstudagur","Laugardagur","Sunnudagur"),IF(B778&lt;&gt;"",B778,""))</f>
        <v>Fimmtudagur</v>
      </c>
      <c r="C779" s="33">
        <f>IF(A779&lt;&gt;"",WEEKNUM(A779,21),IF(C778&lt;&gt;"",C778,""))</f>
        <v>27</v>
      </c>
      <c r="D779" s="34"/>
      <c r="E779" s="34"/>
      <c r="F779" s="34"/>
      <c r="G779" s="34"/>
      <c r="H779" s="34"/>
      <c r="I779" s="35"/>
      <c r="J779" s="35"/>
      <c r="K779" s="36"/>
      <c r="L779" s="26" t="str">
        <f>IF(OR(F779 = "", G779 = ""), "", IF(F779 = "Vara", IFERROR(_xlfn.SINGLE(_xlfn.XLOOKUP(G779, Vöruskrá!A:A, Vöruskrá!E:E, "")), ""), IF(F779 = "Réttur", IFERROR(_xlfn.SINGLE(_xlfn.XLOOKUP(G779, Réttabanki!A:A, Réttabanki!AS:AS, "")), ""), "")))</f>
        <v/>
      </c>
      <c r="M779" s="26" t="str">
        <f>IF(OR(F779 = "", G779 = ""), "", IF(F779 = "Vara", IFERROR(_xlfn.SINGLE(_xlfn.XLOOKUP(G779, Vöruskrá!A:A, Vöruskrá!F:F, "")), ""), IF(F779 = "Réttur", IFERROR(_xlfn.SINGLE(_xlfn.XLOOKUP(G779, Réttabanki!A:A, Réttabanki!AT:AT, "")), ""), "")))</f>
        <v/>
      </c>
      <c r="N779" s="26" t="str">
        <f>IF(OR(F779 = "", G779 = ""), "", IF(F779 = "Vara", IFERROR(_xlfn.SINGLE(_xlfn.XLOOKUP(G779, Vöruskrá!A:A, Vöruskrá!G:G, "")), ""), IF(F779 = "Réttur", IFERROR(_xlfn.SINGLE(_xlfn.XLOOKUP(G779, Réttabanki!A:A, Réttabanki!AU:AU, "")), ""), "")))</f>
        <v/>
      </c>
      <c r="O779" s="26" t="str">
        <f>IF(OR(F779 = "", G779 = "", I779 = ""), "", IF(F779 = "Vara", IFERROR(_xlfn.SINGLE(_xlfn.XLOOKUP(G779, Vöruskrá!A:A, Vöruskrá!I:I, "")) * I779 / 100, ""), IF(F779 = "Réttur", IFERROR(_xlfn.SINGLE(_xlfn.XLOOKUP(G779, Réttabanki!A:A, Réttabanki!AV:AV, "")) * I779 / 100, ""), "")))</f>
        <v/>
      </c>
      <c r="P779" s="26" t="str">
        <f>IF(OR(F779 = "", G779 = "", I779 = ""), "", IF(F779 = "Vara", IFERROR(_xlfn.SINGLE(_xlfn.XLOOKUP(G779, Vöruskrá!A:A, Vöruskrá!J:J, "")) * I779 / 100, ""), IF(F779 = "Réttur", IFERROR(_xlfn.SINGLE(_xlfn.XLOOKUP(G779, Réttabanki!A:A, Réttabanki!AW:AW, "")) * I779 / 100, ""), "")))</f>
        <v/>
      </c>
      <c r="Q779" s="26" t="str">
        <f>IF(OR(F779 = "", G779 = "", I779 = ""), "", IF(F779 = "Vara", IFERROR(_xlfn.SINGLE(_xlfn.XLOOKUP(G779, Vöruskrá!A:A, Vöruskrá!N:N, "")) * I779 / 100, ""), IF(F779 = "Réttur", IFERROR(_xlfn.SINGLE(_xlfn.XLOOKUP(G779, Réttabanki!A:A, Réttabanki!BB:BB, "")) * I779 / 100, ""), "")))</f>
        <v/>
      </c>
    </row>
    <row r="780" spans="2:17">
      <c r="B780" s="33" t="str">
        <f>IF(A780&lt;&gt;"",CHOOSE(WEEKDAY(A780,2),"Mánudagur","Þriðjudagur","Miðvikudagur","Fimmtudagur","Föstudagur","Laugardagur","Sunnudagur"),IF(B779&lt;&gt;"",B779,""))</f>
        <v>Fimmtudagur</v>
      </c>
      <c r="C780" s="33">
        <f>IF(A780&lt;&gt;"",WEEKNUM(A780,21),IF(C779&lt;&gt;"",C779,""))</f>
        <v>27</v>
      </c>
      <c r="D780" s="34"/>
      <c r="E780" s="34"/>
      <c r="F780" s="34"/>
      <c r="G780" s="34"/>
      <c r="H780" s="34"/>
      <c r="I780" s="35"/>
      <c r="J780" s="35"/>
      <c r="K780" s="36"/>
      <c r="L780" s="26" t="str">
        <f>IF(OR(F780 = "", G780 = ""), "", IF(F780 = "Vara", IFERROR(_xlfn.SINGLE(_xlfn.XLOOKUP(G780, Vöruskrá!A:A, Vöruskrá!E:E, "")), ""), IF(F780 = "Réttur", IFERROR(_xlfn.SINGLE(_xlfn.XLOOKUP(G780, Réttabanki!A:A, Réttabanki!AS:AS, "")), ""), "")))</f>
        <v/>
      </c>
      <c r="M780" s="26" t="str">
        <f>IF(OR(F780 = "", G780 = ""), "", IF(F780 = "Vara", IFERROR(_xlfn.SINGLE(_xlfn.XLOOKUP(G780, Vöruskrá!A:A, Vöruskrá!F:F, "")), ""), IF(F780 = "Réttur", IFERROR(_xlfn.SINGLE(_xlfn.XLOOKUP(G780, Réttabanki!A:A, Réttabanki!AT:AT, "")), ""), "")))</f>
        <v/>
      </c>
      <c r="N780" s="26" t="str">
        <f>IF(OR(F780 = "", G780 = ""), "", IF(F780 = "Vara", IFERROR(_xlfn.SINGLE(_xlfn.XLOOKUP(G780, Vöruskrá!A:A, Vöruskrá!G:G, "")), ""), IF(F780 = "Réttur", IFERROR(_xlfn.SINGLE(_xlfn.XLOOKUP(G780, Réttabanki!A:A, Réttabanki!AU:AU, "")), ""), "")))</f>
        <v/>
      </c>
      <c r="O780" s="26" t="str">
        <f>IF(OR(F780 = "", G780 = "", I780 = ""), "", IF(F780 = "Vara", IFERROR(_xlfn.SINGLE(_xlfn.XLOOKUP(G780, Vöruskrá!A:A, Vöruskrá!I:I, "")) * I780 / 100, ""), IF(F780 = "Réttur", IFERROR(_xlfn.SINGLE(_xlfn.XLOOKUP(G780, Réttabanki!A:A, Réttabanki!AV:AV, "")) * I780 / 100, ""), "")))</f>
        <v/>
      </c>
      <c r="P780" s="26" t="str">
        <f>IF(OR(F780 = "", G780 = "", I780 = ""), "", IF(F780 = "Vara", IFERROR(_xlfn.SINGLE(_xlfn.XLOOKUP(G780, Vöruskrá!A:A, Vöruskrá!J:J, "")) * I780 / 100, ""), IF(F780 = "Réttur", IFERROR(_xlfn.SINGLE(_xlfn.XLOOKUP(G780, Réttabanki!A:A, Réttabanki!AW:AW, "")) * I780 / 100, ""), "")))</f>
        <v/>
      </c>
      <c r="Q780" s="26" t="str">
        <f>IF(OR(F780 = "", G780 = "", I780 = ""), "", IF(F780 = "Vara", IFERROR(_xlfn.SINGLE(_xlfn.XLOOKUP(G780, Vöruskrá!A:A, Vöruskrá!N:N, "")) * I780 / 100, ""), IF(F780 = "Réttur", IFERROR(_xlfn.SINGLE(_xlfn.XLOOKUP(G780, Réttabanki!A:A, Réttabanki!BB:BB, "")) * I780 / 100, ""), "")))</f>
        <v/>
      </c>
    </row>
    <row r="781" spans="2:17">
      <c r="B781" s="33" t="str">
        <f>IF(A781&lt;&gt;"",CHOOSE(WEEKDAY(A781,2),"Mánudagur","Þriðjudagur","Miðvikudagur","Fimmtudagur","Föstudagur","Laugardagur","Sunnudagur"),IF(B780&lt;&gt;"",B780,""))</f>
        <v>Fimmtudagur</v>
      </c>
      <c r="C781" s="33">
        <f>IF(A781&lt;&gt;"",WEEKNUM(A781,21),IF(C780&lt;&gt;"",C780,""))</f>
        <v>27</v>
      </c>
      <c r="D781" s="34"/>
      <c r="E781" s="34"/>
      <c r="F781" s="34"/>
      <c r="G781" s="34"/>
      <c r="H781" s="34"/>
      <c r="I781" s="35"/>
      <c r="J781" s="35"/>
      <c r="K781" s="36"/>
      <c r="L781" s="26" t="str">
        <f>IF(OR(F781 = "", G781 = ""), "", IF(F781 = "Vara", IFERROR(_xlfn.SINGLE(_xlfn.XLOOKUP(G781, Vöruskrá!A:A, Vöruskrá!E:E, "")), ""), IF(F781 = "Réttur", IFERROR(_xlfn.SINGLE(_xlfn.XLOOKUP(G781, Réttabanki!A:A, Réttabanki!AS:AS, "")), ""), "")))</f>
        <v/>
      </c>
      <c r="M781" s="26" t="str">
        <f>IF(OR(F781 = "", G781 = ""), "", IF(F781 = "Vara", IFERROR(_xlfn.SINGLE(_xlfn.XLOOKUP(G781, Vöruskrá!A:A, Vöruskrá!F:F, "")), ""), IF(F781 = "Réttur", IFERROR(_xlfn.SINGLE(_xlfn.XLOOKUP(G781, Réttabanki!A:A, Réttabanki!AT:AT, "")), ""), "")))</f>
        <v/>
      </c>
      <c r="N781" s="26" t="str">
        <f>IF(OR(F781 = "", G781 = ""), "", IF(F781 = "Vara", IFERROR(_xlfn.SINGLE(_xlfn.XLOOKUP(G781, Vöruskrá!A:A, Vöruskrá!G:G, "")), ""), IF(F781 = "Réttur", IFERROR(_xlfn.SINGLE(_xlfn.XLOOKUP(G781, Réttabanki!A:A, Réttabanki!AU:AU, "")), ""), "")))</f>
        <v/>
      </c>
      <c r="O781" s="26" t="str">
        <f>IF(OR(F781 = "", G781 = "", I781 = ""), "", IF(F781 = "Vara", IFERROR(_xlfn.SINGLE(_xlfn.XLOOKUP(G781, Vöruskrá!A:A, Vöruskrá!I:I, "")) * I781 / 100, ""), IF(F781 = "Réttur", IFERROR(_xlfn.SINGLE(_xlfn.XLOOKUP(G781, Réttabanki!A:A, Réttabanki!AV:AV, "")) * I781 / 100, ""), "")))</f>
        <v/>
      </c>
      <c r="P781" s="26" t="str">
        <f>IF(OR(F781 = "", G781 = "", I781 = ""), "", IF(F781 = "Vara", IFERROR(_xlfn.SINGLE(_xlfn.XLOOKUP(G781, Vöruskrá!A:A, Vöruskrá!J:J, "")) * I781 / 100, ""), IF(F781 = "Réttur", IFERROR(_xlfn.SINGLE(_xlfn.XLOOKUP(G781, Réttabanki!A:A, Réttabanki!AW:AW, "")) * I781 / 100, ""), "")))</f>
        <v/>
      </c>
      <c r="Q781" s="26" t="str">
        <f>IF(OR(F781 = "", G781 = "", I781 = ""), "", IF(F781 = "Vara", IFERROR(_xlfn.SINGLE(_xlfn.XLOOKUP(G781, Vöruskrá!A:A, Vöruskrá!N:N, "")) * I781 / 100, ""), IF(F781 = "Réttur", IFERROR(_xlfn.SINGLE(_xlfn.XLOOKUP(G781, Réttabanki!A:A, Réttabanki!BB:BB, "")) * I781 / 100, ""), "")))</f>
        <v/>
      </c>
    </row>
    <row r="782" spans="2:17">
      <c r="B782" s="33" t="str">
        <f>IF(A782&lt;&gt;"",CHOOSE(WEEKDAY(A782,2),"Mánudagur","Þriðjudagur","Miðvikudagur","Fimmtudagur","Föstudagur","Laugardagur","Sunnudagur"),IF(B781&lt;&gt;"",B781,""))</f>
        <v>Fimmtudagur</v>
      </c>
      <c r="C782" s="33">
        <f>IF(A782&lt;&gt;"",WEEKNUM(A782,21),IF(C781&lt;&gt;"",C781,""))</f>
        <v>27</v>
      </c>
      <c r="D782" s="34"/>
      <c r="E782" s="34"/>
      <c r="F782" s="34"/>
      <c r="G782" s="34"/>
      <c r="H782" s="34"/>
      <c r="I782" s="35"/>
      <c r="J782" s="35"/>
      <c r="K782" s="36"/>
      <c r="L782" s="26" t="str">
        <f>IF(OR(F782 = "", G782 = ""), "", IF(F782 = "Vara", IFERROR(_xlfn.SINGLE(_xlfn.XLOOKUP(G782, Vöruskrá!A:A, Vöruskrá!E:E, "")), ""), IF(F782 = "Réttur", IFERROR(_xlfn.SINGLE(_xlfn.XLOOKUP(G782, Réttabanki!A:A, Réttabanki!AS:AS, "")), ""), "")))</f>
        <v/>
      </c>
      <c r="M782" s="26" t="str">
        <f>IF(OR(F782 = "", G782 = ""), "", IF(F782 = "Vara", IFERROR(_xlfn.SINGLE(_xlfn.XLOOKUP(G782, Vöruskrá!A:A, Vöruskrá!F:F, "")), ""), IF(F782 = "Réttur", IFERROR(_xlfn.SINGLE(_xlfn.XLOOKUP(G782, Réttabanki!A:A, Réttabanki!AT:AT, "")), ""), "")))</f>
        <v/>
      </c>
      <c r="N782" s="26" t="str">
        <f>IF(OR(F782 = "", G782 = ""), "", IF(F782 = "Vara", IFERROR(_xlfn.SINGLE(_xlfn.XLOOKUP(G782, Vöruskrá!A:A, Vöruskrá!G:G, "")), ""), IF(F782 = "Réttur", IFERROR(_xlfn.SINGLE(_xlfn.XLOOKUP(G782, Réttabanki!A:A, Réttabanki!AU:AU, "")), ""), "")))</f>
        <v/>
      </c>
      <c r="O782" s="26" t="str">
        <f>IF(OR(F782 = "", G782 = "", I782 = ""), "", IF(F782 = "Vara", IFERROR(_xlfn.SINGLE(_xlfn.XLOOKUP(G782, Vöruskrá!A:A, Vöruskrá!I:I, "")) * I782 / 100, ""), IF(F782 = "Réttur", IFERROR(_xlfn.SINGLE(_xlfn.XLOOKUP(G782, Réttabanki!A:A, Réttabanki!AV:AV, "")) * I782 / 100, ""), "")))</f>
        <v/>
      </c>
      <c r="P782" s="26" t="str">
        <f>IF(OR(F782 = "", G782 = "", I782 = ""), "", IF(F782 = "Vara", IFERROR(_xlfn.SINGLE(_xlfn.XLOOKUP(G782, Vöruskrá!A:A, Vöruskrá!J:J, "")) * I782 / 100, ""), IF(F782 = "Réttur", IFERROR(_xlfn.SINGLE(_xlfn.XLOOKUP(G782, Réttabanki!A:A, Réttabanki!AW:AW, "")) * I782 / 100, ""), "")))</f>
        <v/>
      </c>
      <c r="Q782" s="26" t="str">
        <f>IF(OR(F782 = "", G782 = "", I782 = ""), "", IF(F782 = "Vara", IFERROR(_xlfn.SINGLE(_xlfn.XLOOKUP(G782, Vöruskrá!A:A, Vöruskrá!N:N, "")) * I782 / 100, ""), IF(F782 = "Réttur", IFERROR(_xlfn.SINGLE(_xlfn.XLOOKUP(G782, Réttabanki!A:A, Réttabanki!BB:BB, "")) * I782 / 100, ""), "")))</f>
        <v/>
      </c>
    </row>
    <row r="783" spans="2:17">
      <c r="B783" s="33" t="str">
        <f>IF(A783&lt;&gt;"",CHOOSE(WEEKDAY(A783,2),"Mánudagur","Þriðjudagur","Miðvikudagur","Fimmtudagur","Föstudagur","Laugardagur","Sunnudagur"),IF(B782&lt;&gt;"",B782,""))</f>
        <v>Fimmtudagur</v>
      </c>
      <c r="C783" s="33">
        <f>IF(A783&lt;&gt;"",WEEKNUM(A783,21),IF(C782&lt;&gt;"",C782,""))</f>
        <v>27</v>
      </c>
      <c r="D783" s="34"/>
      <c r="E783" s="34"/>
      <c r="F783" s="34"/>
      <c r="G783" s="34"/>
      <c r="H783" s="34"/>
      <c r="I783" s="35"/>
      <c r="J783" s="35"/>
      <c r="K783" s="36"/>
      <c r="L783" s="26" t="str">
        <f>IF(OR(F783 = "", G783 = ""), "", IF(F783 = "Vara", IFERROR(_xlfn.SINGLE(_xlfn.XLOOKUP(G783, Vöruskrá!A:A, Vöruskrá!E:E, "")), ""), IF(F783 = "Réttur", IFERROR(_xlfn.SINGLE(_xlfn.XLOOKUP(G783, Réttabanki!A:A, Réttabanki!AS:AS, "")), ""), "")))</f>
        <v/>
      </c>
      <c r="M783" s="26" t="str">
        <f>IF(OR(F783 = "", G783 = ""), "", IF(F783 = "Vara", IFERROR(_xlfn.SINGLE(_xlfn.XLOOKUP(G783, Vöruskrá!A:A, Vöruskrá!F:F, "")), ""), IF(F783 = "Réttur", IFERROR(_xlfn.SINGLE(_xlfn.XLOOKUP(G783, Réttabanki!A:A, Réttabanki!AT:AT, "")), ""), "")))</f>
        <v/>
      </c>
      <c r="N783" s="26" t="str">
        <f>IF(OR(F783 = "", G783 = ""), "", IF(F783 = "Vara", IFERROR(_xlfn.SINGLE(_xlfn.XLOOKUP(G783, Vöruskrá!A:A, Vöruskrá!G:G, "")), ""), IF(F783 = "Réttur", IFERROR(_xlfn.SINGLE(_xlfn.XLOOKUP(G783, Réttabanki!A:A, Réttabanki!AU:AU, "")), ""), "")))</f>
        <v/>
      </c>
      <c r="O783" s="26" t="str">
        <f>IF(OR(F783 = "", G783 = "", I783 = ""), "", IF(F783 = "Vara", IFERROR(_xlfn.SINGLE(_xlfn.XLOOKUP(G783, Vöruskrá!A:A, Vöruskrá!I:I, "")) * I783 / 100, ""), IF(F783 = "Réttur", IFERROR(_xlfn.SINGLE(_xlfn.XLOOKUP(G783, Réttabanki!A:A, Réttabanki!AV:AV, "")) * I783 / 100, ""), "")))</f>
        <v/>
      </c>
      <c r="P783" s="26" t="str">
        <f>IF(OR(F783 = "", G783 = "", I783 = ""), "", IF(F783 = "Vara", IFERROR(_xlfn.SINGLE(_xlfn.XLOOKUP(G783, Vöruskrá!A:A, Vöruskrá!J:J, "")) * I783 / 100, ""), IF(F783 = "Réttur", IFERROR(_xlfn.SINGLE(_xlfn.XLOOKUP(G783, Réttabanki!A:A, Réttabanki!AW:AW, "")) * I783 / 100, ""), "")))</f>
        <v/>
      </c>
      <c r="Q783" s="26" t="str">
        <f>IF(OR(F783 = "", G783 = "", I783 = ""), "", IF(F783 = "Vara", IFERROR(_xlfn.SINGLE(_xlfn.XLOOKUP(G783, Vöruskrá!A:A, Vöruskrá!N:N, "")) * I783 / 100, ""), IF(F783 = "Réttur", IFERROR(_xlfn.SINGLE(_xlfn.XLOOKUP(G783, Réttabanki!A:A, Réttabanki!BB:BB, "")) * I783 / 100, ""), "")))</f>
        <v/>
      </c>
    </row>
    <row r="784" spans="2:17">
      <c r="B784" s="33" t="str">
        <f>IF(A784&lt;&gt;"",CHOOSE(WEEKDAY(A784,2),"Mánudagur","Þriðjudagur","Miðvikudagur","Fimmtudagur","Föstudagur","Laugardagur","Sunnudagur"),IF(B783&lt;&gt;"",B783,""))</f>
        <v>Fimmtudagur</v>
      </c>
      <c r="C784" s="33">
        <f>IF(A784&lt;&gt;"",WEEKNUM(A784,21),IF(C783&lt;&gt;"",C783,""))</f>
        <v>27</v>
      </c>
      <c r="D784" s="34"/>
      <c r="E784" s="34"/>
      <c r="F784" s="34"/>
      <c r="G784" s="34"/>
      <c r="H784" s="34"/>
      <c r="I784" s="35"/>
      <c r="J784" s="35"/>
      <c r="K784" s="36"/>
      <c r="L784" s="26" t="str">
        <f>IF(OR(F784 = "", G784 = ""), "", IF(F784 = "Vara", IFERROR(_xlfn.SINGLE(_xlfn.XLOOKUP(G784, Vöruskrá!A:A, Vöruskrá!E:E, "")), ""), IF(F784 = "Réttur", IFERROR(_xlfn.SINGLE(_xlfn.XLOOKUP(G784, Réttabanki!A:A, Réttabanki!AS:AS, "")), ""), "")))</f>
        <v/>
      </c>
      <c r="M784" s="26" t="str">
        <f>IF(OR(F784 = "", G784 = ""), "", IF(F784 = "Vara", IFERROR(_xlfn.SINGLE(_xlfn.XLOOKUP(G784, Vöruskrá!A:A, Vöruskrá!F:F, "")), ""), IF(F784 = "Réttur", IFERROR(_xlfn.SINGLE(_xlfn.XLOOKUP(G784, Réttabanki!A:A, Réttabanki!AT:AT, "")), ""), "")))</f>
        <v/>
      </c>
      <c r="N784" s="26" t="str">
        <f>IF(OR(F784 = "", G784 = ""), "", IF(F784 = "Vara", IFERROR(_xlfn.SINGLE(_xlfn.XLOOKUP(G784, Vöruskrá!A:A, Vöruskrá!G:G, "")), ""), IF(F784 = "Réttur", IFERROR(_xlfn.SINGLE(_xlfn.XLOOKUP(G784, Réttabanki!A:A, Réttabanki!AU:AU, "")), ""), "")))</f>
        <v/>
      </c>
      <c r="O784" s="26" t="str">
        <f>IF(OR(F784 = "", G784 = "", I784 = ""), "", IF(F784 = "Vara", IFERROR(_xlfn.SINGLE(_xlfn.XLOOKUP(G784, Vöruskrá!A:A, Vöruskrá!I:I, "")) * I784 / 100, ""), IF(F784 = "Réttur", IFERROR(_xlfn.SINGLE(_xlfn.XLOOKUP(G784, Réttabanki!A:A, Réttabanki!AV:AV, "")) * I784 / 100, ""), "")))</f>
        <v/>
      </c>
      <c r="P784" s="26" t="str">
        <f>IF(OR(F784 = "", G784 = "", I784 = ""), "", IF(F784 = "Vara", IFERROR(_xlfn.SINGLE(_xlfn.XLOOKUP(G784, Vöruskrá!A:A, Vöruskrá!J:J, "")) * I784 / 100, ""), IF(F784 = "Réttur", IFERROR(_xlfn.SINGLE(_xlfn.XLOOKUP(G784, Réttabanki!A:A, Réttabanki!AW:AW, "")) * I784 / 100, ""), "")))</f>
        <v/>
      </c>
      <c r="Q784" s="26" t="str">
        <f>IF(OR(F784 = "", G784 = "", I784 = ""), "", IF(F784 = "Vara", IFERROR(_xlfn.SINGLE(_xlfn.XLOOKUP(G784, Vöruskrá!A:A, Vöruskrá!N:N, "")) * I784 / 100, ""), IF(F784 = "Réttur", IFERROR(_xlfn.SINGLE(_xlfn.XLOOKUP(G784, Réttabanki!A:A, Réttabanki!BB:BB, "")) * I784 / 100, ""), "")))</f>
        <v/>
      </c>
    </row>
    <row r="785" spans="2:17">
      <c r="B785" s="33" t="str">
        <f>IF(A785&lt;&gt;"",CHOOSE(WEEKDAY(A785,2),"Mánudagur","Þriðjudagur","Miðvikudagur","Fimmtudagur","Föstudagur","Laugardagur","Sunnudagur"),IF(B784&lt;&gt;"",B784,""))</f>
        <v>Fimmtudagur</v>
      </c>
      <c r="C785" s="33">
        <f>IF(A785&lt;&gt;"",WEEKNUM(A785,21),IF(C784&lt;&gt;"",C784,""))</f>
        <v>27</v>
      </c>
      <c r="D785" s="34"/>
      <c r="E785" s="34"/>
      <c r="F785" s="34"/>
      <c r="G785" s="34"/>
      <c r="H785" s="34"/>
      <c r="I785" s="35"/>
      <c r="J785" s="35"/>
      <c r="K785" s="36"/>
      <c r="L785" s="26" t="str">
        <f>IF(OR(F785 = "", G785 = ""), "", IF(F785 = "Vara", IFERROR(_xlfn.SINGLE(_xlfn.XLOOKUP(G785, Vöruskrá!A:A, Vöruskrá!E:E, "")), ""), IF(F785 = "Réttur", IFERROR(_xlfn.SINGLE(_xlfn.XLOOKUP(G785, Réttabanki!A:A, Réttabanki!AS:AS, "")), ""), "")))</f>
        <v/>
      </c>
      <c r="M785" s="26" t="str">
        <f>IF(OR(F785 = "", G785 = ""), "", IF(F785 = "Vara", IFERROR(_xlfn.SINGLE(_xlfn.XLOOKUP(G785, Vöruskrá!A:A, Vöruskrá!F:F, "")), ""), IF(F785 = "Réttur", IFERROR(_xlfn.SINGLE(_xlfn.XLOOKUP(G785, Réttabanki!A:A, Réttabanki!AT:AT, "")), ""), "")))</f>
        <v/>
      </c>
      <c r="N785" s="26" t="str">
        <f>IF(OR(F785 = "", G785 = ""), "", IF(F785 = "Vara", IFERROR(_xlfn.SINGLE(_xlfn.XLOOKUP(G785, Vöruskrá!A:A, Vöruskrá!G:G, "")), ""), IF(F785 = "Réttur", IFERROR(_xlfn.SINGLE(_xlfn.XLOOKUP(G785, Réttabanki!A:A, Réttabanki!AU:AU, "")), ""), "")))</f>
        <v/>
      </c>
      <c r="O785" s="26" t="str">
        <f>IF(OR(F785 = "", G785 = "", I785 = ""), "", IF(F785 = "Vara", IFERROR(_xlfn.SINGLE(_xlfn.XLOOKUP(G785, Vöruskrá!A:A, Vöruskrá!I:I, "")) * I785 / 100, ""), IF(F785 = "Réttur", IFERROR(_xlfn.SINGLE(_xlfn.XLOOKUP(G785, Réttabanki!A:A, Réttabanki!AV:AV, "")) * I785 / 100, ""), "")))</f>
        <v/>
      </c>
      <c r="P785" s="26" t="str">
        <f>IF(OR(F785 = "", G785 = "", I785 = ""), "", IF(F785 = "Vara", IFERROR(_xlfn.SINGLE(_xlfn.XLOOKUP(G785, Vöruskrá!A:A, Vöruskrá!J:J, "")) * I785 / 100, ""), IF(F785 = "Réttur", IFERROR(_xlfn.SINGLE(_xlfn.XLOOKUP(G785, Réttabanki!A:A, Réttabanki!AW:AW, "")) * I785 / 100, ""), "")))</f>
        <v/>
      </c>
      <c r="Q785" s="26" t="str">
        <f>IF(OR(F785 = "", G785 = "", I785 = ""), "", IF(F785 = "Vara", IFERROR(_xlfn.SINGLE(_xlfn.XLOOKUP(G785, Vöruskrá!A:A, Vöruskrá!N:N, "")) * I785 / 100, ""), IF(F785 = "Réttur", IFERROR(_xlfn.SINGLE(_xlfn.XLOOKUP(G785, Réttabanki!A:A, Réttabanki!BB:BB, "")) * I785 / 100, ""), "")))</f>
        <v/>
      </c>
    </row>
    <row r="786" spans="2:17">
      <c r="B786" s="33" t="str">
        <f>IF(A786&lt;&gt;"",CHOOSE(WEEKDAY(A786,2),"Mánudagur","Þriðjudagur","Miðvikudagur","Fimmtudagur","Föstudagur","Laugardagur","Sunnudagur"),IF(B785&lt;&gt;"",B785,""))</f>
        <v>Fimmtudagur</v>
      </c>
      <c r="C786" s="33">
        <f>IF(A786&lt;&gt;"",WEEKNUM(A786,21),IF(C785&lt;&gt;"",C785,""))</f>
        <v>27</v>
      </c>
      <c r="D786" s="34"/>
      <c r="E786" s="34"/>
      <c r="F786" s="34"/>
      <c r="G786" s="34"/>
      <c r="H786" s="34"/>
      <c r="I786" s="35"/>
      <c r="J786" s="35"/>
      <c r="K786" s="36"/>
      <c r="L786" s="26" t="str">
        <f>IF(OR(F786 = "", G786 = ""), "", IF(F786 = "Vara", IFERROR(_xlfn.SINGLE(_xlfn.XLOOKUP(G786, Vöruskrá!A:A, Vöruskrá!E:E, "")), ""), IF(F786 = "Réttur", IFERROR(_xlfn.SINGLE(_xlfn.XLOOKUP(G786, Réttabanki!A:A, Réttabanki!AS:AS, "")), ""), "")))</f>
        <v/>
      </c>
      <c r="M786" s="26" t="str">
        <f>IF(OR(F786 = "", G786 = ""), "", IF(F786 = "Vara", IFERROR(_xlfn.SINGLE(_xlfn.XLOOKUP(G786, Vöruskrá!A:A, Vöruskrá!F:F, "")), ""), IF(F786 = "Réttur", IFERROR(_xlfn.SINGLE(_xlfn.XLOOKUP(G786, Réttabanki!A:A, Réttabanki!AT:AT, "")), ""), "")))</f>
        <v/>
      </c>
      <c r="N786" s="26" t="str">
        <f>IF(OR(F786 = "", G786 = ""), "", IF(F786 = "Vara", IFERROR(_xlfn.SINGLE(_xlfn.XLOOKUP(G786, Vöruskrá!A:A, Vöruskrá!G:G, "")), ""), IF(F786 = "Réttur", IFERROR(_xlfn.SINGLE(_xlfn.XLOOKUP(G786, Réttabanki!A:A, Réttabanki!AU:AU, "")), ""), "")))</f>
        <v/>
      </c>
      <c r="O786" s="26" t="str">
        <f>IF(OR(F786 = "", G786 = "", I786 = ""), "", IF(F786 = "Vara", IFERROR(_xlfn.SINGLE(_xlfn.XLOOKUP(G786, Vöruskrá!A:A, Vöruskrá!I:I, "")) * I786 / 100, ""), IF(F786 = "Réttur", IFERROR(_xlfn.SINGLE(_xlfn.XLOOKUP(G786, Réttabanki!A:A, Réttabanki!AV:AV, "")) * I786 / 100, ""), "")))</f>
        <v/>
      </c>
      <c r="P786" s="26" t="str">
        <f>IF(OR(F786 = "", G786 = "", I786 = ""), "", IF(F786 = "Vara", IFERROR(_xlfn.SINGLE(_xlfn.XLOOKUP(G786, Vöruskrá!A:A, Vöruskrá!J:J, "")) * I786 / 100, ""), IF(F786 = "Réttur", IFERROR(_xlfn.SINGLE(_xlfn.XLOOKUP(G786, Réttabanki!A:A, Réttabanki!AW:AW, "")) * I786 / 100, ""), "")))</f>
        <v/>
      </c>
      <c r="Q786" s="26" t="str">
        <f>IF(OR(F786 = "", G786 = "", I786 = ""), "", IF(F786 = "Vara", IFERROR(_xlfn.SINGLE(_xlfn.XLOOKUP(G786, Vöruskrá!A:A, Vöruskrá!N:N, "")) * I786 / 100, ""), IF(F786 = "Réttur", IFERROR(_xlfn.SINGLE(_xlfn.XLOOKUP(G786, Réttabanki!A:A, Réttabanki!BB:BB, "")) * I786 / 100, ""), "")))</f>
        <v/>
      </c>
    </row>
    <row r="787" spans="2:17">
      <c r="B787" s="33" t="str">
        <f>IF(A787&lt;&gt;"",CHOOSE(WEEKDAY(A787,2),"Mánudagur","Þriðjudagur","Miðvikudagur","Fimmtudagur","Föstudagur","Laugardagur","Sunnudagur"),IF(B786&lt;&gt;"",B786,""))</f>
        <v>Fimmtudagur</v>
      </c>
      <c r="C787" s="33">
        <f>IF(A787&lt;&gt;"",WEEKNUM(A787,21),IF(C786&lt;&gt;"",C786,""))</f>
        <v>27</v>
      </c>
      <c r="D787" s="34"/>
      <c r="E787" s="34"/>
      <c r="F787" s="34"/>
      <c r="G787" s="34"/>
      <c r="H787" s="34"/>
      <c r="I787" s="35"/>
      <c r="J787" s="35"/>
      <c r="K787" s="36"/>
      <c r="L787" s="26" t="str">
        <f>IF(OR(F787 = "", G787 = ""), "", IF(F787 = "Vara", IFERROR(_xlfn.SINGLE(_xlfn.XLOOKUP(G787, Vöruskrá!A:A, Vöruskrá!E:E, "")), ""), IF(F787 = "Réttur", IFERROR(_xlfn.SINGLE(_xlfn.XLOOKUP(G787, Réttabanki!A:A, Réttabanki!AS:AS, "")), ""), "")))</f>
        <v/>
      </c>
      <c r="M787" s="26" t="str">
        <f>IF(OR(F787 = "", G787 = ""), "", IF(F787 = "Vara", IFERROR(_xlfn.SINGLE(_xlfn.XLOOKUP(G787, Vöruskrá!A:A, Vöruskrá!F:F, "")), ""), IF(F787 = "Réttur", IFERROR(_xlfn.SINGLE(_xlfn.XLOOKUP(G787, Réttabanki!A:A, Réttabanki!AT:AT, "")), ""), "")))</f>
        <v/>
      </c>
      <c r="N787" s="26" t="str">
        <f>IF(OR(F787 = "", G787 = ""), "", IF(F787 = "Vara", IFERROR(_xlfn.SINGLE(_xlfn.XLOOKUP(G787, Vöruskrá!A:A, Vöruskrá!G:G, "")), ""), IF(F787 = "Réttur", IFERROR(_xlfn.SINGLE(_xlfn.XLOOKUP(G787, Réttabanki!A:A, Réttabanki!AU:AU, "")), ""), "")))</f>
        <v/>
      </c>
      <c r="O787" s="26" t="str">
        <f>IF(OR(F787 = "", G787 = "", I787 = ""), "", IF(F787 = "Vara", IFERROR(_xlfn.SINGLE(_xlfn.XLOOKUP(G787, Vöruskrá!A:A, Vöruskrá!I:I, "")) * I787 / 100, ""), IF(F787 = "Réttur", IFERROR(_xlfn.SINGLE(_xlfn.XLOOKUP(G787, Réttabanki!A:A, Réttabanki!AV:AV, "")) * I787 / 100, ""), "")))</f>
        <v/>
      </c>
      <c r="P787" s="26" t="str">
        <f>IF(OR(F787 = "", G787 = "", I787 = ""), "", IF(F787 = "Vara", IFERROR(_xlfn.SINGLE(_xlfn.XLOOKUP(G787, Vöruskrá!A:A, Vöruskrá!J:J, "")) * I787 / 100, ""), IF(F787 = "Réttur", IFERROR(_xlfn.SINGLE(_xlfn.XLOOKUP(G787, Réttabanki!A:A, Réttabanki!AW:AW, "")) * I787 / 100, ""), "")))</f>
        <v/>
      </c>
      <c r="Q787" s="26" t="str">
        <f>IF(OR(F787 = "", G787 = "", I787 = ""), "", IF(F787 = "Vara", IFERROR(_xlfn.SINGLE(_xlfn.XLOOKUP(G787, Vöruskrá!A:A, Vöruskrá!N:N, "")) * I787 / 100, ""), IF(F787 = "Réttur", IFERROR(_xlfn.SINGLE(_xlfn.XLOOKUP(G787, Réttabanki!A:A, Réttabanki!BB:BB, "")) * I787 / 100, ""), "")))</f>
        <v/>
      </c>
    </row>
    <row r="788" spans="2:17">
      <c r="B788" s="33" t="str">
        <f>IF(A788&lt;&gt;"",CHOOSE(WEEKDAY(A788,2),"Mánudagur","Þriðjudagur","Miðvikudagur","Fimmtudagur","Föstudagur","Laugardagur","Sunnudagur"),IF(B787&lt;&gt;"",B787,""))</f>
        <v>Fimmtudagur</v>
      </c>
      <c r="C788" s="33">
        <f>IF(A788&lt;&gt;"",WEEKNUM(A788,21),IF(C787&lt;&gt;"",C787,""))</f>
        <v>27</v>
      </c>
      <c r="D788" s="34"/>
      <c r="E788" s="34"/>
      <c r="F788" s="34"/>
      <c r="G788" s="34"/>
      <c r="H788" s="34"/>
      <c r="I788" s="35"/>
      <c r="J788" s="35"/>
      <c r="K788" s="36"/>
      <c r="L788" s="26" t="str">
        <f>IF(OR(F788 = "", G788 = ""), "", IF(F788 = "Vara", IFERROR(_xlfn.SINGLE(_xlfn.XLOOKUP(G788, Vöruskrá!A:A, Vöruskrá!E:E, "")), ""), IF(F788 = "Réttur", IFERROR(_xlfn.SINGLE(_xlfn.XLOOKUP(G788, Réttabanki!A:A, Réttabanki!AS:AS, "")), ""), "")))</f>
        <v/>
      </c>
      <c r="M788" s="26" t="str">
        <f>IF(OR(F788 = "", G788 = ""), "", IF(F788 = "Vara", IFERROR(_xlfn.SINGLE(_xlfn.XLOOKUP(G788, Vöruskrá!A:A, Vöruskrá!F:F, "")), ""), IF(F788 = "Réttur", IFERROR(_xlfn.SINGLE(_xlfn.XLOOKUP(G788, Réttabanki!A:A, Réttabanki!AT:AT, "")), ""), "")))</f>
        <v/>
      </c>
      <c r="N788" s="26" t="str">
        <f>IF(OR(F788 = "", G788 = ""), "", IF(F788 = "Vara", IFERROR(_xlfn.SINGLE(_xlfn.XLOOKUP(G788, Vöruskrá!A:A, Vöruskrá!G:G, "")), ""), IF(F788 = "Réttur", IFERROR(_xlfn.SINGLE(_xlfn.XLOOKUP(G788, Réttabanki!A:A, Réttabanki!AU:AU, "")), ""), "")))</f>
        <v/>
      </c>
      <c r="O788" s="26" t="str">
        <f>IF(OR(F788 = "", G788 = "", I788 = ""), "", IF(F788 = "Vara", IFERROR(_xlfn.SINGLE(_xlfn.XLOOKUP(G788, Vöruskrá!A:A, Vöruskrá!I:I, "")) * I788 / 100, ""), IF(F788 = "Réttur", IFERROR(_xlfn.SINGLE(_xlfn.XLOOKUP(G788, Réttabanki!A:A, Réttabanki!AV:AV, "")) * I788 / 100, ""), "")))</f>
        <v/>
      </c>
      <c r="P788" s="26" t="str">
        <f>IF(OR(F788 = "", G788 = "", I788 = ""), "", IF(F788 = "Vara", IFERROR(_xlfn.SINGLE(_xlfn.XLOOKUP(G788, Vöruskrá!A:A, Vöruskrá!J:J, "")) * I788 / 100, ""), IF(F788 = "Réttur", IFERROR(_xlfn.SINGLE(_xlfn.XLOOKUP(G788, Réttabanki!A:A, Réttabanki!AW:AW, "")) * I788 / 100, ""), "")))</f>
        <v/>
      </c>
      <c r="Q788" s="26" t="str">
        <f>IF(OR(F788 = "", G788 = "", I788 = ""), "", IF(F788 = "Vara", IFERROR(_xlfn.SINGLE(_xlfn.XLOOKUP(G788, Vöruskrá!A:A, Vöruskrá!N:N, "")) * I788 / 100, ""), IF(F788 = "Réttur", IFERROR(_xlfn.SINGLE(_xlfn.XLOOKUP(G788, Réttabanki!A:A, Réttabanki!BB:BB, "")) * I788 / 100, ""), "")))</f>
        <v/>
      </c>
    </row>
    <row r="789" spans="2:17">
      <c r="B789" s="33" t="str">
        <f>IF(A789&lt;&gt;"",CHOOSE(WEEKDAY(A789,2),"Mánudagur","Þriðjudagur","Miðvikudagur","Fimmtudagur","Föstudagur","Laugardagur","Sunnudagur"),IF(B788&lt;&gt;"",B788,""))</f>
        <v>Fimmtudagur</v>
      </c>
      <c r="C789" s="33">
        <f>IF(A789&lt;&gt;"",WEEKNUM(A789,21),IF(C788&lt;&gt;"",C788,""))</f>
        <v>27</v>
      </c>
      <c r="D789" s="34"/>
      <c r="E789" s="34"/>
      <c r="F789" s="34"/>
      <c r="G789" s="34"/>
      <c r="H789" s="34"/>
      <c r="I789" s="35"/>
      <c r="J789" s="35"/>
      <c r="K789" s="36"/>
      <c r="L789" s="26" t="str">
        <f>IF(OR(F789 = "", G789 = ""), "", IF(F789 = "Vara", IFERROR(_xlfn.SINGLE(_xlfn.XLOOKUP(G789, Vöruskrá!A:A, Vöruskrá!E:E, "")), ""), IF(F789 = "Réttur", IFERROR(_xlfn.SINGLE(_xlfn.XLOOKUP(G789, Réttabanki!A:A, Réttabanki!AS:AS, "")), ""), "")))</f>
        <v/>
      </c>
      <c r="M789" s="26" t="str">
        <f>IF(OR(F789 = "", G789 = ""), "", IF(F789 = "Vara", IFERROR(_xlfn.SINGLE(_xlfn.XLOOKUP(G789, Vöruskrá!A:A, Vöruskrá!F:F, "")), ""), IF(F789 = "Réttur", IFERROR(_xlfn.SINGLE(_xlfn.XLOOKUP(G789, Réttabanki!A:A, Réttabanki!AT:AT, "")), ""), "")))</f>
        <v/>
      </c>
      <c r="N789" s="26" t="str">
        <f>IF(OR(F789 = "", G789 = ""), "", IF(F789 = "Vara", IFERROR(_xlfn.SINGLE(_xlfn.XLOOKUP(G789, Vöruskrá!A:A, Vöruskrá!G:G, "")), ""), IF(F789 = "Réttur", IFERROR(_xlfn.SINGLE(_xlfn.XLOOKUP(G789, Réttabanki!A:A, Réttabanki!AU:AU, "")), ""), "")))</f>
        <v/>
      </c>
      <c r="O789" s="26" t="str">
        <f>IF(OR(F789 = "", G789 = "", I789 = ""), "", IF(F789 = "Vara", IFERROR(_xlfn.SINGLE(_xlfn.XLOOKUP(G789, Vöruskrá!A:A, Vöruskrá!I:I, "")) * I789 / 100, ""), IF(F789 = "Réttur", IFERROR(_xlfn.SINGLE(_xlfn.XLOOKUP(G789, Réttabanki!A:A, Réttabanki!AV:AV, "")) * I789 / 100, ""), "")))</f>
        <v/>
      </c>
      <c r="P789" s="26" t="str">
        <f>IF(OR(F789 = "", G789 = "", I789 = ""), "", IF(F789 = "Vara", IFERROR(_xlfn.SINGLE(_xlfn.XLOOKUP(G789, Vöruskrá!A:A, Vöruskrá!J:J, "")) * I789 / 100, ""), IF(F789 = "Réttur", IFERROR(_xlfn.SINGLE(_xlfn.XLOOKUP(G789, Réttabanki!A:A, Réttabanki!AW:AW, "")) * I789 / 100, ""), "")))</f>
        <v/>
      </c>
      <c r="Q789" s="26" t="str">
        <f>IF(OR(F789 = "", G789 = "", I789 = ""), "", IF(F789 = "Vara", IFERROR(_xlfn.SINGLE(_xlfn.XLOOKUP(G789, Vöruskrá!A:A, Vöruskrá!N:N, "")) * I789 / 100, ""), IF(F789 = "Réttur", IFERROR(_xlfn.SINGLE(_xlfn.XLOOKUP(G789, Réttabanki!A:A, Réttabanki!BB:BB, "")) * I789 / 100, ""), "")))</f>
        <v/>
      </c>
    </row>
    <row r="790" spans="2:17">
      <c r="B790" s="33" t="str">
        <f>IF(A790&lt;&gt;"",CHOOSE(WEEKDAY(A790,2),"Mánudagur","Þriðjudagur","Miðvikudagur","Fimmtudagur","Föstudagur","Laugardagur","Sunnudagur"),IF(B789&lt;&gt;"",B789,""))</f>
        <v>Fimmtudagur</v>
      </c>
      <c r="C790" s="33">
        <f>IF(A790&lt;&gt;"",WEEKNUM(A790,21),IF(C789&lt;&gt;"",C789,""))</f>
        <v>27</v>
      </c>
      <c r="D790" s="34"/>
      <c r="E790" s="34"/>
      <c r="F790" s="34"/>
      <c r="G790" s="34"/>
      <c r="H790" s="34"/>
      <c r="I790" s="35"/>
      <c r="J790" s="35"/>
      <c r="K790" s="36"/>
      <c r="L790" s="26" t="str">
        <f>IF(OR(F790 = "", G790 = ""), "", IF(F790 = "Vara", IFERROR(_xlfn.SINGLE(_xlfn.XLOOKUP(G790, Vöruskrá!A:A, Vöruskrá!E:E, "")), ""), IF(F790 = "Réttur", IFERROR(_xlfn.SINGLE(_xlfn.XLOOKUP(G790, Réttabanki!A:A, Réttabanki!AS:AS, "")), ""), "")))</f>
        <v/>
      </c>
      <c r="M790" s="26" t="str">
        <f>IF(OR(F790 = "", G790 = ""), "", IF(F790 = "Vara", IFERROR(_xlfn.SINGLE(_xlfn.XLOOKUP(G790, Vöruskrá!A:A, Vöruskrá!F:F, "")), ""), IF(F790 = "Réttur", IFERROR(_xlfn.SINGLE(_xlfn.XLOOKUP(G790, Réttabanki!A:A, Réttabanki!AT:AT, "")), ""), "")))</f>
        <v/>
      </c>
      <c r="N790" s="26" t="str">
        <f>IF(OR(F790 = "", G790 = ""), "", IF(F790 = "Vara", IFERROR(_xlfn.SINGLE(_xlfn.XLOOKUP(G790, Vöruskrá!A:A, Vöruskrá!G:G, "")), ""), IF(F790 = "Réttur", IFERROR(_xlfn.SINGLE(_xlfn.XLOOKUP(G790, Réttabanki!A:A, Réttabanki!AU:AU, "")), ""), "")))</f>
        <v/>
      </c>
      <c r="O790" s="26" t="str">
        <f>IF(OR(F790 = "", G790 = "", I790 = ""), "", IF(F790 = "Vara", IFERROR(_xlfn.SINGLE(_xlfn.XLOOKUP(G790, Vöruskrá!A:A, Vöruskrá!I:I, "")) * I790 / 100, ""), IF(F790 = "Réttur", IFERROR(_xlfn.SINGLE(_xlfn.XLOOKUP(G790, Réttabanki!A:A, Réttabanki!AV:AV, "")) * I790 / 100, ""), "")))</f>
        <v/>
      </c>
      <c r="P790" s="26" t="str">
        <f>IF(OR(F790 = "", G790 = "", I790 = ""), "", IF(F790 = "Vara", IFERROR(_xlfn.SINGLE(_xlfn.XLOOKUP(G790, Vöruskrá!A:A, Vöruskrá!J:J, "")) * I790 / 100, ""), IF(F790 = "Réttur", IFERROR(_xlfn.SINGLE(_xlfn.XLOOKUP(G790, Réttabanki!A:A, Réttabanki!AW:AW, "")) * I790 / 100, ""), "")))</f>
        <v/>
      </c>
      <c r="Q790" s="26" t="str">
        <f>IF(OR(F790 = "", G790 = "", I790 = ""), "", IF(F790 = "Vara", IFERROR(_xlfn.SINGLE(_xlfn.XLOOKUP(G790, Vöruskrá!A:A, Vöruskrá!N:N, "")) * I790 / 100, ""), IF(F790 = "Réttur", IFERROR(_xlfn.SINGLE(_xlfn.XLOOKUP(G790, Réttabanki!A:A, Réttabanki!BB:BB, "")) * I790 / 100, ""), "")))</f>
        <v/>
      </c>
    </row>
    <row r="791" spans="2:17">
      <c r="B791" s="33" t="str">
        <f>IF(A791&lt;&gt;"",CHOOSE(WEEKDAY(A791,2),"Mánudagur","Þriðjudagur","Miðvikudagur","Fimmtudagur","Föstudagur","Laugardagur","Sunnudagur"),IF(B790&lt;&gt;"",B790,""))</f>
        <v>Fimmtudagur</v>
      </c>
      <c r="C791" s="33">
        <f>IF(A791&lt;&gt;"",WEEKNUM(A791,21),IF(C790&lt;&gt;"",C790,""))</f>
        <v>27</v>
      </c>
      <c r="D791" s="34"/>
      <c r="E791" s="34"/>
      <c r="F791" s="34"/>
      <c r="G791" s="34"/>
      <c r="H791" s="34"/>
      <c r="I791" s="35"/>
      <c r="J791" s="35"/>
      <c r="K791" s="36"/>
      <c r="L791" s="26" t="str">
        <f>IF(OR(F791 = "", G791 = ""), "", IF(F791 = "Vara", IFERROR(_xlfn.SINGLE(_xlfn.XLOOKUP(G791, Vöruskrá!A:A, Vöruskrá!E:E, "")), ""), IF(F791 = "Réttur", IFERROR(_xlfn.SINGLE(_xlfn.XLOOKUP(G791, Réttabanki!A:A, Réttabanki!AS:AS, "")), ""), "")))</f>
        <v/>
      </c>
      <c r="M791" s="26" t="str">
        <f>IF(OR(F791 = "", G791 = ""), "", IF(F791 = "Vara", IFERROR(_xlfn.SINGLE(_xlfn.XLOOKUP(G791, Vöruskrá!A:A, Vöruskrá!F:F, "")), ""), IF(F791 = "Réttur", IFERROR(_xlfn.SINGLE(_xlfn.XLOOKUP(G791, Réttabanki!A:A, Réttabanki!AT:AT, "")), ""), "")))</f>
        <v/>
      </c>
      <c r="N791" s="26" t="str">
        <f>IF(OR(F791 = "", G791 = ""), "", IF(F791 = "Vara", IFERROR(_xlfn.SINGLE(_xlfn.XLOOKUP(G791, Vöruskrá!A:A, Vöruskrá!G:G, "")), ""), IF(F791 = "Réttur", IFERROR(_xlfn.SINGLE(_xlfn.XLOOKUP(G791, Réttabanki!A:A, Réttabanki!AU:AU, "")), ""), "")))</f>
        <v/>
      </c>
      <c r="O791" s="26" t="str">
        <f>IF(OR(F791 = "", G791 = "", I791 = ""), "", IF(F791 = "Vara", IFERROR(_xlfn.SINGLE(_xlfn.XLOOKUP(G791, Vöruskrá!A:A, Vöruskrá!I:I, "")) * I791 / 100, ""), IF(F791 = "Réttur", IFERROR(_xlfn.SINGLE(_xlfn.XLOOKUP(G791, Réttabanki!A:A, Réttabanki!AV:AV, "")) * I791 / 100, ""), "")))</f>
        <v/>
      </c>
      <c r="P791" s="26" t="str">
        <f>IF(OR(F791 = "", G791 = "", I791 = ""), "", IF(F791 = "Vara", IFERROR(_xlfn.SINGLE(_xlfn.XLOOKUP(G791, Vöruskrá!A:A, Vöruskrá!J:J, "")) * I791 / 100, ""), IF(F791 = "Réttur", IFERROR(_xlfn.SINGLE(_xlfn.XLOOKUP(G791, Réttabanki!A:A, Réttabanki!AW:AW, "")) * I791 / 100, ""), "")))</f>
        <v/>
      </c>
      <c r="Q791" s="26" t="str">
        <f>IF(OR(F791 = "", G791 = "", I791 = ""), "", IF(F791 = "Vara", IFERROR(_xlfn.SINGLE(_xlfn.XLOOKUP(G791, Vöruskrá!A:A, Vöruskrá!N:N, "")) * I791 / 100, ""), IF(F791 = "Réttur", IFERROR(_xlfn.SINGLE(_xlfn.XLOOKUP(G791, Réttabanki!A:A, Réttabanki!BB:BB, "")) * I791 / 100, ""), "")))</f>
        <v/>
      </c>
    </row>
    <row r="792" spans="2:17">
      <c r="B792" s="33" t="str">
        <f>IF(A792&lt;&gt;"",CHOOSE(WEEKDAY(A792,2),"Mánudagur","Þriðjudagur","Miðvikudagur","Fimmtudagur","Föstudagur","Laugardagur","Sunnudagur"),IF(B791&lt;&gt;"",B791,""))</f>
        <v>Fimmtudagur</v>
      </c>
      <c r="C792" s="33">
        <f>IF(A792&lt;&gt;"",WEEKNUM(A792,21),IF(C791&lt;&gt;"",C791,""))</f>
        <v>27</v>
      </c>
      <c r="D792" s="34"/>
      <c r="E792" s="34"/>
      <c r="F792" s="34"/>
      <c r="G792" s="34"/>
      <c r="H792" s="34"/>
      <c r="I792" s="35"/>
      <c r="J792" s="35"/>
      <c r="K792" s="36"/>
      <c r="L792" s="26" t="str">
        <f>IF(OR(F792 = "", G792 = ""), "", IF(F792 = "Vara", IFERROR(_xlfn.SINGLE(_xlfn.XLOOKUP(G792, Vöruskrá!A:A, Vöruskrá!E:E, "")), ""), IF(F792 = "Réttur", IFERROR(_xlfn.SINGLE(_xlfn.XLOOKUP(G792, Réttabanki!A:A, Réttabanki!AS:AS, "")), ""), "")))</f>
        <v/>
      </c>
      <c r="M792" s="26" t="str">
        <f>IF(OR(F792 = "", G792 = ""), "", IF(F792 = "Vara", IFERROR(_xlfn.SINGLE(_xlfn.XLOOKUP(G792, Vöruskrá!A:A, Vöruskrá!F:F, "")), ""), IF(F792 = "Réttur", IFERROR(_xlfn.SINGLE(_xlfn.XLOOKUP(G792, Réttabanki!A:A, Réttabanki!AT:AT, "")), ""), "")))</f>
        <v/>
      </c>
      <c r="N792" s="26" t="str">
        <f>IF(OR(F792 = "", G792 = ""), "", IF(F792 = "Vara", IFERROR(_xlfn.SINGLE(_xlfn.XLOOKUP(G792, Vöruskrá!A:A, Vöruskrá!G:G, "")), ""), IF(F792 = "Réttur", IFERROR(_xlfn.SINGLE(_xlfn.XLOOKUP(G792, Réttabanki!A:A, Réttabanki!AU:AU, "")), ""), "")))</f>
        <v/>
      </c>
      <c r="O792" s="26" t="str">
        <f>IF(OR(F792 = "", G792 = "", I792 = ""), "", IF(F792 = "Vara", IFERROR(_xlfn.SINGLE(_xlfn.XLOOKUP(G792, Vöruskrá!A:A, Vöruskrá!I:I, "")) * I792 / 100, ""), IF(F792 = "Réttur", IFERROR(_xlfn.SINGLE(_xlfn.XLOOKUP(G792, Réttabanki!A:A, Réttabanki!AV:AV, "")) * I792 / 100, ""), "")))</f>
        <v/>
      </c>
      <c r="P792" s="26" t="str">
        <f>IF(OR(F792 = "", G792 = "", I792 = ""), "", IF(F792 = "Vara", IFERROR(_xlfn.SINGLE(_xlfn.XLOOKUP(G792, Vöruskrá!A:A, Vöruskrá!J:J, "")) * I792 / 100, ""), IF(F792 = "Réttur", IFERROR(_xlfn.SINGLE(_xlfn.XLOOKUP(G792, Réttabanki!A:A, Réttabanki!AW:AW, "")) * I792 / 100, ""), "")))</f>
        <v/>
      </c>
      <c r="Q792" s="26" t="str">
        <f>IF(OR(F792 = "", G792 = "", I792 = ""), "", IF(F792 = "Vara", IFERROR(_xlfn.SINGLE(_xlfn.XLOOKUP(G792, Vöruskrá!A:A, Vöruskrá!N:N, "")) * I792 / 100, ""), IF(F792 = "Réttur", IFERROR(_xlfn.SINGLE(_xlfn.XLOOKUP(G792, Réttabanki!A:A, Réttabanki!BB:BB, "")) * I792 / 100, ""), "")))</f>
        <v/>
      </c>
    </row>
    <row r="793" spans="2:17">
      <c r="B793" s="33" t="str">
        <f>IF(A793&lt;&gt;"",CHOOSE(WEEKDAY(A793,2),"Mánudagur","Þriðjudagur","Miðvikudagur","Fimmtudagur","Föstudagur","Laugardagur","Sunnudagur"),IF(B792&lt;&gt;"",B792,""))</f>
        <v>Fimmtudagur</v>
      </c>
      <c r="C793" s="33">
        <f>IF(A793&lt;&gt;"",WEEKNUM(A793,21),IF(C792&lt;&gt;"",C792,""))</f>
        <v>27</v>
      </c>
      <c r="D793" s="34"/>
      <c r="E793" s="34"/>
      <c r="F793" s="34"/>
      <c r="G793" s="34"/>
      <c r="H793" s="34"/>
      <c r="I793" s="35"/>
      <c r="J793" s="35"/>
      <c r="K793" s="36"/>
      <c r="L793" s="26" t="str">
        <f>IF(OR(F793 = "", G793 = ""), "", IF(F793 = "Vara", IFERROR(_xlfn.SINGLE(_xlfn.XLOOKUP(G793, Vöruskrá!A:A, Vöruskrá!E:E, "")), ""), IF(F793 = "Réttur", IFERROR(_xlfn.SINGLE(_xlfn.XLOOKUP(G793, Réttabanki!A:A, Réttabanki!AS:AS, "")), ""), "")))</f>
        <v/>
      </c>
      <c r="M793" s="26" t="str">
        <f>IF(OR(F793 = "", G793 = ""), "", IF(F793 = "Vara", IFERROR(_xlfn.SINGLE(_xlfn.XLOOKUP(G793, Vöruskrá!A:A, Vöruskrá!F:F, "")), ""), IF(F793 = "Réttur", IFERROR(_xlfn.SINGLE(_xlfn.XLOOKUP(G793, Réttabanki!A:A, Réttabanki!AT:AT, "")), ""), "")))</f>
        <v/>
      </c>
      <c r="N793" s="26" t="str">
        <f>IF(OR(F793 = "", G793 = ""), "", IF(F793 = "Vara", IFERROR(_xlfn.SINGLE(_xlfn.XLOOKUP(G793, Vöruskrá!A:A, Vöruskrá!G:G, "")), ""), IF(F793 = "Réttur", IFERROR(_xlfn.SINGLE(_xlfn.XLOOKUP(G793, Réttabanki!A:A, Réttabanki!AU:AU, "")), ""), "")))</f>
        <v/>
      </c>
      <c r="O793" s="26" t="str">
        <f>IF(OR(F793 = "", G793 = "", I793 = ""), "", IF(F793 = "Vara", IFERROR(_xlfn.SINGLE(_xlfn.XLOOKUP(G793, Vöruskrá!A:A, Vöruskrá!I:I, "")) * I793 / 100, ""), IF(F793 = "Réttur", IFERROR(_xlfn.SINGLE(_xlfn.XLOOKUP(G793, Réttabanki!A:A, Réttabanki!AV:AV, "")) * I793 / 100, ""), "")))</f>
        <v/>
      </c>
      <c r="P793" s="26" t="str">
        <f>IF(OR(F793 = "", G793 = "", I793 = ""), "", IF(F793 = "Vara", IFERROR(_xlfn.SINGLE(_xlfn.XLOOKUP(G793, Vöruskrá!A:A, Vöruskrá!J:J, "")) * I793 / 100, ""), IF(F793 = "Réttur", IFERROR(_xlfn.SINGLE(_xlfn.XLOOKUP(G793, Réttabanki!A:A, Réttabanki!AW:AW, "")) * I793 / 100, ""), "")))</f>
        <v/>
      </c>
      <c r="Q793" s="26" t="str">
        <f>IF(OR(F793 = "", G793 = "", I793 = ""), "", IF(F793 = "Vara", IFERROR(_xlfn.SINGLE(_xlfn.XLOOKUP(G793, Vöruskrá!A:A, Vöruskrá!N:N, "")) * I793 / 100, ""), IF(F793 = "Réttur", IFERROR(_xlfn.SINGLE(_xlfn.XLOOKUP(G793, Réttabanki!A:A, Réttabanki!BB:BB, "")) * I793 / 100, ""), "")))</f>
        <v/>
      </c>
    </row>
    <row r="794" spans="2:17">
      <c r="B794" s="33" t="str">
        <f>IF(A794&lt;&gt;"",CHOOSE(WEEKDAY(A794,2),"Mánudagur","Þriðjudagur","Miðvikudagur","Fimmtudagur","Föstudagur","Laugardagur","Sunnudagur"),IF(B793&lt;&gt;"",B793,""))</f>
        <v>Fimmtudagur</v>
      </c>
      <c r="C794" s="33">
        <f>IF(A794&lt;&gt;"",WEEKNUM(A794,21),IF(C793&lt;&gt;"",C793,""))</f>
        <v>27</v>
      </c>
      <c r="D794" s="34"/>
      <c r="E794" s="34"/>
      <c r="F794" s="34"/>
      <c r="G794" s="34"/>
      <c r="H794" s="34"/>
      <c r="I794" s="35"/>
      <c r="J794" s="35"/>
      <c r="K794" s="36"/>
      <c r="L794" s="26" t="str">
        <f>IF(OR(F794 = "", G794 = ""), "", IF(F794 = "Vara", IFERROR(_xlfn.SINGLE(_xlfn.XLOOKUP(G794, Vöruskrá!A:A, Vöruskrá!E:E, "")), ""), IF(F794 = "Réttur", IFERROR(_xlfn.SINGLE(_xlfn.XLOOKUP(G794, Réttabanki!A:A, Réttabanki!AS:AS, "")), ""), "")))</f>
        <v/>
      </c>
      <c r="M794" s="26" t="str">
        <f>IF(OR(F794 = "", G794 = ""), "", IF(F794 = "Vara", IFERROR(_xlfn.SINGLE(_xlfn.XLOOKUP(G794, Vöruskrá!A:A, Vöruskrá!F:F, "")), ""), IF(F794 = "Réttur", IFERROR(_xlfn.SINGLE(_xlfn.XLOOKUP(G794, Réttabanki!A:A, Réttabanki!AT:AT, "")), ""), "")))</f>
        <v/>
      </c>
      <c r="N794" s="26" t="str">
        <f>IF(OR(F794 = "", G794 = ""), "", IF(F794 = "Vara", IFERROR(_xlfn.SINGLE(_xlfn.XLOOKUP(G794, Vöruskrá!A:A, Vöruskrá!G:G, "")), ""), IF(F794 = "Réttur", IFERROR(_xlfn.SINGLE(_xlfn.XLOOKUP(G794, Réttabanki!A:A, Réttabanki!AU:AU, "")), ""), "")))</f>
        <v/>
      </c>
      <c r="O794" s="26" t="str">
        <f>IF(OR(F794 = "", G794 = "", I794 = ""), "", IF(F794 = "Vara", IFERROR(_xlfn.SINGLE(_xlfn.XLOOKUP(G794, Vöruskrá!A:A, Vöruskrá!I:I, "")) * I794 / 100, ""), IF(F794 = "Réttur", IFERROR(_xlfn.SINGLE(_xlfn.XLOOKUP(G794, Réttabanki!A:A, Réttabanki!AV:AV, "")) * I794 / 100, ""), "")))</f>
        <v/>
      </c>
      <c r="P794" s="26" t="str">
        <f>IF(OR(F794 = "", G794 = "", I794 = ""), "", IF(F794 = "Vara", IFERROR(_xlfn.SINGLE(_xlfn.XLOOKUP(G794, Vöruskrá!A:A, Vöruskrá!J:J, "")) * I794 / 100, ""), IF(F794 = "Réttur", IFERROR(_xlfn.SINGLE(_xlfn.XLOOKUP(G794, Réttabanki!A:A, Réttabanki!AW:AW, "")) * I794 / 100, ""), "")))</f>
        <v/>
      </c>
      <c r="Q794" s="26" t="str">
        <f>IF(OR(F794 = "", G794 = "", I794 = ""), "", IF(F794 = "Vara", IFERROR(_xlfn.SINGLE(_xlfn.XLOOKUP(G794, Vöruskrá!A:A, Vöruskrá!N:N, "")) * I794 / 100, ""), IF(F794 = "Réttur", IFERROR(_xlfn.SINGLE(_xlfn.XLOOKUP(G794, Réttabanki!A:A, Réttabanki!BB:BB, "")) * I794 / 100, ""), "")))</f>
        <v/>
      </c>
    </row>
    <row r="795" spans="2:17">
      <c r="B795" s="33" t="str">
        <f>IF(A795&lt;&gt;"",CHOOSE(WEEKDAY(A795,2),"Mánudagur","Þriðjudagur","Miðvikudagur","Fimmtudagur","Föstudagur","Laugardagur","Sunnudagur"),IF(B794&lt;&gt;"",B794,""))</f>
        <v>Fimmtudagur</v>
      </c>
      <c r="C795" s="33">
        <f>IF(A795&lt;&gt;"",WEEKNUM(A795,21),IF(C794&lt;&gt;"",C794,""))</f>
        <v>27</v>
      </c>
      <c r="D795" s="34"/>
      <c r="E795" s="34"/>
      <c r="F795" s="34"/>
      <c r="G795" s="34"/>
      <c r="H795" s="34"/>
      <c r="I795" s="35"/>
      <c r="J795" s="35"/>
      <c r="K795" s="36"/>
      <c r="L795" s="26" t="str">
        <f>IF(OR(F795 = "", G795 = ""), "", IF(F795 = "Vara", IFERROR(_xlfn.SINGLE(_xlfn.XLOOKUP(G795, Vöruskrá!A:A, Vöruskrá!E:E, "")), ""), IF(F795 = "Réttur", IFERROR(_xlfn.SINGLE(_xlfn.XLOOKUP(G795, Réttabanki!A:A, Réttabanki!AS:AS, "")), ""), "")))</f>
        <v/>
      </c>
      <c r="M795" s="26" t="str">
        <f>IF(OR(F795 = "", G795 = ""), "", IF(F795 = "Vara", IFERROR(_xlfn.SINGLE(_xlfn.XLOOKUP(G795, Vöruskrá!A:A, Vöruskrá!F:F, "")), ""), IF(F795 = "Réttur", IFERROR(_xlfn.SINGLE(_xlfn.XLOOKUP(G795, Réttabanki!A:A, Réttabanki!AT:AT, "")), ""), "")))</f>
        <v/>
      </c>
      <c r="N795" s="26" t="str">
        <f>IF(OR(F795 = "", G795 = ""), "", IF(F795 = "Vara", IFERROR(_xlfn.SINGLE(_xlfn.XLOOKUP(G795, Vöruskrá!A:A, Vöruskrá!G:G, "")), ""), IF(F795 = "Réttur", IFERROR(_xlfn.SINGLE(_xlfn.XLOOKUP(G795, Réttabanki!A:A, Réttabanki!AU:AU, "")), ""), "")))</f>
        <v/>
      </c>
      <c r="O795" s="26" t="str">
        <f>IF(OR(F795 = "", G795 = "", I795 = ""), "", IF(F795 = "Vara", IFERROR(_xlfn.SINGLE(_xlfn.XLOOKUP(G795, Vöruskrá!A:A, Vöruskrá!I:I, "")) * I795 / 100, ""), IF(F795 = "Réttur", IFERROR(_xlfn.SINGLE(_xlfn.XLOOKUP(G795, Réttabanki!A:A, Réttabanki!AV:AV, "")) * I795 / 100, ""), "")))</f>
        <v/>
      </c>
      <c r="P795" s="26" t="str">
        <f>IF(OR(F795 = "", G795 = "", I795 = ""), "", IF(F795 = "Vara", IFERROR(_xlfn.SINGLE(_xlfn.XLOOKUP(G795, Vöruskrá!A:A, Vöruskrá!J:J, "")) * I795 / 100, ""), IF(F795 = "Réttur", IFERROR(_xlfn.SINGLE(_xlfn.XLOOKUP(G795, Réttabanki!A:A, Réttabanki!AW:AW, "")) * I795 / 100, ""), "")))</f>
        <v/>
      </c>
      <c r="Q795" s="26" t="str">
        <f>IF(OR(F795 = "", G795 = "", I795 = ""), "", IF(F795 = "Vara", IFERROR(_xlfn.SINGLE(_xlfn.XLOOKUP(G795, Vöruskrá!A:A, Vöruskrá!N:N, "")) * I795 / 100, ""), IF(F795 = "Réttur", IFERROR(_xlfn.SINGLE(_xlfn.XLOOKUP(G795, Réttabanki!A:A, Réttabanki!BB:BB, "")) * I795 / 100, ""), "")))</f>
        <v/>
      </c>
    </row>
    <row r="796" spans="2:17">
      <c r="B796" s="33" t="str">
        <f>IF(A796&lt;&gt;"",CHOOSE(WEEKDAY(A796,2),"Mánudagur","Þriðjudagur","Miðvikudagur","Fimmtudagur","Föstudagur","Laugardagur","Sunnudagur"),IF(B795&lt;&gt;"",B795,""))</f>
        <v>Fimmtudagur</v>
      </c>
      <c r="C796" s="33">
        <f>IF(A796&lt;&gt;"",WEEKNUM(A796,21),IF(C795&lt;&gt;"",C795,""))</f>
        <v>27</v>
      </c>
      <c r="D796" s="34"/>
      <c r="E796" s="34"/>
      <c r="F796" s="34"/>
      <c r="G796" s="34"/>
      <c r="H796" s="34"/>
      <c r="I796" s="35"/>
      <c r="J796" s="35"/>
      <c r="K796" s="36"/>
      <c r="L796" s="26" t="str">
        <f>IF(OR(F796 = "", G796 = ""), "", IF(F796 = "Vara", IFERROR(_xlfn.SINGLE(_xlfn.XLOOKUP(G796, Vöruskrá!A:A, Vöruskrá!E:E, "")), ""), IF(F796 = "Réttur", IFERROR(_xlfn.SINGLE(_xlfn.XLOOKUP(G796, Réttabanki!A:A, Réttabanki!AS:AS, "")), ""), "")))</f>
        <v/>
      </c>
      <c r="M796" s="26" t="str">
        <f>IF(OR(F796 = "", G796 = ""), "", IF(F796 = "Vara", IFERROR(_xlfn.SINGLE(_xlfn.XLOOKUP(G796, Vöruskrá!A:A, Vöruskrá!F:F, "")), ""), IF(F796 = "Réttur", IFERROR(_xlfn.SINGLE(_xlfn.XLOOKUP(G796, Réttabanki!A:A, Réttabanki!AT:AT, "")), ""), "")))</f>
        <v/>
      </c>
      <c r="N796" s="26" t="str">
        <f>IF(OR(F796 = "", G796 = ""), "", IF(F796 = "Vara", IFERROR(_xlfn.SINGLE(_xlfn.XLOOKUP(G796, Vöruskrá!A:A, Vöruskrá!G:G, "")), ""), IF(F796 = "Réttur", IFERROR(_xlfn.SINGLE(_xlfn.XLOOKUP(G796, Réttabanki!A:A, Réttabanki!AU:AU, "")), ""), "")))</f>
        <v/>
      </c>
      <c r="O796" s="26" t="str">
        <f>IF(OR(F796 = "", G796 = "", I796 = ""), "", IF(F796 = "Vara", IFERROR(_xlfn.SINGLE(_xlfn.XLOOKUP(G796, Vöruskrá!A:A, Vöruskrá!I:I, "")) * I796 / 100, ""), IF(F796 = "Réttur", IFERROR(_xlfn.SINGLE(_xlfn.XLOOKUP(G796, Réttabanki!A:A, Réttabanki!AV:AV, "")) * I796 / 100, ""), "")))</f>
        <v/>
      </c>
      <c r="P796" s="26" t="str">
        <f>IF(OR(F796 = "", G796 = "", I796 = ""), "", IF(F796 = "Vara", IFERROR(_xlfn.SINGLE(_xlfn.XLOOKUP(G796, Vöruskrá!A:A, Vöruskrá!J:J, "")) * I796 / 100, ""), IF(F796 = "Réttur", IFERROR(_xlfn.SINGLE(_xlfn.XLOOKUP(G796, Réttabanki!A:A, Réttabanki!AW:AW, "")) * I796 / 100, ""), "")))</f>
        <v/>
      </c>
      <c r="Q796" s="26" t="str">
        <f>IF(OR(F796 = "", G796 = "", I796 = ""), "", IF(F796 = "Vara", IFERROR(_xlfn.SINGLE(_xlfn.XLOOKUP(G796, Vöruskrá!A:A, Vöruskrá!N:N, "")) * I796 / 100, ""), IF(F796 = "Réttur", IFERROR(_xlfn.SINGLE(_xlfn.XLOOKUP(G796, Réttabanki!A:A, Réttabanki!BB:BB, "")) * I796 / 100, ""), "")))</f>
        <v/>
      </c>
    </row>
    <row r="797" spans="2:17">
      <c r="B797" s="33" t="str">
        <f>IF(A797&lt;&gt;"",CHOOSE(WEEKDAY(A797,2),"Mánudagur","Þriðjudagur","Miðvikudagur","Fimmtudagur","Föstudagur","Laugardagur","Sunnudagur"),IF(B796&lt;&gt;"",B796,""))</f>
        <v>Fimmtudagur</v>
      </c>
      <c r="C797" s="33">
        <f>IF(A797&lt;&gt;"",WEEKNUM(A797,21),IF(C796&lt;&gt;"",C796,""))</f>
        <v>27</v>
      </c>
      <c r="D797" s="34"/>
      <c r="E797" s="34"/>
      <c r="F797" s="34"/>
      <c r="G797" s="34"/>
      <c r="H797" s="34"/>
      <c r="I797" s="35"/>
      <c r="J797" s="35"/>
      <c r="K797" s="36"/>
      <c r="L797" s="26" t="str">
        <f>IF(OR(F797 = "", G797 = ""), "", IF(F797 = "Vara", IFERROR(_xlfn.SINGLE(_xlfn.XLOOKUP(G797, Vöruskrá!A:A, Vöruskrá!E:E, "")), ""), IF(F797 = "Réttur", IFERROR(_xlfn.SINGLE(_xlfn.XLOOKUP(G797, Réttabanki!A:A, Réttabanki!AS:AS, "")), ""), "")))</f>
        <v/>
      </c>
      <c r="M797" s="26" t="str">
        <f>IF(OR(F797 = "", G797 = ""), "", IF(F797 = "Vara", IFERROR(_xlfn.SINGLE(_xlfn.XLOOKUP(G797, Vöruskrá!A:A, Vöruskrá!F:F, "")), ""), IF(F797 = "Réttur", IFERROR(_xlfn.SINGLE(_xlfn.XLOOKUP(G797, Réttabanki!A:A, Réttabanki!AT:AT, "")), ""), "")))</f>
        <v/>
      </c>
      <c r="N797" s="26" t="str">
        <f>IF(OR(F797 = "", G797 = ""), "", IF(F797 = "Vara", IFERROR(_xlfn.SINGLE(_xlfn.XLOOKUP(G797, Vöruskrá!A:A, Vöruskrá!G:G, "")), ""), IF(F797 = "Réttur", IFERROR(_xlfn.SINGLE(_xlfn.XLOOKUP(G797, Réttabanki!A:A, Réttabanki!AU:AU, "")), ""), "")))</f>
        <v/>
      </c>
      <c r="O797" s="26" t="str">
        <f>IF(OR(F797 = "", G797 = "", I797 = ""), "", IF(F797 = "Vara", IFERROR(_xlfn.SINGLE(_xlfn.XLOOKUP(G797, Vöruskrá!A:A, Vöruskrá!I:I, "")) * I797 / 100, ""), IF(F797 = "Réttur", IFERROR(_xlfn.SINGLE(_xlfn.XLOOKUP(G797, Réttabanki!A:A, Réttabanki!AV:AV, "")) * I797 / 100, ""), "")))</f>
        <v/>
      </c>
      <c r="P797" s="26" t="str">
        <f>IF(OR(F797 = "", G797 = "", I797 = ""), "", IF(F797 = "Vara", IFERROR(_xlfn.SINGLE(_xlfn.XLOOKUP(G797, Vöruskrá!A:A, Vöruskrá!J:J, "")) * I797 / 100, ""), IF(F797 = "Réttur", IFERROR(_xlfn.SINGLE(_xlfn.XLOOKUP(G797, Réttabanki!A:A, Réttabanki!AW:AW, "")) * I797 / 100, ""), "")))</f>
        <v/>
      </c>
      <c r="Q797" s="26" t="str">
        <f>IF(OR(F797 = "", G797 = "", I797 = ""), "", IF(F797 = "Vara", IFERROR(_xlfn.SINGLE(_xlfn.XLOOKUP(G797, Vöruskrá!A:A, Vöruskrá!N:N, "")) * I797 / 100, ""), IF(F797 = "Réttur", IFERROR(_xlfn.SINGLE(_xlfn.XLOOKUP(G797, Réttabanki!A:A, Réttabanki!BB:BB, "")) * I797 / 100, ""), "")))</f>
        <v/>
      </c>
    </row>
    <row r="798" spans="2:17">
      <c r="B798" s="33" t="str">
        <f>IF(A798&lt;&gt;"",CHOOSE(WEEKDAY(A798,2),"Mánudagur","Þriðjudagur","Miðvikudagur","Fimmtudagur","Föstudagur","Laugardagur","Sunnudagur"),IF(B797&lt;&gt;"",B797,""))</f>
        <v>Fimmtudagur</v>
      </c>
      <c r="C798" s="33">
        <f>IF(A798&lt;&gt;"",WEEKNUM(A798,21),IF(C797&lt;&gt;"",C797,""))</f>
        <v>27</v>
      </c>
      <c r="D798" s="34"/>
      <c r="E798" s="34"/>
      <c r="F798" s="34"/>
      <c r="G798" s="34"/>
      <c r="H798" s="34"/>
      <c r="I798" s="35"/>
      <c r="J798" s="35"/>
      <c r="K798" s="36"/>
      <c r="L798" s="26" t="str">
        <f>IF(OR(F798 = "", G798 = ""), "", IF(F798 = "Vara", IFERROR(_xlfn.SINGLE(_xlfn.XLOOKUP(G798, Vöruskrá!A:A, Vöruskrá!E:E, "")), ""), IF(F798 = "Réttur", IFERROR(_xlfn.SINGLE(_xlfn.XLOOKUP(G798, Réttabanki!A:A, Réttabanki!AS:AS, "")), ""), "")))</f>
        <v/>
      </c>
      <c r="M798" s="26" t="str">
        <f>IF(OR(F798 = "", G798 = ""), "", IF(F798 = "Vara", IFERROR(_xlfn.SINGLE(_xlfn.XLOOKUP(G798, Vöruskrá!A:A, Vöruskrá!F:F, "")), ""), IF(F798 = "Réttur", IFERROR(_xlfn.SINGLE(_xlfn.XLOOKUP(G798, Réttabanki!A:A, Réttabanki!AT:AT, "")), ""), "")))</f>
        <v/>
      </c>
      <c r="N798" s="26" t="str">
        <f>IF(OR(F798 = "", G798 = ""), "", IF(F798 = "Vara", IFERROR(_xlfn.SINGLE(_xlfn.XLOOKUP(G798, Vöruskrá!A:A, Vöruskrá!G:G, "")), ""), IF(F798 = "Réttur", IFERROR(_xlfn.SINGLE(_xlfn.XLOOKUP(G798, Réttabanki!A:A, Réttabanki!AU:AU, "")), ""), "")))</f>
        <v/>
      </c>
      <c r="O798" s="26" t="str">
        <f>IF(OR(F798 = "", G798 = "", I798 = ""), "", IF(F798 = "Vara", IFERROR(_xlfn.SINGLE(_xlfn.XLOOKUP(G798, Vöruskrá!A:A, Vöruskrá!I:I, "")) * I798 / 100, ""), IF(F798 = "Réttur", IFERROR(_xlfn.SINGLE(_xlfn.XLOOKUP(G798, Réttabanki!A:A, Réttabanki!AV:AV, "")) * I798 / 100, ""), "")))</f>
        <v/>
      </c>
      <c r="P798" s="26" t="str">
        <f>IF(OR(F798 = "", G798 = "", I798 = ""), "", IF(F798 = "Vara", IFERROR(_xlfn.SINGLE(_xlfn.XLOOKUP(G798, Vöruskrá!A:A, Vöruskrá!J:J, "")) * I798 / 100, ""), IF(F798 = "Réttur", IFERROR(_xlfn.SINGLE(_xlfn.XLOOKUP(G798, Réttabanki!A:A, Réttabanki!AW:AW, "")) * I798 / 100, ""), "")))</f>
        <v/>
      </c>
      <c r="Q798" s="26" t="str">
        <f>IF(OR(F798 = "", G798 = "", I798 = ""), "", IF(F798 = "Vara", IFERROR(_xlfn.SINGLE(_xlfn.XLOOKUP(G798, Vöruskrá!A:A, Vöruskrá!N:N, "")) * I798 / 100, ""), IF(F798 = "Réttur", IFERROR(_xlfn.SINGLE(_xlfn.XLOOKUP(G798, Réttabanki!A:A, Réttabanki!BB:BB, "")) * I798 / 100, ""), "")))</f>
        <v/>
      </c>
    </row>
    <row r="799" spans="2:17">
      <c r="B799" s="33" t="str">
        <f>IF(A799&lt;&gt;"",CHOOSE(WEEKDAY(A799,2),"Mánudagur","Þriðjudagur","Miðvikudagur","Fimmtudagur","Föstudagur","Laugardagur","Sunnudagur"),IF(B798&lt;&gt;"",B798,""))</f>
        <v>Fimmtudagur</v>
      </c>
      <c r="C799" s="33">
        <f>IF(A799&lt;&gt;"",WEEKNUM(A799,21),IF(C798&lt;&gt;"",C798,""))</f>
        <v>27</v>
      </c>
      <c r="D799" s="34"/>
      <c r="E799" s="34"/>
      <c r="F799" s="34"/>
      <c r="G799" s="34"/>
      <c r="H799" s="34"/>
      <c r="I799" s="35"/>
      <c r="J799" s="35"/>
      <c r="K799" s="36"/>
      <c r="L799" s="26" t="str">
        <f>IF(OR(F799 = "", G799 = ""), "", IF(F799 = "Vara", IFERROR(_xlfn.SINGLE(_xlfn.XLOOKUP(G799, Vöruskrá!A:A, Vöruskrá!E:E, "")), ""), IF(F799 = "Réttur", IFERROR(_xlfn.SINGLE(_xlfn.XLOOKUP(G799, Réttabanki!A:A, Réttabanki!AS:AS, "")), ""), "")))</f>
        <v/>
      </c>
      <c r="M799" s="26" t="str">
        <f>IF(OR(F799 = "", G799 = ""), "", IF(F799 = "Vara", IFERROR(_xlfn.SINGLE(_xlfn.XLOOKUP(G799, Vöruskrá!A:A, Vöruskrá!F:F, "")), ""), IF(F799 = "Réttur", IFERROR(_xlfn.SINGLE(_xlfn.XLOOKUP(G799, Réttabanki!A:A, Réttabanki!AT:AT, "")), ""), "")))</f>
        <v/>
      </c>
      <c r="N799" s="26" t="str">
        <f>IF(OR(F799 = "", G799 = ""), "", IF(F799 = "Vara", IFERROR(_xlfn.SINGLE(_xlfn.XLOOKUP(G799, Vöruskrá!A:A, Vöruskrá!G:G, "")), ""), IF(F799 = "Réttur", IFERROR(_xlfn.SINGLE(_xlfn.XLOOKUP(G799, Réttabanki!A:A, Réttabanki!AU:AU, "")), ""), "")))</f>
        <v/>
      </c>
      <c r="O799" s="26" t="str">
        <f>IF(OR(F799 = "", G799 = "", I799 = ""), "", IF(F799 = "Vara", IFERROR(_xlfn.SINGLE(_xlfn.XLOOKUP(G799, Vöruskrá!A:A, Vöruskrá!I:I, "")) * I799 / 100, ""), IF(F799 = "Réttur", IFERROR(_xlfn.SINGLE(_xlfn.XLOOKUP(G799, Réttabanki!A:A, Réttabanki!AV:AV, "")) * I799 / 100, ""), "")))</f>
        <v/>
      </c>
      <c r="P799" s="26" t="str">
        <f>IF(OR(F799 = "", G799 = "", I799 = ""), "", IF(F799 = "Vara", IFERROR(_xlfn.SINGLE(_xlfn.XLOOKUP(G799, Vöruskrá!A:A, Vöruskrá!J:J, "")) * I799 / 100, ""), IF(F799 = "Réttur", IFERROR(_xlfn.SINGLE(_xlfn.XLOOKUP(G799, Réttabanki!A:A, Réttabanki!AW:AW, "")) * I799 / 100, ""), "")))</f>
        <v/>
      </c>
      <c r="Q799" s="26" t="str">
        <f>IF(OR(F799 = "", G799 = "", I799 = ""), "", IF(F799 = "Vara", IFERROR(_xlfn.SINGLE(_xlfn.XLOOKUP(G799, Vöruskrá!A:A, Vöruskrá!N:N, "")) * I799 / 100, ""), IF(F799 = "Réttur", IFERROR(_xlfn.SINGLE(_xlfn.XLOOKUP(G799, Réttabanki!A:A, Réttabanki!BB:BB, "")) * I799 / 100, ""), "")))</f>
        <v/>
      </c>
    </row>
    <row r="800" spans="2:17">
      <c r="B800" s="33" t="str">
        <f>IF(A800&lt;&gt;"",CHOOSE(WEEKDAY(A800,2),"Mánudagur","Þriðjudagur","Miðvikudagur","Fimmtudagur","Föstudagur","Laugardagur","Sunnudagur"),IF(B799&lt;&gt;"",B799,""))</f>
        <v>Fimmtudagur</v>
      </c>
      <c r="C800" s="33">
        <f>IF(A800&lt;&gt;"",WEEKNUM(A800,21),IF(C799&lt;&gt;"",C799,""))</f>
        <v>27</v>
      </c>
      <c r="D800" s="34"/>
      <c r="E800" s="34"/>
      <c r="F800" s="34"/>
      <c r="G800" s="34"/>
      <c r="H800" s="34"/>
      <c r="I800" s="35"/>
      <c r="J800" s="35"/>
      <c r="K800" s="36"/>
      <c r="L800" s="26" t="str">
        <f>IF(OR(F800 = "", G800 = ""), "", IF(F800 = "Vara", IFERROR(_xlfn.SINGLE(_xlfn.XLOOKUP(G800, Vöruskrá!A:A, Vöruskrá!E:E, "")), ""), IF(F800 = "Réttur", IFERROR(_xlfn.SINGLE(_xlfn.XLOOKUP(G800, Réttabanki!A:A, Réttabanki!AS:AS, "")), ""), "")))</f>
        <v/>
      </c>
      <c r="M800" s="26" t="str">
        <f>IF(OR(F800 = "", G800 = ""), "", IF(F800 = "Vara", IFERROR(_xlfn.SINGLE(_xlfn.XLOOKUP(G800, Vöruskrá!A:A, Vöruskrá!F:F, "")), ""), IF(F800 = "Réttur", IFERROR(_xlfn.SINGLE(_xlfn.XLOOKUP(G800, Réttabanki!A:A, Réttabanki!AT:AT, "")), ""), "")))</f>
        <v/>
      </c>
      <c r="N800" s="26" t="str">
        <f>IF(OR(F800 = "", G800 = ""), "", IF(F800 = "Vara", IFERROR(_xlfn.SINGLE(_xlfn.XLOOKUP(G800, Vöruskrá!A:A, Vöruskrá!G:G, "")), ""), IF(F800 = "Réttur", IFERROR(_xlfn.SINGLE(_xlfn.XLOOKUP(G800, Réttabanki!A:A, Réttabanki!AU:AU, "")), ""), "")))</f>
        <v/>
      </c>
      <c r="O800" s="26" t="str">
        <f>IF(OR(F800 = "", G800 = "", I800 = ""), "", IF(F800 = "Vara", IFERROR(_xlfn.SINGLE(_xlfn.XLOOKUP(G800, Vöruskrá!A:A, Vöruskrá!I:I, "")) * I800 / 100, ""), IF(F800 = "Réttur", IFERROR(_xlfn.SINGLE(_xlfn.XLOOKUP(G800, Réttabanki!A:A, Réttabanki!AV:AV, "")) * I800 / 100, ""), "")))</f>
        <v/>
      </c>
      <c r="P800" s="26" t="str">
        <f>IF(OR(F800 = "", G800 = "", I800 = ""), "", IF(F800 = "Vara", IFERROR(_xlfn.SINGLE(_xlfn.XLOOKUP(G800, Vöruskrá!A:A, Vöruskrá!J:J, "")) * I800 / 100, ""), IF(F800 = "Réttur", IFERROR(_xlfn.SINGLE(_xlfn.XLOOKUP(G800, Réttabanki!A:A, Réttabanki!AW:AW, "")) * I800 / 100, ""), "")))</f>
        <v/>
      </c>
      <c r="Q800" s="26" t="str">
        <f>IF(OR(F800 = "", G800 = "", I800 = ""), "", IF(F800 = "Vara", IFERROR(_xlfn.SINGLE(_xlfn.XLOOKUP(G800, Vöruskrá!A:A, Vöruskrá!N:N, "")) * I800 / 100, ""), IF(F800 = "Réttur", IFERROR(_xlfn.SINGLE(_xlfn.XLOOKUP(G800, Réttabanki!A:A, Réttabanki!BB:BB, "")) * I800 / 100, ""), "")))</f>
        <v/>
      </c>
    </row>
    <row r="801" spans="2:17">
      <c r="B801" s="33" t="str">
        <f>IF(A801&lt;&gt;"",CHOOSE(WEEKDAY(A801,2),"Mánudagur","Þriðjudagur","Miðvikudagur","Fimmtudagur","Föstudagur","Laugardagur","Sunnudagur"),IF(B800&lt;&gt;"",B800,""))</f>
        <v>Fimmtudagur</v>
      </c>
      <c r="C801" s="33">
        <f>IF(A801&lt;&gt;"",WEEKNUM(A801,21),IF(C800&lt;&gt;"",C800,""))</f>
        <v>27</v>
      </c>
      <c r="D801" s="34"/>
      <c r="E801" s="34"/>
      <c r="F801" s="34"/>
      <c r="G801" s="34"/>
      <c r="H801" s="34"/>
      <c r="I801" s="35"/>
      <c r="J801" s="35"/>
      <c r="K801" s="36"/>
      <c r="L801" s="26" t="str">
        <f>IF(OR(F801 = "", G801 = ""), "", IF(F801 = "Vara", IFERROR(_xlfn.SINGLE(_xlfn.XLOOKUP(G801, Vöruskrá!A:A, Vöruskrá!E:E, "")), ""), IF(F801 = "Réttur", IFERROR(_xlfn.SINGLE(_xlfn.XLOOKUP(G801, Réttabanki!A:A, Réttabanki!AS:AS, "")), ""), "")))</f>
        <v/>
      </c>
      <c r="M801" s="26" t="str">
        <f>IF(OR(F801 = "", G801 = ""), "", IF(F801 = "Vara", IFERROR(_xlfn.SINGLE(_xlfn.XLOOKUP(G801, Vöruskrá!A:A, Vöruskrá!F:F, "")), ""), IF(F801 = "Réttur", IFERROR(_xlfn.SINGLE(_xlfn.XLOOKUP(G801, Réttabanki!A:A, Réttabanki!AT:AT, "")), ""), "")))</f>
        <v/>
      </c>
      <c r="N801" s="26" t="str">
        <f>IF(OR(F801 = "", G801 = ""), "", IF(F801 = "Vara", IFERROR(_xlfn.SINGLE(_xlfn.XLOOKUP(G801, Vöruskrá!A:A, Vöruskrá!G:G, "")), ""), IF(F801 = "Réttur", IFERROR(_xlfn.SINGLE(_xlfn.XLOOKUP(G801, Réttabanki!A:A, Réttabanki!AU:AU, "")), ""), "")))</f>
        <v/>
      </c>
      <c r="O801" s="26" t="str">
        <f>IF(OR(F801 = "", G801 = "", I801 = ""), "", IF(F801 = "Vara", IFERROR(_xlfn.SINGLE(_xlfn.XLOOKUP(G801, Vöruskrá!A:A, Vöruskrá!I:I, "")) * I801 / 100, ""), IF(F801 = "Réttur", IFERROR(_xlfn.SINGLE(_xlfn.XLOOKUP(G801, Réttabanki!A:A, Réttabanki!AV:AV, "")) * I801 / 100, ""), "")))</f>
        <v/>
      </c>
      <c r="P801" s="26" t="str">
        <f>IF(OR(F801 = "", G801 = "", I801 = ""), "", IF(F801 = "Vara", IFERROR(_xlfn.SINGLE(_xlfn.XLOOKUP(G801, Vöruskrá!A:A, Vöruskrá!J:J, "")) * I801 / 100, ""), IF(F801 = "Réttur", IFERROR(_xlfn.SINGLE(_xlfn.XLOOKUP(G801, Réttabanki!A:A, Réttabanki!AW:AW, "")) * I801 / 100, ""), "")))</f>
        <v/>
      </c>
      <c r="Q801" s="26" t="str">
        <f>IF(OR(F801 = "", G801 = "", I801 = ""), "", IF(F801 = "Vara", IFERROR(_xlfn.SINGLE(_xlfn.XLOOKUP(G801, Vöruskrá!A:A, Vöruskrá!N:N, "")) * I801 / 100, ""), IF(F801 = "Réttur", IFERROR(_xlfn.SINGLE(_xlfn.XLOOKUP(G801, Réttabanki!A:A, Réttabanki!BB:BB, "")) * I801 / 100, ""), "")))</f>
        <v/>
      </c>
    </row>
    <row r="802" spans="2:17">
      <c r="B802" s="33" t="str">
        <f>IF(A802&lt;&gt;"",CHOOSE(WEEKDAY(A802,2),"Mánudagur","Þriðjudagur","Miðvikudagur","Fimmtudagur","Föstudagur","Laugardagur","Sunnudagur"),IF(B801&lt;&gt;"",B801,""))</f>
        <v>Fimmtudagur</v>
      </c>
      <c r="C802" s="33">
        <f>IF(A802&lt;&gt;"",WEEKNUM(A802,21),IF(C801&lt;&gt;"",C801,""))</f>
        <v>27</v>
      </c>
      <c r="D802" s="34"/>
      <c r="E802" s="34"/>
      <c r="F802" s="34"/>
      <c r="G802" s="34"/>
      <c r="H802" s="34"/>
      <c r="I802" s="35"/>
      <c r="J802" s="35"/>
      <c r="K802" s="36"/>
      <c r="L802" s="26" t="str">
        <f>IF(OR(F802 = "", G802 = ""), "", IF(F802 = "Vara", IFERROR(_xlfn.SINGLE(_xlfn.XLOOKUP(G802, Vöruskrá!A:A, Vöruskrá!E:E, "")), ""), IF(F802 = "Réttur", IFERROR(_xlfn.SINGLE(_xlfn.XLOOKUP(G802, Réttabanki!A:A, Réttabanki!AS:AS, "")), ""), "")))</f>
        <v/>
      </c>
      <c r="M802" s="26" t="str">
        <f>IF(OR(F802 = "", G802 = ""), "", IF(F802 = "Vara", IFERROR(_xlfn.SINGLE(_xlfn.XLOOKUP(G802, Vöruskrá!A:A, Vöruskrá!F:F, "")), ""), IF(F802 = "Réttur", IFERROR(_xlfn.SINGLE(_xlfn.XLOOKUP(G802, Réttabanki!A:A, Réttabanki!AT:AT, "")), ""), "")))</f>
        <v/>
      </c>
      <c r="N802" s="26" t="str">
        <f>IF(OR(F802 = "", G802 = ""), "", IF(F802 = "Vara", IFERROR(_xlfn.SINGLE(_xlfn.XLOOKUP(G802, Vöruskrá!A:A, Vöruskrá!G:G, "")), ""), IF(F802 = "Réttur", IFERROR(_xlfn.SINGLE(_xlfn.XLOOKUP(G802, Réttabanki!A:A, Réttabanki!AU:AU, "")), ""), "")))</f>
        <v/>
      </c>
      <c r="O802" s="26" t="str">
        <f>IF(OR(F802 = "", G802 = "", I802 = ""), "", IF(F802 = "Vara", IFERROR(_xlfn.SINGLE(_xlfn.XLOOKUP(G802, Vöruskrá!A:A, Vöruskrá!I:I, "")) * I802 / 100, ""), IF(F802 = "Réttur", IFERROR(_xlfn.SINGLE(_xlfn.XLOOKUP(G802, Réttabanki!A:A, Réttabanki!AV:AV, "")) * I802 / 100, ""), "")))</f>
        <v/>
      </c>
      <c r="P802" s="26" t="str">
        <f>IF(OR(F802 = "", G802 = "", I802 = ""), "", IF(F802 = "Vara", IFERROR(_xlfn.SINGLE(_xlfn.XLOOKUP(G802, Vöruskrá!A:A, Vöruskrá!J:J, "")) * I802 / 100, ""), IF(F802 = "Réttur", IFERROR(_xlfn.SINGLE(_xlfn.XLOOKUP(G802, Réttabanki!A:A, Réttabanki!AW:AW, "")) * I802 / 100, ""), "")))</f>
        <v/>
      </c>
      <c r="Q802" s="26" t="str">
        <f>IF(OR(F802 = "", G802 = "", I802 = ""), "", IF(F802 = "Vara", IFERROR(_xlfn.SINGLE(_xlfn.XLOOKUP(G802, Vöruskrá!A:A, Vöruskrá!N:N, "")) * I802 / 100, ""), IF(F802 = "Réttur", IFERROR(_xlfn.SINGLE(_xlfn.XLOOKUP(G802, Réttabanki!A:A, Réttabanki!BB:BB, "")) * I802 / 100, ""), "")))</f>
        <v/>
      </c>
    </row>
    <row r="803" spans="2:17">
      <c r="B803" s="33" t="str">
        <f>IF(A803&lt;&gt;"",CHOOSE(WEEKDAY(A803,2),"Mánudagur","Þriðjudagur","Miðvikudagur","Fimmtudagur","Föstudagur","Laugardagur","Sunnudagur"),IF(B802&lt;&gt;"",B802,""))</f>
        <v>Fimmtudagur</v>
      </c>
      <c r="C803" s="33">
        <f>IF(A803&lt;&gt;"",WEEKNUM(A803,21),IF(C802&lt;&gt;"",C802,""))</f>
        <v>27</v>
      </c>
      <c r="D803" s="34"/>
      <c r="E803" s="34"/>
      <c r="F803" s="34"/>
      <c r="G803" s="34"/>
      <c r="H803" s="34"/>
      <c r="I803" s="35"/>
      <c r="J803" s="35"/>
      <c r="K803" s="36"/>
      <c r="L803" s="26" t="str">
        <f>IF(OR(F803 = "", G803 = ""), "", IF(F803 = "Vara", IFERROR(_xlfn.SINGLE(_xlfn.XLOOKUP(G803, Vöruskrá!A:A, Vöruskrá!E:E, "")), ""), IF(F803 = "Réttur", IFERROR(_xlfn.SINGLE(_xlfn.XLOOKUP(G803, Réttabanki!A:A, Réttabanki!AS:AS, "")), ""), "")))</f>
        <v/>
      </c>
      <c r="M803" s="26" t="str">
        <f>IF(OR(F803 = "", G803 = ""), "", IF(F803 = "Vara", IFERROR(_xlfn.SINGLE(_xlfn.XLOOKUP(G803, Vöruskrá!A:A, Vöruskrá!F:F, "")), ""), IF(F803 = "Réttur", IFERROR(_xlfn.SINGLE(_xlfn.XLOOKUP(G803, Réttabanki!A:A, Réttabanki!AT:AT, "")), ""), "")))</f>
        <v/>
      </c>
      <c r="N803" s="26" t="str">
        <f>IF(OR(F803 = "", G803 = ""), "", IF(F803 = "Vara", IFERROR(_xlfn.SINGLE(_xlfn.XLOOKUP(G803, Vöruskrá!A:A, Vöruskrá!G:G, "")), ""), IF(F803 = "Réttur", IFERROR(_xlfn.SINGLE(_xlfn.XLOOKUP(G803, Réttabanki!A:A, Réttabanki!AU:AU, "")), ""), "")))</f>
        <v/>
      </c>
      <c r="O803" s="26" t="str">
        <f>IF(OR(F803 = "", G803 = "", I803 = ""), "", IF(F803 = "Vara", IFERROR(_xlfn.SINGLE(_xlfn.XLOOKUP(G803, Vöruskrá!A:A, Vöruskrá!I:I, "")) * I803 / 100, ""), IF(F803 = "Réttur", IFERROR(_xlfn.SINGLE(_xlfn.XLOOKUP(G803, Réttabanki!A:A, Réttabanki!AV:AV, "")) * I803 / 100, ""), "")))</f>
        <v/>
      </c>
      <c r="P803" s="26" t="str">
        <f>IF(OR(F803 = "", G803 = "", I803 = ""), "", IF(F803 = "Vara", IFERROR(_xlfn.SINGLE(_xlfn.XLOOKUP(G803, Vöruskrá!A:A, Vöruskrá!J:J, "")) * I803 / 100, ""), IF(F803 = "Réttur", IFERROR(_xlfn.SINGLE(_xlfn.XLOOKUP(G803, Réttabanki!A:A, Réttabanki!AW:AW, "")) * I803 / 100, ""), "")))</f>
        <v/>
      </c>
      <c r="Q803" s="26" t="str">
        <f>IF(OR(F803 = "", G803 = "", I803 = ""), "", IF(F803 = "Vara", IFERROR(_xlfn.SINGLE(_xlfn.XLOOKUP(G803, Vöruskrá!A:A, Vöruskrá!N:N, "")) * I803 / 100, ""), IF(F803 = "Réttur", IFERROR(_xlfn.SINGLE(_xlfn.XLOOKUP(G803, Réttabanki!A:A, Réttabanki!BB:BB, "")) * I803 / 100, ""), "")))</f>
        <v/>
      </c>
    </row>
    <row r="804" spans="2:17">
      <c r="B804" s="33" t="str">
        <f>IF(A804&lt;&gt;"",CHOOSE(WEEKDAY(A804,2),"Mánudagur","Þriðjudagur","Miðvikudagur","Fimmtudagur","Föstudagur","Laugardagur","Sunnudagur"),IF(B803&lt;&gt;"",B803,""))</f>
        <v>Fimmtudagur</v>
      </c>
      <c r="C804" s="33">
        <f>IF(A804&lt;&gt;"",WEEKNUM(A804,21),IF(C803&lt;&gt;"",C803,""))</f>
        <v>27</v>
      </c>
      <c r="D804" s="34"/>
      <c r="E804" s="34"/>
      <c r="F804" s="34"/>
      <c r="G804" s="34"/>
      <c r="H804" s="34"/>
      <c r="I804" s="35"/>
      <c r="J804" s="35"/>
      <c r="K804" s="36"/>
      <c r="L804" s="26" t="str">
        <f>IF(OR(F804 = "", G804 = ""), "", IF(F804 = "Vara", IFERROR(_xlfn.SINGLE(_xlfn.XLOOKUP(G804, Vöruskrá!A:A, Vöruskrá!E:E, "")), ""), IF(F804 = "Réttur", IFERROR(_xlfn.SINGLE(_xlfn.XLOOKUP(G804, Réttabanki!A:A, Réttabanki!AS:AS, "")), ""), "")))</f>
        <v/>
      </c>
      <c r="M804" s="26" t="str">
        <f>IF(OR(F804 = "", G804 = ""), "", IF(F804 = "Vara", IFERROR(_xlfn.SINGLE(_xlfn.XLOOKUP(G804, Vöruskrá!A:A, Vöruskrá!F:F, "")), ""), IF(F804 = "Réttur", IFERROR(_xlfn.SINGLE(_xlfn.XLOOKUP(G804, Réttabanki!A:A, Réttabanki!AT:AT, "")), ""), "")))</f>
        <v/>
      </c>
      <c r="N804" s="26" t="str">
        <f>IF(OR(F804 = "", G804 = ""), "", IF(F804 = "Vara", IFERROR(_xlfn.SINGLE(_xlfn.XLOOKUP(G804, Vöruskrá!A:A, Vöruskrá!G:G, "")), ""), IF(F804 = "Réttur", IFERROR(_xlfn.SINGLE(_xlfn.XLOOKUP(G804, Réttabanki!A:A, Réttabanki!AU:AU, "")), ""), "")))</f>
        <v/>
      </c>
      <c r="O804" s="26" t="str">
        <f>IF(OR(F804 = "", G804 = "", I804 = ""), "", IF(F804 = "Vara", IFERROR(_xlfn.SINGLE(_xlfn.XLOOKUP(G804, Vöruskrá!A:A, Vöruskrá!I:I, "")) * I804 / 100, ""), IF(F804 = "Réttur", IFERROR(_xlfn.SINGLE(_xlfn.XLOOKUP(G804, Réttabanki!A:A, Réttabanki!AV:AV, "")) * I804 / 100, ""), "")))</f>
        <v/>
      </c>
      <c r="P804" s="26" t="str">
        <f>IF(OR(F804 = "", G804 = "", I804 = ""), "", IF(F804 = "Vara", IFERROR(_xlfn.SINGLE(_xlfn.XLOOKUP(G804, Vöruskrá!A:A, Vöruskrá!J:J, "")) * I804 / 100, ""), IF(F804 = "Réttur", IFERROR(_xlfn.SINGLE(_xlfn.XLOOKUP(G804, Réttabanki!A:A, Réttabanki!AW:AW, "")) * I804 / 100, ""), "")))</f>
        <v/>
      </c>
      <c r="Q804" s="26" t="str">
        <f>IF(OR(F804 = "", G804 = "", I804 = ""), "", IF(F804 = "Vara", IFERROR(_xlfn.SINGLE(_xlfn.XLOOKUP(G804, Vöruskrá!A:A, Vöruskrá!N:N, "")) * I804 / 100, ""), IF(F804 = "Réttur", IFERROR(_xlfn.SINGLE(_xlfn.XLOOKUP(G804, Réttabanki!A:A, Réttabanki!BB:BB, "")) * I804 / 100, ""), "")))</f>
        <v/>
      </c>
    </row>
    <row r="805" spans="2:17">
      <c r="B805" s="33" t="str">
        <f>IF(A805&lt;&gt;"",CHOOSE(WEEKDAY(A805,2),"Mánudagur","Þriðjudagur","Miðvikudagur","Fimmtudagur","Föstudagur","Laugardagur","Sunnudagur"),IF(B804&lt;&gt;"",B804,""))</f>
        <v>Fimmtudagur</v>
      </c>
      <c r="C805" s="33">
        <f>IF(A805&lt;&gt;"",WEEKNUM(A805,21),IF(C804&lt;&gt;"",C804,""))</f>
        <v>27</v>
      </c>
      <c r="D805" s="34"/>
      <c r="E805" s="34"/>
      <c r="F805" s="34"/>
      <c r="G805" s="34"/>
      <c r="H805" s="34"/>
      <c r="I805" s="35"/>
      <c r="J805" s="35"/>
      <c r="K805" s="36"/>
      <c r="L805" s="26" t="str">
        <f>IF(OR(F805 = "", G805 = ""), "", IF(F805 = "Vara", IFERROR(_xlfn.SINGLE(_xlfn.XLOOKUP(G805, Vöruskrá!A:A, Vöruskrá!E:E, "")), ""), IF(F805 = "Réttur", IFERROR(_xlfn.SINGLE(_xlfn.XLOOKUP(G805, Réttabanki!A:A, Réttabanki!AS:AS, "")), ""), "")))</f>
        <v/>
      </c>
      <c r="M805" s="26" t="str">
        <f>IF(OR(F805 = "", G805 = ""), "", IF(F805 = "Vara", IFERROR(_xlfn.SINGLE(_xlfn.XLOOKUP(G805, Vöruskrá!A:A, Vöruskrá!F:F, "")), ""), IF(F805 = "Réttur", IFERROR(_xlfn.SINGLE(_xlfn.XLOOKUP(G805, Réttabanki!A:A, Réttabanki!AT:AT, "")), ""), "")))</f>
        <v/>
      </c>
      <c r="N805" s="26" t="str">
        <f>IF(OR(F805 = "", G805 = ""), "", IF(F805 = "Vara", IFERROR(_xlfn.SINGLE(_xlfn.XLOOKUP(G805, Vöruskrá!A:A, Vöruskrá!G:G, "")), ""), IF(F805 = "Réttur", IFERROR(_xlfn.SINGLE(_xlfn.XLOOKUP(G805, Réttabanki!A:A, Réttabanki!AU:AU, "")), ""), "")))</f>
        <v/>
      </c>
      <c r="O805" s="26" t="str">
        <f>IF(OR(F805 = "", G805 = "", I805 = ""), "", IF(F805 = "Vara", IFERROR(_xlfn.SINGLE(_xlfn.XLOOKUP(G805, Vöruskrá!A:A, Vöruskrá!I:I, "")) * I805 / 100, ""), IF(F805 = "Réttur", IFERROR(_xlfn.SINGLE(_xlfn.XLOOKUP(G805, Réttabanki!A:A, Réttabanki!AV:AV, "")) * I805 / 100, ""), "")))</f>
        <v/>
      </c>
      <c r="P805" s="26" t="str">
        <f>IF(OR(F805 = "", G805 = "", I805 = ""), "", IF(F805 = "Vara", IFERROR(_xlfn.SINGLE(_xlfn.XLOOKUP(G805, Vöruskrá!A:A, Vöruskrá!J:J, "")) * I805 / 100, ""), IF(F805 = "Réttur", IFERROR(_xlfn.SINGLE(_xlfn.XLOOKUP(G805, Réttabanki!A:A, Réttabanki!AW:AW, "")) * I805 / 100, ""), "")))</f>
        <v/>
      </c>
      <c r="Q805" s="26" t="str">
        <f>IF(OR(F805 = "", G805 = "", I805 = ""), "", IF(F805 = "Vara", IFERROR(_xlfn.SINGLE(_xlfn.XLOOKUP(G805, Vöruskrá!A:A, Vöruskrá!N:N, "")) * I805 / 100, ""), IF(F805 = "Réttur", IFERROR(_xlfn.SINGLE(_xlfn.XLOOKUP(G805, Réttabanki!A:A, Réttabanki!BB:BB, "")) * I805 / 100, ""), "")))</f>
        <v/>
      </c>
    </row>
    <row r="806" spans="2:17">
      <c r="B806" s="33" t="str">
        <f>IF(A806&lt;&gt;"",CHOOSE(WEEKDAY(A806,2),"Mánudagur","Þriðjudagur","Miðvikudagur","Fimmtudagur","Föstudagur","Laugardagur","Sunnudagur"),IF(B805&lt;&gt;"",B805,""))</f>
        <v>Fimmtudagur</v>
      </c>
      <c r="C806" s="33">
        <f>IF(A806&lt;&gt;"",WEEKNUM(A806,21),IF(C805&lt;&gt;"",C805,""))</f>
        <v>27</v>
      </c>
      <c r="D806" s="34"/>
      <c r="E806" s="34"/>
      <c r="F806" s="34"/>
      <c r="G806" s="34"/>
      <c r="H806" s="34"/>
      <c r="I806" s="35"/>
      <c r="J806" s="35"/>
      <c r="K806" s="36"/>
      <c r="L806" s="26" t="str">
        <f>IF(OR(F806 = "", G806 = ""), "", IF(F806 = "Vara", IFERROR(_xlfn.SINGLE(_xlfn.XLOOKUP(G806, Vöruskrá!A:A, Vöruskrá!E:E, "")), ""), IF(F806 = "Réttur", IFERROR(_xlfn.SINGLE(_xlfn.XLOOKUP(G806, Réttabanki!A:A, Réttabanki!AS:AS, "")), ""), "")))</f>
        <v/>
      </c>
      <c r="M806" s="26" t="str">
        <f>IF(OR(F806 = "", G806 = ""), "", IF(F806 = "Vara", IFERROR(_xlfn.SINGLE(_xlfn.XLOOKUP(G806, Vöruskrá!A:A, Vöruskrá!F:F, "")), ""), IF(F806 = "Réttur", IFERROR(_xlfn.SINGLE(_xlfn.XLOOKUP(G806, Réttabanki!A:A, Réttabanki!AT:AT, "")), ""), "")))</f>
        <v/>
      </c>
      <c r="N806" s="26" t="str">
        <f>IF(OR(F806 = "", G806 = ""), "", IF(F806 = "Vara", IFERROR(_xlfn.SINGLE(_xlfn.XLOOKUP(G806, Vöruskrá!A:A, Vöruskrá!G:G, "")), ""), IF(F806 = "Réttur", IFERROR(_xlfn.SINGLE(_xlfn.XLOOKUP(G806, Réttabanki!A:A, Réttabanki!AU:AU, "")), ""), "")))</f>
        <v/>
      </c>
      <c r="O806" s="26" t="str">
        <f>IF(OR(F806 = "", G806 = "", I806 = ""), "", IF(F806 = "Vara", IFERROR(_xlfn.SINGLE(_xlfn.XLOOKUP(G806, Vöruskrá!A:A, Vöruskrá!I:I, "")) * I806 / 100, ""), IF(F806 = "Réttur", IFERROR(_xlfn.SINGLE(_xlfn.XLOOKUP(G806, Réttabanki!A:A, Réttabanki!AV:AV, "")) * I806 / 100, ""), "")))</f>
        <v/>
      </c>
      <c r="P806" s="26" t="str">
        <f>IF(OR(F806 = "", G806 = "", I806 = ""), "", IF(F806 = "Vara", IFERROR(_xlfn.SINGLE(_xlfn.XLOOKUP(G806, Vöruskrá!A:A, Vöruskrá!J:J, "")) * I806 / 100, ""), IF(F806 = "Réttur", IFERROR(_xlfn.SINGLE(_xlfn.XLOOKUP(G806, Réttabanki!A:A, Réttabanki!AW:AW, "")) * I806 / 100, ""), "")))</f>
        <v/>
      </c>
      <c r="Q806" s="26" t="str">
        <f>IF(OR(F806 = "", G806 = "", I806 = ""), "", IF(F806 = "Vara", IFERROR(_xlfn.SINGLE(_xlfn.XLOOKUP(G806, Vöruskrá!A:A, Vöruskrá!N:N, "")) * I806 / 100, ""), IF(F806 = "Réttur", IFERROR(_xlfn.SINGLE(_xlfn.XLOOKUP(G806, Réttabanki!A:A, Réttabanki!BB:BB, "")) * I806 / 100, ""), "")))</f>
        <v/>
      </c>
    </row>
    <row r="807" spans="2:17">
      <c r="B807" s="33" t="str">
        <f>IF(A807&lt;&gt;"",CHOOSE(WEEKDAY(A807,2),"Mánudagur","Þriðjudagur","Miðvikudagur","Fimmtudagur","Föstudagur","Laugardagur","Sunnudagur"),IF(B806&lt;&gt;"",B806,""))</f>
        <v>Fimmtudagur</v>
      </c>
      <c r="C807" s="33">
        <f>IF(A807&lt;&gt;"",WEEKNUM(A807,21),IF(C806&lt;&gt;"",C806,""))</f>
        <v>27</v>
      </c>
      <c r="D807" s="34"/>
      <c r="E807" s="34"/>
      <c r="F807" s="34"/>
      <c r="G807" s="34"/>
      <c r="H807" s="34"/>
      <c r="I807" s="35"/>
      <c r="J807" s="35"/>
      <c r="K807" s="36"/>
      <c r="L807" s="26" t="str">
        <f>IF(OR(F807 = "", G807 = ""), "", IF(F807 = "Vara", IFERROR(_xlfn.SINGLE(_xlfn.XLOOKUP(G807, Vöruskrá!A:A, Vöruskrá!E:E, "")), ""), IF(F807 = "Réttur", IFERROR(_xlfn.SINGLE(_xlfn.XLOOKUP(G807, Réttabanki!A:A, Réttabanki!AS:AS, "")), ""), "")))</f>
        <v/>
      </c>
      <c r="M807" s="26" t="str">
        <f>IF(OR(F807 = "", G807 = ""), "", IF(F807 = "Vara", IFERROR(_xlfn.SINGLE(_xlfn.XLOOKUP(G807, Vöruskrá!A:A, Vöruskrá!F:F, "")), ""), IF(F807 = "Réttur", IFERROR(_xlfn.SINGLE(_xlfn.XLOOKUP(G807, Réttabanki!A:A, Réttabanki!AT:AT, "")), ""), "")))</f>
        <v/>
      </c>
      <c r="N807" s="26" t="str">
        <f>IF(OR(F807 = "", G807 = ""), "", IF(F807 = "Vara", IFERROR(_xlfn.SINGLE(_xlfn.XLOOKUP(G807, Vöruskrá!A:A, Vöruskrá!G:G, "")), ""), IF(F807 = "Réttur", IFERROR(_xlfn.SINGLE(_xlfn.XLOOKUP(G807, Réttabanki!A:A, Réttabanki!AU:AU, "")), ""), "")))</f>
        <v/>
      </c>
      <c r="O807" s="26" t="str">
        <f>IF(OR(F807 = "", G807 = "", I807 = ""), "", IF(F807 = "Vara", IFERROR(_xlfn.SINGLE(_xlfn.XLOOKUP(G807, Vöruskrá!A:A, Vöruskrá!I:I, "")) * I807 / 100, ""), IF(F807 = "Réttur", IFERROR(_xlfn.SINGLE(_xlfn.XLOOKUP(G807, Réttabanki!A:A, Réttabanki!AV:AV, "")) * I807 / 100, ""), "")))</f>
        <v/>
      </c>
      <c r="P807" s="26" t="str">
        <f>IF(OR(F807 = "", G807 = "", I807 = ""), "", IF(F807 = "Vara", IFERROR(_xlfn.SINGLE(_xlfn.XLOOKUP(G807, Vöruskrá!A:A, Vöruskrá!J:J, "")) * I807 / 100, ""), IF(F807 = "Réttur", IFERROR(_xlfn.SINGLE(_xlfn.XLOOKUP(G807, Réttabanki!A:A, Réttabanki!AW:AW, "")) * I807 / 100, ""), "")))</f>
        <v/>
      </c>
      <c r="Q807" s="26" t="str">
        <f>IF(OR(F807 = "", G807 = "", I807 = ""), "", IF(F807 = "Vara", IFERROR(_xlfn.SINGLE(_xlfn.XLOOKUP(G807, Vöruskrá!A:A, Vöruskrá!N:N, "")) * I807 / 100, ""), IF(F807 = "Réttur", IFERROR(_xlfn.SINGLE(_xlfn.XLOOKUP(G807, Réttabanki!A:A, Réttabanki!BB:BB, "")) * I807 / 100, ""), "")))</f>
        <v/>
      </c>
    </row>
    <row r="808" spans="2:17">
      <c r="B808" s="33" t="str">
        <f>IF(A808&lt;&gt;"",CHOOSE(WEEKDAY(A808,2),"Mánudagur","Þriðjudagur","Miðvikudagur","Fimmtudagur","Föstudagur","Laugardagur","Sunnudagur"),IF(B807&lt;&gt;"",B807,""))</f>
        <v>Fimmtudagur</v>
      </c>
      <c r="C808" s="33">
        <f>IF(A808&lt;&gt;"",WEEKNUM(A808,21),IF(C807&lt;&gt;"",C807,""))</f>
        <v>27</v>
      </c>
      <c r="D808" s="34"/>
      <c r="E808" s="34"/>
      <c r="F808" s="34"/>
      <c r="G808" s="34"/>
      <c r="H808" s="34"/>
      <c r="I808" s="35"/>
      <c r="J808" s="35"/>
      <c r="K808" s="36"/>
      <c r="L808" s="26" t="str">
        <f>IF(OR(F808 = "", G808 = ""), "", IF(F808 = "Vara", IFERROR(_xlfn.SINGLE(_xlfn.XLOOKUP(G808, Vöruskrá!A:A, Vöruskrá!E:E, "")), ""), IF(F808 = "Réttur", IFERROR(_xlfn.SINGLE(_xlfn.XLOOKUP(G808, Réttabanki!A:A, Réttabanki!AS:AS, "")), ""), "")))</f>
        <v/>
      </c>
      <c r="M808" s="26" t="str">
        <f>IF(OR(F808 = "", G808 = ""), "", IF(F808 = "Vara", IFERROR(_xlfn.SINGLE(_xlfn.XLOOKUP(G808, Vöruskrá!A:A, Vöruskrá!F:F, "")), ""), IF(F808 = "Réttur", IFERROR(_xlfn.SINGLE(_xlfn.XLOOKUP(G808, Réttabanki!A:A, Réttabanki!AT:AT, "")), ""), "")))</f>
        <v/>
      </c>
      <c r="N808" s="26" t="str">
        <f>IF(OR(F808 = "", G808 = ""), "", IF(F808 = "Vara", IFERROR(_xlfn.SINGLE(_xlfn.XLOOKUP(G808, Vöruskrá!A:A, Vöruskrá!G:G, "")), ""), IF(F808 = "Réttur", IFERROR(_xlfn.SINGLE(_xlfn.XLOOKUP(G808, Réttabanki!A:A, Réttabanki!AU:AU, "")), ""), "")))</f>
        <v/>
      </c>
      <c r="O808" s="26" t="str">
        <f>IF(OR(F808 = "", G808 = "", I808 = ""), "", IF(F808 = "Vara", IFERROR(_xlfn.SINGLE(_xlfn.XLOOKUP(G808, Vöruskrá!A:A, Vöruskrá!I:I, "")) * I808 / 100, ""), IF(F808 = "Réttur", IFERROR(_xlfn.SINGLE(_xlfn.XLOOKUP(G808, Réttabanki!A:A, Réttabanki!AV:AV, "")) * I808 / 100, ""), "")))</f>
        <v/>
      </c>
      <c r="P808" s="26" t="str">
        <f>IF(OR(F808 = "", G808 = "", I808 = ""), "", IF(F808 = "Vara", IFERROR(_xlfn.SINGLE(_xlfn.XLOOKUP(G808, Vöruskrá!A:A, Vöruskrá!J:J, "")) * I808 / 100, ""), IF(F808 = "Réttur", IFERROR(_xlfn.SINGLE(_xlfn.XLOOKUP(G808, Réttabanki!A:A, Réttabanki!AW:AW, "")) * I808 / 100, ""), "")))</f>
        <v/>
      </c>
      <c r="Q808" s="26" t="str">
        <f>IF(OR(F808 = "", G808 = "", I808 = ""), "", IF(F808 = "Vara", IFERROR(_xlfn.SINGLE(_xlfn.XLOOKUP(G808, Vöruskrá!A:A, Vöruskrá!N:N, "")) * I808 / 100, ""), IF(F808 = "Réttur", IFERROR(_xlfn.SINGLE(_xlfn.XLOOKUP(G808, Réttabanki!A:A, Réttabanki!BB:BB, "")) * I808 / 100, ""), "")))</f>
        <v/>
      </c>
    </row>
    <row r="809" spans="2:17">
      <c r="B809" s="33" t="str">
        <f>IF(A809&lt;&gt;"",CHOOSE(WEEKDAY(A809,2),"Mánudagur","Þriðjudagur","Miðvikudagur","Fimmtudagur","Föstudagur","Laugardagur","Sunnudagur"),IF(B808&lt;&gt;"",B808,""))</f>
        <v>Fimmtudagur</v>
      </c>
      <c r="C809" s="33">
        <f>IF(A809&lt;&gt;"",WEEKNUM(A809,21),IF(C808&lt;&gt;"",C808,""))</f>
        <v>27</v>
      </c>
      <c r="D809" s="34"/>
      <c r="E809" s="34"/>
      <c r="F809" s="34"/>
      <c r="G809" s="34"/>
      <c r="H809" s="34"/>
      <c r="I809" s="35"/>
      <c r="J809" s="35"/>
      <c r="K809" s="36"/>
      <c r="L809" s="26" t="str">
        <f>IF(OR(F809 = "", G809 = ""), "", IF(F809 = "Vara", IFERROR(_xlfn.SINGLE(_xlfn.XLOOKUP(G809, Vöruskrá!A:A, Vöruskrá!E:E, "")), ""), IF(F809 = "Réttur", IFERROR(_xlfn.SINGLE(_xlfn.XLOOKUP(G809, Réttabanki!A:A, Réttabanki!AS:AS, "")), ""), "")))</f>
        <v/>
      </c>
      <c r="M809" s="26" t="str">
        <f>IF(OR(F809 = "", G809 = ""), "", IF(F809 = "Vara", IFERROR(_xlfn.SINGLE(_xlfn.XLOOKUP(G809, Vöruskrá!A:A, Vöruskrá!F:F, "")), ""), IF(F809 = "Réttur", IFERROR(_xlfn.SINGLE(_xlfn.XLOOKUP(G809, Réttabanki!A:A, Réttabanki!AT:AT, "")), ""), "")))</f>
        <v/>
      </c>
      <c r="N809" s="26" t="str">
        <f>IF(OR(F809 = "", G809 = ""), "", IF(F809 = "Vara", IFERROR(_xlfn.SINGLE(_xlfn.XLOOKUP(G809, Vöruskrá!A:A, Vöruskrá!G:G, "")), ""), IF(F809 = "Réttur", IFERROR(_xlfn.SINGLE(_xlfn.XLOOKUP(G809, Réttabanki!A:A, Réttabanki!AU:AU, "")), ""), "")))</f>
        <v/>
      </c>
      <c r="O809" s="26" t="str">
        <f>IF(OR(F809 = "", G809 = "", I809 = ""), "", IF(F809 = "Vara", IFERROR(_xlfn.SINGLE(_xlfn.XLOOKUP(G809, Vöruskrá!A:A, Vöruskrá!I:I, "")) * I809 / 100, ""), IF(F809 = "Réttur", IFERROR(_xlfn.SINGLE(_xlfn.XLOOKUP(G809, Réttabanki!A:A, Réttabanki!AV:AV, "")) * I809 / 100, ""), "")))</f>
        <v/>
      </c>
      <c r="P809" s="26" t="str">
        <f>IF(OR(F809 = "", G809 = "", I809 = ""), "", IF(F809 = "Vara", IFERROR(_xlfn.SINGLE(_xlfn.XLOOKUP(G809, Vöruskrá!A:A, Vöruskrá!J:J, "")) * I809 / 100, ""), IF(F809 = "Réttur", IFERROR(_xlfn.SINGLE(_xlfn.XLOOKUP(G809, Réttabanki!A:A, Réttabanki!AW:AW, "")) * I809 / 100, ""), "")))</f>
        <v/>
      </c>
      <c r="Q809" s="26" t="str">
        <f>IF(OR(F809 = "", G809 = "", I809 = ""), "", IF(F809 = "Vara", IFERROR(_xlfn.SINGLE(_xlfn.XLOOKUP(G809, Vöruskrá!A:A, Vöruskrá!N:N, "")) * I809 / 100, ""), IF(F809 = "Réttur", IFERROR(_xlfn.SINGLE(_xlfn.XLOOKUP(G809, Réttabanki!A:A, Réttabanki!BB:BB, "")) * I809 / 100, ""), "")))</f>
        <v/>
      </c>
    </row>
    <row r="810" spans="2:17">
      <c r="B810" s="33" t="str">
        <f>IF(A810&lt;&gt;"",CHOOSE(WEEKDAY(A810,2),"Mánudagur","Þriðjudagur","Miðvikudagur","Fimmtudagur","Föstudagur","Laugardagur","Sunnudagur"),IF(B809&lt;&gt;"",B809,""))</f>
        <v>Fimmtudagur</v>
      </c>
      <c r="C810" s="33">
        <f>IF(A810&lt;&gt;"",WEEKNUM(A810,21),IF(C809&lt;&gt;"",C809,""))</f>
        <v>27</v>
      </c>
      <c r="D810" s="34"/>
      <c r="E810" s="34"/>
      <c r="F810" s="34"/>
      <c r="G810" s="34"/>
      <c r="H810" s="34"/>
      <c r="I810" s="35"/>
      <c r="J810" s="35"/>
      <c r="K810" s="36"/>
      <c r="L810" s="26" t="str">
        <f>IF(OR(F810 = "", G810 = ""), "", IF(F810 = "Vara", IFERROR(_xlfn.SINGLE(_xlfn.XLOOKUP(G810, Vöruskrá!A:A, Vöruskrá!E:E, "")), ""), IF(F810 = "Réttur", IFERROR(_xlfn.SINGLE(_xlfn.XLOOKUP(G810, Réttabanki!A:A, Réttabanki!AS:AS, "")), ""), "")))</f>
        <v/>
      </c>
      <c r="M810" s="26" t="str">
        <f>IF(OR(F810 = "", G810 = ""), "", IF(F810 = "Vara", IFERROR(_xlfn.SINGLE(_xlfn.XLOOKUP(G810, Vöruskrá!A:A, Vöruskrá!F:F, "")), ""), IF(F810 = "Réttur", IFERROR(_xlfn.SINGLE(_xlfn.XLOOKUP(G810, Réttabanki!A:A, Réttabanki!AT:AT, "")), ""), "")))</f>
        <v/>
      </c>
      <c r="N810" s="26" t="str">
        <f>IF(OR(F810 = "", G810 = ""), "", IF(F810 = "Vara", IFERROR(_xlfn.SINGLE(_xlfn.XLOOKUP(G810, Vöruskrá!A:A, Vöruskrá!G:G, "")), ""), IF(F810 = "Réttur", IFERROR(_xlfn.SINGLE(_xlfn.XLOOKUP(G810, Réttabanki!A:A, Réttabanki!AU:AU, "")), ""), "")))</f>
        <v/>
      </c>
      <c r="O810" s="26" t="str">
        <f>IF(OR(F810 = "", G810 = "", I810 = ""), "", IF(F810 = "Vara", IFERROR(_xlfn.SINGLE(_xlfn.XLOOKUP(G810, Vöruskrá!A:A, Vöruskrá!I:I, "")) * I810 / 100, ""), IF(F810 = "Réttur", IFERROR(_xlfn.SINGLE(_xlfn.XLOOKUP(G810, Réttabanki!A:A, Réttabanki!AV:AV, "")) * I810 / 100, ""), "")))</f>
        <v/>
      </c>
      <c r="P810" s="26" t="str">
        <f>IF(OR(F810 = "", G810 = "", I810 = ""), "", IF(F810 = "Vara", IFERROR(_xlfn.SINGLE(_xlfn.XLOOKUP(G810, Vöruskrá!A:A, Vöruskrá!J:J, "")) * I810 / 100, ""), IF(F810 = "Réttur", IFERROR(_xlfn.SINGLE(_xlfn.XLOOKUP(G810, Réttabanki!A:A, Réttabanki!AW:AW, "")) * I810 / 100, ""), "")))</f>
        <v/>
      </c>
      <c r="Q810" s="26" t="str">
        <f>IF(OR(F810 = "", G810 = "", I810 = ""), "", IF(F810 = "Vara", IFERROR(_xlfn.SINGLE(_xlfn.XLOOKUP(G810, Vöruskrá!A:A, Vöruskrá!N:N, "")) * I810 / 100, ""), IF(F810 = "Réttur", IFERROR(_xlfn.SINGLE(_xlfn.XLOOKUP(G810, Réttabanki!A:A, Réttabanki!BB:BB, "")) * I810 / 100, ""), "")))</f>
        <v/>
      </c>
    </row>
    <row r="811" spans="2:17">
      <c r="B811" s="33" t="str">
        <f>IF(A811&lt;&gt;"",CHOOSE(WEEKDAY(A811,2),"Mánudagur","Þriðjudagur","Miðvikudagur","Fimmtudagur","Föstudagur","Laugardagur","Sunnudagur"),IF(B810&lt;&gt;"",B810,""))</f>
        <v>Fimmtudagur</v>
      </c>
      <c r="C811" s="33">
        <f>IF(A811&lt;&gt;"",WEEKNUM(A811,21),IF(C810&lt;&gt;"",C810,""))</f>
        <v>27</v>
      </c>
      <c r="D811" s="34"/>
      <c r="E811" s="34"/>
      <c r="F811" s="34"/>
      <c r="G811" s="34"/>
      <c r="H811" s="34"/>
      <c r="I811" s="35"/>
      <c r="J811" s="35"/>
      <c r="K811" s="36"/>
      <c r="L811" s="26" t="str">
        <f>IF(OR(F811 = "", G811 = ""), "", IF(F811 = "Vara", IFERROR(_xlfn.SINGLE(_xlfn.XLOOKUP(G811, Vöruskrá!A:A, Vöruskrá!E:E, "")), ""), IF(F811 = "Réttur", IFERROR(_xlfn.SINGLE(_xlfn.XLOOKUP(G811, Réttabanki!A:A, Réttabanki!AS:AS, "")), ""), "")))</f>
        <v/>
      </c>
      <c r="M811" s="26" t="str">
        <f>IF(OR(F811 = "", G811 = ""), "", IF(F811 = "Vara", IFERROR(_xlfn.SINGLE(_xlfn.XLOOKUP(G811, Vöruskrá!A:A, Vöruskrá!F:F, "")), ""), IF(F811 = "Réttur", IFERROR(_xlfn.SINGLE(_xlfn.XLOOKUP(G811, Réttabanki!A:A, Réttabanki!AT:AT, "")), ""), "")))</f>
        <v/>
      </c>
      <c r="N811" s="26" t="str">
        <f>IF(OR(F811 = "", G811 = ""), "", IF(F811 = "Vara", IFERROR(_xlfn.SINGLE(_xlfn.XLOOKUP(G811, Vöruskrá!A:A, Vöruskrá!G:G, "")), ""), IF(F811 = "Réttur", IFERROR(_xlfn.SINGLE(_xlfn.XLOOKUP(G811, Réttabanki!A:A, Réttabanki!AU:AU, "")), ""), "")))</f>
        <v/>
      </c>
      <c r="O811" s="26" t="str">
        <f>IF(OR(F811 = "", G811 = "", I811 = ""), "", IF(F811 = "Vara", IFERROR(_xlfn.SINGLE(_xlfn.XLOOKUP(G811, Vöruskrá!A:A, Vöruskrá!I:I, "")) * I811 / 100, ""), IF(F811 = "Réttur", IFERROR(_xlfn.SINGLE(_xlfn.XLOOKUP(G811, Réttabanki!A:A, Réttabanki!AV:AV, "")) * I811 / 100, ""), "")))</f>
        <v/>
      </c>
      <c r="P811" s="26" t="str">
        <f>IF(OR(F811 = "", G811 = "", I811 = ""), "", IF(F811 = "Vara", IFERROR(_xlfn.SINGLE(_xlfn.XLOOKUP(G811, Vöruskrá!A:A, Vöruskrá!J:J, "")) * I811 / 100, ""), IF(F811 = "Réttur", IFERROR(_xlfn.SINGLE(_xlfn.XLOOKUP(G811, Réttabanki!A:A, Réttabanki!AW:AW, "")) * I811 / 100, ""), "")))</f>
        <v/>
      </c>
      <c r="Q811" s="26" t="str">
        <f>IF(OR(F811 = "", G811 = "", I811 = ""), "", IF(F811 = "Vara", IFERROR(_xlfn.SINGLE(_xlfn.XLOOKUP(G811, Vöruskrá!A:A, Vöruskrá!N:N, "")) * I811 / 100, ""), IF(F811 = "Réttur", IFERROR(_xlfn.SINGLE(_xlfn.XLOOKUP(G811, Réttabanki!A:A, Réttabanki!BB:BB, "")) * I811 / 100, ""), "")))</f>
        <v/>
      </c>
    </row>
    <row r="812" spans="2:17">
      <c r="B812" s="33" t="str">
        <f>IF(A812&lt;&gt;"",CHOOSE(WEEKDAY(A812,2),"Mánudagur","Þriðjudagur","Miðvikudagur","Fimmtudagur","Föstudagur","Laugardagur","Sunnudagur"),IF(B811&lt;&gt;"",B811,""))</f>
        <v>Fimmtudagur</v>
      </c>
      <c r="C812" s="33">
        <f>IF(A812&lt;&gt;"",WEEKNUM(A812,21),IF(C811&lt;&gt;"",C811,""))</f>
        <v>27</v>
      </c>
      <c r="D812" s="34"/>
      <c r="E812" s="34"/>
      <c r="F812" s="34"/>
      <c r="G812" s="34"/>
      <c r="H812" s="34"/>
      <c r="I812" s="35"/>
      <c r="J812" s="35"/>
      <c r="K812" s="36"/>
      <c r="L812" s="26" t="str">
        <f>IF(OR(F812 = "", G812 = ""), "", IF(F812 = "Vara", IFERROR(_xlfn.SINGLE(_xlfn.XLOOKUP(G812, Vöruskrá!A:A, Vöruskrá!E:E, "")), ""), IF(F812 = "Réttur", IFERROR(_xlfn.SINGLE(_xlfn.XLOOKUP(G812, Réttabanki!A:A, Réttabanki!AS:AS, "")), ""), "")))</f>
        <v/>
      </c>
      <c r="M812" s="26" t="str">
        <f>IF(OR(F812 = "", G812 = ""), "", IF(F812 = "Vara", IFERROR(_xlfn.SINGLE(_xlfn.XLOOKUP(G812, Vöruskrá!A:A, Vöruskrá!F:F, "")), ""), IF(F812 = "Réttur", IFERROR(_xlfn.SINGLE(_xlfn.XLOOKUP(G812, Réttabanki!A:A, Réttabanki!AT:AT, "")), ""), "")))</f>
        <v/>
      </c>
      <c r="N812" s="26" t="str">
        <f>IF(OR(F812 = "", G812 = ""), "", IF(F812 = "Vara", IFERROR(_xlfn.SINGLE(_xlfn.XLOOKUP(G812, Vöruskrá!A:A, Vöruskrá!G:G, "")), ""), IF(F812 = "Réttur", IFERROR(_xlfn.SINGLE(_xlfn.XLOOKUP(G812, Réttabanki!A:A, Réttabanki!AU:AU, "")), ""), "")))</f>
        <v/>
      </c>
      <c r="O812" s="26" t="str">
        <f>IF(OR(F812 = "", G812 = "", I812 = ""), "", IF(F812 = "Vara", IFERROR(_xlfn.SINGLE(_xlfn.XLOOKUP(G812, Vöruskrá!A:A, Vöruskrá!I:I, "")) * I812 / 100, ""), IF(F812 = "Réttur", IFERROR(_xlfn.SINGLE(_xlfn.XLOOKUP(G812, Réttabanki!A:A, Réttabanki!AV:AV, "")) * I812 / 100, ""), "")))</f>
        <v/>
      </c>
      <c r="P812" s="26" t="str">
        <f>IF(OR(F812 = "", G812 = "", I812 = ""), "", IF(F812 = "Vara", IFERROR(_xlfn.SINGLE(_xlfn.XLOOKUP(G812, Vöruskrá!A:A, Vöruskrá!J:J, "")) * I812 / 100, ""), IF(F812 = "Réttur", IFERROR(_xlfn.SINGLE(_xlfn.XLOOKUP(G812, Réttabanki!A:A, Réttabanki!AW:AW, "")) * I812 / 100, ""), "")))</f>
        <v/>
      </c>
      <c r="Q812" s="26" t="str">
        <f>IF(OR(F812 = "", G812 = "", I812 = ""), "", IF(F812 = "Vara", IFERROR(_xlfn.SINGLE(_xlfn.XLOOKUP(G812, Vöruskrá!A:A, Vöruskrá!N:N, "")) * I812 / 100, ""), IF(F812 = "Réttur", IFERROR(_xlfn.SINGLE(_xlfn.XLOOKUP(G812, Réttabanki!A:A, Réttabanki!BB:BB, "")) * I812 / 100, ""), "")))</f>
        <v/>
      </c>
    </row>
    <row r="813" spans="2:17">
      <c r="B813" s="33" t="str">
        <f>IF(A813&lt;&gt;"",CHOOSE(WEEKDAY(A813,2),"Mánudagur","Þriðjudagur","Miðvikudagur","Fimmtudagur","Föstudagur","Laugardagur","Sunnudagur"),IF(B812&lt;&gt;"",B812,""))</f>
        <v>Fimmtudagur</v>
      </c>
      <c r="C813" s="33">
        <f>IF(A813&lt;&gt;"",WEEKNUM(A813,21),IF(C812&lt;&gt;"",C812,""))</f>
        <v>27</v>
      </c>
      <c r="D813" s="34"/>
      <c r="E813" s="34"/>
      <c r="F813" s="34"/>
      <c r="G813" s="34"/>
      <c r="H813" s="34"/>
      <c r="I813" s="35"/>
      <c r="J813" s="35"/>
      <c r="K813" s="36"/>
      <c r="L813" s="26" t="str">
        <f>IF(OR(F813 = "", G813 = ""), "", IF(F813 = "Vara", IFERROR(_xlfn.SINGLE(_xlfn.XLOOKUP(G813, Vöruskrá!A:A, Vöruskrá!E:E, "")), ""), IF(F813 = "Réttur", IFERROR(_xlfn.SINGLE(_xlfn.XLOOKUP(G813, Réttabanki!A:A, Réttabanki!AS:AS, "")), ""), "")))</f>
        <v/>
      </c>
      <c r="M813" s="26" t="str">
        <f>IF(OR(F813 = "", G813 = ""), "", IF(F813 = "Vara", IFERROR(_xlfn.SINGLE(_xlfn.XLOOKUP(G813, Vöruskrá!A:A, Vöruskrá!F:F, "")), ""), IF(F813 = "Réttur", IFERROR(_xlfn.SINGLE(_xlfn.XLOOKUP(G813, Réttabanki!A:A, Réttabanki!AT:AT, "")), ""), "")))</f>
        <v/>
      </c>
      <c r="N813" s="26" t="str">
        <f>IF(OR(F813 = "", G813 = ""), "", IF(F813 = "Vara", IFERROR(_xlfn.SINGLE(_xlfn.XLOOKUP(G813, Vöruskrá!A:A, Vöruskrá!G:G, "")), ""), IF(F813 = "Réttur", IFERROR(_xlfn.SINGLE(_xlfn.XLOOKUP(G813, Réttabanki!A:A, Réttabanki!AU:AU, "")), ""), "")))</f>
        <v/>
      </c>
      <c r="O813" s="26" t="str">
        <f>IF(OR(F813 = "", G813 = "", I813 = ""), "", IF(F813 = "Vara", IFERROR(_xlfn.SINGLE(_xlfn.XLOOKUP(G813, Vöruskrá!A:A, Vöruskrá!I:I, "")) * I813 / 100, ""), IF(F813 = "Réttur", IFERROR(_xlfn.SINGLE(_xlfn.XLOOKUP(G813, Réttabanki!A:A, Réttabanki!AV:AV, "")) * I813 / 100, ""), "")))</f>
        <v/>
      </c>
      <c r="P813" s="26" t="str">
        <f>IF(OR(F813 = "", G813 = "", I813 = ""), "", IF(F813 = "Vara", IFERROR(_xlfn.SINGLE(_xlfn.XLOOKUP(G813, Vöruskrá!A:A, Vöruskrá!J:J, "")) * I813 / 100, ""), IF(F813 = "Réttur", IFERROR(_xlfn.SINGLE(_xlfn.XLOOKUP(G813, Réttabanki!A:A, Réttabanki!AW:AW, "")) * I813 / 100, ""), "")))</f>
        <v/>
      </c>
      <c r="Q813" s="26" t="str">
        <f>IF(OR(F813 = "", G813 = "", I813 = ""), "", IF(F813 = "Vara", IFERROR(_xlfn.SINGLE(_xlfn.XLOOKUP(G813, Vöruskrá!A:A, Vöruskrá!N:N, "")) * I813 / 100, ""), IF(F813 = "Réttur", IFERROR(_xlfn.SINGLE(_xlfn.XLOOKUP(G813, Réttabanki!A:A, Réttabanki!BB:BB, "")) * I813 / 100, ""), "")))</f>
        <v/>
      </c>
    </row>
    <row r="814" spans="2:17">
      <c r="B814" s="33" t="str">
        <f>IF(A814&lt;&gt;"",CHOOSE(WEEKDAY(A814,2),"Mánudagur","Þriðjudagur","Miðvikudagur","Fimmtudagur","Föstudagur","Laugardagur","Sunnudagur"),IF(B813&lt;&gt;"",B813,""))</f>
        <v>Fimmtudagur</v>
      </c>
      <c r="C814" s="33">
        <f>IF(A814&lt;&gt;"",WEEKNUM(A814,21),IF(C813&lt;&gt;"",C813,""))</f>
        <v>27</v>
      </c>
      <c r="D814" s="34"/>
      <c r="E814" s="34"/>
      <c r="F814" s="34"/>
      <c r="G814" s="34"/>
      <c r="H814" s="34"/>
      <c r="I814" s="35"/>
      <c r="J814" s="35"/>
      <c r="K814" s="36"/>
      <c r="L814" s="26" t="str">
        <f>IF(OR(F814 = "", G814 = ""), "", IF(F814 = "Vara", IFERROR(_xlfn.SINGLE(_xlfn.XLOOKUP(G814, Vöruskrá!A:A, Vöruskrá!E:E, "")), ""), IF(F814 = "Réttur", IFERROR(_xlfn.SINGLE(_xlfn.XLOOKUP(G814, Réttabanki!A:A, Réttabanki!AS:AS, "")), ""), "")))</f>
        <v/>
      </c>
      <c r="M814" s="26" t="str">
        <f>IF(OR(F814 = "", G814 = ""), "", IF(F814 = "Vara", IFERROR(_xlfn.SINGLE(_xlfn.XLOOKUP(G814, Vöruskrá!A:A, Vöruskrá!F:F, "")), ""), IF(F814 = "Réttur", IFERROR(_xlfn.SINGLE(_xlfn.XLOOKUP(G814, Réttabanki!A:A, Réttabanki!AT:AT, "")), ""), "")))</f>
        <v/>
      </c>
      <c r="N814" s="26" t="str">
        <f>IF(OR(F814 = "", G814 = ""), "", IF(F814 = "Vara", IFERROR(_xlfn.SINGLE(_xlfn.XLOOKUP(G814, Vöruskrá!A:A, Vöruskrá!G:G, "")), ""), IF(F814 = "Réttur", IFERROR(_xlfn.SINGLE(_xlfn.XLOOKUP(G814, Réttabanki!A:A, Réttabanki!AU:AU, "")), ""), "")))</f>
        <v/>
      </c>
      <c r="O814" s="26" t="str">
        <f>IF(OR(F814 = "", G814 = "", I814 = ""), "", IF(F814 = "Vara", IFERROR(_xlfn.SINGLE(_xlfn.XLOOKUP(G814, Vöruskrá!A:A, Vöruskrá!I:I, "")) * I814 / 100, ""), IF(F814 = "Réttur", IFERROR(_xlfn.SINGLE(_xlfn.XLOOKUP(G814, Réttabanki!A:A, Réttabanki!AV:AV, "")) * I814 / 100, ""), "")))</f>
        <v/>
      </c>
      <c r="P814" s="26" t="str">
        <f>IF(OR(F814 = "", G814 = "", I814 = ""), "", IF(F814 = "Vara", IFERROR(_xlfn.SINGLE(_xlfn.XLOOKUP(G814, Vöruskrá!A:A, Vöruskrá!J:J, "")) * I814 / 100, ""), IF(F814 = "Réttur", IFERROR(_xlfn.SINGLE(_xlfn.XLOOKUP(G814, Réttabanki!A:A, Réttabanki!AW:AW, "")) * I814 / 100, ""), "")))</f>
        <v/>
      </c>
      <c r="Q814" s="26" t="str">
        <f>IF(OR(F814 = "", G814 = "", I814 = ""), "", IF(F814 = "Vara", IFERROR(_xlfn.SINGLE(_xlfn.XLOOKUP(G814, Vöruskrá!A:A, Vöruskrá!N:N, "")) * I814 / 100, ""), IF(F814 = "Réttur", IFERROR(_xlfn.SINGLE(_xlfn.XLOOKUP(G814, Réttabanki!A:A, Réttabanki!BB:BB, "")) * I814 / 100, ""), "")))</f>
        <v/>
      </c>
    </row>
    <row r="815" spans="2:17">
      <c r="B815" s="33" t="str">
        <f>IF(A815&lt;&gt;"",CHOOSE(WEEKDAY(A815,2),"Mánudagur","Þriðjudagur","Miðvikudagur","Fimmtudagur","Föstudagur","Laugardagur","Sunnudagur"),IF(B814&lt;&gt;"",B814,""))</f>
        <v>Fimmtudagur</v>
      </c>
      <c r="C815" s="33">
        <f>IF(A815&lt;&gt;"",WEEKNUM(A815,21),IF(C814&lt;&gt;"",C814,""))</f>
        <v>27</v>
      </c>
      <c r="D815" s="34"/>
      <c r="E815" s="34"/>
      <c r="F815" s="34"/>
      <c r="G815" s="34"/>
      <c r="H815" s="34"/>
      <c r="I815" s="35"/>
      <c r="J815" s="35"/>
      <c r="K815" s="36"/>
      <c r="L815" s="26" t="str">
        <f>IF(OR(F815 = "", G815 = ""), "", IF(F815 = "Vara", IFERROR(_xlfn.SINGLE(_xlfn.XLOOKUP(G815, Vöruskrá!A:A, Vöruskrá!E:E, "")), ""), IF(F815 = "Réttur", IFERROR(_xlfn.SINGLE(_xlfn.XLOOKUP(G815, Réttabanki!A:A, Réttabanki!AS:AS, "")), ""), "")))</f>
        <v/>
      </c>
      <c r="M815" s="26" t="str">
        <f>IF(OR(F815 = "", G815 = ""), "", IF(F815 = "Vara", IFERROR(_xlfn.SINGLE(_xlfn.XLOOKUP(G815, Vöruskrá!A:A, Vöruskrá!F:F, "")), ""), IF(F815 = "Réttur", IFERROR(_xlfn.SINGLE(_xlfn.XLOOKUP(G815, Réttabanki!A:A, Réttabanki!AT:AT, "")), ""), "")))</f>
        <v/>
      </c>
      <c r="N815" s="26" t="str">
        <f>IF(OR(F815 = "", G815 = ""), "", IF(F815 = "Vara", IFERROR(_xlfn.SINGLE(_xlfn.XLOOKUP(G815, Vöruskrá!A:A, Vöruskrá!G:G, "")), ""), IF(F815 = "Réttur", IFERROR(_xlfn.SINGLE(_xlfn.XLOOKUP(G815, Réttabanki!A:A, Réttabanki!AU:AU, "")), ""), "")))</f>
        <v/>
      </c>
      <c r="O815" s="26" t="str">
        <f>IF(OR(F815 = "", G815 = "", I815 = ""), "", IF(F815 = "Vara", IFERROR(_xlfn.SINGLE(_xlfn.XLOOKUP(G815, Vöruskrá!A:A, Vöruskrá!I:I, "")) * I815 / 100, ""), IF(F815 = "Réttur", IFERROR(_xlfn.SINGLE(_xlfn.XLOOKUP(G815, Réttabanki!A:A, Réttabanki!AV:AV, "")) * I815 / 100, ""), "")))</f>
        <v/>
      </c>
      <c r="P815" s="26" t="str">
        <f>IF(OR(F815 = "", G815 = "", I815 = ""), "", IF(F815 = "Vara", IFERROR(_xlfn.SINGLE(_xlfn.XLOOKUP(G815, Vöruskrá!A:A, Vöruskrá!J:J, "")) * I815 / 100, ""), IF(F815 = "Réttur", IFERROR(_xlfn.SINGLE(_xlfn.XLOOKUP(G815, Réttabanki!A:A, Réttabanki!AW:AW, "")) * I815 / 100, ""), "")))</f>
        <v/>
      </c>
      <c r="Q815" s="26" t="str">
        <f>IF(OR(F815 = "", G815 = "", I815 = ""), "", IF(F815 = "Vara", IFERROR(_xlfn.SINGLE(_xlfn.XLOOKUP(G815, Vöruskrá!A:A, Vöruskrá!N:N, "")) * I815 / 100, ""), IF(F815 = "Réttur", IFERROR(_xlfn.SINGLE(_xlfn.XLOOKUP(G815, Réttabanki!A:A, Réttabanki!BB:BB, "")) * I815 / 100, ""), "")))</f>
        <v/>
      </c>
    </row>
    <row r="816" spans="2:17">
      <c r="B816" s="33" t="str">
        <f>IF(A816&lt;&gt;"",CHOOSE(WEEKDAY(A816,2),"Mánudagur","Þriðjudagur","Miðvikudagur","Fimmtudagur","Föstudagur","Laugardagur","Sunnudagur"),IF(B815&lt;&gt;"",B815,""))</f>
        <v>Fimmtudagur</v>
      </c>
      <c r="C816" s="33">
        <f>IF(A816&lt;&gt;"",WEEKNUM(A816,21),IF(C815&lt;&gt;"",C815,""))</f>
        <v>27</v>
      </c>
      <c r="D816" s="34"/>
      <c r="E816" s="34"/>
      <c r="F816" s="34"/>
      <c r="G816" s="34"/>
      <c r="H816" s="34"/>
      <c r="I816" s="35"/>
      <c r="J816" s="35"/>
      <c r="K816" s="36"/>
      <c r="L816" s="26" t="str">
        <f>IF(OR(F816 = "", G816 = ""), "", IF(F816 = "Vara", IFERROR(_xlfn.SINGLE(_xlfn.XLOOKUP(G816, Vöruskrá!A:A, Vöruskrá!E:E, "")), ""), IF(F816 = "Réttur", IFERROR(_xlfn.SINGLE(_xlfn.XLOOKUP(G816, Réttabanki!A:A, Réttabanki!AS:AS, "")), ""), "")))</f>
        <v/>
      </c>
      <c r="M816" s="26" t="str">
        <f>IF(OR(F816 = "", G816 = ""), "", IF(F816 = "Vara", IFERROR(_xlfn.SINGLE(_xlfn.XLOOKUP(G816, Vöruskrá!A:A, Vöruskrá!F:F, "")), ""), IF(F816 = "Réttur", IFERROR(_xlfn.SINGLE(_xlfn.XLOOKUP(G816, Réttabanki!A:A, Réttabanki!AT:AT, "")), ""), "")))</f>
        <v/>
      </c>
      <c r="N816" s="26" t="str">
        <f>IF(OR(F816 = "", G816 = ""), "", IF(F816 = "Vara", IFERROR(_xlfn.SINGLE(_xlfn.XLOOKUP(G816, Vöruskrá!A:A, Vöruskrá!G:G, "")), ""), IF(F816 = "Réttur", IFERROR(_xlfn.SINGLE(_xlfn.XLOOKUP(G816, Réttabanki!A:A, Réttabanki!AU:AU, "")), ""), "")))</f>
        <v/>
      </c>
      <c r="O816" s="26" t="str">
        <f>IF(OR(F816 = "", G816 = "", I816 = ""), "", IF(F816 = "Vara", IFERROR(_xlfn.SINGLE(_xlfn.XLOOKUP(G816, Vöruskrá!A:A, Vöruskrá!I:I, "")) * I816 / 100, ""), IF(F816 = "Réttur", IFERROR(_xlfn.SINGLE(_xlfn.XLOOKUP(G816, Réttabanki!A:A, Réttabanki!AV:AV, "")) * I816 / 100, ""), "")))</f>
        <v/>
      </c>
      <c r="P816" s="26" t="str">
        <f>IF(OR(F816 = "", G816 = "", I816 = ""), "", IF(F816 = "Vara", IFERROR(_xlfn.SINGLE(_xlfn.XLOOKUP(G816, Vöruskrá!A:A, Vöruskrá!J:J, "")) * I816 / 100, ""), IF(F816 = "Réttur", IFERROR(_xlfn.SINGLE(_xlfn.XLOOKUP(G816, Réttabanki!A:A, Réttabanki!AW:AW, "")) * I816 / 100, ""), "")))</f>
        <v/>
      </c>
      <c r="Q816" s="26" t="str">
        <f>IF(OR(F816 = "", G816 = "", I816 = ""), "", IF(F816 = "Vara", IFERROR(_xlfn.SINGLE(_xlfn.XLOOKUP(G816, Vöruskrá!A:A, Vöruskrá!N:N, "")) * I816 / 100, ""), IF(F816 = "Réttur", IFERROR(_xlfn.SINGLE(_xlfn.XLOOKUP(G816, Réttabanki!A:A, Réttabanki!BB:BB, "")) * I816 / 100, ""), "")))</f>
        <v/>
      </c>
    </row>
    <row r="817" spans="2:17">
      <c r="B817" s="33" t="str">
        <f>IF(A817&lt;&gt;"",CHOOSE(WEEKDAY(A817,2),"Mánudagur","Þriðjudagur","Miðvikudagur","Fimmtudagur","Föstudagur","Laugardagur","Sunnudagur"),IF(B816&lt;&gt;"",B816,""))</f>
        <v>Fimmtudagur</v>
      </c>
      <c r="C817" s="33">
        <f>IF(A817&lt;&gt;"",WEEKNUM(A817,21),IF(C816&lt;&gt;"",C816,""))</f>
        <v>27</v>
      </c>
      <c r="D817" s="34"/>
      <c r="E817" s="34"/>
      <c r="F817" s="34"/>
      <c r="G817" s="34"/>
      <c r="H817" s="34"/>
      <c r="I817" s="35"/>
      <c r="J817" s="35"/>
      <c r="K817" s="36"/>
      <c r="L817" s="26" t="str">
        <f>IF(OR(F817 = "", G817 = ""), "", IF(F817 = "Vara", IFERROR(_xlfn.SINGLE(_xlfn.XLOOKUP(G817, Vöruskrá!A:A, Vöruskrá!E:E, "")), ""), IF(F817 = "Réttur", IFERROR(_xlfn.SINGLE(_xlfn.XLOOKUP(G817, Réttabanki!A:A, Réttabanki!AS:AS, "")), ""), "")))</f>
        <v/>
      </c>
      <c r="M817" s="26" t="str">
        <f>IF(OR(F817 = "", G817 = ""), "", IF(F817 = "Vara", IFERROR(_xlfn.SINGLE(_xlfn.XLOOKUP(G817, Vöruskrá!A:A, Vöruskrá!F:F, "")), ""), IF(F817 = "Réttur", IFERROR(_xlfn.SINGLE(_xlfn.XLOOKUP(G817, Réttabanki!A:A, Réttabanki!AT:AT, "")), ""), "")))</f>
        <v/>
      </c>
      <c r="N817" s="26" t="str">
        <f>IF(OR(F817 = "", G817 = ""), "", IF(F817 = "Vara", IFERROR(_xlfn.SINGLE(_xlfn.XLOOKUP(G817, Vöruskrá!A:A, Vöruskrá!G:G, "")), ""), IF(F817 = "Réttur", IFERROR(_xlfn.SINGLE(_xlfn.XLOOKUP(G817, Réttabanki!A:A, Réttabanki!AU:AU, "")), ""), "")))</f>
        <v/>
      </c>
      <c r="O817" s="26" t="str">
        <f>IF(OR(F817 = "", G817 = "", I817 = ""), "", IF(F817 = "Vara", IFERROR(_xlfn.SINGLE(_xlfn.XLOOKUP(G817, Vöruskrá!A:A, Vöruskrá!I:I, "")) * I817 / 100, ""), IF(F817 = "Réttur", IFERROR(_xlfn.SINGLE(_xlfn.XLOOKUP(G817, Réttabanki!A:A, Réttabanki!AV:AV, "")) * I817 / 100, ""), "")))</f>
        <v/>
      </c>
      <c r="P817" s="26" t="str">
        <f>IF(OR(F817 = "", G817 = "", I817 = ""), "", IF(F817 = "Vara", IFERROR(_xlfn.SINGLE(_xlfn.XLOOKUP(G817, Vöruskrá!A:A, Vöruskrá!J:J, "")) * I817 / 100, ""), IF(F817 = "Réttur", IFERROR(_xlfn.SINGLE(_xlfn.XLOOKUP(G817, Réttabanki!A:A, Réttabanki!AW:AW, "")) * I817 / 100, ""), "")))</f>
        <v/>
      </c>
      <c r="Q817" s="26" t="str">
        <f>IF(OR(F817 = "", G817 = "", I817 = ""), "", IF(F817 = "Vara", IFERROR(_xlfn.SINGLE(_xlfn.XLOOKUP(G817, Vöruskrá!A:A, Vöruskrá!N:N, "")) * I817 / 100, ""), IF(F817 = "Réttur", IFERROR(_xlfn.SINGLE(_xlfn.XLOOKUP(G817, Réttabanki!A:A, Réttabanki!BB:BB, "")) * I817 / 100, ""), "")))</f>
        <v/>
      </c>
    </row>
    <row r="818" spans="2:17">
      <c r="B818" s="33" t="str">
        <f>IF(A818&lt;&gt;"",CHOOSE(WEEKDAY(A818,2),"Mánudagur","Þriðjudagur","Miðvikudagur","Fimmtudagur","Föstudagur","Laugardagur","Sunnudagur"),IF(B817&lt;&gt;"",B817,""))</f>
        <v>Fimmtudagur</v>
      </c>
      <c r="C818" s="33">
        <f>IF(A818&lt;&gt;"",WEEKNUM(A818,21),IF(C817&lt;&gt;"",C817,""))</f>
        <v>27</v>
      </c>
      <c r="D818" s="34"/>
      <c r="E818" s="34"/>
      <c r="F818" s="34"/>
      <c r="G818" s="34"/>
      <c r="H818" s="34"/>
      <c r="I818" s="35"/>
      <c r="J818" s="35"/>
      <c r="K818" s="36"/>
      <c r="L818" s="26" t="str">
        <f>IF(OR(F818 = "", G818 = ""), "", IF(F818 = "Vara", IFERROR(_xlfn.SINGLE(_xlfn.XLOOKUP(G818, Vöruskrá!A:A, Vöruskrá!E:E, "")), ""), IF(F818 = "Réttur", IFERROR(_xlfn.SINGLE(_xlfn.XLOOKUP(G818, Réttabanki!A:A, Réttabanki!AS:AS, "")), ""), "")))</f>
        <v/>
      </c>
      <c r="M818" s="26" t="str">
        <f>IF(OR(F818 = "", G818 = ""), "", IF(F818 = "Vara", IFERROR(_xlfn.SINGLE(_xlfn.XLOOKUP(G818, Vöruskrá!A:A, Vöruskrá!F:F, "")), ""), IF(F818 = "Réttur", IFERROR(_xlfn.SINGLE(_xlfn.XLOOKUP(G818, Réttabanki!A:A, Réttabanki!AT:AT, "")), ""), "")))</f>
        <v/>
      </c>
      <c r="N818" s="26" t="str">
        <f>IF(OR(F818 = "", G818 = ""), "", IF(F818 = "Vara", IFERROR(_xlfn.SINGLE(_xlfn.XLOOKUP(G818, Vöruskrá!A:A, Vöruskrá!G:G, "")), ""), IF(F818 = "Réttur", IFERROR(_xlfn.SINGLE(_xlfn.XLOOKUP(G818, Réttabanki!A:A, Réttabanki!AU:AU, "")), ""), "")))</f>
        <v/>
      </c>
      <c r="O818" s="26" t="str">
        <f>IF(OR(F818 = "", G818 = "", I818 = ""), "", IF(F818 = "Vara", IFERROR(_xlfn.SINGLE(_xlfn.XLOOKUP(G818, Vöruskrá!A:A, Vöruskrá!I:I, "")) * I818 / 100, ""), IF(F818 = "Réttur", IFERROR(_xlfn.SINGLE(_xlfn.XLOOKUP(G818, Réttabanki!A:A, Réttabanki!AV:AV, "")) * I818 / 100, ""), "")))</f>
        <v/>
      </c>
      <c r="P818" s="26" t="str">
        <f>IF(OR(F818 = "", G818 = "", I818 = ""), "", IF(F818 = "Vara", IFERROR(_xlfn.SINGLE(_xlfn.XLOOKUP(G818, Vöruskrá!A:A, Vöruskrá!J:J, "")) * I818 / 100, ""), IF(F818 = "Réttur", IFERROR(_xlfn.SINGLE(_xlfn.XLOOKUP(G818, Réttabanki!A:A, Réttabanki!AW:AW, "")) * I818 / 100, ""), "")))</f>
        <v/>
      </c>
      <c r="Q818" s="26" t="str">
        <f>IF(OR(F818 = "", G818 = "", I818 = ""), "", IF(F818 = "Vara", IFERROR(_xlfn.SINGLE(_xlfn.XLOOKUP(G818, Vöruskrá!A:A, Vöruskrá!N:N, "")) * I818 / 100, ""), IF(F818 = "Réttur", IFERROR(_xlfn.SINGLE(_xlfn.XLOOKUP(G818, Réttabanki!A:A, Réttabanki!BB:BB, "")) * I818 / 100, ""), "")))</f>
        <v/>
      </c>
    </row>
    <row r="819" spans="2:17">
      <c r="B819" s="33" t="str">
        <f>IF(A819&lt;&gt;"",CHOOSE(WEEKDAY(A819,2),"Mánudagur","Þriðjudagur","Miðvikudagur","Fimmtudagur","Föstudagur","Laugardagur","Sunnudagur"),IF(B818&lt;&gt;"",B818,""))</f>
        <v>Fimmtudagur</v>
      </c>
      <c r="C819" s="33">
        <f>IF(A819&lt;&gt;"",WEEKNUM(A819,21),IF(C818&lt;&gt;"",C818,""))</f>
        <v>27</v>
      </c>
      <c r="D819" s="34"/>
      <c r="E819" s="34"/>
      <c r="F819" s="34"/>
      <c r="G819" s="34"/>
      <c r="H819" s="34"/>
      <c r="I819" s="35"/>
      <c r="J819" s="35"/>
      <c r="K819" s="36"/>
      <c r="L819" s="26" t="str">
        <f>IF(OR(F819 = "", G819 = ""), "", IF(F819 = "Vara", IFERROR(_xlfn.SINGLE(_xlfn.XLOOKUP(G819, Vöruskrá!A:A, Vöruskrá!E:E, "")), ""), IF(F819 = "Réttur", IFERROR(_xlfn.SINGLE(_xlfn.XLOOKUP(G819, Réttabanki!A:A, Réttabanki!AS:AS, "")), ""), "")))</f>
        <v/>
      </c>
      <c r="M819" s="26" t="str">
        <f>IF(OR(F819 = "", G819 = ""), "", IF(F819 = "Vara", IFERROR(_xlfn.SINGLE(_xlfn.XLOOKUP(G819, Vöruskrá!A:A, Vöruskrá!F:F, "")), ""), IF(F819 = "Réttur", IFERROR(_xlfn.SINGLE(_xlfn.XLOOKUP(G819, Réttabanki!A:A, Réttabanki!AT:AT, "")), ""), "")))</f>
        <v/>
      </c>
      <c r="N819" s="26" t="str">
        <f>IF(OR(F819 = "", G819 = ""), "", IF(F819 = "Vara", IFERROR(_xlfn.SINGLE(_xlfn.XLOOKUP(G819, Vöruskrá!A:A, Vöruskrá!G:G, "")), ""), IF(F819 = "Réttur", IFERROR(_xlfn.SINGLE(_xlfn.XLOOKUP(G819, Réttabanki!A:A, Réttabanki!AU:AU, "")), ""), "")))</f>
        <v/>
      </c>
      <c r="O819" s="26" t="str">
        <f>IF(OR(F819 = "", G819 = "", I819 = ""), "", IF(F819 = "Vara", IFERROR(_xlfn.SINGLE(_xlfn.XLOOKUP(G819, Vöruskrá!A:A, Vöruskrá!I:I, "")) * I819 / 100, ""), IF(F819 = "Réttur", IFERROR(_xlfn.SINGLE(_xlfn.XLOOKUP(G819, Réttabanki!A:A, Réttabanki!AV:AV, "")) * I819 / 100, ""), "")))</f>
        <v/>
      </c>
      <c r="P819" s="26" t="str">
        <f>IF(OR(F819 = "", G819 = "", I819 = ""), "", IF(F819 = "Vara", IFERROR(_xlfn.SINGLE(_xlfn.XLOOKUP(G819, Vöruskrá!A:A, Vöruskrá!J:J, "")) * I819 / 100, ""), IF(F819 = "Réttur", IFERROR(_xlfn.SINGLE(_xlfn.XLOOKUP(G819, Réttabanki!A:A, Réttabanki!AW:AW, "")) * I819 / 100, ""), "")))</f>
        <v/>
      </c>
      <c r="Q819" s="26" t="str">
        <f>IF(OR(F819 = "", G819 = "", I819 = ""), "", IF(F819 = "Vara", IFERROR(_xlfn.SINGLE(_xlfn.XLOOKUP(G819, Vöruskrá!A:A, Vöruskrá!N:N, "")) * I819 / 100, ""), IF(F819 = "Réttur", IFERROR(_xlfn.SINGLE(_xlfn.XLOOKUP(G819, Réttabanki!A:A, Réttabanki!BB:BB, "")) * I819 / 100, ""), "")))</f>
        <v/>
      </c>
    </row>
    <row r="820" spans="2:17">
      <c r="B820" s="33" t="str">
        <f>IF(A820&lt;&gt;"",CHOOSE(WEEKDAY(A820,2),"Mánudagur","Þriðjudagur","Miðvikudagur","Fimmtudagur","Föstudagur","Laugardagur","Sunnudagur"),IF(B819&lt;&gt;"",B819,""))</f>
        <v>Fimmtudagur</v>
      </c>
      <c r="C820" s="33">
        <f>IF(A820&lt;&gt;"",WEEKNUM(A820,21),IF(C819&lt;&gt;"",C819,""))</f>
        <v>27</v>
      </c>
      <c r="D820" s="34"/>
      <c r="E820" s="34"/>
      <c r="F820" s="34"/>
      <c r="G820" s="34"/>
      <c r="H820" s="34"/>
      <c r="I820" s="35"/>
      <c r="J820" s="35"/>
      <c r="K820" s="36"/>
      <c r="L820" s="26" t="str">
        <f>IF(OR(F820 = "", G820 = ""), "", IF(F820 = "Vara", IFERROR(_xlfn.SINGLE(_xlfn.XLOOKUP(G820, Vöruskrá!A:A, Vöruskrá!E:E, "")), ""), IF(F820 = "Réttur", IFERROR(_xlfn.SINGLE(_xlfn.XLOOKUP(G820, Réttabanki!A:A, Réttabanki!AS:AS, "")), ""), "")))</f>
        <v/>
      </c>
      <c r="M820" s="26" t="str">
        <f>IF(OR(F820 = "", G820 = ""), "", IF(F820 = "Vara", IFERROR(_xlfn.SINGLE(_xlfn.XLOOKUP(G820, Vöruskrá!A:A, Vöruskrá!F:F, "")), ""), IF(F820 = "Réttur", IFERROR(_xlfn.SINGLE(_xlfn.XLOOKUP(G820, Réttabanki!A:A, Réttabanki!AT:AT, "")), ""), "")))</f>
        <v/>
      </c>
      <c r="N820" s="26" t="str">
        <f>IF(OR(F820 = "", G820 = ""), "", IF(F820 = "Vara", IFERROR(_xlfn.SINGLE(_xlfn.XLOOKUP(G820, Vöruskrá!A:A, Vöruskrá!G:G, "")), ""), IF(F820 = "Réttur", IFERROR(_xlfn.SINGLE(_xlfn.XLOOKUP(G820, Réttabanki!A:A, Réttabanki!AU:AU, "")), ""), "")))</f>
        <v/>
      </c>
      <c r="O820" s="26" t="str">
        <f>IF(OR(F820 = "", G820 = "", I820 = ""), "", IF(F820 = "Vara", IFERROR(_xlfn.SINGLE(_xlfn.XLOOKUP(G820, Vöruskrá!A:A, Vöruskrá!I:I, "")) * I820 / 100, ""), IF(F820 = "Réttur", IFERROR(_xlfn.SINGLE(_xlfn.XLOOKUP(G820, Réttabanki!A:A, Réttabanki!AV:AV, "")) * I820 / 100, ""), "")))</f>
        <v/>
      </c>
      <c r="P820" s="26" t="str">
        <f>IF(OR(F820 = "", G820 = "", I820 = ""), "", IF(F820 = "Vara", IFERROR(_xlfn.SINGLE(_xlfn.XLOOKUP(G820, Vöruskrá!A:A, Vöruskrá!J:J, "")) * I820 / 100, ""), IF(F820 = "Réttur", IFERROR(_xlfn.SINGLE(_xlfn.XLOOKUP(G820, Réttabanki!A:A, Réttabanki!AW:AW, "")) * I820 / 100, ""), "")))</f>
        <v/>
      </c>
      <c r="Q820" s="26" t="str">
        <f>IF(OR(F820 = "", G820 = "", I820 = ""), "", IF(F820 = "Vara", IFERROR(_xlfn.SINGLE(_xlfn.XLOOKUP(G820, Vöruskrá!A:A, Vöruskrá!N:N, "")) * I820 / 100, ""), IF(F820 = "Réttur", IFERROR(_xlfn.SINGLE(_xlfn.XLOOKUP(G820, Réttabanki!A:A, Réttabanki!BB:BB, "")) * I820 / 100, ""), "")))</f>
        <v/>
      </c>
    </row>
    <row r="821" spans="2:17">
      <c r="B821" s="33" t="str">
        <f>IF(A821&lt;&gt;"",CHOOSE(WEEKDAY(A821,2),"Mánudagur","Þriðjudagur","Miðvikudagur","Fimmtudagur","Föstudagur","Laugardagur","Sunnudagur"),IF(B820&lt;&gt;"",B820,""))</f>
        <v>Fimmtudagur</v>
      </c>
      <c r="C821" s="33">
        <f>IF(A821&lt;&gt;"",WEEKNUM(A821,21),IF(C820&lt;&gt;"",C820,""))</f>
        <v>27</v>
      </c>
      <c r="D821" s="34"/>
      <c r="E821" s="34"/>
      <c r="F821" s="34"/>
      <c r="G821" s="34"/>
      <c r="H821" s="34"/>
      <c r="I821" s="35"/>
      <c r="J821" s="35"/>
      <c r="K821" s="36"/>
      <c r="L821" s="26" t="str">
        <f>IF(OR(F821 = "", G821 = ""), "", IF(F821 = "Vara", IFERROR(_xlfn.SINGLE(_xlfn.XLOOKUP(G821, Vöruskrá!A:A, Vöruskrá!E:E, "")), ""), IF(F821 = "Réttur", IFERROR(_xlfn.SINGLE(_xlfn.XLOOKUP(G821, Réttabanki!A:A, Réttabanki!AS:AS, "")), ""), "")))</f>
        <v/>
      </c>
      <c r="M821" s="26" t="str">
        <f>IF(OR(F821 = "", G821 = ""), "", IF(F821 = "Vara", IFERROR(_xlfn.SINGLE(_xlfn.XLOOKUP(G821, Vöruskrá!A:A, Vöruskrá!F:F, "")), ""), IF(F821 = "Réttur", IFERROR(_xlfn.SINGLE(_xlfn.XLOOKUP(G821, Réttabanki!A:A, Réttabanki!AT:AT, "")), ""), "")))</f>
        <v/>
      </c>
      <c r="N821" s="26" t="str">
        <f>IF(OR(F821 = "", G821 = ""), "", IF(F821 = "Vara", IFERROR(_xlfn.SINGLE(_xlfn.XLOOKUP(G821, Vöruskrá!A:A, Vöruskrá!G:G, "")), ""), IF(F821 = "Réttur", IFERROR(_xlfn.SINGLE(_xlfn.XLOOKUP(G821, Réttabanki!A:A, Réttabanki!AU:AU, "")), ""), "")))</f>
        <v/>
      </c>
      <c r="O821" s="26" t="str">
        <f>IF(OR(F821 = "", G821 = "", I821 = ""), "", IF(F821 = "Vara", IFERROR(_xlfn.SINGLE(_xlfn.XLOOKUP(G821, Vöruskrá!A:A, Vöruskrá!I:I, "")) * I821 / 100, ""), IF(F821 = "Réttur", IFERROR(_xlfn.SINGLE(_xlfn.XLOOKUP(G821, Réttabanki!A:A, Réttabanki!AV:AV, "")) * I821 / 100, ""), "")))</f>
        <v/>
      </c>
      <c r="P821" s="26" t="str">
        <f>IF(OR(F821 = "", G821 = "", I821 = ""), "", IF(F821 = "Vara", IFERROR(_xlfn.SINGLE(_xlfn.XLOOKUP(G821, Vöruskrá!A:A, Vöruskrá!J:J, "")) * I821 / 100, ""), IF(F821 = "Réttur", IFERROR(_xlfn.SINGLE(_xlfn.XLOOKUP(G821, Réttabanki!A:A, Réttabanki!AW:AW, "")) * I821 / 100, ""), "")))</f>
        <v/>
      </c>
      <c r="Q821" s="26" t="str">
        <f>IF(OR(F821 = "", G821 = "", I821 = ""), "", IF(F821 = "Vara", IFERROR(_xlfn.SINGLE(_xlfn.XLOOKUP(G821, Vöruskrá!A:A, Vöruskrá!N:N, "")) * I821 / 100, ""), IF(F821 = "Réttur", IFERROR(_xlfn.SINGLE(_xlfn.XLOOKUP(G821, Réttabanki!A:A, Réttabanki!BB:BB, "")) * I821 / 100, ""), "")))</f>
        <v/>
      </c>
    </row>
    <row r="822" spans="2:17">
      <c r="B822" s="33" t="str">
        <f>IF(A822&lt;&gt;"",CHOOSE(WEEKDAY(A822,2),"Mánudagur","Þriðjudagur","Miðvikudagur","Fimmtudagur","Föstudagur","Laugardagur","Sunnudagur"),IF(B821&lt;&gt;"",B821,""))</f>
        <v>Fimmtudagur</v>
      </c>
      <c r="C822" s="33">
        <f>IF(A822&lt;&gt;"",WEEKNUM(A822,21),IF(C821&lt;&gt;"",C821,""))</f>
        <v>27</v>
      </c>
      <c r="D822" s="34"/>
      <c r="E822" s="34"/>
      <c r="F822" s="34"/>
      <c r="G822" s="34"/>
      <c r="H822" s="34"/>
      <c r="I822" s="35"/>
      <c r="J822" s="35"/>
      <c r="K822" s="36"/>
      <c r="L822" s="26" t="str">
        <f>IF(OR(F822 = "", G822 = ""), "", IF(F822 = "Vara", IFERROR(_xlfn.SINGLE(_xlfn.XLOOKUP(G822, Vöruskrá!A:A, Vöruskrá!E:E, "")), ""), IF(F822 = "Réttur", IFERROR(_xlfn.SINGLE(_xlfn.XLOOKUP(G822, Réttabanki!A:A, Réttabanki!AS:AS, "")), ""), "")))</f>
        <v/>
      </c>
      <c r="M822" s="26" t="str">
        <f>IF(OR(F822 = "", G822 = ""), "", IF(F822 = "Vara", IFERROR(_xlfn.SINGLE(_xlfn.XLOOKUP(G822, Vöruskrá!A:A, Vöruskrá!F:F, "")), ""), IF(F822 = "Réttur", IFERROR(_xlfn.SINGLE(_xlfn.XLOOKUP(G822, Réttabanki!A:A, Réttabanki!AT:AT, "")), ""), "")))</f>
        <v/>
      </c>
      <c r="N822" s="26" t="str">
        <f>IF(OR(F822 = "", G822 = ""), "", IF(F822 = "Vara", IFERROR(_xlfn.SINGLE(_xlfn.XLOOKUP(G822, Vöruskrá!A:A, Vöruskrá!G:G, "")), ""), IF(F822 = "Réttur", IFERROR(_xlfn.SINGLE(_xlfn.XLOOKUP(G822, Réttabanki!A:A, Réttabanki!AU:AU, "")), ""), "")))</f>
        <v/>
      </c>
      <c r="O822" s="26" t="str">
        <f>IF(OR(F822 = "", G822 = "", I822 = ""), "", IF(F822 = "Vara", IFERROR(_xlfn.SINGLE(_xlfn.XLOOKUP(G822, Vöruskrá!A:A, Vöruskrá!I:I, "")) * I822 / 100, ""), IF(F822 = "Réttur", IFERROR(_xlfn.SINGLE(_xlfn.XLOOKUP(G822, Réttabanki!A:A, Réttabanki!AV:AV, "")) * I822 / 100, ""), "")))</f>
        <v/>
      </c>
      <c r="P822" s="26" t="str">
        <f>IF(OR(F822 = "", G822 = "", I822 = ""), "", IF(F822 = "Vara", IFERROR(_xlfn.SINGLE(_xlfn.XLOOKUP(G822, Vöruskrá!A:A, Vöruskrá!J:J, "")) * I822 / 100, ""), IF(F822 = "Réttur", IFERROR(_xlfn.SINGLE(_xlfn.XLOOKUP(G822, Réttabanki!A:A, Réttabanki!AW:AW, "")) * I822 / 100, ""), "")))</f>
        <v/>
      </c>
      <c r="Q822" s="26" t="str">
        <f>IF(OR(F822 = "", G822 = "", I822 = ""), "", IF(F822 = "Vara", IFERROR(_xlfn.SINGLE(_xlfn.XLOOKUP(G822, Vöruskrá!A:A, Vöruskrá!N:N, "")) * I822 / 100, ""), IF(F822 = "Réttur", IFERROR(_xlfn.SINGLE(_xlfn.XLOOKUP(G822, Réttabanki!A:A, Réttabanki!BB:BB, "")) * I822 / 100, ""), "")))</f>
        <v/>
      </c>
    </row>
    <row r="823" spans="2:17">
      <c r="B823" s="33" t="str">
        <f>IF(A823&lt;&gt;"",CHOOSE(WEEKDAY(A823,2),"Mánudagur","Þriðjudagur","Miðvikudagur","Fimmtudagur","Föstudagur","Laugardagur","Sunnudagur"),IF(B822&lt;&gt;"",B822,""))</f>
        <v>Fimmtudagur</v>
      </c>
      <c r="C823" s="33">
        <f>IF(A823&lt;&gt;"",WEEKNUM(A823,21),IF(C822&lt;&gt;"",C822,""))</f>
        <v>27</v>
      </c>
      <c r="D823" s="34"/>
      <c r="E823" s="34"/>
      <c r="F823" s="34"/>
      <c r="G823" s="34"/>
      <c r="H823" s="34"/>
      <c r="I823" s="35"/>
      <c r="J823" s="35"/>
      <c r="K823" s="36"/>
      <c r="L823" s="26" t="str">
        <f>IF(OR(F823 = "", G823 = ""), "", IF(F823 = "Vara", IFERROR(_xlfn.SINGLE(_xlfn.XLOOKUP(G823, Vöruskrá!A:A, Vöruskrá!E:E, "")), ""), IF(F823 = "Réttur", IFERROR(_xlfn.SINGLE(_xlfn.XLOOKUP(G823, Réttabanki!A:A, Réttabanki!AS:AS, "")), ""), "")))</f>
        <v/>
      </c>
      <c r="M823" s="26" t="str">
        <f>IF(OR(F823 = "", G823 = ""), "", IF(F823 = "Vara", IFERROR(_xlfn.SINGLE(_xlfn.XLOOKUP(G823, Vöruskrá!A:A, Vöruskrá!F:F, "")), ""), IF(F823 = "Réttur", IFERROR(_xlfn.SINGLE(_xlfn.XLOOKUP(G823, Réttabanki!A:A, Réttabanki!AT:AT, "")), ""), "")))</f>
        <v/>
      </c>
      <c r="N823" s="26" t="str">
        <f>IF(OR(F823 = "", G823 = ""), "", IF(F823 = "Vara", IFERROR(_xlfn.SINGLE(_xlfn.XLOOKUP(G823, Vöruskrá!A:A, Vöruskrá!G:G, "")), ""), IF(F823 = "Réttur", IFERROR(_xlfn.SINGLE(_xlfn.XLOOKUP(G823, Réttabanki!A:A, Réttabanki!AU:AU, "")), ""), "")))</f>
        <v/>
      </c>
      <c r="O823" s="26" t="str">
        <f>IF(OR(F823 = "", G823 = "", I823 = ""), "", IF(F823 = "Vara", IFERROR(_xlfn.SINGLE(_xlfn.XLOOKUP(G823, Vöruskrá!A:A, Vöruskrá!I:I, "")) * I823 / 100, ""), IF(F823 = "Réttur", IFERROR(_xlfn.SINGLE(_xlfn.XLOOKUP(G823, Réttabanki!A:A, Réttabanki!AV:AV, "")) * I823 / 100, ""), "")))</f>
        <v/>
      </c>
      <c r="P823" s="26" t="str">
        <f>IF(OR(F823 = "", G823 = "", I823 = ""), "", IF(F823 = "Vara", IFERROR(_xlfn.SINGLE(_xlfn.XLOOKUP(G823, Vöruskrá!A:A, Vöruskrá!J:J, "")) * I823 / 100, ""), IF(F823 = "Réttur", IFERROR(_xlfn.SINGLE(_xlfn.XLOOKUP(G823, Réttabanki!A:A, Réttabanki!AW:AW, "")) * I823 / 100, ""), "")))</f>
        <v/>
      </c>
      <c r="Q823" s="26" t="str">
        <f>IF(OR(F823 = "", G823 = "", I823 = ""), "", IF(F823 = "Vara", IFERROR(_xlfn.SINGLE(_xlfn.XLOOKUP(G823, Vöruskrá!A:A, Vöruskrá!N:N, "")) * I823 / 100, ""), IF(F823 = "Réttur", IFERROR(_xlfn.SINGLE(_xlfn.XLOOKUP(G823, Réttabanki!A:A, Réttabanki!BB:BB, "")) * I823 / 100, ""), "")))</f>
        <v/>
      </c>
    </row>
    <row r="824" spans="2:17">
      <c r="B824" s="33" t="str">
        <f>IF(A824&lt;&gt;"",CHOOSE(WEEKDAY(A824,2),"Mánudagur","Þriðjudagur","Miðvikudagur","Fimmtudagur","Föstudagur","Laugardagur","Sunnudagur"),IF(B823&lt;&gt;"",B823,""))</f>
        <v>Fimmtudagur</v>
      </c>
      <c r="C824" s="33">
        <f>IF(A824&lt;&gt;"",WEEKNUM(A824,21),IF(C823&lt;&gt;"",C823,""))</f>
        <v>27</v>
      </c>
      <c r="D824" s="34"/>
      <c r="E824" s="34"/>
      <c r="F824" s="34"/>
      <c r="G824" s="34"/>
      <c r="H824" s="34"/>
      <c r="I824" s="35"/>
      <c r="J824" s="35"/>
      <c r="K824" s="36"/>
      <c r="L824" s="26" t="str">
        <f>IF(OR(F824 = "", G824 = ""), "", IF(F824 = "Vara", IFERROR(_xlfn.SINGLE(_xlfn.XLOOKUP(G824, Vöruskrá!A:A, Vöruskrá!E:E, "")), ""), IF(F824 = "Réttur", IFERROR(_xlfn.SINGLE(_xlfn.XLOOKUP(G824, Réttabanki!A:A, Réttabanki!AS:AS, "")), ""), "")))</f>
        <v/>
      </c>
      <c r="M824" s="26" t="str">
        <f>IF(OR(F824 = "", G824 = ""), "", IF(F824 = "Vara", IFERROR(_xlfn.SINGLE(_xlfn.XLOOKUP(G824, Vöruskrá!A:A, Vöruskrá!F:F, "")), ""), IF(F824 = "Réttur", IFERROR(_xlfn.SINGLE(_xlfn.XLOOKUP(G824, Réttabanki!A:A, Réttabanki!AT:AT, "")), ""), "")))</f>
        <v/>
      </c>
      <c r="N824" s="26" t="str">
        <f>IF(OR(F824 = "", G824 = ""), "", IF(F824 = "Vara", IFERROR(_xlfn.SINGLE(_xlfn.XLOOKUP(G824, Vöruskrá!A:A, Vöruskrá!G:G, "")), ""), IF(F824 = "Réttur", IFERROR(_xlfn.SINGLE(_xlfn.XLOOKUP(G824, Réttabanki!A:A, Réttabanki!AU:AU, "")), ""), "")))</f>
        <v/>
      </c>
      <c r="O824" s="26" t="str">
        <f>IF(OR(F824 = "", G824 = "", I824 = ""), "", IF(F824 = "Vara", IFERROR(_xlfn.SINGLE(_xlfn.XLOOKUP(G824, Vöruskrá!A:A, Vöruskrá!I:I, "")) * I824 / 100, ""), IF(F824 = "Réttur", IFERROR(_xlfn.SINGLE(_xlfn.XLOOKUP(G824, Réttabanki!A:A, Réttabanki!AV:AV, "")) * I824 / 100, ""), "")))</f>
        <v/>
      </c>
      <c r="P824" s="26" t="str">
        <f>IF(OR(F824 = "", G824 = "", I824 = ""), "", IF(F824 = "Vara", IFERROR(_xlfn.SINGLE(_xlfn.XLOOKUP(G824, Vöruskrá!A:A, Vöruskrá!J:J, "")) * I824 / 100, ""), IF(F824 = "Réttur", IFERROR(_xlfn.SINGLE(_xlfn.XLOOKUP(G824, Réttabanki!A:A, Réttabanki!AW:AW, "")) * I824 / 100, ""), "")))</f>
        <v/>
      </c>
      <c r="Q824" s="26" t="str">
        <f>IF(OR(F824 = "", G824 = "", I824 = ""), "", IF(F824 = "Vara", IFERROR(_xlfn.SINGLE(_xlfn.XLOOKUP(G824, Vöruskrá!A:A, Vöruskrá!N:N, "")) * I824 / 100, ""), IF(F824 = "Réttur", IFERROR(_xlfn.SINGLE(_xlfn.XLOOKUP(G824, Réttabanki!A:A, Réttabanki!BB:BB, "")) * I824 / 100, ""), "")))</f>
        <v/>
      </c>
    </row>
    <row r="825" spans="2:17">
      <c r="B825" s="33" t="str">
        <f>IF(A825&lt;&gt;"",CHOOSE(WEEKDAY(A825,2),"Mánudagur","Þriðjudagur","Miðvikudagur","Fimmtudagur","Föstudagur","Laugardagur","Sunnudagur"),IF(B824&lt;&gt;"",B824,""))</f>
        <v>Fimmtudagur</v>
      </c>
      <c r="C825" s="33">
        <f>IF(A825&lt;&gt;"",WEEKNUM(A825,21),IF(C824&lt;&gt;"",C824,""))</f>
        <v>27</v>
      </c>
      <c r="D825" s="34"/>
      <c r="E825" s="34"/>
      <c r="F825" s="34"/>
      <c r="G825" s="34"/>
      <c r="H825" s="34"/>
      <c r="I825" s="35"/>
      <c r="J825" s="35"/>
      <c r="K825" s="36"/>
      <c r="L825" s="26" t="str">
        <f>IF(OR(F825 = "", G825 = ""), "", IF(F825 = "Vara", IFERROR(_xlfn.SINGLE(_xlfn.XLOOKUP(G825, Vöruskrá!A:A, Vöruskrá!E:E, "")), ""), IF(F825 = "Réttur", IFERROR(_xlfn.SINGLE(_xlfn.XLOOKUP(G825, Réttabanki!A:A, Réttabanki!AS:AS, "")), ""), "")))</f>
        <v/>
      </c>
      <c r="M825" s="26" t="str">
        <f>IF(OR(F825 = "", G825 = ""), "", IF(F825 = "Vara", IFERROR(_xlfn.SINGLE(_xlfn.XLOOKUP(G825, Vöruskrá!A:A, Vöruskrá!F:F, "")), ""), IF(F825 = "Réttur", IFERROR(_xlfn.SINGLE(_xlfn.XLOOKUP(G825, Réttabanki!A:A, Réttabanki!AT:AT, "")), ""), "")))</f>
        <v/>
      </c>
      <c r="N825" s="26" t="str">
        <f>IF(OR(F825 = "", G825 = ""), "", IF(F825 = "Vara", IFERROR(_xlfn.SINGLE(_xlfn.XLOOKUP(G825, Vöruskrá!A:A, Vöruskrá!G:G, "")), ""), IF(F825 = "Réttur", IFERROR(_xlfn.SINGLE(_xlfn.XLOOKUP(G825, Réttabanki!A:A, Réttabanki!AU:AU, "")), ""), "")))</f>
        <v/>
      </c>
      <c r="O825" s="26" t="str">
        <f>IF(OR(F825 = "", G825 = "", I825 = ""), "", IF(F825 = "Vara", IFERROR(_xlfn.SINGLE(_xlfn.XLOOKUP(G825, Vöruskrá!A:A, Vöruskrá!I:I, "")) * I825 / 100, ""), IF(F825 = "Réttur", IFERROR(_xlfn.SINGLE(_xlfn.XLOOKUP(G825, Réttabanki!A:A, Réttabanki!AV:AV, "")) * I825 / 100, ""), "")))</f>
        <v/>
      </c>
      <c r="P825" s="26" t="str">
        <f>IF(OR(F825 = "", G825 = "", I825 = ""), "", IF(F825 = "Vara", IFERROR(_xlfn.SINGLE(_xlfn.XLOOKUP(G825, Vöruskrá!A:A, Vöruskrá!J:J, "")) * I825 / 100, ""), IF(F825 = "Réttur", IFERROR(_xlfn.SINGLE(_xlfn.XLOOKUP(G825, Réttabanki!A:A, Réttabanki!AW:AW, "")) * I825 / 100, ""), "")))</f>
        <v/>
      </c>
      <c r="Q825" s="26" t="str">
        <f>IF(OR(F825 = "", G825 = "", I825 = ""), "", IF(F825 = "Vara", IFERROR(_xlfn.SINGLE(_xlfn.XLOOKUP(G825, Vöruskrá!A:A, Vöruskrá!N:N, "")) * I825 / 100, ""), IF(F825 = "Réttur", IFERROR(_xlfn.SINGLE(_xlfn.XLOOKUP(G825, Réttabanki!A:A, Réttabanki!BB:BB, "")) * I825 / 100, ""), "")))</f>
        <v/>
      </c>
    </row>
    <row r="826" spans="2:17">
      <c r="B826" s="33" t="str">
        <f>IF(A826&lt;&gt;"",CHOOSE(WEEKDAY(A826,2),"Mánudagur","Þriðjudagur","Miðvikudagur","Fimmtudagur","Föstudagur","Laugardagur","Sunnudagur"),IF(B825&lt;&gt;"",B825,""))</f>
        <v>Fimmtudagur</v>
      </c>
      <c r="C826" s="33">
        <f>IF(A826&lt;&gt;"",WEEKNUM(A826,21),IF(C825&lt;&gt;"",C825,""))</f>
        <v>27</v>
      </c>
      <c r="D826" s="34"/>
      <c r="E826" s="34"/>
      <c r="F826" s="34"/>
      <c r="G826" s="34"/>
      <c r="H826" s="34"/>
      <c r="I826" s="35"/>
      <c r="J826" s="35"/>
      <c r="K826" s="36"/>
      <c r="L826" s="26" t="str">
        <f>IF(OR(F826 = "", G826 = ""), "", IF(F826 = "Vara", IFERROR(_xlfn.SINGLE(_xlfn.XLOOKUP(G826, Vöruskrá!A:A, Vöruskrá!E:E, "")), ""), IF(F826 = "Réttur", IFERROR(_xlfn.SINGLE(_xlfn.XLOOKUP(G826, Réttabanki!A:A, Réttabanki!AS:AS, "")), ""), "")))</f>
        <v/>
      </c>
      <c r="M826" s="26" t="str">
        <f>IF(OR(F826 = "", G826 = ""), "", IF(F826 = "Vara", IFERROR(_xlfn.SINGLE(_xlfn.XLOOKUP(G826, Vöruskrá!A:A, Vöruskrá!F:F, "")), ""), IF(F826 = "Réttur", IFERROR(_xlfn.SINGLE(_xlfn.XLOOKUP(G826, Réttabanki!A:A, Réttabanki!AT:AT, "")), ""), "")))</f>
        <v/>
      </c>
      <c r="N826" s="26" t="str">
        <f>IF(OR(F826 = "", G826 = ""), "", IF(F826 = "Vara", IFERROR(_xlfn.SINGLE(_xlfn.XLOOKUP(G826, Vöruskrá!A:A, Vöruskrá!G:G, "")), ""), IF(F826 = "Réttur", IFERROR(_xlfn.SINGLE(_xlfn.XLOOKUP(G826, Réttabanki!A:A, Réttabanki!AU:AU, "")), ""), "")))</f>
        <v/>
      </c>
      <c r="O826" s="26" t="str">
        <f>IF(OR(F826 = "", G826 = "", I826 = ""), "", IF(F826 = "Vara", IFERROR(_xlfn.SINGLE(_xlfn.XLOOKUP(G826, Vöruskrá!A:A, Vöruskrá!I:I, "")) * I826 / 100, ""), IF(F826 = "Réttur", IFERROR(_xlfn.SINGLE(_xlfn.XLOOKUP(G826, Réttabanki!A:A, Réttabanki!AV:AV, "")) * I826 / 100, ""), "")))</f>
        <v/>
      </c>
      <c r="P826" s="26" t="str">
        <f>IF(OR(F826 = "", G826 = "", I826 = ""), "", IF(F826 = "Vara", IFERROR(_xlfn.SINGLE(_xlfn.XLOOKUP(G826, Vöruskrá!A:A, Vöruskrá!J:J, "")) * I826 / 100, ""), IF(F826 = "Réttur", IFERROR(_xlfn.SINGLE(_xlfn.XLOOKUP(G826, Réttabanki!A:A, Réttabanki!AW:AW, "")) * I826 / 100, ""), "")))</f>
        <v/>
      </c>
      <c r="Q826" s="26" t="str">
        <f>IF(OR(F826 = "", G826 = "", I826 = ""), "", IF(F826 = "Vara", IFERROR(_xlfn.SINGLE(_xlfn.XLOOKUP(G826, Vöruskrá!A:A, Vöruskrá!N:N, "")) * I826 / 100, ""), IF(F826 = "Réttur", IFERROR(_xlfn.SINGLE(_xlfn.XLOOKUP(G826, Réttabanki!A:A, Réttabanki!BB:BB, "")) * I826 / 100, ""), "")))</f>
        <v/>
      </c>
    </row>
    <row r="827" spans="2:17">
      <c r="B827" s="33" t="str">
        <f>IF(A827&lt;&gt;"",CHOOSE(WEEKDAY(A827,2),"Mánudagur","Þriðjudagur","Miðvikudagur","Fimmtudagur","Föstudagur","Laugardagur","Sunnudagur"),IF(B826&lt;&gt;"",B826,""))</f>
        <v>Fimmtudagur</v>
      </c>
      <c r="C827" s="33">
        <f>IF(A827&lt;&gt;"",WEEKNUM(A827,21),IF(C826&lt;&gt;"",C826,""))</f>
        <v>27</v>
      </c>
      <c r="D827" s="34"/>
      <c r="E827" s="34"/>
      <c r="F827" s="34"/>
      <c r="G827" s="34"/>
      <c r="H827" s="34"/>
      <c r="I827" s="35"/>
      <c r="J827" s="35"/>
      <c r="K827" s="36"/>
      <c r="L827" s="26" t="str">
        <f>IF(OR(F827 = "", G827 = ""), "", IF(F827 = "Vara", IFERROR(_xlfn.SINGLE(_xlfn.XLOOKUP(G827, Vöruskrá!A:A, Vöruskrá!E:E, "")), ""), IF(F827 = "Réttur", IFERROR(_xlfn.SINGLE(_xlfn.XLOOKUP(G827, Réttabanki!A:A, Réttabanki!AS:AS, "")), ""), "")))</f>
        <v/>
      </c>
      <c r="M827" s="26" t="str">
        <f>IF(OR(F827 = "", G827 = ""), "", IF(F827 = "Vara", IFERROR(_xlfn.SINGLE(_xlfn.XLOOKUP(G827, Vöruskrá!A:A, Vöruskrá!F:F, "")), ""), IF(F827 = "Réttur", IFERROR(_xlfn.SINGLE(_xlfn.XLOOKUP(G827, Réttabanki!A:A, Réttabanki!AT:AT, "")), ""), "")))</f>
        <v/>
      </c>
      <c r="N827" s="26" t="str">
        <f>IF(OR(F827 = "", G827 = ""), "", IF(F827 = "Vara", IFERROR(_xlfn.SINGLE(_xlfn.XLOOKUP(G827, Vöruskrá!A:A, Vöruskrá!G:G, "")), ""), IF(F827 = "Réttur", IFERROR(_xlfn.SINGLE(_xlfn.XLOOKUP(G827, Réttabanki!A:A, Réttabanki!AU:AU, "")), ""), "")))</f>
        <v/>
      </c>
      <c r="O827" s="26" t="str">
        <f>IF(OR(F827 = "", G827 = "", I827 = ""), "", IF(F827 = "Vara", IFERROR(_xlfn.SINGLE(_xlfn.XLOOKUP(G827, Vöruskrá!A:A, Vöruskrá!I:I, "")) * I827 / 100, ""), IF(F827 = "Réttur", IFERROR(_xlfn.SINGLE(_xlfn.XLOOKUP(G827, Réttabanki!A:A, Réttabanki!AV:AV, "")) * I827 / 100, ""), "")))</f>
        <v/>
      </c>
      <c r="P827" s="26" t="str">
        <f>IF(OR(F827 = "", G827 = "", I827 = ""), "", IF(F827 = "Vara", IFERROR(_xlfn.SINGLE(_xlfn.XLOOKUP(G827, Vöruskrá!A:A, Vöruskrá!J:J, "")) * I827 / 100, ""), IF(F827 = "Réttur", IFERROR(_xlfn.SINGLE(_xlfn.XLOOKUP(G827, Réttabanki!A:A, Réttabanki!AW:AW, "")) * I827 / 100, ""), "")))</f>
        <v/>
      </c>
      <c r="Q827" s="26" t="str">
        <f>IF(OR(F827 = "", G827 = "", I827 = ""), "", IF(F827 = "Vara", IFERROR(_xlfn.SINGLE(_xlfn.XLOOKUP(G827, Vöruskrá!A:A, Vöruskrá!N:N, "")) * I827 / 100, ""), IF(F827 = "Réttur", IFERROR(_xlfn.SINGLE(_xlfn.XLOOKUP(G827, Réttabanki!A:A, Réttabanki!BB:BB, "")) * I827 / 100, ""), "")))</f>
        <v/>
      </c>
    </row>
    <row r="828" spans="2:17">
      <c r="B828" s="33" t="str">
        <f>IF(A828&lt;&gt;"",CHOOSE(WEEKDAY(A828,2),"Mánudagur","Þriðjudagur","Miðvikudagur","Fimmtudagur","Föstudagur","Laugardagur","Sunnudagur"),IF(B827&lt;&gt;"",B827,""))</f>
        <v>Fimmtudagur</v>
      </c>
      <c r="C828" s="33">
        <f>IF(A828&lt;&gt;"",WEEKNUM(A828,21),IF(C827&lt;&gt;"",C827,""))</f>
        <v>27</v>
      </c>
      <c r="D828" s="34"/>
      <c r="E828" s="34"/>
      <c r="F828" s="34"/>
      <c r="G828" s="34"/>
      <c r="H828" s="34"/>
      <c r="I828" s="35"/>
      <c r="J828" s="35"/>
      <c r="K828" s="36"/>
      <c r="L828" s="26" t="str">
        <f>IF(OR(F828 = "", G828 = ""), "", IF(F828 = "Vara", IFERROR(_xlfn.SINGLE(_xlfn.XLOOKUP(G828, Vöruskrá!A:A, Vöruskrá!E:E, "")), ""), IF(F828 = "Réttur", IFERROR(_xlfn.SINGLE(_xlfn.XLOOKUP(G828, Réttabanki!A:A, Réttabanki!AS:AS, "")), ""), "")))</f>
        <v/>
      </c>
      <c r="M828" s="26" t="str">
        <f>IF(OR(F828 = "", G828 = ""), "", IF(F828 = "Vara", IFERROR(_xlfn.SINGLE(_xlfn.XLOOKUP(G828, Vöruskrá!A:A, Vöruskrá!F:F, "")), ""), IF(F828 = "Réttur", IFERROR(_xlfn.SINGLE(_xlfn.XLOOKUP(G828, Réttabanki!A:A, Réttabanki!AT:AT, "")), ""), "")))</f>
        <v/>
      </c>
      <c r="N828" s="26" t="str">
        <f>IF(OR(F828 = "", G828 = ""), "", IF(F828 = "Vara", IFERROR(_xlfn.SINGLE(_xlfn.XLOOKUP(G828, Vöruskrá!A:A, Vöruskrá!G:G, "")), ""), IF(F828 = "Réttur", IFERROR(_xlfn.SINGLE(_xlfn.XLOOKUP(G828, Réttabanki!A:A, Réttabanki!AU:AU, "")), ""), "")))</f>
        <v/>
      </c>
      <c r="O828" s="26" t="str">
        <f>IF(OR(F828 = "", G828 = "", I828 = ""), "", IF(F828 = "Vara", IFERROR(_xlfn.SINGLE(_xlfn.XLOOKUP(G828, Vöruskrá!A:A, Vöruskrá!I:I, "")) * I828 / 100, ""), IF(F828 = "Réttur", IFERROR(_xlfn.SINGLE(_xlfn.XLOOKUP(G828, Réttabanki!A:A, Réttabanki!AV:AV, "")) * I828 / 100, ""), "")))</f>
        <v/>
      </c>
      <c r="P828" s="26" t="str">
        <f>IF(OR(F828 = "", G828 = "", I828 = ""), "", IF(F828 = "Vara", IFERROR(_xlfn.SINGLE(_xlfn.XLOOKUP(G828, Vöruskrá!A:A, Vöruskrá!J:J, "")) * I828 / 100, ""), IF(F828 = "Réttur", IFERROR(_xlfn.SINGLE(_xlfn.XLOOKUP(G828, Réttabanki!A:A, Réttabanki!AW:AW, "")) * I828 / 100, ""), "")))</f>
        <v/>
      </c>
      <c r="Q828" s="26" t="str">
        <f>IF(OR(F828 = "", G828 = "", I828 = ""), "", IF(F828 = "Vara", IFERROR(_xlfn.SINGLE(_xlfn.XLOOKUP(G828, Vöruskrá!A:A, Vöruskrá!N:N, "")) * I828 / 100, ""), IF(F828 = "Réttur", IFERROR(_xlfn.SINGLE(_xlfn.XLOOKUP(G828, Réttabanki!A:A, Réttabanki!BB:BB, "")) * I828 / 100, ""), "")))</f>
        <v/>
      </c>
    </row>
    <row r="829" spans="2:17">
      <c r="B829" s="33" t="str">
        <f>IF(A829&lt;&gt;"",CHOOSE(WEEKDAY(A829,2),"Mánudagur","Þriðjudagur","Miðvikudagur","Fimmtudagur","Föstudagur","Laugardagur","Sunnudagur"),IF(B828&lt;&gt;"",B828,""))</f>
        <v>Fimmtudagur</v>
      </c>
      <c r="C829" s="33">
        <f>IF(A829&lt;&gt;"",WEEKNUM(A829,21),IF(C828&lt;&gt;"",C828,""))</f>
        <v>27</v>
      </c>
      <c r="D829" s="34"/>
      <c r="E829" s="34"/>
      <c r="F829" s="34"/>
      <c r="G829" s="34"/>
      <c r="H829" s="34"/>
      <c r="I829" s="35"/>
      <c r="J829" s="35"/>
      <c r="K829" s="36"/>
      <c r="L829" s="26" t="str">
        <f>IF(OR(F829 = "", G829 = ""), "", IF(F829 = "Vara", IFERROR(_xlfn.SINGLE(_xlfn.XLOOKUP(G829, Vöruskrá!A:A, Vöruskrá!E:E, "")), ""), IF(F829 = "Réttur", IFERROR(_xlfn.SINGLE(_xlfn.XLOOKUP(G829, Réttabanki!A:A, Réttabanki!AS:AS, "")), ""), "")))</f>
        <v/>
      </c>
      <c r="M829" s="26" t="str">
        <f>IF(OR(F829 = "", G829 = ""), "", IF(F829 = "Vara", IFERROR(_xlfn.SINGLE(_xlfn.XLOOKUP(G829, Vöruskrá!A:A, Vöruskrá!F:F, "")), ""), IF(F829 = "Réttur", IFERROR(_xlfn.SINGLE(_xlfn.XLOOKUP(G829, Réttabanki!A:A, Réttabanki!AT:AT, "")), ""), "")))</f>
        <v/>
      </c>
      <c r="N829" s="26" t="str">
        <f>IF(OR(F829 = "", G829 = ""), "", IF(F829 = "Vara", IFERROR(_xlfn.SINGLE(_xlfn.XLOOKUP(G829, Vöruskrá!A:A, Vöruskrá!G:G, "")), ""), IF(F829 = "Réttur", IFERROR(_xlfn.SINGLE(_xlfn.XLOOKUP(G829, Réttabanki!A:A, Réttabanki!AU:AU, "")), ""), "")))</f>
        <v/>
      </c>
      <c r="O829" s="26" t="str">
        <f>IF(OR(F829 = "", G829 = "", I829 = ""), "", IF(F829 = "Vara", IFERROR(_xlfn.SINGLE(_xlfn.XLOOKUP(G829, Vöruskrá!A:A, Vöruskrá!I:I, "")) * I829 / 100, ""), IF(F829 = "Réttur", IFERROR(_xlfn.SINGLE(_xlfn.XLOOKUP(G829, Réttabanki!A:A, Réttabanki!AV:AV, "")) * I829 / 100, ""), "")))</f>
        <v/>
      </c>
      <c r="P829" s="26" t="str">
        <f>IF(OR(F829 = "", G829 = "", I829 = ""), "", IF(F829 = "Vara", IFERROR(_xlfn.SINGLE(_xlfn.XLOOKUP(G829, Vöruskrá!A:A, Vöruskrá!J:J, "")) * I829 / 100, ""), IF(F829 = "Réttur", IFERROR(_xlfn.SINGLE(_xlfn.XLOOKUP(G829, Réttabanki!A:A, Réttabanki!AW:AW, "")) * I829 / 100, ""), "")))</f>
        <v/>
      </c>
      <c r="Q829" s="26" t="str">
        <f>IF(OR(F829 = "", G829 = "", I829 = ""), "", IF(F829 = "Vara", IFERROR(_xlfn.SINGLE(_xlfn.XLOOKUP(G829, Vöruskrá!A:A, Vöruskrá!N:N, "")) * I829 / 100, ""), IF(F829 = "Réttur", IFERROR(_xlfn.SINGLE(_xlfn.XLOOKUP(G829, Réttabanki!A:A, Réttabanki!BB:BB, "")) * I829 / 100, ""), "")))</f>
        <v/>
      </c>
    </row>
    <row r="830" spans="2:17">
      <c r="B830" s="33" t="str">
        <f>IF(A830&lt;&gt;"",CHOOSE(WEEKDAY(A830,2),"Mánudagur","Þriðjudagur","Miðvikudagur","Fimmtudagur","Föstudagur","Laugardagur","Sunnudagur"),IF(B829&lt;&gt;"",B829,""))</f>
        <v>Fimmtudagur</v>
      </c>
      <c r="C830" s="33">
        <f>IF(A830&lt;&gt;"",WEEKNUM(A830,21),IF(C829&lt;&gt;"",C829,""))</f>
        <v>27</v>
      </c>
      <c r="D830" s="34"/>
      <c r="E830" s="34"/>
      <c r="F830" s="34"/>
      <c r="G830" s="34"/>
      <c r="H830" s="34"/>
      <c r="I830" s="35"/>
      <c r="J830" s="35"/>
      <c r="K830" s="36"/>
      <c r="L830" s="26" t="str">
        <f>IF(OR(F830 = "", G830 = ""), "", IF(F830 = "Vara", IFERROR(_xlfn.SINGLE(_xlfn.XLOOKUP(G830, Vöruskrá!A:A, Vöruskrá!E:E, "")), ""), IF(F830 = "Réttur", IFERROR(_xlfn.SINGLE(_xlfn.XLOOKUP(G830, Réttabanki!A:A, Réttabanki!AS:AS, "")), ""), "")))</f>
        <v/>
      </c>
      <c r="M830" s="26" t="str">
        <f>IF(OR(F830 = "", G830 = ""), "", IF(F830 = "Vara", IFERROR(_xlfn.SINGLE(_xlfn.XLOOKUP(G830, Vöruskrá!A:A, Vöruskrá!F:F, "")), ""), IF(F830 = "Réttur", IFERROR(_xlfn.SINGLE(_xlfn.XLOOKUP(G830, Réttabanki!A:A, Réttabanki!AT:AT, "")), ""), "")))</f>
        <v/>
      </c>
      <c r="N830" s="26" t="str">
        <f>IF(OR(F830 = "", G830 = ""), "", IF(F830 = "Vara", IFERROR(_xlfn.SINGLE(_xlfn.XLOOKUP(G830, Vöruskrá!A:A, Vöruskrá!G:G, "")), ""), IF(F830 = "Réttur", IFERROR(_xlfn.SINGLE(_xlfn.XLOOKUP(G830, Réttabanki!A:A, Réttabanki!AU:AU, "")), ""), "")))</f>
        <v/>
      </c>
      <c r="O830" s="26" t="str">
        <f>IF(OR(F830 = "", G830 = "", I830 = ""), "", IF(F830 = "Vara", IFERROR(_xlfn.SINGLE(_xlfn.XLOOKUP(G830, Vöruskrá!A:A, Vöruskrá!I:I, "")) * I830 / 100, ""), IF(F830 = "Réttur", IFERROR(_xlfn.SINGLE(_xlfn.XLOOKUP(G830, Réttabanki!A:A, Réttabanki!AV:AV, "")) * I830 / 100, ""), "")))</f>
        <v/>
      </c>
      <c r="P830" s="26" t="str">
        <f>IF(OR(F830 = "", G830 = "", I830 = ""), "", IF(F830 = "Vara", IFERROR(_xlfn.SINGLE(_xlfn.XLOOKUP(G830, Vöruskrá!A:A, Vöruskrá!J:J, "")) * I830 / 100, ""), IF(F830 = "Réttur", IFERROR(_xlfn.SINGLE(_xlfn.XLOOKUP(G830, Réttabanki!A:A, Réttabanki!AW:AW, "")) * I830 / 100, ""), "")))</f>
        <v/>
      </c>
      <c r="Q830" s="26" t="str">
        <f>IF(OR(F830 = "", G830 = "", I830 = ""), "", IF(F830 = "Vara", IFERROR(_xlfn.SINGLE(_xlfn.XLOOKUP(G830, Vöruskrá!A:A, Vöruskrá!N:N, "")) * I830 / 100, ""), IF(F830 = "Réttur", IFERROR(_xlfn.SINGLE(_xlfn.XLOOKUP(G830, Réttabanki!A:A, Réttabanki!BB:BB, "")) * I830 / 100, ""), "")))</f>
        <v/>
      </c>
    </row>
    <row r="831" spans="2:17">
      <c r="B831" s="33" t="str">
        <f>IF(A831&lt;&gt;"",CHOOSE(WEEKDAY(A831,2),"Mánudagur","Þriðjudagur","Miðvikudagur","Fimmtudagur","Föstudagur","Laugardagur","Sunnudagur"),IF(B830&lt;&gt;"",B830,""))</f>
        <v>Fimmtudagur</v>
      </c>
      <c r="C831" s="33">
        <f>IF(A831&lt;&gt;"",WEEKNUM(A831,21),IF(C830&lt;&gt;"",C830,""))</f>
        <v>27</v>
      </c>
      <c r="D831" s="34"/>
      <c r="E831" s="34"/>
      <c r="F831" s="34"/>
      <c r="G831" s="34"/>
      <c r="H831" s="34"/>
      <c r="I831" s="35"/>
      <c r="J831" s="35"/>
      <c r="K831" s="36"/>
      <c r="L831" s="26" t="str">
        <f>IF(OR(F831 = "", G831 = ""), "", IF(F831 = "Vara", IFERROR(_xlfn.SINGLE(_xlfn.XLOOKUP(G831, Vöruskrá!A:A, Vöruskrá!E:E, "")), ""), IF(F831 = "Réttur", IFERROR(_xlfn.SINGLE(_xlfn.XLOOKUP(G831, Réttabanki!A:A, Réttabanki!AS:AS, "")), ""), "")))</f>
        <v/>
      </c>
      <c r="M831" s="26" t="str">
        <f>IF(OR(F831 = "", G831 = ""), "", IF(F831 = "Vara", IFERROR(_xlfn.SINGLE(_xlfn.XLOOKUP(G831, Vöruskrá!A:A, Vöruskrá!F:F, "")), ""), IF(F831 = "Réttur", IFERROR(_xlfn.SINGLE(_xlfn.XLOOKUP(G831, Réttabanki!A:A, Réttabanki!AT:AT, "")), ""), "")))</f>
        <v/>
      </c>
      <c r="N831" s="26" t="str">
        <f>IF(OR(F831 = "", G831 = ""), "", IF(F831 = "Vara", IFERROR(_xlfn.SINGLE(_xlfn.XLOOKUP(G831, Vöruskrá!A:A, Vöruskrá!G:G, "")), ""), IF(F831 = "Réttur", IFERROR(_xlfn.SINGLE(_xlfn.XLOOKUP(G831, Réttabanki!A:A, Réttabanki!AU:AU, "")), ""), "")))</f>
        <v/>
      </c>
      <c r="O831" s="26" t="str">
        <f>IF(OR(F831 = "", G831 = "", I831 = ""), "", IF(F831 = "Vara", IFERROR(_xlfn.SINGLE(_xlfn.XLOOKUP(G831, Vöruskrá!A:A, Vöruskrá!I:I, "")) * I831 / 100, ""), IF(F831 = "Réttur", IFERROR(_xlfn.SINGLE(_xlfn.XLOOKUP(G831, Réttabanki!A:A, Réttabanki!AV:AV, "")) * I831 / 100, ""), "")))</f>
        <v/>
      </c>
      <c r="P831" s="26" t="str">
        <f>IF(OR(F831 = "", G831 = "", I831 = ""), "", IF(F831 = "Vara", IFERROR(_xlfn.SINGLE(_xlfn.XLOOKUP(G831, Vöruskrá!A:A, Vöruskrá!J:J, "")) * I831 / 100, ""), IF(F831 = "Réttur", IFERROR(_xlfn.SINGLE(_xlfn.XLOOKUP(G831, Réttabanki!A:A, Réttabanki!AW:AW, "")) * I831 / 100, ""), "")))</f>
        <v/>
      </c>
      <c r="Q831" s="26" t="str">
        <f>IF(OR(F831 = "", G831 = "", I831 = ""), "", IF(F831 = "Vara", IFERROR(_xlfn.SINGLE(_xlfn.XLOOKUP(G831, Vöruskrá!A:A, Vöruskrá!N:N, "")) * I831 / 100, ""), IF(F831 = "Réttur", IFERROR(_xlfn.SINGLE(_xlfn.XLOOKUP(G831, Réttabanki!A:A, Réttabanki!BB:BB, "")) * I831 / 100, ""), "")))</f>
        <v/>
      </c>
    </row>
    <row r="832" spans="2:17">
      <c r="B832" s="33" t="str">
        <f>IF(A832&lt;&gt;"",CHOOSE(WEEKDAY(A832,2),"Mánudagur","Þriðjudagur","Miðvikudagur","Fimmtudagur","Föstudagur","Laugardagur","Sunnudagur"),IF(B831&lt;&gt;"",B831,""))</f>
        <v>Fimmtudagur</v>
      </c>
      <c r="C832" s="33">
        <f>IF(A832&lt;&gt;"",WEEKNUM(A832,21),IF(C831&lt;&gt;"",C831,""))</f>
        <v>27</v>
      </c>
      <c r="D832" s="34"/>
      <c r="E832" s="34"/>
      <c r="F832" s="34"/>
      <c r="G832" s="34"/>
      <c r="H832" s="34"/>
      <c r="I832" s="35"/>
      <c r="J832" s="35"/>
      <c r="K832" s="36"/>
      <c r="L832" s="26" t="str">
        <f>IF(OR(F832 = "", G832 = ""), "", IF(F832 = "Vara", IFERROR(_xlfn.SINGLE(_xlfn.XLOOKUP(G832, Vöruskrá!A:A, Vöruskrá!E:E, "")), ""), IF(F832 = "Réttur", IFERROR(_xlfn.SINGLE(_xlfn.XLOOKUP(G832, Réttabanki!A:A, Réttabanki!AS:AS, "")), ""), "")))</f>
        <v/>
      </c>
      <c r="M832" s="26" t="str">
        <f>IF(OR(F832 = "", G832 = ""), "", IF(F832 = "Vara", IFERROR(_xlfn.SINGLE(_xlfn.XLOOKUP(G832, Vöruskrá!A:A, Vöruskrá!F:F, "")), ""), IF(F832 = "Réttur", IFERROR(_xlfn.SINGLE(_xlfn.XLOOKUP(G832, Réttabanki!A:A, Réttabanki!AT:AT, "")), ""), "")))</f>
        <v/>
      </c>
      <c r="N832" s="26" t="str">
        <f>IF(OR(F832 = "", G832 = ""), "", IF(F832 = "Vara", IFERROR(_xlfn.SINGLE(_xlfn.XLOOKUP(G832, Vöruskrá!A:A, Vöruskrá!G:G, "")), ""), IF(F832 = "Réttur", IFERROR(_xlfn.SINGLE(_xlfn.XLOOKUP(G832, Réttabanki!A:A, Réttabanki!AU:AU, "")), ""), "")))</f>
        <v/>
      </c>
      <c r="O832" s="26" t="str">
        <f>IF(OR(F832 = "", G832 = "", I832 = ""), "", IF(F832 = "Vara", IFERROR(_xlfn.SINGLE(_xlfn.XLOOKUP(G832, Vöruskrá!A:A, Vöruskrá!I:I, "")) * I832 / 100, ""), IF(F832 = "Réttur", IFERROR(_xlfn.SINGLE(_xlfn.XLOOKUP(G832, Réttabanki!A:A, Réttabanki!AV:AV, "")) * I832 / 100, ""), "")))</f>
        <v/>
      </c>
      <c r="P832" s="26" t="str">
        <f>IF(OR(F832 = "", G832 = "", I832 = ""), "", IF(F832 = "Vara", IFERROR(_xlfn.SINGLE(_xlfn.XLOOKUP(G832, Vöruskrá!A:A, Vöruskrá!J:J, "")) * I832 / 100, ""), IF(F832 = "Réttur", IFERROR(_xlfn.SINGLE(_xlfn.XLOOKUP(G832, Réttabanki!A:A, Réttabanki!AW:AW, "")) * I832 / 100, ""), "")))</f>
        <v/>
      </c>
      <c r="Q832" s="26" t="str">
        <f>IF(OR(F832 = "", G832 = "", I832 = ""), "", IF(F832 = "Vara", IFERROR(_xlfn.SINGLE(_xlfn.XLOOKUP(G832, Vöruskrá!A:A, Vöruskrá!N:N, "")) * I832 / 100, ""), IF(F832 = "Réttur", IFERROR(_xlfn.SINGLE(_xlfn.XLOOKUP(G832, Réttabanki!A:A, Réttabanki!BB:BB, "")) * I832 / 100, ""), "")))</f>
        <v/>
      </c>
    </row>
    <row r="833" spans="2:17">
      <c r="B833" s="33" t="str">
        <f>IF(A833&lt;&gt;"",CHOOSE(WEEKDAY(A833,2),"Mánudagur","Þriðjudagur","Miðvikudagur","Fimmtudagur","Föstudagur","Laugardagur","Sunnudagur"),IF(B832&lt;&gt;"",B832,""))</f>
        <v>Fimmtudagur</v>
      </c>
      <c r="C833" s="33">
        <f>IF(A833&lt;&gt;"",WEEKNUM(A833,21),IF(C832&lt;&gt;"",C832,""))</f>
        <v>27</v>
      </c>
      <c r="D833" s="34"/>
      <c r="E833" s="34"/>
      <c r="F833" s="34"/>
      <c r="G833" s="34"/>
      <c r="H833" s="34"/>
      <c r="I833" s="35"/>
      <c r="J833" s="35"/>
      <c r="K833" s="36"/>
      <c r="L833" s="26" t="str">
        <f>IF(OR(F833 = "", G833 = ""), "", IF(F833 = "Vara", IFERROR(_xlfn.SINGLE(_xlfn.XLOOKUP(G833, Vöruskrá!A:A, Vöruskrá!E:E, "")), ""), IF(F833 = "Réttur", IFERROR(_xlfn.SINGLE(_xlfn.XLOOKUP(G833, Réttabanki!A:A, Réttabanki!AS:AS, "")), ""), "")))</f>
        <v/>
      </c>
      <c r="M833" s="26" t="str">
        <f>IF(OR(F833 = "", G833 = ""), "", IF(F833 = "Vara", IFERROR(_xlfn.SINGLE(_xlfn.XLOOKUP(G833, Vöruskrá!A:A, Vöruskrá!F:F, "")), ""), IF(F833 = "Réttur", IFERROR(_xlfn.SINGLE(_xlfn.XLOOKUP(G833, Réttabanki!A:A, Réttabanki!AT:AT, "")), ""), "")))</f>
        <v/>
      </c>
      <c r="N833" s="26" t="str">
        <f>IF(OR(F833 = "", G833 = ""), "", IF(F833 = "Vara", IFERROR(_xlfn.SINGLE(_xlfn.XLOOKUP(G833, Vöruskrá!A:A, Vöruskrá!G:G, "")), ""), IF(F833 = "Réttur", IFERROR(_xlfn.SINGLE(_xlfn.XLOOKUP(G833, Réttabanki!A:A, Réttabanki!AU:AU, "")), ""), "")))</f>
        <v/>
      </c>
      <c r="O833" s="26" t="str">
        <f>IF(OR(F833 = "", G833 = "", I833 = ""), "", IF(F833 = "Vara", IFERROR(_xlfn.SINGLE(_xlfn.XLOOKUP(G833, Vöruskrá!A:A, Vöruskrá!I:I, "")) * I833 / 100, ""), IF(F833 = "Réttur", IFERROR(_xlfn.SINGLE(_xlfn.XLOOKUP(G833, Réttabanki!A:A, Réttabanki!AV:AV, "")) * I833 / 100, ""), "")))</f>
        <v/>
      </c>
      <c r="P833" s="26" t="str">
        <f>IF(OR(F833 = "", G833 = "", I833 = ""), "", IF(F833 = "Vara", IFERROR(_xlfn.SINGLE(_xlfn.XLOOKUP(G833, Vöruskrá!A:A, Vöruskrá!J:J, "")) * I833 / 100, ""), IF(F833 = "Réttur", IFERROR(_xlfn.SINGLE(_xlfn.XLOOKUP(G833, Réttabanki!A:A, Réttabanki!AW:AW, "")) * I833 / 100, ""), "")))</f>
        <v/>
      </c>
      <c r="Q833" s="26" t="str">
        <f>IF(OR(F833 = "", G833 = "", I833 = ""), "", IF(F833 = "Vara", IFERROR(_xlfn.SINGLE(_xlfn.XLOOKUP(G833, Vöruskrá!A:A, Vöruskrá!N:N, "")) * I833 / 100, ""), IF(F833 = "Réttur", IFERROR(_xlfn.SINGLE(_xlfn.XLOOKUP(G833, Réttabanki!A:A, Réttabanki!BB:BB, "")) * I833 / 100, ""), "")))</f>
        <v/>
      </c>
    </row>
    <row r="834" spans="2:17">
      <c r="B834" s="33" t="str">
        <f>IF(A834&lt;&gt;"",CHOOSE(WEEKDAY(A834,2),"Mánudagur","Þriðjudagur","Miðvikudagur","Fimmtudagur","Föstudagur","Laugardagur","Sunnudagur"),IF(B833&lt;&gt;"",B833,""))</f>
        <v>Fimmtudagur</v>
      </c>
      <c r="C834" s="33">
        <f>IF(A834&lt;&gt;"",WEEKNUM(A834,21),IF(C833&lt;&gt;"",C833,""))</f>
        <v>27</v>
      </c>
      <c r="D834" s="34"/>
      <c r="E834" s="34"/>
      <c r="F834" s="34"/>
      <c r="G834" s="34"/>
      <c r="H834" s="34"/>
      <c r="I834" s="35"/>
      <c r="J834" s="35"/>
      <c r="K834" s="36"/>
      <c r="L834" s="26" t="str">
        <f>IF(OR(F834 = "", G834 = ""), "", IF(F834 = "Vara", IFERROR(_xlfn.SINGLE(_xlfn.XLOOKUP(G834, Vöruskrá!A:A, Vöruskrá!E:E, "")), ""), IF(F834 = "Réttur", IFERROR(_xlfn.SINGLE(_xlfn.XLOOKUP(G834, Réttabanki!A:A, Réttabanki!AS:AS, "")), ""), "")))</f>
        <v/>
      </c>
      <c r="M834" s="26" t="str">
        <f>IF(OR(F834 = "", G834 = ""), "", IF(F834 = "Vara", IFERROR(_xlfn.SINGLE(_xlfn.XLOOKUP(G834, Vöruskrá!A:A, Vöruskrá!F:F, "")), ""), IF(F834 = "Réttur", IFERROR(_xlfn.SINGLE(_xlfn.XLOOKUP(G834, Réttabanki!A:A, Réttabanki!AT:AT, "")), ""), "")))</f>
        <v/>
      </c>
      <c r="N834" s="26" t="str">
        <f>IF(OR(F834 = "", G834 = ""), "", IF(F834 = "Vara", IFERROR(_xlfn.SINGLE(_xlfn.XLOOKUP(G834, Vöruskrá!A:A, Vöruskrá!G:G, "")), ""), IF(F834 = "Réttur", IFERROR(_xlfn.SINGLE(_xlfn.XLOOKUP(G834, Réttabanki!A:A, Réttabanki!AU:AU, "")), ""), "")))</f>
        <v/>
      </c>
      <c r="O834" s="26" t="str">
        <f>IF(OR(F834 = "", G834 = "", I834 = ""), "", IF(F834 = "Vara", IFERROR(_xlfn.SINGLE(_xlfn.XLOOKUP(G834, Vöruskrá!A:A, Vöruskrá!I:I, "")) * I834 / 100, ""), IF(F834 = "Réttur", IFERROR(_xlfn.SINGLE(_xlfn.XLOOKUP(G834, Réttabanki!A:A, Réttabanki!AV:AV, "")) * I834 / 100, ""), "")))</f>
        <v/>
      </c>
      <c r="P834" s="26" t="str">
        <f>IF(OR(F834 = "", G834 = "", I834 = ""), "", IF(F834 = "Vara", IFERROR(_xlfn.SINGLE(_xlfn.XLOOKUP(G834, Vöruskrá!A:A, Vöruskrá!J:J, "")) * I834 / 100, ""), IF(F834 = "Réttur", IFERROR(_xlfn.SINGLE(_xlfn.XLOOKUP(G834, Réttabanki!A:A, Réttabanki!AW:AW, "")) * I834 / 100, ""), "")))</f>
        <v/>
      </c>
      <c r="Q834" s="26" t="str">
        <f>IF(OR(F834 = "", G834 = "", I834 = ""), "", IF(F834 = "Vara", IFERROR(_xlfn.SINGLE(_xlfn.XLOOKUP(G834, Vöruskrá!A:A, Vöruskrá!N:N, "")) * I834 / 100, ""), IF(F834 = "Réttur", IFERROR(_xlfn.SINGLE(_xlfn.XLOOKUP(G834, Réttabanki!A:A, Réttabanki!BB:BB, "")) * I834 / 100, ""), "")))</f>
        <v/>
      </c>
    </row>
    <row r="835" spans="2:17">
      <c r="B835" s="33" t="str">
        <f>IF(A835&lt;&gt;"",CHOOSE(WEEKDAY(A835,2),"Mánudagur","Þriðjudagur","Miðvikudagur","Fimmtudagur","Föstudagur","Laugardagur","Sunnudagur"),IF(B834&lt;&gt;"",B834,""))</f>
        <v>Fimmtudagur</v>
      </c>
      <c r="C835" s="33">
        <f>IF(A835&lt;&gt;"",WEEKNUM(A835,21),IF(C834&lt;&gt;"",C834,""))</f>
        <v>27</v>
      </c>
      <c r="D835" s="34"/>
      <c r="E835" s="34"/>
      <c r="F835" s="34"/>
      <c r="G835" s="34"/>
      <c r="H835" s="34"/>
      <c r="I835" s="35"/>
      <c r="J835" s="35"/>
      <c r="K835" s="36"/>
      <c r="L835" s="26" t="str">
        <f>IF(OR(F835 = "", G835 = ""), "", IF(F835 = "Vara", IFERROR(_xlfn.SINGLE(_xlfn.XLOOKUP(G835, Vöruskrá!A:A, Vöruskrá!E:E, "")), ""), IF(F835 = "Réttur", IFERROR(_xlfn.SINGLE(_xlfn.XLOOKUP(G835, Réttabanki!A:A, Réttabanki!AS:AS, "")), ""), "")))</f>
        <v/>
      </c>
      <c r="M835" s="26" t="str">
        <f>IF(OR(F835 = "", G835 = ""), "", IF(F835 = "Vara", IFERROR(_xlfn.SINGLE(_xlfn.XLOOKUP(G835, Vöruskrá!A:A, Vöruskrá!F:F, "")), ""), IF(F835 = "Réttur", IFERROR(_xlfn.SINGLE(_xlfn.XLOOKUP(G835, Réttabanki!A:A, Réttabanki!AT:AT, "")), ""), "")))</f>
        <v/>
      </c>
      <c r="N835" s="26" t="str">
        <f>IF(OR(F835 = "", G835 = ""), "", IF(F835 = "Vara", IFERROR(_xlfn.SINGLE(_xlfn.XLOOKUP(G835, Vöruskrá!A:A, Vöruskrá!G:G, "")), ""), IF(F835 = "Réttur", IFERROR(_xlfn.SINGLE(_xlfn.XLOOKUP(G835, Réttabanki!A:A, Réttabanki!AU:AU, "")), ""), "")))</f>
        <v/>
      </c>
      <c r="O835" s="26" t="str">
        <f>IF(OR(F835 = "", G835 = "", I835 = ""), "", IF(F835 = "Vara", IFERROR(_xlfn.SINGLE(_xlfn.XLOOKUP(G835, Vöruskrá!A:A, Vöruskrá!I:I, "")) * I835 / 100, ""), IF(F835 = "Réttur", IFERROR(_xlfn.SINGLE(_xlfn.XLOOKUP(G835, Réttabanki!A:A, Réttabanki!AV:AV, "")) * I835 / 100, ""), "")))</f>
        <v/>
      </c>
      <c r="P835" s="26" t="str">
        <f>IF(OR(F835 = "", G835 = "", I835 = ""), "", IF(F835 = "Vara", IFERROR(_xlfn.SINGLE(_xlfn.XLOOKUP(G835, Vöruskrá!A:A, Vöruskrá!J:J, "")) * I835 / 100, ""), IF(F835 = "Réttur", IFERROR(_xlfn.SINGLE(_xlfn.XLOOKUP(G835, Réttabanki!A:A, Réttabanki!AW:AW, "")) * I835 / 100, ""), "")))</f>
        <v/>
      </c>
      <c r="Q835" s="26" t="str">
        <f>IF(OR(F835 = "", G835 = "", I835 = ""), "", IF(F835 = "Vara", IFERROR(_xlfn.SINGLE(_xlfn.XLOOKUP(G835, Vöruskrá!A:A, Vöruskrá!N:N, "")) * I835 / 100, ""), IF(F835 = "Réttur", IFERROR(_xlfn.SINGLE(_xlfn.XLOOKUP(G835, Réttabanki!A:A, Réttabanki!BB:BB, "")) * I835 / 100, ""), "")))</f>
        <v/>
      </c>
    </row>
    <row r="836" spans="2:17">
      <c r="B836" s="33" t="str">
        <f>IF(A836&lt;&gt;"",CHOOSE(WEEKDAY(A836,2),"Mánudagur","Þriðjudagur","Miðvikudagur","Fimmtudagur","Föstudagur","Laugardagur","Sunnudagur"),IF(B835&lt;&gt;"",B835,""))</f>
        <v>Fimmtudagur</v>
      </c>
      <c r="C836" s="33">
        <f>IF(A836&lt;&gt;"",WEEKNUM(A836,21),IF(C835&lt;&gt;"",C835,""))</f>
        <v>27</v>
      </c>
      <c r="D836" s="34"/>
      <c r="E836" s="34"/>
      <c r="F836" s="34"/>
      <c r="G836" s="34"/>
      <c r="H836" s="34"/>
      <c r="I836" s="35"/>
      <c r="J836" s="35"/>
      <c r="K836" s="36"/>
      <c r="L836" s="26" t="str">
        <f>IF(OR(F836 = "", G836 = ""), "", IF(F836 = "Vara", IFERROR(_xlfn.SINGLE(_xlfn.XLOOKUP(G836, Vöruskrá!A:A, Vöruskrá!E:E, "")), ""), IF(F836 = "Réttur", IFERROR(_xlfn.SINGLE(_xlfn.XLOOKUP(G836, Réttabanki!A:A, Réttabanki!AS:AS, "")), ""), "")))</f>
        <v/>
      </c>
      <c r="M836" s="26" t="str">
        <f>IF(OR(F836 = "", G836 = ""), "", IF(F836 = "Vara", IFERROR(_xlfn.SINGLE(_xlfn.XLOOKUP(G836, Vöruskrá!A:A, Vöruskrá!F:F, "")), ""), IF(F836 = "Réttur", IFERROR(_xlfn.SINGLE(_xlfn.XLOOKUP(G836, Réttabanki!A:A, Réttabanki!AT:AT, "")), ""), "")))</f>
        <v/>
      </c>
      <c r="N836" s="26" t="str">
        <f>IF(OR(F836 = "", G836 = ""), "", IF(F836 = "Vara", IFERROR(_xlfn.SINGLE(_xlfn.XLOOKUP(G836, Vöruskrá!A:A, Vöruskrá!G:G, "")), ""), IF(F836 = "Réttur", IFERROR(_xlfn.SINGLE(_xlfn.XLOOKUP(G836, Réttabanki!A:A, Réttabanki!AU:AU, "")), ""), "")))</f>
        <v/>
      </c>
      <c r="O836" s="26" t="str">
        <f>IF(OR(F836 = "", G836 = "", I836 = ""), "", IF(F836 = "Vara", IFERROR(_xlfn.SINGLE(_xlfn.XLOOKUP(G836, Vöruskrá!A:A, Vöruskrá!I:I, "")) * I836 / 100, ""), IF(F836 = "Réttur", IFERROR(_xlfn.SINGLE(_xlfn.XLOOKUP(G836, Réttabanki!A:A, Réttabanki!AV:AV, "")) * I836 / 100, ""), "")))</f>
        <v/>
      </c>
      <c r="P836" s="26" t="str">
        <f>IF(OR(F836 = "", G836 = "", I836 = ""), "", IF(F836 = "Vara", IFERROR(_xlfn.SINGLE(_xlfn.XLOOKUP(G836, Vöruskrá!A:A, Vöruskrá!J:J, "")) * I836 / 100, ""), IF(F836 = "Réttur", IFERROR(_xlfn.SINGLE(_xlfn.XLOOKUP(G836, Réttabanki!A:A, Réttabanki!AW:AW, "")) * I836 / 100, ""), "")))</f>
        <v/>
      </c>
      <c r="Q836" s="26" t="str">
        <f>IF(OR(F836 = "", G836 = "", I836 = ""), "", IF(F836 = "Vara", IFERROR(_xlfn.SINGLE(_xlfn.XLOOKUP(G836, Vöruskrá!A:A, Vöruskrá!N:N, "")) * I836 / 100, ""), IF(F836 = "Réttur", IFERROR(_xlfn.SINGLE(_xlfn.XLOOKUP(G836, Réttabanki!A:A, Réttabanki!BB:BB, "")) * I836 / 100, ""), "")))</f>
        <v/>
      </c>
    </row>
    <row r="837" spans="2:17">
      <c r="B837" s="33" t="str">
        <f>IF(A837&lt;&gt;"",CHOOSE(WEEKDAY(A837,2),"Mánudagur","Þriðjudagur","Miðvikudagur","Fimmtudagur","Föstudagur","Laugardagur","Sunnudagur"),IF(B836&lt;&gt;"",B836,""))</f>
        <v>Fimmtudagur</v>
      </c>
      <c r="C837" s="33">
        <f>IF(A837&lt;&gt;"",WEEKNUM(A837,21),IF(C836&lt;&gt;"",C836,""))</f>
        <v>27</v>
      </c>
      <c r="D837" s="34"/>
      <c r="E837" s="34"/>
      <c r="F837" s="34"/>
      <c r="G837" s="34"/>
      <c r="H837" s="34"/>
      <c r="I837" s="35"/>
      <c r="J837" s="35"/>
      <c r="K837" s="36"/>
      <c r="L837" s="26" t="str">
        <f>IF(OR(F837 = "", G837 = ""), "", IF(F837 = "Vara", IFERROR(_xlfn.SINGLE(_xlfn.XLOOKUP(G837, Vöruskrá!A:A, Vöruskrá!E:E, "")), ""), IF(F837 = "Réttur", IFERROR(_xlfn.SINGLE(_xlfn.XLOOKUP(G837, Réttabanki!A:A, Réttabanki!AS:AS, "")), ""), "")))</f>
        <v/>
      </c>
      <c r="M837" s="26" t="str">
        <f>IF(OR(F837 = "", G837 = ""), "", IF(F837 = "Vara", IFERROR(_xlfn.SINGLE(_xlfn.XLOOKUP(G837, Vöruskrá!A:A, Vöruskrá!F:F, "")), ""), IF(F837 = "Réttur", IFERROR(_xlfn.SINGLE(_xlfn.XLOOKUP(G837, Réttabanki!A:A, Réttabanki!AT:AT, "")), ""), "")))</f>
        <v/>
      </c>
      <c r="N837" s="26" t="str">
        <f>IF(OR(F837 = "", G837 = ""), "", IF(F837 = "Vara", IFERROR(_xlfn.SINGLE(_xlfn.XLOOKUP(G837, Vöruskrá!A:A, Vöruskrá!G:G, "")), ""), IF(F837 = "Réttur", IFERROR(_xlfn.SINGLE(_xlfn.XLOOKUP(G837, Réttabanki!A:A, Réttabanki!AU:AU, "")), ""), "")))</f>
        <v/>
      </c>
      <c r="O837" s="26" t="str">
        <f>IF(OR(F837 = "", G837 = "", I837 = ""), "", IF(F837 = "Vara", IFERROR(_xlfn.SINGLE(_xlfn.XLOOKUP(G837, Vöruskrá!A:A, Vöruskrá!I:I, "")) * I837 / 100, ""), IF(F837 = "Réttur", IFERROR(_xlfn.SINGLE(_xlfn.XLOOKUP(G837, Réttabanki!A:A, Réttabanki!AV:AV, "")) * I837 / 100, ""), "")))</f>
        <v/>
      </c>
      <c r="P837" s="26" t="str">
        <f>IF(OR(F837 = "", G837 = "", I837 = ""), "", IF(F837 = "Vara", IFERROR(_xlfn.SINGLE(_xlfn.XLOOKUP(G837, Vöruskrá!A:A, Vöruskrá!J:J, "")) * I837 / 100, ""), IF(F837 = "Réttur", IFERROR(_xlfn.SINGLE(_xlfn.XLOOKUP(G837, Réttabanki!A:A, Réttabanki!AW:AW, "")) * I837 / 100, ""), "")))</f>
        <v/>
      </c>
      <c r="Q837" s="26" t="str">
        <f>IF(OR(F837 = "", G837 = "", I837 = ""), "", IF(F837 = "Vara", IFERROR(_xlfn.SINGLE(_xlfn.XLOOKUP(G837, Vöruskrá!A:A, Vöruskrá!N:N, "")) * I837 / 100, ""), IF(F837 = "Réttur", IFERROR(_xlfn.SINGLE(_xlfn.XLOOKUP(G837, Réttabanki!A:A, Réttabanki!BB:BB, "")) * I837 / 100, ""), "")))</f>
        <v/>
      </c>
    </row>
    <row r="838" spans="2:17">
      <c r="B838" s="33" t="str">
        <f>IF(A838&lt;&gt;"",CHOOSE(WEEKDAY(A838,2),"Mánudagur","Þriðjudagur","Miðvikudagur","Fimmtudagur","Föstudagur","Laugardagur","Sunnudagur"),IF(B837&lt;&gt;"",B837,""))</f>
        <v>Fimmtudagur</v>
      </c>
      <c r="C838" s="33">
        <f>IF(A838&lt;&gt;"",WEEKNUM(A838,21),IF(C837&lt;&gt;"",C837,""))</f>
        <v>27</v>
      </c>
      <c r="D838" s="34"/>
      <c r="E838" s="34"/>
      <c r="F838" s="34"/>
      <c r="G838" s="34"/>
      <c r="H838" s="34"/>
      <c r="I838" s="35"/>
      <c r="J838" s="35"/>
      <c r="K838" s="36"/>
      <c r="L838" s="26" t="str">
        <f>IF(OR(F838 = "", G838 = ""), "", IF(F838 = "Vara", IFERROR(_xlfn.SINGLE(_xlfn.XLOOKUP(G838, Vöruskrá!A:A, Vöruskrá!E:E, "")), ""), IF(F838 = "Réttur", IFERROR(_xlfn.SINGLE(_xlfn.XLOOKUP(G838, Réttabanki!A:A, Réttabanki!AS:AS, "")), ""), "")))</f>
        <v/>
      </c>
      <c r="M838" s="26" t="str">
        <f>IF(OR(F838 = "", G838 = ""), "", IF(F838 = "Vara", IFERROR(_xlfn.SINGLE(_xlfn.XLOOKUP(G838, Vöruskrá!A:A, Vöruskrá!F:F, "")), ""), IF(F838 = "Réttur", IFERROR(_xlfn.SINGLE(_xlfn.XLOOKUP(G838, Réttabanki!A:A, Réttabanki!AT:AT, "")), ""), "")))</f>
        <v/>
      </c>
      <c r="N838" s="26" t="str">
        <f>IF(OR(F838 = "", G838 = ""), "", IF(F838 = "Vara", IFERROR(_xlfn.SINGLE(_xlfn.XLOOKUP(G838, Vöruskrá!A:A, Vöruskrá!G:G, "")), ""), IF(F838 = "Réttur", IFERROR(_xlfn.SINGLE(_xlfn.XLOOKUP(G838, Réttabanki!A:A, Réttabanki!AU:AU, "")), ""), "")))</f>
        <v/>
      </c>
      <c r="O838" s="26" t="str">
        <f>IF(OR(F838 = "", G838 = "", I838 = ""), "", IF(F838 = "Vara", IFERROR(_xlfn.SINGLE(_xlfn.XLOOKUP(G838, Vöruskrá!A:A, Vöruskrá!I:I, "")) * I838 / 100, ""), IF(F838 = "Réttur", IFERROR(_xlfn.SINGLE(_xlfn.XLOOKUP(G838, Réttabanki!A:A, Réttabanki!AV:AV, "")) * I838 / 100, ""), "")))</f>
        <v/>
      </c>
      <c r="P838" s="26" t="str">
        <f>IF(OR(F838 = "", G838 = "", I838 = ""), "", IF(F838 = "Vara", IFERROR(_xlfn.SINGLE(_xlfn.XLOOKUP(G838, Vöruskrá!A:A, Vöruskrá!J:J, "")) * I838 / 100, ""), IF(F838 = "Réttur", IFERROR(_xlfn.SINGLE(_xlfn.XLOOKUP(G838, Réttabanki!A:A, Réttabanki!AW:AW, "")) * I838 / 100, ""), "")))</f>
        <v/>
      </c>
      <c r="Q838" s="26" t="str">
        <f>IF(OR(F838 = "", G838 = "", I838 = ""), "", IF(F838 = "Vara", IFERROR(_xlfn.SINGLE(_xlfn.XLOOKUP(G838, Vöruskrá!A:A, Vöruskrá!N:N, "")) * I838 / 100, ""), IF(F838 = "Réttur", IFERROR(_xlfn.SINGLE(_xlfn.XLOOKUP(G838, Réttabanki!A:A, Réttabanki!BB:BB, "")) * I838 / 100, ""), "")))</f>
        <v/>
      </c>
    </row>
    <row r="839" spans="2:17">
      <c r="B839" s="33" t="str">
        <f>IF(A839&lt;&gt;"",CHOOSE(WEEKDAY(A839,2),"Mánudagur","Þriðjudagur","Miðvikudagur","Fimmtudagur","Föstudagur","Laugardagur","Sunnudagur"),IF(B838&lt;&gt;"",B838,""))</f>
        <v>Fimmtudagur</v>
      </c>
      <c r="C839" s="33">
        <f>IF(A839&lt;&gt;"",WEEKNUM(A839,21),IF(C838&lt;&gt;"",C838,""))</f>
        <v>27</v>
      </c>
      <c r="D839" s="34"/>
      <c r="E839" s="34"/>
      <c r="F839" s="34"/>
      <c r="G839" s="34"/>
      <c r="H839" s="34"/>
      <c r="I839" s="35"/>
      <c r="J839" s="35"/>
      <c r="K839" s="36"/>
      <c r="L839" s="26" t="str">
        <f>IF(OR(F839 = "", G839 = ""), "", IF(F839 = "Vara", IFERROR(_xlfn.SINGLE(_xlfn.XLOOKUP(G839, Vöruskrá!A:A, Vöruskrá!E:E, "")), ""), IF(F839 = "Réttur", IFERROR(_xlfn.SINGLE(_xlfn.XLOOKUP(G839, Réttabanki!A:A, Réttabanki!AS:AS, "")), ""), "")))</f>
        <v/>
      </c>
      <c r="M839" s="26" t="str">
        <f>IF(OR(F839 = "", G839 = ""), "", IF(F839 = "Vara", IFERROR(_xlfn.SINGLE(_xlfn.XLOOKUP(G839, Vöruskrá!A:A, Vöruskrá!F:F, "")), ""), IF(F839 = "Réttur", IFERROR(_xlfn.SINGLE(_xlfn.XLOOKUP(G839, Réttabanki!A:A, Réttabanki!AT:AT, "")), ""), "")))</f>
        <v/>
      </c>
      <c r="N839" s="26" t="str">
        <f>IF(OR(F839 = "", G839 = ""), "", IF(F839 = "Vara", IFERROR(_xlfn.SINGLE(_xlfn.XLOOKUP(G839, Vöruskrá!A:A, Vöruskrá!G:G, "")), ""), IF(F839 = "Réttur", IFERROR(_xlfn.SINGLE(_xlfn.XLOOKUP(G839, Réttabanki!A:A, Réttabanki!AU:AU, "")), ""), "")))</f>
        <v/>
      </c>
      <c r="O839" s="26" t="str">
        <f>IF(OR(F839 = "", G839 = "", I839 = ""), "", IF(F839 = "Vara", IFERROR(_xlfn.SINGLE(_xlfn.XLOOKUP(G839, Vöruskrá!A:A, Vöruskrá!I:I, "")) * I839 / 100, ""), IF(F839 = "Réttur", IFERROR(_xlfn.SINGLE(_xlfn.XLOOKUP(G839, Réttabanki!A:A, Réttabanki!AV:AV, "")) * I839 / 100, ""), "")))</f>
        <v/>
      </c>
      <c r="P839" s="26" t="str">
        <f>IF(OR(F839 = "", G839 = "", I839 = ""), "", IF(F839 = "Vara", IFERROR(_xlfn.SINGLE(_xlfn.XLOOKUP(G839, Vöruskrá!A:A, Vöruskrá!J:J, "")) * I839 / 100, ""), IF(F839 = "Réttur", IFERROR(_xlfn.SINGLE(_xlfn.XLOOKUP(G839, Réttabanki!A:A, Réttabanki!AW:AW, "")) * I839 / 100, ""), "")))</f>
        <v/>
      </c>
      <c r="Q839" s="26" t="str">
        <f>IF(OR(F839 = "", G839 = "", I839 = ""), "", IF(F839 = "Vara", IFERROR(_xlfn.SINGLE(_xlfn.XLOOKUP(G839, Vöruskrá!A:A, Vöruskrá!N:N, "")) * I839 / 100, ""), IF(F839 = "Réttur", IFERROR(_xlfn.SINGLE(_xlfn.XLOOKUP(G839, Réttabanki!A:A, Réttabanki!BB:BB, "")) * I839 / 100, ""), "")))</f>
        <v/>
      </c>
    </row>
    <row r="840" spans="2:17">
      <c r="B840" s="33" t="str">
        <f>IF(A840&lt;&gt;"",CHOOSE(WEEKDAY(A840,2),"Mánudagur","Þriðjudagur","Miðvikudagur","Fimmtudagur","Föstudagur","Laugardagur","Sunnudagur"),IF(B839&lt;&gt;"",B839,""))</f>
        <v>Fimmtudagur</v>
      </c>
      <c r="C840" s="33">
        <f>IF(A840&lt;&gt;"",WEEKNUM(A840,21),IF(C839&lt;&gt;"",C839,""))</f>
        <v>27</v>
      </c>
      <c r="D840" s="34"/>
      <c r="E840" s="34"/>
      <c r="F840" s="34"/>
      <c r="G840" s="34"/>
      <c r="H840" s="34"/>
      <c r="I840" s="35"/>
      <c r="J840" s="35"/>
      <c r="K840" s="36"/>
      <c r="L840" s="26" t="str">
        <f>IF(OR(F840 = "", G840 = ""), "", IF(F840 = "Vara", IFERROR(_xlfn.SINGLE(_xlfn.XLOOKUP(G840, Vöruskrá!A:A, Vöruskrá!E:E, "")), ""), IF(F840 = "Réttur", IFERROR(_xlfn.SINGLE(_xlfn.XLOOKUP(G840, Réttabanki!A:A, Réttabanki!AS:AS, "")), ""), "")))</f>
        <v/>
      </c>
      <c r="M840" s="26" t="str">
        <f>IF(OR(F840 = "", G840 = ""), "", IF(F840 = "Vara", IFERROR(_xlfn.SINGLE(_xlfn.XLOOKUP(G840, Vöruskrá!A:A, Vöruskrá!F:F, "")), ""), IF(F840 = "Réttur", IFERROR(_xlfn.SINGLE(_xlfn.XLOOKUP(G840, Réttabanki!A:A, Réttabanki!AT:AT, "")), ""), "")))</f>
        <v/>
      </c>
      <c r="N840" s="26" t="str">
        <f>IF(OR(F840 = "", G840 = ""), "", IF(F840 = "Vara", IFERROR(_xlfn.SINGLE(_xlfn.XLOOKUP(G840, Vöruskrá!A:A, Vöruskrá!G:G, "")), ""), IF(F840 = "Réttur", IFERROR(_xlfn.SINGLE(_xlfn.XLOOKUP(G840, Réttabanki!A:A, Réttabanki!AU:AU, "")), ""), "")))</f>
        <v/>
      </c>
      <c r="O840" s="26" t="str">
        <f>IF(OR(F840 = "", G840 = "", I840 = ""), "", IF(F840 = "Vara", IFERROR(_xlfn.SINGLE(_xlfn.XLOOKUP(G840, Vöruskrá!A:A, Vöruskrá!I:I, "")) * I840 / 100, ""), IF(F840 = "Réttur", IFERROR(_xlfn.SINGLE(_xlfn.XLOOKUP(G840, Réttabanki!A:A, Réttabanki!AV:AV, "")) * I840 / 100, ""), "")))</f>
        <v/>
      </c>
      <c r="P840" s="26" t="str">
        <f>IF(OR(F840 = "", G840 = "", I840 = ""), "", IF(F840 = "Vara", IFERROR(_xlfn.SINGLE(_xlfn.XLOOKUP(G840, Vöruskrá!A:A, Vöruskrá!J:J, "")) * I840 / 100, ""), IF(F840 = "Réttur", IFERROR(_xlfn.SINGLE(_xlfn.XLOOKUP(G840, Réttabanki!A:A, Réttabanki!AW:AW, "")) * I840 / 100, ""), "")))</f>
        <v/>
      </c>
      <c r="Q840" s="26" t="str">
        <f>IF(OR(F840 = "", G840 = "", I840 = ""), "", IF(F840 = "Vara", IFERROR(_xlfn.SINGLE(_xlfn.XLOOKUP(G840, Vöruskrá!A:A, Vöruskrá!N:N, "")) * I840 / 100, ""), IF(F840 = "Réttur", IFERROR(_xlfn.SINGLE(_xlfn.XLOOKUP(G840, Réttabanki!A:A, Réttabanki!BB:BB, "")) * I840 / 100, ""), "")))</f>
        <v/>
      </c>
    </row>
    <row r="841" spans="2:17">
      <c r="B841" s="33" t="str">
        <f>IF(A841&lt;&gt;"",CHOOSE(WEEKDAY(A841,2),"Mánudagur","Þriðjudagur","Miðvikudagur","Fimmtudagur","Föstudagur","Laugardagur","Sunnudagur"),IF(B840&lt;&gt;"",B840,""))</f>
        <v>Fimmtudagur</v>
      </c>
      <c r="C841" s="33">
        <f>IF(A841&lt;&gt;"",WEEKNUM(A841,21),IF(C840&lt;&gt;"",C840,""))</f>
        <v>27</v>
      </c>
      <c r="D841" s="34"/>
      <c r="E841" s="34"/>
      <c r="F841" s="34"/>
      <c r="G841" s="34"/>
      <c r="H841" s="34"/>
      <c r="I841" s="35"/>
      <c r="J841" s="35"/>
      <c r="K841" s="36"/>
      <c r="L841" s="26" t="str">
        <f>IF(OR(F841 = "", G841 = ""), "", IF(F841 = "Vara", IFERROR(_xlfn.SINGLE(_xlfn.XLOOKUP(G841, Vöruskrá!A:A, Vöruskrá!E:E, "")), ""), IF(F841 = "Réttur", IFERROR(_xlfn.SINGLE(_xlfn.XLOOKUP(G841, Réttabanki!A:A, Réttabanki!AS:AS, "")), ""), "")))</f>
        <v/>
      </c>
      <c r="M841" s="26" t="str">
        <f>IF(OR(F841 = "", G841 = ""), "", IF(F841 = "Vara", IFERROR(_xlfn.SINGLE(_xlfn.XLOOKUP(G841, Vöruskrá!A:A, Vöruskrá!F:F, "")), ""), IF(F841 = "Réttur", IFERROR(_xlfn.SINGLE(_xlfn.XLOOKUP(G841, Réttabanki!A:A, Réttabanki!AT:AT, "")), ""), "")))</f>
        <v/>
      </c>
      <c r="N841" s="26" t="str">
        <f>IF(OR(F841 = "", G841 = ""), "", IF(F841 = "Vara", IFERROR(_xlfn.SINGLE(_xlfn.XLOOKUP(G841, Vöruskrá!A:A, Vöruskrá!G:G, "")), ""), IF(F841 = "Réttur", IFERROR(_xlfn.SINGLE(_xlfn.XLOOKUP(G841, Réttabanki!A:A, Réttabanki!AU:AU, "")), ""), "")))</f>
        <v/>
      </c>
      <c r="O841" s="26" t="str">
        <f>IF(OR(F841 = "", G841 = "", I841 = ""), "", IF(F841 = "Vara", IFERROR(_xlfn.SINGLE(_xlfn.XLOOKUP(G841, Vöruskrá!A:A, Vöruskrá!I:I, "")) * I841 / 100, ""), IF(F841 = "Réttur", IFERROR(_xlfn.SINGLE(_xlfn.XLOOKUP(G841, Réttabanki!A:A, Réttabanki!AV:AV, "")) * I841 / 100, ""), "")))</f>
        <v/>
      </c>
      <c r="P841" s="26" t="str">
        <f>IF(OR(F841 = "", G841 = "", I841 = ""), "", IF(F841 = "Vara", IFERROR(_xlfn.SINGLE(_xlfn.XLOOKUP(G841, Vöruskrá!A:A, Vöruskrá!J:J, "")) * I841 / 100, ""), IF(F841 = "Réttur", IFERROR(_xlfn.SINGLE(_xlfn.XLOOKUP(G841, Réttabanki!A:A, Réttabanki!AW:AW, "")) * I841 / 100, ""), "")))</f>
        <v/>
      </c>
      <c r="Q841" s="26" t="str">
        <f>IF(OR(F841 = "", G841 = "", I841 = ""), "", IF(F841 = "Vara", IFERROR(_xlfn.SINGLE(_xlfn.XLOOKUP(G841, Vöruskrá!A:A, Vöruskrá!N:N, "")) * I841 / 100, ""), IF(F841 = "Réttur", IFERROR(_xlfn.SINGLE(_xlfn.XLOOKUP(G841, Réttabanki!A:A, Réttabanki!BB:BB, "")) * I841 / 100, ""), "")))</f>
        <v/>
      </c>
    </row>
    <row r="842" spans="2:17">
      <c r="B842" s="33" t="str">
        <f>IF(A842&lt;&gt;"",CHOOSE(WEEKDAY(A842,2),"Mánudagur","Þriðjudagur","Miðvikudagur","Fimmtudagur","Föstudagur","Laugardagur","Sunnudagur"),IF(B841&lt;&gt;"",B841,""))</f>
        <v>Fimmtudagur</v>
      </c>
      <c r="C842" s="33">
        <f>IF(A842&lt;&gt;"",WEEKNUM(A842,21),IF(C841&lt;&gt;"",C841,""))</f>
        <v>27</v>
      </c>
      <c r="D842" s="34"/>
      <c r="E842" s="34"/>
      <c r="F842" s="34"/>
      <c r="G842" s="34"/>
      <c r="H842" s="34"/>
      <c r="I842" s="35"/>
      <c r="J842" s="35"/>
      <c r="K842" s="36"/>
      <c r="L842" s="26" t="str">
        <f>IF(OR(F842 = "", G842 = ""), "", IF(F842 = "Vara", IFERROR(_xlfn.SINGLE(_xlfn.XLOOKUP(G842, Vöruskrá!A:A, Vöruskrá!E:E, "")), ""), IF(F842 = "Réttur", IFERROR(_xlfn.SINGLE(_xlfn.XLOOKUP(G842, Réttabanki!A:A, Réttabanki!AS:AS, "")), ""), "")))</f>
        <v/>
      </c>
      <c r="M842" s="26" t="str">
        <f>IF(OR(F842 = "", G842 = ""), "", IF(F842 = "Vara", IFERROR(_xlfn.SINGLE(_xlfn.XLOOKUP(G842, Vöruskrá!A:A, Vöruskrá!F:F, "")), ""), IF(F842 = "Réttur", IFERROR(_xlfn.SINGLE(_xlfn.XLOOKUP(G842, Réttabanki!A:A, Réttabanki!AT:AT, "")), ""), "")))</f>
        <v/>
      </c>
      <c r="N842" s="26" t="str">
        <f>IF(OR(F842 = "", G842 = ""), "", IF(F842 = "Vara", IFERROR(_xlfn.SINGLE(_xlfn.XLOOKUP(G842, Vöruskrá!A:A, Vöruskrá!G:G, "")), ""), IF(F842 = "Réttur", IFERROR(_xlfn.SINGLE(_xlfn.XLOOKUP(G842, Réttabanki!A:A, Réttabanki!AU:AU, "")), ""), "")))</f>
        <v/>
      </c>
      <c r="O842" s="26" t="str">
        <f>IF(OR(F842 = "", G842 = "", I842 = ""), "", IF(F842 = "Vara", IFERROR(_xlfn.SINGLE(_xlfn.XLOOKUP(G842, Vöruskrá!A:A, Vöruskrá!I:I, "")) * I842 / 100, ""), IF(F842 = "Réttur", IFERROR(_xlfn.SINGLE(_xlfn.XLOOKUP(G842, Réttabanki!A:A, Réttabanki!AV:AV, "")) * I842 / 100, ""), "")))</f>
        <v/>
      </c>
      <c r="P842" s="26" t="str">
        <f>IF(OR(F842 = "", G842 = "", I842 = ""), "", IF(F842 = "Vara", IFERROR(_xlfn.SINGLE(_xlfn.XLOOKUP(G842, Vöruskrá!A:A, Vöruskrá!J:J, "")) * I842 / 100, ""), IF(F842 = "Réttur", IFERROR(_xlfn.SINGLE(_xlfn.XLOOKUP(G842, Réttabanki!A:A, Réttabanki!AW:AW, "")) * I842 / 100, ""), "")))</f>
        <v/>
      </c>
      <c r="Q842" s="26" t="str">
        <f>IF(OR(F842 = "", G842 = "", I842 = ""), "", IF(F842 = "Vara", IFERROR(_xlfn.SINGLE(_xlfn.XLOOKUP(G842, Vöruskrá!A:A, Vöruskrá!N:N, "")) * I842 / 100, ""), IF(F842 = "Réttur", IFERROR(_xlfn.SINGLE(_xlfn.XLOOKUP(G842, Réttabanki!A:A, Réttabanki!BB:BB, "")) * I842 / 100, ""), "")))</f>
        <v/>
      </c>
    </row>
    <row r="843" spans="2:17">
      <c r="B843" s="33" t="str">
        <f>IF(A843&lt;&gt;"",CHOOSE(WEEKDAY(A843,2),"Mánudagur","Þriðjudagur","Miðvikudagur","Fimmtudagur","Föstudagur","Laugardagur","Sunnudagur"),IF(B842&lt;&gt;"",B842,""))</f>
        <v>Fimmtudagur</v>
      </c>
      <c r="C843" s="33">
        <f>IF(A843&lt;&gt;"",WEEKNUM(A843,21),IF(C842&lt;&gt;"",C842,""))</f>
        <v>27</v>
      </c>
      <c r="D843" s="34"/>
      <c r="E843" s="34"/>
      <c r="F843" s="34"/>
      <c r="G843" s="34"/>
      <c r="H843" s="34"/>
      <c r="I843" s="35"/>
      <c r="J843" s="35"/>
      <c r="K843" s="36"/>
      <c r="L843" s="26" t="str">
        <f>IF(OR(F843 = "", G843 = ""), "", IF(F843 = "Vara", IFERROR(_xlfn.SINGLE(_xlfn.XLOOKUP(G843, Vöruskrá!A:A, Vöruskrá!E:E, "")), ""), IF(F843 = "Réttur", IFERROR(_xlfn.SINGLE(_xlfn.XLOOKUP(G843, Réttabanki!A:A, Réttabanki!AS:AS, "")), ""), "")))</f>
        <v/>
      </c>
      <c r="M843" s="26" t="str">
        <f>IF(OR(F843 = "", G843 = ""), "", IF(F843 = "Vara", IFERROR(_xlfn.SINGLE(_xlfn.XLOOKUP(G843, Vöruskrá!A:A, Vöruskrá!F:F, "")), ""), IF(F843 = "Réttur", IFERROR(_xlfn.SINGLE(_xlfn.XLOOKUP(G843, Réttabanki!A:A, Réttabanki!AT:AT, "")), ""), "")))</f>
        <v/>
      </c>
      <c r="N843" s="26" t="str">
        <f>IF(OR(F843 = "", G843 = ""), "", IF(F843 = "Vara", IFERROR(_xlfn.SINGLE(_xlfn.XLOOKUP(G843, Vöruskrá!A:A, Vöruskrá!G:G, "")), ""), IF(F843 = "Réttur", IFERROR(_xlfn.SINGLE(_xlfn.XLOOKUP(G843, Réttabanki!A:A, Réttabanki!AU:AU, "")), ""), "")))</f>
        <v/>
      </c>
      <c r="O843" s="26" t="str">
        <f>IF(OR(F843 = "", G843 = "", I843 = ""), "", IF(F843 = "Vara", IFERROR(_xlfn.SINGLE(_xlfn.XLOOKUP(G843, Vöruskrá!A:A, Vöruskrá!I:I, "")) * I843 / 100, ""), IF(F843 = "Réttur", IFERROR(_xlfn.SINGLE(_xlfn.XLOOKUP(G843, Réttabanki!A:A, Réttabanki!AV:AV, "")) * I843 / 100, ""), "")))</f>
        <v/>
      </c>
      <c r="P843" s="26" t="str">
        <f>IF(OR(F843 = "", G843 = "", I843 = ""), "", IF(F843 = "Vara", IFERROR(_xlfn.SINGLE(_xlfn.XLOOKUP(G843, Vöruskrá!A:A, Vöruskrá!J:J, "")) * I843 / 100, ""), IF(F843 = "Réttur", IFERROR(_xlfn.SINGLE(_xlfn.XLOOKUP(G843, Réttabanki!A:A, Réttabanki!AW:AW, "")) * I843 / 100, ""), "")))</f>
        <v/>
      </c>
      <c r="Q843" s="26" t="str">
        <f>IF(OR(F843 = "", G843 = "", I843 = ""), "", IF(F843 = "Vara", IFERROR(_xlfn.SINGLE(_xlfn.XLOOKUP(G843, Vöruskrá!A:A, Vöruskrá!N:N, "")) * I843 / 100, ""), IF(F843 = "Réttur", IFERROR(_xlfn.SINGLE(_xlfn.XLOOKUP(G843, Réttabanki!A:A, Réttabanki!BB:BB, "")) * I843 / 100, ""), "")))</f>
        <v/>
      </c>
    </row>
    <row r="844" spans="2:17">
      <c r="B844" s="33" t="str">
        <f>IF(A844&lt;&gt;"",CHOOSE(WEEKDAY(A844,2),"Mánudagur","Þriðjudagur","Miðvikudagur","Fimmtudagur","Föstudagur","Laugardagur","Sunnudagur"),IF(B843&lt;&gt;"",B843,""))</f>
        <v>Fimmtudagur</v>
      </c>
      <c r="C844" s="33">
        <f>IF(A844&lt;&gt;"",WEEKNUM(A844,21),IF(C843&lt;&gt;"",C843,""))</f>
        <v>27</v>
      </c>
      <c r="D844" s="34"/>
      <c r="E844" s="34"/>
      <c r="F844" s="34"/>
      <c r="G844" s="34"/>
      <c r="H844" s="34"/>
      <c r="I844" s="35"/>
      <c r="J844" s="35"/>
      <c r="K844" s="36"/>
      <c r="L844" s="26" t="str">
        <f>IF(OR(F844 = "", G844 = ""), "", IF(F844 = "Vara", IFERROR(_xlfn.SINGLE(_xlfn.XLOOKUP(G844, Vöruskrá!A:A, Vöruskrá!E:E, "")), ""), IF(F844 = "Réttur", IFERROR(_xlfn.SINGLE(_xlfn.XLOOKUP(G844, Réttabanki!A:A, Réttabanki!AS:AS, "")), ""), "")))</f>
        <v/>
      </c>
      <c r="M844" s="26" t="str">
        <f>IF(OR(F844 = "", G844 = ""), "", IF(F844 = "Vara", IFERROR(_xlfn.SINGLE(_xlfn.XLOOKUP(G844, Vöruskrá!A:A, Vöruskrá!F:F, "")), ""), IF(F844 = "Réttur", IFERROR(_xlfn.SINGLE(_xlfn.XLOOKUP(G844, Réttabanki!A:A, Réttabanki!AT:AT, "")), ""), "")))</f>
        <v/>
      </c>
      <c r="N844" s="26" t="str">
        <f>IF(OR(F844 = "", G844 = ""), "", IF(F844 = "Vara", IFERROR(_xlfn.SINGLE(_xlfn.XLOOKUP(G844, Vöruskrá!A:A, Vöruskrá!G:G, "")), ""), IF(F844 = "Réttur", IFERROR(_xlfn.SINGLE(_xlfn.XLOOKUP(G844, Réttabanki!A:A, Réttabanki!AU:AU, "")), ""), "")))</f>
        <v/>
      </c>
      <c r="O844" s="26" t="str">
        <f>IF(OR(F844 = "", G844 = "", I844 = ""), "", IF(F844 = "Vara", IFERROR(_xlfn.SINGLE(_xlfn.XLOOKUP(G844, Vöruskrá!A:A, Vöruskrá!I:I, "")) * I844 / 100, ""), IF(F844 = "Réttur", IFERROR(_xlfn.SINGLE(_xlfn.XLOOKUP(G844, Réttabanki!A:A, Réttabanki!AV:AV, "")) * I844 / 100, ""), "")))</f>
        <v/>
      </c>
      <c r="P844" s="26" t="str">
        <f>IF(OR(F844 = "", G844 = "", I844 = ""), "", IF(F844 = "Vara", IFERROR(_xlfn.SINGLE(_xlfn.XLOOKUP(G844, Vöruskrá!A:A, Vöruskrá!J:J, "")) * I844 / 100, ""), IF(F844 = "Réttur", IFERROR(_xlfn.SINGLE(_xlfn.XLOOKUP(G844, Réttabanki!A:A, Réttabanki!AW:AW, "")) * I844 / 100, ""), "")))</f>
        <v/>
      </c>
      <c r="Q844" s="26" t="str">
        <f>IF(OR(F844 = "", G844 = "", I844 = ""), "", IF(F844 = "Vara", IFERROR(_xlfn.SINGLE(_xlfn.XLOOKUP(G844, Vöruskrá!A:A, Vöruskrá!N:N, "")) * I844 / 100, ""), IF(F844 = "Réttur", IFERROR(_xlfn.SINGLE(_xlfn.XLOOKUP(G844, Réttabanki!A:A, Réttabanki!BB:BB, "")) * I844 / 100, ""), "")))</f>
        <v/>
      </c>
    </row>
    <row r="845" spans="2:17">
      <c r="B845" s="33" t="str">
        <f>IF(A845&lt;&gt;"",CHOOSE(WEEKDAY(A845,2),"Mánudagur","Þriðjudagur","Miðvikudagur","Fimmtudagur","Föstudagur","Laugardagur","Sunnudagur"),IF(B844&lt;&gt;"",B844,""))</f>
        <v>Fimmtudagur</v>
      </c>
      <c r="C845" s="33">
        <f>IF(A845&lt;&gt;"",WEEKNUM(A845,21),IF(C844&lt;&gt;"",C844,""))</f>
        <v>27</v>
      </c>
      <c r="D845" s="34"/>
      <c r="E845" s="34"/>
      <c r="F845" s="34"/>
      <c r="G845" s="34"/>
      <c r="H845" s="34"/>
      <c r="I845" s="35"/>
      <c r="J845" s="35"/>
      <c r="K845" s="36"/>
      <c r="L845" s="26" t="str">
        <f>IF(OR(F845 = "", G845 = ""), "", IF(F845 = "Vara", IFERROR(_xlfn.SINGLE(_xlfn.XLOOKUP(G845, Vöruskrá!A:A, Vöruskrá!E:E, "")), ""), IF(F845 = "Réttur", IFERROR(_xlfn.SINGLE(_xlfn.XLOOKUP(G845, Réttabanki!A:A, Réttabanki!AS:AS, "")), ""), "")))</f>
        <v/>
      </c>
      <c r="M845" s="26" t="str">
        <f>IF(OR(F845 = "", G845 = ""), "", IF(F845 = "Vara", IFERROR(_xlfn.SINGLE(_xlfn.XLOOKUP(G845, Vöruskrá!A:A, Vöruskrá!F:F, "")), ""), IF(F845 = "Réttur", IFERROR(_xlfn.SINGLE(_xlfn.XLOOKUP(G845, Réttabanki!A:A, Réttabanki!AT:AT, "")), ""), "")))</f>
        <v/>
      </c>
      <c r="N845" s="26" t="str">
        <f>IF(OR(F845 = "", G845 = ""), "", IF(F845 = "Vara", IFERROR(_xlfn.SINGLE(_xlfn.XLOOKUP(G845, Vöruskrá!A:A, Vöruskrá!G:G, "")), ""), IF(F845 = "Réttur", IFERROR(_xlfn.SINGLE(_xlfn.XLOOKUP(G845, Réttabanki!A:A, Réttabanki!AU:AU, "")), ""), "")))</f>
        <v/>
      </c>
      <c r="O845" s="26" t="str">
        <f>IF(OR(F845 = "", G845 = "", I845 = ""), "", IF(F845 = "Vara", IFERROR(_xlfn.SINGLE(_xlfn.XLOOKUP(G845, Vöruskrá!A:A, Vöruskrá!I:I, "")) * I845 / 100, ""), IF(F845 = "Réttur", IFERROR(_xlfn.SINGLE(_xlfn.XLOOKUP(G845, Réttabanki!A:A, Réttabanki!AV:AV, "")) * I845 / 100, ""), "")))</f>
        <v/>
      </c>
      <c r="P845" s="26" t="str">
        <f>IF(OR(F845 = "", G845 = "", I845 = ""), "", IF(F845 = "Vara", IFERROR(_xlfn.SINGLE(_xlfn.XLOOKUP(G845, Vöruskrá!A:A, Vöruskrá!J:J, "")) * I845 / 100, ""), IF(F845 = "Réttur", IFERROR(_xlfn.SINGLE(_xlfn.XLOOKUP(G845, Réttabanki!A:A, Réttabanki!AW:AW, "")) * I845 / 100, ""), "")))</f>
        <v/>
      </c>
      <c r="Q845" s="26" t="str">
        <f>IF(OR(F845 = "", G845 = "", I845 = ""), "", IF(F845 = "Vara", IFERROR(_xlfn.SINGLE(_xlfn.XLOOKUP(G845, Vöruskrá!A:A, Vöruskrá!N:N, "")) * I845 / 100, ""), IF(F845 = "Réttur", IFERROR(_xlfn.SINGLE(_xlfn.XLOOKUP(G845, Réttabanki!A:A, Réttabanki!BB:BB, "")) * I845 / 100, ""), "")))</f>
        <v/>
      </c>
    </row>
    <row r="846" spans="2:17">
      <c r="B846" s="33" t="str">
        <f>IF(A846&lt;&gt;"",CHOOSE(WEEKDAY(A846,2),"Mánudagur","Þriðjudagur","Miðvikudagur","Fimmtudagur","Föstudagur","Laugardagur","Sunnudagur"),IF(B845&lt;&gt;"",B845,""))</f>
        <v>Fimmtudagur</v>
      </c>
      <c r="C846" s="33">
        <f>IF(A846&lt;&gt;"",WEEKNUM(A846,21),IF(C845&lt;&gt;"",C845,""))</f>
        <v>27</v>
      </c>
      <c r="D846" s="34"/>
      <c r="E846" s="34"/>
      <c r="F846" s="34"/>
      <c r="G846" s="34"/>
      <c r="H846" s="34"/>
      <c r="I846" s="35"/>
      <c r="J846" s="35"/>
      <c r="K846" s="36"/>
      <c r="L846" s="26" t="str">
        <f>IF(OR(F846 = "", G846 = ""), "", IF(F846 = "Vara", IFERROR(_xlfn.SINGLE(_xlfn.XLOOKUP(G846, Vöruskrá!A:A, Vöruskrá!E:E, "")), ""), IF(F846 = "Réttur", IFERROR(_xlfn.SINGLE(_xlfn.XLOOKUP(G846, Réttabanki!A:A, Réttabanki!AS:AS, "")), ""), "")))</f>
        <v/>
      </c>
      <c r="M846" s="26" t="str">
        <f>IF(OR(F846 = "", G846 = ""), "", IF(F846 = "Vara", IFERROR(_xlfn.SINGLE(_xlfn.XLOOKUP(G846, Vöruskrá!A:A, Vöruskrá!F:F, "")), ""), IF(F846 = "Réttur", IFERROR(_xlfn.SINGLE(_xlfn.XLOOKUP(G846, Réttabanki!A:A, Réttabanki!AT:AT, "")), ""), "")))</f>
        <v/>
      </c>
      <c r="N846" s="26" t="str">
        <f>IF(OR(F846 = "", G846 = ""), "", IF(F846 = "Vara", IFERROR(_xlfn.SINGLE(_xlfn.XLOOKUP(G846, Vöruskrá!A:A, Vöruskrá!G:G, "")), ""), IF(F846 = "Réttur", IFERROR(_xlfn.SINGLE(_xlfn.XLOOKUP(G846, Réttabanki!A:A, Réttabanki!AU:AU, "")), ""), "")))</f>
        <v/>
      </c>
      <c r="O846" s="26" t="str">
        <f>IF(OR(F846 = "", G846 = "", I846 = ""), "", IF(F846 = "Vara", IFERROR(_xlfn.SINGLE(_xlfn.XLOOKUP(G846, Vöruskrá!A:A, Vöruskrá!I:I, "")) * I846 / 100, ""), IF(F846 = "Réttur", IFERROR(_xlfn.SINGLE(_xlfn.XLOOKUP(G846, Réttabanki!A:A, Réttabanki!AV:AV, "")) * I846 / 100, ""), "")))</f>
        <v/>
      </c>
      <c r="P846" s="26" t="str">
        <f>IF(OR(F846 = "", G846 = "", I846 = ""), "", IF(F846 = "Vara", IFERROR(_xlfn.SINGLE(_xlfn.XLOOKUP(G846, Vöruskrá!A:A, Vöruskrá!J:J, "")) * I846 / 100, ""), IF(F846 = "Réttur", IFERROR(_xlfn.SINGLE(_xlfn.XLOOKUP(G846, Réttabanki!A:A, Réttabanki!AW:AW, "")) * I846 / 100, ""), "")))</f>
        <v/>
      </c>
      <c r="Q846" s="26" t="str">
        <f>IF(OR(F846 = "", G846 = "", I846 = ""), "", IF(F846 = "Vara", IFERROR(_xlfn.SINGLE(_xlfn.XLOOKUP(G846, Vöruskrá!A:A, Vöruskrá!N:N, "")) * I846 / 100, ""), IF(F846 = "Réttur", IFERROR(_xlfn.SINGLE(_xlfn.XLOOKUP(G846, Réttabanki!A:A, Réttabanki!BB:BB, "")) * I846 / 100, ""), "")))</f>
        <v/>
      </c>
    </row>
    <row r="847" spans="2:17">
      <c r="B847" s="33" t="str">
        <f>IF(A847&lt;&gt;"",CHOOSE(WEEKDAY(A847,2),"Mánudagur","Þriðjudagur","Miðvikudagur","Fimmtudagur","Föstudagur","Laugardagur","Sunnudagur"),IF(B846&lt;&gt;"",B846,""))</f>
        <v>Fimmtudagur</v>
      </c>
      <c r="C847" s="33">
        <f>IF(A847&lt;&gt;"",WEEKNUM(A847,21),IF(C846&lt;&gt;"",C846,""))</f>
        <v>27</v>
      </c>
      <c r="D847" s="34"/>
      <c r="E847" s="34"/>
      <c r="F847" s="34"/>
      <c r="G847" s="34"/>
      <c r="H847" s="34"/>
      <c r="I847" s="35"/>
      <c r="J847" s="35"/>
      <c r="K847" s="36"/>
      <c r="L847" s="26" t="str">
        <f>IF(OR(F847 = "", G847 = ""), "", IF(F847 = "Vara", IFERROR(_xlfn.SINGLE(_xlfn.XLOOKUP(G847, Vöruskrá!A:A, Vöruskrá!E:E, "")), ""), IF(F847 = "Réttur", IFERROR(_xlfn.SINGLE(_xlfn.XLOOKUP(G847, Réttabanki!A:A, Réttabanki!AS:AS, "")), ""), "")))</f>
        <v/>
      </c>
      <c r="M847" s="26" t="str">
        <f>IF(OR(F847 = "", G847 = ""), "", IF(F847 = "Vara", IFERROR(_xlfn.SINGLE(_xlfn.XLOOKUP(G847, Vöruskrá!A:A, Vöruskrá!F:F, "")), ""), IF(F847 = "Réttur", IFERROR(_xlfn.SINGLE(_xlfn.XLOOKUP(G847, Réttabanki!A:A, Réttabanki!AT:AT, "")), ""), "")))</f>
        <v/>
      </c>
      <c r="N847" s="26" t="str">
        <f>IF(OR(F847 = "", G847 = ""), "", IF(F847 = "Vara", IFERROR(_xlfn.SINGLE(_xlfn.XLOOKUP(G847, Vöruskrá!A:A, Vöruskrá!G:G, "")), ""), IF(F847 = "Réttur", IFERROR(_xlfn.SINGLE(_xlfn.XLOOKUP(G847, Réttabanki!A:A, Réttabanki!AU:AU, "")), ""), "")))</f>
        <v/>
      </c>
      <c r="O847" s="26" t="str">
        <f>IF(OR(F847 = "", G847 = "", I847 = ""), "", IF(F847 = "Vara", IFERROR(_xlfn.SINGLE(_xlfn.XLOOKUP(G847, Vöruskrá!A:A, Vöruskrá!I:I, "")) * I847 / 100, ""), IF(F847 = "Réttur", IFERROR(_xlfn.SINGLE(_xlfn.XLOOKUP(G847, Réttabanki!A:A, Réttabanki!AV:AV, "")) * I847 / 100, ""), "")))</f>
        <v/>
      </c>
      <c r="P847" s="26" t="str">
        <f>IF(OR(F847 = "", G847 = "", I847 = ""), "", IF(F847 = "Vara", IFERROR(_xlfn.SINGLE(_xlfn.XLOOKUP(G847, Vöruskrá!A:A, Vöruskrá!J:J, "")) * I847 / 100, ""), IF(F847 = "Réttur", IFERROR(_xlfn.SINGLE(_xlfn.XLOOKUP(G847, Réttabanki!A:A, Réttabanki!AW:AW, "")) * I847 / 100, ""), "")))</f>
        <v/>
      </c>
      <c r="Q847" s="26" t="str">
        <f>IF(OR(F847 = "", G847 = "", I847 = ""), "", IF(F847 = "Vara", IFERROR(_xlfn.SINGLE(_xlfn.XLOOKUP(G847, Vöruskrá!A:A, Vöruskrá!N:N, "")) * I847 / 100, ""), IF(F847 = "Réttur", IFERROR(_xlfn.SINGLE(_xlfn.XLOOKUP(G847, Réttabanki!A:A, Réttabanki!BB:BB, "")) * I847 / 100, ""), "")))</f>
        <v/>
      </c>
    </row>
    <row r="848" spans="2:17">
      <c r="B848" s="33" t="str">
        <f>IF(A848&lt;&gt;"",CHOOSE(WEEKDAY(A848,2),"Mánudagur","Þriðjudagur","Miðvikudagur","Fimmtudagur","Föstudagur","Laugardagur","Sunnudagur"),IF(B847&lt;&gt;"",B847,""))</f>
        <v>Fimmtudagur</v>
      </c>
      <c r="C848" s="33">
        <f>IF(A848&lt;&gt;"",WEEKNUM(A848,21),IF(C847&lt;&gt;"",C847,""))</f>
        <v>27</v>
      </c>
      <c r="D848" s="34"/>
      <c r="E848" s="34"/>
      <c r="F848" s="34"/>
      <c r="G848" s="34"/>
      <c r="H848" s="34"/>
      <c r="I848" s="35"/>
      <c r="J848" s="35"/>
      <c r="K848" s="36"/>
      <c r="L848" s="26" t="str">
        <f>IF(OR(F848 = "", G848 = ""), "", IF(F848 = "Vara", IFERROR(_xlfn.SINGLE(_xlfn.XLOOKUP(G848, Vöruskrá!A:A, Vöruskrá!E:E, "")), ""), IF(F848 = "Réttur", IFERROR(_xlfn.SINGLE(_xlfn.XLOOKUP(G848, Réttabanki!A:A, Réttabanki!AS:AS, "")), ""), "")))</f>
        <v/>
      </c>
      <c r="M848" s="26" t="str">
        <f>IF(OR(F848 = "", G848 = ""), "", IF(F848 = "Vara", IFERROR(_xlfn.SINGLE(_xlfn.XLOOKUP(G848, Vöruskrá!A:A, Vöruskrá!F:F, "")), ""), IF(F848 = "Réttur", IFERROR(_xlfn.SINGLE(_xlfn.XLOOKUP(G848, Réttabanki!A:A, Réttabanki!AT:AT, "")), ""), "")))</f>
        <v/>
      </c>
      <c r="N848" s="26" t="str">
        <f>IF(OR(F848 = "", G848 = ""), "", IF(F848 = "Vara", IFERROR(_xlfn.SINGLE(_xlfn.XLOOKUP(G848, Vöruskrá!A:A, Vöruskrá!G:G, "")), ""), IF(F848 = "Réttur", IFERROR(_xlfn.SINGLE(_xlfn.XLOOKUP(G848, Réttabanki!A:A, Réttabanki!AU:AU, "")), ""), "")))</f>
        <v/>
      </c>
      <c r="O848" s="26" t="str">
        <f>IF(OR(F848 = "", G848 = "", I848 = ""), "", IF(F848 = "Vara", IFERROR(_xlfn.SINGLE(_xlfn.XLOOKUP(G848, Vöruskrá!A:A, Vöruskrá!I:I, "")) * I848 / 100, ""), IF(F848 = "Réttur", IFERROR(_xlfn.SINGLE(_xlfn.XLOOKUP(G848, Réttabanki!A:A, Réttabanki!AV:AV, "")) * I848 / 100, ""), "")))</f>
        <v/>
      </c>
      <c r="P848" s="26" t="str">
        <f>IF(OR(F848 = "", G848 = "", I848 = ""), "", IF(F848 = "Vara", IFERROR(_xlfn.SINGLE(_xlfn.XLOOKUP(G848, Vöruskrá!A:A, Vöruskrá!J:J, "")) * I848 / 100, ""), IF(F848 = "Réttur", IFERROR(_xlfn.SINGLE(_xlfn.XLOOKUP(G848, Réttabanki!A:A, Réttabanki!AW:AW, "")) * I848 / 100, ""), "")))</f>
        <v/>
      </c>
      <c r="Q848" s="26" t="str">
        <f>IF(OR(F848 = "", G848 = "", I848 = ""), "", IF(F848 = "Vara", IFERROR(_xlfn.SINGLE(_xlfn.XLOOKUP(G848, Vöruskrá!A:A, Vöruskrá!N:N, "")) * I848 / 100, ""), IF(F848 = "Réttur", IFERROR(_xlfn.SINGLE(_xlfn.XLOOKUP(G848, Réttabanki!A:A, Réttabanki!BB:BB, "")) * I848 / 100, ""), "")))</f>
        <v/>
      </c>
    </row>
    <row r="849" spans="2:17">
      <c r="B849" s="33" t="str">
        <f>IF(A849&lt;&gt;"",CHOOSE(WEEKDAY(A849,2),"Mánudagur","Þriðjudagur","Miðvikudagur","Fimmtudagur","Föstudagur","Laugardagur","Sunnudagur"),IF(B848&lt;&gt;"",B848,""))</f>
        <v>Fimmtudagur</v>
      </c>
      <c r="C849" s="33">
        <f>IF(A849&lt;&gt;"",WEEKNUM(A849,21),IF(C848&lt;&gt;"",C848,""))</f>
        <v>27</v>
      </c>
      <c r="D849" s="34"/>
      <c r="E849" s="34"/>
      <c r="F849" s="34"/>
      <c r="G849" s="34"/>
      <c r="H849" s="34"/>
      <c r="I849" s="35"/>
      <c r="J849" s="35"/>
      <c r="K849" s="36"/>
      <c r="L849" s="26" t="str">
        <f>IF(OR(F849 = "", G849 = ""), "", IF(F849 = "Vara", IFERROR(_xlfn.SINGLE(_xlfn.XLOOKUP(G849, Vöruskrá!A:A, Vöruskrá!E:E, "")), ""), IF(F849 = "Réttur", IFERROR(_xlfn.SINGLE(_xlfn.XLOOKUP(G849, Réttabanki!A:A, Réttabanki!AS:AS, "")), ""), "")))</f>
        <v/>
      </c>
      <c r="M849" s="26" t="str">
        <f>IF(OR(F849 = "", G849 = ""), "", IF(F849 = "Vara", IFERROR(_xlfn.SINGLE(_xlfn.XLOOKUP(G849, Vöruskrá!A:A, Vöruskrá!F:F, "")), ""), IF(F849 = "Réttur", IFERROR(_xlfn.SINGLE(_xlfn.XLOOKUP(G849, Réttabanki!A:A, Réttabanki!AT:AT, "")), ""), "")))</f>
        <v/>
      </c>
      <c r="N849" s="26" t="str">
        <f>IF(OR(F849 = "", G849 = ""), "", IF(F849 = "Vara", IFERROR(_xlfn.SINGLE(_xlfn.XLOOKUP(G849, Vöruskrá!A:A, Vöruskrá!G:G, "")), ""), IF(F849 = "Réttur", IFERROR(_xlfn.SINGLE(_xlfn.XLOOKUP(G849, Réttabanki!A:A, Réttabanki!AU:AU, "")), ""), "")))</f>
        <v/>
      </c>
      <c r="O849" s="26" t="str">
        <f>IF(OR(F849 = "", G849 = "", I849 = ""), "", IF(F849 = "Vara", IFERROR(_xlfn.SINGLE(_xlfn.XLOOKUP(G849, Vöruskrá!A:A, Vöruskrá!I:I, "")) * I849 / 100, ""), IF(F849 = "Réttur", IFERROR(_xlfn.SINGLE(_xlfn.XLOOKUP(G849, Réttabanki!A:A, Réttabanki!AV:AV, "")) * I849 / 100, ""), "")))</f>
        <v/>
      </c>
      <c r="P849" s="26" t="str">
        <f>IF(OR(F849 = "", G849 = "", I849 = ""), "", IF(F849 = "Vara", IFERROR(_xlfn.SINGLE(_xlfn.XLOOKUP(G849, Vöruskrá!A:A, Vöruskrá!J:J, "")) * I849 / 100, ""), IF(F849 = "Réttur", IFERROR(_xlfn.SINGLE(_xlfn.XLOOKUP(G849, Réttabanki!A:A, Réttabanki!AW:AW, "")) * I849 / 100, ""), "")))</f>
        <v/>
      </c>
      <c r="Q849" s="26" t="str">
        <f>IF(OR(F849 = "", G849 = "", I849 = ""), "", IF(F849 = "Vara", IFERROR(_xlfn.SINGLE(_xlfn.XLOOKUP(G849, Vöruskrá!A:A, Vöruskrá!N:N, "")) * I849 / 100, ""), IF(F849 = "Réttur", IFERROR(_xlfn.SINGLE(_xlfn.XLOOKUP(G849, Réttabanki!A:A, Réttabanki!BB:BB, "")) * I849 / 100, ""), "")))</f>
        <v/>
      </c>
    </row>
    <row r="850" spans="2:17">
      <c r="B850" s="33" t="str">
        <f>IF(A850&lt;&gt;"",CHOOSE(WEEKDAY(A850,2),"Mánudagur","Þriðjudagur","Miðvikudagur","Fimmtudagur","Föstudagur","Laugardagur","Sunnudagur"),IF(B849&lt;&gt;"",B849,""))</f>
        <v>Fimmtudagur</v>
      </c>
      <c r="C850" s="33">
        <f>IF(A850&lt;&gt;"",WEEKNUM(A850,21),IF(C849&lt;&gt;"",C849,""))</f>
        <v>27</v>
      </c>
      <c r="D850" s="34"/>
      <c r="E850" s="34"/>
      <c r="F850" s="34"/>
      <c r="G850" s="34"/>
      <c r="H850" s="34"/>
      <c r="I850" s="35"/>
      <c r="J850" s="35"/>
      <c r="K850" s="36"/>
      <c r="L850" s="26" t="str">
        <f>IF(OR(F850 = "", G850 = ""), "", IF(F850 = "Vara", IFERROR(_xlfn.SINGLE(_xlfn.XLOOKUP(G850, Vöruskrá!A:A, Vöruskrá!E:E, "")), ""), IF(F850 = "Réttur", IFERROR(_xlfn.SINGLE(_xlfn.XLOOKUP(G850, Réttabanki!A:A, Réttabanki!AS:AS, "")), ""), "")))</f>
        <v/>
      </c>
      <c r="M850" s="26" t="str">
        <f>IF(OR(F850 = "", G850 = ""), "", IF(F850 = "Vara", IFERROR(_xlfn.SINGLE(_xlfn.XLOOKUP(G850, Vöruskrá!A:A, Vöruskrá!F:F, "")), ""), IF(F850 = "Réttur", IFERROR(_xlfn.SINGLE(_xlfn.XLOOKUP(G850, Réttabanki!A:A, Réttabanki!AT:AT, "")), ""), "")))</f>
        <v/>
      </c>
      <c r="N850" s="26" t="str">
        <f>IF(OR(F850 = "", G850 = ""), "", IF(F850 = "Vara", IFERROR(_xlfn.SINGLE(_xlfn.XLOOKUP(G850, Vöruskrá!A:A, Vöruskrá!G:G, "")), ""), IF(F850 = "Réttur", IFERROR(_xlfn.SINGLE(_xlfn.XLOOKUP(G850, Réttabanki!A:A, Réttabanki!AU:AU, "")), ""), "")))</f>
        <v/>
      </c>
      <c r="O850" s="26" t="str">
        <f>IF(OR(F850 = "", G850 = "", I850 = ""), "", IF(F850 = "Vara", IFERROR(_xlfn.SINGLE(_xlfn.XLOOKUP(G850, Vöruskrá!A:A, Vöruskrá!I:I, "")) * I850 / 100, ""), IF(F850 = "Réttur", IFERROR(_xlfn.SINGLE(_xlfn.XLOOKUP(G850, Réttabanki!A:A, Réttabanki!AV:AV, "")) * I850 / 100, ""), "")))</f>
        <v/>
      </c>
      <c r="P850" s="26" t="str">
        <f>IF(OR(F850 = "", G850 = "", I850 = ""), "", IF(F850 = "Vara", IFERROR(_xlfn.SINGLE(_xlfn.XLOOKUP(G850, Vöruskrá!A:A, Vöruskrá!J:J, "")) * I850 / 100, ""), IF(F850 = "Réttur", IFERROR(_xlfn.SINGLE(_xlfn.XLOOKUP(G850, Réttabanki!A:A, Réttabanki!AW:AW, "")) * I850 / 100, ""), "")))</f>
        <v/>
      </c>
      <c r="Q850" s="26" t="str">
        <f>IF(OR(F850 = "", G850 = "", I850 = ""), "", IF(F850 = "Vara", IFERROR(_xlfn.SINGLE(_xlfn.XLOOKUP(G850, Vöruskrá!A:A, Vöruskrá!N:N, "")) * I850 / 100, ""), IF(F850 = "Réttur", IFERROR(_xlfn.SINGLE(_xlfn.XLOOKUP(G850, Réttabanki!A:A, Réttabanki!BB:BB, "")) * I850 / 100, ""), "")))</f>
        <v/>
      </c>
    </row>
    <row r="851" spans="2:17">
      <c r="B851" s="33" t="str">
        <f>IF(A851&lt;&gt;"",CHOOSE(WEEKDAY(A851,2),"Mánudagur","Þriðjudagur","Miðvikudagur","Fimmtudagur","Föstudagur","Laugardagur","Sunnudagur"),IF(B850&lt;&gt;"",B850,""))</f>
        <v>Fimmtudagur</v>
      </c>
      <c r="C851" s="33">
        <f>IF(A851&lt;&gt;"",WEEKNUM(A851,21),IF(C850&lt;&gt;"",C850,""))</f>
        <v>27</v>
      </c>
      <c r="D851" s="34"/>
      <c r="E851" s="34"/>
      <c r="F851" s="34"/>
      <c r="G851" s="34"/>
      <c r="H851" s="34"/>
      <c r="I851" s="35"/>
      <c r="J851" s="35"/>
      <c r="K851" s="36"/>
      <c r="L851" s="26" t="str">
        <f>IF(OR(F851 = "", G851 = ""), "", IF(F851 = "Vara", IFERROR(_xlfn.SINGLE(_xlfn.XLOOKUP(G851, Vöruskrá!A:A, Vöruskrá!E:E, "")), ""), IF(F851 = "Réttur", IFERROR(_xlfn.SINGLE(_xlfn.XLOOKUP(G851, Réttabanki!A:A, Réttabanki!AS:AS, "")), ""), "")))</f>
        <v/>
      </c>
      <c r="M851" s="26" t="str">
        <f>IF(OR(F851 = "", G851 = ""), "", IF(F851 = "Vara", IFERROR(_xlfn.SINGLE(_xlfn.XLOOKUP(G851, Vöruskrá!A:A, Vöruskrá!F:F, "")), ""), IF(F851 = "Réttur", IFERROR(_xlfn.SINGLE(_xlfn.XLOOKUP(G851, Réttabanki!A:A, Réttabanki!AT:AT, "")), ""), "")))</f>
        <v/>
      </c>
      <c r="N851" s="26" t="str">
        <f>IF(OR(F851 = "", G851 = ""), "", IF(F851 = "Vara", IFERROR(_xlfn.SINGLE(_xlfn.XLOOKUP(G851, Vöruskrá!A:A, Vöruskrá!G:G, "")), ""), IF(F851 = "Réttur", IFERROR(_xlfn.SINGLE(_xlfn.XLOOKUP(G851, Réttabanki!A:A, Réttabanki!AU:AU, "")), ""), "")))</f>
        <v/>
      </c>
      <c r="O851" s="26" t="str">
        <f>IF(OR(F851 = "", G851 = "", I851 = ""), "", IF(F851 = "Vara", IFERROR(_xlfn.SINGLE(_xlfn.XLOOKUP(G851, Vöruskrá!A:A, Vöruskrá!I:I, "")) * I851 / 100, ""), IF(F851 = "Réttur", IFERROR(_xlfn.SINGLE(_xlfn.XLOOKUP(G851, Réttabanki!A:A, Réttabanki!AV:AV, "")) * I851 / 100, ""), "")))</f>
        <v/>
      </c>
      <c r="P851" s="26" t="str">
        <f>IF(OR(F851 = "", G851 = "", I851 = ""), "", IF(F851 = "Vara", IFERROR(_xlfn.SINGLE(_xlfn.XLOOKUP(G851, Vöruskrá!A:A, Vöruskrá!J:J, "")) * I851 / 100, ""), IF(F851 = "Réttur", IFERROR(_xlfn.SINGLE(_xlfn.XLOOKUP(G851, Réttabanki!A:A, Réttabanki!AW:AW, "")) * I851 / 100, ""), "")))</f>
        <v/>
      </c>
      <c r="Q851" s="26" t="str">
        <f>IF(OR(F851 = "", G851 = "", I851 = ""), "", IF(F851 = "Vara", IFERROR(_xlfn.SINGLE(_xlfn.XLOOKUP(G851, Vöruskrá!A:A, Vöruskrá!N:N, "")) * I851 / 100, ""), IF(F851 = "Réttur", IFERROR(_xlfn.SINGLE(_xlfn.XLOOKUP(G851, Réttabanki!A:A, Réttabanki!BB:BB, "")) * I851 / 100, ""), "")))</f>
        <v/>
      </c>
    </row>
    <row r="852" spans="2:17">
      <c r="B852" s="33" t="str">
        <f>IF(A852&lt;&gt;"",CHOOSE(WEEKDAY(A852,2),"Mánudagur","Þriðjudagur","Miðvikudagur","Fimmtudagur","Föstudagur","Laugardagur","Sunnudagur"),IF(B851&lt;&gt;"",B851,""))</f>
        <v>Fimmtudagur</v>
      </c>
      <c r="C852" s="33">
        <f>IF(A852&lt;&gt;"",WEEKNUM(A852,21),IF(C851&lt;&gt;"",C851,""))</f>
        <v>27</v>
      </c>
      <c r="D852" s="34"/>
      <c r="E852" s="34"/>
      <c r="F852" s="34"/>
      <c r="G852" s="34"/>
      <c r="H852" s="34"/>
      <c r="I852" s="35"/>
      <c r="J852" s="35"/>
      <c r="K852" s="36"/>
      <c r="L852" s="26" t="str">
        <f>IF(OR(F852 = "", G852 = ""), "", IF(F852 = "Vara", IFERROR(_xlfn.SINGLE(_xlfn.XLOOKUP(G852, Vöruskrá!A:A, Vöruskrá!E:E, "")), ""), IF(F852 = "Réttur", IFERROR(_xlfn.SINGLE(_xlfn.XLOOKUP(G852, Réttabanki!A:A, Réttabanki!AS:AS, "")), ""), "")))</f>
        <v/>
      </c>
      <c r="M852" s="26" t="str">
        <f>IF(OR(F852 = "", G852 = ""), "", IF(F852 = "Vara", IFERROR(_xlfn.SINGLE(_xlfn.XLOOKUP(G852, Vöruskrá!A:A, Vöruskrá!F:F, "")), ""), IF(F852 = "Réttur", IFERROR(_xlfn.SINGLE(_xlfn.XLOOKUP(G852, Réttabanki!A:A, Réttabanki!AT:AT, "")), ""), "")))</f>
        <v/>
      </c>
      <c r="N852" s="26" t="str">
        <f>IF(OR(F852 = "", G852 = ""), "", IF(F852 = "Vara", IFERROR(_xlfn.SINGLE(_xlfn.XLOOKUP(G852, Vöruskrá!A:A, Vöruskrá!G:G, "")), ""), IF(F852 = "Réttur", IFERROR(_xlfn.SINGLE(_xlfn.XLOOKUP(G852, Réttabanki!A:A, Réttabanki!AU:AU, "")), ""), "")))</f>
        <v/>
      </c>
      <c r="O852" s="26" t="str">
        <f>IF(OR(F852 = "", G852 = "", I852 = ""), "", IF(F852 = "Vara", IFERROR(_xlfn.SINGLE(_xlfn.XLOOKUP(G852, Vöruskrá!A:A, Vöruskrá!I:I, "")) * I852 / 100, ""), IF(F852 = "Réttur", IFERROR(_xlfn.SINGLE(_xlfn.XLOOKUP(G852, Réttabanki!A:A, Réttabanki!AV:AV, "")) * I852 / 100, ""), "")))</f>
        <v/>
      </c>
      <c r="P852" s="26" t="str">
        <f>IF(OR(F852 = "", G852 = "", I852 = ""), "", IF(F852 = "Vara", IFERROR(_xlfn.SINGLE(_xlfn.XLOOKUP(G852, Vöruskrá!A:A, Vöruskrá!J:J, "")) * I852 / 100, ""), IF(F852 = "Réttur", IFERROR(_xlfn.SINGLE(_xlfn.XLOOKUP(G852, Réttabanki!A:A, Réttabanki!AW:AW, "")) * I852 / 100, ""), "")))</f>
        <v/>
      </c>
      <c r="Q852" s="26" t="str">
        <f>IF(OR(F852 = "", G852 = "", I852 = ""), "", IF(F852 = "Vara", IFERROR(_xlfn.SINGLE(_xlfn.XLOOKUP(G852, Vöruskrá!A:A, Vöruskrá!N:N, "")) * I852 / 100, ""), IF(F852 = "Réttur", IFERROR(_xlfn.SINGLE(_xlfn.XLOOKUP(G852, Réttabanki!A:A, Réttabanki!BB:BB, "")) * I852 / 100, ""), "")))</f>
        <v/>
      </c>
    </row>
    <row r="853" spans="2:17">
      <c r="B853" s="33" t="str">
        <f>IF(A853&lt;&gt;"",CHOOSE(WEEKDAY(A853,2),"Mánudagur","Þriðjudagur","Miðvikudagur","Fimmtudagur","Föstudagur","Laugardagur","Sunnudagur"),IF(B852&lt;&gt;"",B852,""))</f>
        <v>Fimmtudagur</v>
      </c>
      <c r="C853" s="33">
        <f>IF(A853&lt;&gt;"",WEEKNUM(A853,21),IF(C852&lt;&gt;"",C852,""))</f>
        <v>27</v>
      </c>
      <c r="D853" s="34"/>
      <c r="E853" s="34"/>
      <c r="F853" s="34"/>
      <c r="G853" s="34"/>
      <c r="H853" s="34"/>
      <c r="I853" s="35"/>
      <c r="J853" s="35"/>
      <c r="K853" s="36"/>
      <c r="L853" s="26" t="str">
        <f>IF(OR(F853 = "", G853 = ""), "", IF(F853 = "Vara", IFERROR(_xlfn.SINGLE(_xlfn.XLOOKUP(G853, Vöruskrá!A:A, Vöruskrá!E:E, "")), ""), IF(F853 = "Réttur", IFERROR(_xlfn.SINGLE(_xlfn.XLOOKUP(G853, Réttabanki!A:A, Réttabanki!AS:AS, "")), ""), "")))</f>
        <v/>
      </c>
      <c r="M853" s="26" t="str">
        <f>IF(OR(F853 = "", G853 = ""), "", IF(F853 = "Vara", IFERROR(_xlfn.SINGLE(_xlfn.XLOOKUP(G853, Vöruskrá!A:A, Vöruskrá!F:F, "")), ""), IF(F853 = "Réttur", IFERROR(_xlfn.SINGLE(_xlfn.XLOOKUP(G853, Réttabanki!A:A, Réttabanki!AT:AT, "")), ""), "")))</f>
        <v/>
      </c>
      <c r="N853" s="26" t="str">
        <f>IF(OR(F853 = "", G853 = ""), "", IF(F853 = "Vara", IFERROR(_xlfn.SINGLE(_xlfn.XLOOKUP(G853, Vöruskrá!A:A, Vöruskrá!G:G, "")), ""), IF(F853 = "Réttur", IFERROR(_xlfn.SINGLE(_xlfn.XLOOKUP(G853, Réttabanki!A:A, Réttabanki!AU:AU, "")), ""), "")))</f>
        <v/>
      </c>
      <c r="O853" s="26" t="str">
        <f>IF(OR(F853 = "", G853 = "", I853 = ""), "", IF(F853 = "Vara", IFERROR(_xlfn.SINGLE(_xlfn.XLOOKUP(G853, Vöruskrá!A:A, Vöruskrá!I:I, "")) * I853 / 100, ""), IF(F853 = "Réttur", IFERROR(_xlfn.SINGLE(_xlfn.XLOOKUP(G853, Réttabanki!A:A, Réttabanki!AV:AV, "")) * I853 / 100, ""), "")))</f>
        <v/>
      </c>
      <c r="P853" s="26" t="str">
        <f>IF(OR(F853 = "", G853 = "", I853 = ""), "", IF(F853 = "Vara", IFERROR(_xlfn.SINGLE(_xlfn.XLOOKUP(G853, Vöruskrá!A:A, Vöruskrá!J:J, "")) * I853 / 100, ""), IF(F853 = "Réttur", IFERROR(_xlfn.SINGLE(_xlfn.XLOOKUP(G853, Réttabanki!A:A, Réttabanki!AW:AW, "")) * I853 / 100, ""), "")))</f>
        <v/>
      </c>
      <c r="Q853" s="26" t="str">
        <f>IF(OR(F853 = "", G853 = "", I853 = ""), "", IF(F853 = "Vara", IFERROR(_xlfn.SINGLE(_xlfn.XLOOKUP(G853, Vöruskrá!A:A, Vöruskrá!N:N, "")) * I853 / 100, ""), IF(F853 = "Réttur", IFERROR(_xlfn.SINGLE(_xlfn.XLOOKUP(G853, Réttabanki!A:A, Réttabanki!BB:BB, "")) * I853 / 100, ""), "")))</f>
        <v/>
      </c>
    </row>
    <row r="854" spans="2:17">
      <c r="B854" s="33" t="str">
        <f>IF(A854&lt;&gt;"",CHOOSE(WEEKDAY(A854,2),"Mánudagur","Þriðjudagur","Miðvikudagur","Fimmtudagur","Föstudagur","Laugardagur","Sunnudagur"),IF(B853&lt;&gt;"",B853,""))</f>
        <v>Fimmtudagur</v>
      </c>
      <c r="C854" s="33">
        <f>IF(A854&lt;&gt;"",WEEKNUM(A854,21),IF(C853&lt;&gt;"",C853,""))</f>
        <v>27</v>
      </c>
      <c r="D854" s="34"/>
      <c r="E854" s="34"/>
      <c r="F854" s="34"/>
      <c r="G854" s="34"/>
      <c r="H854" s="34"/>
      <c r="I854" s="35"/>
      <c r="J854" s="35"/>
      <c r="K854" s="36"/>
      <c r="L854" s="26" t="str">
        <f>IF(OR(F854 = "", G854 = ""), "", IF(F854 = "Vara", IFERROR(_xlfn.SINGLE(_xlfn.XLOOKUP(G854, Vöruskrá!A:A, Vöruskrá!E:E, "")), ""), IF(F854 = "Réttur", IFERROR(_xlfn.SINGLE(_xlfn.XLOOKUP(G854, Réttabanki!A:A, Réttabanki!AS:AS, "")), ""), "")))</f>
        <v/>
      </c>
      <c r="M854" s="26" t="str">
        <f>IF(OR(F854 = "", G854 = ""), "", IF(F854 = "Vara", IFERROR(_xlfn.SINGLE(_xlfn.XLOOKUP(G854, Vöruskrá!A:A, Vöruskrá!F:F, "")), ""), IF(F854 = "Réttur", IFERROR(_xlfn.SINGLE(_xlfn.XLOOKUP(G854, Réttabanki!A:A, Réttabanki!AT:AT, "")), ""), "")))</f>
        <v/>
      </c>
      <c r="N854" s="26" t="str">
        <f>IF(OR(F854 = "", G854 = ""), "", IF(F854 = "Vara", IFERROR(_xlfn.SINGLE(_xlfn.XLOOKUP(G854, Vöruskrá!A:A, Vöruskrá!G:G, "")), ""), IF(F854 = "Réttur", IFERROR(_xlfn.SINGLE(_xlfn.XLOOKUP(G854, Réttabanki!A:A, Réttabanki!AU:AU, "")), ""), "")))</f>
        <v/>
      </c>
      <c r="O854" s="26" t="str">
        <f>IF(OR(F854 = "", G854 = "", I854 = ""), "", IF(F854 = "Vara", IFERROR(_xlfn.SINGLE(_xlfn.XLOOKUP(G854, Vöruskrá!A:A, Vöruskrá!I:I, "")) * I854 / 100, ""), IF(F854 = "Réttur", IFERROR(_xlfn.SINGLE(_xlfn.XLOOKUP(G854, Réttabanki!A:A, Réttabanki!AV:AV, "")) * I854 / 100, ""), "")))</f>
        <v/>
      </c>
      <c r="P854" s="26" t="str">
        <f>IF(OR(F854 = "", G854 = "", I854 = ""), "", IF(F854 = "Vara", IFERROR(_xlfn.SINGLE(_xlfn.XLOOKUP(G854, Vöruskrá!A:A, Vöruskrá!J:J, "")) * I854 / 100, ""), IF(F854 = "Réttur", IFERROR(_xlfn.SINGLE(_xlfn.XLOOKUP(G854, Réttabanki!A:A, Réttabanki!AW:AW, "")) * I854 / 100, ""), "")))</f>
        <v/>
      </c>
      <c r="Q854" s="26" t="str">
        <f>IF(OR(F854 = "", G854 = "", I854 = ""), "", IF(F854 = "Vara", IFERROR(_xlfn.SINGLE(_xlfn.XLOOKUP(G854, Vöruskrá!A:A, Vöruskrá!N:N, "")) * I854 / 100, ""), IF(F854 = "Réttur", IFERROR(_xlfn.SINGLE(_xlfn.XLOOKUP(G854, Réttabanki!A:A, Réttabanki!BB:BB, "")) * I854 / 100, ""), "")))</f>
        <v/>
      </c>
    </row>
    <row r="855" spans="2:17">
      <c r="B855" s="33" t="str">
        <f>IF(A855&lt;&gt;"",CHOOSE(WEEKDAY(A855,2),"Mánudagur","Þriðjudagur","Miðvikudagur","Fimmtudagur","Föstudagur","Laugardagur","Sunnudagur"),IF(B854&lt;&gt;"",B854,""))</f>
        <v>Fimmtudagur</v>
      </c>
      <c r="C855" s="33">
        <f>IF(A855&lt;&gt;"",WEEKNUM(A855,21),IF(C854&lt;&gt;"",C854,""))</f>
        <v>27</v>
      </c>
      <c r="D855" s="34"/>
      <c r="E855" s="34"/>
      <c r="F855" s="34"/>
      <c r="G855" s="34"/>
      <c r="H855" s="34"/>
      <c r="I855" s="35"/>
      <c r="J855" s="35"/>
      <c r="K855" s="36"/>
      <c r="L855" s="26" t="str">
        <f>IF(OR(F855 = "", G855 = ""), "", IF(F855 = "Vara", IFERROR(_xlfn.SINGLE(_xlfn.XLOOKUP(G855, Vöruskrá!A:A, Vöruskrá!E:E, "")), ""), IF(F855 = "Réttur", IFERROR(_xlfn.SINGLE(_xlfn.XLOOKUP(G855, Réttabanki!A:A, Réttabanki!AS:AS, "")), ""), "")))</f>
        <v/>
      </c>
      <c r="M855" s="26" t="str">
        <f>IF(OR(F855 = "", G855 = ""), "", IF(F855 = "Vara", IFERROR(_xlfn.SINGLE(_xlfn.XLOOKUP(G855, Vöruskrá!A:A, Vöruskrá!F:F, "")), ""), IF(F855 = "Réttur", IFERROR(_xlfn.SINGLE(_xlfn.XLOOKUP(G855, Réttabanki!A:A, Réttabanki!AT:AT, "")), ""), "")))</f>
        <v/>
      </c>
      <c r="N855" s="26" t="str">
        <f>IF(OR(F855 = "", G855 = ""), "", IF(F855 = "Vara", IFERROR(_xlfn.SINGLE(_xlfn.XLOOKUP(G855, Vöruskrá!A:A, Vöruskrá!G:G, "")), ""), IF(F855 = "Réttur", IFERROR(_xlfn.SINGLE(_xlfn.XLOOKUP(G855, Réttabanki!A:A, Réttabanki!AU:AU, "")), ""), "")))</f>
        <v/>
      </c>
      <c r="O855" s="26" t="str">
        <f>IF(OR(F855 = "", G855 = "", I855 = ""), "", IF(F855 = "Vara", IFERROR(_xlfn.SINGLE(_xlfn.XLOOKUP(G855, Vöruskrá!A:A, Vöruskrá!I:I, "")) * I855 / 100, ""), IF(F855 = "Réttur", IFERROR(_xlfn.SINGLE(_xlfn.XLOOKUP(G855, Réttabanki!A:A, Réttabanki!AV:AV, "")) * I855 / 100, ""), "")))</f>
        <v/>
      </c>
      <c r="P855" s="26" t="str">
        <f>IF(OR(F855 = "", G855 = "", I855 = ""), "", IF(F855 = "Vara", IFERROR(_xlfn.SINGLE(_xlfn.XLOOKUP(G855, Vöruskrá!A:A, Vöruskrá!J:J, "")) * I855 / 100, ""), IF(F855 = "Réttur", IFERROR(_xlfn.SINGLE(_xlfn.XLOOKUP(G855, Réttabanki!A:A, Réttabanki!AW:AW, "")) * I855 / 100, ""), "")))</f>
        <v/>
      </c>
      <c r="Q855" s="26" t="str">
        <f>IF(OR(F855 = "", G855 = "", I855 = ""), "", IF(F855 = "Vara", IFERROR(_xlfn.SINGLE(_xlfn.XLOOKUP(G855, Vöruskrá!A:A, Vöruskrá!N:N, "")) * I855 / 100, ""), IF(F855 = "Réttur", IFERROR(_xlfn.SINGLE(_xlfn.XLOOKUP(G855, Réttabanki!A:A, Réttabanki!BB:BB, "")) * I855 / 100, ""), "")))</f>
        <v/>
      </c>
    </row>
    <row r="856" spans="2:17">
      <c r="B856" s="33" t="str">
        <f>IF(A856&lt;&gt;"",CHOOSE(WEEKDAY(A856,2),"Mánudagur","Þriðjudagur","Miðvikudagur","Fimmtudagur","Föstudagur","Laugardagur","Sunnudagur"),IF(B855&lt;&gt;"",B855,""))</f>
        <v>Fimmtudagur</v>
      </c>
      <c r="C856" s="33">
        <f>IF(A856&lt;&gt;"",WEEKNUM(A856,21),IF(C855&lt;&gt;"",C855,""))</f>
        <v>27</v>
      </c>
      <c r="D856" s="34"/>
      <c r="E856" s="34"/>
      <c r="F856" s="34"/>
      <c r="G856" s="34"/>
      <c r="H856" s="34"/>
      <c r="I856" s="35"/>
      <c r="J856" s="35"/>
      <c r="K856" s="36"/>
      <c r="L856" s="26" t="str">
        <f>IF(OR(F856 = "", G856 = ""), "", IF(F856 = "Vara", IFERROR(_xlfn.SINGLE(_xlfn.XLOOKUP(G856, Vöruskrá!A:A, Vöruskrá!E:E, "")), ""), IF(F856 = "Réttur", IFERROR(_xlfn.SINGLE(_xlfn.XLOOKUP(G856, Réttabanki!A:A, Réttabanki!AS:AS, "")), ""), "")))</f>
        <v/>
      </c>
      <c r="M856" s="26" t="str">
        <f>IF(OR(F856 = "", G856 = ""), "", IF(F856 = "Vara", IFERROR(_xlfn.SINGLE(_xlfn.XLOOKUP(G856, Vöruskrá!A:A, Vöruskrá!F:F, "")), ""), IF(F856 = "Réttur", IFERROR(_xlfn.SINGLE(_xlfn.XLOOKUP(G856, Réttabanki!A:A, Réttabanki!AT:AT, "")), ""), "")))</f>
        <v/>
      </c>
      <c r="N856" s="26" t="str">
        <f>IF(OR(F856 = "", G856 = ""), "", IF(F856 = "Vara", IFERROR(_xlfn.SINGLE(_xlfn.XLOOKUP(G856, Vöruskrá!A:A, Vöruskrá!G:G, "")), ""), IF(F856 = "Réttur", IFERROR(_xlfn.SINGLE(_xlfn.XLOOKUP(G856, Réttabanki!A:A, Réttabanki!AU:AU, "")), ""), "")))</f>
        <v/>
      </c>
      <c r="O856" s="26" t="str">
        <f>IF(OR(F856 = "", G856 = "", I856 = ""), "", IF(F856 = "Vara", IFERROR(_xlfn.SINGLE(_xlfn.XLOOKUP(G856, Vöruskrá!A:A, Vöruskrá!I:I, "")) * I856 / 100, ""), IF(F856 = "Réttur", IFERROR(_xlfn.SINGLE(_xlfn.XLOOKUP(G856, Réttabanki!A:A, Réttabanki!AV:AV, "")) * I856 / 100, ""), "")))</f>
        <v/>
      </c>
      <c r="P856" s="26" t="str">
        <f>IF(OR(F856 = "", G856 = "", I856 = ""), "", IF(F856 = "Vara", IFERROR(_xlfn.SINGLE(_xlfn.XLOOKUP(G856, Vöruskrá!A:A, Vöruskrá!J:J, "")) * I856 / 100, ""), IF(F856 = "Réttur", IFERROR(_xlfn.SINGLE(_xlfn.XLOOKUP(G856, Réttabanki!A:A, Réttabanki!AW:AW, "")) * I856 / 100, ""), "")))</f>
        <v/>
      </c>
      <c r="Q856" s="26" t="str">
        <f>IF(OR(F856 = "", G856 = "", I856 = ""), "", IF(F856 = "Vara", IFERROR(_xlfn.SINGLE(_xlfn.XLOOKUP(G856, Vöruskrá!A:A, Vöruskrá!N:N, "")) * I856 / 100, ""), IF(F856 = "Réttur", IFERROR(_xlfn.SINGLE(_xlfn.XLOOKUP(G856, Réttabanki!A:A, Réttabanki!BB:BB, "")) * I856 / 100, ""), "")))</f>
        <v/>
      </c>
    </row>
    <row r="857" spans="2:17">
      <c r="B857" s="33" t="str">
        <f>IF(A857&lt;&gt;"",CHOOSE(WEEKDAY(A857,2),"Mánudagur","Þriðjudagur","Miðvikudagur","Fimmtudagur","Föstudagur","Laugardagur","Sunnudagur"),IF(B856&lt;&gt;"",B856,""))</f>
        <v>Fimmtudagur</v>
      </c>
      <c r="C857" s="33">
        <f>IF(A857&lt;&gt;"",WEEKNUM(A857,21),IF(C856&lt;&gt;"",C856,""))</f>
        <v>27</v>
      </c>
      <c r="D857" s="34"/>
      <c r="E857" s="34"/>
      <c r="F857" s="34"/>
      <c r="G857" s="34"/>
      <c r="H857" s="34"/>
      <c r="I857" s="35"/>
      <c r="J857" s="35"/>
      <c r="K857" s="36"/>
      <c r="L857" s="26" t="str">
        <f>IF(OR(F857 = "", G857 = ""), "", IF(F857 = "Vara", IFERROR(_xlfn.SINGLE(_xlfn.XLOOKUP(G857, Vöruskrá!A:A, Vöruskrá!E:E, "")), ""), IF(F857 = "Réttur", IFERROR(_xlfn.SINGLE(_xlfn.XLOOKUP(G857, Réttabanki!A:A, Réttabanki!AS:AS, "")), ""), "")))</f>
        <v/>
      </c>
      <c r="M857" s="26" t="str">
        <f>IF(OR(F857 = "", G857 = ""), "", IF(F857 = "Vara", IFERROR(_xlfn.SINGLE(_xlfn.XLOOKUP(G857, Vöruskrá!A:A, Vöruskrá!F:F, "")), ""), IF(F857 = "Réttur", IFERROR(_xlfn.SINGLE(_xlfn.XLOOKUP(G857, Réttabanki!A:A, Réttabanki!AT:AT, "")), ""), "")))</f>
        <v/>
      </c>
      <c r="N857" s="26" t="str">
        <f>IF(OR(F857 = "", G857 = ""), "", IF(F857 = "Vara", IFERROR(_xlfn.SINGLE(_xlfn.XLOOKUP(G857, Vöruskrá!A:A, Vöruskrá!G:G, "")), ""), IF(F857 = "Réttur", IFERROR(_xlfn.SINGLE(_xlfn.XLOOKUP(G857, Réttabanki!A:A, Réttabanki!AU:AU, "")), ""), "")))</f>
        <v/>
      </c>
      <c r="O857" s="26" t="str">
        <f>IF(OR(F857 = "", G857 = "", I857 = ""), "", IF(F857 = "Vara", IFERROR(_xlfn.SINGLE(_xlfn.XLOOKUP(G857, Vöruskrá!A:A, Vöruskrá!I:I, "")) * I857 / 100, ""), IF(F857 = "Réttur", IFERROR(_xlfn.SINGLE(_xlfn.XLOOKUP(G857, Réttabanki!A:A, Réttabanki!AV:AV, "")) * I857 / 100, ""), "")))</f>
        <v/>
      </c>
      <c r="P857" s="26" t="str">
        <f>IF(OR(F857 = "", G857 = "", I857 = ""), "", IF(F857 = "Vara", IFERROR(_xlfn.SINGLE(_xlfn.XLOOKUP(G857, Vöruskrá!A:A, Vöruskrá!J:J, "")) * I857 / 100, ""), IF(F857 = "Réttur", IFERROR(_xlfn.SINGLE(_xlfn.XLOOKUP(G857, Réttabanki!A:A, Réttabanki!AW:AW, "")) * I857 / 100, ""), "")))</f>
        <v/>
      </c>
      <c r="Q857" s="26" t="str">
        <f>IF(OR(F857 = "", G857 = "", I857 = ""), "", IF(F857 = "Vara", IFERROR(_xlfn.SINGLE(_xlfn.XLOOKUP(G857, Vöruskrá!A:A, Vöruskrá!N:N, "")) * I857 / 100, ""), IF(F857 = "Réttur", IFERROR(_xlfn.SINGLE(_xlfn.XLOOKUP(G857, Réttabanki!A:A, Réttabanki!BB:BB, "")) * I857 / 100, ""), "")))</f>
        <v/>
      </c>
    </row>
    <row r="858" spans="2:17">
      <c r="B858" s="33" t="str">
        <f>IF(A858&lt;&gt;"",CHOOSE(WEEKDAY(A858,2),"Mánudagur","Þriðjudagur","Miðvikudagur","Fimmtudagur","Föstudagur","Laugardagur","Sunnudagur"),IF(B857&lt;&gt;"",B857,""))</f>
        <v>Fimmtudagur</v>
      </c>
      <c r="C858" s="33">
        <f>IF(A858&lt;&gt;"",WEEKNUM(A858,21),IF(C857&lt;&gt;"",C857,""))</f>
        <v>27</v>
      </c>
      <c r="D858" s="34"/>
      <c r="E858" s="34"/>
      <c r="F858" s="34"/>
      <c r="G858" s="34"/>
      <c r="H858" s="34"/>
      <c r="I858" s="35"/>
      <c r="J858" s="35"/>
      <c r="K858" s="36"/>
      <c r="L858" s="26" t="str">
        <f>IF(OR(F858 = "", G858 = ""), "", IF(F858 = "Vara", IFERROR(_xlfn.SINGLE(_xlfn.XLOOKUP(G858, Vöruskrá!A:A, Vöruskrá!E:E, "")), ""), IF(F858 = "Réttur", IFERROR(_xlfn.SINGLE(_xlfn.XLOOKUP(G858, Réttabanki!A:A, Réttabanki!AS:AS, "")), ""), "")))</f>
        <v/>
      </c>
      <c r="M858" s="26" t="str">
        <f>IF(OR(F858 = "", G858 = ""), "", IF(F858 = "Vara", IFERROR(_xlfn.SINGLE(_xlfn.XLOOKUP(G858, Vöruskrá!A:A, Vöruskrá!F:F, "")), ""), IF(F858 = "Réttur", IFERROR(_xlfn.SINGLE(_xlfn.XLOOKUP(G858, Réttabanki!A:A, Réttabanki!AT:AT, "")), ""), "")))</f>
        <v/>
      </c>
      <c r="N858" s="26" t="str">
        <f>IF(OR(F858 = "", G858 = ""), "", IF(F858 = "Vara", IFERROR(_xlfn.SINGLE(_xlfn.XLOOKUP(G858, Vöruskrá!A:A, Vöruskrá!G:G, "")), ""), IF(F858 = "Réttur", IFERROR(_xlfn.SINGLE(_xlfn.XLOOKUP(G858, Réttabanki!A:A, Réttabanki!AU:AU, "")), ""), "")))</f>
        <v/>
      </c>
      <c r="O858" s="26" t="str">
        <f>IF(OR(F858 = "", G858 = "", I858 = ""), "", IF(F858 = "Vara", IFERROR(_xlfn.SINGLE(_xlfn.XLOOKUP(G858, Vöruskrá!A:A, Vöruskrá!I:I, "")) * I858 / 100, ""), IF(F858 = "Réttur", IFERROR(_xlfn.SINGLE(_xlfn.XLOOKUP(G858, Réttabanki!A:A, Réttabanki!AV:AV, "")) * I858 / 100, ""), "")))</f>
        <v/>
      </c>
      <c r="P858" s="26" t="str">
        <f>IF(OR(F858 = "", G858 = "", I858 = ""), "", IF(F858 = "Vara", IFERROR(_xlfn.SINGLE(_xlfn.XLOOKUP(G858, Vöruskrá!A:A, Vöruskrá!J:J, "")) * I858 / 100, ""), IF(F858 = "Réttur", IFERROR(_xlfn.SINGLE(_xlfn.XLOOKUP(G858, Réttabanki!A:A, Réttabanki!AW:AW, "")) * I858 / 100, ""), "")))</f>
        <v/>
      </c>
      <c r="Q858" s="26" t="str">
        <f>IF(OR(F858 = "", G858 = "", I858 = ""), "", IF(F858 = "Vara", IFERROR(_xlfn.SINGLE(_xlfn.XLOOKUP(G858, Vöruskrá!A:A, Vöruskrá!N:N, "")) * I858 / 100, ""), IF(F858 = "Réttur", IFERROR(_xlfn.SINGLE(_xlfn.XLOOKUP(G858, Réttabanki!A:A, Réttabanki!BB:BB, "")) * I858 / 100, ""), "")))</f>
        <v/>
      </c>
    </row>
    <row r="859" spans="2:17">
      <c r="B859" s="33" t="str">
        <f>IF(A859&lt;&gt;"",CHOOSE(WEEKDAY(A859,2),"Mánudagur","Þriðjudagur","Miðvikudagur","Fimmtudagur","Föstudagur","Laugardagur","Sunnudagur"),IF(B858&lt;&gt;"",B858,""))</f>
        <v>Fimmtudagur</v>
      </c>
      <c r="C859" s="33">
        <f>IF(A859&lt;&gt;"",WEEKNUM(A859,21),IF(C858&lt;&gt;"",C858,""))</f>
        <v>27</v>
      </c>
      <c r="D859" s="34"/>
      <c r="E859" s="34"/>
      <c r="F859" s="34"/>
      <c r="G859" s="34"/>
      <c r="H859" s="34"/>
      <c r="I859" s="35"/>
      <c r="J859" s="35"/>
      <c r="K859" s="36"/>
      <c r="L859" s="26" t="str">
        <f>IF(OR(F859 = "", G859 = ""), "", IF(F859 = "Vara", IFERROR(_xlfn.SINGLE(_xlfn.XLOOKUP(G859, Vöruskrá!A:A, Vöruskrá!E:E, "")), ""), IF(F859 = "Réttur", IFERROR(_xlfn.SINGLE(_xlfn.XLOOKUP(G859, Réttabanki!A:A, Réttabanki!AS:AS, "")), ""), "")))</f>
        <v/>
      </c>
      <c r="M859" s="26" t="str">
        <f>IF(OR(F859 = "", G859 = ""), "", IF(F859 = "Vara", IFERROR(_xlfn.SINGLE(_xlfn.XLOOKUP(G859, Vöruskrá!A:A, Vöruskrá!F:F, "")), ""), IF(F859 = "Réttur", IFERROR(_xlfn.SINGLE(_xlfn.XLOOKUP(G859, Réttabanki!A:A, Réttabanki!AT:AT, "")), ""), "")))</f>
        <v/>
      </c>
      <c r="N859" s="26" t="str">
        <f>IF(OR(F859 = "", G859 = ""), "", IF(F859 = "Vara", IFERROR(_xlfn.SINGLE(_xlfn.XLOOKUP(G859, Vöruskrá!A:A, Vöruskrá!G:G, "")), ""), IF(F859 = "Réttur", IFERROR(_xlfn.SINGLE(_xlfn.XLOOKUP(G859, Réttabanki!A:A, Réttabanki!AU:AU, "")), ""), "")))</f>
        <v/>
      </c>
      <c r="O859" s="26" t="str">
        <f>IF(OR(F859 = "", G859 = "", I859 = ""), "", IF(F859 = "Vara", IFERROR(_xlfn.SINGLE(_xlfn.XLOOKUP(G859, Vöruskrá!A:A, Vöruskrá!I:I, "")) * I859 / 100, ""), IF(F859 = "Réttur", IFERROR(_xlfn.SINGLE(_xlfn.XLOOKUP(G859, Réttabanki!A:A, Réttabanki!AV:AV, "")) * I859 / 100, ""), "")))</f>
        <v/>
      </c>
      <c r="P859" s="26" t="str">
        <f>IF(OR(F859 = "", G859 = "", I859 = ""), "", IF(F859 = "Vara", IFERROR(_xlfn.SINGLE(_xlfn.XLOOKUP(G859, Vöruskrá!A:A, Vöruskrá!J:J, "")) * I859 / 100, ""), IF(F859 = "Réttur", IFERROR(_xlfn.SINGLE(_xlfn.XLOOKUP(G859, Réttabanki!A:A, Réttabanki!AW:AW, "")) * I859 / 100, ""), "")))</f>
        <v/>
      </c>
      <c r="Q859" s="26" t="str">
        <f>IF(OR(F859 = "", G859 = "", I859 = ""), "", IF(F859 = "Vara", IFERROR(_xlfn.SINGLE(_xlfn.XLOOKUP(G859, Vöruskrá!A:A, Vöruskrá!N:N, "")) * I859 / 100, ""), IF(F859 = "Réttur", IFERROR(_xlfn.SINGLE(_xlfn.XLOOKUP(G859, Réttabanki!A:A, Réttabanki!BB:BB, "")) * I859 / 100, ""), "")))</f>
        <v/>
      </c>
    </row>
    <row r="860" spans="2:17">
      <c r="B860" s="33" t="str">
        <f>IF(A860&lt;&gt;"",CHOOSE(WEEKDAY(A860,2),"Mánudagur","Þriðjudagur","Miðvikudagur","Fimmtudagur","Föstudagur","Laugardagur","Sunnudagur"),IF(B859&lt;&gt;"",B859,""))</f>
        <v>Fimmtudagur</v>
      </c>
      <c r="C860" s="33">
        <f>IF(A860&lt;&gt;"",WEEKNUM(A860,21),IF(C859&lt;&gt;"",C859,""))</f>
        <v>27</v>
      </c>
      <c r="D860" s="34"/>
      <c r="E860" s="34"/>
      <c r="F860" s="34"/>
      <c r="G860" s="34"/>
      <c r="H860" s="34"/>
      <c r="I860" s="35"/>
      <c r="J860" s="35"/>
      <c r="K860" s="36"/>
      <c r="L860" s="26" t="str">
        <f>IF(OR(F860 = "", G860 = ""), "", IF(F860 = "Vara", IFERROR(_xlfn.SINGLE(_xlfn.XLOOKUP(G860, Vöruskrá!A:A, Vöruskrá!E:E, "")), ""), IF(F860 = "Réttur", IFERROR(_xlfn.SINGLE(_xlfn.XLOOKUP(G860, Réttabanki!A:A, Réttabanki!AS:AS, "")), ""), "")))</f>
        <v/>
      </c>
      <c r="M860" s="26" t="str">
        <f>IF(OR(F860 = "", G860 = ""), "", IF(F860 = "Vara", IFERROR(_xlfn.SINGLE(_xlfn.XLOOKUP(G860, Vöruskrá!A:A, Vöruskrá!F:F, "")), ""), IF(F860 = "Réttur", IFERROR(_xlfn.SINGLE(_xlfn.XLOOKUP(G860, Réttabanki!A:A, Réttabanki!AT:AT, "")), ""), "")))</f>
        <v/>
      </c>
      <c r="N860" s="26" t="str">
        <f>IF(OR(F860 = "", G860 = ""), "", IF(F860 = "Vara", IFERROR(_xlfn.SINGLE(_xlfn.XLOOKUP(G860, Vöruskrá!A:A, Vöruskrá!G:G, "")), ""), IF(F860 = "Réttur", IFERROR(_xlfn.SINGLE(_xlfn.XLOOKUP(G860, Réttabanki!A:A, Réttabanki!AU:AU, "")), ""), "")))</f>
        <v/>
      </c>
      <c r="O860" s="26" t="str">
        <f>IF(OR(F860 = "", G860 = "", I860 = ""), "", IF(F860 = "Vara", IFERROR(_xlfn.SINGLE(_xlfn.XLOOKUP(G860, Vöruskrá!A:A, Vöruskrá!I:I, "")) * I860 / 100, ""), IF(F860 = "Réttur", IFERROR(_xlfn.SINGLE(_xlfn.XLOOKUP(G860, Réttabanki!A:A, Réttabanki!AV:AV, "")) * I860 / 100, ""), "")))</f>
        <v/>
      </c>
      <c r="P860" s="26" t="str">
        <f>IF(OR(F860 = "", G860 = "", I860 = ""), "", IF(F860 = "Vara", IFERROR(_xlfn.SINGLE(_xlfn.XLOOKUP(G860, Vöruskrá!A:A, Vöruskrá!J:J, "")) * I860 / 100, ""), IF(F860 = "Réttur", IFERROR(_xlfn.SINGLE(_xlfn.XLOOKUP(G860, Réttabanki!A:A, Réttabanki!AW:AW, "")) * I860 / 100, ""), "")))</f>
        <v/>
      </c>
      <c r="Q860" s="26" t="str">
        <f>IF(OR(F860 = "", G860 = "", I860 = ""), "", IF(F860 = "Vara", IFERROR(_xlfn.SINGLE(_xlfn.XLOOKUP(G860, Vöruskrá!A:A, Vöruskrá!N:N, "")) * I860 / 100, ""), IF(F860 = "Réttur", IFERROR(_xlfn.SINGLE(_xlfn.XLOOKUP(G860, Réttabanki!A:A, Réttabanki!BB:BB, "")) * I860 / 100, ""), "")))</f>
        <v/>
      </c>
    </row>
    <row r="861" spans="2:17">
      <c r="B861" s="33" t="str">
        <f>IF(A861&lt;&gt;"",CHOOSE(WEEKDAY(A861,2),"Mánudagur","Þriðjudagur","Miðvikudagur","Fimmtudagur","Föstudagur","Laugardagur","Sunnudagur"),IF(B860&lt;&gt;"",B860,""))</f>
        <v>Fimmtudagur</v>
      </c>
      <c r="C861" s="33">
        <f>IF(A861&lt;&gt;"",WEEKNUM(A861,21),IF(C860&lt;&gt;"",C860,""))</f>
        <v>27</v>
      </c>
      <c r="D861" s="34"/>
      <c r="E861" s="34"/>
      <c r="F861" s="34"/>
      <c r="G861" s="34"/>
      <c r="H861" s="34"/>
      <c r="I861" s="35"/>
      <c r="J861" s="35"/>
      <c r="K861" s="36"/>
      <c r="L861" s="26" t="str">
        <f>IF(OR(F861 = "", G861 = ""), "", IF(F861 = "Vara", IFERROR(_xlfn.SINGLE(_xlfn.XLOOKUP(G861, Vöruskrá!A:A, Vöruskrá!E:E, "")), ""), IF(F861 = "Réttur", IFERROR(_xlfn.SINGLE(_xlfn.XLOOKUP(G861, Réttabanki!A:A, Réttabanki!AS:AS, "")), ""), "")))</f>
        <v/>
      </c>
      <c r="M861" s="26" t="str">
        <f>IF(OR(F861 = "", G861 = ""), "", IF(F861 = "Vara", IFERROR(_xlfn.SINGLE(_xlfn.XLOOKUP(G861, Vöruskrá!A:A, Vöruskrá!F:F, "")), ""), IF(F861 = "Réttur", IFERROR(_xlfn.SINGLE(_xlfn.XLOOKUP(G861, Réttabanki!A:A, Réttabanki!AT:AT, "")), ""), "")))</f>
        <v/>
      </c>
      <c r="N861" s="26" t="str">
        <f>IF(OR(F861 = "", G861 = ""), "", IF(F861 = "Vara", IFERROR(_xlfn.SINGLE(_xlfn.XLOOKUP(G861, Vöruskrá!A:A, Vöruskrá!G:G, "")), ""), IF(F861 = "Réttur", IFERROR(_xlfn.SINGLE(_xlfn.XLOOKUP(G861, Réttabanki!A:A, Réttabanki!AU:AU, "")), ""), "")))</f>
        <v/>
      </c>
      <c r="O861" s="26" t="str">
        <f>IF(OR(F861 = "", G861 = "", I861 = ""), "", IF(F861 = "Vara", IFERROR(_xlfn.SINGLE(_xlfn.XLOOKUP(G861, Vöruskrá!A:A, Vöruskrá!I:I, "")) * I861 / 100, ""), IF(F861 = "Réttur", IFERROR(_xlfn.SINGLE(_xlfn.XLOOKUP(G861, Réttabanki!A:A, Réttabanki!AV:AV, "")) * I861 / 100, ""), "")))</f>
        <v/>
      </c>
      <c r="P861" s="26" t="str">
        <f>IF(OR(F861 = "", G861 = "", I861 = ""), "", IF(F861 = "Vara", IFERROR(_xlfn.SINGLE(_xlfn.XLOOKUP(G861, Vöruskrá!A:A, Vöruskrá!J:J, "")) * I861 / 100, ""), IF(F861 = "Réttur", IFERROR(_xlfn.SINGLE(_xlfn.XLOOKUP(G861, Réttabanki!A:A, Réttabanki!AW:AW, "")) * I861 / 100, ""), "")))</f>
        <v/>
      </c>
      <c r="Q861" s="26" t="str">
        <f>IF(OR(F861 = "", G861 = "", I861 = ""), "", IF(F861 = "Vara", IFERROR(_xlfn.SINGLE(_xlfn.XLOOKUP(G861, Vöruskrá!A:A, Vöruskrá!N:N, "")) * I861 / 100, ""), IF(F861 = "Réttur", IFERROR(_xlfn.SINGLE(_xlfn.XLOOKUP(G861, Réttabanki!A:A, Réttabanki!BB:BB, "")) * I861 / 100, ""), "")))</f>
        <v/>
      </c>
    </row>
    <row r="862" spans="2:17">
      <c r="B862" s="33" t="str">
        <f>IF(A862&lt;&gt;"",CHOOSE(WEEKDAY(A862,2),"Mánudagur","Þriðjudagur","Miðvikudagur","Fimmtudagur","Föstudagur","Laugardagur","Sunnudagur"),IF(B861&lt;&gt;"",B861,""))</f>
        <v>Fimmtudagur</v>
      </c>
      <c r="C862" s="33">
        <f>IF(A862&lt;&gt;"",WEEKNUM(A862,21),IF(C861&lt;&gt;"",C861,""))</f>
        <v>27</v>
      </c>
      <c r="D862" s="34"/>
      <c r="E862" s="34"/>
      <c r="F862" s="34"/>
      <c r="G862" s="34"/>
      <c r="H862" s="34"/>
      <c r="I862" s="35"/>
      <c r="J862" s="35"/>
      <c r="K862" s="36"/>
      <c r="L862" s="26" t="str">
        <f>IF(OR(F862 = "", G862 = ""), "", IF(F862 = "Vara", IFERROR(_xlfn.SINGLE(_xlfn.XLOOKUP(G862, Vöruskrá!A:A, Vöruskrá!E:E, "")), ""), IF(F862 = "Réttur", IFERROR(_xlfn.SINGLE(_xlfn.XLOOKUP(G862, Réttabanki!A:A, Réttabanki!AS:AS, "")), ""), "")))</f>
        <v/>
      </c>
      <c r="M862" s="26" t="str">
        <f>IF(OR(F862 = "", G862 = ""), "", IF(F862 = "Vara", IFERROR(_xlfn.SINGLE(_xlfn.XLOOKUP(G862, Vöruskrá!A:A, Vöruskrá!F:F, "")), ""), IF(F862 = "Réttur", IFERROR(_xlfn.SINGLE(_xlfn.XLOOKUP(G862, Réttabanki!A:A, Réttabanki!AT:AT, "")), ""), "")))</f>
        <v/>
      </c>
      <c r="N862" s="26" t="str">
        <f>IF(OR(F862 = "", G862 = ""), "", IF(F862 = "Vara", IFERROR(_xlfn.SINGLE(_xlfn.XLOOKUP(G862, Vöruskrá!A:A, Vöruskrá!G:G, "")), ""), IF(F862 = "Réttur", IFERROR(_xlfn.SINGLE(_xlfn.XLOOKUP(G862, Réttabanki!A:A, Réttabanki!AU:AU, "")), ""), "")))</f>
        <v/>
      </c>
      <c r="O862" s="26" t="str">
        <f>IF(OR(F862 = "", G862 = "", I862 = ""), "", IF(F862 = "Vara", IFERROR(_xlfn.SINGLE(_xlfn.XLOOKUP(G862, Vöruskrá!A:A, Vöruskrá!I:I, "")) * I862 / 100, ""), IF(F862 = "Réttur", IFERROR(_xlfn.SINGLE(_xlfn.XLOOKUP(G862, Réttabanki!A:A, Réttabanki!AV:AV, "")) * I862 / 100, ""), "")))</f>
        <v/>
      </c>
      <c r="P862" s="26" t="str">
        <f>IF(OR(F862 = "", G862 = "", I862 = ""), "", IF(F862 = "Vara", IFERROR(_xlfn.SINGLE(_xlfn.XLOOKUP(G862, Vöruskrá!A:A, Vöruskrá!J:J, "")) * I862 / 100, ""), IF(F862 = "Réttur", IFERROR(_xlfn.SINGLE(_xlfn.XLOOKUP(G862, Réttabanki!A:A, Réttabanki!AW:AW, "")) * I862 / 100, ""), "")))</f>
        <v/>
      </c>
      <c r="Q862" s="26" t="str">
        <f>IF(OR(F862 = "", G862 = "", I862 = ""), "", IF(F862 = "Vara", IFERROR(_xlfn.SINGLE(_xlfn.XLOOKUP(G862, Vöruskrá!A:A, Vöruskrá!N:N, "")) * I862 / 100, ""), IF(F862 = "Réttur", IFERROR(_xlfn.SINGLE(_xlfn.XLOOKUP(G862, Réttabanki!A:A, Réttabanki!BB:BB, "")) * I862 / 100, ""), "")))</f>
        <v/>
      </c>
    </row>
    <row r="863" spans="2:17">
      <c r="B863" s="33" t="str">
        <f>IF(A863&lt;&gt;"",CHOOSE(WEEKDAY(A863,2),"Mánudagur","Þriðjudagur","Miðvikudagur","Fimmtudagur","Föstudagur","Laugardagur","Sunnudagur"),IF(B862&lt;&gt;"",B862,""))</f>
        <v>Fimmtudagur</v>
      </c>
      <c r="C863" s="33">
        <f>IF(A863&lt;&gt;"",WEEKNUM(A863,21),IF(C862&lt;&gt;"",C862,""))</f>
        <v>27</v>
      </c>
      <c r="D863" s="34"/>
      <c r="E863" s="34"/>
      <c r="F863" s="34"/>
      <c r="G863" s="34"/>
      <c r="H863" s="34"/>
      <c r="I863" s="35"/>
      <c r="J863" s="35"/>
      <c r="K863" s="36"/>
      <c r="L863" s="26" t="str">
        <f>IF(OR(F863 = "", G863 = ""), "", IF(F863 = "Vara", IFERROR(_xlfn.SINGLE(_xlfn.XLOOKUP(G863, Vöruskrá!A:A, Vöruskrá!E:E, "")), ""), IF(F863 = "Réttur", IFERROR(_xlfn.SINGLE(_xlfn.XLOOKUP(G863, Réttabanki!A:A, Réttabanki!AS:AS, "")), ""), "")))</f>
        <v/>
      </c>
      <c r="M863" s="26" t="str">
        <f>IF(OR(F863 = "", G863 = ""), "", IF(F863 = "Vara", IFERROR(_xlfn.SINGLE(_xlfn.XLOOKUP(G863, Vöruskrá!A:A, Vöruskrá!F:F, "")), ""), IF(F863 = "Réttur", IFERROR(_xlfn.SINGLE(_xlfn.XLOOKUP(G863, Réttabanki!A:A, Réttabanki!AT:AT, "")), ""), "")))</f>
        <v/>
      </c>
      <c r="N863" s="26" t="str">
        <f>IF(OR(F863 = "", G863 = ""), "", IF(F863 = "Vara", IFERROR(_xlfn.SINGLE(_xlfn.XLOOKUP(G863, Vöruskrá!A:A, Vöruskrá!G:G, "")), ""), IF(F863 = "Réttur", IFERROR(_xlfn.SINGLE(_xlfn.XLOOKUP(G863, Réttabanki!A:A, Réttabanki!AU:AU, "")), ""), "")))</f>
        <v/>
      </c>
      <c r="O863" s="26" t="str">
        <f>IF(OR(F863 = "", G863 = "", I863 = ""), "", IF(F863 = "Vara", IFERROR(_xlfn.SINGLE(_xlfn.XLOOKUP(G863, Vöruskrá!A:A, Vöruskrá!I:I, "")) * I863 / 100, ""), IF(F863 = "Réttur", IFERROR(_xlfn.SINGLE(_xlfn.XLOOKUP(G863, Réttabanki!A:A, Réttabanki!AV:AV, "")) * I863 / 100, ""), "")))</f>
        <v/>
      </c>
      <c r="P863" s="26" t="str">
        <f>IF(OR(F863 = "", G863 = "", I863 = ""), "", IF(F863 = "Vara", IFERROR(_xlfn.SINGLE(_xlfn.XLOOKUP(G863, Vöruskrá!A:A, Vöruskrá!J:J, "")) * I863 / 100, ""), IF(F863 = "Réttur", IFERROR(_xlfn.SINGLE(_xlfn.XLOOKUP(G863, Réttabanki!A:A, Réttabanki!AW:AW, "")) * I863 / 100, ""), "")))</f>
        <v/>
      </c>
      <c r="Q863" s="26" t="str">
        <f>IF(OR(F863 = "", G863 = "", I863 = ""), "", IF(F863 = "Vara", IFERROR(_xlfn.SINGLE(_xlfn.XLOOKUP(G863, Vöruskrá!A:A, Vöruskrá!N:N, "")) * I863 / 100, ""), IF(F863 = "Réttur", IFERROR(_xlfn.SINGLE(_xlfn.XLOOKUP(G863, Réttabanki!A:A, Réttabanki!BB:BB, "")) * I863 / 100, ""), "")))</f>
        <v/>
      </c>
    </row>
    <row r="864" spans="2:17">
      <c r="B864" s="33" t="str">
        <f>IF(A864&lt;&gt;"",CHOOSE(WEEKDAY(A864,2),"Mánudagur","Þriðjudagur","Miðvikudagur","Fimmtudagur","Föstudagur","Laugardagur","Sunnudagur"),IF(B863&lt;&gt;"",B863,""))</f>
        <v>Fimmtudagur</v>
      </c>
      <c r="C864" s="33">
        <f>IF(A864&lt;&gt;"",WEEKNUM(A864,21),IF(C863&lt;&gt;"",C863,""))</f>
        <v>27</v>
      </c>
      <c r="D864" s="34"/>
      <c r="E864" s="34"/>
      <c r="F864" s="34"/>
      <c r="G864" s="34"/>
      <c r="H864" s="34"/>
      <c r="I864" s="35"/>
      <c r="J864" s="35"/>
      <c r="K864" s="36"/>
      <c r="L864" s="26" t="str">
        <f>IF(OR(F864 = "", G864 = ""), "", IF(F864 = "Vara", IFERROR(_xlfn.SINGLE(_xlfn.XLOOKUP(G864, Vöruskrá!A:A, Vöruskrá!E:E, "")), ""), IF(F864 = "Réttur", IFERROR(_xlfn.SINGLE(_xlfn.XLOOKUP(G864, Réttabanki!A:A, Réttabanki!AS:AS, "")), ""), "")))</f>
        <v/>
      </c>
      <c r="M864" s="26" t="str">
        <f>IF(OR(F864 = "", G864 = ""), "", IF(F864 = "Vara", IFERROR(_xlfn.SINGLE(_xlfn.XLOOKUP(G864, Vöruskrá!A:A, Vöruskrá!F:F, "")), ""), IF(F864 = "Réttur", IFERROR(_xlfn.SINGLE(_xlfn.XLOOKUP(G864, Réttabanki!A:A, Réttabanki!AT:AT, "")), ""), "")))</f>
        <v/>
      </c>
      <c r="N864" s="26" t="str">
        <f>IF(OR(F864 = "", G864 = ""), "", IF(F864 = "Vara", IFERROR(_xlfn.SINGLE(_xlfn.XLOOKUP(G864, Vöruskrá!A:A, Vöruskrá!G:G, "")), ""), IF(F864 = "Réttur", IFERROR(_xlfn.SINGLE(_xlfn.XLOOKUP(G864, Réttabanki!A:A, Réttabanki!AU:AU, "")), ""), "")))</f>
        <v/>
      </c>
      <c r="O864" s="26" t="str">
        <f>IF(OR(F864 = "", G864 = "", I864 = ""), "", IF(F864 = "Vara", IFERROR(_xlfn.SINGLE(_xlfn.XLOOKUP(G864, Vöruskrá!A:A, Vöruskrá!I:I, "")) * I864 / 100, ""), IF(F864 = "Réttur", IFERROR(_xlfn.SINGLE(_xlfn.XLOOKUP(G864, Réttabanki!A:A, Réttabanki!AV:AV, "")) * I864 / 100, ""), "")))</f>
        <v/>
      </c>
      <c r="P864" s="26" t="str">
        <f>IF(OR(F864 = "", G864 = "", I864 = ""), "", IF(F864 = "Vara", IFERROR(_xlfn.SINGLE(_xlfn.XLOOKUP(G864, Vöruskrá!A:A, Vöruskrá!J:J, "")) * I864 / 100, ""), IF(F864 = "Réttur", IFERROR(_xlfn.SINGLE(_xlfn.XLOOKUP(G864, Réttabanki!A:A, Réttabanki!AW:AW, "")) * I864 / 100, ""), "")))</f>
        <v/>
      </c>
      <c r="Q864" s="26" t="str">
        <f>IF(OR(F864 = "", G864 = "", I864 = ""), "", IF(F864 = "Vara", IFERROR(_xlfn.SINGLE(_xlfn.XLOOKUP(G864, Vöruskrá!A:A, Vöruskrá!N:N, "")) * I864 / 100, ""), IF(F864 = "Réttur", IFERROR(_xlfn.SINGLE(_xlfn.XLOOKUP(G864, Réttabanki!A:A, Réttabanki!BB:BB, "")) * I864 / 100, ""), "")))</f>
        <v/>
      </c>
    </row>
    <row r="865" spans="2:17">
      <c r="B865" s="33" t="str">
        <f>IF(A865&lt;&gt;"",CHOOSE(WEEKDAY(A865,2),"Mánudagur","Þriðjudagur","Miðvikudagur","Fimmtudagur","Föstudagur","Laugardagur","Sunnudagur"),IF(B864&lt;&gt;"",B864,""))</f>
        <v>Fimmtudagur</v>
      </c>
      <c r="C865" s="33">
        <f>IF(A865&lt;&gt;"",WEEKNUM(A865,21),IF(C864&lt;&gt;"",C864,""))</f>
        <v>27</v>
      </c>
      <c r="D865" s="34"/>
      <c r="E865" s="34"/>
      <c r="F865" s="34"/>
      <c r="G865" s="34"/>
      <c r="H865" s="34"/>
      <c r="I865" s="35"/>
      <c r="J865" s="35"/>
      <c r="K865" s="36"/>
      <c r="L865" s="26" t="str">
        <f>IF(OR(F865 = "", G865 = ""), "", IF(F865 = "Vara", IFERROR(_xlfn.SINGLE(_xlfn.XLOOKUP(G865, Vöruskrá!A:A, Vöruskrá!E:E, "")), ""), IF(F865 = "Réttur", IFERROR(_xlfn.SINGLE(_xlfn.XLOOKUP(G865, Réttabanki!A:A, Réttabanki!AS:AS, "")), ""), "")))</f>
        <v/>
      </c>
      <c r="M865" s="26" t="str">
        <f>IF(OR(F865 = "", G865 = ""), "", IF(F865 = "Vara", IFERROR(_xlfn.SINGLE(_xlfn.XLOOKUP(G865, Vöruskrá!A:A, Vöruskrá!F:F, "")), ""), IF(F865 = "Réttur", IFERROR(_xlfn.SINGLE(_xlfn.XLOOKUP(G865, Réttabanki!A:A, Réttabanki!AT:AT, "")), ""), "")))</f>
        <v/>
      </c>
      <c r="N865" s="26" t="str">
        <f>IF(OR(F865 = "", G865 = ""), "", IF(F865 = "Vara", IFERROR(_xlfn.SINGLE(_xlfn.XLOOKUP(G865, Vöruskrá!A:A, Vöruskrá!G:G, "")), ""), IF(F865 = "Réttur", IFERROR(_xlfn.SINGLE(_xlfn.XLOOKUP(G865, Réttabanki!A:A, Réttabanki!AU:AU, "")), ""), "")))</f>
        <v/>
      </c>
      <c r="O865" s="26" t="str">
        <f>IF(OR(F865 = "", G865 = "", I865 = ""), "", IF(F865 = "Vara", IFERROR(_xlfn.SINGLE(_xlfn.XLOOKUP(G865, Vöruskrá!A:A, Vöruskrá!I:I, "")) * I865 / 100, ""), IF(F865 = "Réttur", IFERROR(_xlfn.SINGLE(_xlfn.XLOOKUP(G865, Réttabanki!A:A, Réttabanki!AV:AV, "")) * I865 / 100, ""), "")))</f>
        <v/>
      </c>
      <c r="P865" s="26" t="str">
        <f>IF(OR(F865 = "", G865 = "", I865 = ""), "", IF(F865 = "Vara", IFERROR(_xlfn.SINGLE(_xlfn.XLOOKUP(G865, Vöruskrá!A:A, Vöruskrá!J:J, "")) * I865 / 100, ""), IF(F865 = "Réttur", IFERROR(_xlfn.SINGLE(_xlfn.XLOOKUP(G865, Réttabanki!A:A, Réttabanki!AW:AW, "")) * I865 / 100, ""), "")))</f>
        <v/>
      </c>
      <c r="Q865" s="26" t="str">
        <f>IF(OR(F865 = "", G865 = "", I865 = ""), "", IF(F865 = "Vara", IFERROR(_xlfn.SINGLE(_xlfn.XLOOKUP(G865, Vöruskrá!A:A, Vöruskrá!N:N, "")) * I865 / 100, ""), IF(F865 = "Réttur", IFERROR(_xlfn.SINGLE(_xlfn.XLOOKUP(G865, Réttabanki!A:A, Réttabanki!BB:BB, "")) * I865 / 100, ""), "")))</f>
        <v/>
      </c>
    </row>
    <row r="866" spans="2:17">
      <c r="B866" s="33" t="str">
        <f>IF(A866&lt;&gt;"",CHOOSE(WEEKDAY(A866,2),"Mánudagur","Þriðjudagur","Miðvikudagur","Fimmtudagur","Föstudagur","Laugardagur","Sunnudagur"),IF(B865&lt;&gt;"",B865,""))</f>
        <v>Fimmtudagur</v>
      </c>
      <c r="C866" s="33">
        <f>IF(A866&lt;&gt;"",WEEKNUM(A866,21),IF(C865&lt;&gt;"",C865,""))</f>
        <v>27</v>
      </c>
      <c r="D866" s="34"/>
      <c r="E866" s="34"/>
      <c r="F866" s="34"/>
      <c r="G866" s="34"/>
      <c r="H866" s="34"/>
      <c r="I866" s="35"/>
      <c r="J866" s="35"/>
      <c r="K866" s="36"/>
      <c r="L866" s="26" t="str">
        <f>IF(OR(F866 = "", G866 = ""), "", IF(F866 = "Vara", IFERROR(_xlfn.SINGLE(_xlfn.XLOOKUP(G866, Vöruskrá!A:A, Vöruskrá!E:E, "")), ""), IF(F866 = "Réttur", IFERROR(_xlfn.SINGLE(_xlfn.XLOOKUP(G866, Réttabanki!A:A, Réttabanki!AS:AS, "")), ""), "")))</f>
        <v/>
      </c>
      <c r="M866" s="26" t="str">
        <f>IF(OR(F866 = "", G866 = ""), "", IF(F866 = "Vara", IFERROR(_xlfn.SINGLE(_xlfn.XLOOKUP(G866, Vöruskrá!A:A, Vöruskrá!F:F, "")), ""), IF(F866 = "Réttur", IFERROR(_xlfn.SINGLE(_xlfn.XLOOKUP(G866, Réttabanki!A:A, Réttabanki!AT:AT, "")), ""), "")))</f>
        <v/>
      </c>
      <c r="N866" s="26" t="str">
        <f>IF(OR(F866 = "", G866 = ""), "", IF(F866 = "Vara", IFERROR(_xlfn.SINGLE(_xlfn.XLOOKUP(G866, Vöruskrá!A:A, Vöruskrá!G:G, "")), ""), IF(F866 = "Réttur", IFERROR(_xlfn.SINGLE(_xlfn.XLOOKUP(G866, Réttabanki!A:A, Réttabanki!AU:AU, "")), ""), "")))</f>
        <v/>
      </c>
      <c r="O866" s="26" t="str">
        <f>IF(OR(F866 = "", G866 = "", I866 = ""), "", IF(F866 = "Vara", IFERROR(_xlfn.SINGLE(_xlfn.XLOOKUP(G866, Vöruskrá!A:A, Vöruskrá!I:I, "")) * I866 / 100, ""), IF(F866 = "Réttur", IFERROR(_xlfn.SINGLE(_xlfn.XLOOKUP(G866, Réttabanki!A:A, Réttabanki!AV:AV, "")) * I866 / 100, ""), "")))</f>
        <v/>
      </c>
      <c r="P866" s="26" t="str">
        <f>IF(OR(F866 = "", G866 = "", I866 = ""), "", IF(F866 = "Vara", IFERROR(_xlfn.SINGLE(_xlfn.XLOOKUP(G866, Vöruskrá!A:A, Vöruskrá!J:J, "")) * I866 / 100, ""), IF(F866 = "Réttur", IFERROR(_xlfn.SINGLE(_xlfn.XLOOKUP(G866, Réttabanki!A:A, Réttabanki!AW:AW, "")) * I866 / 100, ""), "")))</f>
        <v/>
      </c>
      <c r="Q866" s="26" t="str">
        <f>IF(OR(F866 = "", G866 = "", I866 = ""), "", IF(F866 = "Vara", IFERROR(_xlfn.SINGLE(_xlfn.XLOOKUP(G866, Vöruskrá!A:A, Vöruskrá!N:N, "")) * I866 / 100, ""), IF(F866 = "Réttur", IFERROR(_xlfn.SINGLE(_xlfn.XLOOKUP(G866, Réttabanki!A:A, Réttabanki!BB:BB, "")) * I866 / 100, ""), "")))</f>
        <v/>
      </c>
    </row>
    <row r="867" spans="2:17">
      <c r="B867" s="33" t="str">
        <f>IF(A867&lt;&gt;"",CHOOSE(WEEKDAY(A867,2),"Mánudagur","Þriðjudagur","Miðvikudagur","Fimmtudagur","Föstudagur","Laugardagur","Sunnudagur"),IF(B866&lt;&gt;"",B866,""))</f>
        <v>Fimmtudagur</v>
      </c>
      <c r="C867" s="33">
        <f>IF(A867&lt;&gt;"",WEEKNUM(A867,21),IF(C866&lt;&gt;"",C866,""))</f>
        <v>27</v>
      </c>
      <c r="D867" s="34"/>
      <c r="E867" s="34"/>
      <c r="F867" s="34"/>
      <c r="G867" s="34"/>
      <c r="H867" s="34"/>
      <c r="I867" s="35"/>
      <c r="J867" s="35"/>
      <c r="K867" s="36"/>
      <c r="L867" s="26" t="str">
        <f>IF(OR(F867 = "", G867 = ""), "", IF(F867 = "Vara", IFERROR(_xlfn.SINGLE(_xlfn.XLOOKUP(G867, Vöruskrá!A:A, Vöruskrá!E:E, "")), ""), IF(F867 = "Réttur", IFERROR(_xlfn.SINGLE(_xlfn.XLOOKUP(G867, Réttabanki!A:A, Réttabanki!AS:AS, "")), ""), "")))</f>
        <v/>
      </c>
      <c r="M867" s="26" t="str">
        <f>IF(OR(F867 = "", G867 = ""), "", IF(F867 = "Vara", IFERROR(_xlfn.SINGLE(_xlfn.XLOOKUP(G867, Vöruskrá!A:A, Vöruskrá!F:F, "")), ""), IF(F867 = "Réttur", IFERROR(_xlfn.SINGLE(_xlfn.XLOOKUP(G867, Réttabanki!A:A, Réttabanki!AT:AT, "")), ""), "")))</f>
        <v/>
      </c>
      <c r="N867" s="26" t="str">
        <f>IF(OR(F867 = "", G867 = ""), "", IF(F867 = "Vara", IFERROR(_xlfn.SINGLE(_xlfn.XLOOKUP(G867, Vöruskrá!A:A, Vöruskrá!G:G, "")), ""), IF(F867 = "Réttur", IFERROR(_xlfn.SINGLE(_xlfn.XLOOKUP(G867, Réttabanki!A:A, Réttabanki!AU:AU, "")), ""), "")))</f>
        <v/>
      </c>
      <c r="O867" s="26" t="str">
        <f>IF(OR(F867 = "", G867 = "", I867 = ""), "", IF(F867 = "Vara", IFERROR(_xlfn.SINGLE(_xlfn.XLOOKUP(G867, Vöruskrá!A:A, Vöruskrá!I:I, "")) * I867 / 100, ""), IF(F867 = "Réttur", IFERROR(_xlfn.SINGLE(_xlfn.XLOOKUP(G867, Réttabanki!A:A, Réttabanki!AV:AV, "")) * I867 / 100, ""), "")))</f>
        <v/>
      </c>
      <c r="P867" s="26" t="str">
        <f>IF(OR(F867 = "", G867 = "", I867 = ""), "", IF(F867 = "Vara", IFERROR(_xlfn.SINGLE(_xlfn.XLOOKUP(G867, Vöruskrá!A:A, Vöruskrá!J:J, "")) * I867 / 100, ""), IF(F867 = "Réttur", IFERROR(_xlfn.SINGLE(_xlfn.XLOOKUP(G867, Réttabanki!A:A, Réttabanki!AW:AW, "")) * I867 / 100, ""), "")))</f>
        <v/>
      </c>
      <c r="Q867" s="26" t="str">
        <f>IF(OR(F867 = "", G867 = "", I867 = ""), "", IF(F867 = "Vara", IFERROR(_xlfn.SINGLE(_xlfn.XLOOKUP(G867, Vöruskrá!A:A, Vöruskrá!N:N, "")) * I867 / 100, ""), IF(F867 = "Réttur", IFERROR(_xlfn.SINGLE(_xlfn.XLOOKUP(G867, Réttabanki!A:A, Réttabanki!BB:BB, "")) * I867 / 100, ""), "")))</f>
        <v/>
      </c>
    </row>
    <row r="868" spans="2:17">
      <c r="B868" s="33" t="str">
        <f>IF(A868&lt;&gt;"",CHOOSE(WEEKDAY(A868,2),"Mánudagur","Þriðjudagur","Miðvikudagur","Fimmtudagur","Föstudagur","Laugardagur","Sunnudagur"),IF(B867&lt;&gt;"",B867,""))</f>
        <v>Fimmtudagur</v>
      </c>
      <c r="C868" s="33">
        <f>IF(A868&lt;&gt;"",WEEKNUM(A868,21),IF(C867&lt;&gt;"",C867,""))</f>
        <v>27</v>
      </c>
      <c r="D868" s="34"/>
      <c r="E868" s="34"/>
      <c r="F868" s="34"/>
      <c r="G868" s="34"/>
      <c r="H868" s="34"/>
      <c r="I868" s="35"/>
      <c r="J868" s="35"/>
      <c r="K868" s="36"/>
      <c r="L868" s="26" t="str">
        <f>IF(OR(F868 = "", G868 = ""), "", IF(F868 = "Vara", IFERROR(_xlfn.SINGLE(_xlfn.XLOOKUP(G868, Vöruskrá!A:A, Vöruskrá!E:E, "")), ""), IF(F868 = "Réttur", IFERROR(_xlfn.SINGLE(_xlfn.XLOOKUP(G868, Réttabanki!A:A, Réttabanki!AS:AS, "")), ""), "")))</f>
        <v/>
      </c>
      <c r="M868" s="26" t="str">
        <f>IF(OR(F868 = "", G868 = ""), "", IF(F868 = "Vara", IFERROR(_xlfn.SINGLE(_xlfn.XLOOKUP(G868, Vöruskrá!A:A, Vöruskrá!F:F, "")), ""), IF(F868 = "Réttur", IFERROR(_xlfn.SINGLE(_xlfn.XLOOKUP(G868, Réttabanki!A:A, Réttabanki!AT:AT, "")), ""), "")))</f>
        <v/>
      </c>
      <c r="N868" s="26" t="str">
        <f>IF(OR(F868 = "", G868 = ""), "", IF(F868 = "Vara", IFERROR(_xlfn.SINGLE(_xlfn.XLOOKUP(G868, Vöruskrá!A:A, Vöruskrá!G:G, "")), ""), IF(F868 = "Réttur", IFERROR(_xlfn.SINGLE(_xlfn.XLOOKUP(G868, Réttabanki!A:A, Réttabanki!AU:AU, "")), ""), "")))</f>
        <v/>
      </c>
      <c r="O868" s="26" t="str">
        <f>IF(OR(F868 = "", G868 = "", I868 = ""), "", IF(F868 = "Vara", IFERROR(_xlfn.SINGLE(_xlfn.XLOOKUP(G868, Vöruskrá!A:A, Vöruskrá!I:I, "")) * I868 / 100, ""), IF(F868 = "Réttur", IFERROR(_xlfn.SINGLE(_xlfn.XLOOKUP(G868, Réttabanki!A:A, Réttabanki!AV:AV, "")) * I868 / 100, ""), "")))</f>
        <v/>
      </c>
      <c r="P868" s="26" t="str">
        <f>IF(OR(F868 = "", G868 = "", I868 = ""), "", IF(F868 = "Vara", IFERROR(_xlfn.SINGLE(_xlfn.XLOOKUP(G868, Vöruskrá!A:A, Vöruskrá!J:J, "")) * I868 / 100, ""), IF(F868 = "Réttur", IFERROR(_xlfn.SINGLE(_xlfn.XLOOKUP(G868, Réttabanki!A:A, Réttabanki!AW:AW, "")) * I868 / 100, ""), "")))</f>
        <v/>
      </c>
      <c r="Q868" s="26" t="str">
        <f>IF(OR(F868 = "", G868 = "", I868 = ""), "", IF(F868 = "Vara", IFERROR(_xlfn.SINGLE(_xlfn.XLOOKUP(G868, Vöruskrá!A:A, Vöruskrá!N:N, "")) * I868 / 100, ""), IF(F868 = "Réttur", IFERROR(_xlfn.SINGLE(_xlfn.XLOOKUP(G868, Réttabanki!A:A, Réttabanki!BB:BB, "")) * I868 / 100, ""), "")))</f>
        <v/>
      </c>
    </row>
    <row r="869" spans="2:17">
      <c r="B869" s="33" t="str">
        <f>IF(A869&lt;&gt;"",CHOOSE(WEEKDAY(A869,2),"Mánudagur","Þriðjudagur","Miðvikudagur","Fimmtudagur","Föstudagur","Laugardagur","Sunnudagur"),IF(B868&lt;&gt;"",B868,""))</f>
        <v>Fimmtudagur</v>
      </c>
      <c r="C869" s="33">
        <f>IF(A869&lt;&gt;"",WEEKNUM(A869,21),IF(C868&lt;&gt;"",C868,""))</f>
        <v>27</v>
      </c>
      <c r="D869" s="34"/>
      <c r="E869" s="34"/>
      <c r="F869" s="34"/>
      <c r="G869" s="34"/>
      <c r="H869" s="34"/>
      <c r="I869" s="35"/>
      <c r="J869" s="35"/>
      <c r="K869" s="36"/>
      <c r="L869" s="26" t="str">
        <f>IF(OR(F869 = "", G869 = ""), "", IF(F869 = "Vara", IFERROR(_xlfn.SINGLE(_xlfn.XLOOKUP(G869, Vöruskrá!A:A, Vöruskrá!E:E, "")), ""), IF(F869 = "Réttur", IFERROR(_xlfn.SINGLE(_xlfn.XLOOKUP(G869, Réttabanki!A:A, Réttabanki!AS:AS, "")), ""), "")))</f>
        <v/>
      </c>
      <c r="M869" s="26" t="str">
        <f>IF(OR(F869 = "", G869 = ""), "", IF(F869 = "Vara", IFERROR(_xlfn.SINGLE(_xlfn.XLOOKUP(G869, Vöruskrá!A:A, Vöruskrá!F:F, "")), ""), IF(F869 = "Réttur", IFERROR(_xlfn.SINGLE(_xlfn.XLOOKUP(G869, Réttabanki!A:A, Réttabanki!AT:AT, "")), ""), "")))</f>
        <v/>
      </c>
      <c r="N869" s="26" t="str">
        <f>IF(OR(F869 = "", G869 = ""), "", IF(F869 = "Vara", IFERROR(_xlfn.SINGLE(_xlfn.XLOOKUP(G869, Vöruskrá!A:A, Vöruskrá!G:G, "")), ""), IF(F869 = "Réttur", IFERROR(_xlfn.SINGLE(_xlfn.XLOOKUP(G869, Réttabanki!A:A, Réttabanki!AU:AU, "")), ""), "")))</f>
        <v/>
      </c>
      <c r="O869" s="26" t="str">
        <f>IF(OR(F869 = "", G869 = "", I869 = ""), "", IF(F869 = "Vara", IFERROR(_xlfn.SINGLE(_xlfn.XLOOKUP(G869, Vöruskrá!A:A, Vöruskrá!I:I, "")) * I869 / 100, ""), IF(F869 = "Réttur", IFERROR(_xlfn.SINGLE(_xlfn.XLOOKUP(G869, Réttabanki!A:A, Réttabanki!AV:AV, "")) * I869 / 100, ""), "")))</f>
        <v/>
      </c>
      <c r="P869" s="26" t="str">
        <f>IF(OR(F869 = "", G869 = "", I869 = ""), "", IF(F869 = "Vara", IFERROR(_xlfn.SINGLE(_xlfn.XLOOKUP(G869, Vöruskrá!A:A, Vöruskrá!J:J, "")) * I869 / 100, ""), IF(F869 = "Réttur", IFERROR(_xlfn.SINGLE(_xlfn.XLOOKUP(G869, Réttabanki!A:A, Réttabanki!AW:AW, "")) * I869 / 100, ""), "")))</f>
        <v/>
      </c>
      <c r="Q869" s="26" t="str">
        <f>IF(OR(F869 = "", G869 = "", I869 = ""), "", IF(F869 = "Vara", IFERROR(_xlfn.SINGLE(_xlfn.XLOOKUP(G869, Vöruskrá!A:A, Vöruskrá!N:N, "")) * I869 / 100, ""), IF(F869 = "Réttur", IFERROR(_xlfn.SINGLE(_xlfn.XLOOKUP(G869, Réttabanki!A:A, Réttabanki!BB:BB, "")) * I869 / 100, ""), "")))</f>
        <v/>
      </c>
    </row>
    <row r="870" spans="2:17">
      <c r="B870" s="33" t="str">
        <f>IF(A870&lt;&gt;"",CHOOSE(WEEKDAY(A870,2),"Mánudagur","Þriðjudagur","Miðvikudagur","Fimmtudagur","Föstudagur","Laugardagur","Sunnudagur"),IF(B869&lt;&gt;"",B869,""))</f>
        <v>Fimmtudagur</v>
      </c>
      <c r="C870" s="33">
        <f>IF(A870&lt;&gt;"",WEEKNUM(A870,21),IF(C869&lt;&gt;"",C869,""))</f>
        <v>27</v>
      </c>
      <c r="D870" s="34"/>
      <c r="E870" s="34"/>
      <c r="F870" s="34"/>
      <c r="G870" s="34"/>
      <c r="H870" s="34"/>
      <c r="I870" s="35"/>
      <c r="J870" s="35"/>
      <c r="K870" s="36"/>
      <c r="L870" s="26" t="str">
        <f>IF(OR(F870 = "", G870 = ""), "", IF(F870 = "Vara", IFERROR(_xlfn.SINGLE(_xlfn.XLOOKUP(G870, Vöruskrá!A:A, Vöruskrá!E:E, "")), ""), IF(F870 = "Réttur", IFERROR(_xlfn.SINGLE(_xlfn.XLOOKUP(G870, Réttabanki!A:A, Réttabanki!AS:AS, "")), ""), "")))</f>
        <v/>
      </c>
      <c r="M870" s="26" t="str">
        <f>IF(OR(F870 = "", G870 = ""), "", IF(F870 = "Vara", IFERROR(_xlfn.SINGLE(_xlfn.XLOOKUP(G870, Vöruskrá!A:A, Vöruskrá!F:F, "")), ""), IF(F870 = "Réttur", IFERROR(_xlfn.SINGLE(_xlfn.XLOOKUP(G870, Réttabanki!A:A, Réttabanki!AT:AT, "")), ""), "")))</f>
        <v/>
      </c>
      <c r="N870" s="26" t="str">
        <f>IF(OR(F870 = "", G870 = ""), "", IF(F870 = "Vara", IFERROR(_xlfn.SINGLE(_xlfn.XLOOKUP(G870, Vöruskrá!A:A, Vöruskrá!G:G, "")), ""), IF(F870 = "Réttur", IFERROR(_xlfn.SINGLE(_xlfn.XLOOKUP(G870, Réttabanki!A:A, Réttabanki!AU:AU, "")), ""), "")))</f>
        <v/>
      </c>
      <c r="O870" s="26" t="str">
        <f>IF(OR(F870 = "", G870 = "", I870 = ""), "", IF(F870 = "Vara", IFERROR(_xlfn.SINGLE(_xlfn.XLOOKUP(G870, Vöruskrá!A:A, Vöruskrá!I:I, "")) * I870 / 100, ""), IF(F870 = "Réttur", IFERROR(_xlfn.SINGLE(_xlfn.XLOOKUP(G870, Réttabanki!A:A, Réttabanki!AV:AV, "")) * I870 / 100, ""), "")))</f>
        <v/>
      </c>
      <c r="P870" s="26" t="str">
        <f>IF(OR(F870 = "", G870 = "", I870 = ""), "", IF(F870 = "Vara", IFERROR(_xlfn.SINGLE(_xlfn.XLOOKUP(G870, Vöruskrá!A:A, Vöruskrá!J:J, "")) * I870 / 100, ""), IF(F870 = "Réttur", IFERROR(_xlfn.SINGLE(_xlfn.XLOOKUP(G870, Réttabanki!A:A, Réttabanki!AW:AW, "")) * I870 / 100, ""), "")))</f>
        <v/>
      </c>
      <c r="Q870" s="26" t="str">
        <f>IF(OR(F870 = "", G870 = "", I870 = ""), "", IF(F870 = "Vara", IFERROR(_xlfn.SINGLE(_xlfn.XLOOKUP(G870, Vöruskrá!A:A, Vöruskrá!N:N, "")) * I870 / 100, ""), IF(F870 = "Réttur", IFERROR(_xlfn.SINGLE(_xlfn.XLOOKUP(G870, Réttabanki!A:A, Réttabanki!BB:BB, "")) * I870 / 100, ""), "")))</f>
        <v/>
      </c>
    </row>
    <row r="871" spans="2:17">
      <c r="B871" s="33" t="str">
        <f>IF(A871&lt;&gt;"",CHOOSE(WEEKDAY(A871,2),"Mánudagur","Þriðjudagur","Miðvikudagur","Fimmtudagur","Föstudagur","Laugardagur","Sunnudagur"),IF(B870&lt;&gt;"",B870,""))</f>
        <v>Fimmtudagur</v>
      </c>
      <c r="C871" s="33">
        <f>IF(A871&lt;&gt;"",WEEKNUM(A871,21),IF(C870&lt;&gt;"",C870,""))</f>
        <v>27</v>
      </c>
      <c r="D871" s="34"/>
      <c r="E871" s="34"/>
      <c r="F871" s="34"/>
      <c r="G871" s="34"/>
      <c r="H871" s="34"/>
      <c r="I871" s="35"/>
      <c r="J871" s="35"/>
      <c r="K871" s="36"/>
      <c r="L871" s="26" t="str">
        <f>IF(OR(F871 = "", G871 = ""), "", IF(F871 = "Vara", IFERROR(_xlfn.SINGLE(_xlfn.XLOOKUP(G871, Vöruskrá!A:A, Vöruskrá!E:E, "")), ""), IF(F871 = "Réttur", IFERROR(_xlfn.SINGLE(_xlfn.XLOOKUP(G871, Réttabanki!A:A, Réttabanki!AS:AS, "")), ""), "")))</f>
        <v/>
      </c>
      <c r="M871" s="26" t="str">
        <f>IF(OR(F871 = "", G871 = ""), "", IF(F871 = "Vara", IFERROR(_xlfn.SINGLE(_xlfn.XLOOKUP(G871, Vöruskrá!A:A, Vöruskrá!F:F, "")), ""), IF(F871 = "Réttur", IFERROR(_xlfn.SINGLE(_xlfn.XLOOKUP(G871, Réttabanki!A:A, Réttabanki!AT:AT, "")), ""), "")))</f>
        <v/>
      </c>
      <c r="N871" s="26" t="str">
        <f>IF(OR(F871 = "", G871 = ""), "", IF(F871 = "Vara", IFERROR(_xlfn.SINGLE(_xlfn.XLOOKUP(G871, Vöruskrá!A:A, Vöruskrá!G:G, "")), ""), IF(F871 = "Réttur", IFERROR(_xlfn.SINGLE(_xlfn.XLOOKUP(G871, Réttabanki!A:A, Réttabanki!AU:AU, "")), ""), "")))</f>
        <v/>
      </c>
      <c r="O871" s="26" t="str">
        <f>IF(OR(F871 = "", G871 = "", I871 = ""), "", IF(F871 = "Vara", IFERROR(_xlfn.SINGLE(_xlfn.XLOOKUP(G871, Vöruskrá!A:A, Vöruskrá!I:I, "")) * I871 / 100, ""), IF(F871 = "Réttur", IFERROR(_xlfn.SINGLE(_xlfn.XLOOKUP(G871, Réttabanki!A:A, Réttabanki!AV:AV, "")) * I871 / 100, ""), "")))</f>
        <v/>
      </c>
      <c r="P871" s="26" t="str">
        <f>IF(OR(F871 = "", G871 = "", I871 = ""), "", IF(F871 = "Vara", IFERROR(_xlfn.SINGLE(_xlfn.XLOOKUP(G871, Vöruskrá!A:A, Vöruskrá!J:J, "")) * I871 / 100, ""), IF(F871 = "Réttur", IFERROR(_xlfn.SINGLE(_xlfn.XLOOKUP(G871, Réttabanki!A:A, Réttabanki!AW:AW, "")) * I871 / 100, ""), "")))</f>
        <v/>
      </c>
      <c r="Q871" s="26" t="str">
        <f>IF(OR(F871 = "", G871 = "", I871 = ""), "", IF(F871 = "Vara", IFERROR(_xlfn.SINGLE(_xlfn.XLOOKUP(G871, Vöruskrá!A:A, Vöruskrá!N:N, "")) * I871 / 100, ""), IF(F871 = "Réttur", IFERROR(_xlfn.SINGLE(_xlfn.XLOOKUP(G871, Réttabanki!A:A, Réttabanki!BB:BB, "")) * I871 / 100, ""), "")))</f>
        <v/>
      </c>
    </row>
    <row r="872" spans="2:17">
      <c r="B872" s="33" t="str">
        <f>IF(A872&lt;&gt;"",CHOOSE(WEEKDAY(A872,2),"Mánudagur","Þriðjudagur","Miðvikudagur","Fimmtudagur","Föstudagur","Laugardagur","Sunnudagur"),IF(B871&lt;&gt;"",B871,""))</f>
        <v>Fimmtudagur</v>
      </c>
      <c r="C872" s="33">
        <f>IF(A872&lt;&gt;"",WEEKNUM(A872,21),IF(C871&lt;&gt;"",C871,""))</f>
        <v>27</v>
      </c>
      <c r="D872" s="34"/>
      <c r="E872" s="34"/>
      <c r="F872" s="34"/>
      <c r="G872" s="34"/>
      <c r="H872" s="34"/>
      <c r="I872" s="35"/>
      <c r="J872" s="35"/>
      <c r="K872" s="36"/>
      <c r="L872" s="26" t="str">
        <f>IF(OR(F872 = "", G872 = ""), "", IF(F872 = "Vara", IFERROR(_xlfn.SINGLE(_xlfn.XLOOKUP(G872, Vöruskrá!A:A, Vöruskrá!E:E, "")), ""), IF(F872 = "Réttur", IFERROR(_xlfn.SINGLE(_xlfn.XLOOKUP(G872, Réttabanki!A:A, Réttabanki!AS:AS, "")), ""), "")))</f>
        <v/>
      </c>
      <c r="M872" s="26" t="str">
        <f>IF(OR(F872 = "", G872 = ""), "", IF(F872 = "Vara", IFERROR(_xlfn.SINGLE(_xlfn.XLOOKUP(G872, Vöruskrá!A:A, Vöruskrá!F:F, "")), ""), IF(F872 = "Réttur", IFERROR(_xlfn.SINGLE(_xlfn.XLOOKUP(G872, Réttabanki!A:A, Réttabanki!AT:AT, "")), ""), "")))</f>
        <v/>
      </c>
      <c r="N872" s="26" t="str">
        <f>IF(OR(F872 = "", G872 = ""), "", IF(F872 = "Vara", IFERROR(_xlfn.SINGLE(_xlfn.XLOOKUP(G872, Vöruskrá!A:A, Vöruskrá!G:G, "")), ""), IF(F872 = "Réttur", IFERROR(_xlfn.SINGLE(_xlfn.XLOOKUP(G872, Réttabanki!A:A, Réttabanki!AU:AU, "")), ""), "")))</f>
        <v/>
      </c>
      <c r="O872" s="26" t="str">
        <f>IF(OR(F872 = "", G872 = "", I872 = ""), "", IF(F872 = "Vara", IFERROR(_xlfn.SINGLE(_xlfn.XLOOKUP(G872, Vöruskrá!A:A, Vöruskrá!I:I, "")) * I872 / 100, ""), IF(F872 = "Réttur", IFERROR(_xlfn.SINGLE(_xlfn.XLOOKUP(G872, Réttabanki!A:A, Réttabanki!AV:AV, "")) * I872 / 100, ""), "")))</f>
        <v/>
      </c>
      <c r="P872" s="26" t="str">
        <f>IF(OR(F872 = "", G872 = "", I872 = ""), "", IF(F872 = "Vara", IFERROR(_xlfn.SINGLE(_xlfn.XLOOKUP(G872, Vöruskrá!A:A, Vöruskrá!J:J, "")) * I872 / 100, ""), IF(F872 = "Réttur", IFERROR(_xlfn.SINGLE(_xlfn.XLOOKUP(G872, Réttabanki!A:A, Réttabanki!AW:AW, "")) * I872 / 100, ""), "")))</f>
        <v/>
      </c>
      <c r="Q872" s="26" t="str">
        <f>IF(OR(F872 = "", G872 = "", I872 = ""), "", IF(F872 = "Vara", IFERROR(_xlfn.SINGLE(_xlfn.XLOOKUP(G872, Vöruskrá!A:A, Vöruskrá!N:N, "")) * I872 / 100, ""), IF(F872 = "Réttur", IFERROR(_xlfn.SINGLE(_xlfn.XLOOKUP(G872, Réttabanki!A:A, Réttabanki!BB:BB, "")) * I872 / 100, ""), "")))</f>
        <v/>
      </c>
    </row>
    <row r="873" spans="2:17">
      <c r="B873" s="33" t="str">
        <f>IF(A873&lt;&gt;"",CHOOSE(WEEKDAY(A873,2),"Mánudagur","Þriðjudagur","Miðvikudagur","Fimmtudagur","Föstudagur","Laugardagur","Sunnudagur"),IF(B872&lt;&gt;"",B872,""))</f>
        <v>Fimmtudagur</v>
      </c>
      <c r="C873" s="33">
        <f>IF(A873&lt;&gt;"",WEEKNUM(A873,21),IF(C872&lt;&gt;"",C872,""))</f>
        <v>27</v>
      </c>
      <c r="D873" s="34"/>
      <c r="E873" s="34"/>
      <c r="F873" s="34"/>
      <c r="G873" s="34"/>
      <c r="H873" s="34"/>
      <c r="I873" s="35"/>
      <c r="J873" s="35"/>
      <c r="K873" s="36"/>
      <c r="L873" s="26" t="str">
        <f>IF(OR(F873 = "", G873 = ""), "", IF(F873 = "Vara", IFERROR(_xlfn.SINGLE(_xlfn.XLOOKUP(G873, Vöruskrá!A:A, Vöruskrá!E:E, "")), ""), IF(F873 = "Réttur", IFERROR(_xlfn.SINGLE(_xlfn.XLOOKUP(G873, Réttabanki!A:A, Réttabanki!AS:AS, "")), ""), "")))</f>
        <v/>
      </c>
      <c r="M873" s="26" t="str">
        <f>IF(OR(F873 = "", G873 = ""), "", IF(F873 = "Vara", IFERROR(_xlfn.SINGLE(_xlfn.XLOOKUP(G873, Vöruskrá!A:A, Vöruskrá!F:F, "")), ""), IF(F873 = "Réttur", IFERROR(_xlfn.SINGLE(_xlfn.XLOOKUP(G873, Réttabanki!A:A, Réttabanki!AT:AT, "")), ""), "")))</f>
        <v/>
      </c>
      <c r="N873" s="26" t="str">
        <f>IF(OR(F873 = "", G873 = ""), "", IF(F873 = "Vara", IFERROR(_xlfn.SINGLE(_xlfn.XLOOKUP(G873, Vöruskrá!A:A, Vöruskrá!G:G, "")), ""), IF(F873 = "Réttur", IFERROR(_xlfn.SINGLE(_xlfn.XLOOKUP(G873, Réttabanki!A:A, Réttabanki!AU:AU, "")), ""), "")))</f>
        <v/>
      </c>
      <c r="O873" s="26" t="str">
        <f>IF(OR(F873 = "", G873 = "", I873 = ""), "", IF(F873 = "Vara", IFERROR(_xlfn.SINGLE(_xlfn.XLOOKUP(G873, Vöruskrá!A:A, Vöruskrá!I:I, "")) * I873 / 100, ""), IF(F873 = "Réttur", IFERROR(_xlfn.SINGLE(_xlfn.XLOOKUP(G873, Réttabanki!A:A, Réttabanki!AV:AV, "")) * I873 / 100, ""), "")))</f>
        <v/>
      </c>
      <c r="P873" s="26" t="str">
        <f>IF(OR(F873 = "", G873 = "", I873 = ""), "", IF(F873 = "Vara", IFERROR(_xlfn.SINGLE(_xlfn.XLOOKUP(G873, Vöruskrá!A:A, Vöruskrá!J:J, "")) * I873 / 100, ""), IF(F873 = "Réttur", IFERROR(_xlfn.SINGLE(_xlfn.XLOOKUP(G873, Réttabanki!A:A, Réttabanki!AW:AW, "")) * I873 / 100, ""), "")))</f>
        <v/>
      </c>
      <c r="Q873" s="26" t="str">
        <f>IF(OR(F873 = "", G873 = "", I873 = ""), "", IF(F873 = "Vara", IFERROR(_xlfn.SINGLE(_xlfn.XLOOKUP(G873, Vöruskrá!A:A, Vöruskrá!N:N, "")) * I873 / 100, ""), IF(F873 = "Réttur", IFERROR(_xlfn.SINGLE(_xlfn.XLOOKUP(G873, Réttabanki!A:A, Réttabanki!BB:BB, "")) * I873 / 100, ""), "")))</f>
        <v/>
      </c>
    </row>
    <row r="874" spans="2:17">
      <c r="B874" s="33" t="str">
        <f>IF(A874&lt;&gt;"",CHOOSE(WEEKDAY(A874,2),"Mánudagur","Þriðjudagur","Miðvikudagur","Fimmtudagur","Föstudagur","Laugardagur","Sunnudagur"),IF(B873&lt;&gt;"",B873,""))</f>
        <v>Fimmtudagur</v>
      </c>
      <c r="C874" s="33">
        <f>IF(A874&lt;&gt;"",WEEKNUM(A874,21),IF(C873&lt;&gt;"",C873,""))</f>
        <v>27</v>
      </c>
      <c r="D874" s="34"/>
      <c r="E874" s="34"/>
      <c r="F874" s="34"/>
      <c r="G874" s="34"/>
      <c r="H874" s="34"/>
      <c r="I874" s="35"/>
      <c r="J874" s="35"/>
      <c r="K874" s="36"/>
      <c r="L874" s="26" t="str">
        <f>IF(OR(F874 = "", G874 = ""), "", IF(F874 = "Vara", IFERROR(_xlfn.SINGLE(_xlfn.XLOOKUP(G874, Vöruskrá!A:A, Vöruskrá!E:E, "")), ""), IF(F874 = "Réttur", IFERROR(_xlfn.SINGLE(_xlfn.XLOOKUP(G874, Réttabanki!A:A, Réttabanki!AS:AS, "")), ""), "")))</f>
        <v/>
      </c>
      <c r="M874" s="26" t="str">
        <f>IF(OR(F874 = "", G874 = ""), "", IF(F874 = "Vara", IFERROR(_xlfn.SINGLE(_xlfn.XLOOKUP(G874, Vöruskrá!A:A, Vöruskrá!F:F, "")), ""), IF(F874 = "Réttur", IFERROR(_xlfn.SINGLE(_xlfn.XLOOKUP(G874, Réttabanki!A:A, Réttabanki!AT:AT, "")), ""), "")))</f>
        <v/>
      </c>
      <c r="N874" s="26" t="str">
        <f>IF(OR(F874 = "", G874 = ""), "", IF(F874 = "Vara", IFERROR(_xlfn.SINGLE(_xlfn.XLOOKUP(G874, Vöruskrá!A:A, Vöruskrá!G:G, "")), ""), IF(F874 = "Réttur", IFERROR(_xlfn.SINGLE(_xlfn.XLOOKUP(G874, Réttabanki!A:A, Réttabanki!AU:AU, "")), ""), "")))</f>
        <v/>
      </c>
      <c r="O874" s="26" t="str">
        <f>IF(OR(F874 = "", G874 = "", I874 = ""), "", IF(F874 = "Vara", IFERROR(_xlfn.SINGLE(_xlfn.XLOOKUP(G874, Vöruskrá!A:A, Vöruskrá!I:I, "")) * I874 / 100, ""), IF(F874 = "Réttur", IFERROR(_xlfn.SINGLE(_xlfn.XLOOKUP(G874, Réttabanki!A:A, Réttabanki!AV:AV, "")) * I874 / 100, ""), "")))</f>
        <v/>
      </c>
      <c r="P874" s="26" t="str">
        <f>IF(OR(F874 = "", G874 = "", I874 = ""), "", IF(F874 = "Vara", IFERROR(_xlfn.SINGLE(_xlfn.XLOOKUP(G874, Vöruskrá!A:A, Vöruskrá!J:J, "")) * I874 / 100, ""), IF(F874 = "Réttur", IFERROR(_xlfn.SINGLE(_xlfn.XLOOKUP(G874, Réttabanki!A:A, Réttabanki!AW:AW, "")) * I874 / 100, ""), "")))</f>
        <v/>
      </c>
      <c r="Q874" s="26" t="str">
        <f>IF(OR(F874 = "", G874 = "", I874 = ""), "", IF(F874 = "Vara", IFERROR(_xlfn.SINGLE(_xlfn.XLOOKUP(G874, Vöruskrá!A:A, Vöruskrá!N:N, "")) * I874 / 100, ""), IF(F874 = "Réttur", IFERROR(_xlfn.SINGLE(_xlfn.XLOOKUP(G874, Réttabanki!A:A, Réttabanki!BB:BB, "")) * I874 / 100, ""), "")))</f>
        <v/>
      </c>
    </row>
    <row r="875" spans="2:17">
      <c r="B875" s="33" t="str">
        <f>IF(A875&lt;&gt;"",CHOOSE(WEEKDAY(A875,2),"Mánudagur","Þriðjudagur","Miðvikudagur","Fimmtudagur","Föstudagur","Laugardagur","Sunnudagur"),IF(B874&lt;&gt;"",B874,""))</f>
        <v>Fimmtudagur</v>
      </c>
      <c r="C875" s="33">
        <f>IF(A875&lt;&gt;"",WEEKNUM(A875,21),IF(C874&lt;&gt;"",C874,""))</f>
        <v>27</v>
      </c>
      <c r="D875" s="34"/>
      <c r="E875" s="34"/>
      <c r="F875" s="34"/>
      <c r="G875" s="34"/>
      <c r="H875" s="34"/>
      <c r="I875" s="35"/>
      <c r="J875" s="35"/>
      <c r="K875" s="36"/>
      <c r="L875" s="26" t="str">
        <f>IF(OR(F875 = "", G875 = ""), "", IF(F875 = "Vara", IFERROR(_xlfn.SINGLE(_xlfn.XLOOKUP(G875, Vöruskrá!A:A, Vöruskrá!E:E, "")), ""), IF(F875 = "Réttur", IFERROR(_xlfn.SINGLE(_xlfn.XLOOKUP(G875, Réttabanki!A:A, Réttabanki!AS:AS, "")), ""), "")))</f>
        <v/>
      </c>
      <c r="M875" s="26" t="str">
        <f>IF(OR(F875 = "", G875 = ""), "", IF(F875 = "Vara", IFERROR(_xlfn.SINGLE(_xlfn.XLOOKUP(G875, Vöruskrá!A:A, Vöruskrá!F:F, "")), ""), IF(F875 = "Réttur", IFERROR(_xlfn.SINGLE(_xlfn.XLOOKUP(G875, Réttabanki!A:A, Réttabanki!AT:AT, "")), ""), "")))</f>
        <v/>
      </c>
      <c r="N875" s="26" t="str">
        <f>IF(OR(F875 = "", G875 = ""), "", IF(F875 = "Vara", IFERROR(_xlfn.SINGLE(_xlfn.XLOOKUP(G875, Vöruskrá!A:A, Vöruskrá!G:G, "")), ""), IF(F875 = "Réttur", IFERROR(_xlfn.SINGLE(_xlfn.XLOOKUP(G875, Réttabanki!A:A, Réttabanki!AU:AU, "")), ""), "")))</f>
        <v/>
      </c>
      <c r="O875" s="26" t="str">
        <f>IF(OR(F875 = "", G875 = "", I875 = ""), "", IF(F875 = "Vara", IFERROR(_xlfn.SINGLE(_xlfn.XLOOKUP(G875, Vöruskrá!A:A, Vöruskrá!I:I, "")) * I875 / 100, ""), IF(F875 = "Réttur", IFERROR(_xlfn.SINGLE(_xlfn.XLOOKUP(G875, Réttabanki!A:A, Réttabanki!AV:AV, "")) * I875 / 100, ""), "")))</f>
        <v/>
      </c>
      <c r="P875" s="26" t="str">
        <f>IF(OR(F875 = "", G875 = "", I875 = ""), "", IF(F875 = "Vara", IFERROR(_xlfn.SINGLE(_xlfn.XLOOKUP(G875, Vöruskrá!A:A, Vöruskrá!J:J, "")) * I875 / 100, ""), IF(F875 = "Réttur", IFERROR(_xlfn.SINGLE(_xlfn.XLOOKUP(G875, Réttabanki!A:A, Réttabanki!AW:AW, "")) * I875 / 100, ""), "")))</f>
        <v/>
      </c>
      <c r="Q875" s="26" t="str">
        <f>IF(OR(F875 = "", G875 = "", I875 = ""), "", IF(F875 = "Vara", IFERROR(_xlfn.SINGLE(_xlfn.XLOOKUP(G875, Vöruskrá!A:A, Vöruskrá!N:N, "")) * I875 / 100, ""), IF(F875 = "Réttur", IFERROR(_xlfn.SINGLE(_xlfn.XLOOKUP(G875, Réttabanki!A:A, Réttabanki!BB:BB, "")) * I875 / 100, ""), "")))</f>
        <v/>
      </c>
    </row>
    <row r="876" spans="2:17">
      <c r="B876" s="33" t="str">
        <f>IF(A876&lt;&gt;"",CHOOSE(WEEKDAY(A876,2),"Mánudagur","Þriðjudagur","Miðvikudagur","Fimmtudagur","Föstudagur","Laugardagur","Sunnudagur"),IF(B875&lt;&gt;"",B875,""))</f>
        <v>Fimmtudagur</v>
      </c>
      <c r="C876" s="33">
        <f>IF(A876&lt;&gt;"",WEEKNUM(A876,21),IF(C875&lt;&gt;"",C875,""))</f>
        <v>27</v>
      </c>
      <c r="D876" s="34"/>
      <c r="E876" s="34"/>
      <c r="F876" s="34"/>
      <c r="G876" s="34"/>
      <c r="H876" s="34"/>
      <c r="I876" s="35"/>
      <c r="J876" s="35"/>
      <c r="K876" s="36"/>
      <c r="L876" s="26" t="str">
        <f>IF(OR(F876 = "", G876 = ""), "", IF(F876 = "Vara", IFERROR(_xlfn.SINGLE(_xlfn.XLOOKUP(G876, Vöruskrá!A:A, Vöruskrá!E:E, "")), ""), IF(F876 = "Réttur", IFERROR(_xlfn.SINGLE(_xlfn.XLOOKUP(G876, Réttabanki!A:A, Réttabanki!AS:AS, "")), ""), "")))</f>
        <v/>
      </c>
      <c r="M876" s="26" t="str">
        <f>IF(OR(F876 = "", G876 = ""), "", IF(F876 = "Vara", IFERROR(_xlfn.SINGLE(_xlfn.XLOOKUP(G876, Vöruskrá!A:A, Vöruskrá!F:F, "")), ""), IF(F876 = "Réttur", IFERROR(_xlfn.SINGLE(_xlfn.XLOOKUP(G876, Réttabanki!A:A, Réttabanki!AT:AT, "")), ""), "")))</f>
        <v/>
      </c>
      <c r="N876" s="26" t="str">
        <f>IF(OR(F876 = "", G876 = ""), "", IF(F876 = "Vara", IFERROR(_xlfn.SINGLE(_xlfn.XLOOKUP(G876, Vöruskrá!A:A, Vöruskrá!G:G, "")), ""), IF(F876 = "Réttur", IFERROR(_xlfn.SINGLE(_xlfn.XLOOKUP(G876, Réttabanki!A:A, Réttabanki!AU:AU, "")), ""), "")))</f>
        <v/>
      </c>
      <c r="O876" s="26" t="str">
        <f>IF(OR(F876 = "", G876 = "", I876 = ""), "", IF(F876 = "Vara", IFERROR(_xlfn.SINGLE(_xlfn.XLOOKUP(G876, Vöruskrá!A:A, Vöruskrá!I:I, "")) * I876 / 100, ""), IF(F876 = "Réttur", IFERROR(_xlfn.SINGLE(_xlfn.XLOOKUP(G876, Réttabanki!A:A, Réttabanki!AV:AV, "")) * I876 / 100, ""), "")))</f>
        <v/>
      </c>
      <c r="P876" s="26" t="str">
        <f>IF(OR(F876 = "", G876 = "", I876 = ""), "", IF(F876 = "Vara", IFERROR(_xlfn.SINGLE(_xlfn.XLOOKUP(G876, Vöruskrá!A:A, Vöruskrá!J:J, "")) * I876 / 100, ""), IF(F876 = "Réttur", IFERROR(_xlfn.SINGLE(_xlfn.XLOOKUP(G876, Réttabanki!A:A, Réttabanki!AW:AW, "")) * I876 / 100, ""), "")))</f>
        <v/>
      </c>
      <c r="Q876" s="26" t="str">
        <f>IF(OR(F876 = "", G876 = "", I876 = ""), "", IF(F876 = "Vara", IFERROR(_xlfn.SINGLE(_xlfn.XLOOKUP(G876, Vöruskrá!A:A, Vöruskrá!N:N, "")) * I876 / 100, ""), IF(F876 = "Réttur", IFERROR(_xlfn.SINGLE(_xlfn.XLOOKUP(G876, Réttabanki!A:A, Réttabanki!BB:BB, "")) * I876 / 100, ""), "")))</f>
        <v/>
      </c>
    </row>
    <row r="877" spans="2:17">
      <c r="B877" s="33" t="str">
        <f>IF(A877&lt;&gt;"",CHOOSE(WEEKDAY(A877,2),"Mánudagur","Þriðjudagur","Miðvikudagur","Fimmtudagur","Föstudagur","Laugardagur","Sunnudagur"),IF(B876&lt;&gt;"",B876,""))</f>
        <v>Fimmtudagur</v>
      </c>
      <c r="C877" s="33">
        <f>IF(A877&lt;&gt;"",WEEKNUM(A877,21),IF(C876&lt;&gt;"",C876,""))</f>
        <v>27</v>
      </c>
      <c r="D877" s="34"/>
      <c r="E877" s="34"/>
      <c r="F877" s="34"/>
      <c r="G877" s="34"/>
      <c r="H877" s="34"/>
      <c r="I877" s="35"/>
      <c r="J877" s="35"/>
      <c r="K877" s="36"/>
      <c r="L877" s="26" t="str">
        <f>IF(OR(F877 = "", G877 = ""), "", IF(F877 = "Vara", IFERROR(_xlfn.SINGLE(_xlfn.XLOOKUP(G877, Vöruskrá!A:A, Vöruskrá!E:E, "")), ""), IF(F877 = "Réttur", IFERROR(_xlfn.SINGLE(_xlfn.XLOOKUP(G877, Réttabanki!A:A, Réttabanki!AS:AS, "")), ""), "")))</f>
        <v/>
      </c>
      <c r="M877" s="26" t="str">
        <f>IF(OR(F877 = "", G877 = ""), "", IF(F877 = "Vara", IFERROR(_xlfn.SINGLE(_xlfn.XLOOKUP(G877, Vöruskrá!A:A, Vöruskrá!F:F, "")), ""), IF(F877 = "Réttur", IFERROR(_xlfn.SINGLE(_xlfn.XLOOKUP(G877, Réttabanki!A:A, Réttabanki!AT:AT, "")), ""), "")))</f>
        <v/>
      </c>
      <c r="N877" s="26" t="str">
        <f>IF(OR(F877 = "", G877 = ""), "", IF(F877 = "Vara", IFERROR(_xlfn.SINGLE(_xlfn.XLOOKUP(G877, Vöruskrá!A:A, Vöruskrá!G:G, "")), ""), IF(F877 = "Réttur", IFERROR(_xlfn.SINGLE(_xlfn.XLOOKUP(G877, Réttabanki!A:A, Réttabanki!AU:AU, "")), ""), "")))</f>
        <v/>
      </c>
      <c r="O877" s="26" t="str">
        <f>IF(OR(F877 = "", G877 = "", I877 = ""), "", IF(F877 = "Vara", IFERROR(_xlfn.SINGLE(_xlfn.XLOOKUP(G877, Vöruskrá!A:A, Vöruskrá!I:I, "")) * I877 / 100, ""), IF(F877 = "Réttur", IFERROR(_xlfn.SINGLE(_xlfn.XLOOKUP(G877, Réttabanki!A:A, Réttabanki!AV:AV, "")) * I877 / 100, ""), "")))</f>
        <v/>
      </c>
      <c r="P877" s="26" t="str">
        <f>IF(OR(F877 = "", G877 = "", I877 = ""), "", IF(F877 = "Vara", IFERROR(_xlfn.SINGLE(_xlfn.XLOOKUP(G877, Vöruskrá!A:A, Vöruskrá!J:J, "")) * I877 / 100, ""), IF(F877 = "Réttur", IFERROR(_xlfn.SINGLE(_xlfn.XLOOKUP(G877, Réttabanki!A:A, Réttabanki!AW:AW, "")) * I877 / 100, ""), "")))</f>
        <v/>
      </c>
      <c r="Q877" s="26" t="str">
        <f>IF(OR(F877 = "", G877 = "", I877 = ""), "", IF(F877 = "Vara", IFERROR(_xlfn.SINGLE(_xlfn.XLOOKUP(G877, Vöruskrá!A:A, Vöruskrá!N:N, "")) * I877 / 100, ""), IF(F877 = "Réttur", IFERROR(_xlfn.SINGLE(_xlfn.XLOOKUP(G877, Réttabanki!A:A, Réttabanki!BB:BB, "")) * I877 / 100, ""), "")))</f>
        <v/>
      </c>
    </row>
    <row r="878" spans="2:17">
      <c r="B878" s="33" t="str">
        <f>IF(A878&lt;&gt;"",CHOOSE(WEEKDAY(A878,2),"Mánudagur","Þriðjudagur","Miðvikudagur","Fimmtudagur","Föstudagur","Laugardagur","Sunnudagur"),IF(B877&lt;&gt;"",B877,""))</f>
        <v>Fimmtudagur</v>
      </c>
      <c r="C878" s="33">
        <f>IF(A878&lt;&gt;"",WEEKNUM(A878,21),IF(C877&lt;&gt;"",C877,""))</f>
        <v>27</v>
      </c>
      <c r="D878" s="34"/>
      <c r="E878" s="34"/>
      <c r="F878" s="34"/>
      <c r="G878" s="34"/>
      <c r="H878" s="34"/>
      <c r="I878" s="35"/>
      <c r="J878" s="35"/>
      <c r="K878" s="36"/>
      <c r="L878" s="26" t="str">
        <f>IF(OR(F878 = "", G878 = ""), "", IF(F878 = "Vara", IFERROR(_xlfn.SINGLE(_xlfn.XLOOKUP(G878, Vöruskrá!A:A, Vöruskrá!E:E, "")), ""), IF(F878 = "Réttur", IFERROR(_xlfn.SINGLE(_xlfn.XLOOKUP(G878, Réttabanki!A:A, Réttabanki!AS:AS, "")), ""), "")))</f>
        <v/>
      </c>
      <c r="M878" s="26" t="str">
        <f>IF(OR(F878 = "", G878 = ""), "", IF(F878 = "Vara", IFERROR(_xlfn.SINGLE(_xlfn.XLOOKUP(G878, Vöruskrá!A:A, Vöruskrá!F:F, "")), ""), IF(F878 = "Réttur", IFERROR(_xlfn.SINGLE(_xlfn.XLOOKUP(G878, Réttabanki!A:A, Réttabanki!AT:AT, "")), ""), "")))</f>
        <v/>
      </c>
      <c r="N878" s="26" t="str">
        <f>IF(OR(F878 = "", G878 = ""), "", IF(F878 = "Vara", IFERROR(_xlfn.SINGLE(_xlfn.XLOOKUP(G878, Vöruskrá!A:A, Vöruskrá!G:G, "")), ""), IF(F878 = "Réttur", IFERROR(_xlfn.SINGLE(_xlfn.XLOOKUP(G878, Réttabanki!A:A, Réttabanki!AU:AU, "")), ""), "")))</f>
        <v/>
      </c>
      <c r="O878" s="26" t="str">
        <f>IF(OR(F878 = "", G878 = "", I878 = ""), "", IF(F878 = "Vara", IFERROR(_xlfn.SINGLE(_xlfn.XLOOKUP(G878, Vöruskrá!A:A, Vöruskrá!I:I, "")) * I878 / 100, ""), IF(F878 = "Réttur", IFERROR(_xlfn.SINGLE(_xlfn.XLOOKUP(G878, Réttabanki!A:A, Réttabanki!AV:AV, "")) * I878 / 100, ""), "")))</f>
        <v/>
      </c>
      <c r="P878" s="26" t="str">
        <f>IF(OR(F878 = "", G878 = "", I878 = ""), "", IF(F878 = "Vara", IFERROR(_xlfn.SINGLE(_xlfn.XLOOKUP(G878, Vöruskrá!A:A, Vöruskrá!J:J, "")) * I878 / 100, ""), IF(F878 = "Réttur", IFERROR(_xlfn.SINGLE(_xlfn.XLOOKUP(G878, Réttabanki!A:A, Réttabanki!AW:AW, "")) * I878 / 100, ""), "")))</f>
        <v/>
      </c>
      <c r="Q878" s="26" t="str">
        <f>IF(OR(F878 = "", G878 = "", I878 = ""), "", IF(F878 = "Vara", IFERROR(_xlfn.SINGLE(_xlfn.XLOOKUP(G878, Vöruskrá!A:A, Vöruskrá!N:N, "")) * I878 / 100, ""), IF(F878 = "Réttur", IFERROR(_xlfn.SINGLE(_xlfn.XLOOKUP(G878, Réttabanki!A:A, Réttabanki!BB:BB, "")) * I878 / 100, ""), "")))</f>
        <v/>
      </c>
    </row>
    <row r="879" spans="2:17">
      <c r="B879" s="33" t="str">
        <f>IF(A879&lt;&gt;"",CHOOSE(WEEKDAY(A879,2),"Mánudagur","Þriðjudagur","Miðvikudagur","Fimmtudagur","Föstudagur","Laugardagur","Sunnudagur"),IF(B878&lt;&gt;"",B878,""))</f>
        <v>Fimmtudagur</v>
      </c>
      <c r="C879" s="33">
        <f>IF(A879&lt;&gt;"",WEEKNUM(A879,21),IF(C878&lt;&gt;"",C878,""))</f>
        <v>27</v>
      </c>
      <c r="D879" s="34"/>
      <c r="E879" s="34"/>
      <c r="F879" s="34"/>
      <c r="G879" s="34"/>
      <c r="H879" s="34"/>
      <c r="I879" s="35"/>
      <c r="J879" s="35"/>
      <c r="K879" s="36"/>
      <c r="L879" s="26" t="str">
        <f>IF(OR(F879 = "", G879 = ""), "", IF(F879 = "Vara", IFERROR(_xlfn.SINGLE(_xlfn.XLOOKUP(G879, Vöruskrá!A:A, Vöruskrá!E:E, "")), ""), IF(F879 = "Réttur", IFERROR(_xlfn.SINGLE(_xlfn.XLOOKUP(G879, Réttabanki!A:A, Réttabanki!AS:AS, "")), ""), "")))</f>
        <v/>
      </c>
      <c r="M879" s="26" t="str">
        <f>IF(OR(F879 = "", G879 = ""), "", IF(F879 = "Vara", IFERROR(_xlfn.SINGLE(_xlfn.XLOOKUP(G879, Vöruskrá!A:A, Vöruskrá!F:F, "")), ""), IF(F879 = "Réttur", IFERROR(_xlfn.SINGLE(_xlfn.XLOOKUP(G879, Réttabanki!A:A, Réttabanki!AT:AT, "")), ""), "")))</f>
        <v/>
      </c>
      <c r="N879" s="26" t="str">
        <f>IF(OR(F879 = "", G879 = ""), "", IF(F879 = "Vara", IFERROR(_xlfn.SINGLE(_xlfn.XLOOKUP(G879, Vöruskrá!A:A, Vöruskrá!G:G, "")), ""), IF(F879 = "Réttur", IFERROR(_xlfn.SINGLE(_xlfn.XLOOKUP(G879, Réttabanki!A:A, Réttabanki!AU:AU, "")), ""), "")))</f>
        <v/>
      </c>
      <c r="O879" s="26" t="str">
        <f>IF(OR(F879 = "", G879 = "", I879 = ""), "", IF(F879 = "Vara", IFERROR(_xlfn.SINGLE(_xlfn.XLOOKUP(G879, Vöruskrá!A:A, Vöruskrá!I:I, "")) * I879 / 100, ""), IF(F879 = "Réttur", IFERROR(_xlfn.SINGLE(_xlfn.XLOOKUP(G879, Réttabanki!A:A, Réttabanki!AV:AV, "")) * I879 / 100, ""), "")))</f>
        <v/>
      </c>
      <c r="P879" s="26" t="str">
        <f>IF(OR(F879 = "", G879 = "", I879 = ""), "", IF(F879 = "Vara", IFERROR(_xlfn.SINGLE(_xlfn.XLOOKUP(G879, Vöruskrá!A:A, Vöruskrá!J:J, "")) * I879 / 100, ""), IF(F879 = "Réttur", IFERROR(_xlfn.SINGLE(_xlfn.XLOOKUP(G879, Réttabanki!A:A, Réttabanki!AW:AW, "")) * I879 / 100, ""), "")))</f>
        <v/>
      </c>
      <c r="Q879" s="26" t="str">
        <f>IF(OR(F879 = "", G879 = "", I879 = ""), "", IF(F879 = "Vara", IFERROR(_xlfn.SINGLE(_xlfn.XLOOKUP(G879, Vöruskrá!A:A, Vöruskrá!N:N, "")) * I879 / 100, ""), IF(F879 = "Réttur", IFERROR(_xlfn.SINGLE(_xlfn.XLOOKUP(G879, Réttabanki!A:A, Réttabanki!BB:BB, "")) * I879 / 100, ""), "")))</f>
        <v/>
      </c>
    </row>
    <row r="880" spans="2:17">
      <c r="B880" s="33" t="str">
        <f>IF(A880&lt;&gt;"",CHOOSE(WEEKDAY(A880,2),"Mánudagur","Þriðjudagur","Miðvikudagur","Fimmtudagur","Föstudagur","Laugardagur","Sunnudagur"),IF(B879&lt;&gt;"",B879,""))</f>
        <v>Fimmtudagur</v>
      </c>
      <c r="C880" s="33">
        <f>IF(A880&lt;&gt;"",WEEKNUM(A880,21),IF(C879&lt;&gt;"",C879,""))</f>
        <v>27</v>
      </c>
      <c r="D880" s="34"/>
      <c r="E880" s="34"/>
      <c r="F880" s="34"/>
      <c r="G880" s="34"/>
      <c r="H880" s="34"/>
      <c r="I880" s="35"/>
      <c r="J880" s="35"/>
      <c r="K880" s="36"/>
      <c r="L880" s="26" t="str">
        <f>IF(OR(F880 = "", G880 = ""), "", IF(F880 = "Vara", IFERROR(_xlfn.SINGLE(_xlfn.XLOOKUP(G880, Vöruskrá!A:A, Vöruskrá!E:E, "")), ""), IF(F880 = "Réttur", IFERROR(_xlfn.SINGLE(_xlfn.XLOOKUP(G880, Réttabanki!A:A, Réttabanki!AS:AS, "")), ""), "")))</f>
        <v/>
      </c>
      <c r="M880" s="26" t="str">
        <f>IF(OR(F880 = "", G880 = ""), "", IF(F880 = "Vara", IFERROR(_xlfn.SINGLE(_xlfn.XLOOKUP(G880, Vöruskrá!A:A, Vöruskrá!F:F, "")), ""), IF(F880 = "Réttur", IFERROR(_xlfn.SINGLE(_xlfn.XLOOKUP(G880, Réttabanki!A:A, Réttabanki!AT:AT, "")), ""), "")))</f>
        <v/>
      </c>
      <c r="N880" s="26" t="str">
        <f>IF(OR(F880 = "", G880 = ""), "", IF(F880 = "Vara", IFERROR(_xlfn.SINGLE(_xlfn.XLOOKUP(G880, Vöruskrá!A:A, Vöruskrá!G:G, "")), ""), IF(F880 = "Réttur", IFERROR(_xlfn.SINGLE(_xlfn.XLOOKUP(G880, Réttabanki!A:A, Réttabanki!AU:AU, "")), ""), "")))</f>
        <v/>
      </c>
      <c r="O880" s="26" t="str">
        <f>IF(OR(F880 = "", G880 = "", I880 = ""), "", IF(F880 = "Vara", IFERROR(_xlfn.SINGLE(_xlfn.XLOOKUP(G880, Vöruskrá!A:A, Vöruskrá!I:I, "")) * I880 / 100, ""), IF(F880 = "Réttur", IFERROR(_xlfn.SINGLE(_xlfn.XLOOKUP(G880, Réttabanki!A:A, Réttabanki!AV:AV, "")) * I880 / 100, ""), "")))</f>
        <v/>
      </c>
      <c r="P880" s="26" t="str">
        <f>IF(OR(F880 = "", G880 = "", I880 = ""), "", IF(F880 = "Vara", IFERROR(_xlfn.SINGLE(_xlfn.XLOOKUP(G880, Vöruskrá!A:A, Vöruskrá!J:J, "")) * I880 / 100, ""), IF(F880 = "Réttur", IFERROR(_xlfn.SINGLE(_xlfn.XLOOKUP(G880, Réttabanki!A:A, Réttabanki!AW:AW, "")) * I880 / 100, ""), "")))</f>
        <v/>
      </c>
      <c r="Q880" s="26" t="str">
        <f>IF(OR(F880 = "", G880 = "", I880 = ""), "", IF(F880 = "Vara", IFERROR(_xlfn.SINGLE(_xlfn.XLOOKUP(G880, Vöruskrá!A:A, Vöruskrá!N:N, "")) * I880 / 100, ""), IF(F880 = "Réttur", IFERROR(_xlfn.SINGLE(_xlfn.XLOOKUP(G880, Réttabanki!A:A, Réttabanki!BB:BB, "")) * I880 / 100, ""), "")))</f>
        <v/>
      </c>
    </row>
    <row r="881" spans="2:17">
      <c r="B881" s="33" t="str">
        <f>IF(A881&lt;&gt;"",CHOOSE(WEEKDAY(A881,2),"Mánudagur","Þriðjudagur","Miðvikudagur","Fimmtudagur","Föstudagur","Laugardagur","Sunnudagur"),IF(B880&lt;&gt;"",B880,""))</f>
        <v>Fimmtudagur</v>
      </c>
      <c r="C881" s="33">
        <f>IF(A881&lt;&gt;"",WEEKNUM(A881,21),IF(C880&lt;&gt;"",C880,""))</f>
        <v>27</v>
      </c>
      <c r="D881" s="34"/>
      <c r="E881" s="34"/>
      <c r="F881" s="34"/>
      <c r="G881" s="34"/>
      <c r="H881" s="34"/>
      <c r="I881" s="35"/>
      <c r="J881" s="35"/>
      <c r="K881" s="36"/>
      <c r="L881" s="26" t="str">
        <f>IF(OR(F881 = "", G881 = ""), "", IF(F881 = "Vara", IFERROR(_xlfn.SINGLE(_xlfn.XLOOKUP(G881, Vöruskrá!A:A, Vöruskrá!E:E, "")), ""), IF(F881 = "Réttur", IFERROR(_xlfn.SINGLE(_xlfn.XLOOKUP(G881, Réttabanki!A:A, Réttabanki!AS:AS, "")), ""), "")))</f>
        <v/>
      </c>
      <c r="M881" s="26" t="str">
        <f>IF(OR(F881 = "", G881 = ""), "", IF(F881 = "Vara", IFERROR(_xlfn.SINGLE(_xlfn.XLOOKUP(G881, Vöruskrá!A:A, Vöruskrá!F:F, "")), ""), IF(F881 = "Réttur", IFERROR(_xlfn.SINGLE(_xlfn.XLOOKUP(G881, Réttabanki!A:A, Réttabanki!AT:AT, "")), ""), "")))</f>
        <v/>
      </c>
      <c r="N881" s="26" t="str">
        <f>IF(OR(F881 = "", G881 = ""), "", IF(F881 = "Vara", IFERROR(_xlfn.SINGLE(_xlfn.XLOOKUP(G881, Vöruskrá!A:A, Vöruskrá!G:G, "")), ""), IF(F881 = "Réttur", IFERROR(_xlfn.SINGLE(_xlfn.XLOOKUP(G881, Réttabanki!A:A, Réttabanki!AU:AU, "")), ""), "")))</f>
        <v/>
      </c>
      <c r="O881" s="26" t="str">
        <f>IF(OR(F881 = "", G881 = "", I881 = ""), "", IF(F881 = "Vara", IFERROR(_xlfn.SINGLE(_xlfn.XLOOKUP(G881, Vöruskrá!A:A, Vöruskrá!I:I, "")) * I881 / 100, ""), IF(F881 = "Réttur", IFERROR(_xlfn.SINGLE(_xlfn.XLOOKUP(G881, Réttabanki!A:A, Réttabanki!AV:AV, "")) * I881 / 100, ""), "")))</f>
        <v/>
      </c>
      <c r="P881" s="26" t="str">
        <f>IF(OR(F881 = "", G881 = "", I881 = ""), "", IF(F881 = "Vara", IFERROR(_xlfn.SINGLE(_xlfn.XLOOKUP(G881, Vöruskrá!A:A, Vöruskrá!J:J, "")) * I881 / 100, ""), IF(F881 = "Réttur", IFERROR(_xlfn.SINGLE(_xlfn.XLOOKUP(G881, Réttabanki!A:A, Réttabanki!AW:AW, "")) * I881 / 100, ""), "")))</f>
        <v/>
      </c>
      <c r="Q881" s="26" t="str">
        <f>IF(OR(F881 = "", G881 = "", I881 = ""), "", IF(F881 = "Vara", IFERROR(_xlfn.SINGLE(_xlfn.XLOOKUP(G881, Vöruskrá!A:A, Vöruskrá!N:N, "")) * I881 / 100, ""), IF(F881 = "Réttur", IFERROR(_xlfn.SINGLE(_xlfn.XLOOKUP(G881, Réttabanki!A:A, Réttabanki!BB:BB, "")) * I881 / 100, ""), "")))</f>
        <v/>
      </c>
    </row>
    <row r="882" spans="2:17">
      <c r="B882" s="33" t="str">
        <f>IF(A882&lt;&gt;"",CHOOSE(WEEKDAY(A882,2),"Mánudagur","Þriðjudagur","Miðvikudagur","Fimmtudagur","Föstudagur","Laugardagur","Sunnudagur"),IF(B881&lt;&gt;"",B881,""))</f>
        <v>Fimmtudagur</v>
      </c>
      <c r="C882" s="33">
        <f>IF(A882&lt;&gt;"",WEEKNUM(A882,21),IF(C881&lt;&gt;"",C881,""))</f>
        <v>27</v>
      </c>
      <c r="D882" s="34"/>
      <c r="E882" s="34"/>
      <c r="F882" s="34"/>
      <c r="G882" s="34"/>
      <c r="H882" s="34"/>
      <c r="I882" s="35"/>
      <c r="J882" s="35"/>
      <c r="K882" s="36"/>
      <c r="L882" s="26" t="str">
        <f>IF(OR(F882 = "", G882 = ""), "", IF(F882 = "Vara", IFERROR(_xlfn.SINGLE(_xlfn.XLOOKUP(G882, Vöruskrá!A:A, Vöruskrá!E:E, "")), ""), IF(F882 = "Réttur", IFERROR(_xlfn.SINGLE(_xlfn.XLOOKUP(G882, Réttabanki!A:A, Réttabanki!AS:AS, "")), ""), "")))</f>
        <v/>
      </c>
      <c r="M882" s="26" t="str">
        <f>IF(OR(F882 = "", G882 = ""), "", IF(F882 = "Vara", IFERROR(_xlfn.SINGLE(_xlfn.XLOOKUP(G882, Vöruskrá!A:A, Vöruskrá!F:F, "")), ""), IF(F882 = "Réttur", IFERROR(_xlfn.SINGLE(_xlfn.XLOOKUP(G882, Réttabanki!A:A, Réttabanki!AT:AT, "")), ""), "")))</f>
        <v/>
      </c>
      <c r="N882" s="26" t="str">
        <f>IF(OR(F882 = "", G882 = ""), "", IF(F882 = "Vara", IFERROR(_xlfn.SINGLE(_xlfn.XLOOKUP(G882, Vöruskrá!A:A, Vöruskrá!G:G, "")), ""), IF(F882 = "Réttur", IFERROR(_xlfn.SINGLE(_xlfn.XLOOKUP(G882, Réttabanki!A:A, Réttabanki!AU:AU, "")), ""), "")))</f>
        <v/>
      </c>
      <c r="O882" s="26" t="str">
        <f>IF(OR(F882 = "", G882 = "", I882 = ""), "", IF(F882 = "Vara", IFERROR(_xlfn.SINGLE(_xlfn.XLOOKUP(G882, Vöruskrá!A:A, Vöruskrá!I:I, "")) * I882 / 100, ""), IF(F882 = "Réttur", IFERROR(_xlfn.SINGLE(_xlfn.XLOOKUP(G882, Réttabanki!A:A, Réttabanki!AV:AV, "")) * I882 / 100, ""), "")))</f>
        <v/>
      </c>
      <c r="P882" s="26" t="str">
        <f>IF(OR(F882 = "", G882 = "", I882 = ""), "", IF(F882 = "Vara", IFERROR(_xlfn.SINGLE(_xlfn.XLOOKUP(G882, Vöruskrá!A:A, Vöruskrá!J:J, "")) * I882 / 100, ""), IF(F882 = "Réttur", IFERROR(_xlfn.SINGLE(_xlfn.XLOOKUP(G882, Réttabanki!A:A, Réttabanki!AW:AW, "")) * I882 / 100, ""), "")))</f>
        <v/>
      </c>
      <c r="Q882" s="26" t="str">
        <f>IF(OR(F882 = "", G882 = "", I882 = ""), "", IF(F882 = "Vara", IFERROR(_xlfn.SINGLE(_xlfn.XLOOKUP(G882, Vöruskrá!A:A, Vöruskrá!N:N, "")) * I882 / 100, ""), IF(F882 = "Réttur", IFERROR(_xlfn.SINGLE(_xlfn.XLOOKUP(G882, Réttabanki!A:A, Réttabanki!BB:BB, "")) * I882 / 100, ""), "")))</f>
        <v/>
      </c>
    </row>
    <row r="883" spans="2:17">
      <c r="B883" s="33" t="str">
        <f>IF(A883&lt;&gt;"",CHOOSE(WEEKDAY(A883,2),"Mánudagur","Þriðjudagur","Miðvikudagur","Fimmtudagur","Föstudagur","Laugardagur","Sunnudagur"),IF(B882&lt;&gt;"",B882,""))</f>
        <v>Fimmtudagur</v>
      </c>
      <c r="C883" s="33">
        <f>IF(A883&lt;&gt;"",WEEKNUM(A883,21),IF(C882&lt;&gt;"",C882,""))</f>
        <v>27</v>
      </c>
      <c r="D883" s="34"/>
      <c r="E883" s="34"/>
      <c r="F883" s="34"/>
      <c r="G883" s="34"/>
      <c r="H883" s="34"/>
      <c r="I883" s="35"/>
      <c r="J883" s="35"/>
      <c r="K883" s="36"/>
      <c r="L883" s="26" t="str">
        <f>IF(OR(F883 = "", G883 = ""), "", IF(F883 = "Vara", IFERROR(_xlfn.SINGLE(_xlfn.XLOOKUP(G883, Vöruskrá!A:A, Vöruskrá!E:E, "")), ""), IF(F883 = "Réttur", IFERROR(_xlfn.SINGLE(_xlfn.XLOOKUP(G883, Réttabanki!A:A, Réttabanki!AS:AS, "")), ""), "")))</f>
        <v/>
      </c>
      <c r="M883" s="26" t="str">
        <f>IF(OR(F883 = "", G883 = ""), "", IF(F883 = "Vara", IFERROR(_xlfn.SINGLE(_xlfn.XLOOKUP(G883, Vöruskrá!A:A, Vöruskrá!F:F, "")), ""), IF(F883 = "Réttur", IFERROR(_xlfn.SINGLE(_xlfn.XLOOKUP(G883, Réttabanki!A:A, Réttabanki!AT:AT, "")), ""), "")))</f>
        <v/>
      </c>
      <c r="N883" s="26" t="str">
        <f>IF(OR(F883 = "", G883 = ""), "", IF(F883 = "Vara", IFERROR(_xlfn.SINGLE(_xlfn.XLOOKUP(G883, Vöruskrá!A:A, Vöruskrá!G:G, "")), ""), IF(F883 = "Réttur", IFERROR(_xlfn.SINGLE(_xlfn.XLOOKUP(G883, Réttabanki!A:A, Réttabanki!AU:AU, "")), ""), "")))</f>
        <v/>
      </c>
      <c r="O883" s="26" t="str">
        <f>IF(OR(F883 = "", G883 = "", I883 = ""), "", IF(F883 = "Vara", IFERROR(_xlfn.SINGLE(_xlfn.XLOOKUP(G883, Vöruskrá!A:A, Vöruskrá!I:I, "")) * I883 / 100, ""), IF(F883 = "Réttur", IFERROR(_xlfn.SINGLE(_xlfn.XLOOKUP(G883, Réttabanki!A:A, Réttabanki!AV:AV, "")) * I883 / 100, ""), "")))</f>
        <v/>
      </c>
      <c r="P883" s="26" t="str">
        <f>IF(OR(F883 = "", G883 = "", I883 = ""), "", IF(F883 = "Vara", IFERROR(_xlfn.SINGLE(_xlfn.XLOOKUP(G883, Vöruskrá!A:A, Vöruskrá!J:J, "")) * I883 / 100, ""), IF(F883 = "Réttur", IFERROR(_xlfn.SINGLE(_xlfn.XLOOKUP(G883, Réttabanki!A:A, Réttabanki!AW:AW, "")) * I883 / 100, ""), "")))</f>
        <v/>
      </c>
      <c r="Q883" s="26" t="str">
        <f>IF(OR(F883 = "", G883 = "", I883 = ""), "", IF(F883 = "Vara", IFERROR(_xlfn.SINGLE(_xlfn.XLOOKUP(G883, Vöruskrá!A:A, Vöruskrá!N:N, "")) * I883 / 100, ""), IF(F883 = "Réttur", IFERROR(_xlfn.SINGLE(_xlfn.XLOOKUP(G883, Réttabanki!A:A, Réttabanki!BB:BB, "")) * I883 / 100, ""), "")))</f>
        <v/>
      </c>
    </row>
    <row r="884" spans="2:17">
      <c r="B884" s="33" t="str">
        <f>IF(A884&lt;&gt;"",CHOOSE(WEEKDAY(A884,2),"Mánudagur","Þriðjudagur","Miðvikudagur","Fimmtudagur","Föstudagur","Laugardagur","Sunnudagur"),IF(B883&lt;&gt;"",B883,""))</f>
        <v>Fimmtudagur</v>
      </c>
      <c r="C884" s="33">
        <f>IF(A884&lt;&gt;"",WEEKNUM(A884,21),IF(C883&lt;&gt;"",C883,""))</f>
        <v>27</v>
      </c>
      <c r="D884" s="34"/>
      <c r="E884" s="34"/>
      <c r="F884" s="34"/>
      <c r="G884" s="34"/>
      <c r="H884" s="34"/>
      <c r="I884" s="35"/>
      <c r="J884" s="35"/>
      <c r="K884" s="36"/>
      <c r="L884" s="26" t="str">
        <f>IF(OR(F884 = "", G884 = ""), "", IF(F884 = "Vara", IFERROR(_xlfn.SINGLE(_xlfn.XLOOKUP(G884, Vöruskrá!A:A, Vöruskrá!E:E, "")), ""), IF(F884 = "Réttur", IFERROR(_xlfn.SINGLE(_xlfn.XLOOKUP(G884, Réttabanki!A:A, Réttabanki!AS:AS, "")), ""), "")))</f>
        <v/>
      </c>
      <c r="M884" s="26" t="str">
        <f>IF(OR(F884 = "", G884 = ""), "", IF(F884 = "Vara", IFERROR(_xlfn.SINGLE(_xlfn.XLOOKUP(G884, Vöruskrá!A:A, Vöruskrá!F:F, "")), ""), IF(F884 = "Réttur", IFERROR(_xlfn.SINGLE(_xlfn.XLOOKUP(G884, Réttabanki!A:A, Réttabanki!AT:AT, "")), ""), "")))</f>
        <v/>
      </c>
      <c r="N884" s="26" t="str">
        <f>IF(OR(F884 = "", G884 = ""), "", IF(F884 = "Vara", IFERROR(_xlfn.SINGLE(_xlfn.XLOOKUP(G884, Vöruskrá!A:A, Vöruskrá!G:G, "")), ""), IF(F884 = "Réttur", IFERROR(_xlfn.SINGLE(_xlfn.XLOOKUP(G884, Réttabanki!A:A, Réttabanki!AU:AU, "")), ""), "")))</f>
        <v/>
      </c>
      <c r="O884" s="26" t="str">
        <f>IF(OR(F884 = "", G884 = "", I884 = ""), "", IF(F884 = "Vara", IFERROR(_xlfn.SINGLE(_xlfn.XLOOKUP(G884, Vöruskrá!A:A, Vöruskrá!I:I, "")) * I884 / 100, ""), IF(F884 = "Réttur", IFERROR(_xlfn.SINGLE(_xlfn.XLOOKUP(G884, Réttabanki!A:A, Réttabanki!AV:AV, "")) * I884 / 100, ""), "")))</f>
        <v/>
      </c>
      <c r="P884" s="26" t="str">
        <f>IF(OR(F884 = "", G884 = "", I884 = ""), "", IF(F884 = "Vara", IFERROR(_xlfn.SINGLE(_xlfn.XLOOKUP(G884, Vöruskrá!A:A, Vöruskrá!J:J, "")) * I884 / 100, ""), IF(F884 = "Réttur", IFERROR(_xlfn.SINGLE(_xlfn.XLOOKUP(G884, Réttabanki!A:A, Réttabanki!AW:AW, "")) * I884 / 100, ""), "")))</f>
        <v/>
      </c>
      <c r="Q884" s="26" t="str">
        <f>IF(OR(F884 = "", G884 = "", I884 = ""), "", IF(F884 = "Vara", IFERROR(_xlfn.SINGLE(_xlfn.XLOOKUP(G884, Vöruskrá!A:A, Vöruskrá!N:N, "")) * I884 / 100, ""), IF(F884 = "Réttur", IFERROR(_xlfn.SINGLE(_xlfn.XLOOKUP(G884, Réttabanki!A:A, Réttabanki!BB:BB, "")) * I884 / 100, ""), "")))</f>
        <v/>
      </c>
    </row>
    <row r="885" spans="2:17">
      <c r="B885" s="33" t="str">
        <f>IF(A885&lt;&gt;"",CHOOSE(WEEKDAY(A885,2),"Mánudagur","Þriðjudagur","Miðvikudagur","Fimmtudagur","Föstudagur","Laugardagur","Sunnudagur"),IF(B884&lt;&gt;"",B884,""))</f>
        <v>Fimmtudagur</v>
      </c>
      <c r="C885" s="33">
        <f>IF(A885&lt;&gt;"",WEEKNUM(A885,21),IF(C884&lt;&gt;"",C884,""))</f>
        <v>27</v>
      </c>
      <c r="D885" s="34"/>
      <c r="E885" s="34"/>
      <c r="F885" s="34"/>
      <c r="G885" s="34"/>
      <c r="H885" s="34"/>
      <c r="I885" s="35"/>
      <c r="J885" s="35"/>
      <c r="K885" s="36"/>
      <c r="L885" s="26" t="str">
        <f>IF(OR(F885 = "", G885 = ""), "", IF(F885 = "Vara", IFERROR(_xlfn.SINGLE(_xlfn.XLOOKUP(G885, Vöruskrá!A:A, Vöruskrá!E:E, "")), ""), IF(F885 = "Réttur", IFERROR(_xlfn.SINGLE(_xlfn.XLOOKUP(G885, Réttabanki!A:A, Réttabanki!AS:AS, "")), ""), "")))</f>
        <v/>
      </c>
      <c r="M885" s="26" t="str">
        <f>IF(OR(F885 = "", G885 = ""), "", IF(F885 = "Vara", IFERROR(_xlfn.SINGLE(_xlfn.XLOOKUP(G885, Vöruskrá!A:A, Vöruskrá!F:F, "")), ""), IF(F885 = "Réttur", IFERROR(_xlfn.SINGLE(_xlfn.XLOOKUP(G885, Réttabanki!A:A, Réttabanki!AT:AT, "")), ""), "")))</f>
        <v/>
      </c>
      <c r="N885" s="26" t="str">
        <f>IF(OR(F885 = "", G885 = ""), "", IF(F885 = "Vara", IFERROR(_xlfn.SINGLE(_xlfn.XLOOKUP(G885, Vöruskrá!A:A, Vöruskrá!G:G, "")), ""), IF(F885 = "Réttur", IFERROR(_xlfn.SINGLE(_xlfn.XLOOKUP(G885, Réttabanki!A:A, Réttabanki!AU:AU, "")), ""), "")))</f>
        <v/>
      </c>
      <c r="O885" s="26" t="str">
        <f>IF(OR(F885 = "", G885 = "", I885 = ""), "", IF(F885 = "Vara", IFERROR(_xlfn.SINGLE(_xlfn.XLOOKUP(G885, Vöruskrá!A:A, Vöruskrá!I:I, "")) * I885 / 100, ""), IF(F885 = "Réttur", IFERROR(_xlfn.SINGLE(_xlfn.XLOOKUP(G885, Réttabanki!A:A, Réttabanki!AV:AV, "")) * I885 / 100, ""), "")))</f>
        <v/>
      </c>
      <c r="P885" s="26" t="str">
        <f>IF(OR(F885 = "", G885 = "", I885 = ""), "", IF(F885 = "Vara", IFERROR(_xlfn.SINGLE(_xlfn.XLOOKUP(G885, Vöruskrá!A:A, Vöruskrá!J:J, "")) * I885 / 100, ""), IF(F885 = "Réttur", IFERROR(_xlfn.SINGLE(_xlfn.XLOOKUP(G885, Réttabanki!A:A, Réttabanki!AW:AW, "")) * I885 / 100, ""), "")))</f>
        <v/>
      </c>
      <c r="Q885" s="26" t="str">
        <f>IF(OR(F885 = "", G885 = "", I885 = ""), "", IF(F885 = "Vara", IFERROR(_xlfn.SINGLE(_xlfn.XLOOKUP(G885, Vöruskrá!A:A, Vöruskrá!N:N, "")) * I885 / 100, ""), IF(F885 = "Réttur", IFERROR(_xlfn.SINGLE(_xlfn.XLOOKUP(G885, Réttabanki!A:A, Réttabanki!BB:BB, "")) * I885 / 100, ""), "")))</f>
        <v/>
      </c>
    </row>
    <row r="886" spans="2:17">
      <c r="B886" s="33" t="str">
        <f>IF(A886&lt;&gt;"",CHOOSE(WEEKDAY(A886,2),"Mánudagur","Þriðjudagur","Miðvikudagur","Fimmtudagur","Föstudagur","Laugardagur","Sunnudagur"),IF(B885&lt;&gt;"",B885,""))</f>
        <v>Fimmtudagur</v>
      </c>
      <c r="C886" s="33">
        <f>IF(A886&lt;&gt;"",WEEKNUM(A886,21),IF(C885&lt;&gt;"",C885,""))</f>
        <v>27</v>
      </c>
      <c r="D886" s="34"/>
      <c r="E886" s="34"/>
      <c r="F886" s="34"/>
      <c r="G886" s="34"/>
      <c r="H886" s="34"/>
      <c r="I886" s="35"/>
      <c r="J886" s="35"/>
      <c r="K886" s="36"/>
      <c r="L886" s="26" t="str">
        <f>IF(OR(F886 = "", G886 = ""), "", IF(F886 = "Vara", IFERROR(_xlfn.SINGLE(_xlfn.XLOOKUP(G886, Vöruskrá!A:A, Vöruskrá!E:E, "")), ""), IF(F886 = "Réttur", IFERROR(_xlfn.SINGLE(_xlfn.XLOOKUP(G886, Réttabanki!A:A, Réttabanki!AS:AS, "")), ""), "")))</f>
        <v/>
      </c>
      <c r="M886" s="26" t="str">
        <f>IF(OR(F886 = "", G886 = ""), "", IF(F886 = "Vara", IFERROR(_xlfn.SINGLE(_xlfn.XLOOKUP(G886, Vöruskrá!A:A, Vöruskrá!F:F, "")), ""), IF(F886 = "Réttur", IFERROR(_xlfn.SINGLE(_xlfn.XLOOKUP(G886, Réttabanki!A:A, Réttabanki!AT:AT, "")), ""), "")))</f>
        <v/>
      </c>
      <c r="N886" s="26" t="str">
        <f>IF(OR(F886 = "", G886 = ""), "", IF(F886 = "Vara", IFERROR(_xlfn.SINGLE(_xlfn.XLOOKUP(G886, Vöruskrá!A:A, Vöruskrá!G:G, "")), ""), IF(F886 = "Réttur", IFERROR(_xlfn.SINGLE(_xlfn.XLOOKUP(G886, Réttabanki!A:A, Réttabanki!AU:AU, "")), ""), "")))</f>
        <v/>
      </c>
      <c r="O886" s="26" t="str">
        <f>IF(OR(F886 = "", G886 = "", I886 = ""), "", IF(F886 = "Vara", IFERROR(_xlfn.SINGLE(_xlfn.XLOOKUP(G886, Vöruskrá!A:A, Vöruskrá!I:I, "")) * I886 / 100, ""), IF(F886 = "Réttur", IFERROR(_xlfn.SINGLE(_xlfn.XLOOKUP(G886, Réttabanki!A:A, Réttabanki!AV:AV, "")) * I886 / 100, ""), "")))</f>
        <v/>
      </c>
      <c r="P886" s="26" t="str">
        <f>IF(OR(F886 = "", G886 = "", I886 = ""), "", IF(F886 = "Vara", IFERROR(_xlfn.SINGLE(_xlfn.XLOOKUP(G886, Vöruskrá!A:A, Vöruskrá!J:J, "")) * I886 / 100, ""), IF(F886 = "Réttur", IFERROR(_xlfn.SINGLE(_xlfn.XLOOKUP(G886, Réttabanki!A:A, Réttabanki!AW:AW, "")) * I886 / 100, ""), "")))</f>
        <v/>
      </c>
      <c r="Q886" s="26" t="str">
        <f>IF(OR(F886 = "", G886 = "", I886 = ""), "", IF(F886 = "Vara", IFERROR(_xlfn.SINGLE(_xlfn.XLOOKUP(G886, Vöruskrá!A:A, Vöruskrá!N:N, "")) * I886 / 100, ""), IF(F886 = "Réttur", IFERROR(_xlfn.SINGLE(_xlfn.XLOOKUP(G886, Réttabanki!A:A, Réttabanki!BB:BB, "")) * I886 / 100, ""), "")))</f>
        <v/>
      </c>
    </row>
    <row r="887" spans="2:17">
      <c r="B887" s="33" t="str">
        <f>IF(A887&lt;&gt;"",CHOOSE(WEEKDAY(A887,2),"Mánudagur","Þriðjudagur","Miðvikudagur","Fimmtudagur","Föstudagur","Laugardagur","Sunnudagur"),IF(B886&lt;&gt;"",B886,""))</f>
        <v>Fimmtudagur</v>
      </c>
      <c r="C887" s="33">
        <f>IF(A887&lt;&gt;"",WEEKNUM(A887,21),IF(C886&lt;&gt;"",C886,""))</f>
        <v>27</v>
      </c>
      <c r="D887" s="34"/>
      <c r="E887" s="34"/>
      <c r="F887" s="34"/>
      <c r="G887" s="34"/>
      <c r="H887" s="34"/>
      <c r="I887" s="35"/>
      <c r="J887" s="35"/>
      <c r="K887" s="36"/>
      <c r="L887" s="26" t="str">
        <f>IF(OR(F887 = "", G887 = ""), "", IF(F887 = "Vara", IFERROR(_xlfn.SINGLE(_xlfn.XLOOKUP(G887, Vöruskrá!A:A, Vöruskrá!E:E, "")), ""), IF(F887 = "Réttur", IFERROR(_xlfn.SINGLE(_xlfn.XLOOKUP(G887, Réttabanki!A:A, Réttabanki!AS:AS, "")), ""), "")))</f>
        <v/>
      </c>
      <c r="M887" s="26" t="str">
        <f>IF(OR(F887 = "", G887 = ""), "", IF(F887 = "Vara", IFERROR(_xlfn.SINGLE(_xlfn.XLOOKUP(G887, Vöruskrá!A:A, Vöruskrá!F:F, "")), ""), IF(F887 = "Réttur", IFERROR(_xlfn.SINGLE(_xlfn.XLOOKUP(G887, Réttabanki!A:A, Réttabanki!AT:AT, "")), ""), "")))</f>
        <v/>
      </c>
      <c r="N887" s="26" t="str">
        <f>IF(OR(F887 = "", G887 = ""), "", IF(F887 = "Vara", IFERROR(_xlfn.SINGLE(_xlfn.XLOOKUP(G887, Vöruskrá!A:A, Vöruskrá!G:G, "")), ""), IF(F887 = "Réttur", IFERROR(_xlfn.SINGLE(_xlfn.XLOOKUP(G887, Réttabanki!A:A, Réttabanki!AU:AU, "")), ""), "")))</f>
        <v/>
      </c>
      <c r="O887" s="26" t="str">
        <f>IF(OR(F887 = "", G887 = "", I887 = ""), "", IF(F887 = "Vara", IFERROR(_xlfn.SINGLE(_xlfn.XLOOKUP(G887, Vöruskrá!A:A, Vöruskrá!I:I, "")) * I887 / 100, ""), IF(F887 = "Réttur", IFERROR(_xlfn.SINGLE(_xlfn.XLOOKUP(G887, Réttabanki!A:A, Réttabanki!AV:AV, "")) * I887 / 100, ""), "")))</f>
        <v/>
      </c>
      <c r="P887" s="26" t="str">
        <f>IF(OR(F887 = "", G887 = "", I887 = ""), "", IF(F887 = "Vara", IFERROR(_xlfn.SINGLE(_xlfn.XLOOKUP(G887, Vöruskrá!A:A, Vöruskrá!J:J, "")) * I887 / 100, ""), IF(F887 = "Réttur", IFERROR(_xlfn.SINGLE(_xlfn.XLOOKUP(G887, Réttabanki!A:A, Réttabanki!AW:AW, "")) * I887 / 100, ""), "")))</f>
        <v/>
      </c>
      <c r="Q887" s="26" t="str">
        <f>IF(OR(F887 = "", G887 = "", I887 = ""), "", IF(F887 = "Vara", IFERROR(_xlfn.SINGLE(_xlfn.XLOOKUP(G887, Vöruskrá!A:A, Vöruskrá!N:N, "")) * I887 / 100, ""), IF(F887 = "Réttur", IFERROR(_xlfn.SINGLE(_xlfn.XLOOKUP(G887, Réttabanki!A:A, Réttabanki!BB:BB, "")) * I887 / 100, ""), "")))</f>
        <v/>
      </c>
    </row>
    <row r="888" spans="2:17">
      <c r="B888" s="33" t="str">
        <f>IF(A888&lt;&gt;"",CHOOSE(WEEKDAY(A888,2),"Mánudagur","Þriðjudagur","Miðvikudagur","Fimmtudagur","Föstudagur","Laugardagur","Sunnudagur"),IF(B887&lt;&gt;"",B887,""))</f>
        <v>Fimmtudagur</v>
      </c>
      <c r="C888" s="33">
        <f>IF(A888&lt;&gt;"",WEEKNUM(A888,21),IF(C887&lt;&gt;"",C887,""))</f>
        <v>27</v>
      </c>
      <c r="D888" s="34"/>
      <c r="E888" s="34"/>
      <c r="F888" s="34"/>
      <c r="G888" s="34"/>
      <c r="H888" s="34"/>
      <c r="I888" s="35"/>
      <c r="J888" s="35"/>
      <c r="K888" s="36"/>
      <c r="L888" s="26" t="str">
        <f>IF(OR(F888 = "", G888 = ""), "", IF(F888 = "Vara", IFERROR(_xlfn.SINGLE(_xlfn.XLOOKUP(G888, Vöruskrá!A:A, Vöruskrá!E:E, "")), ""), IF(F888 = "Réttur", IFERROR(_xlfn.SINGLE(_xlfn.XLOOKUP(G888, Réttabanki!A:A, Réttabanki!AS:AS, "")), ""), "")))</f>
        <v/>
      </c>
      <c r="M888" s="26" t="str">
        <f>IF(OR(F888 = "", G888 = ""), "", IF(F888 = "Vara", IFERROR(_xlfn.SINGLE(_xlfn.XLOOKUP(G888, Vöruskrá!A:A, Vöruskrá!F:F, "")), ""), IF(F888 = "Réttur", IFERROR(_xlfn.SINGLE(_xlfn.XLOOKUP(G888, Réttabanki!A:A, Réttabanki!AT:AT, "")), ""), "")))</f>
        <v/>
      </c>
      <c r="N888" s="26" t="str">
        <f>IF(OR(F888 = "", G888 = ""), "", IF(F888 = "Vara", IFERROR(_xlfn.SINGLE(_xlfn.XLOOKUP(G888, Vöruskrá!A:A, Vöruskrá!G:G, "")), ""), IF(F888 = "Réttur", IFERROR(_xlfn.SINGLE(_xlfn.XLOOKUP(G888, Réttabanki!A:A, Réttabanki!AU:AU, "")), ""), "")))</f>
        <v/>
      </c>
      <c r="O888" s="26" t="str">
        <f>IF(OR(F888 = "", G888 = "", I888 = ""), "", IF(F888 = "Vara", IFERROR(_xlfn.SINGLE(_xlfn.XLOOKUP(G888, Vöruskrá!A:A, Vöruskrá!I:I, "")) * I888 / 100, ""), IF(F888 = "Réttur", IFERROR(_xlfn.SINGLE(_xlfn.XLOOKUP(G888, Réttabanki!A:A, Réttabanki!AV:AV, "")) * I888 / 100, ""), "")))</f>
        <v/>
      </c>
      <c r="P888" s="26" t="str">
        <f>IF(OR(F888 = "", G888 = "", I888 = ""), "", IF(F888 = "Vara", IFERROR(_xlfn.SINGLE(_xlfn.XLOOKUP(G888, Vöruskrá!A:A, Vöruskrá!J:J, "")) * I888 / 100, ""), IF(F888 = "Réttur", IFERROR(_xlfn.SINGLE(_xlfn.XLOOKUP(G888, Réttabanki!A:A, Réttabanki!AW:AW, "")) * I888 / 100, ""), "")))</f>
        <v/>
      </c>
      <c r="Q888" s="26" t="str">
        <f>IF(OR(F888 = "", G888 = "", I888 = ""), "", IF(F888 = "Vara", IFERROR(_xlfn.SINGLE(_xlfn.XLOOKUP(G888, Vöruskrá!A:A, Vöruskrá!N:N, "")) * I888 / 100, ""), IF(F888 = "Réttur", IFERROR(_xlfn.SINGLE(_xlfn.XLOOKUP(G888, Réttabanki!A:A, Réttabanki!BB:BB, "")) * I888 / 100, ""), "")))</f>
        <v/>
      </c>
    </row>
    <row r="889" spans="2:17">
      <c r="B889" s="33" t="str">
        <f>IF(A889&lt;&gt;"",CHOOSE(WEEKDAY(A889,2),"Mánudagur","Þriðjudagur","Miðvikudagur","Fimmtudagur","Föstudagur","Laugardagur","Sunnudagur"),IF(B888&lt;&gt;"",B888,""))</f>
        <v>Fimmtudagur</v>
      </c>
      <c r="C889" s="33">
        <f>IF(A889&lt;&gt;"",WEEKNUM(A889,21),IF(C888&lt;&gt;"",C888,""))</f>
        <v>27</v>
      </c>
      <c r="D889" s="34"/>
      <c r="E889" s="34"/>
      <c r="F889" s="34"/>
      <c r="G889" s="34"/>
      <c r="H889" s="34"/>
      <c r="I889" s="35"/>
      <c r="J889" s="35"/>
      <c r="K889" s="36"/>
      <c r="L889" s="26" t="str">
        <f>IF(OR(F889 = "", G889 = ""), "", IF(F889 = "Vara", IFERROR(_xlfn.SINGLE(_xlfn.XLOOKUP(G889, Vöruskrá!A:A, Vöruskrá!E:E, "")), ""), IF(F889 = "Réttur", IFERROR(_xlfn.SINGLE(_xlfn.XLOOKUP(G889, Réttabanki!A:A, Réttabanki!AS:AS, "")), ""), "")))</f>
        <v/>
      </c>
      <c r="M889" s="26" t="str">
        <f>IF(OR(F889 = "", G889 = ""), "", IF(F889 = "Vara", IFERROR(_xlfn.SINGLE(_xlfn.XLOOKUP(G889, Vöruskrá!A:A, Vöruskrá!F:F, "")), ""), IF(F889 = "Réttur", IFERROR(_xlfn.SINGLE(_xlfn.XLOOKUP(G889, Réttabanki!A:A, Réttabanki!AT:AT, "")), ""), "")))</f>
        <v/>
      </c>
      <c r="N889" s="26" t="str">
        <f>IF(OR(F889 = "", G889 = ""), "", IF(F889 = "Vara", IFERROR(_xlfn.SINGLE(_xlfn.XLOOKUP(G889, Vöruskrá!A:A, Vöruskrá!G:G, "")), ""), IF(F889 = "Réttur", IFERROR(_xlfn.SINGLE(_xlfn.XLOOKUP(G889, Réttabanki!A:A, Réttabanki!AU:AU, "")), ""), "")))</f>
        <v/>
      </c>
      <c r="O889" s="26" t="str">
        <f>IF(OR(F889 = "", G889 = "", I889 = ""), "", IF(F889 = "Vara", IFERROR(_xlfn.SINGLE(_xlfn.XLOOKUP(G889, Vöruskrá!A:A, Vöruskrá!I:I, "")) * I889 / 100, ""), IF(F889 = "Réttur", IFERROR(_xlfn.SINGLE(_xlfn.XLOOKUP(G889, Réttabanki!A:A, Réttabanki!AV:AV, "")) * I889 / 100, ""), "")))</f>
        <v/>
      </c>
      <c r="P889" s="26" t="str">
        <f>IF(OR(F889 = "", G889 = "", I889 = ""), "", IF(F889 = "Vara", IFERROR(_xlfn.SINGLE(_xlfn.XLOOKUP(G889, Vöruskrá!A:A, Vöruskrá!J:J, "")) * I889 / 100, ""), IF(F889 = "Réttur", IFERROR(_xlfn.SINGLE(_xlfn.XLOOKUP(G889, Réttabanki!A:A, Réttabanki!AW:AW, "")) * I889 / 100, ""), "")))</f>
        <v/>
      </c>
      <c r="Q889" s="26" t="str">
        <f>IF(OR(F889 = "", G889 = "", I889 = ""), "", IF(F889 = "Vara", IFERROR(_xlfn.SINGLE(_xlfn.XLOOKUP(G889, Vöruskrá!A:A, Vöruskrá!N:N, "")) * I889 / 100, ""), IF(F889 = "Réttur", IFERROR(_xlfn.SINGLE(_xlfn.XLOOKUP(G889, Réttabanki!A:A, Réttabanki!BB:BB, "")) * I889 / 100, ""), "")))</f>
        <v/>
      </c>
    </row>
    <row r="890" spans="2:17">
      <c r="B890" s="33" t="str">
        <f>IF(A890&lt;&gt;"",CHOOSE(WEEKDAY(A890,2),"Mánudagur","Þriðjudagur","Miðvikudagur","Fimmtudagur","Föstudagur","Laugardagur","Sunnudagur"),IF(B889&lt;&gt;"",B889,""))</f>
        <v>Fimmtudagur</v>
      </c>
      <c r="C890" s="33">
        <f>IF(A890&lt;&gt;"",WEEKNUM(A890,21),IF(C889&lt;&gt;"",C889,""))</f>
        <v>27</v>
      </c>
      <c r="D890" s="34"/>
      <c r="E890" s="34"/>
      <c r="F890" s="34"/>
      <c r="G890" s="34"/>
      <c r="H890" s="34"/>
      <c r="I890" s="35"/>
      <c r="J890" s="35"/>
      <c r="K890" s="36"/>
      <c r="L890" s="26" t="str">
        <f>IF(OR(F890 = "", G890 = ""), "", IF(F890 = "Vara", IFERROR(_xlfn.SINGLE(_xlfn.XLOOKUP(G890, Vöruskrá!A:A, Vöruskrá!E:E, "")), ""), IF(F890 = "Réttur", IFERROR(_xlfn.SINGLE(_xlfn.XLOOKUP(G890, Réttabanki!A:A, Réttabanki!AS:AS, "")), ""), "")))</f>
        <v/>
      </c>
      <c r="M890" s="26" t="str">
        <f>IF(OR(F890 = "", G890 = ""), "", IF(F890 = "Vara", IFERROR(_xlfn.SINGLE(_xlfn.XLOOKUP(G890, Vöruskrá!A:A, Vöruskrá!F:F, "")), ""), IF(F890 = "Réttur", IFERROR(_xlfn.SINGLE(_xlfn.XLOOKUP(G890, Réttabanki!A:A, Réttabanki!AT:AT, "")), ""), "")))</f>
        <v/>
      </c>
      <c r="N890" s="26" t="str">
        <f>IF(OR(F890 = "", G890 = ""), "", IF(F890 = "Vara", IFERROR(_xlfn.SINGLE(_xlfn.XLOOKUP(G890, Vöruskrá!A:A, Vöruskrá!G:G, "")), ""), IF(F890 = "Réttur", IFERROR(_xlfn.SINGLE(_xlfn.XLOOKUP(G890, Réttabanki!A:A, Réttabanki!AU:AU, "")), ""), "")))</f>
        <v/>
      </c>
      <c r="O890" s="26" t="str">
        <f>IF(OR(F890 = "", G890 = "", I890 = ""), "", IF(F890 = "Vara", IFERROR(_xlfn.SINGLE(_xlfn.XLOOKUP(G890, Vöruskrá!A:A, Vöruskrá!I:I, "")) * I890 / 100, ""), IF(F890 = "Réttur", IFERROR(_xlfn.SINGLE(_xlfn.XLOOKUP(G890, Réttabanki!A:A, Réttabanki!AV:AV, "")) * I890 / 100, ""), "")))</f>
        <v/>
      </c>
      <c r="P890" s="26" t="str">
        <f>IF(OR(F890 = "", G890 = "", I890 = ""), "", IF(F890 = "Vara", IFERROR(_xlfn.SINGLE(_xlfn.XLOOKUP(G890, Vöruskrá!A:A, Vöruskrá!J:J, "")) * I890 / 100, ""), IF(F890 = "Réttur", IFERROR(_xlfn.SINGLE(_xlfn.XLOOKUP(G890, Réttabanki!A:A, Réttabanki!AW:AW, "")) * I890 / 100, ""), "")))</f>
        <v/>
      </c>
      <c r="Q890" s="26" t="str">
        <f>IF(OR(F890 = "", G890 = "", I890 = ""), "", IF(F890 = "Vara", IFERROR(_xlfn.SINGLE(_xlfn.XLOOKUP(G890, Vöruskrá!A:A, Vöruskrá!N:N, "")) * I890 / 100, ""), IF(F890 = "Réttur", IFERROR(_xlfn.SINGLE(_xlfn.XLOOKUP(G890, Réttabanki!A:A, Réttabanki!BB:BB, "")) * I890 / 100, ""), "")))</f>
        <v/>
      </c>
    </row>
    <row r="891" spans="2:17">
      <c r="B891" s="33" t="str">
        <f>IF(A891&lt;&gt;"",CHOOSE(WEEKDAY(A891,2),"Mánudagur","Þriðjudagur","Miðvikudagur","Fimmtudagur","Föstudagur","Laugardagur","Sunnudagur"),IF(B890&lt;&gt;"",B890,""))</f>
        <v>Fimmtudagur</v>
      </c>
      <c r="C891" s="33">
        <f>IF(A891&lt;&gt;"",WEEKNUM(A891,21),IF(C890&lt;&gt;"",C890,""))</f>
        <v>27</v>
      </c>
      <c r="D891" s="34"/>
      <c r="E891" s="34"/>
      <c r="F891" s="34"/>
      <c r="G891" s="34"/>
      <c r="H891" s="34"/>
      <c r="I891" s="35"/>
      <c r="J891" s="35"/>
      <c r="K891" s="36"/>
      <c r="L891" s="26" t="str">
        <f>IF(OR(F891 = "", G891 = ""), "", IF(F891 = "Vara", IFERROR(_xlfn.SINGLE(_xlfn.XLOOKUP(G891, Vöruskrá!A:A, Vöruskrá!E:E, "")), ""), IF(F891 = "Réttur", IFERROR(_xlfn.SINGLE(_xlfn.XLOOKUP(G891, Réttabanki!A:A, Réttabanki!AS:AS, "")), ""), "")))</f>
        <v/>
      </c>
      <c r="M891" s="26" t="str">
        <f>IF(OR(F891 = "", G891 = ""), "", IF(F891 = "Vara", IFERROR(_xlfn.SINGLE(_xlfn.XLOOKUP(G891, Vöruskrá!A:A, Vöruskrá!F:F, "")), ""), IF(F891 = "Réttur", IFERROR(_xlfn.SINGLE(_xlfn.XLOOKUP(G891, Réttabanki!A:A, Réttabanki!AT:AT, "")), ""), "")))</f>
        <v/>
      </c>
      <c r="N891" s="26" t="str">
        <f>IF(OR(F891 = "", G891 = ""), "", IF(F891 = "Vara", IFERROR(_xlfn.SINGLE(_xlfn.XLOOKUP(G891, Vöruskrá!A:A, Vöruskrá!G:G, "")), ""), IF(F891 = "Réttur", IFERROR(_xlfn.SINGLE(_xlfn.XLOOKUP(G891, Réttabanki!A:A, Réttabanki!AU:AU, "")), ""), "")))</f>
        <v/>
      </c>
      <c r="O891" s="26" t="str">
        <f>IF(OR(F891 = "", G891 = "", I891 = ""), "", IF(F891 = "Vara", IFERROR(_xlfn.SINGLE(_xlfn.XLOOKUP(G891, Vöruskrá!A:A, Vöruskrá!I:I, "")) * I891 / 100, ""), IF(F891 = "Réttur", IFERROR(_xlfn.SINGLE(_xlfn.XLOOKUP(G891, Réttabanki!A:A, Réttabanki!AV:AV, "")) * I891 / 100, ""), "")))</f>
        <v/>
      </c>
      <c r="P891" s="26" t="str">
        <f>IF(OR(F891 = "", G891 = "", I891 = ""), "", IF(F891 = "Vara", IFERROR(_xlfn.SINGLE(_xlfn.XLOOKUP(G891, Vöruskrá!A:A, Vöruskrá!J:J, "")) * I891 / 100, ""), IF(F891 = "Réttur", IFERROR(_xlfn.SINGLE(_xlfn.XLOOKUP(G891, Réttabanki!A:A, Réttabanki!AW:AW, "")) * I891 / 100, ""), "")))</f>
        <v/>
      </c>
      <c r="Q891" s="26" t="str">
        <f>IF(OR(F891 = "", G891 = "", I891 = ""), "", IF(F891 = "Vara", IFERROR(_xlfn.SINGLE(_xlfn.XLOOKUP(G891, Vöruskrá!A:A, Vöruskrá!N:N, "")) * I891 / 100, ""), IF(F891 = "Réttur", IFERROR(_xlfn.SINGLE(_xlfn.XLOOKUP(G891, Réttabanki!A:A, Réttabanki!BB:BB, "")) * I891 / 100, ""), "")))</f>
        <v/>
      </c>
    </row>
    <row r="892" spans="2:17">
      <c r="B892" s="33" t="str">
        <f>IF(A892&lt;&gt;"",CHOOSE(WEEKDAY(A892,2),"Mánudagur","Þriðjudagur","Miðvikudagur","Fimmtudagur","Föstudagur","Laugardagur","Sunnudagur"),IF(B891&lt;&gt;"",B891,""))</f>
        <v>Fimmtudagur</v>
      </c>
      <c r="C892" s="33">
        <f>IF(A892&lt;&gt;"",WEEKNUM(A892,21),IF(C891&lt;&gt;"",C891,""))</f>
        <v>27</v>
      </c>
      <c r="D892" s="34"/>
      <c r="E892" s="34"/>
      <c r="F892" s="34"/>
      <c r="G892" s="34"/>
      <c r="H892" s="34"/>
      <c r="I892" s="35"/>
      <c r="J892" s="35"/>
      <c r="K892" s="36"/>
      <c r="L892" s="26" t="str">
        <f>IF(OR(F892 = "", G892 = ""), "", IF(F892 = "Vara", IFERROR(_xlfn.SINGLE(_xlfn.XLOOKUP(G892, Vöruskrá!A:A, Vöruskrá!E:E, "")), ""), IF(F892 = "Réttur", IFERROR(_xlfn.SINGLE(_xlfn.XLOOKUP(G892, Réttabanki!A:A, Réttabanki!AS:AS, "")), ""), "")))</f>
        <v/>
      </c>
      <c r="M892" s="26" t="str">
        <f>IF(OR(F892 = "", G892 = ""), "", IF(F892 = "Vara", IFERROR(_xlfn.SINGLE(_xlfn.XLOOKUP(G892, Vöruskrá!A:A, Vöruskrá!F:F, "")), ""), IF(F892 = "Réttur", IFERROR(_xlfn.SINGLE(_xlfn.XLOOKUP(G892, Réttabanki!A:A, Réttabanki!AT:AT, "")), ""), "")))</f>
        <v/>
      </c>
      <c r="N892" s="26" t="str">
        <f>IF(OR(F892 = "", G892 = ""), "", IF(F892 = "Vara", IFERROR(_xlfn.SINGLE(_xlfn.XLOOKUP(G892, Vöruskrá!A:A, Vöruskrá!G:G, "")), ""), IF(F892 = "Réttur", IFERROR(_xlfn.SINGLE(_xlfn.XLOOKUP(G892, Réttabanki!A:A, Réttabanki!AU:AU, "")), ""), "")))</f>
        <v/>
      </c>
      <c r="O892" s="26" t="str">
        <f>IF(OR(F892 = "", G892 = "", I892 = ""), "", IF(F892 = "Vara", IFERROR(_xlfn.SINGLE(_xlfn.XLOOKUP(G892, Vöruskrá!A:A, Vöruskrá!I:I, "")) * I892 / 100, ""), IF(F892 = "Réttur", IFERROR(_xlfn.SINGLE(_xlfn.XLOOKUP(G892, Réttabanki!A:A, Réttabanki!AV:AV, "")) * I892 / 100, ""), "")))</f>
        <v/>
      </c>
      <c r="P892" s="26" t="str">
        <f>IF(OR(F892 = "", G892 = "", I892 = ""), "", IF(F892 = "Vara", IFERROR(_xlfn.SINGLE(_xlfn.XLOOKUP(G892, Vöruskrá!A:A, Vöruskrá!J:J, "")) * I892 / 100, ""), IF(F892 = "Réttur", IFERROR(_xlfn.SINGLE(_xlfn.XLOOKUP(G892, Réttabanki!A:A, Réttabanki!AW:AW, "")) * I892 / 100, ""), "")))</f>
        <v/>
      </c>
      <c r="Q892" s="26" t="str">
        <f>IF(OR(F892 = "", G892 = "", I892 = ""), "", IF(F892 = "Vara", IFERROR(_xlfn.SINGLE(_xlfn.XLOOKUP(G892, Vöruskrá!A:A, Vöruskrá!N:N, "")) * I892 / 100, ""), IF(F892 = "Réttur", IFERROR(_xlfn.SINGLE(_xlfn.XLOOKUP(G892, Réttabanki!A:A, Réttabanki!BB:BB, "")) * I892 / 100, ""), "")))</f>
        <v/>
      </c>
    </row>
    <row r="893" spans="2:17">
      <c r="B893" s="33" t="str">
        <f>IF(A893&lt;&gt;"",CHOOSE(WEEKDAY(A893,2),"Mánudagur","Þriðjudagur","Miðvikudagur","Fimmtudagur","Föstudagur","Laugardagur","Sunnudagur"),IF(B892&lt;&gt;"",B892,""))</f>
        <v>Fimmtudagur</v>
      </c>
      <c r="C893" s="33">
        <f>IF(A893&lt;&gt;"",WEEKNUM(A893,21),IF(C892&lt;&gt;"",C892,""))</f>
        <v>27</v>
      </c>
      <c r="D893" s="34"/>
      <c r="E893" s="34"/>
      <c r="F893" s="34"/>
      <c r="G893" s="34"/>
      <c r="H893" s="34"/>
      <c r="I893" s="35"/>
      <c r="J893" s="35"/>
      <c r="K893" s="36"/>
      <c r="L893" s="26" t="str">
        <f>IF(OR(F893 = "", G893 = ""), "", IF(F893 = "Vara", IFERROR(_xlfn.SINGLE(_xlfn.XLOOKUP(G893, Vöruskrá!A:A, Vöruskrá!E:E, "")), ""), IF(F893 = "Réttur", IFERROR(_xlfn.SINGLE(_xlfn.XLOOKUP(G893, Réttabanki!A:A, Réttabanki!AS:AS, "")), ""), "")))</f>
        <v/>
      </c>
      <c r="M893" s="26" t="str">
        <f>IF(OR(F893 = "", G893 = ""), "", IF(F893 = "Vara", IFERROR(_xlfn.SINGLE(_xlfn.XLOOKUP(G893, Vöruskrá!A:A, Vöruskrá!F:F, "")), ""), IF(F893 = "Réttur", IFERROR(_xlfn.SINGLE(_xlfn.XLOOKUP(G893, Réttabanki!A:A, Réttabanki!AT:AT, "")), ""), "")))</f>
        <v/>
      </c>
      <c r="N893" s="26" t="str">
        <f>IF(OR(F893 = "", G893 = ""), "", IF(F893 = "Vara", IFERROR(_xlfn.SINGLE(_xlfn.XLOOKUP(G893, Vöruskrá!A:A, Vöruskrá!G:G, "")), ""), IF(F893 = "Réttur", IFERROR(_xlfn.SINGLE(_xlfn.XLOOKUP(G893, Réttabanki!A:A, Réttabanki!AU:AU, "")), ""), "")))</f>
        <v/>
      </c>
      <c r="O893" s="26" t="str">
        <f>IF(OR(F893 = "", G893 = "", I893 = ""), "", IF(F893 = "Vara", IFERROR(_xlfn.SINGLE(_xlfn.XLOOKUP(G893, Vöruskrá!A:A, Vöruskrá!I:I, "")) * I893 / 100, ""), IF(F893 = "Réttur", IFERROR(_xlfn.SINGLE(_xlfn.XLOOKUP(G893, Réttabanki!A:A, Réttabanki!AV:AV, "")) * I893 / 100, ""), "")))</f>
        <v/>
      </c>
      <c r="P893" s="26" t="str">
        <f>IF(OR(F893 = "", G893 = "", I893 = ""), "", IF(F893 = "Vara", IFERROR(_xlfn.SINGLE(_xlfn.XLOOKUP(G893, Vöruskrá!A:A, Vöruskrá!J:J, "")) * I893 / 100, ""), IF(F893 = "Réttur", IFERROR(_xlfn.SINGLE(_xlfn.XLOOKUP(G893, Réttabanki!A:A, Réttabanki!AW:AW, "")) * I893 / 100, ""), "")))</f>
        <v/>
      </c>
      <c r="Q893" s="26" t="str">
        <f>IF(OR(F893 = "", G893 = "", I893 = ""), "", IF(F893 = "Vara", IFERROR(_xlfn.SINGLE(_xlfn.XLOOKUP(G893, Vöruskrá!A:A, Vöruskrá!N:N, "")) * I893 / 100, ""), IF(F893 = "Réttur", IFERROR(_xlfn.SINGLE(_xlfn.XLOOKUP(G893, Réttabanki!A:A, Réttabanki!BB:BB, "")) * I893 / 100, ""), "")))</f>
        <v/>
      </c>
    </row>
    <row r="894" spans="2:17">
      <c r="B894" s="33" t="str">
        <f>IF(A894&lt;&gt;"",CHOOSE(WEEKDAY(A894,2),"Mánudagur","Þriðjudagur","Miðvikudagur","Fimmtudagur","Föstudagur","Laugardagur","Sunnudagur"),IF(B893&lt;&gt;"",B893,""))</f>
        <v>Fimmtudagur</v>
      </c>
      <c r="C894" s="33">
        <f>IF(A894&lt;&gt;"",WEEKNUM(A894,21),IF(C893&lt;&gt;"",C893,""))</f>
        <v>27</v>
      </c>
      <c r="D894" s="34"/>
      <c r="E894" s="34"/>
      <c r="F894" s="34"/>
      <c r="G894" s="34"/>
      <c r="H894" s="34"/>
      <c r="I894" s="35"/>
      <c r="J894" s="35"/>
      <c r="K894" s="36"/>
      <c r="L894" s="26" t="str">
        <f>IF(OR(F894 = "", G894 = ""), "", IF(F894 = "Vara", IFERROR(_xlfn.SINGLE(_xlfn.XLOOKUP(G894, Vöruskrá!A:A, Vöruskrá!E:E, "")), ""), IF(F894 = "Réttur", IFERROR(_xlfn.SINGLE(_xlfn.XLOOKUP(G894, Réttabanki!A:A, Réttabanki!AS:AS, "")), ""), "")))</f>
        <v/>
      </c>
      <c r="M894" s="26" t="str">
        <f>IF(OR(F894 = "", G894 = ""), "", IF(F894 = "Vara", IFERROR(_xlfn.SINGLE(_xlfn.XLOOKUP(G894, Vöruskrá!A:A, Vöruskrá!F:F, "")), ""), IF(F894 = "Réttur", IFERROR(_xlfn.SINGLE(_xlfn.XLOOKUP(G894, Réttabanki!A:A, Réttabanki!AT:AT, "")), ""), "")))</f>
        <v/>
      </c>
      <c r="N894" s="26" t="str">
        <f>IF(OR(F894 = "", G894 = ""), "", IF(F894 = "Vara", IFERROR(_xlfn.SINGLE(_xlfn.XLOOKUP(G894, Vöruskrá!A:A, Vöruskrá!G:G, "")), ""), IF(F894 = "Réttur", IFERROR(_xlfn.SINGLE(_xlfn.XLOOKUP(G894, Réttabanki!A:A, Réttabanki!AU:AU, "")), ""), "")))</f>
        <v/>
      </c>
      <c r="O894" s="26" t="str">
        <f>IF(OR(F894 = "", G894 = "", I894 = ""), "", IF(F894 = "Vara", IFERROR(_xlfn.SINGLE(_xlfn.XLOOKUP(G894, Vöruskrá!A:A, Vöruskrá!I:I, "")) * I894 / 100, ""), IF(F894 = "Réttur", IFERROR(_xlfn.SINGLE(_xlfn.XLOOKUP(G894, Réttabanki!A:A, Réttabanki!AV:AV, "")) * I894 / 100, ""), "")))</f>
        <v/>
      </c>
      <c r="P894" s="26" t="str">
        <f>IF(OR(F894 = "", G894 = "", I894 = ""), "", IF(F894 = "Vara", IFERROR(_xlfn.SINGLE(_xlfn.XLOOKUP(G894, Vöruskrá!A:A, Vöruskrá!J:J, "")) * I894 / 100, ""), IF(F894 = "Réttur", IFERROR(_xlfn.SINGLE(_xlfn.XLOOKUP(G894, Réttabanki!A:A, Réttabanki!AW:AW, "")) * I894 / 100, ""), "")))</f>
        <v/>
      </c>
      <c r="Q894" s="26" t="str">
        <f>IF(OR(F894 = "", G894 = "", I894 = ""), "", IF(F894 = "Vara", IFERROR(_xlfn.SINGLE(_xlfn.XLOOKUP(G894, Vöruskrá!A:A, Vöruskrá!N:N, "")) * I894 / 100, ""), IF(F894 = "Réttur", IFERROR(_xlfn.SINGLE(_xlfn.XLOOKUP(G894, Réttabanki!A:A, Réttabanki!BB:BB, "")) * I894 / 100, ""), "")))</f>
        <v/>
      </c>
    </row>
    <row r="895" spans="2:17">
      <c r="B895" s="33" t="str">
        <f>IF(A895&lt;&gt;"",CHOOSE(WEEKDAY(A895,2),"Mánudagur","Þriðjudagur","Miðvikudagur","Fimmtudagur","Föstudagur","Laugardagur","Sunnudagur"),IF(B894&lt;&gt;"",B894,""))</f>
        <v>Fimmtudagur</v>
      </c>
      <c r="C895" s="33">
        <f>IF(A895&lt;&gt;"",WEEKNUM(A895,21),IF(C894&lt;&gt;"",C894,""))</f>
        <v>27</v>
      </c>
      <c r="D895" s="34"/>
      <c r="E895" s="34"/>
      <c r="F895" s="34"/>
      <c r="G895" s="34"/>
      <c r="H895" s="34"/>
      <c r="I895" s="35"/>
      <c r="J895" s="35"/>
      <c r="K895" s="36"/>
      <c r="L895" s="26" t="str">
        <f>IF(OR(F895 = "", G895 = ""), "", IF(F895 = "Vara", IFERROR(_xlfn.SINGLE(_xlfn.XLOOKUP(G895, Vöruskrá!A:A, Vöruskrá!E:E, "")), ""), IF(F895 = "Réttur", IFERROR(_xlfn.SINGLE(_xlfn.XLOOKUP(G895, Réttabanki!A:A, Réttabanki!AS:AS, "")), ""), "")))</f>
        <v/>
      </c>
      <c r="M895" s="26" t="str">
        <f>IF(OR(F895 = "", G895 = ""), "", IF(F895 = "Vara", IFERROR(_xlfn.SINGLE(_xlfn.XLOOKUP(G895, Vöruskrá!A:A, Vöruskrá!F:F, "")), ""), IF(F895 = "Réttur", IFERROR(_xlfn.SINGLE(_xlfn.XLOOKUP(G895, Réttabanki!A:A, Réttabanki!AT:AT, "")), ""), "")))</f>
        <v/>
      </c>
      <c r="N895" s="26" t="str">
        <f>IF(OR(F895 = "", G895 = ""), "", IF(F895 = "Vara", IFERROR(_xlfn.SINGLE(_xlfn.XLOOKUP(G895, Vöruskrá!A:A, Vöruskrá!G:G, "")), ""), IF(F895 = "Réttur", IFERROR(_xlfn.SINGLE(_xlfn.XLOOKUP(G895, Réttabanki!A:A, Réttabanki!AU:AU, "")), ""), "")))</f>
        <v/>
      </c>
      <c r="O895" s="26" t="str">
        <f>IF(OR(F895 = "", G895 = "", I895 = ""), "", IF(F895 = "Vara", IFERROR(_xlfn.SINGLE(_xlfn.XLOOKUP(G895, Vöruskrá!A:A, Vöruskrá!I:I, "")) * I895 / 100, ""), IF(F895 = "Réttur", IFERROR(_xlfn.SINGLE(_xlfn.XLOOKUP(G895, Réttabanki!A:A, Réttabanki!AV:AV, "")) * I895 / 100, ""), "")))</f>
        <v/>
      </c>
      <c r="P895" s="26" t="str">
        <f>IF(OR(F895 = "", G895 = "", I895 = ""), "", IF(F895 = "Vara", IFERROR(_xlfn.SINGLE(_xlfn.XLOOKUP(G895, Vöruskrá!A:A, Vöruskrá!J:J, "")) * I895 / 100, ""), IF(F895 = "Réttur", IFERROR(_xlfn.SINGLE(_xlfn.XLOOKUP(G895, Réttabanki!A:A, Réttabanki!AW:AW, "")) * I895 / 100, ""), "")))</f>
        <v/>
      </c>
      <c r="Q895" s="26" t="str">
        <f>IF(OR(F895 = "", G895 = "", I895 = ""), "", IF(F895 = "Vara", IFERROR(_xlfn.SINGLE(_xlfn.XLOOKUP(G895, Vöruskrá!A:A, Vöruskrá!N:N, "")) * I895 / 100, ""), IF(F895 = "Réttur", IFERROR(_xlfn.SINGLE(_xlfn.XLOOKUP(G895, Réttabanki!A:A, Réttabanki!BB:BB, "")) * I895 / 100, ""), "")))</f>
        <v/>
      </c>
    </row>
    <row r="896" spans="2:17">
      <c r="B896" s="33" t="str">
        <f>IF(A896&lt;&gt;"",CHOOSE(WEEKDAY(A896,2),"Mánudagur","Þriðjudagur","Miðvikudagur","Fimmtudagur","Föstudagur","Laugardagur","Sunnudagur"),IF(B895&lt;&gt;"",B895,""))</f>
        <v>Fimmtudagur</v>
      </c>
      <c r="C896" s="33">
        <f>IF(A896&lt;&gt;"",WEEKNUM(A896,21),IF(C895&lt;&gt;"",C895,""))</f>
        <v>27</v>
      </c>
      <c r="D896" s="34"/>
      <c r="E896" s="34"/>
      <c r="F896" s="34"/>
      <c r="G896" s="34"/>
      <c r="H896" s="34"/>
      <c r="I896" s="35"/>
      <c r="J896" s="35"/>
      <c r="K896" s="36"/>
      <c r="L896" s="26" t="str">
        <f>IF(OR(F896 = "", G896 = ""), "", IF(F896 = "Vara", IFERROR(_xlfn.SINGLE(_xlfn.XLOOKUP(G896, Vöruskrá!A:A, Vöruskrá!E:E, "")), ""), IF(F896 = "Réttur", IFERROR(_xlfn.SINGLE(_xlfn.XLOOKUP(G896, Réttabanki!A:A, Réttabanki!AS:AS, "")), ""), "")))</f>
        <v/>
      </c>
      <c r="M896" s="26" t="str">
        <f>IF(OR(F896 = "", G896 = ""), "", IF(F896 = "Vara", IFERROR(_xlfn.SINGLE(_xlfn.XLOOKUP(G896, Vöruskrá!A:A, Vöruskrá!F:F, "")), ""), IF(F896 = "Réttur", IFERROR(_xlfn.SINGLE(_xlfn.XLOOKUP(G896, Réttabanki!A:A, Réttabanki!AT:AT, "")), ""), "")))</f>
        <v/>
      </c>
      <c r="N896" s="26" t="str">
        <f>IF(OR(F896 = "", G896 = ""), "", IF(F896 = "Vara", IFERROR(_xlfn.SINGLE(_xlfn.XLOOKUP(G896, Vöruskrá!A:A, Vöruskrá!G:G, "")), ""), IF(F896 = "Réttur", IFERROR(_xlfn.SINGLE(_xlfn.XLOOKUP(G896, Réttabanki!A:A, Réttabanki!AU:AU, "")), ""), "")))</f>
        <v/>
      </c>
      <c r="O896" s="26" t="str">
        <f>IF(OR(F896 = "", G896 = "", I896 = ""), "", IF(F896 = "Vara", IFERROR(_xlfn.SINGLE(_xlfn.XLOOKUP(G896, Vöruskrá!A:A, Vöruskrá!I:I, "")) * I896 / 100, ""), IF(F896 = "Réttur", IFERROR(_xlfn.SINGLE(_xlfn.XLOOKUP(G896, Réttabanki!A:A, Réttabanki!AV:AV, "")) * I896 / 100, ""), "")))</f>
        <v/>
      </c>
      <c r="P896" s="26" t="str">
        <f>IF(OR(F896 = "", G896 = "", I896 = ""), "", IF(F896 = "Vara", IFERROR(_xlfn.SINGLE(_xlfn.XLOOKUP(G896, Vöruskrá!A:A, Vöruskrá!J:J, "")) * I896 / 100, ""), IF(F896 = "Réttur", IFERROR(_xlfn.SINGLE(_xlfn.XLOOKUP(G896, Réttabanki!A:A, Réttabanki!AW:AW, "")) * I896 / 100, ""), "")))</f>
        <v/>
      </c>
      <c r="Q896" s="26" t="str">
        <f>IF(OR(F896 = "", G896 = "", I896 = ""), "", IF(F896 = "Vara", IFERROR(_xlfn.SINGLE(_xlfn.XLOOKUP(G896, Vöruskrá!A:A, Vöruskrá!N:N, "")) * I896 / 100, ""), IF(F896 = "Réttur", IFERROR(_xlfn.SINGLE(_xlfn.XLOOKUP(G896, Réttabanki!A:A, Réttabanki!BB:BB, "")) * I896 / 100, ""), "")))</f>
        <v/>
      </c>
    </row>
    <row r="897" spans="2:17">
      <c r="B897" s="33" t="str">
        <f>IF(A897&lt;&gt;"",CHOOSE(WEEKDAY(A897,2),"Mánudagur","Þriðjudagur","Miðvikudagur","Fimmtudagur","Föstudagur","Laugardagur","Sunnudagur"),IF(B896&lt;&gt;"",B896,""))</f>
        <v>Fimmtudagur</v>
      </c>
      <c r="C897" s="33">
        <f>IF(A897&lt;&gt;"",WEEKNUM(A897,21),IF(C896&lt;&gt;"",C896,""))</f>
        <v>27</v>
      </c>
      <c r="D897" s="34"/>
      <c r="E897" s="34"/>
      <c r="F897" s="34"/>
      <c r="G897" s="34"/>
      <c r="H897" s="34"/>
      <c r="I897" s="35"/>
      <c r="J897" s="35"/>
      <c r="K897" s="36"/>
      <c r="L897" s="26" t="str">
        <f>IF(OR(F897 = "", G897 = ""), "", IF(F897 = "Vara", IFERROR(_xlfn.SINGLE(_xlfn.XLOOKUP(G897, Vöruskrá!A:A, Vöruskrá!E:E, "")), ""), IF(F897 = "Réttur", IFERROR(_xlfn.SINGLE(_xlfn.XLOOKUP(G897, Réttabanki!A:A, Réttabanki!AS:AS, "")), ""), "")))</f>
        <v/>
      </c>
      <c r="M897" s="26" t="str">
        <f>IF(OR(F897 = "", G897 = ""), "", IF(F897 = "Vara", IFERROR(_xlfn.SINGLE(_xlfn.XLOOKUP(G897, Vöruskrá!A:A, Vöruskrá!F:F, "")), ""), IF(F897 = "Réttur", IFERROR(_xlfn.SINGLE(_xlfn.XLOOKUP(G897, Réttabanki!A:A, Réttabanki!AT:AT, "")), ""), "")))</f>
        <v/>
      </c>
      <c r="N897" s="26" t="str">
        <f>IF(OR(F897 = "", G897 = ""), "", IF(F897 = "Vara", IFERROR(_xlfn.SINGLE(_xlfn.XLOOKUP(G897, Vöruskrá!A:A, Vöruskrá!G:G, "")), ""), IF(F897 = "Réttur", IFERROR(_xlfn.SINGLE(_xlfn.XLOOKUP(G897, Réttabanki!A:A, Réttabanki!AU:AU, "")), ""), "")))</f>
        <v/>
      </c>
      <c r="O897" s="26" t="str">
        <f>IF(OR(F897 = "", G897 = "", I897 = ""), "", IF(F897 = "Vara", IFERROR(_xlfn.SINGLE(_xlfn.XLOOKUP(G897, Vöruskrá!A:A, Vöruskrá!I:I, "")) * I897 / 100, ""), IF(F897 = "Réttur", IFERROR(_xlfn.SINGLE(_xlfn.XLOOKUP(G897, Réttabanki!A:A, Réttabanki!AV:AV, "")) * I897 / 100, ""), "")))</f>
        <v/>
      </c>
      <c r="P897" s="26" t="str">
        <f>IF(OR(F897 = "", G897 = "", I897 = ""), "", IF(F897 = "Vara", IFERROR(_xlfn.SINGLE(_xlfn.XLOOKUP(G897, Vöruskrá!A:A, Vöruskrá!J:J, "")) * I897 / 100, ""), IF(F897 = "Réttur", IFERROR(_xlfn.SINGLE(_xlfn.XLOOKUP(G897, Réttabanki!A:A, Réttabanki!AW:AW, "")) * I897 / 100, ""), "")))</f>
        <v/>
      </c>
      <c r="Q897" s="26" t="str">
        <f>IF(OR(F897 = "", G897 = "", I897 = ""), "", IF(F897 = "Vara", IFERROR(_xlfn.SINGLE(_xlfn.XLOOKUP(G897, Vöruskrá!A:A, Vöruskrá!N:N, "")) * I897 / 100, ""), IF(F897 = "Réttur", IFERROR(_xlfn.SINGLE(_xlfn.XLOOKUP(G897, Réttabanki!A:A, Réttabanki!BB:BB, "")) * I897 / 100, ""), "")))</f>
        <v/>
      </c>
    </row>
    <row r="898" spans="2:17">
      <c r="B898" s="33" t="str">
        <f>IF(A898&lt;&gt;"",CHOOSE(WEEKDAY(A898,2),"Mánudagur","Þriðjudagur","Miðvikudagur","Fimmtudagur","Föstudagur","Laugardagur","Sunnudagur"),IF(B897&lt;&gt;"",B897,""))</f>
        <v>Fimmtudagur</v>
      </c>
      <c r="C898" s="33">
        <f>IF(A898&lt;&gt;"",WEEKNUM(A898,21),IF(C897&lt;&gt;"",C897,""))</f>
        <v>27</v>
      </c>
      <c r="D898" s="34"/>
      <c r="E898" s="34"/>
      <c r="F898" s="34"/>
      <c r="G898" s="34"/>
      <c r="H898" s="34"/>
      <c r="I898" s="35"/>
      <c r="J898" s="35"/>
      <c r="K898" s="36"/>
      <c r="L898" s="26" t="str">
        <f>IF(OR(F898 = "", G898 = ""), "", IF(F898 = "Vara", IFERROR(_xlfn.SINGLE(_xlfn.XLOOKUP(G898, Vöruskrá!A:A, Vöruskrá!E:E, "")), ""), IF(F898 = "Réttur", IFERROR(_xlfn.SINGLE(_xlfn.XLOOKUP(G898, Réttabanki!A:A, Réttabanki!AS:AS, "")), ""), "")))</f>
        <v/>
      </c>
      <c r="M898" s="26" t="str">
        <f>IF(OR(F898 = "", G898 = ""), "", IF(F898 = "Vara", IFERROR(_xlfn.SINGLE(_xlfn.XLOOKUP(G898, Vöruskrá!A:A, Vöruskrá!F:F, "")), ""), IF(F898 = "Réttur", IFERROR(_xlfn.SINGLE(_xlfn.XLOOKUP(G898, Réttabanki!A:A, Réttabanki!AT:AT, "")), ""), "")))</f>
        <v/>
      </c>
      <c r="N898" s="26" t="str">
        <f>IF(OR(F898 = "", G898 = ""), "", IF(F898 = "Vara", IFERROR(_xlfn.SINGLE(_xlfn.XLOOKUP(G898, Vöruskrá!A:A, Vöruskrá!G:G, "")), ""), IF(F898 = "Réttur", IFERROR(_xlfn.SINGLE(_xlfn.XLOOKUP(G898, Réttabanki!A:A, Réttabanki!AU:AU, "")), ""), "")))</f>
        <v/>
      </c>
      <c r="O898" s="26" t="str">
        <f>IF(OR(F898 = "", G898 = "", I898 = ""), "", IF(F898 = "Vara", IFERROR(_xlfn.SINGLE(_xlfn.XLOOKUP(G898, Vöruskrá!A:A, Vöruskrá!I:I, "")) * I898 / 100, ""), IF(F898 = "Réttur", IFERROR(_xlfn.SINGLE(_xlfn.XLOOKUP(G898, Réttabanki!A:A, Réttabanki!AV:AV, "")) * I898 / 100, ""), "")))</f>
        <v/>
      </c>
      <c r="P898" s="26" t="str">
        <f>IF(OR(F898 = "", G898 = "", I898 = ""), "", IF(F898 = "Vara", IFERROR(_xlfn.SINGLE(_xlfn.XLOOKUP(G898, Vöruskrá!A:A, Vöruskrá!J:J, "")) * I898 / 100, ""), IF(F898 = "Réttur", IFERROR(_xlfn.SINGLE(_xlfn.XLOOKUP(G898, Réttabanki!A:A, Réttabanki!AW:AW, "")) * I898 / 100, ""), "")))</f>
        <v/>
      </c>
      <c r="Q898" s="26" t="str">
        <f>IF(OR(F898 = "", G898 = "", I898 = ""), "", IF(F898 = "Vara", IFERROR(_xlfn.SINGLE(_xlfn.XLOOKUP(G898, Vöruskrá!A:A, Vöruskrá!N:N, "")) * I898 / 100, ""), IF(F898 = "Réttur", IFERROR(_xlfn.SINGLE(_xlfn.XLOOKUP(G898, Réttabanki!A:A, Réttabanki!BB:BB, "")) * I898 / 100, ""), "")))</f>
        <v/>
      </c>
    </row>
    <row r="899" spans="2:17">
      <c r="B899" s="33" t="str">
        <f>IF(A899&lt;&gt;"",CHOOSE(WEEKDAY(A899,2),"Mánudagur","Þriðjudagur","Miðvikudagur","Fimmtudagur","Föstudagur","Laugardagur","Sunnudagur"),IF(B898&lt;&gt;"",B898,""))</f>
        <v>Fimmtudagur</v>
      </c>
      <c r="C899" s="33">
        <f>IF(A899&lt;&gt;"",WEEKNUM(A899,21),IF(C898&lt;&gt;"",C898,""))</f>
        <v>27</v>
      </c>
      <c r="D899" s="34"/>
      <c r="E899" s="34"/>
      <c r="F899" s="34"/>
      <c r="G899" s="34"/>
      <c r="H899" s="34"/>
      <c r="I899" s="35"/>
      <c r="J899" s="35"/>
      <c r="K899" s="36"/>
      <c r="L899" s="26" t="str">
        <f>IF(OR(F899 = "", G899 = ""), "", IF(F899 = "Vara", IFERROR(_xlfn.SINGLE(_xlfn.XLOOKUP(G899, Vöruskrá!A:A, Vöruskrá!E:E, "")), ""), IF(F899 = "Réttur", IFERROR(_xlfn.SINGLE(_xlfn.XLOOKUP(G899, Réttabanki!A:A, Réttabanki!AS:AS, "")), ""), "")))</f>
        <v/>
      </c>
      <c r="M899" s="26" t="str">
        <f>IF(OR(F899 = "", G899 = ""), "", IF(F899 = "Vara", IFERROR(_xlfn.SINGLE(_xlfn.XLOOKUP(G899, Vöruskrá!A:A, Vöruskrá!F:F, "")), ""), IF(F899 = "Réttur", IFERROR(_xlfn.SINGLE(_xlfn.XLOOKUP(G899, Réttabanki!A:A, Réttabanki!AT:AT, "")), ""), "")))</f>
        <v/>
      </c>
      <c r="N899" s="26" t="str">
        <f>IF(OR(F899 = "", G899 = ""), "", IF(F899 = "Vara", IFERROR(_xlfn.SINGLE(_xlfn.XLOOKUP(G899, Vöruskrá!A:A, Vöruskrá!G:G, "")), ""), IF(F899 = "Réttur", IFERROR(_xlfn.SINGLE(_xlfn.XLOOKUP(G899, Réttabanki!A:A, Réttabanki!AU:AU, "")), ""), "")))</f>
        <v/>
      </c>
      <c r="O899" s="26" t="str">
        <f>IF(OR(F899 = "", G899 = "", I899 = ""), "", IF(F899 = "Vara", IFERROR(_xlfn.SINGLE(_xlfn.XLOOKUP(G899, Vöruskrá!A:A, Vöruskrá!I:I, "")) * I899 / 100, ""), IF(F899 = "Réttur", IFERROR(_xlfn.SINGLE(_xlfn.XLOOKUP(G899, Réttabanki!A:A, Réttabanki!AV:AV, "")) * I899 / 100, ""), "")))</f>
        <v/>
      </c>
      <c r="P899" s="26" t="str">
        <f>IF(OR(F899 = "", G899 = "", I899 = ""), "", IF(F899 = "Vara", IFERROR(_xlfn.SINGLE(_xlfn.XLOOKUP(G899, Vöruskrá!A:A, Vöruskrá!J:J, "")) * I899 / 100, ""), IF(F899 = "Réttur", IFERROR(_xlfn.SINGLE(_xlfn.XLOOKUP(G899, Réttabanki!A:A, Réttabanki!AW:AW, "")) * I899 / 100, ""), "")))</f>
        <v/>
      </c>
      <c r="Q899" s="26" t="str">
        <f>IF(OR(F899 = "", G899 = "", I899 = ""), "", IF(F899 = "Vara", IFERROR(_xlfn.SINGLE(_xlfn.XLOOKUP(G899, Vöruskrá!A:A, Vöruskrá!N:N, "")) * I899 / 100, ""), IF(F899 = "Réttur", IFERROR(_xlfn.SINGLE(_xlfn.XLOOKUP(G899, Réttabanki!A:A, Réttabanki!BB:BB, "")) * I899 / 100, ""), "")))</f>
        <v/>
      </c>
    </row>
    <row r="900" spans="2:17">
      <c r="B900" s="33" t="str">
        <f>IF(A900&lt;&gt;"",CHOOSE(WEEKDAY(A900,2),"Mánudagur","Þriðjudagur","Miðvikudagur","Fimmtudagur","Föstudagur","Laugardagur","Sunnudagur"),IF(B899&lt;&gt;"",B899,""))</f>
        <v>Fimmtudagur</v>
      </c>
      <c r="C900" s="33">
        <f>IF(A900&lt;&gt;"",WEEKNUM(A900,21),IF(C899&lt;&gt;"",C899,""))</f>
        <v>27</v>
      </c>
      <c r="D900" s="34"/>
      <c r="E900" s="34"/>
      <c r="F900" s="34"/>
      <c r="G900" s="34"/>
      <c r="H900" s="34"/>
      <c r="I900" s="35"/>
      <c r="J900" s="35"/>
      <c r="K900" s="36"/>
      <c r="L900" s="26" t="str">
        <f>IF(OR(F900 = "", G900 = ""), "", IF(F900 = "Vara", IFERROR(_xlfn.SINGLE(_xlfn.XLOOKUP(G900, Vöruskrá!A:A, Vöruskrá!E:E, "")), ""), IF(F900 = "Réttur", IFERROR(_xlfn.SINGLE(_xlfn.XLOOKUP(G900, Réttabanki!A:A, Réttabanki!AS:AS, "")), ""), "")))</f>
        <v/>
      </c>
      <c r="M900" s="26" t="str">
        <f>IF(OR(F900 = "", G900 = ""), "", IF(F900 = "Vara", IFERROR(_xlfn.SINGLE(_xlfn.XLOOKUP(G900, Vöruskrá!A:A, Vöruskrá!F:F, "")), ""), IF(F900 = "Réttur", IFERROR(_xlfn.SINGLE(_xlfn.XLOOKUP(G900, Réttabanki!A:A, Réttabanki!AT:AT, "")), ""), "")))</f>
        <v/>
      </c>
      <c r="N900" s="26" t="str">
        <f>IF(OR(F900 = "", G900 = ""), "", IF(F900 = "Vara", IFERROR(_xlfn.SINGLE(_xlfn.XLOOKUP(G900, Vöruskrá!A:A, Vöruskrá!G:G, "")), ""), IF(F900 = "Réttur", IFERROR(_xlfn.SINGLE(_xlfn.XLOOKUP(G900, Réttabanki!A:A, Réttabanki!AU:AU, "")), ""), "")))</f>
        <v/>
      </c>
      <c r="O900" s="26" t="str">
        <f>IF(OR(F900 = "", G900 = "", I900 = ""), "", IF(F900 = "Vara", IFERROR(_xlfn.SINGLE(_xlfn.XLOOKUP(G900, Vöruskrá!A:A, Vöruskrá!I:I, "")) * I900 / 100, ""), IF(F900 = "Réttur", IFERROR(_xlfn.SINGLE(_xlfn.XLOOKUP(G900, Réttabanki!A:A, Réttabanki!AV:AV, "")) * I900 / 100, ""), "")))</f>
        <v/>
      </c>
      <c r="P900" s="26" t="str">
        <f>IF(OR(F900 = "", G900 = "", I900 = ""), "", IF(F900 = "Vara", IFERROR(_xlfn.SINGLE(_xlfn.XLOOKUP(G900, Vöruskrá!A:A, Vöruskrá!J:J, "")) * I900 / 100, ""), IF(F900 = "Réttur", IFERROR(_xlfn.SINGLE(_xlfn.XLOOKUP(G900, Réttabanki!A:A, Réttabanki!AW:AW, "")) * I900 / 100, ""), "")))</f>
        <v/>
      </c>
      <c r="Q900" s="26" t="str">
        <f>IF(OR(F900 = "", G900 = "", I900 = ""), "", IF(F900 = "Vara", IFERROR(_xlfn.SINGLE(_xlfn.XLOOKUP(G900, Vöruskrá!A:A, Vöruskrá!N:N, "")) * I900 / 100, ""), IF(F900 = "Réttur", IFERROR(_xlfn.SINGLE(_xlfn.XLOOKUP(G900, Réttabanki!A:A, Réttabanki!BB:BB, "")) * I900 / 100, ""), "")))</f>
        <v/>
      </c>
    </row>
    <row r="901" spans="2:17">
      <c r="B901" s="33" t="str">
        <f>IF(A901&lt;&gt;"",CHOOSE(WEEKDAY(A901,2),"Mánudagur","Þriðjudagur","Miðvikudagur","Fimmtudagur","Föstudagur","Laugardagur","Sunnudagur"),IF(B900&lt;&gt;"",B900,""))</f>
        <v>Fimmtudagur</v>
      </c>
      <c r="C901" s="33">
        <f>IF(A901&lt;&gt;"",WEEKNUM(A901,21),IF(C900&lt;&gt;"",C900,""))</f>
        <v>27</v>
      </c>
      <c r="D901" s="34"/>
      <c r="E901" s="34"/>
      <c r="F901" s="34"/>
      <c r="G901" s="34"/>
      <c r="H901" s="34"/>
      <c r="I901" s="35"/>
      <c r="J901" s="35"/>
      <c r="K901" s="36"/>
      <c r="L901" s="26" t="str">
        <f>IF(OR(F901 = "", G901 = ""), "", IF(F901 = "Vara", IFERROR(_xlfn.SINGLE(_xlfn.XLOOKUP(G901, Vöruskrá!A:A, Vöruskrá!E:E, "")), ""), IF(F901 = "Réttur", IFERROR(_xlfn.SINGLE(_xlfn.XLOOKUP(G901, Réttabanki!A:A, Réttabanki!AS:AS, "")), ""), "")))</f>
        <v/>
      </c>
      <c r="M901" s="26" t="str">
        <f>IF(OR(F901 = "", G901 = ""), "", IF(F901 = "Vara", IFERROR(_xlfn.SINGLE(_xlfn.XLOOKUP(G901, Vöruskrá!A:A, Vöruskrá!F:F, "")), ""), IF(F901 = "Réttur", IFERROR(_xlfn.SINGLE(_xlfn.XLOOKUP(G901, Réttabanki!A:A, Réttabanki!AT:AT, "")), ""), "")))</f>
        <v/>
      </c>
      <c r="N901" s="26" t="str">
        <f>IF(OR(F901 = "", G901 = ""), "", IF(F901 = "Vara", IFERROR(_xlfn.SINGLE(_xlfn.XLOOKUP(G901, Vöruskrá!A:A, Vöruskrá!G:G, "")), ""), IF(F901 = "Réttur", IFERROR(_xlfn.SINGLE(_xlfn.XLOOKUP(G901, Réttabanki!A:A, Réttabanki!AU:AU, "")), ""), "")))</f>
        <v/>
      </c>
      <c r="O901" s="26" t="str">
        <f>IF(OR(F901 = "", G901 = "", I901 = ""), "", IF(F901 = "Vara", IFERROR(_xlfn.SINGLE(_xlfn.XLOOKUP(G901, Vöruskrá!A:A, Vöruskrá!I:I, "")) * I901 / 100, ""), IF(F901 = "Réttur", IFERROR(_xlfn.SINGLE(_xlfn.XLOOKUP(G901, Réttabanki!A:A, Réttabanki!AV:AV, "")) * I901 / 100, ""), "")))</f>
        <v/>
      </c>
      <c r="P901" s="26" t="str">
        <f>IF(OR(F901 = "", G901 = "", I901 = ""), "", IF(F901 = "Vara", IFERROR(_xlfn.SINGLE(_xlfn.XLOOKUP(G901, Vöruskrá!A:A, Vöruskrá!J:J, "")) * I901 / 100, ""), IF(F901 = "Réttur", IFERROR(_xlfn.SINGLE(_xlfn.XLOOKUP(G901, Réttabanki!A:A, Réttabanki!AW:AW, "")) * I901 / 100, ""), "")))</f>
        <v/>
      </c>
      <c r="Q901" s="26" t="str">
        <f>IF(OR(F901 = "", G901 = "", I901 = ""), "", IF(F901 = "Vara", IFERROR(_xlfn.SINGLE(_xlfn.XLOOKUP(G901, Vöruskrá!A:A, Vöruskrá!N:N, "")) * I901 / 100, ""), IF(F901 = "Réttur", IFERROR(_xlfn.SINGLE(_xlfn.XLOOKUP(G901, Réttabanki!A:A, Réttabanki!BB:BB, "")) * I901 / 100, ""), "")))</f>
        <v/>
      </c>
    </row>
    <row r="902" spans="2:17">
      <c r="B902" s="33" t="str">
        <f>IF(A902&lt;&gt;"",CHOOSE(WEEKDAY(A902,2),"Mánudagur","Þriðjudagur","Miðvikudagur","Fimmtudagur","Föstudagur","Laugardagur","Sunnudagur"),IF(B901&lt;&gt;"",B901,""))</f>
        <v>Fimmtudagur</v>
      </c>
      <c r="C902" s="33">
        <f>IF(A902&lt;&gt;"",WEEKNUM(A902,21),IF(C901&lt;&gt;"",C901,""))</f>
        <v>27</v>
      </c>
      <c r="D902" s="34"/>
      <c r="E902" s="34"/>
      <c r="F902" s="34"/>
      <c r="G902" s="34"/>
      <c r="H902" s="34"/>
      <c r="I902" s="35"/>
      <c r="J902" s="35"/>
      <c r="K902" s="36"/>
      <c r="L902" s="26" t="str">
        <f>IF(OR(F902 = "", G902 = ""), "", IF(F902 = "Vara", IFERROR(_xlfn.SINGLE(_xlfn.XLOOKUP(G902, Vöruskrá!A:A, Vöruskrá!E:E, "")), ""), IF(F902 = "Réttur", IFERROR(_xlfn.SINGLE(_xlfn.XLOOKUP(G902, Réttabanki!A:A, Réttabanki!AS:AS, "")), ""), "")))</f>
        <v/>
      </c>
      <c r="M902" s="26" t="str">
        <f>IF(OR(F902 = "", G902 = ""), "", IF(F902 = "Vara", IFERROR(_xlfn.SINGLE(_xlfn.XLOOKUP(G902, Vöruskrá!A:A, Vöruskrá!F:F, "")), ""), IF(F902 = "Réttur", IFERROR(_xlfn.SINGLE(_xlfn.XLOOKUP(G902, Réttabanki!A:A, Réttabanki!AT:AT, "")), ""), "")))</f>
        <v/>
      </c>
      <c r="N902" s="26" t="str">
        <f>IF(OR(F902 = "", G902 = ""), "", IF(F902 = "Vara", IFERROR(_xlfn.SINGLE(_xlfn.XLOOKUP(G902, Vöruskrá!A:A, Vöruskrá!G:G, "")), ""), IF(F902 = "Réttur", IFERROR(_xlfn.SINGLE(_xlfn.XLOOKUP(G902, Réttabanki!A:A, Réttabanki!AU:AU, "")), ""), "")))</f>
        <v/>
      </c>
      <c r="O902" s="26" t="str">
        <f>IF(OR(F902 = "", G902 = "", I902 = ""), "", IF(F902 = "Vara", IFERROR(_xlfn.SINGLE(_xlfn.XLOOKUP(G902, Vöruskrá!A:A, Vöruskrá!I:I, "")) * I902 / 100, ""), IF(F902 = "Réttur", IFERROR(_xlfn.SINGLE(_xlfn.XLOOKUP(G902, Réttabanki!A:A, Réttabanki!AV:AV, "")) * I902 / 100, ""), "")))</f>
        <v/>
      </c>
      <c r="P902" s="26" t="str">
        <f>IF(OR(F902 = "", G902 = "", I902 = ""), "", IF(F902 = "Vara", IFERROR(_xlfn.SINGLE(_xlfn.XLOOKUP(G902, Vöruskrá!A:A, Vöruskrá!J:J, "")) * I902 / 100, ""), IF(F902 = "Réttur", IFERROR(_xlfn.SINGLE(_xlfn.XLOOKUP(G902, Réttabanki!A:A, Réttabanki!AW:AW, "")) * I902 / 100, ""), "")))</f>
        <v/>
      </c>
      <c r="Q902" s="26" t="str">
        <f>IF(OR(F902 = "", G902 = "", I902 = ""), "", IF(F902 = "Vara", IFERROR(_xlfn.SINGLE(_xlfn.XLOOKUP(G902, Vöruskrá!A:A, Vöruskrá!N:N, "")) * I902 / 100, ""), IF(F902 = "Réttur", IFERROR(_xlfn.SINGLE(_xlfn.XLOOKUP(G902, Réttabanki!A:A, Réttabanki!BB:BB, "")) * I902 / 100, ""), "")))</f>
        <v/>
      </c>
    </row>
    <row r="903" spans="2:17">
      <c r="B903" s="33" t="str">
        <f>IF(A903&lt;&gt;"",CHOOSE(WEEKDAY(A903,2),"Mánudagur","Þriðjudagur","Miðvikudagur","Fimmtudagur","Föstudagur","Laugardagur","Sunnudagur"),IF(B902&lt;&gt;"",B902,""))</f>
        <v>Fimmtudagur</v>
      </c>
      <c r="C903" s="33">
        <f>IF(A903&lt;&gt;"",WEEKNUM(A903,21),IF(C902&lt;&gt;"",C902,""))</f>
        <v>27</v>
      </c>
      <c r="D903" s="34"/>
      <c r="E903" s="34"/>
      <c r="F903" s="34"/>
      <c r="G903" s="34"/>
      <c r="H903" s="34"/>
      <c r="I903" s="35"/>
      <c r="J903" s="35"/>
      <c r="K903" s="36"/>
      <c r="L903" s="26" t="str">
        <f>IF(OR(F903 = "", G903 = ""), "", IF(F903 = "Vara", IFERROR(_xlfn.SINGLE(_xlfn.XLOOKUP(G903, Vöruskrá!A:A, Vöruskrá!E:E, "")), ""), IF(F903 = "Réttur", IFERROR(_xlfn.SINGLE(_xlfn.XLOOKUP(G903, Réttabanki!A:A, Réttabanki!AS:AS, "")), ""), "")))</f>
        <v/>
      </c>
      <c r="M903" s="26" t="str">
        <f>IF(OR(F903 = "", G903 = ""), "", IF(F903 = "Vara", IFERROR(_xlfn.SINGLE(_xlfn.XLOOKUP(G903, Vöruskrá!A:A, Vöruskrá!F:F, "")), ""), IF(F903 = "Réttur", IFERROR(_xlfn.SINGLE(_xlfn.XLOOKUP(G903, Réttabanki!A:A, Réttabanki!AT:AT, "")), ""), "")))</f>
        <v/>
      </c>
      <c r="N903" s="26" t="str">
        <f>IF(OR(F903 = "", G903 = ""), "", IF(F903 = "Vara", IFERROR(_xlfn.SINGLE(_xlfn.XLOOKUP(G903, Vöruskrá!A:A, Vöruskrá!G:G, "")), ""), IF(F903 = "Réttur", IFERROR(_xlfn.SINGLE(_xlfn.XLOOKUP(G903, Réttabanki!A:A, Réttabanki!AU:AU, "")), ""), "")))</f>
        <v/>
      </c>
      <c r="O903" s="26" t="str">
        <f>IF(OR(F903 = "", G903 = "", I903 = ""), "", IF(F903 = "Vara", IFERROR(_xlfn.SINGLE(_xlfn.XLOOKUP(G903, Vöruskrá!A:A, Vöruskrá!I:I, "")) * I903 / 100, ""), IF(F903 = "Réttur", IFERROR(_xlfn.SINGLE(_xlfn.XLOOKUP(G903, Réttabanki!A:A, Réttabanki!AV:AV, "")) * I903 / 100, ""), "")))</f>
        <v/>
      </c>
      <c r="P903" s="26" t="str">
        <f>IF(OR(F903 = "", G903 = "", I903 = ""), "", IF(F903 = "Vara", IFERROR(_xlfn.SINGLE(_xlfn.XLOOKUP(G903, Vöruskrá!A:A, Vöruskrá!J:J, "")) * I903 / 100, ""), IF(F903 = "Réttur", IFERROR(_xlfn.SINGLE(_xlfn.XLOOKUP(G903, Réttabanki!A:A, Réttabanki!AW:AW, "")) * I903 / 100, ""), "")))</f>
        <v/>
      </c>
      <c r="Q903" s="26" t="str">
        <f>IF(OR(F903 = "", G903 = "", I903 = ""), "", IF(F903 = "Vara", IFERROR(_xlfn.SINGLE(_xlfn.XLOOKUP(G903, Vöruskrá!A:A, Vöruskrá!N:N, "")) * I903 / 100, ""), IF(F903 = "Réttur", IFERROR(_xlfn.SINGLE(_xlfn.XLOOKUP(G903, Réttabanki!A:A, Réttabanki!BB:BB, "")) * I903 / 100, ""), "")))</f>
        <v/>
      </c>
    </row>
    <row r="904" spans="2:17">
      <c r="B904" s="33" t="str">
        <f>IF(A904&lt;&gt;"",CHOOSE(WEEKDAY(A904,2),"Mánudagur","Þriðjudagur","Miðvikudagur","Fimmtudagur","Föstudagur","Laugardagur","Sunnudagur"),IF(B903&lt;&gt;"",B903,""))</f>
        <v>Fimmtudagur</v>
      </c>
      <c r="C904" s="33">
        <f>IF(A904&lt;&gt;"",WEEKNUM(A904,21),IF(C903&lt;&gt;"",C903,""))</f>
        <v>27</v>
      </c>
      <c r="D904" s="34"/>
      <c r="E904" s="34"/>
      <c r="F904" s="34"/>
      <c r="G904" s="34"/>
      <c r="H904" s="34"/>
      <c r="I904" s="35"/>
      <c r="J904" s="35"/>
      <c r="K904" s="36"/>
      <c r="L904" s="26" t="str">
        <f>IF(OR(F904 = "", G904 = ""), "", IF(F904 = "Vara", IFERROR(_xlfn.SINGLE(_xlfn.XLOOKUP(G904, Vöruskrá!A:A, Vöruskrá!E:E, "")), ""), IF(F904 = "Réttur", IFERROR(_xlfn.SINGLE(_xlfn.XLOOKUP(G904, Réttabanki!A:A, Réttabanki!AS:AS, "")), ""), "")))</f>
        <v/>
      </c>
      <c r="M904" s="26" t="str">
        <f>IF(OR(F904 = "", G904 = ""), "", IF(F904 = "Vara", IFERROR(_xlfn.SINGLE(_xlfn.XLOOKUP(G904, Vöruskrá!A:A, Vöruskrá!F:F, "")), ""), IF(F904 = "Réttur", IFERROR(_xlfn.SINGLE(_xlfn.XLOOKUP(G904, Réttabanki!A:A, Réttabanki!AT:AT, "")), ""), "")))</f>
        <v/>
      </c>
      <c r="N904" s="26" t="str">
        <f>IF(OR(F904 = "", G904 = ""), "", IF(F904 = "Vara", IFERROR(_xlfn.SINGLE(_xlfn.XLOOKUP(G904, Vöruskrá!A:A, Vöruskrá!G:G, "")), ""), IF(F904 = "Réttur", IFERROR(_xlfn.SINGLE(_xlfn.XLOOKUP(G904, Réttabanki!A:A, Réttabanki!AU:AU, "")), ""), "")))</f>
        <v/>
      </c>
      <c r="O904" s="26" t="str">
        <f>IF(OR(F904 = "", G904 = "", I904 = ""), "", IF(F904 = "Vara", IFERROR(_xlfn.SINGLE(_xlfn.XLOOKUP(G904, Vöruskrá!A:A, Vöruskrá!I:I, "")) * I904 / 100, ""), IF(F904 = "Réttur", IFERROR(_xlfn.SINGLE(_xlfn.XLOOKUP(G904, Réttabanki!A:A, Réttabanki!AV:AV, "")) * I904 / 100, ""), "")))</f>
        <v/>
      </c>
      <c r="P904" s="26" t="str">
        <f>IF(OR(F904 = "", G904 = "", I904 = ""), "", IF(F904 = "Vara", IFERROR(_xlfn.SINGLE(_xlfn.XLOOKUP(G904, Vöruskrá!A:A, Vöruskrá!J:J, "")) * I904 / 100, ""), IF(F904 = "Réttur", IFERROR(_xlfn.SINGLE(_xlfn.XLOOKUP(G904, Réttabanki!A:A, Réttabanki!AW:AW, "")) * I904 / 100, ""), "")))</f>
        <v/>
      </c>
      <c r="Q904" s="26" t="str">
        <f>IF(OR(F904 = "", G904 = "", I904 = ""), "", IF(F904 = "Vara", IFERROR(_xlfn.SINGLE(_xlfn.XLOOKUP(G904, Vöruskrá!A:A, Vöruskrá!N:N, "")) * I904 / 100, ""), IF(F904 = "Réttur", IFERROR(_xlfn.SINGLE(_xlfn.XLOOKUP(G904, Réttabanki!A:A, Réttabanki!BB:BB, "")) * I904 / 100, ""), "")))</f>
        <v/>
      </c>
    </row>
    <row r="905" spans="2:17">
      <c r="B905" s="33" t="str">
        <f>IF(A905&lt;&gt;"",CHOOSE(WEEKDAY(A905,2),"Mánudagur","Þriðjudagur","Miðvikudagur","Fimmtudagur","Föstudagur","Laugardagur","Sunnudagur"),IF(B904&lt;&gt;"",B904,""))</f>
        <v>Fimmtudagur</v>
      </c>
      <c r="C905" s="33">
        <f>IF(A905&lt;&gt;"",WEEKNUM(A905,21),IF(C904&lt;&gt;"",C904,""))</f>
        <v>27</v>
      </c>
      <c r="D905" s="34"/>
      <c r="E905" s="34"/>
      <c r="F905" s="34"/>
      <c r="G905" s="34"/>
      <c r="H905" s="34"/>
      <c r="I905" s="35"/>
      <c r="J905" s="35"/>
      <c r="K905" s="36"/>
      <c r="L905" s="26" t="str">
        <f>IF(OR(F905 = "", G905 = ""), "", IF(F905 = "Vara", IFERROR(_xlfn.SINGLE(_xlfn.XLOOKUP(G905, Vöruskrá!A:A, Vöruskrá!E:E, "")), ""), IF(F905 = "Réttur", IFERROR(_xlfn.SINGLE(_xlfn.XLOOKUP(G905, Réttabanki!A:A, Réttabanki!AS:AS, "")), ""), "")))</f>
        <v/>
      </c>
      <c r="M905" s="26" t="str">
        <f>IF(OR(F905 = "", G905 = ""), "", IF(F905 = "Vara", IFERROR(_xlfn.SINGLE(_xlfn.XLOOKUP(G905, Vöruskrá!A:A, Vöruskrá!F:F, "")), ""), IF(F905 = "Réttur", IFERROR(_xlfn.SINGLE(_xlfn.XLOOKUP(G905, Réttabanki!A:A, Réttabanki!AT:AT, "")), ""), "")))</f>
        <v/>
      </c>
      <c r="N905" s="26" t="str">
        <f>IF(OR(F905 = "", G905 = ""), "", IF(F905 = "Vara", IFERROR(_xlfn.SINGLE(_xlfn.XLOOKUP(G905, Vöruskrá!A:A, Vöruskrá!G:G, "")), ""), IF(F905 = "Réttur", IFERROR(_xlfn.SINGLE(_xlfn.XLOOKUP(G905, Réttabanki!A:A, Réttabanki!AU:AU, "")), ""), "")))</f>
        <v/>
      </c>
      <c r="O905" s="26" t="str">
        <f>IF(OR(F905 = "", G905 = "", I905 = ""), "", IF(F905 = "Vara", IFERROR(_xlfn.SINGLE(_xlfn.XLOOKUP(G905, Vöruskrá!A:A, Vöruskrá!I:I, "")) * I905 / 100, ""), IF(F905 = "Réttur", IFERROR(_xlfn.SINGLE(_xlfn.XLOOKUP(G905, Réttabanki!A:A, Réttabanki!AV:AV, "")) * I905 / 100, ""), "")))</f>
        <v/>
      </c>
      <c r="P905" s="26" t="str">
        <f>IF(OR(F905 = "", G905 = "", I905 = ""), "", IF(F905 = "Vara", IFERROR(_xlfn.SINGLE(_xlfn.XLOOKUP(G905, Vöruskrá!A:A, Vöruskrá!J:J, "")) * I905 / 100, ""), IF(F905 = "Réttur", IFERROR(_xlfn.SINGLE(_xlfn.XLOOKUP(G905, Réttabanki!A:A, Réttabanki!AW:AW, "")) * I905 / 100, ""), "")))</f>
        <v/>
      </c>
      <c r="Q905" s="26" t="str">
        <f>IF(OR(F905 = "", G905 = "", I905 = ""), "", IF(F905 = "Vara", IFERROR(_xlfn.SINGLE(_xlfn.XLOOKUP(G905, Vöruskrá!A:A, Vöruskrá!N:N, "")) * I905 / 100, ""), IF(F905 = "Réttur", IFERROR(_xlfn.SINGLE(_xlfn.XLOOKUP(G905, Réttabanki!A:A, Réttabanki!BB:BB, "")) * I905 / 100, ""), "")))</f>
        <v/>
      </c>
    </row>
    <row r="906" spans="2:17">
      <c r="B906" s="33" t="str">
        <f>IF(A906&lt;&gt;"",CHOOSE(WEEKDAY(A906,2),"Mánudagur","Þriðjudagur","Miðvikudagur","Fimmtudagur","Föstudagur","Laugardagur","Sunnudagur"),IF(B905&lt;&gt;"",B905,""))</f>
        <v>Fimmtudagur</v>
      </c>
      <c r="C906" s="33">
        <f>IF(A906&lt;&gt;"",WEEKNUM(A906,21),IF(C905&lt;&gt;"",C905,""))</f>
        <v>27</v>
      </c>
      <c r="D906" s="34"/>
      <c r="E906" s="34"/>
      <c r="F906" s="34"/>
      <c r="G906" s="34"/>
      <c r="H906" s="34"/>
      <c r="I906" s="35"/>
      <c r="J906" s="35"/>
      <c r="K906" s="36"/>
      <c r="L906" s="26" t="str">
        <f>IF(OR(F906 = "", G906 = ""), "", IF(F906 = "Vara", IFERROR(_xlfn.SINGLE(_xlfn.XLOOKUP(G906, Vöruskrá!A:A, Vöruskrá!E:E, "")), ""), IF(F906 = "Réttur", IFERROR(_xlfn.SINGLE(_xlfn.XLOOKUP(G906, Réttabanki!A:A, Réttabanki!AS:AS, "")), ""), "")))</f>
        <v/>
      </c>
      <c r="M906" s="26" t="str">
        <f>IF(OR(F906 = "", G906 = ""), "", IF(F906 = "Vara", IFERROR(_xlfn.SINGLE(_xlfn.XLOOKUP(G906, Vöruskrá!A:A, Vöruskrá!F:F, "")), ""), IF(F906 = "Réttur", IFERROR(_xlfn.SINGLE(_xlfn.XLOOKUP(G906, Réttabanki!A:A, Réttabanki!AT:AT, "")), ""), "")))</f>
        <v/>
      </c>
      <c r="N906" s="26" t="str">
        <f>IF(OR(F906 = "", G906 = ""), "", IF(F906 = "Vara", IFERROR(_xlfn.SINGLE(_xlfn.XLOOKUP(G906, Vöruskrá!A:A, Vöruskrá!G:G, "")), ""), IF(F906 = "Réttur", IFERROR(_xlfn.SINGLE(_xlfn.XLOOKUP(G906, Réttabanki!A:A, Réttabanki!AU:AU, "")), ""), "")))</f>
        <v/>
      </c>
      <c r="O906" s="26" t="str">
        <f>IF(OR(F906 = "", G906 = "", I906 = ""), "", IF(F906 = "Vara", IFERROR(_xlfn.SINGLE(_xlfn.XLOOKUP(G906, Vöruskrá!A:A, Vöruskrá!I:I, "")) * I906 / 100, ""), IF(F906 = "Réttur", IFERROR(_xlfn.SINGLE(_xlfn.XLOOKUP(G906, Réttabanki!A:A, Réttabanki!AV:AV, "")) * I906 / 100, ""), "")))</f>
        <v/>
      </c>
      <c r="P906" s="26" t="str">
        <f>IF(OR(F906 = "", G906 = "", I906 = ""), "", IF(F906 = "Vara", IFERROR(_xlfn.SINGLE(_xlfn.XLOOKUP(G906, Vöruskrá!A:A, Vöruskrá!J:J, "")) * I906 / 100, ""), IF(F906 = "Réttur", IFERROR(_xlfn.SINGLE(_xlfn.XLOOKUP(G906, Réttabanki!A:A, Réttabanki!AW:AW, "")) * I906 / 100, ""), "")))</f>
        <v/>
      </c>
      <c r="Q906" s="26" t="str">
        <f>IF(OR(F906 = "", G906 = "", I906 = ""), "", IF(F906 = "Vara", IFERROR(_xlfn.SINGLE(_xlfn.XLOOKUP(G906, Vöruskrá!A:A, Vöruskrá!N:N, "")) * I906 / 100, ""), IF(F906 = "Réttur", IFERROR(_xlfn.SINGLE(_xlfn.XLOOKUP(G906, Réttabanki!A:A, Réttabanki!BB:BB, "")) * I906 / 100, ""), "")))</f>
        <v/>
      </c>
    </row>
    <row r="907" spans="2:17">
      <c r="B907" s="33" t="str">
        <f>IF(A907&lt;&gt;"",CHOOSE(WEEKDAY(A907,2),"Mánudagur","Þriðjudagur","Miðvikudagur","Fimmtudagur","Föstudagur","Laugardagur","Sunnudagur"),IF(B906&lt;&gt;"",B906,""))</f>
        <v>Fimmtudagur</v>
      </c>
      <c r="C907" s="33">
        <f>IF(A907&lt;&gt;"",WEEKNUM(A907,21),IF(C906&lt;&gt;"",C906,""))</f>
        <v>27</v>
      </c>
      <c r="D907" s="34"/>
      <c r="E907" s="34"/>
      <c r="F907" s="34"/>
      <c r="G907" s="34"/>
      <c r="H907" s="34"/>
      <c r="I907" s="35"/>
      <c r="J907" s="35"/>
      <c r="K907" s="36"/>
      <c r="L907" s="26" t="str">
        <f>IF(OR(F907 = "", G907 = ""), "", IF(F907 = "Vara", IFERROR(_xlfn.SINGLE(_xlfn.XLOOKUP(G907, Vöruskrá!A:A, Vöruskrá!E:E, "")), ""), IF(F907 = "Réttur", IFERROR(_xlfn.SINGLE(_xlfn.XLOOKUP(G907, Réttabanki!A:A, Réttabanki!AS:AS, "")), ""), "")))</f>
        <v/>
      </c>
      <c r="M907" s="26" t="str">
        <f>IF(OR(F907 = "", G907 = ""), "", IF(F907 = "Vara", IFERROR(_xlfn.SINGLE(_xlfn.XLOOKUP(G907, Vöruskrá!A:A, Vöruskrá!F:F, "")), ""), IF(F907 = "Réttur", IFERROR(_xlfn.SINGLE(_xlfn.XLOOKUP(G907, Réttabanki!A:A, Réttabanki!AT:AT, "")), ""), "")))</f>
        <v/>
      </c>
      <c r="N907" s="26" t="str">
        <f>IF(OR(F907 = "", G907 = ""), "", IF(F907 = "Vara", IFERROR(_xlfn.SINGLE(_xlfn.XLOOKUP(G907, Vöruskrá!A:A, Vöruskrá!G:G, "")), ""), IF(F907 = "Réttur", IFERROR(_xlfn.SINGLE(_xlfn.XLOOKUP(G907, Réttabanki!A:A, Réttabanki!AU:AU, "")), ""), "")))</f>
        <v/>
      </c>
      <c r="O907" s="26" t="str">
        <f>IF(OR(F907 = "", G907 = "", I907 = ""), "", IF(F907 = "Vara", IFERROR(_xlfn.SINGLE(_xlfn.XLOOKUP(G907, Vöruskrá!A:A, Vöruskrá!I:I, "")) * I907 / 100, ""), IF(F907 = "Réttur", IFERROR(_xlfn.SINGLE(_xlfn.XLOOKUP(G907, Réttabanki!A:A, Réttabanki!AV:AV, "")) * I907 / 100, ""), "")))</f>
        <v/>
      </c>
      <c r="P907" s="26" t="str">
        <f>IF(OR(F907 = "", G907 = "", I907 = ""), "", IF(F907 = "Vara", IFERROR(_xlfn.SINGLE(_xlfn.XLOOKUP(G907, Vöruskrá!A:A, Vöruskrá!J:J, "")) * I907 / 100, ""), IF(F907 = "Réttur", IFERROR(_xlfn.SINGLE(_xlfn.XLOOKUP(G907, Réttabanki!A:A, Réttabanki!AW:AW, "")) * I907 / 100, ""), "")))</f>
        <v/>
      </c>
      <c r="Q907" s="26" t="str">
        <f>IF(OR(F907 = "", G907 = "", I907 = ""), "", IF(F907 = "Vara", IFERROR(_xlfn.SINGLE(_xlfn.XLOOKUP(G907, Vöruskrá!A:A, Vöruskrá!N:N, "")) * I907 / 100, ""), IF(F907 = "Réttur", IFERROR(_xlfn.SINGLE(_xlfn.XLOOKUP(G907, Réttabanki!A:A, Réttabanki!BB:BB, "")) * I907 / 100, ""), "")))</f>
        <v/>
      </c>
    </row>
    <row r="908" spans="2:17">
      <c r="B908" s="33" t="str">
        <f>IF(A908&lt;&gt;"",CHOOSE(WEEKDAY(A908,2),"Mánudagur","Þriðjudagur","Miðvikudagur","Fimmtudagur","Föstudagur","Laugardagur","Sunnudagur"),IF(B907&lt;&gt;"",B907,""))</f>
        <v>Fimmtudagur</v>
      </c>
      <c r="C908" s="33">
        <f>IF(A908&lt;&gt;"",WEEKNUM(A908,21),IF(C907&lt;&gt;"",C907,""))</f>
        <v>27</v>
      </c>
      <c r="D908" s="34"/>
      <c r="E908" s="34"/>
      <c r="F908" s="34"/>
      <c r="G908" s="34"/>
      <c r="H908" s="34"/>
      <c r="I908" s="35"/>
      <c r="J908" s="35"/>
      <c r="K908" s="36"/>
      <c r="L908" s="26" t="str">
        <f>IF(OR(F908 = "", G908 = ""), "", IF(F908 = "Vara", IFERROR(_xlfn.SINGLE(_xlfn.XLOOKUP(G908, Vöruskrá!A:A, Vöruskrá!E:E, "")), ""), IF(F908 = "Réttur", IFERROR(_xlfn.SINGLE(_xlfn.XLOOKUP(G908, Réttabanki!A:A, Réttabanki!AS:AS, "")), ""), "")))</f>
        <v/>
      </c>
      <c r="M908" s="26" t="str">
        <f>IF(OR(F908 = "", G908 = ""), "", IF(F908 = "Vara", IFERROR(_xlfn.SINGLE(_xlfn.XLOOKUP(G908, Vöruskrá!A:A, Vöruskrá!F:F, "")), ""), IF(F908 = "Réttur", IFERROR(_xlfn.SINGLE(_xlfn.XLOOKUP(G908, Réttabanki!A:A, Réttabanki!AT:AT, "")), ""), "")))</f>
        <v/>
      </c>
      <c r="N908" s="26" t="str">
        <f>IF(OR(F908 = "", G908 = ""), "", IF(F908 = "Vara", IFERROR(_xlfn.SINGLE(_xlfn.XLOOKUP(G908, Vöruskrá!A:A, Vöruskrá!G:G, "")), ""), IF(F908 = "Réttur", IFERROR(_xlfn.SINGLE(_xlfn.XLOOKUP(G908, Réttabanki!A:A, Réttabanki!AU:AU, "")), ""), "")))</f>
        <v/>
      </c>
      <c r="O908" s="26" t="str">
        <f>IF(OR(F908 = "", G908 = "", I908 = ""), "", IF(F908 = "Vara", IFERROR(_xlfn.SINGLE(_xlfn.XLOOKUP(G908, Vöruskrá!A:A, Vöruskrá!I:I, "")) * I908 / 100, ""), IF(F908 = "Réttur", IFERROR(_xlfn.SINGLE(_xlfn.XLOOKUP(G908, Réttabanki!A:A, Réttabanki!AV:AV, "")) * I908 / 100, ""), "")))</f>
        <v/>
      </c>
      <c r="P908" s="26" t="str">
        <f>IF(OR(F908 = "", G908 = "", I908 = ""), "", IF(F908 = "Vara", IFERROR(_xlfn.SINGLE(_xlfn.XLOOKUP(G908, Vöruskrá!A:A, Vöruskrá!J:J, "")) * I908 / 100, ""), IF(F908 = "Réttur", IFERROR(_xlfn.SINGLE(_xlfn.XLOOKUP(G908, Réttabanki!A:A, Réttabanki!AW:AW, "")) * I908 / 100, ""), "")))</f>
        <v/>
      </c>
      <c r="Q908" s="26" t="str">
        <f>IF(OR(F908 = "", G908 = "", I908 = ""), "", IF(F908 = "Vara", IFERROR(_xlfn.SINGLE(_xlfn.XLOOKUP(G908, Vöruskrá!A:A, Vöruskrá!N:N, "")) * I908 / 100, ""), IF(F908 = "Réttur", IFERROR(_xlfn.SINGLE(_xlfn.XLOOKUP(G908, Réttabanki!A:A, Réttabanki!BB:BB, "")) * I908 / 100, ""), "")))</f>
        <v/>
      </c>
    </row>
    <row r="909" spans="2:17">
      <c r="B909" s="33" t="str">
        <f>IF(A909&lt;&gt;"",CHOOSE(WEEKDAY(A909,2),"Mánudagur","Þriðjudagur","Miðvikudagur","Fimmtudagur","Föstudagur","Laugardagur","Sunnudagur"),IF(B908&lt;&gt;"",B908,""))</f>
        <v>Fimmtudagur</v>
      </c>
      <c r="C909" s="33">
        <f>IF(A909&lt;&gt;"",WEEKNUM(A909,21),IF(C908&lt;&gt;"",C908,""))</f>
        <v>27</v>
      </c>
      <c r="D909" s="34"/>
      <c r="E909" s="34"/>
      <c r="F909" s="34"/>
      <c r="G909" s="34"/>
      <c r="H909" s="34"/>
      <c r="I909" s="35"/>
      <c r="J909" s="35"/>
      <c r="K909" s="36"/>
      <c r="L909" s="26" t="str">
        <f>IF(OR(F909 = "", G909 = ""), "", IF(F909 = "Vara", IFERROR(_xlfn.SINGLE(_xlfn.XLOOKUP(G909, Vöruskrá!A:A, Vöruskrá!E:E, "")), ""), IF(F909 = "Réttur", IFERROR(_xlfn.SINGLE(_xlfn.XLOOKUP(G909, Réttabanki!A:A, Réttabanki!AS:AS, "")), ""), "")))</f>
        <v/>
      </c>
      <c r="M909" s="26" t="str">
        <f>IF(OR(F909 = "", G909 = ""), "", IF(F909 = "Vara", IFERROR(_xlfn.SINGLE(_xlfn.XLOOKUP(G909, Vöruskrá!A:A, Vöruskrá!F:F, "")), ""), IF(F909 = "Réttur", IFERROR(_xlfn.SINGLE(_xlfn.XLOOKUP(G909, Réttabanki!A:A, Réttabanki!AT:AT, "")), ""), "")))</f>
        <v/>
      </c>
      <c r="N909" s="26" t="str">
        <f>IF(OR(F909 = "", G909 = ""), "", IF(F909 = "Vara", IFERROR(_xlfn.SINGLE(_xlfn.XLOOKUP(G909, Vöruskrá!A:A, Vöruskrá!G:G, "")), ""), IF(F909 = "Réttur", IFERROR(_xlfn.SINGLE(_xlfn.XLOOKUP(G909, Réttabanki!A:A, Réttabanki!AU:AU, "")), ""), "")))</f>
        <v/>
      </c>
      <c r="O909" s="26" t="str">
        <f>IF(OR(F909 = "", G909 = "", I909 = ""), "", IF(F909 = "Vara", IFERROR(_xlfn.SINGLE(_xlfn.XLOOKUP(G909, Vöruskrá!A:A, Vöruskrá!I:I, "")) * I909 / 100, ""), IF(F909 = "Réttur", IFERROR(_xlfn.SINGLE(_xlfn.XLOOKUP(G909, Réttabanki!A:A, Réttabanki!AV:AV, "")) * I909 / 100, ""), "")))</f>
        <v/>
      </c>
      <c r="P909" s="26" t="str">
        <f>IF(OR(F909 = "", G909 = "", I909 = ""), "", IF(F909 = "Vara", IFERROR(_xlfn.SINGLE(_xlfn.XLOOKUP(G909, Vöruskrá!A:A, Vöruskrá!J:J, "")) * I909 / 100, ""), IF(F909 = "Réttur", IFERROR(_xlfn.SINGLE(_xlfn.XLOOKUP(G909, Réttabanki!A:A, Réttabanki!AW:AW, "")) * I909 / 100, ""), "")))</f>
        <v/>
      </c>
      <c r="Q909" s="26" t="str">
        <f>IF(OR(F909 = "", G909 = "", I909 = ""), "", IF(F909 = "Vara", IFERROR(_xlfn.SINGLE(_xlfn.XLOOKUP(G909, Vöruskrá!A:A, Vöruskrá!N:N, "")) * I909 / 100, ""), IF(F909 = "Réttur", IFERROR(_xlfn.SINGLE(_xlfn.XLOOKUP(G909, Réttabanki!A:A, Réttabanki!BB:BB, "")) * I909 / 100, ""), "")))</f>
        <v/>
      </c>
    </row>
    <row r="910" spans="2:17">
      <c r="B910" s="33" t="str">
        <f>IF(A910&lt;&gt;"",CHOOSE(WEEKDAY(A910,2),"Mánudagur","Þriðjudagur","Miðvikudagur","Fimmtudagur","Föstudagur","Laugardagur","Sunnudagur"),IF(B909&lt;&gt;"",B909,""))</f>
        <v>Fimmtudagur</v>
      </c>
      <c r="C910" s="33">
        <f>IF(A910&lt;&gt;"",WEEKNUM(A910,21),IF(C909&lt;&gt;"",C909,""))</f>
        <v>27</v>
      </c>
      <c r="D910" s="34"/>
      <c r="E910" s="34"/>
      <c r="F910" s="34"/>
      <c r="G910" s="34"/>
      <c r="H910" s="34"/>
      <c r="I910" s="35"/>
      <c r="J910" s="35"/>
      <c r="K910" s="36"/>
      <c r="L910" s="26" t="str">
        <f>IF(OR(F910 = "", G910 = ""), "", IF(F910 = "Vara", IFERROR(_xlfn.SINGLE(_xlfn.XLOOKUP(G910, Vöruskrá!A:A, Vöruskrá!E:E, "")), ""), IF(F910 = "Réttur", IFERROR(_xlfn.SINGLE(_xlfn.XLOOKUP(G910, Réttabanki!A:A, Réttabanki!AS:AS, "")), ""), "")))</f>
        <v/>
      </c>
      <c r="M910" s="26" t="str">
        <f>IF(OR(F910 = "", G910 = ""), "", IF(F910 = "Vara", IFERROR(_xlfn.SINGLE(_xlfn.XLOOKUP(G910, Vöruskrá!A:A, Vöruskrá!F:F, "")), ""), IF(F910 = "Réttur", IFERROR(_xlfn.SINGLE(_xlfn.XLOOKUP(G910, Réttabanki!A:A, Réttabanki!AT:AT, "")), ""), "")))</f>
        <v/>
      </c>
      <c r="N910" s="26" t="str">
        <f>IF(OR(F910 = "", G910 = ""), "", IF(F910 = "Vara", IFERROR(_xlfn.SINGLE(_xlfn.XLOOKUP(G910, Vöruskrá!A:A, Vöruskrá!G:G, "")), ""), IF(F910 = "Réttur", IFERROR(_xlfn.SINGLE(_xlfn.XLOOKUP(G910, Réttabanki!A:A, Réttabanki!AU:AU, "")), ""), "")))</f>
        <v/>
      </c>
      <c r="O910" s="26" t="str">
        <f>IF(OR(F910 = "", G910 = "", I910 = ""), "", IF(F910 = "Vara", IFERROR(_xlfn.SINGLE(_xlfn.XLOOKUP(G910, Vöruskrá!A:A, Vöruskrá!I:I, "")) * I910 / 100, ""), IF(F910 = "Réttur", IFERROR(_xlfn.SINGLE(_xlfn.XLOOKUP(G910, Réttabanki!A:A, Réttabanki!AV:AV, "")) * I910 / 100, ""), "")))</f>
        <v/>
      </c>
      <c r="P910" s="26" t="str">
        <f>IF(OR(F910 = "", G910 = "", I910 = ""), "", IF(F910 = "Vara", IFERROR(_xlfn.SINGLE(_xlfn.XLOOKUP(G910, Vöruskrá!A:A, Vöruskrá!J:J, "")) * I910 / 100, ""), IF(F910 = "Réttur", IFERROR(_xlfn.SINGLE(_xlfn.XLOOKUP(G910, Réttabanki!A:A, Réttabanki!AW:AW, "")) * I910 / 100, ""), "")))</f>
        <v/>
      </c>
      <c r="Q910" s="26" t="str">
        <f>IF(OR(F910 = "", G910 = "", I910 = ""), "", IF(F910 = "Vara", IFERROR(_xlfn.SINGLE(_xlfn.XLOOKUP(G910, Vöruskrá!A:A, Vöruskrá!N:N, "")) * I910 / 100, ""), IF(F910 = "Réttur", IFERROR(_xlfn.SINGLE(_xlfn.XLOOKUP(G910, Réttabanki!A:A, Réttabanki!BB:BB, "")) * I910 / 100, ""), "")))</f>
        <v/>
      </c>
    </row>
    <row r="911" spans="2:17">
      <c r="B911" s="33" t="str">
        <f>IF(A911&lt;&gt;"",CHOOSE(WEEKDAY(A911,2),"Mánudagur","Þriðjudagur","Miðvikudagur","Fimmtudagur","Föstudagur","Laugardagur","Sunnudagur"),IF(B910&lt;&gt;"",B910,""))</f>
        <v>Fimmtudagur</v>
      </c>
      <c r="C911" s="33">
        <f>IF(A911&lt;&gt;"",WEEKNUM(A911,21),IF(C910&lt;&gt;"",C910,""))</f>
        <v>27</v>
      </c>
      <c r="D911" s="34"/>
      <c r="E911" s="34"/>
      <c r="F911" s="34"/>
      <c r="G911" s="34"/>
      <c r="H911" s="34"/>
      <c r="I911" s="35"/>
      <c r="J911" s="35"/>
      <c r="K911" s="36"/>
      <c r="L911" s="26" t="str">
        <f>IF(OR(F911 = "", G911 = ""), "", IF(F911 = "Vara", IFERROR(_xlfn.SINGLE(_xlfn.XLOOKUP(G911, Vöruskrá!A:A, Vöruskrá!E:E, "")), ""), IF(F911 = "Réttur", IFERROR(_xlfn.SINGLE(_xlfn.XLOOKUP(G911, Réttabanki!A:A, Réttabanki!AS:AS, "")), ""), "")))</f>
        <v/>
      </c>
      <c r="M911" s="26" t="str">
        <f>IF(OR(F911 = "", G911 = ""), "", IF(F911 = "Vara", IFERROR(_xlfn.SINGLE(_xlfn.XLOOKUP(G911, Vöruskrá!A:A, Vöruskrá!F:F, "")), ""), IF(F911 = "Réttur", IFERROR(_xlfn.SINGLE(_xlfn.XLOOKUP(G911, Réttabanki!A:A, Réttabanki!AT:AT, "")), ""), "")))</f>
        <v/>
      </c>
      <c r="N911" s="26" t="str">
        <f>IF(OR(F911 = "", G911 = ""), "", IF(F911 = "Vara", IFERROR(_xlfn.SINGLE(_xlfn.XLOOKUP(G911, Vöruskrá!A:A, Vöruskrá!G:G, "")), ""), IF(F911 = "Réttur", IFERROR(_xlfn.SINGLE(_xlfn.XLOOKUP(G911, Réttabanki!A:A, Réttabanki!AU:AU, "")), ""), "")))</f>
        <v/>
      </c>
      <c r="O911" s="26" t="str">
        <f>IF(OR(F911 = "", G911 = "", I911 = ""), "", IF(F911 = "Vara", IFERROR(_xlfn.SINGLE(_xlfn.XLOOKUP(G911, Vöruskrá!A:A, Vöruskrá!I:I, "")) * I911 / 100, ""), IF(F911 = "Réttur", IFERROR(_xlfn.SINGLE(_xlfn.XLOOKUP(G911, Réttabanki!A:A, Réttabanki!AV:AV, "")) * I911 / 100, ""), "")))</f>
        <v/>
      </c>
      <c r="P911" s="26" t="str">
        <f>IF(OR(F911 = "", G911 = "", I911 = ""), "", IF(F911 = "Vara", IFERROR(_xlfn.SINGLE(_xlfn.XLOOKUP(G911, Vöruskrá!A:A, Vöruskrá!J:J, "")) * I911 / 100, ""), IF(F911 = "Réttur", IFERROR(_xlfn.SINGLE(_xlfn.XLOOKUP(G911, Réttabanki!A:A, Réttabanki!AW:AW, "")) * I911 / 100, ""), "")))</f>
        <v/>
      </c>
      <c r="Q911" s="26" t="str">
        <f>IF(OR(F911 = "", G911 = "", I911 = ""), "", IF(F911 = "Vara", IFERROR(_xlfn.SINGLE(_xlfn.XLOOKUP(G911, Vöruskrá!A:A, Vöruskrá!N:N, "")) * I911 / 100, ""), IF(F911 = "Réttur", IFERROR(_xlfn.SINGLE(_xlfn.XLOOKUP(G911, Réttabanki!A:A, Réttabanki!BB:BB, "")) * I911 / 100, ""), "")))</f>
        <v/>
      </c>
    </row>
    <row r="912" spans="2:17">
      <c r="B912" s="33" t="str">
        <f>IF(A912&lt;&gt;"",CHOOSE(WEEKDAY(A912,2),"Mánudagur","Þriðjudagur","Miðvikudagur","Fimmtudagur","Föstudagur","Laugardagur","Sunnudagur"),IF(B911&lt;&gt;"",B911,""))</f>
        <v>Fimmtudagur</v>
      </c>
      <c r="C912" s="33">
        <f>IF(A912&lt;&gt;"",WEEKNUM(A912,21),IF(C911&lt;&gt;"",C911,""))</f>
        <v>27</v>
      </c>
      <c r="D912" s="34"/>
      <c r="E912" s="34"/>
      <c r="F912" s="34"/>
      <c r="G912" s="34"/>
      <c r="H912" s="34"/>
      <c r="I912" s="35"/>
      <c r="J912" s="35"/>
      <c r="K912" s="36"/>
      <c r="L912" s="26" t="str">
        <f>IF(OR(F912 = "", G912 = ""), "", IF(F912 = "Vara", IFERROR(_xlfn.SINGLE(_xlfn.XLOOKUP(G912, Vöruskrá!A:A, Vöruskrá!E:E, "")), ""), IF(F912 = "Réttur", IFERROR(_xlfn.SINGLE(_xlfn.XLOOKUP(G912, Réttabanki!A:A, Réttabanki!AS:AS, "")), ""), "")))</f>
        <v/>
      </c>
      <c r="M912" s="26" t="str">
        <f>IF(OR(F912 = "", G912 = ""), "", IF(F912 = "Vara", IFERROR(_xlfn.SINGLE(_xlfn.XLOOKUP(G912, Vöruskrá!A:A, Vöruskrá!F:F, "")), ""), IF(F912 = "Réttur", IFERROR(_xlfn.SINGLE(_xlfn.XLOOKUP(G912, Réttabanki!A:A, Réttabanki!AT:AT, "")), ""), "")))</f>
        <v/>
      </c>
      <c r="N912" s="26" t="str">
        <f>IF(OR(F912 = "", G912 = ""), "", IF(F912 = "Vara", IFERROR(_xlfn.SINGLE(_xlfn.XLOOKUP(G912, Vöruskrá!A:A, Vöruskrá!G:G, "")), ""), IF(F912 = "Réttur", IFERROR(_xlfn.SINGLE(_xlfn.XLOOKUP(G912, Réttabanki!A:A, Réttabanki!AU:AU, "")), ""), "")))</f>
        <v/>
      </c>
      <c r="O912" s="26" t="str">
        <f>IF(OR(F912 = "", G912 = "", I912 = ""), "", IF(F912 = "Vara", IFERROR(_xlfn.SINGLE(_xlfn.XLOOKUP(G912, Vöruskrá!A:A, Vöruskrá!I:I, "")) * I912 / 100, ""), IF(F912 = "Réttur", IFERROR(_xlfn.SINGLE(_xlfn.XLOOKUP(G912, Réttabanki!A:A, Réttabanki!AV:AV, "")) * I912 / 100, ""), "")))</f>
        <v/>
      </c>
      <c r="P912" s="26" t="str">
        <f>IF(OR(F912 = "", G912 = "", I912 = ""), "", IF(F912 = "Vara", IFERROR(_xlfn.SINGLE(_xlfn.XLOOKUP(G912, Vöruskrá!A:A, Vöruskrá!J:J, "")) * I912 / 100, ""), IF(F912 = "Réttur", IFERROR(_xlfn.SINGLE(_xlfn.XLOOKUP(G912, Réttabanki!A:A, Réttabanki!AW:AW, "")) * I912 / 100, ""), "")))</f>
        <v/>
      </c>
      <c r="Q912" s="26" t="str">
        <f>IF(OR(F912 = "", G912 = "", I912 = ""), "", IF(F912 = "Vara", IFERROR(_xlfn.SINGLE(_xlfn.XLOOKUP(G912, Vöruskrá!A:A, Vöruskrá!N:N, "")) * I912 / 100, ""), IF(F912 = "Réttur", IFERROR(_xlfn.SINGLE(_xlfn.XLOOKUP(G912, Réttabanki!A:A, Réttabanki!BB:BB, "")) * I912 / 100, ""), "")))</f>
        <v/>
      </c>
    </row>
    <row r="913" spans="2:17">
      <c r="B913" s="33" t="str">
        <f>IF(A913&lt;&gt;"",CHOOSE(WEEKDAY(A913,2),"Mánudagur","Þriðjudagur","Miðvikudagur","Fimmtudagur","Föstudagur","Laugardagur","Sunnudagur"),IF(B912&lt;&gt;"",B912,""))</f>
        <v>Fimmtudagur</v>
      </c>
      <c r="C913" s="33">
        <f>IF(A913&lt;&gt;"",WEEKNUM(A913,21),IF(C912&lt;&gt;"",C912,""))</f>
        <v>27</v>
      </c>
      <c r="D913" s="34"/>
      <c r="E913" s="34"/>
      <c r="F913" s="34"/>
      <c r="G913" s="34"/>
      <c r="H913" s="34"/>
      <c r="I913" s="35"/>
      <c r="J913" s="35"/>
      <c r="K913" s="36"/>
      <c r="L913" s="26" t="str">
        <f>IF(OR(F913 = "", G913 = ""), "", IF(F913 = "Vara", IFERROR(_xlfn.SINGLE(_xlfn.XLOOKUP(G913, Vöruskrá!A:A, Vöruskrá!E:E, "")), ""), IF(F913 = "Réttur", IFERROR(_xlfn.SINGLE(_xlfn.XLOOKUP(G913, Réttabanki!A:A, Réttabanki!AS:AS, "")), ""), "")))</f>
        <v/>
      </c>
      <c r="M913" s="26" t="str">
        <f>IF(OR(F913 = "", G913 = ""), "", IF(F913 = "Vara", IFERROR(_xlfn.SINGLE(_xlfn.XLOOKUP(G913, Vöruskrá!A:A, Vöruskrá!F:F, "")), ""), IF(F913 = "Réttur", IFERROR(_xlfn.SINGLE(_xlfn.XLOOKUP(G913, Réttabanki!A:A, Réttabanki!AT:AT, "")), ""), "")))</f>
        <v/>
      </c>
      <c r="N913" s="26" t="str">
        <f>IF(OR(F913 = "", G913 = ""), "", IF(F913 = "Vara", IFERROR(_xlfn.SINGLE(_xlfn.XLOOKUP(G913, Vöruskrá!A:A, Vöruskrá!G:G, "")), ""), IF(F913 = "Réttur", IFERROR(_xlfn.SINGLE(_xlfn.XLOOKUP(G913, Réttabanki!A:A, Réttabanki!AU:AU, "")), ""), "")))</f>
        <v/>
      </c>
      <c r="O913" s="26" t="str">
        <f>IF(OR(F913 = "", G913 = "", I913 = ""), "", IF(F913 = "Vara", IFERROR(_xlfn.SINGLE(_xlfn.XLOOKUP(G913, Vöruskrá!A:A, Vöruskrá!I:I, "")) * I913 / 100, ""), IF(F913 = "Réttur", IFERROR(_xlfn.SINGLE(_xlfn.XLOOKUP(G913, Réttabanki!A:A, Réttabanki!AV:AV, "")) * I913 / 100, ""), "")))</f>
        <v/>
      </c>
      <c r="P913" s="26" t="str">
        <f>IF(OR(F913 = "", G913 = "", I913 = ""), "", IF(F913 = "Vara", IFERROR(_xlfn.SINGLE(_xlfn.XLOOKUP(G913, Vöruskrá!A:A, Vöruskrá!J:J, "")) * I913 / 100, ""), IF(F913 = "Réttur", IFERROR(_xlfn.SINGLE(_xlfn.XLOOKUP(G913, Réttabanki!A:A, Réttabanki!AW:AW, "")) * I913 / 100, ""), "")))</f>
        <v/>
      </c>
      <c r="Q913" s="26" t="str">
        <f>IF(OR(F913 = "", G913 = "", I913 = ""), "", IF(F913 = "Vara", IFERROR(_xlfn.SINGLE(_xlfn.XLOOKUP(G913, Vöruskrá!A:A, Vöruskrá!N:N, "")) * I913 / 100, ""), IF(F913 = "Réttur", IFERROR(_xlfn.SINGLE(_xlfn.XLOOKUP(G913, Réttabanki!A:A, Réttabanki!BB:BB, "")) * I913 / 100, ""), "")))</f>
        <v/>
      </c>
    </row>
    <row r="914" spans="2:17">
      <c r="B914" s="33" t="str">
        <f>IF(A914&lt;&gt;"",CHOOSE(WEEKDAY(A914,2),"Mánudagur","Þriðjudagur","Miðvikudagur","Fimmtudagur","Föstudagur","Laugardagur","Sunnudagur"),IF(B913&lt;&gt;"",B913,""))</f>
        <v>Fimmtudagur</v>
      </c>
      <c r="C914" s="33">
        <f>IF(A914&lt;&gt;"",WEEKNUM(A914,21),IF(C913&lt;&gt;"",C913,""))</f>
        <v>27</v>
      </c>
      <c r="D914" s="34"/>
      <c r="E914" s="34"/>
      <c r="F914" s="34"/>
      <c r="G914" s="34"/>
      <c r="H914" s="34"/>
      <c r="I914" s="35"/>
      <c r="J914" s="35"/>
      <c r="K914" s="36"/>
      <c r="L914" s="26" t="str">
        <f>IF(OR(F914 = "", G914 = ""), "", IF(F914 = "Vara", IFERROR(_xlfn.SINGLE(_xlfn.XLOOKUP(G914, Vöruskrá!A:A, Vöruskrá!E:E, "")), ""), IF(F914 = "Réttur", IFERROR(_xlfn.SINGLE(_xlfn.XLOOKUP(G914, Réttabanki!A:A, Réttabanki!AS:AS, "")), ""), "")))</f>
        <v/>
      </c>
      <c r="M914" s="26" t="str">
        <f>IF(OR(F914 = "", G914 = ""), "", IF(F914 = "Vara", IFERROR(_xlfn.SINGLE(_xlfn.XLOOKUP(G914, Vöruskrá!A:A, Vöruskrá!F:F, "")), ""), IF(F914 = "Réttur", IFERROR(_xlfn.SINGLE(_xlfn.XLOOKUP(G914, Réttabanki!A:A, Réttabanki!AT:AT, "")), ""), "")))</f>
        <v/>
      </c>
      <c r="N914" s="26" t="str">
        <f>IF(OR(F914 = "", G914 = ""), "", IF(F914 = "Vara", IFERROR(_xlfn.SINGLE(_xlfn.XLOOKUP(G914, Vöruskrá!A:A, Vöruskrá!G:G, "")), ""), IF(F914 = "Réttur", IFERROR(_xlfn.SINGLE(_xlfn.XLOOKUP(G914, Réttabanki!A:A, Réttabanki!AU:AU, "")), ""), "")))</f>
        <v/>
      </c>
      <c r="O914" s="26" t="str">
        <f>IF(OR(F914 = "", G914 = "", I914 = ""), "", IF(F914 = "Vara", IFERROR(_xlfn.SINGLE(_xlfn.XLOOKUP(G914, Vöruskrá!A:A, Vöruskrá!I:I, "")) * I914 / 100, ""), IF(F914 = "Réttur", IFERROR(_xlfn.SINGLE(_xlfn.XLOOKUP(G914, Réttabanki!A:A, Réttabanki!AV:AV, "")) * I914 / 100, ""), "")))</f>
        <v/>
      </c>
      <c r="P914" s="26" t="str">
        <f>IF(OR(F914 = "", G914 = "", I914 = ""), "", IF(F914 = "Vara", IFERROR(_xlfn.SINGLE(_xlfn.XLOOKUP(G914, Vöruskrá!A:A, Vöruskrá!J:J, "")) * I914 / 100, ""), IF(F914 = "Réttur", IFERROR(_xlfn.SINGLE(_xlfn.XLOOKUP(G914, Réttabanki!A:A, Réttabanki!AW:AW, "")) * I914 / 100, ""), "")))</f>
        <v/>
      </c>
      <c r="Q914" s="26" t="str">
        <f>IF(OR(F914 = "", G914 = "", I914 = ""), "", IF(F914 = "Vara", IFERROR(_xlfn.SINGLE(_xlfn.XLOOKUP(G914, Vöruskrá!A:A, Vöruskrá!N:N, "")) * I914 / 100, ""), IF(F914 = "Réttur", IFERROR(_xlfn.SINGLE(_xlfn.XLOOKUP(G914, Réttabanki!A:A, Réttabanki!BB:BB, "")) * I914 / 100, ""), "")))</f>
        <v/>
      </c>
    </row>
    <row r="915" spans="2:17">
      <c r="B915" s="33" t="str">
        <f>IF(A915&lt;&gt;"",CHOOSE(WEEKDAY(A915,2),"Mánudagur","Þriðjudagur","Miðvikudagur","Fimmtudagur","Föstudagur","Laugardagur","Sunnudagur"),IF(B914&lt;&gt;"",B914,""))</f>
        <v>Fimmtudagur</v>
      </c>
      <c r="C915" s="33">
        <f>IF(A915&lt;&gt;"",WEEKNUM(A915,21),IF(C914&lt;&gt;"",C914,""))</f>
        <v>27</v>
      </c>
      <c r="D915" s="34"/>
      <c r="E915" s="34"/>
      <c r="F915" s="34"/>
      <c r="G915" s="34"/>
      <c r="H915" s="34"/>
      <c r="I915" s="35"/>
      <c r="J915" s="35"/>
      <c r="K915" s="36"/>
      <c r="L915" s="26" t="str">
        <f>IF(OR(F915 = "", G915 = ""), "", IF(F915 = "Vara", IFERROR(_xlfn.SINGLE(_xlfn.XLOOKUP(G915, Vöruskrá!A:A, Vöruskrá!E:E, "")), ""), IF(F915 = "Réttur", IFERROR(_xlfn.SINGLE(_xlfn.XLOOKUP(G915, Réttabanki!A:A, Réttabanki!AS:AS, "")), ""), "")))</f>
        <v/>
      </c>
      <c r="M915" s="26" t="str">
        <f>IF(OR(F915 = "", G915 = ""), "", IF(F915 = "Vara", IFERROR(_xlfn.SINGLE(_xlfn.XLOOKUP(G915, Vöruskrá!A:A, Vöruskrá!F:F, "")), ""), IF(F915 = "Réttur", IFERROR(_xlfn.SINGLE(_xlfn.XLOOKUP(G915, Réttabanki!A:A, Réttabanki!AT:AT, "")), ""), "")))</f>
        <v/>
      </c>
      <c r="N915" s="26" t="str">
        <f>IF(OR(F915 = "", G915 = ""), "", IF(F915 = "Vara", IFERROR(_xlfn.SINGLE(_xlfn.XLOOKUP(G915, Vöruskrá!A:A, Vöruskrá!G:G, "")), ""), IF(F915 = "Réttur", IFERROR(_xlfn.SINGLE(_xlfn.XLOOKUP(G915, Réttabanki!A:A, Réttabanki!AU:AU, "")), ""), "")))</f>
        <v/>
      </c>
      <c r="O915" s="26" t="str">
        <f>IF(OR(F915 = "", G915 = "", I915 = ""), "", IF(F915 = "Vara", IFERROR(_xlfn.SINGLE(_xlfn.XLOOKUP(G915, Vöruskrá!A:A, Vöruskrá!I:I, "")) * I915 / 100, ""), IF(F915 = "Réttur", IFERROR(_xlfn.SINGLE(_xlfn.XLOOKUP(G915, Réttabanki!A:A, Réttabanki!AV:AV, "")) * I915 / 100, ""), "")))</f>
        <v/>
      </c>
      <c r="P915" s="26" t="str">
        <f>IF(OR(F915 = "", G915 = "", I915 = ""), "", IF(F915 = "Vara", IFERROR(_xlfn.SINGLE(_xlfn.XLOOKUP(G915, Vöruskrá!A:A, Vöruskrá!J:J, "")) * I915 / 100, ""), IF(F915 = "Réttur", IFERROR(_xlfn.SINGLE(_xlfn.XLOOKUP(G915, Réttabanki!A:A, Réttabanki!AW:AW, "")) * I915 / 100, ""), "")))</f>
        <v/>
      </c>
      <c r="Q915" s="26" t="str">
        <f>IF(OR(F915 = "", G915 = "", I915 = ""), "", IF(F915 = "Vara", IFERROR(_xlfn.SINGLE(_xlfn.XLOOKUP(G915, Vöruskrá!A:A, Vöruskrá!N:N, "")) * I915 / 100, ""), IF(F915 = "Réttur", IFERROR(_xlfn.SINGLE(_xlfn.XLOOKUP(G915, Réttabanki!A:A, Réttabanki!BB:BB, "")) * I915 / 100, ""), "")))</f>
        <v/>
      </c>
    </row>
    <row r="916" spans="2:17">
      <c r="B916" s="33" t="str">
        <f>IF(A916&lt;&gt;"",CHOOSE(WEEKDAY(A916,2),"Mánudagur","Þriðjudagur","Miðvikudagur","Fimmtudagur","Föstudagur","Laugardagur","Sunnudagur"),IF(B915&lt;&gt;"",B915,""))</f>
        <v>Fimmtudagur</v>
      </c>
      <c r="C916" s="33">
        <f>IF(A916&lt;&gt;"",WEEKNUM(A916,21),IF(C915&lt;&gt;"",C915,""))</f>
        <v>27</v>
      </c>
      <c r="D916" s="34"/>
      <c r="E916" s="34"/>
      <c r="F916" s="34"/>
      <c r="G916" s="34"/>
      <c r="H916" s="34"/>
      <c r="I916" s="35"/>
      <c r="J916" s="35"/>
      <c r="K916" s="36"/>
      <c r="L916" s="26" t="str">
        <f>IF(OR(F916 = "", G916 = ""), "", IF(F916 = "Vara", IFERROR(_xlfn.SINGLE(_xlfn.XLOOKUP(G916, Vöruskrá!A:A, Vöruskrá!E:E, "")), ""), IF(F916 = "Réttur", IFERROR(_xlfn.SINGLE(_xlfn.XLOOKUP(G916, Réttabanki!A:A, Réttabanki!AS:AS, "")), ""), "")))</f>
        <v/>
      </c>
      <c r="M916" s="26" t="str">
        <f>IF(OR(F916 = "", G916 = ""), "", IF(F916 = "Vara", IFERROR(_xlfn.SINGLE(_xlfn.XLOOKUP(G916, Vöruskrá!A:A, Vöruskrá!F:F, "")), ""), IF(F916 = "Réttur", IFERROR(_xlfn.SINGLE(_xlfn.XLOOKUP(G916, Réttabanki!A:A, Réttabanki!AT:AT, "")), ""), "")))</f>
        <v/>
      </c>
      <c r="N916" s="26" t="str">
        <f>IF(OR(F916 = "", G916 = ""), "", IF(F916 = "Vara", IFERROR(_xlfn.SINGLE(_xlfn.XLOOKUP(G916, Vöruskrá!A:A, Vöruskrá!G:G, "")), ""), IF(F916 = "Réttur", IFERROR(_xlfn.SINGLE(_xlfn.XLOOKUP(G916, Réttabanki!A:A, Réttabanki!AU:AU, "")), ""), "")))</f>
        <v/>
      </c>
      <c r="O916" s="26" t="str">
        <f>IF(OR(F916 = "", G916 = "", I916 = ""), "", IF(F916 = "Vara", IFERROR(_xlfn.SINGLE(_xlfn.XLOOKUP(G916, Vöruskrá!A:A, Vöruskrá!I:I, "")) * I916 / 100, ""), IF(F916 = "Réttur", IFERROR(_xlfn.SINGLE(_xlfn.XLOOKUP(G916, Réttabanki!A:A, Réttabanki!AV:AV, "")) * I916 / 100, ""), "")))</f>
        <v/>
      </c>
      <c r="P916" s="26" t="str">
        <f>IF(OR(F916 = "", G916 = "", I916 = ""), "", IF(F916 = "Vara", IFERROR(_xlfn.SINGLE(_xlfn.XLOOKUP(G916, Vöruskrá!A:A, Vöruskrá!J:J, "")) * I916 / 100, ""), IF(F916 = "Réttur", IFERROR(_xlfn.SINGLE(_xlfn.XLOOKUP(G916, Réttabanki!A:A, Réttabanki!AW:AW, "")) * I916 / 100, ""), "")))</f>
        <v/>
      </c>
      <c r="Q916" s="26" t="str">
        <f>IF(OR(F916 = "", G916 = "", I916 = ""), "", IF(F916 = "Vara", IFERROR(_xlfn.SINGLE(_xlfn.XLOOKUP(G916, Vöruskrá!A:A, Vöruskrá!N:N, "")) * I916 / 100, ""), IF(F916 = "Réttur", IFERROR(_xlfn.SINGLE(_xlfn.XLOOKUP(G916, Réttabanki!A:A, Réttabanki!BB:BB, "")) * I916 / 100, ""), "")))</f>
        <v/>
      </c>
    </row>
    <row r="917" spans="2:17">
      <c r="B917" s="33" t="str">
        <f>IF(A917&lt;&gt;"",CHOOSE(WEEKDAY(A917,2),"Mánudagur","Þriðjudagur","Miðvikudagur","Fimmtudagur","Föstudagur","Laugardagur","Sunnudagur"),IF(B916&lt;&gt;"",B916,""))</f>
        <v>Fimmtudagur</v>
      </c>
      <c r="C917" s="33">
        <f>IF(A917&lt;&gt;"",WEEKNUM(A917,21),IF(C916&lt;&gt;"",C916,""))</f>
        <v>27</v>
      </c>
      <c r="D917" s="34"/>
      <c r="E917" s="34"/>
      <c r="F917" s="34"/>
      <c r="G917" s="34"/>
      <c r="H917" s="34"/>
      <c r="I917" s="35"/>
      <c r="J917" s="35"/>
      <c r="K917" s="36"/>
      <c r="L917" s="26" t="str">
        <f>IF(OR(F917 = "", G917 = ""), "", IF(F917 = "Vara", IFERROR(_xlfn.SINGLE(_xlfn.XLOOKUP(G917, Vöruskrá!A:A, Vöruskrá!E:E, "")), ""), IF(F917 = "Réttur", IFERROR(_xlfn.SINGLE(_xlfn.XLOOKUP(G917, Réttabanki!A:A, Réttabanki!AS:AS, "")), ""), "")))</f>
        <v/>
      </c>
      <c r="M917" s="26" t="str">
        <f>IF(OR(F917 = "", G917 = ""), "", IF(F917 = "Vara", IFERROR(_xlfn.SINGLE(_xlfn.XLOOKUP(G917, Vöruskrá!A:A, Vöruskrá!F:F, "")), ""), IF(F917 = "Réttur", IFERROR(_xlfn.SINGLE(_xlfn.XLOOKUP(G917, Réttabanki!A:A, Réttabanki!AT:AT, "")), ""), "")))</f>
        <v/>
      </c>
      <c r="N917" s="26" t="str">
        <f>IF(OR(F917 = "", G917 = ""), "", IF(F917 = "Vara", IFERROR(_xlfn.SINGLE(_xlfn.XLOOKUP(G917, Vöruskrá!A:A, Vöruskrá!G:G, "")), ""), IF(F917 = "Réttur", IFERROR(_xlfn.SINGLE(_xlfn.XLOOKUP(G917, Réttabanki!A:A, Réttabanki!AU:AU, "")), ""), "")))</f>
        <v/>
      </c>
      <c r="O917" s="26" t="str">
        <f>IF(OR(F917 = "", G917 = "", I917 = ""), "", IF(F917 = "Vara", IFERROR(_xlfn.SINGLE(_xlfn.XLOOKUP(G917, Vöruskrá!A:A, Vöruskrá!I:I, "")) * I917 / 100, ""), IF(F917 = "Réttur", IFERROR(_xlfn.SINGLE(_xlfn.XLOOKUP(G917, Réttabanki!A:A, Réttabanki!AV:AV, "")) * I917 / 100, ""), "")))</f>
        <v/>
      </c>
      <c r="P917" s="26" t="str">
        <f>IF(OR(F917 = "", G917 = "", I917 = ""), "", IF(F917 = "Vara", IFERROR(_xlfn.SINGLE(_xlfn.XLOOKUP(G917, Vöruskrá!A:A, Vöruskrá!J:J, "")) * I917 / 100, ""), IF(F917 = "Réttur", IFERROR(_xlfn.SINGLE(_xlfn.XLOOKUP(G917, Réttabanki!A:A, Réttabanki!AW:AW, "")) * I917 / 100, ""), "")))</f>
        <v/>
      </c>
      <c r="Q917" s="26" t="str">
        <f>IF(OR(F917 = "", G917 = "", I917 = ""), "", IF(F917 = "Vara", IFERROR(_xlfn.SINGLE(_xlfn.XLOOKUP(G917, Vöruskrá!A:A, Vöruskrá!N:N, "")) * I917 / 100, ""), IF(F917 = "Réttur", IFERROR(_xlfn.SINGLE(_xlfn.XLOOKUP(G917, Réttabanki!A:A, Réttabanki!BB:BB, "")) * I917 / 100, ""), "")))</f>
        <v/>
      </c>
    </row>
    <row r="918" spans="2:17">
      <c r="B918" s="33" t="str">
        <f>IF(A918&lt;&gt;"",CHOOSE(WEEKDAY(A918,2),"Mánudagur","Þriðjudagur","Miðvikudagur","Fimmtudagur","Föstudagur","Laugardagur","Sunnudagur"),IF(B917&lt;&gt;"",B917,""))</f>
        <v>Fimmtudagur</v>
      </c>
      <c r="C918" s="33">
        <f>IF(A918&lt;&gt;"",WEEKNUM(A918,21),IF(C917&lt;&gt;"",C917,""))</f>
        <v>27</v>
      </c>
      <c r="D918" s="34"/>
      <c r="E918" s="34"/>
      <c r="F918" s="34"/>
      <c r="G918" s="34"/>
      <c r="H918" s="34"/>
      <c r="I918" s="35"/>
      <c r="J918" s="35"/>
      <c r="K918" s="36"/>
      <c r="L918" s="26" t="str">
        <f>IF(OR(F918 = "", G918 = ""), "", IF(F918 = "Vara", IFERROR(_xlfn.SINGLE(_xlfn.XLOOKUP(G918, Vöruskrá!A:A, Vöruskrá!E:E, "")), ""), IF(F918 = "Réttur", IFERROR(_xlfn.SINGLE(_xlfn.XLOOKUP(G918, Réttabanki!A:A, Réttabanki!AS:AS, "")), ""), "")))</f>
        <v/>
      </c>
      <c r="M918" s="26" t="str">
        <f>IF(OR(F918 = "", G918 = ""), "", IF(F918 = "Vara", IFERROR(_xlfn.SINGLE(_xlfn.XLOOKUP(G918, Vöruskrá!A:A, Vöruskrá!F:F, "")), ""), IF(F918 = "Réttur", IFERROR(_xlfn.SINGLE(_xlfn.XLOOKUP(G918, Réttabanki!A:A, Réttabanki!AT:AT, "")), ""), "")))</f>
        <v/>
      </c>
      <c r="N918" s="26" t="str">
        <f>IF(OR(F918 = "", G918 = ""), "", IF(F918 = "Vara", IFERROR(_xlfn.SINGLE(_xlfn.XLOOKUP(G918, Vöruskrá!A:A, Vöruskrá!G:G, "")), ""), IF(F918 = "Réttur", IFERROR(_xlfn.SINGLE(_xlfn.XLOOKUP(G918, Réttabanki!A:A, Réttabanki!AU:AU, "")), ""), "")))</f>
        <v/>
      </c>
      <c r="O918" s="26" t="str">
        <f>IF(OR(F918 = "", G918 = "", I918 = ""), "", IF(F918 = "Vara", IFERROR(_xlfn.SINGLE(_xlfn.XLOOKUP(G918, Vöruskrá!A:A, Vöruskrá!I:I, "")) * I918 / 100, ""), IF(F918 = "Réttur", IFERROR(_xlfn.SINGLE(_xlfn.XLOOKUP(G918, Réttabanki!A:A, Réttabanki!AV:AV, "")) * I918 / 100, ""), "")))</f>
        <v/>
      </c>
      <c r="P918" s="26" t="str">
        <f>IF(OR(F918 = "", G918 = "", I918 = ""), "", IF(F918 = "Vara", IFERROR(_xlfn.SINGLE(_xlfn.XLOOKUP(G918, Vöruskrá!A:A, Vöruskrá!J:J, "")) * I918 / 100, ""), IF(F918 = "Réttur", IFERROR(_xlfn.SINGLE(_xlfn.XLOOKUP(G918, Réttabanki!A:A, Réttabanki!AW:AW, "")) * I918 / 100, ""), "")))</f>
        <v/>
      </c>
      <c r="Q918" s="26" t="str">
        <f>IF(OR(F918 = "", G918 = "", I918 = ""), "", IF(F918 = "Vara", IFERROR(_xlfn.SINGLE(_xlfn.XLOOKUP(G918, Vöruskrá!A:A, Vöruskrá!N:N, "")) * I918 / 100, ""), IF(F918 = "Réttur", IFERROR(_xlfn.SINGLE(_xlfn.XLOOKUP(G918, Réttabanki!A:A, Réttabanki!BB:BB, "")) * I918 / 100, ""), "")))</f>
        <v/>
      </c>
    </row>
    <row r="919" spans="2:17">
      <c r="B919" s="33" t="str">
        <f>IF(A919&lt;&gt;"",CHOOSE(WEEKDAY(A919,2),"Mánudagur","Þriðjudagur","Miðvikudagur","Fimmtudagur","Föstudagur","Laugardagur","Sunnudagur"),IF(B918&lt;&gt;"",B918,""))</f>
        <v>Fimmtudagur</v>
      </c>
      <c r="C919" s="33">
        <f>IF(A919&lt;&gt;"",WEEKNUM(A919,21),IF(C918&lt;&gt;"",C918,""))</f>
        <v>27</v>
      </c>
      <c r="D919" s="34"/>
      <c r="E919" s="34"/>
      <c r="F919" s="34"/>
      <c r="G919" s="34"/>
      <c r="H919" s="34"/>
      <c r="I919" s="35"/>
      <c r="J919" s="35"/>
      <c r="K919" s="36"/>
      <c r="L919" s="26" t="str">
        <f>IF(OR(F919 = "", G919 = ""), "", IF(F919 = "Vara", IFERROR(_xlfn.SINGLE(_xlfn.XLOOKUP(G919, Vöruskrá!A:A, Vöruskrá!E:E, "")), ""), IF(F919 = "Réttur", IFERROR(_xlfn.SINGLE(_xlfn.XLOOKUP(G919, Réttabanki!A:A, Réttabanki!AS:AS, "")), ""), "")))</f>
        <v/>
      </c>
      <c r="M919" s="26" t="str">
        <f>IF(OR(F919 = "", G919 = ""), "", IF(F919 = "Vara", IFERROR(_xlfn.SINGLE(_xlfn.XLOOKUP(G919, Vöruskrá!A:A, Vöruskrá!F:F, "")), ""), IF(F919 = "Réttur", IFERROR(_xlfn.SINGLE(_xlfn.XLOOKUP(G919, Réttabanki!A:A, Réttabanki!AT:AT, "")), ""), "")))</f>
        <v/>
      </c>
      <c r="N919" s="26" t="str">
        <f>IF(OR(F919 = "", G919 = ""), "", IF(F919 = "Vara", IFERROR(_xlfn.SINGLE(_xlfn.XLOOKUP(G919, Vöruskrá!A:A, Vöruskrá!G:G, "")), ""), IF(F919 = "Réttur", IFERROR(_xlfn.SINGLE(_xlfn.XLOOKUP(G919, Réttabanki!A:A, Réttabanki!AU:AU, "")), ""), "")))</f>
        <v/>
      </c>
      <c r="O919" s="26" t="str">
        <f>IF(OR(F919 = "", G919 = "", I919 = ""), "", IF(F919 = "Vara", IFERROR(_xlfn.SINGLE(_xlfn.XLOOKUP(G919, Vöruskrá!A:A, Vöruskrá!I:I, "")) * I919 / 100, ""), IF(F919 = "Réttur", IFERROR(_xlfn.SINGLE(_xlfn.XLOOKUP(G919, Réttabanki!A:A, Réttabanki!AV:AV, "")) * I919 / 100, ""), "")))</f>
        <v/>
      </c>
      <c r="P919" s="26" t="str">
        <f>IF(OR(F919 = "", G919 = "", I919 = ""), "", IF(F919 = "Vara", IFERROR(_xlfn.SINGLE(_xlfn.XLOOKUP(G919, Vöruskrá!A:A, Vöruskrá!J:J, "")) * I919 / 100, ""), IF(F919 = "Réttur", IFERROR(_xlfn.SINGLE(_xlfn.XLOOKUP(G919, Réttabanki!A:A, Réttabanki!AW:AW, "")) * I919 / 100, ""), "")))</f>
        <v/>
      </c>
      <c r="Q919" s="26" t="str">
        <f>IF(OR(F919 = "", G919 = "", I919 = ""), "", IF(F919 = "Vara", IFERROR(_xlfn.SINGLE(_xlfn.XLOOKUP(G919, Vöruskrá!A:A, Vöruskrá!N:N, "")) * I919 / 100, ""), IF(F919 = "Réttur", IFERROR(_xlfn.SINGLE(_xlfn.XLOOKUP(G919, Réttabanki!A:A, Réttabanki!BB:BB, "")) * I919 / 100, ""), "")))</f>
        <v/>
      </c>
    </row>
    <row r="920" spans="2:17">
      <c r="B920" s="33" t="str">
        <f>IF(A920&lt;&gt;"",CHOOSE(WEEKDAY(A920,2),"Mánudagur","Þriðjudagur","Miðvikudagur","Fimmtudagur","Föstudagur","Laugardagur","Sunnudagur"),IF(B919&lt;&gt;"",B919,""))</f>
        <v>Fimmtudagur</v>
      </c>
      <c r="C920" s="33">
        <f>IF(A920&lt;&gt;"",WEEKNUM(A920,21),IF(C919&lt;&gt;"",C919,""))</f>
        <v>27</v>
      </c>
      <c r="D920" s="34"/>
      <c r="E920" s="34"/>
      <c r="F920" s="34"/>
      <c r="G920" s="34"/>
      <c r="H920" s="34"/>
      <c r="I920" s="35"/>
      <c r="J920" s="35"/>
      <c r="K920" s="36"/>
      <c r="L920" s="26" t="str">
        <f>IF(OR(F920 = "", G920 = ""), "", IF(F920 = "Vara", IFERROR(_xlfn.SINGLE(_xlfn.XLOOKUP(G920, Vöruskrá!A:A, Vöruskrá!E:E, "")), ""), IF(F920 = "Réttur", IFERROR(_xlfn.SINGLE(_xlfn.XLOOKUP(G920, Réttabanki!A:A, Réttabanki!AS:AS, "")), ""), "")))</f>
        <v/>
      </c>
      <c r="M920" s="26" t="str">
        <f>IF(OR(F920 = "", G920 = ""), "", IF(F920 = "Vara", IFERROR(_xlfn.SINGLE(_xlfn.XLOOKUP(G920, Vöruskrá!A:A, Vöruskrá!F:F, "")), ""), IF(F920 = "Réttur", IFERROR(_xlfn.SINGLE(_xlfn.XLOOKUP(G920, Réttabanki!A:A, Réttabanki!AT:AT, "")), ""), "")))</f>
        <v/>
      </c>
      <c r="N920" s="26" t="str">
        <f>IF(OR(F920 = "", G920 = ""), "", IF(F920 = "Vara", IFERROR(_xlfn.SINGLE(_xlfn.XLOOKUP(G920, Vöruskrá!A:A, Vöruskrá!G:G, "")), ""), IF(F920 = "Réttur", IFERROR(_xlfn.SINGLE(_xlfn.XLOOKUP(G920, Réttabanki!A:A, Réttabanki!AU:AU, "")), ""), "")))</f>
        <v/>
      </c>
      <c r="O920" s="26" t="str">
        <f>IF(OR(F920 = "", G920 = "", I920 = ""), "", IF(F920 = "Vara", IFERROR(_xlfn.SINGLE(_xlfn.XLOOKUP(G920, Vöruskrá!A:A, Vöruskrá!I:I, "")) * I920 / 100, ""), IF(F920 = "Réttur", IFERROR(_xlfn.SINGLE(_xlfn.XLOOKUP(G920, Réttabanki!A:A, Réttabanki!AV:AV, "")) * I920 / 100, ""), "")))</f>
        <v/>
      </c>
      <c r="P920" s="26" t="str">
        <f>IF(OR(F920 = "", G920 = "", I920 = ""), "", IF(F920 = "Vara", IFERROR(_xlfn.SINGLE(_xlfn.XLOOKUP(G920, Vöruskrá!A:A, Vöruskrá!J:J, "")) * I920 / 100, ""), IF(F920 = "Réttur", IFERROR(_xlfn.SINGLE(_xlfn.XLOOKUP(G920, Réttabanki!A:A, Réttabanki!AW:AW, "")) * I920 / 100, ""), "")))</f>
        <v/>
      </c>
      <c r="Q920" s="26" t="str">
        <f>IF(OR(F920 = "", G920 = "", I920 = ""), "", IF(F920 = "Vara", IFERROR(_xlfn.SINGLE(_xlfn.XLOOKUP(G920, Vöruskrá!A:A, Vöruskrá!N:N, "")) * I920 / 100, ""), IF(F920 = "Réttur", IFERROR(_xlfn.SINGLE(_xlfn.XLOOKUP(G920, Réttabanki!A:A, Réttabanki!BB:BB, "")) * I920 / 100, ""), "")))</f>
        <v/>
      </c>
    </row>
    <row r="921" spans="2:17">
      <c r="B921" s="33" t="str">
        <f>IF(A921&lt;&gt;"",CHOOSE(WEEKDAY(A921,2),"Mánudagur","Þriðjudagur","Miðvikudagur","Fimmtudagur","Föstudagur","Laugardagur","Sunnudagur"),IF(B920&lt;&gt;"",B920,""))</f>
        <v>Fimmtudagur</v>
      </c>
      <c r="C921" s="33">
        <f>IF(A921&lt;&gt;"",WEEKNUM(A921,21),IF(C920&lt;&gt;"",C920,""))</f>
        <v>27</v>
      </c>
      <c r="D921" s="34"/>
      <c r="E921" s="34"/>
      <c r="F921" s="34"/>
      <c r="G921" s="34"/>
      <c r="H921" s="34"/>
      <c r="I921" s="35"/>
      <c r="J921" s="35"/>
      <c r="K921" s="36"/>
      <c r="L921" s="26" t="str">
        <f>IF(OR(F921 = "", G921 = ""), "", IF(F921 = "Vara", IFERROR(_xlfn.SINGLE(_xlfn.XLOOKUP(G921, Vöruskrá!A:A, Vöruskrá!E:E, "")), ""), IF(F921 = "Réttur", IFERROR(_xlfn.SINGLE(_xlfn.XLOOKUP(G921, Réttabanki!A:A, Réttabanki!AS:AS, "")), ""), "")))</f>
        <v/>
      </c>
      <c r="M921" s="26" t="str">
        <f>IF(OR(F921 = "", G921 = ""), "", IF(F921 = "Vara", IFERROR(_xlfn.SINGLE(_xlfn.XLOOKUP(G921, Vöruskrá!A:A, Vöruskrá!F:F, "")), ""), IF(F921 = "Réttur", IFERROR(_xlfn.SINGLE(_xlfn.XLOOKUP(G921, Réttabanki!A:A, Réttabanki!AT:AT, "")), ""), "")))</f>
        <v/>
      </c>
      <c r="N921" s="26" t="str">
        <f>IF(OR(F921 = "", G921 = ""), "", IF(F921 = "Vara", IFERROR(_xlfn.SINGLE(_xlfn.XLOOKUP(G921, Vöruskrá!A:A, Vöruskrá!G:G, "")), ""), IF(F921 = "Réttur", IFERROR(_xlfn.SINGLE(_xlfn.XLOOKUP(G921, Réttabanki!A:A, Réttabanki!AU:AU, "")), ""), "")))</f>
        <v/>
      </c>
      <c r="O921" s="26" t="str">
        <f>IF(OR(F921 = "", G921 = "", I921 = ""), "", IF(F921 = "Vara", IFERROR(_xlfn.SINGLE(_xlfn.XLOOKUP(G921, Vöruskrá!A:A, Vöruskrá!I:I, "")) * I921 / 100, ""), IF(F921 = "Réttur", IFERROR(_xlfn.SINGLE(_xlfn.XLOOKUP(G921, Réttabanki!A:A, Réttabanki!AV:AV, "")) * I921 / 100, ""), "")))</f>
        <v/>
      </c>
      <c r="P921" s="26" t="str">
        <f>IF(OR(F921 = "", G921 = "", I921 = ""), "", IF(F921 = "Vara", IFERROR(_xlfn.SINGLE(_xlfn.XLOOKUP(G921, Vöruskrá!A:A, Vöruskrá!J:J, "")) * I921 / 100, ""), IF(F921 = "Réttur", IFERROR(_xlfn.SINGLE(_xlfn.XLOOKUP(G921, Réttabanki!A:A, Réttabanki!AW:AW, "")) * I921 / 100, ""), "")))</f>
        <v/>
      </c>
      <c r="Q921" s="26" t="str">
        <f>IF(OR(F921 = "", G921 = "", I921 = ""), "", IF(F921 = "Vara", IFERROR(_xlfn.SINGLE(_xlfn.XLOOKUP(G921, Vöruskrá!A:A, Vöruskrá!N:N, "")) * I921 / 100, ""), IF(F921 = "Réttur", IFERROR(_xlfn.SINGLE(_xlfn.XLOOKUP(G921, Réttabanki!A:A, Réttabanki!BB:BB, "")) * I921 / 100, ""), "")))</f>
        <v/>
      </c>
    </row>
    <row r="922" spans="2:17">
      <c r="B922" s="33" t="str">
        <f>IF(A922&lt;&gt;"",CHOOSE(WEEKDAY(A922,2),"Mánudagur","Þriðjudagur","Miðvikudagur","Fimmtudagur","Föstudagur","Laugardagur","Sunnudagur"),IF(B921&lt;&gt;"",B921,""))</f>
        <v>Fimmtudagur</v>
      </c>
      <c r="C922" s="33">
        <f>IF(A922&lt;&gt;"",WEEKNUM(A922,21),IF(C921&lt;&gt;"",C921,""))</f>
        <v>27</v>
      </c>
      <c r="D922" s="34"/>
      <c r="E922" s="34"/>
      <c r="F922" s="34"/>
      <c r="G922" s="34"/>
      <c r="H922" s="34"/>
      <c r="I922" s="35"/>
      <c r="J922" s="35"/>
      <c r="K922" s="36"/>
      <c r="L922" s="26" t="str">
        <f>IF(OR(F922 = "", G922 = ""), "", IF(F922 = "Vara", IFERROR(_xlfn.SINGLE(_xlfn.XLOOKUP(G922, Vöruskrá!A:A, Vöruskrá!E:E, "")), ""), IF(F922 = "Réttur", IFERROR(_xlfn.SINGLE(_xlfn.XLOOKUP(G922, Réttabanki!A:A, Réttabanki!AS:AS, "")), ""), "")))</f>
        <v/>
      </c>
      <c r="M922" s="26" t="str">
        <f>IF(OR(F922 = "", G922 = ""), "", IF(F922 = "Vara", IFERROR(_xlfn.SINGLE(_xlfn.XLOOKUP(G922, Vöruskrá!A:A, Vöruskrá!F:F, "")), ""), IF(F922 = "Réttur", IFERROR(_xlfn.SINGLE(_xlfn.XLOOKUP(G922, Réttabanki!A:A, Réttabanki!AT:AT, "")), ""), "")))</f>
        <v/>
      </c>
      <c r="N922" s="26" t="str">
        <f>IF(OR(F922 = "", G922 = ""), "", IF(F922 = "Vara", IFERROR(_xlfn.SINGLE(_xlfn.XLOOKUP(G922, Vöruskrá!A:A, Vöruskrá!G:G, "")), ""), IF(F922 = "Réttur", IFERROR(_xlfn.SINGLE(_xlfn.XLOOKUP(G922, Réttabanki!A:A, Réttabanki!AU:AU, "")), ""), "")))</f>
        <v/>
      </c>
      <c r="O922" s="26" t="str">
        <f>IF(OR(F922 = "", G922 = "", I922 = ""), "", IF(F922 = "Vara", IFERROR(_xlfn.SINGLE(_xlfn.XLOOKUP(G922, Vöruskrá!A:A, Vöruskrá!I:I, "")) * I922 / 100, ""), IF(F922 = "Réttur", IFERROR(_xlfn.SINGLE(_xlfn.XLOOKUP(G922, Réttabanki!A:A, Réttabanki!AV:AV, "")) * I922 / 100, ""), "")))</f>
        <v/>
      </c>
      <c r="P922" s="26" t="str">
        <f>IF(OR(F922 = "", G922 = "", I922 = ""), "", IF(F922 = "Vara", IFERROR(_xlfn.SINGLE(_xlfn.XLOOKUP(G922, Vöruskrá!A:A, Vöruskrá!J:J, "")) * I922 / 100, ""), IF(F922 = "Réttur", IFERROR(_xlfn.SINGLE(_xlfn.XLOOKUP(G922, Réttabanki!A:A, Réttabanki!AW:AW, "")) * I922 / 100, ""), "")))</f>
        <v/>
      </c>
      <c r="Q922" s="26" t="str">
        <f>IF(OR(F922 = "", G922 = "", I922 = ""), "", IF(F922 = "Vara", IFERROR(_xlfn.SINGLE(_xlfn.XLOOKUP(G922, Vöruskrá!A:A, Vöruskrá!N:N, "")) * I922 / 100, ""), IF(F922 = "Réttur", IFERROR(_xlfn.SINGLE(_xlfn.XLOOKUP(G922, Réttabanki!A:A, Réttabanki!BB:BB, "")) * I922 / 100, ""), "")))</f>
        <v/>
      </c>
    </row>
    <row r="923" spans="2:17">
      <c r="B923" s="33" t="str">
        <f>IF(A923&lt;&gt;"",CHOOSE(WEEKDAY(A923,2),"Mánudagur","Þriðjudagur","Miðvikudagur","Fimmtudagur","Föstudagur","Laugardagur","Sunnudagur"),IF(B922&lt;&gt;"",B922,""))</f>
        <v>Fimmtudagur</v>
      </c>
      <c r="C923" s="33">
        <f>IF(A923&lt;&gt;"",WEEKNUM(A923,21),IF(C922&lt;&gt;"",C922,""))</f>
        <v>27</v>
      </c>
      <c r="D923" s="34"/>
      <c r="E923" s="34"/>
      <c r="F923" s="34"/>
      <c r="G923" s="34"/>
      <c r="H923" s="34"/>
      <c r="I923" s="35"/>
      <c r="J923" s="35"/>
      <c r="K923" s="36"/>
      <c r="L923" s="26" t="str">
        <f>IF(OR(F923 = "", G923 = ""), "", IF(F923 = "Vara", IFERROR(_xlfn.SINGLE(_xlfn.XLOOKUP(G923, Vöruskrá!A:A, Vöruskrá!E:E, "")), ""), IF(F923 = "Réttur", IFERROR(_xlfn.SINGLE(_xlfn.XLOOKUP(G923, Réttabanki!A:A, Réttabanki!AS:AS, "")), ""), "")))</f>
        <v/>
      </c>
      <c r="M923" s="26" t="str">
        <f>IF(OR(F923 = "", G923 = ""), "", IF(F923 = "Vara", IFERROR(_xlfn.SINGLE(_xlfn.XLOOKUP(G923, Vöruskrá!A:A, Vöruskrá!F:F, "")), ""), IF(F923 = "Réttur", IFERROR(_xlfn.SINGLE(_xlfn.XLOOKUP(G923, Réttabanki!A:A, Réttabanki!AT:AT, "")), ""), "")))</f>
        <v/>
      </c>
      <c r="N923" s="26" t="str">
        <f>IF(OR(F923 = "", G923 = ""), "", IF(F923 = "Vara", IFERROR(_xlfn.SINGLE(_xlfn.XLOOKUP(G923, Vöruskrá!A:A, Vöruskrá!G:G, "")), ""), IF(F923 = "Réttur", IFERROR(_xlfn.SINGLE(_xlfn.XLOOKUP(G923, Réttabanki!A:A, Réttabanki!AU:AU, "")), ""), "")))</f>
        <v/>
      </c>
      <c r="O923" s="26" t="str">
        <f>IF(OR(F923 = "", G923 = "", I923 = ""), "", IF(F923 = "Vara", IFERROR(_xlfn.SINGLE(_xlfn.XLOOKUP(G923, Vöruskrá!A:A, Vöruskrá!I:I, "")) * I923 / 100, ""), IF(F923 = "Réttur", IFERROR(_xlfn.SINGLE(_xlfn.XLOOKUP(G923, Réttabanki!A:A, Réttabanki!AV:AV, "")) * I923 / 100, ""), "")))</f>
        <v/>
      </c>
      <c r="P923" s="26" t="str">
        <f>IF(OR(F923 = "", G923 = "", I923 = ""), "", IF(F923 = "Vara", IFERROR(_xlfn.SINGLE(_xlfn.XLOOKUP(G923, Vöruskrá!A:A, Vöruskrá!J:J, "")) * I923 / 100, ""), IF(F923 = "Réttur", IFERROR(_xlfn.SINGLE(_xlfn.XLOOKUP(G923, Réttabanki!A:A, Réttabanki!AW:AW, "")) * I923 / 100, ""), "")))</f>
        <v/>
      </c>
      <c r="Q923" s="26" t="str">
        <f>IF(OR(F923 = "", G923 = "", I923 = ""), "", IF(F923 = "Vara", IFERROR(_xlfn.SINGLE(_xlfn.XLOOKUP(G923, Vöruskrá!A:A, Vöruskrá!N:N, "")) * I923 / 100, ""), IF(F923 = "Réttur", IFERROR(_xlfn.SINGLE(_xlfn.XLOOKUP(G923, Réttabanki!A:A, Réttabanki!BB:BB, "")) * I923 / 100, ""), "")))</f>
        <v/>
      </c>
    </row>
    <row r="924" spans="2:17">
      <c r="B924" s="33" t="str">
        <f>IF(A924&lt;&gt;"",CHOOSE(WEEKDAY(A924,2),"Mánudagur","Þriðjudagur","Miðvikudagur","Fimmtudagur","Föstudagur","Laugardagur","Sunnudagur"),IF(B923&lt;&gt;"",B923,""))</f>
        <v>Fimmtudagur</v>
      </c>
      <c r="C924" s="33">
        <f>IF(A924&lt;&gt;"",WEEKNUM(A924,21),IF(C923&lt;&gt;"",C923,""))</f>
        <v>27</v>
      </c>
      <c r="D924" s="34"/>
      <c r="E924" s="34"/>
      <c r="F924" s="34"/>
      <c r="G924" s="34"/>
      <c r="H924" s="34"/>
      <c r="I924" s="35"/>
      <c r="J924" s="35"/>
      <c r="K924" s="36"/>
      <c r="L924" s="26" t="str">
        <f>IF(OR(F924 = "", G924 = ""), "", IF(F924 = "Vara", IFERROR(_xlfn.SINGLE(_xlfn.XLOOKUP(G924, Vöruskrá!A:A, Vöruskrá!E:E, "")), ""), IF(F924 = "Réttur", IFERROR(_xlfn.SINGLE(_xlfn.XLOOKUP(G924, Réttabanki!A:A, Réttabanki!AS:AS, "")), ""), "")))</f>
        <v/>
      </c>
      <c r="M924" s="26" t="str">
        <f>IF(OR(F924 = "", G924 = ""), "", IF(F924 = "Vara", IFERROR(_xlfn.SINGLE(_xlfn.XLOOKUP(G924, Vöruskrá!A:A, Vöruskrá!F:F, "")), ""), IF(F924 = "Réttur", IFERROR(_xlfn.SINGLE(_xlfn.XLOOKUP(G924, Réttabanki!A:A, Réttabanki!AT:AT, "")), ""), "")))</f>
        <v/>
      </c>
      <c r="N924" s="26" t="str">
        <f>IF(OR(F924 = "", G924 = ""), "", IF(F924 = "Vara", IFERROR(_xlfn.SINGLE(_xlfn.XLOOKUP(G924, Vöruskrá!A:A, Vöruskrá!G:G, "")), ""), IF(F924 = "Réttur", IFERROR(_xlfn.SINGLE(_xlfn.XLOOKUP(G924, Réttabanki!A:A, Réttabanki!AU:AU, "")), ""), "")))</f>
        <v/>
      </c>
      <c r="O924" s="26" t="str">
        <f>IF(OR(F924 = "", G924 = "", I924 = ""), "", IF(F924 = "Vara", IFERROR(_xlfn.SINGLE(_xlfn.XLOOKUP(G924, Vöruskrá!A:A, Vöruskrá!I:I, "")) * I924 / 100, ""), IF(F924 = "Réttur", IFERROR(_xlfn.SINGLE(_xlfn.XLOOKUP(G924, Réttabanki!A:A, Réttabanki!AV:AV, "")) * I924 / 100, ""), "")))</f>
        <v/>
      </c>
      <c r="P924" s="26" t="str">
        <f>IF(OR(F924 = "", G924 = "", I924 = ""), "", IF(F924 = "Vara", IFERROR(_xlfn.SINGLE(_xlfn.XLOOKUP(G924, Vöruskrá!A:A, Vöruskrá!J:J, "")) * I924 / 100, ""), IF(F924 = "Réttur", IFERROR(_xlfn.SINGLE(_xlfn.XLOOKUP(G924, Réttabanki!A:A, Réttabanki!AW:AW, "")) * I924 / 100, ""), "")))</f>
        <v/>
      </c>
      <c r="Q924" s="26" t="str">
        <f>IF(OR(F924 = "", G924 = "", I924 = ""), "", IF(F924 = "Vara", IFERROR(_xlfn.SINGLE(_xlfn.XLOOKUP(G924, Vöruskrá!A:A, Vöruskrá!N:N, "")) * I924 / 100, ""), IF(F924 = "Réttur", IFERROR(_xlfn.SINGLE(_xlfn.XLOOKUP(G924, Réttabanki!A:A, Réttabanki!BB:BB, "")) * I924 / 100, ""), "")))</f>
        <v/>
      </c>
    </row>
    <row r="925" spans="2:17">
      <c r="B925" s="33" t="str">
        <f>IF(A925&lt;&gt;"",CHOOSE(WEEKDAY(A925,2),"Mánudagur","Þriðjudagur","Miðvikudagur","Fimmtudagur","Föstudagur","Laugardagur","Sunnudagur"),IF(B924&lt;&gt;"",B924,""))</f>
        <v>Fimmtudagur</v>
      </c>
      <c r="C925" s="33">
        <f>IF(A925&lt;&gt;"",WEEKNUM(A925,21),IF(C924&lt;&gt;"",C924,""))</f>
        <v>27</v>
      </c>
      <c r="D925" s="34"/>
      <c r="E925" s="34"/>
      <c r="F925" s="34"/>
      <c r="G925" s="34"/>
      <c r="H925" s="34"/>
      <c r="I925" s="35"/>
      <c r="J925" s="35"/>
      <c r="K925" s="36"/>
      <c r="L925" s="26" t="str">
        <f>IF(OR(F925 = "", G925 = ""), "", IF(F925 = "Vara", IFERROR(_xlfn.SINGLE(_xlfn.XLOOKUP(G925, Vöruskrá!A:A, Vöruskrá!E:E, "")), ""), IF(F925 = "Réttur", IFERROR(_xlfn.SINGLE(_xlfn.XLOOKUP(G925, Réttabanki!A:A, Réttabanki!AS:AS, "")), ""), "")))</f>
        <v/>
      </c>
      <c r="M925" s="26" t="str">
        <f>IF(OR(F925 = "", G925 = ""), "", IF(F925 = "Vara", IFERROR(_xlfn.SINGLE(_xlfn.XLOOKUP(G925, Vöruskrá!A:A, Vöruskrá!F:F, "")), ""), IF(F925 = "Réttur", IFERROR(_xlfn.SINGLE(_xlfn.XLOOKUP(G925, Réttabanki!A:A, Réttabanki!AT:AT, "")), ""), "")))</f>
        <v/>
      </c>
      <c r="N925" s="26" t="str">
        <f>IF(OR(F925 = "", G925 = ""), "", IF(F925 = "Vara", IFERROR(_xlfn.SINGLE(_xlfn.XLOOKUP(G925, Vöruskrá!A:A, Vöruskrá!G:G, "")), ""), IF(F925 = "Réttur", IFERROR(_xlfn.SINGLE(_xlfn.XLOOKUP(G925, Réttabanki!A:A, Réttabanki!AU:AU, "")), ""), "")))</f>
        <v/>
      </c>
      <c r="O925" s="26" t="str">
        <f>IF(OR(F925 = "", G925 = "", I925 = ""), "", IF(F925 = "Vara", IFERROR(_xlfn.SINGLE(_xlfn.XLOOKUP(G925, Vöruskrá!A:A, Vöruskrá!I:I, "")) * I925 / 100, ""), IF(F925 = "Réttur", IFERROR(_xlfn.SINGLE(_xlfn.XLOOKUP(G925, Réttabanki!A:A, Réttabanki!AV:AV, "")) * I925 / 100, ""), "")))</f>
        <v/>
      </c>
      <c r="P925" s="26" t="str">
        <f>IF(OR(F925 = "", G925 = "", I925 = ""), "", IF(F925 = "Vara", IFERROR(_xlfn.SINGLE(_xlfn.XLOOKUP(G925, Vöruskrá!A:A, Vöruskrá!J:J, "")) * I925 / 100, ""), IF(F925 = "Réttur", IFERROR(_xlfn.SINGLE(_xlfn.XLOOKUP(G925, Réttabanki!A:A, Réttabanki!AW:AW, "")) * I925 / 100, ""), "")))</f>
        <v/>
      </c>
      <c r="Q925" s="26" t="str">
        <f>IF(OR(F925 = "", G925 = "", I925 = ""), "", IF(F925 = "Vara", IFERROR(_xlfn.SINGLE(_xlfn.XLOOKUP(G925, Vöruskrá!A:A, Vöruskrá!N:N, "")) * I925 / 100, ""), IF(F925 = "Réttur", IFERROR(_xlfn.SINGLE(_xlfn.XLOOKUP(G925, Réttabanki!A:A, Réttabanki!BB:BB, "")) * I925 / 100, ""), "")))</f>
        <v/>
      </c>
    </row>
    <row r="926" spans="2:17">
      <c r="B926" s="33" t="str">
        <f>IF(A926&lt;&gt;"",CHOOSE(WEEKDAY(A926,2),"Mánudagur","Þriðjudagur","Miðvikudagur","Fimmtudagur","Föstudagur","Laugardagur","Sunnudagur"),IF(B925&lt;&gt;"",B925,""))</f>
        <v>Fimmtudagur</v>
      </c>
      <c r="C926" s="33">
        <f>IF(A926&lt;&gt;"",WEEKNUM(A926,21),IF(C925&lt;&gt;"",C925,""))</f>
        <v>27</v>
      </c>
      <c r="D926" s="34"/>
      <c r="E926" s="34"/>
      <c r="F926" s="34"/>
      <c r="G926" s="34"/>
      <c r="H926" s="34"/>
      <c r="I926" s="35"/>
      <c r="J926" s="35"/>
      <c r="K926" s="36"/>
      <c r="L926" s="26" t="str">
        <f>IF(OR(F926 = "", G926 = ""), "", IF(F926 = "Vara", IFERROR(_xlfn.SINGLE(_xlfn.XLOOKUP(G926, Vöruskrá!A:A, Vöruskrá!E:E, "")), ""), IF(F926 = "Réttur", IFERROR(_xlfn.SINGLE(_xlfn.XLOOKUP(G926, Réttabanki!A:A, Réttabanki!AS:AS, "")), ""), "")))</f>
        <v/>
      </c>
      <c r="M926" s="26" t="str">
        <f>IF(OR(F926 = "", G926 = ""), "", IF(F926 = "Vara", IFERROR(_xlfn.SINGLE(_xlfn.XLOOKUP(G926, Vöruskrá!A:A, Vöruskrá!F:F, "")), ""), IF(F926 = "Réttur", IFERROR(_xlfn.SINGLE(_xlfn.XLOOKUP(G926, Réttabanki!A:A, Réttabanki!AT:AT, "")), ""), "")))</f>
        <v/>
      </c>
      <c r="N926" s="26" t="str">
        <f>IF(OR(F926 = "", G926 = ""), "", IF(F926 = "Vara", IFERROR(_xlfn.SINGLE(_xlfn.XLOOKUP(G926, Vöruskrá!A:A, Vöruskrá!G:G, "")), ""), IF(F926 = "Réttur", IFERROR(_xlfn.SINGLE(_xlfn.XLOOKUP(G926, Réttabanki!A:A, Réttabanki!AU:AU, "")), ""), "")))</f>
        <v/>
      </c>
      <c r="O926" s="26" t="str">
        <f>IF(OR(F926 = "", G926 = "", I926 = ""), "", IF(F926 = "Vara", IFERROR(_xlfn.SINGLE(_xlfn.XLOOKUP(G926, Vöruskrá!A:A, Vöruskrá!I:I, "")) * I926 / 100, ""), IF(F926 = "Réttur", IFERROR(_xlfn.SINGLE(_xlfn.XLOOKUP(G926, Réttabanki!A:A, Réttabanki!AV:AV, "")) * I926 / 100, ""), "")))</f>
        <v/>
      </c>
      <c r="P926" s="26" t="str">
        <f>IF(OR(F926 = "", G926 = "", I926 = ""), "", IF(F926 = "Vara", IFERROR(_xlfn.SINGLE(_xlfn.XLOOKUP(G926, Vöruskrá!A:A, Vöruskrá!J:J, "")) * I926 / 100, ""), IF(F926 = "Réttur", IFERROR(_xlfn.SINGLE(_xlfn.XLOOKUP(G926, Réttabanki!A:A, Réttabanki!AW:AW, "")) * I926 / 100, ""), "")))</f>
        <v/>
      </c>
      <c r="Q926" s="26" t="str">
        <f>IF(OR(F926 = "", G926 = "", I926 = ""), "", IF(F926 = "Vara", IFERROR(_xlfn.SINGLE(_xlfn.XLOOKUP(G926, Vöruskrá!A:A, Vöruskrá!N:N, "")) * I926 / 100, ""), IF(F926 = "Réttur", IFERROR(_xlfn.SINGLE(_xlfn.XLOOKUP(G926, Réttabanki!A:A, Réttabanki!BB:BB, "")) * I926 / 100, ""), "")))</f>
        <v/>
      </c>
    </row>
    <row r="927" spans="2:17">
      <c r="B927" s="33" t="str">
        <f>IF(A927&lt;&gt;"",CHOOSE(WEEKDAY(A927,2),"Mánudagur","Þriðjudagur","Miðvikudagur","Fimmtudagur","Föstudagur","Laugardagur","Sunnudagur"),IF(B926&lt;&gt;"",B926,""))</f>
        <v>Fimmtudagur</v>
      </c>
      <c r="C927" s="33">
        <f>IF(A927&lt;&gt;"",WEEKNUM(A927,21),IF(C926&lt;&gt;"",C926,""))</f>
        <v>27</v>
      </c>
      <c r="D927" s="34"/>
      <c r="E927" s="34"/>
      <c r="F927" s="34"/>
      <c r="G927" s="34"/>
      <c r="H927" s="34"/>
      <c r="I927" s="35"/>
      <c r="J927" s="35"/>
      <c r="K927" s="36"/>
      <c r="L927" s="26" t="str">
        <f>IF(OR(F927 = "", G927 = ""), "", IF(F927 = "Vara", IFERROR(_xlfn.SINGLE(_xlfn.XLOOKUP(G927, Vöruskrá!A:A, Vöruskrá!E:E, "")), ""), IF(F927 = "Réttur", IFERROR(_xlfn.SINGLE(_xlfn.XLOOKUP(G927, Réttabanki!A:A, Réttabanki!AS:AS, "")), ""), "")))</f>
        <v/>
      </c>
      <c r="M927" s="26" t="str">
        <f>IF(OR(F927 = "", G927 = ""), "", IF(F927 = "Vara", IFERROR(_xlfn.SINGLE(_xlfn.XLOOKUP(G927, Vöruskrá!A:A, Vöruskrá!F:F, "")), ""), IF(F927 = "Réttur", IFERROR(_xlfn.SINGLE(_xlfn.XLOOKUP(G927, Réttabanki!A:A, Réttabanki!AT:AT, "")), ""), "")))</f>
        <v/>
      </c>
      <c r="N927" s="26" t="str">
        <f>IF(OR(F927 = "", G927 = ""), "", IF(F927 = "Vara", IFERROR(_xlfn.SINGLE(_xlfn.XLOOKUP(G927, Vöruskrá!A:A, Vöruskrá!G:G, "")), ""), IF(F927 = "Réttur", IFERROR(_xlfn.SINGLE(_xlfn.XLOOKUP(G927, Réttabanki!A:A, Réttabanki!AU:AU, "")), ""), "")))</f>
        <v/>
      </c>
      <c r="O927" s="26" t="str">
        <f>IF(OR(F927 = "", G927 = "", I927 = ""), "", IF(F927 = "Vara", IFERROR(_xlfn.SINGLE(_xlfn.XLOOKUP(G927, Vöruskrá!A:A, Vöruskrá!I:I, "")) * I927 / 100, ""), IF(F927 = "Réttur", IFERROR(_xlfn.SINGLE(_xlfn.XLOOKUP(G927, Réttabanki!A:A, Réttabanki!AV:AV, "")) * I927 / 100, ""), "")))</f>
        <v/>
      </c>
      <c r="P927" s="26" t="str">
        <f>IF(OR(F927 = "", G927 = "", I927 = ""), "", IF(F927 = "Vara", IFERROR(_xlfn.SINGLE(_xlfn.XLOOKUP(G927, Vöruskrá!A:A, Vöruskrá!J:J, "")) * I927 / 100, ""), IF(F927 = "Réttur", IFERROR(_xlfn.SINGLE(_xlfn.XLOOKUP(G927, Réttabanki!A:A, Réttabanki!AW:AW, "")) * I927 / 100, ""), "")))</f>
        <v/>
      </c>
      <c r="Q927" s="26" t="str">
        <f>IF(OR(F927 = "", G927 = "", I927 = ""), "", IF(F927 = "Vara", IFERROR(_xlfn.SINGLE(_xlfn.XLOOKUP(G927, Vöruskrá!A:A, Vöruskrá!N:N, "")) * I927 / 100, ""), IF(F927 = "Réttur", IFERROR(_xlfn.SINGLE(_xlfn.XLOOKUP(G927, Réttabanki!A:A, Réttabanki!BB:BB, "")) * I927 / 100, ""), "")))</f>
        <v/>
      </c>
    </row>
    <row r="928" spans="2:17">
      <c r="B928" s="33" t="str">
        <f>IF(A928&lt;&gt;"",CHOOSE(WEEKDAY(A928,2),"Mánudagur","Þriðjudagur","Miðvikudagur","Fimmtudagur","Föstudagur","Laugardagur","Sunnudagur"),IF(B927&lt;&gt;"",B927,""))</f>
        <v>Fimmtudagur</v>
      </c>
      <c r="C928" s="33">
        <f>IF(A928&lt;&gt;"",WEEKNUM(A928,21),IF(C927&lt;&gt;"",C927,""))</f>
        <v>27</v>
      </c>
      <c r="D928" s="34"/>
      <c r="E928" s="34"/>
      <c r="F928" s="34"/>
      <c r="G928" s="34"/>
      <c r="H928" s="34"/>
      <c r="I928" s="35"/>
      <c r="J928" s="35"/>
      <c r="K928" s="36"/>
      <c r="L928" s="26" t="str">
        <f>IF(OR(F928 = "", G928 = ""), "", IF(F928 = "Vara", IFERROR(_xlfn.SINGLE(_xlfn.XLOOKUP(G928, Vöruskrá!A:A, Vöruskrá!E:E, "")), ""), IF(F928 = "Réttur", IFERROR(_xlfn.SINGLE(_xlfn.XLOOKUP(G928, Réttabanki!A:A, Réttabanki!AS:AS, "")), ""), "")))</f>
        <v/>
      </c>
      <c r="M928" s="26" t="str">
        <f>IF(OR(F928 = "", G928 = ""), "", IF(F928 = "Vara", IFERROR(_xlfn.SINGLE(_xlfn.XLOOKUP(G928, Vöruskrá!A:A, Vöruskrá!F:F, "")), ""), IF(F928 = "Réttur", IFERROR(_xlfn.SINGLE(_xlfn.XLOOKUP(G928, Réttabanki!A:A, Réttabanki!AT:AT, "")), ""), "")))</f>
        <v/>
      </c>
      <c r="N928" s="26" t="str">
        <f>IF(OR(F928 = "", G928 = ""), "", IF(F928 = "Vara", IFERROR(_xlfn.SINGLE(_xlfn.XLOOKUP(G928, Vöruskrá!A:A, Vöruskrá!G:G, "")), ""), IF(F928 = "Réttur", IFERROR(_xlfn.SINGLE(_xlfn.XLOOKUP(G928, Réttabanki!A:A, Réttabanki!AU:AU, "")), ""), "")))</f>
        <v/>
      </c>
      <c r="O928" s="26" t="str">
        <f>IF(OR(F928 = "", G928 = "", I928 = ""), "", IF(F928 = "Vara", IFERROR(_xlfn.SINGLE(_xlfn.XLOOKUP(G928, Vöruskrá!A:A, Vöruskrá!I:I, "")) * I928 / 100, ""), IF(F928 = "Réttur", IFERROR(_xlfn.SINGLE(_xlfn.XLOOKUP(G928, Réttabanki!A:A, Réttabanki!AV:AV, "")) * I928 / 100, ""), "")))</f>
        <v/>
      </c>
      <c r="P928" s="26" t="str">
        <f>IF(OR(F928 = "", G928 = "", I928 = ""), "", IF(F928 = "Vara", IFERROR(_xlfn.SINGLE(_xlfn.XLOOKUP(G928, Vöruskrá!A:A, Vöruskrá!J:J, "")) * I928 / 100, ""), IF(F928 = "Réttur", IFERROR(_xlfn.SINGLE(_xlfn.XLOOKUP(G928, Réttabanki!A:A, Réttabanki!AW:AW, "")) * I928 / 100, ""), "")))</f>
        <v/>
      </c>
      <c r="Q928" s="26" t="str">
        <f>IF(OR(F928 = "", G928 = "", I928 = ""), "", IF(F928 = "Vara", IFERROR(_xlfn.SINGLE(_xlfn.XLOOKUP(G928, Vöruskrá!A:A, Vöruskrá!N:N, "")) * I928 / 100, ""), IF(F928 = "Réttur", IFERROR(_xlfn.SINGLE(_xlfn.XLOOKUP(G928, Réttabanki!A:A, Réttabanki!BB:BB, "")) * I928 / 100, ""), "")))</f>
        <v/>
      </c>
    </row>
    <row r="929" spans="2:17">
      <c r="B929" s="33" t="str">
        <f>IF(A929&lt;&gt;"",CHOOSE(WEEKDAY(A929,2),"Mánudagur","Þriðjudagur","Miðvikudagur","Fimmtudagur","Föstudagur","Laugardagur","Sunnudagur"),IF(B928&lt;&gt;"",B928,""))</f>
        <v>Fimmtudagur</v>
      </c>
      <c r="C929" s="33">
        <f>IF(A929&lt;&gt;"",WEEKNUM(A929,21),IF(C928&lt;&gt;"",C928,""))</f>
        <v>27</v>
      </c>
      <c r="D929" s="34"/>
      <c r="E929" s="34"/>
      <c r="F929" s="34"/>
      <c r="G929" s="34"/>
      <c r="H929" s="34"/>
      <c r="I929" s="35"/>
      <c r="J929" s="35"/>
      <c r="K929" s="36"/>
      <c r="L929" s="26" t="str">
        <f>IF(OR(F929 = "", G929 = ""), "", IF(F929 = "Vara", IFERROR(_xlfn.SINGLE(_xlfn.XLOOKUP(G929, Vöruskrá!A:A, Vöruskrá!E:E, "")), ""), IF(F929 = "Réttur", IFERROR(_xlfn.SINGLE(_xlfn.XLOOKUP(G929, Réttabanki!A:A, Réttabanki!AS:AS, "")), ""), "")))</f>
        <v/>
      </c>
      <c r="M929" s="26" t="str">
        <f>IF(OR(F929 = "", G929 = ""), "", IF(F929 = "Vara", IFERROR(_xlfn.SINGLE(_xlfn.XLOOKUP(G929, Vöruskrá!A:A, Vöruskrá!F:F, "")), ""), IF(F929 = "Réttur", IFERROR(_xlfn.SINGLE(_xlfn.XLOOKUP(G929, Réttabanki!A:A, Réttabanki!AT:AT, "")), ""), "")))</f>
        <v/>
      </c>
      <c r="N929" s="26" t="str">
        <f>IF(OR(F929 = "", G929 = ""), "", IF(F929 = "Vara", IFERROR(_xlfn.SINGLE(_xlfn.XLOOKUP(G929, Vöruskrá!A:A, Vöruskrá!G:G, "")), ""), IF(F929 = "Réttur", IFERROR(_xlfn.SINGLE(_xlfn.XLOOKUP(G929, Réttabanki!A:A, Réttabanki!AU:AU, "")), ""), "")))</f>
        <v/>
      </c>
      <c r="O929" s="26" t="str">
        <f>IF(OR(F929 = "", G929 = "", I929 = ""), "", IF(F929 = "Vara", IFERROR(_xlfn.SINGLE(_xlfn.XLOOKUP(G929, Vöruskrá!A:A, Vöruskrá!I:I, "")) * I929 / 100, ""), IF(F929 = "Réttur", IFERROR(_xlfn.SINGLE(_xlfn.XLOOKUP(G929, Réttabanki!A:A, Réttabanki!AV:AV, "")) * I929 / 100, ""), "")))</f>
        <v/>
      </c>
      <c r="P929" s="26" t="str">
        <f>IF(OR(F929 = "", G929 = "", I929 = ""), "", IF(F929 = "Vara", IFERROR(_xlfn.SINGLE(_xlfn.XLOOKUP(G929, Vöruskrá!A:A, Vöruskrá!J:J, "")) * I929 / 100, ""), IF(F929 = "Réttur", IFERROR(_xlfn.SINGLE(_xlfn.XLOOKUP(G929, Réttabanki!A:A, Réttabanki!AW:AW, "")) * I929 / 100, ""), "")))</f>
        <v/>
      </c>
      <c r="Q929" s="26" t="str">
        <f>IF(OR(F929 = "", G929 = "", I929 = ""), "", IF(F929 = "Vara", IFERROR(_xlfn.SINGLE(_xlfn.XLOOKUP(G929, Vöruskrá!A:A, Vöruskrá!N:N, "")) * I929 / 100, ""), IF(F929 = "Réttur", IFERROR(_xlfn.SINGLE(_xlfn.XLOOKUP(G929, Réttabanki!A:A, Réttabanki!BB:BB, "")) * I929 / 100, ""), "")))</f>
        <v/>
      </c>
    </row>
    <row r="930" spans="2:17">
      <c r="B930" s="33" t="str">
        <f>IF(A930&lt;&gt;"",CHOOSE(WEEKDAY(A930,2),"Mánudagur","Þriðjudagur","Miðvikudagur","Fimmtudagur","Föstudagur","Laugardagur","Sunnudagur"),IF(B929&lt;&gt;"",B929,""))</f>
        <v>Fimmtudagur</v>
      </c>
      <c r="C930" s="33">
        <f>IF(A930&lt;&gt;"",WEEKNUM(A930,21),IF(C929&lt;&gt;"",C929,""))</f>
        <v>27</v>
      </c>
      <c r="D930" s="34"/>
      <c r="E930" s="34"/>
      <c r="F930" s="34"/>
      <c r="G930" s="34"/>
      <c r="H930" s="34"/>
      <c r="I930" s="35"/>
      <c r="J930" s="35"/>
      <c r="K930" s="36"/>
      <c r="L930" s="26" t="str">
        <f>IF(OR(F930 = "", G930 = ""), "", IF(F930 = "Vara", IFERROR(_xlfn.SINGLE(_xlfn.XLOOKUP(G930, Vöruskrá!A:A, Vöruskrá!E:E, "")), ""), IF(F930 = "Réttur", IFERROR(_xlfn.SINGLE(_xlfn.XLOOKUP(G930, Réttabanki!A:A, Réttabanki!AS:AS, "")), ""), "")))</f>
        <v/>
      </c>
      <c r="M930" s="26" t="str">
        <f>IF(OR(F930 = "", G930 = ""), "", IF(F930 = "Vara", IFERROR(_xlfn.SINGLE(_xlfn.XLOOKUP(G930, Vöruskrá!A:A, Vöruskrá!F:F, "")), ""), IF(F930 = "Réttur", IFERROR(_xlfn.SINGLE(_xlfn.XLOOKUP(G930, Réttabanki!A:A, Réttabanki!AT:AT, "")), ""), "")))</f>
        <v/>
      </c>
      <c r="N930" s="26" t="str">
        <f>IF(OR(F930 = "", G930 = ""), "", IF(F930 = "Vara", IFERROR(_xlfn.SINGLE(_xlfn.XLOOKUP(G930, Vöruskrá!A:A, Vöruskrá!G:G, "")), ""), IF(F930 = "Réttur", IFERROR(_xlfn.SINGLE(_xlfn.XLOOKUP(G930, Réttabanki!A:A, Réttabanki!AU:AU, "")), ""), "")))</f>
        <v/>
      </c>
      <c r="O930" s="26" t="str">
        <f>IF(OR(F930 = "", G930 = "", I930 = ""), "", IF(F930 = "Vara", IFERROR(_xlfn.SINGLE(_xlfn.XLOOKUP(G930, Vöruskrá!A:A, Vöruskrá!I:I, "")) * I930 / 100, ""), IF(F930 = "Réttur", IFERROR(_xlfn.SINGLE(_xlfn.XLOOKUP(G930, Réttabanki!A:A, Réttabanki!AV:AV, "")) * I930 / 100, ""), "")))</f>
        <v/>
      </c>
      <c r="P930" s="26" t="str">
        <f>IF(OR(F930 = "", G930 = "", I930 = ""), "", IF(F930 = "Vara", IFERROR(_xlfn.SINGLE(_xlfn.XLOOKUP(G930, Vöruskrá!A:A, Vöruskrá!J:J, "")) * I930 / 100, ""), IF(F930 = "Réttur", IFERROR(_xlfn.SINGLE(_xlfn.XLOOKUP(G930, Réttabanki!A:A, Réttabanki!AW:AW, "")) * I930 / 100, ""), "")))</f>
        <v/>
      </c>
      <c r="Q930" s="26" t="str">
        <f>IF(OR(F930 = "", G930 = "", I930 = ""), "", IF(F930 = "Vara", IFERROR(_xlfn.SINGLE(_xlfn.XLOOKUP(G930, Vöruskrá!A:A, Vöruskrá!N:N, "")) * I930 / 100, ""), IF(F930 = "Réttur", IFERROR(_xlfn.SINGLE(_xlfn.XLOOKUP(G930, Réttabanki!A:A, Réttabanki!BB:BB, "")) * I930 / 100, ""), "")))</f>
        <v/>
      </c>
    </row>
    <row r="931" spans="2:17">
      <c r="B931" s="33" t="str">
        <f>IF(A931&lt;&gt;"",CHOOSE(WEEKDAY(A931,2),"Mánudagur","Þriðjudagur","Miðvikudagur","Fimmtudagur","Föstudagur","Laugardagur","Sunnudagur"),IF(B930&lt;&gt;"",B930,""))</f>
        <v>Fimmtudagur</v>
      </c>
      <c r="C931" s="33">
        <f>IF(A931&lt;&gt;"",WEEKNUM(A931,21),IF(C930&lt;&gt;"",C930,""))</f>
        <v>27</v>
      </c>
      <c r="D931" s="34"/>
      <c r="E931" s="34"/>
      <c r="F931" s="34"/>
      <c r="G931" s="34"/>
      <c r="H931" s="34"/>
      <c r="I931" s="35"/>
      <c r="J931" s="35"/>
      <c r="K931" s="36"/>
      <c r="L931" s="26" t="str">
        <f>IF(OR(F931 = "", G931 = ""), "", IF(F931 = "Vara", IFERROR(_xlfn.SINGLE(_xlfn.XLOOKUP(G931, Vöruskrá!A:A, Vöruskrá!E:E, "")), ""), IF(F931 = "Réttur", IFERROR(_xlfn.SINGLE(_xlfn.XLOOKUP(G931, Réttabanki!A:A, Réttabanki!AS:AS, "")), ""), "")))</f>
        <v/>
      </c>
      <c r="M931" s="26" t="str">
        <f>IF(OR(F931 = "", G931 = ""), "", IF(F931 = "Vara", IFERROR(_xlfn.SINGLE(_xlfn.XLOOKUP(G931, Vöruskrá!A:A, Vöruskrá!F:F, "")), ""), IF(F931 = "Réttur", IFERROR(_xlfn.SINGLE(_xlfn.XLOOKUP(G931, Réttabanki!A:A, Réttabanki!AT:AT, "")), ""), "")))</f>
        <v/>
      </c>
      <c r="N931" s="26" t="str">
        <f>IF(OR(F931 = "", G931 = ""), "", IF(F931 = "Vara", IFERROR(_xlfn.SINGLE(_xlfn.XLOOKUP(G931, Vöruskrá!A:A, Vöruskrá!G:G, "")), ""), IF(F931 = "Réttur", IFERROR(_xlfn.SINGLE(_xlfn.XLOOKUP(G931, Réttabanki!A:A, Réttabanki!AU:AU, "")), ""), "")))</f>
        <v/>
      </c>
      <c r="O931" s="26" t="str">
        <f>IF(OR(F931 = "", G931 = "", I931 = ""), "", IF(F931 = "Vara", IFERROR(_xlfn.SINGLE(_xlfn.XLOOKUP(G931, Vöruskrá!A:A, Vöruskrá!I:I, "")) * I931 / 100, ""), IF(F931 = "Réttur", IFERROR(_xlfn.SINGLE(_xlfn.XLOOKUP(G931, Réttabanki!A:A, Réttabanki!AV:AV, "")) * I931 / 100, ""), "")))</f>
        <v/>
      </c>
      <c r="P931" s="26" t="str">
        <f>IF(OR(F931 = "", G931 = "", I931 = ""), "", IF(F931 = "Vara", IFERROR(_xlfn.SINGLE(_xlfn.XLOOKUP(G931, Vöruskrá!A:A, Vöruskrá!J:J, "")) * I931 / 100, ""), IF(F931 = "Réttur", IFERROR(_xlfn.SINGLE(_xlfn.XLOOKUP(G931, Réttabanki!A:A, Réttabanki!AW:AW, "")) * I931 / 100, ""), "")))</f>
        <v/>
      </c>
      <c r="Q931" s="26" t="str">
        <f>IF(OR(F931 = "", G931 = "", I931 = ""), "", IF(F931 = "Vara", IFERROR(_xlfn.SINGLE(_xlfn.XLOOKUP(G931, Vöruskrá!A:A, Vöruskrá!N:N, "")) * I931 / 100, ""), IF(F931 = "Réttur", IFERROR(_xlfn.SINGLE(_xlfn.XLOOKUP(G931, Réttabanki!A:A, Réttabanki!BB:BB, "")) * I931 / 100, ""), "")))</f>
        <v/>
      </c>
    </row>
    <row r="932" spans="2:17">
      <c r="B932" s="33" t="str">
        <f>IF(A932&lt;&gt;"",CHOOSE(WEEKDAY(A932,2),"Mánudagur","Þriðjudagur","Miðvikudagur","Fimmtudagur","Föstudagur","Laugardagur","Sunnudagur"),IF(B931&lt;&gt;"",B931,""))</f>
        <v>Fimmtudagur</v>
      </c>
      <c r="C932" s="33">
        <f>IF(A932&lt;&gt;"",WEEKNUM(A932,21),IF(C931&lt;&gt;"",C931,""))</f>
        <v>27</v>
      </c>
      <c r="D932" s="34"/>
      <c r="E932" s="34"/>
      <c r="F932" s="34"/>
      <c r="G932" s="34"/>
      <c r="H932" s="34"/>
      <c r="I932" s="35"/>
      <c r="J932" s="35"/>
      <c r="K932" s="36"/>
      <c r="L932" s="26" t="str">
        <f>IF(OR(F932 = "", G932 = ""), "", IF(F932 = "Vara", IFERROR(_xlfn.SINGLE(_xlfn.XLOOKUP(G932, Vöruskrá!A:A, Vöruskrá!E:E, "")), ""), IF(F932 = "Réttur", IFERROR(_xlfn.SINGLE(_xlfn.XLOOKUP(G932, Réttabanki!A:A, Réttabanki!AS:AS, "")), ""), "")))</f>
        <v/>
      </c>
      <c r="M932" s="26" t="str">
        <f>IF(OR(F932 = "", G932 = ""), "", IF(F932 = "Vara", IFERROR(_xlfn.SINGLE(_xlfn.XLOOKUP(G932, Vöruskrá!A:A, Vöruskrá!F:F, "")), ""), IF(F932 = "Réttur", IFERROR(_xlfn.SINGLE(_xlfn.XLOOKUP(G932, Réttabanki!A:A, Réttabanki!AT:AT, "")), ""), "")))</f>
        <v/>
      </c>
      <c r="N932" s="26" t="str">
        <f>IF(OR(F932 = "", G932 = ""), "", IF(F932 = "Vara", IFERROR(_xlfn.SINGLE(_xlfn.XLOOKUP(G932, Vöruskrá!A:A, Vöruskrá!G:G, "")), ""), IF(F932 = "Réttur", IFERROR(_xlfn.SINGLE(_xlfn.XLOOKUP(G932, Réttabanki!A:A, Réttabanki!AU:AU, "")), ""), "")))</f>
        <v/>
      </c>
      <c r="O932" s="26" t="str">
        <f>IF(OR(F932 = "", G932 = "", I932 = ""), "", IF(F932 = "Vara", IFERROR(_xlfn.SINGLE(_xlfn.XLOOKUP(G932, Vöruskrá!A:A, Vöruskrá!I:I, "")) * I932 / 100, ""), IF(F932 = "Réttur", IFERROR(_xlfn.SINGLE(_xlfn.XLOOKUP(G932, Réttabanki!A:A, Réttabanki!AV:AV, "")) * I932 / 100, ""), "")))</f>
        <v/>
      </c>
      <c r="P932" s="26" t="str">
        <f>IF(OR(F932 = "", G932 = "", I932 = ""), "", IF(F932 = "Vara", IFERROR(_xlfn.SINGLE(_xlfn.XLOOKUP(G932, Vöruskrá!A:A, Vöruskrá!J:J, "")) * I932 / 100, ""), IF(F932 = "Réttur", IFERROR(_xlfn.SINGLE(_xlfn.XLOOKUP(G932, Réttabanki!A:A, Réttabanki!AW:AW, "")) * I932 / 100, ""), "")))</f>
        <v/>
      </c>
      <c r="Q932" s="26" t="str">
        <f>IF(OR(F932 = "", G932 = "", I932 = ""), "", IF(F932 = "Vara", IFERROR(_xlfn.SINGLE(_xlfn.XLOOKUP(G932, Vöruskrá!A:A, Vöruskrá!N:N, "")) * I932 / 100, ""), IF(F932 = "Réttur", IFERROR(_xlfn.SINGLE(_xlfn.XLOOKUP(G932, Réttabanki!A:A, Réttabanki!BB:BB, "")) * I932 / 100, ""), "")))</f>
        <v/>
      </c>
    </row>
    <row r="933" spans="2:17">
      <c r="B933" s="33" t="str">
        <f>IF(A933&lt;&gt;"",CHOOSE(WEEKDAY(A933,2),"Mánudagur","Þriðjudagur","Miðvikudagur","Fimmtudagur","Föstudagur","Laugardagur","Sunnudagur"),IF(B932&lt;&gt;"",B932,""))</f>
        <v>Fimmtudagur</v>
      </c>
      <c r="C933" s="33">
        <f>IF(A933&lt;&gt;"",WEEKNUM(A933,21),IF(C932&lt;&gt;"",C932,""))</f>
        <v>27</v>
      </c>
      <c r="D933" s="34"/>
      <c r="E933" s="34"/>
      <c r="F933" s="34"/>
      <c r="G933" s="34"/>
      <c r="H933" s="34"/>
      <c r="I933" s="35"/>
      <c r="J933" s="35"/>
      <c r="K933" s="36"/>
      <c r="L933" s="26" t="str">
        <f>IF(OR(F933 = "", G933 = ""), "", IF(F933 = "Vara", IFERROR(_xlfn.SINGLE(_xlfn.XLOOKUP(G933, Vöruskrá!A:A, Vöruskrá!E:E, "")), ""), IF(F933 = "Réttur", IFERROR(_xlfn.SINGLE(_xlfn.XLOOKUP(G933, Réttabanki!A:A, Réttabanki!AS:AS, "")), ""), "")))</f>
        <v/>
      </c>
      <c r="M933" s="26" t="str">
        <f>IF(OR(F933 = "", G933 = ""), "", IF(F933 = "Vara", IFERROR(_xlfn.SINGLE(_xlfn.XLOOKUP(G933, Vöruskrá!A:A, Vöruskrá!F:F, "")), ""), IF(F933 = "Réttur", IFERROR(_xlfn.SINGLE(_xlfn.XLOOKUP(G933, Réttabanki!A:A, Réttabanki!AT:AT, "")), ""), "")))</f>
        <v/>
      </c>
      <c r="N933" s="26" t="str">
        <f>IF(OR(F933 = "", G933 = ""), "", IF(F933 = "Vara", IFERROR(_xlfn.SINGLE(_xlfn.XLOOKUP(G933, Vöruskrá!A:A, Vöruskrá!G:G, "")), ""), IF(F933 = "Réttur", IFERROR(_xlfn.SINGLE(_xlfn.XLOOKUP(G933, Réttabanki!A:A, Réttabanki!AU:AU, "")), ""), "")))</f>
        <v/>
      </c>
      <c r="O933" s="26" t="str">
        <f>IF(OR(F933 = "", G933 = "", I933 = ""), "", IF(F933 = "Vara", IFERROR(_xlfn.SINGLE(_xlfn.XLOOKUP(G933, Vöruskrá!A:A, Vöruskrá!I:I, "")) * I933 / 100, ""), IF(F933 = "Réttur", IFERROR(_xlfn.SINGLE(_xlfn.XLOOKUP(G933, Réttabanki!A:A, Réttabanki!AV:AV, "")) * I933 / 100, ""), "")))</f>
        <v/>
      </c>
      <c r="P933" s="26" t="str">
        <f>IF(OR(F933 = "", G933 = "", I933 = ""), "", IF(F933 = "Vara", IFERROR(_xlfn.SINGLE(_xlfn.XLOOKUP(G933, Vöruskrá!A:A, Vöruskrá!J:J, "")) * I933 / 100, ""), IF(F933 = "Réttur", IFERROR(_xlfn.SINGLE(_xlfn.XLOOKUP(G933, Réttabanki!A:A, Réttabanki!AW:AW, "")) * I933 / 100, ""), "")))</f>
        <v/>
      </c>
      <c r="Q933" s="26" t="str">
        <f>IF(OR(F933 = "", G933 = "", I933 = ""), "", IF(F933 = "Vara", IFERROR(_xlfn.SINGLE(_xlfn.XLOOKUP(G933, Vöruskrá!A:A, Vöruskrá!N:N, "")) * I933 / 100, ""), IF(F933 = "Réttur", IFERROR(_xlfn.SINGLE(_xlfn.XLOOKUP(G933, Réttabanki!A:A, Réttabanki!BB:BB, "")) * I933 / 100, ""), "")))</f>
        <v/>
      </c>
    </row>
    <row r="934" spans="2:17">
      <c r="B934" s="33" t="str">
        <f>IF(A934&lt;&gt;"",CHOOSE(WEEKDAY(A934,2),"Mánudagur","Þriðjudagur","Miðvikudagur","Fimmtudagur","Föstudagur","Laugardagur","Sunnudagur"),IF(B933&lt;&gt;"",B933,""))</f>
        <v>Fimmtudagur</v>
      </c>
      <c r="C934" s="33">
        <f>IF(A934&lt;&gt;"",WEEKNUM(A934,21),IF(C933&lt;&gt;"",C933,""))</f>
        <v>27</v>
      </c>
      <c r="D934" s="34"/>
      <c r="E934" s="34"/>
      <c r="F934" s="34"/>
      <c r="G934" s="34"/>
      <c r="H934" s="34"/>
      <c r="I934" s="35"/>
      <c r="J934" s="35"/>
      <c r="K934" s="36"/>
      <c r="L934" s="26" t="str">
        <f>IF(OR(F934 = "", G934 = ""), "", IF(F934 = "Vara", IFERROR(_xlfn.SINGLE(_xlfn.XLOOKUP(G934, Vöruskrá!A:A, Vöruskrá!E:E, "")), ""), IF(F934 = "Réttur", IFERROR(_xlfn.SINGLE(_xlfn.XLOOKUP(G934, Réttabanki!A:A, Réttabanki!AS:AS, "")), ""), "")))</f>
        <v/>
      </c>
      <c r="M934" s="26" t="str">
        <f>IF(OR(F934 = "", G934 = ""), "", IF(F934 = "Vara", IFERROR(_xlfn.SINGLE(_xlfn.XLOOKUP(G934, Vöruskrá!A:A, Vöruskrá!F:F, "")), ""), IF(F934 = "Réttur", IFERROR(_xlfn.SINGLE(_xlfn.XLOOKUP(G934, Réttabanki!A:A, Réttabanki!AT:AT, "")), ""), "")))</f>
        <v/>
      </c>
      <c r="N934" s="26" t="str">
        <f>IF(OR(F934 = "", G934 = ""), "", IF(F934 = "Vara", IFERROR(_xlfn.SINGLE(_xlfn.XLOOKUP(G934, Vöruskrá!A:A, Vöruskrá!G:G, "")), ""), IF(F934 = "Réttur", IFERROR(_xlfn.SINGLE(_xlfn.XLOOKUP(G934, Réttabanki!A:A, Réttabanki!AU:AU, "")), ""), "")))</f>
        <v/>
      </c>
      <c r="O934" s="26" t="str">
        <f>IF(OR(F934 = "", G934 = "", I934 = ""), "", IF(F934 = "Vara", IFERROR(_xlfn.SINGLE(_xlfn.XLOOKUP(G934, Vöruskrá!A:A, Vöruskrá!I:I, "")) * I934 / 100, ""), IF(F934 = "Réttur", IFERROR(_xlfn.SINGLE(_xlfn.XLOOKUP(G934, Réttabanki!A:A, Réttabanki!AV:AV, "")) * I934 / 100, ""), "")))</f>
        <v/>
      </c>
      <c r="P934" s="26" t="str">
        <f>IF(OR(F934 = "", G934 = "", I934 = ""), "", IF(F934 = "Vara", IFERROR(_xlfn.SINGLE(_xlfn.XLOOKUP(G934, Vöruskrá!A:A, Vöruskrá!J:J, "")) * I934 / 100, ""), IF(F934 = "Réttur", IFERROR(_xlfn.SINGLE(_xlfn.XLOOKUP(G934, Réttabanki!A:A, Réttabanki!AW:AW, "")) * I934 / 100, ""), "")))</f>
        <v/>
      </c>
      <c r="Q934" s="26" t="str">
        <f>IF(OR(F934 = "", G934 = "", I934 = ""), "", IF(F934 = "Vara", IFERROR(_xlfn.SINGLE(_xlfn.XLOOKUP(G934, Vöruskrá!A:A, Vöruskrá!N:N, "")) * I934 / 100, ""), IF(F934 = "Réttur", IFERROR(_xlfn.SINGLE(_xlfn.XLOOKUP(G934, Réttabanki!A:A, Réttabanki!BB:BB, "")) * I934 / 100, ""), "")))</f>
        <v/>
      </c>
    </row>
    <row r="935" spans="2:17">
      <c r="B935" s="33" t="str">
        <f>IF(A935&lt;&gt;"",CHOOSE(WEEKDAY(A935,2),"Mánudagur","Þriðjudagur","Miðvikudagur","Fimmtudagur","Föstudagur","Laugardagur","Sunnudagur"),IF(B934&lt;&gt;"",B934,""))</f>
        <v>Fimmtudagur</v>
      </c>
      <c r="C935" s="33">
        <f>IF(A935&lt;&gt;"",WEEKNUM(A935,21),IF(C934&lt;&gt;"",C934,""))</f>
        <v>27</v>
      </c>
      <c r="D935" s="34"/>
      <c r="E935" s="34"/>
      <c r="F935" s="34"/>
      <c r="G935" s="34"/>
      <c r="H935" s="34"/>
      <c r="I935" s="35"/>
      <c r="J935" s="35"/>
      <c r="K935" s="36"/>
      <c r="L935" s="26" t="str">
        <f>IF(OR(F935 = "", G935 = ""), "", IF(F935 = "Vara", IFERROR(_xlfn.SINGLE(_xlfn.XLOOKUP(G935, Vöruskrá!A:A, Vöruskrá!E:E, "")), ""), IF(F935 = "Réttur", IFERROR(_xlfn.SINGLE(_xlfn.XLOOKUP(G935, Réttabanki!A:A, Réttabanki!AS:AS, "")), ""), "")))</f>
        <v/>
      </c>
      <c r="M935" s="26" t="str">
        <f>IF(OR(F935 = "", G935 = ""), "", IF(F935 = "Vara", IFERROR(_xlfn.SINGLE(_xlfn.XLOOKUP(G935, Vöruskrá!A:A, Vöruskrá!F:F, "")), ""), IF(F935 = "Réttur", IFERROR(_xlfn.SINGLE(_xlfn.XLOOKUP(G935, Réttabanki!A:A, Réttabanki!AT:AT, "")), ""), "")))</f>
        <v/>
      </c>
      <c r="N935" s="26" t="str">
        <f>IF(OR(F935 = "", G935 = ""), "", IF(F935 = "Vara", IFERROR(_xlfn.SINGLE(_xlfn.XLOOKUP(G935, Vöruskrá!A:A, Vöruskrá!G:G, "")), ""), IF(F935 = "Réttur", IFERROR(_xlfn.SINGLE(_xlfn.XLOOKUP(G935, Réttabanki!A:A, Réttabanki!AU:AU, "")), ""), "")))</f>
        <v/>
      </c>
      <c r="O935" s="26" t="str">
        <f>IF(OR(F935 = "", G935 = "", I935 = ""), "", IF(F935 = "Vara", IFERROR(_xlfn.SINGLE(_xlfn.XLOOKUP(G935, Vöruskrá!A:A, Vöruskrá!I:I, "")) * I935 / 100, ""), IF(F935 = "Réttur", IFERROR(_xlfn.SINGLE(_xlfn.XLOOKUP(G935, Réttabanki!A:A, Réttabanki!AV:AV, "")) * I935 / 100, ""), "")))</f>
        <v/>
      </c>
      <c r="P935" s="26" t="str">
        <f>IF(OR(F935 = "", G935 = "", I935 = ""), "", IF(F935 = "Vara", IFERROR(_xlfn.SINGLE(_xlfn.XLOOKUP(G935, Vöruskrá!A:A, Vöruskrá!J:J, "")) * I935 / 100, ""), IF(F935 = "Réttur", IFERROR(_xlfn.SINGLE(_xlfn.XLOOKUP(G935, Réttabanki!A:A, Réttabanki!AW:AW, "")) * I935 / 100, ""), "")))</f>
        <v/>
      </c>
      <c r="Q935" s="26" t="str">
        <f>IF(OR(F935 = "", G935 = "", I935 = ""), "", IF(F935 = "Vara", IFERROR(_xlfn.SINGLE(_xlfn.XLOOKUP(G935, Vöruskrá!A:A, Vöruskrá!N:N, "")) * I935 / 100, ""), IF(F935 = "Réttur", IFERROR(_xlfn.SINGLE(_xlfn.XLOOKUP(G935, Réttabanki!A:A, Réttabanki!BB:BB, "")) * I935 / 100, ""), "")))</f>
        <v/>
      </c>
    </row>
    <row r="936" spans="2:17">
      <c r="B936" s="33" t="str">
        <f>IF(A936&lt;&gt;"",CHOOSE(WEEKDAY(A936,2),"Mánudagur","Þriðjudagur","Miðvikudagur","Fimmtudagur","Föstudagur","Laugardagur","Sunnudagur"),IF(B935&lt;&gt;"",B935,""))</f>
        <v>Fimmtudagur</v>
      </c>
      <c r="C936" s="33">
        <f>IF(A936&lt;&gt;"",WEEKNUM(A936,21),IF(C935&lt;&gt;"",C935,""))</f>
        <v>27</v>
      </c>
      <c r="D936" s="34"/>
      <c r="E936" s="34"/>
      <c r="F936" s="34"/>
      <c r="G936" s="34"/>
      <c r="H936" s="34"/>
      <c r="I936" s="35"/>
      <c r="J936" s="35"/>
      <c r="K936" s="36"/>
      <c r="L936" s="26" t="str">
        <f>IF(OR(F936 = "", G936 = ""), "", IF(F936 = "Vara", IFERROR(_xlfn.SINGLE(_xlfn.XLOOKUP(G936, Vöruskrá!A:A, Vöruskrá!E:E, "")), ""), IF(F936 = "Réttur", IFERROR(_xlfn.SINGLE(_xlfn.XLOOKUP(G936, Réttabanki!A:A, Réttabanki!AS:AS, "")), ""), "")))</f>
        <v/>
      </c>
      <c r="M936" s="26" t="str">
        <f>IF(OR(F936 = "", G936 = ""), "", IF(F936 = "Vara", IFERROR(_xlfn.SINGLE(_xlfn.XLOOKUP(G936, Vöruskrá!A:A, Vöruskrá!F:F, "")), ""), IF(F936 = "Réttur", IFERROR(_xlfn.SINGLE(_xlfn.XLOOKUP(G936, Réttabanki!A:A, Réttabanki!AT:AT, "")), ""), "")))</f>
        <v/>
      </c>
      <c r="N936" s="26" t="str">
        <f>IF(OR(F936 = "", G936 = ""), "", IF(F936 = "Vara", IFERROR(_xlfn.SINGLE(_xlfn.XLOOKUP(G936, Vöruskrá!A:A, Vöruskrá!G:G, "")), ""), IF(F936 = "Réttur", IFERROR(_xlfn.SINGLE(_xlfn.XLOOKUP(G936, Réttabanki!A:A, Réttabanki!AU:AU, "")), ""), "")))</f>
        <v/>
      </c>
      <c r="O936" s="26" t="str">
        <f>IF(OR(F936 = "", G936 = "", I936 = ""), "", IF(F936 = "Vara", IFERROR(_xlfn.SINGLE(_xlfn.XLOOKUP(G936, Vöruskrá!A:A, Vöruskrá!I:I, "")) * I936 / 100, ""), IF(F936 = "Réttur", IFERROR(_xlfn.SINGLE(_xlfn.XLOOKUP(G936, Réttabanki!A:A, Réttabanki!AV:AV, "")) * I936 / 100, ""), "")))</f>
        <v/>
      </c>
      <c r="P936" s="26" t="str">
        <f>IF(OR(F936 = "", G936 = "", I936 = ""), "", IF(F936 = "Vara", IFERROR(_xlfn.SINGLE(_xlfn.XLOOKUP(G936, Vöruskrá!A:A, Vöruskrá!J:J, "")) * I936 / 100, ""), IF(F936 = "Réttur", IFERROR(_xlfn.SINGLE(_xlfn.XLOOKUP(G936, Réttabanki!A:A, Réttabanki!AW:AW, "")) * I936 / 100, ""), "")))</f>
        <v/>
      </c>
      <c r="Q936" s="26" t="str">
        <f>IF(OR(F936 = "", G936 = "", I936 = ""), "", IF(F936 = "Vara", IFERROR(_xlfn.SINGLE(_xlfn.XLOOKUP(G936, Vöruskrá!A:A, Vöruskrá!N:N, "")) * I936 / 100, ""), IF(F936 = "Réttur", IFERROR(_xlfn.SINGLE(_xlfn.XLOOKUP(G936, Réttabanki!A:A, Réttabanki!BB:BB, "")) * I936 / 100, ""), "")))</f>
        <v/>
      </c>
    </row>
    <row r="937" spans="2:17">
      <c r="B937" s="33" t="str">
        <f>IF(A937&lt;&gt;"",CHOOSE(WEEKDAY(A937,2),"Mánudagur","Þriðjudagur","Miðvikudagur","Fimmtudagur","Föstudagur","Laugardagur","Sunnudagur"),IF(B936&lt;&gt;"",B936,""))</f>
        <v>Fimmtudagur</v>
      </c>
      <c r="C937" s="33">
        <f>IF(A937&lt;&gt;"",WEEKNUM(A937,21),IF(C936&lt;&gt;"",C936,""))</f>
        <v>27</v>
      </c>
      <c r="D937" s="34"/>
      <c r="E937" s="34"/>
      <c r="F937" s="34"/>
      <c r="G937" s="34"/>
      <c r="H937" s="34"/>
      <c r="I937" s="35"/>
      <c r="J937" s="35"/>
      <c r="K937" s="36"/>
      <c r="L937" s="26" t="str">
        <f>IF(OR(F937 = "", G937 = ""), "", IF(F937 = "Vara", IFERROR(_xlfn.SINGLE(_xlfn.XLOOKUP(G937, Vöruskrá!A:A, Vöruskrá!E:E, "")), ""), IF(F937 = "Réttur", IFERROR(_xlfn.SINGLE(_xlfn.XLOOKUP(G937, Réttabanki!A:A, Réttabanki!AS:AS, "")), ""), "")))</f>
        <v/>
      </c>
      <c r="M937" s="26" t="str">
        <f>IF(OR(F937 = "", G937 = ""), "", IF(F937 = "Vara", IFERROR(_xlfn.SINGLE(_xlfn.XLOOKUP(G937, Vöruskrá!A:A, Vöruskrá!F:F, "")), ""), IF(F937 = "Réttur", IFERROR(_xlfn.SINGLE(_xlfn.XLOOKUP(G937, Réttabanki!A:A, Réttabanki!AT:AT, "")), ""), "")))</f>
        <v/>
      </c>
      <c r="N937" s="26" t="str">
        <f>IF(OR(F937 = "", G937 = ""), "", IF(F937 = "Vara", IFERROR(_xlfn.SINGLE(_xlfn.XLOOKUP(G937, Vöruskrá!A:A, Vöruskrá!G:G, "")), ""), IF(F937 = "Réttur", IFERROR(_xlfn.SINGLE(_xlfn.XLOOKUP(G937, Réttabanki!A:A, Réttabanki!AU:AU, "")), ""), "")))</f>
        <v/>
      </c>
      <c r="O937" s="26" t="str">
        <f>IF(OR(F937 = "", G937 = "", I937 = ""), "", IF(F937 = "Vara", IFERROR(_xlfn.SINGLE(_xlfn.XLOOKUP(G937, Vöruskrá!A:A, Vöruskrá!I:I, "")) * I937 / 100, ""), IF(F937 = "Réttur", IFERROR(_xlfn.SINGLE(_xlfn.XLOOKUP(G937, Réttabanki!A:A, Réttabanki!AV:AV, "")) * I937 / 100, ""), "")))</f>
        <v/>
      </c>
      <c r="P937" s="26" t="str">
        <f>IF(OR(F937 = "", G937 = "", I937 = ""), "", IF(F937 = "Vara", IFERROR(_xlfn.SINGLE(_xlfn.XLOOKUP(G937, Vöruskrá!A:A, Vöruskrá!J:J, "")) * I937 / 100, ""), IF(F937 = "Réttur", IFERROR(_xlfn.SINGLE(_xlfn.XLOOKUP(G937, Réttabanki!A:A, Réttabanki!AW:AW, "")) * I937 / 100, ""), "")))</f>
        <v/>
      </c>
      <c r="Q937" s="26" t="str">
        <f>IF(OR(F937 = "", G937 = "", I937 = ""), "", IF(F937 = "Vara", IFERROR(_xlfn.SINGLE(_xlfn.XLOOKUP(G937, Vöruskrá!A:A, Vöruskrá!N:N, "")) * I937 / 100, ""), IF(F937 = "Réttur", IFERROR(_xlfn.SINGLE(_xlfn.XLOOKUP(G937, Réttabanki!A:A, Réttabanki!BB:BB, "")) * I937 / 100, ""), "")))</f>
        <v/>
      </c>
    </row>
    <row r="938" spans="2:17">
      <c r="B938" s="33" t="str">
        <f>IF(A938&lt;&gt;"",CHOOSE(WEEKDAY(A938,2),"Mánudagur","Þriðjudagur","Miðvikudagur","Fimmtudagur","Föstudagur","Laugardagur","Sunnudagur"),IF(B937&lt;&gt;"",B937,""))</f>
        <v>Fimmtudagur</v>
      </c>
      <c r="C938" s="33">
        <f>IF(A938&lt;&gt;"",WEEKNUM(A938,21),IF(C937&lt;&gt;"",C937,""))</f>
        <v>27</v>
      </c>
      <c r="D938" s="34"/>
      <c r="E938" s="34"/>
      <c r="F938" s="34"/>
      <c r="G938" s="34"/>
      <c r="H938" s="34"/>
      <c r="I938" s="35"/>
      <c r="J938" s="35"/>
      <c r="K938" s="36"/>
      <c r="L938" s="26" t="str">
        <f>IF(OR(F938 = "", G938 = ""), "", IF(F938 = "Vara", IFERROR(_xlfn.SINGLE(_xlfn.XLOOKUP(G938, Vöruskrá!A:A, Vöruskrá!E:E, "")), ""), IF(F938 = "Réttur", IFERROR(_xlfn.SINGLE(_xlfn.XLOOKUP(G938, Réttabanki!A:A, Réttabanki!AS:AS, "")), ""), "")))</f>
        <v/>
      </c>
      <c r="M938" s="26" t="str">
        <f>IF(OR(F938 = "", G938 = ""), "", IF(F938 = "Vara", IFERROR(_xlfn.SINGLE(_xlfn.XLOOKUP(G938, Vöruskrá!A:A, Vöruskrá!F:F, "")), ""), IF(F938 = "Réttur", IFERROR(_xlfn.SINGLE(_xlfn.XLOOKUP(G938, Réttabanki!A:A, Réttabanki!AT:AT, "")), ""), "")))</f>
        <v/>
      </c>
      <c r="N938" s="26" t="str">
        <f>IF(OR(F938 = "", G938 = ""), "", IF(F938 = "Vara", IFERROR(_xlfn.SINGLE(_xlfn.XLOOKUP(G938, Vöruskrá!A:A, Vöruskrá!G:G, "")), ""), IF(F938 = "Réttur", IFERROR(_xlfn.SINGLE(_xlfn.XLOOKUP(G938, Réttabanki!A:A, Réttabanki!AU:AU, "")), ""), "")))</f>
        <v/>
      </c>
      <c r="O938" s="26" t="str">
        <f>IF(OR(F938 = "", G938 = "", I938 = ""), "", IF(F938 = "Vara", IFERROR(_xlfn.SINGLE(_xlfn.XLOOKUP(G938, Vöruskrá!A:A, Vöruskrá!I:I, "")) * I938 / 100, ""), IF(F938 = "Réttur", IFERROR(_xlfn.SINGLE(_xlfn.XLOOKUP(G938, Réttabanki!A:A, Réttabanki!AV:AV, "")) * I938 / 100, ""), "")))</f>
        <v/>
      </c>
      <c r="P938" s="26" t="str">
        <f>IF(OR(F938 = "", G938 = "", I938 = ""), "", IF(F938 = "Vara", IFERROR(_xlfn.SINGLE(_xlfn.XLOOKUP(G938, Vöruskrá!A:A, Vöruskrá!J:J, "")) * I938 / 100, ""), IF(F938 = "Réttur", IFERROR(_xlfn.SINGLE(_xlfn.XLOOKUP(G938, Réttabanki!A:A, Réttabanki!AW:AW, "")) * I938 / 100, ""), "")))</f>
        <v/>
      </c>
      <c r="Q938" s="26" t="str">
        <f>IF(OR(F938 = "", G938 = "", I938 = ""), "", IF(F938 = "Vara", IFERROR(_xlfn.SINGLE(_xlfn.XLOOKUP(G938, Vöruskrá!A:A, Vöruskrá!N:N, "")) * I938 / 100, ""), IF(F938 = "Réttur", IFERROR(_xlfn.SINGLE(_xlfn.XLOOKUP(G938, Réttabanki!A:A, Réttabanki!BB:BB, "")) * I938 / 100, ""), "")))</f>
        <v/>
      </c>
    </row>
    <row r="939" spans="2:17">
      <c r="B939" s="33" t="str">
        <f>IF(A939&lt;&gt;"",CHOOSE(WEEKDAY(A939,2),"Mánudagur","Þriðjudagur","Miðvikudagur","Fimmtudagur","Föstudagur","Laugardagur","Sunnudagur"),IF(B938&lt;&gt;"",B938,""))</f>
        <v>Fimmtudagur</v>
      </c>
      <c r="C939" s="33">
        <f>IF(A939&lt;&gt;"",WEEKNUM(A939,21),IF(C938&lt;&gt;"",C938,""))</f>
        <v>27</v>
      </c>
      <c r="D939" s="34"/>
      <c r="E939" s="34"/>
      <c r="F939" s="34"/>
      <c r="G939" s="34"/>
      <c r="H939" s="34"/>
      <c r="I939" s="35"/>
      <c r="J939" s="35"/>
      <c r="K939" s="36"/>
      <c r="L939" s="26" t="str">
        <f>IF(OR(F939 = "", G939 = ""), "", IF(F939 = "Vara", IFERROR(_xlfn.SINGLE(_xlfn.XLOOKUP(G939, Vöruskrá!A:A, Vöruskrá!E:E, "")), ""), IF(F939 = "Réttur", IFERROR(_xlfn.SINGLE(_xlfn.XLOOKUP(G939, Réttabanki!A:A, Réttabanki!AS:AS, "")), ""), "")))</f>
        <v/>
      </c>
      <c r="M939" s="26" t="str">
        <f>IF(OR(F939 = "", G939 = ""), "", IF(F939 = "Vara", IFERROR(_xlfn.SINGLE(_xlfn.XLOOKUP(G939, Vöruskrá!A:A, Vöruskrá!F:F, "")), ""), IF(F939 = "Réttur", IFERROR(_xlfn.SINGLE(_xlfn.XLOOKUP(G939, Réttabanki!A:A, Réttabanki!AT:AT, "")), ""), "")))</f>
        <v/>
      </c>
      <c r="N939" s="26" t="str">
        <f>IF(OR(F939 = "", G939 = ""), "", IF(F939 = "Vara", IFERROR(_xlfn.SINGLE(_xlfn.XLOOKUP(G939, Vöruskrá!A:A, Vöruskrá!G:G, "")), ""), IF(F939 = "Réttur", IFERROR(_xlfn.SINGLE(_xlfn.XLOOKUP(G939, Réttabanki!A:A, Réttabanki!AU:AU, "")), ""), "")))</f>
        <v/>
      </c>
      <c r="O939" s="26" t="str">
        <f>IF(OR(F939 = "", G939 = "", I939 = ""), "", IF(F939 = "Vara", IFERROR(_xlfn.SINGLE(_xlfn.XLOOKUP(G939, Vöruskrá!A:A, Vöruskrá!I:I, "")) * I939 / 100, ""), IF(F939 = "Réttur", IFERROR(_xlfn.SINGLE(_xlfn.XLOOKUP(G939, Réttabanki!A:A, Réttabanki!AV:AV, "")) * I939 / 100, ""), "")))</f>
        <v/>
      </c>
      <c r="P939" s="26" t="str">
        <f>IF(OR(F939 = "", G939 = "", I939 = ""), "", IF(F939 = "Vara", IFERROR(_xlfn.SINGLE(_xlfn.XLOOKUP(G939, Vöruskrá!A:A, Vöruskrá!J:J, "")) * I939 / 100, ""), IF(F939 = "Réttur", IFERROR(_xlfn.SINGLE(_xlfn.XLOOKUP(G939, Réttabanki!A:A, Réttabanki!AW:AW, "")) * I939 / 100, ""), "")))</f>
        <v/>
      </c>
      <c r="Q939" s="26" t="str">
        <f>IF(OR(F939 = "", G939 = "", I939 = ""), "", IF(F939 = "Vara", IFERROR(_xlfn.SINGLE(_xlfn.XLOOKUP(G939, Vöruskrá!A:A, Vöruskrá!N:N, "")) * I939 / 100, ""), IF(F939 = "Réttur", IFERROR(_xlfn.SINGLE(_xlfn.XLOOKUP(G939, Réttabanki!A:A, Réttabanki!BB:BB, "")) * I939 / 100, ""), "")))</f>
        <v/>
      </c>
    </row>
    <row r="940" spans="2:17">
      <c r="B940" s="33" t="str">
        <f>IF(A940&lt;&gt;"",CHOOSE(WEEKDAY(A940,2),"Mánudagur","Þriðjudagur","Miðvikudagur","Fimmtudagur","Föstudagur","Laugardagur","Sunnudagur"),IF(B939&lt;&gt;"",B939,""))</f>
        <v>Fimmtudagur</v>
      </c>
      <c r="C940" s="33">
        <f>IF(A940&lt;&gt;"",WEEKNUM(A940,21),IF(C939&lt;&gt;"",C939,""))</f>
        <v>27</v>
      </c>
      <c r="D940" s="34"/>
      <c r="E940" s="34"/>
      <c r="F940" s="34"/>
      <c r="G940" s="34"/>
      <c r="H940" s="34"/>
      <c r="I940" s="35"/>
      <c r="J940" s="35"/>
      <c r="K940" s="36"/>
      <c r="L940" s="26" t="str">
        <f>IF(OR(F940 = "", G940 = ""), "", IF(F940 = "Vara", IFERROR(_xlfn.SINGLE(_xlfn.XLOOKUP(G940, Vöruskrá!A:A, Vöruskrá!E:E, "")), ""), IF(F940 = "Réttur", IFERROR(_xlfn.SINGLE(_xlfn.XLOOKUP(G940, Réttabanki!A:A, Réttabanki!AS:AS, "")), ""), "")))</f>
        <v/>
      </c>
      <c r="M940" s="26" t="str">
        <f>IF(OR(F940 = "", G940 = ""), "", IF(F940 = "Vara", IFERROR(_xlfn.SINGLE(_xlfn.XLOOKUP(G940, Vöruskrá!A:A, Vöruskrá!F:F, "")), ""), IF(F940 = "Réttur", IFERROR(_xlfn.SINGLE(_xlfn.XLOOKUP(G940, Réttabanki!A:A, Réttabanki!AT:AT, "")), ""), "")))</f>
        <v/>
      </c>
      <c r="N940" s="26" t="str">
        <f>IF(OR(F940 = "", G940 = ""), "", IF(F940 = "Vara", IFERROR(_xlfn.SINGLE(_xlfn.XLOOKUP(G940, Vöruskrá!A:A, Vöruskrá!G:G, "")), ""), IF(F940 = "Réttur", IFERROR(_xlfn.SINGLE(_xlfn.XLOOKUP(G940, Réttabanki!A:A, Réttabanki!AU:AU, "")), ""), "")))</f>
        <v/>
      </c>
      <c r="O940" s="26" t="str">
        <f>IF(OR(F940 = "", G940 = "", I940 = ""), "", IF(F940 = "Vara", IFERROR(_xlfn.SINGLE(_xlfn.XLOOKUP(G940, Vöruskrá!A:A, Vöruskrá!I:I, "")) * I940 / 100, ""), IF(F940 = "Réttur", IFERROR(_xlfn.SINGLE(_xlfn.XLOOKUP(G940, Réttabanki!A:A, Réttabanki!AV:AV, "")) * I940 / 100, ""), "")))</f>
        <v/>
      </c>
      <c r="P940" s="26" t="str">
        <f>IF(OR(F940 = "", G940 = "", I940 = ""), "", IF(F940 = "Vara", IFERROR(_xlfn.SINGLE(_xlfn.XLOOKUP(G940, Vöruskrá!A:A, Vöruskrá!J:J, "")) * I940 / 100, ""), IF(F940 = "Réttur", IFERROR(_xlfn.SINGLE(_xlfn.XLOOKUP(G940, Réttabanki!A:A, Réttabanki!AW:AW, "")) * I940 / 100, ""), "")))</f>
        <v/>
      </c>
      <c r="Q940" s="26" t="str">
        <f>IF(OR(F940 = "", G940 = "", I940 = ""), "", IF(F940 = "Vara", IFERROR(_xlfn.SINGLE(_xlfn.XLOOKUP(G940, Vöruskrá!A:A, Vöruskrá!N:N, "")) * I940 / 100, ""), IF(F940 = "Réttur", IFERROR(_xlfn.SINGLE(_xlfn.XLOOKUP(G940, Réttabanki!A:A, Réttabanki!BB:BB, "")) * I940 / 100, ""), "")))</f>
        <v/>
      </c>
    </row>
    <row r="941" spans="2:17">
      <c r="B941" s="33" t="str">
        <f>IF(A941&lt;&gt;"",CHOOSE(WEEKDAY(A941,2),"Mánudagur","Þriðjudagur","Miðvikudagur","Fimmtudagur","Föstudagur","Laugardagur","Sunnudagur"),IF(B940&lt;&gt;"",B940,""))</f>
        <v>Fimmtudagur</v>
      </c>
      <c r="C941" s="33">
        <f>IF(A941&lt;&gt;"",WEEKNUM(A941,21),IF(C940&lt;&gt;"",C940,""))</f>
        <v>27</v>
      </c>
      <c r="D941" s="34"/>
      <c r="E941" s="34"/>
      <c r="F941" s="34"/>
      <c r="G941" s="34"/>
      <c r="H941" s="34"/>
      <c r="I941" s="35"/>
      <c r="J941" s="35"/>
      <c r="K941" s="36"/>
      <c r="L941" s="26" t="str">
        <f>IF(OR(F941 = "", G941 = ""), "", IF(F941 = "Vara", IFERROR(_xlfn.SINGLE(_xlfn.XLOOKUP(G941, Vöruskrá!A:A, Vöruskrá!E:E, "")), ""), IF(F941 = "Réttur", IFERROR(_xlfn.SINGLE(_xlfn.XLOOKUP(G941, Réttabanki!A:A, Réttabanki!AS:AS, "")), ""), "")))</f>
        <v/>
      </c>
      <c r="M941" s="26" t="str">
        <f>IF(OR(F941 = "", G941 = ""), "", IF(F941 = "Vara", IFERROR(_xlfn.SINGLE(_xlfn.XLOOKUP(G941, Vöruskrá!A:A, Vöruskrá!F:F, "")), ""), IF(F941 = "Réttur", IFERROR(_xlfn.SINGLE(_xlfn.XLOOKUP(G941, Réttabanki!A:A, Réttabanki!AT:AT, "")), ""), "")))</f>
        <v/>
      </c>
      <c r="N941" s="26" t="str">
        <f>IF(OR(F941 = "", G941 = ""), "", IF(F941 = "Vara", IFERROR(_xlfn.SINGLE(_xlfn.XLOOKUP(G941, Vöruskrá!A:A, Vöruskrá!G:G, "")), ""), IF(F941 = "Réttur", IFERROR(_xlfn.SINGLE(_xlfn.XLOOKUP(G941, Réttabanki!A:A, Réttabanki!AU:AU, "")), ""), "")))</f>
        <v/>
      </c>
      <c r="O941" s="26" t="str">
        <f>IF(OR(F941 = "", G941 = "", I941 = ""), "", IF(F941 = "Vara", IFERROR(_xlfn.SINGLE(_xlfn.XLOOKUP(G941, Vöruskrá!A:A, Vöruskrá!I:I, "")) * I941 / 100, ""), IF(F941 = "Réttur", IFERROR(_xlfn.SINGLE(_xlfn.XLOOKUP(G941, Réttabanki!A:A, Réttabanki!AV:AV, "")) * I941 / 100, ""), "")))</f>
        <v/>
      </c>
      <c r="P941" s="26" t="str">
        <f>IF(OR(F941 = "", G941 = "", I941 = ""), "", IF(F941 = "Vara", IFERROR(_xlfn.SINGLE(_xlfn.XLOOKUP(G941, Vöruskrá!A:A, Vöruskrá!J:J, "")) * I941 / 100, ""), IF(F941 = "Réttur", IFERROR(_xlfn.SINGLE(_xlfn.XLOOKUP(G941, Réttabanki!A:A, Réttabanki!AW:AW, "")) * I941 / 100, ""), "")))</f>
        <v/>
      </c>
      <c r="Q941" s="26" t="str">
        <f>IF(OR(F941 = "", G941 = "", I941 = ""), "", IF(F941 = "Vara", IFERROR(_xlfn.SINGLE(_xlfn.XLOOKUP(G941, Vöruskrá!A:A, Vöruskrá!N:N, "")) * I941 / 100, ""), IF(F941 = "Réttur", IFERROR(_xlfn.SINGLE(_xlfn.XLOOKUP(G941, Réttabanki!A:A, Réttabanki!BB:BB, "")) * I941 / 100, ""), "")))</f>
        <v/>
      </c>
    </row>
    <row r="942" spans="2:17">
      <c r="B942" s="33" t="str">
        <f>IF(A942&lt;&gt;"",CHOOSE(WEEKDAY(A942,2),"Mánudagur","Þriðjudagur","Miðvikudagur","Fimmtudagur","Föstudagur","Laugardagur","Sunnudagur"),IF(B941&lt;&gt;"",B941,""))</f>
        <v>Fimmtudagur</v>
      </c>
      <c r="C942" s="33">
        <f>IF(A942&lt;&gt;"",WEEKNUM(A942,21),IF(C941&lt;&gt;"",C941,""))</f>
        <v>27</v>
      </c>
      <c r="D942" s="34"/>
      <c r="E942" s="34"/>
      <c r="F942" s="34"/>
      <c r="G942" s="34"/>
      <c r="H942" s="34"/>
      <c r="I942" s="35"/>
      <c r="J942" s="35"/>
      <c r="K942" s="36"/>
      <c r="L942" s="26" t="str">
        <f>IF(OR(F942 = "", G942 = ""), "", IF(F942 = "Vara", IFERROR(_xlfn.SINGLE(_xlfn.XLOOKUP(G942, Vöruskrá!A:A, Vöruskrá!E:E, "")), ""), IF(F942 = "Réttur", IFERROR(_xlfn.SINGLE(_xlfn.XLOOKUP(G942, Réttabanki!A:A, Réttabanki!AS:AS, "")), ""), "")))</f>
        <v/>
      </c>
      <c r="M942" s="26" t="str">
        <f>IF(OR(F942 = "", G942 = ""), "", IF(F942 = "Vara", IFERROR(_xlfn.SINGLE(_xlfn.XLOOKUP(G942, Vöruskrá!A:A, Vöruskrá!F:F, "")), ""), IF(F942 = "Réttur", IFERROR(_xlfn.SINGLE(_xlfn.XLOOKUP(G942, Réttabanki!A:A, Réttabanki!AT:AT, "")), ""), "")))</f>
        <v/>
      </c>
      <c r="N942" s="26" t="str">
        <f>IF(OR(F942 = "", G942 = ""), "", IF(F942 = "Vara", IFERROR(_xlfn.SINGLE(_xlfn.XLOOKUP(G942, Vöruskrá!A:A, Vöruskrá!G:G, "")), ""), IF(F942 = "Réttur", IFERROR(_xlfn.SINGLE(_xlfn.XLOOKUP(G942, Réttabanki!A:A, Réttabanki!AU:AU, "")), ""), "")))</f>
        <v/>
      </c>
      <c r="O942" s="26" t="str">
        <f>IF(OR(F942 = "", G942 = "", I942 = ""), "", IF(F942 = "Vara", IFERROR(_xlfn.SINGLE(_xlfn.XLOOKUP(G942, Vöruskrá!A:A, Vöruskrá!I:I, "")) * I942 / 100, ""), IF(F942 = "Réttur", IFERROR(_xlfn.SINGLE(_xlfn.XLOOKUP(G942, Réttabanki!A:A, Réttabanki!AV:AV, "")) * I942 / 100, ""), "")))</f>
        <v/>
      </c>
      <c r="P942" s="26" t="str">
        <f>IF(OR(F942 = "", G942 = "", I942 = ""), "", IF(F942 = "Vara", IFERROR(_xlfn.SINGLE(_xlfn.XLOOKUP(G942, Vöruskrá!A:A, Vöruskrá!J:J, "")) * I942 / 100, ""), IF(F942 = "Réttur", IFERROR(_xlfn.SINGLE(_xlfn.XLOOKUP(G942, Réttabanki!A:A, Réttabanki!AW:AW, "")) * I942 / 100, ""), "")))</f>
        <v/>
      </c>
      <c r="Q942" s="26" t="str">
        <f>IF(OR(F942 = "", G942 = "", I942 = ""), "", IF(F942 = "Vara", IFERROR(_xlfn.SINGLE(_xlfn.XLOOKUP(G942, Vöruskrá!A:A, Vöruskrá!N:N, "")) * I942 / 100, ""), IF(F942 = "Réttur", IFERROR(_xlfn.SINGLE(_xlfn.XLOOKUP(G942, Réttabanki!A:A, Réttabanki!BB:BB, "")) * I942 / 100, ""), "")))</f>
        <v/>
      </c>
    </row>
    <row r="943" spans="2:17">
      <c r="B943" s="33" t="str">
        <f>IF(A943&lt;&gt;"",CHOOSE(WEEKDAY(A943,2),"Mánudagur","Þriðjudagur","Miðvikudagur","Fimmtudagur","Föstudagur","Laugardagur","Sunnudagur"),IF(B942&lt;&gt;"",B942,""))</f>
        <v>Fimmtudagur</v>
      </c>
      <c r="C943" s="33">
        <f>IF(A943&lt;&gt;"",WEEKNUM(A943,21),IF(C942&lt;&gt;"",C942,""))</f>
        <v>27</v>
      </c>
      <c r="D943" s="34"/>
      <c r="E943" s="34"/>
      <c r="F943" s="34"/>
      <c r="G943" s="34"/>
      <c r="H943" s="34"/>
      <c r="I943" s="35"/>
      <c r="J943" s="35"/>
      <c r="K943" s="36"/>
      <c r="L943" s="26" t="str">
        <f>IF(OR(F943 = "", G943 = ""), "", IF(F943 = "Vara", IFERROR(_xlfn.SINGLE(_xlfn.XLOOKUP(G943, Vöruskrá!A:A, Vöruskrá!E:E, "")), ""), IF(F943 = "Réttur", IFERROR(_xlfn.SINGLE(_xlfn.XLOOKUP(G943, Réttabanki!A:A, Réttabanki!AS:AS, "")), ""), "")))</f>
        <v/>
      </c>
      <c r="M943" s="26" t="str">
        <f>IF(OR(F943 = "", G943 = ""), "", IF(F943 = "Vara", IFERROR(_xlfn.SINGLE(_xlfn.XLOOKUP(G943, Vöruskrá!A:A, Vöruskrá!F:F, "")), ""), IF(F943 = "Réttur", IFERROR(_xlfn.SINGLE(_xlfn.XLOOKUP(G943, Réttabanki!A:A, Réttabanki!AT:AT, "")), ""), "")))</f>
        <v/>
      </c>
      <c r="N943" s="26" t="str">
        <f>IF(OR(F943 = "", G943 = ""), "", IF(F943 = "Vara", IFERROR(_xlfn.SINGLE(_xlfn.XLOOKUP(G943, Vöruskrá!A:A, Vöruskrá!G:G, "")), ""), IF(F943 = "Réttur", IFERROR(_xlfn.SINGLE(_xlfn.XLOOKUP(G943, Réttabanki!A:A, Réttabanki!AU:AU, "")), ""), "")))</f>
        <v/>
      </c>
      <c r="O943" s="26" t="str">
        <f>IF(OR(F943 = "", G943 = "", I943 = ""), "", IF(F943 = "Vara", IFERROR(_xlfn.SINGLE(_xlfn.XLOOKUP(G943, Vöruskrá!A:A, Vöruskrá!I:I, "")) * I943 / 100, ""), IF(F943 = "Réttur", IFERROR(_xlfn.SINGLE(_xlfn.XLOOKUP(G943, Réttabanki!A:A, Réttabanki!AV:AV, "")) * I943 / 100, ""), "")))</f>
        <v/>
      </c>
      <c r="P943" s="26" t="str">
        <f>IF(OR(F943 = "", G943 = "", I943 = ""), "", IF(F943 = "Vara", IFERROR(_xlfn.SINGLE(_xlfn.XLOOKUP(G943, Vöruskrá!A:A, Vöruskrá!J:J, "")) * I943 / 100, ""), IF(F943 = "Réttur", IFERROR(_xlfn.SINGLE(_xlfn.XLOOKUP(G943, Réttabanki!A:A, Réttabanki!AW:AW, "")) * I943 / 100, ""), "")))</f>
        <v/>
      </c>
      <c r="Q943" s="26" t="str">
        <f>IF(OR(F943 = "", G943 = "", I943 = ""), "", IF(F943 = "Vara", IFERROR(_xlfn.SINGLE(_xlfn.XLOOKUP(G943, Vöruskrá!A:A, Vöruskrá!N:N, "")) * I943 / 100, ""), IF(F943 = "Réttur", IFERROR(_xlfn.SINGLE(_xlfn.XLOOKUP(G943, Réttabanki!A:A, Réttabanki!BB:BB, "")) * I943 / 100, ""), "")))</f>
        <v/>
      </c>
    </row>
    <row r="944" spans="2:17">
      <c r="B944" s="33" t="str">
        <f>IF(A944&lt;&gt;"",CHOOSE(WEEKDAY(A944,2),"Mánudagur","Þriðjudagur","Miðvikudagur","Fimmtudagur","Föstudagur","Laugardagur","Sunnudagur"),IF(B943&lt;&gt;"",B943,""))</f>
        <v>Fimmtudagur</v>
      </c>
      <c r="C944" s="33">
        <f>IF(A944&lt;&gt;"",WEEKNUM(A944,21),IF(C943&lt;&gt;"",C943,""))</f>
        <v>27</v>
      </c>
      <c r="D944" s="34"/>
      <c r="E944" s="34"/>
      <c r="F944" s="34"/>
      <c r="G944" s="34"/>
      <c r="H944" s="34"/>
      <c r="I944" s="35"/>
      <c r="J944" s="35"/>
      <c r="K944" s="36"/>
      <c r="L944" s="26" t="str">
        <f>IF(OR(F944 = "", G944 = ""), "", IF(F944 = "Vara", IFERROR(_xlfn.SINGLE(_xlfn.XLOOKUP(G944, Vöruskrá!A:A, Vöruskrá!E:E, "")), ""), IF(F944 = "Réttur", IFERROR(_xlfn.SINGLE(_xlfn.XLOOKUP(G944, Réttabanki!A:A, Réttabanki!AS:AS, "")), ""), "")))</f>
        <v/>
      </c>
      <c r="M944" s="26" t="str">
        <f>IF(OR(F944 = "", G944 = ""), "", IF(F944 = "Vara", IFERROR(_xlfn.SINGLE(_xlfn.XLOOKUP(G944, Vöruskrá!A:A, Vöruskrá!F:F, "")), ""), IF(F944 = "Réttur", IFERROR(_xlfn.SINGLE(_xlfn.XLOOKUP(G944, Réttabanki!A:A, Réttabanki!AT:AT, "")), ""), "")))</f>
        <v/>
      </c>
      <c r="N944" s="26" t="str">
        <f>IF(OR(F944 = "", G944 = ""), "", IF(F944 = "Vara", IFERROR(_xlfn.SINGLE(_xlfn.XLOOKUP(G944, Vöruskrá!A:A, Vöruskrá!G:G, "")), ""), IF(F944 = "Réttur", IFERROR(_xlfn.SINGLE(_xlfn.XLOOKUP(G944, Réttabanki!A:A, Réttabanki!AU:AU, "")), ""), "")))</f>
        <v/>
      </c>
      <c r="O944" s="26" t="str">
        <f>IF(OR(F944 = "", G944 = "", I944 = ""), "", IF(F944 = "Vara", IFERROR(_xlfn.SINGLE(_xlfn.XLOOKUP(G944, Vöruskrá!A:A, Vöruskrá!I:I, "")) * I944 / 100, ""), IF(F944 = "Réttur", IFERROR(_xlfn.SINGLE(_xlfn.XLOOKUP(G944, Réttabanki!A:A, Réttabanki!AV:AV, "")) * I944 / 100, ""), "")))</f>
        <v/>
      </c>
      <c r="P944" s="26" t="str">
        <f>IF(OR(F944 = "", G944 = "", I944 = ""), "", IF(F944 = "Vara", IFERROR(_xlfn.SINGLE(_xlfn.XLOOKUP(G944, Vöruskrá!A:A, Vöruskrá!J:J, "")) * I944 / 100, ""), IF(F944 = "Réttur", IFERROR(_xlfn.SINGLE(_xlfn.XLOOKUP(G944, Réttabanki!A:A, Réttabanki!AW:AW, "")) * I944 / 100, ""), "")))</f>
        <v/>
      </c>
      <c r="Q944" s="26" t="str">
        <f>IF(OR(F944 = "", G944 = "", I944 = ""), "", IF(F944 = "Vara", IFERROR(_xlfn.SINGLE(_xlfn.XLOOKUP(G944, Vöruskrá!A:A, Vöruskrá!N:N, "")) * I944 / 100, ""), IF(F944 = "Réttur", IFERROR(_xlfn.SINGLE(_xlfn.XLOOKUP(G944, Réttabanki!A:A, Réttabanki!BB:BB, "")) * I944 / 100, ""), "")))</f>
        <v/>
      </c>
    </row>
    <row r="945" spans="2:17">
      <c r="B945" s="33" t="str">
        <f>IF(A945&lt;&gt;"",CHOOSE(WEEKDAY(A945,2),"Mánudagur","Þriðjudagur","Miðvikudagur","Fimmtudagur","Föstudagur","Laugardagur","Sunnudagur"),IF(B944&lt;&gt;"",B944,""))</f>
        <v>Fimmtudagur</v>
      </c>
      <c r="C945" s="33">
        <f>IF(A945&lt;&gt;"",WEEKNUM(A945,21),IF(C944&lt;&gt;"",C944,""))</f>
        <v>27</v>
      </c>
      <c r="D945" s="34"/>
      <c r="E945" s="34"/>
      <c r="F945" s="34"/>
      <c r="G945" s="34"/>
      <c r="H945" s="34"/>
      <c r="I945" s="35"/>
      <c r="J945" s="35"/>
      <c r="K945" s="36"/>
      <c r="L945" s="26" t="str">
        <f>IF(OR(F945 = "", G945 = ""), "", IF(F945 = "Vara", IFERROR(_xlfn.SINGLE(_xlfn.XLOOKUP(G945, Vöruskrá!A:A, Vöruskrá!E:E, "")), ""), IF(F945 = "Réttur", IFERROR(_xlfn.SINGLE(_xlfn.XLOOKUP(G945, Réttabanki!A:A, Réttabanki!AS:AS, "")), ""), "")))</f>
        <v/>
      </c>
      <c r="M945" s="26" t="str">
        <f>IF(OR(F945 = "", G945 = ""), "", IF(F945 = "Vara", IFERROR(_xlfn.SINGLE(_xlfn.XLOOKUP(G945, Vöruskrá!A:A, Vöruskrá!F:F, "")), ""), IF(F945 = "Réttur", IFERROR(_xlfn.SINGLE(_xlfn.XLOOKUP(G945, Réttabanki!A:A, Réttabanki!AT:AT, "")), ""), "")))</f>
        <v/>
      </c>
      <c r="N945" s="26" t="str">
        <f>IF(OR(F945 = "", G945 = ""), "", IF(F945 = "Vara", IFERROR(_xlfn.SINGLE(_xlfn.XLOOKUP(G945, Vöruskrá!A:A, Vöruskrá!G:G, "")), ""), IF(F945 = "Réttur", IFERROR(_xlfn.SINGLE(_xlfn.XLOOKUP(G945, Réttabanki!A:A, Réttabanki!AU:AU, "")), ""), "")))</f>
        <v/>
      </c>
      <c r="O945" s="26" t="str">
        <f>IF(OR(F945 = "", G945 = "", I945 = ""), "", IF(F945 = "Vara", IFERROR(_xlfn.SINGLE(_xlfn.XLOOKUP(G945, Vöruskrá!A:A, Vöruskrá!I:I, "")) * I945 / 100, ""), IF(F945 = "Réttur", IFERROR(_xlfn.SINGLE(_xlfn.XLOOKUP(G945, Réttabanki!A:A, Réttabanki!AV:AV, "")) * I945 / 100, ""), "")))</f>
        <v/>
      </c>
      <c r="P945" s="26" t="str">
        <f>IF(OR(F945 = "", G945 = "", I945 = ""), "", IF(F945 = "Vara", IFERROR(_xlfn.SINGLE(_xlfn.XLOOKUP(G945, Vöruskrá!A:A, Vöruskrá!J:J, "")) * I945 / 100, ""), IF(F945 = "Réttur", IFERROR(_xlfn.SINGLE(_xlfn.XLOOKUP(G945, Réttabanki!A:A, Réttabanki!AW:AW, "")) * I945 / 100, ""), "")))</f>
        <v/>
      </c>
      <c r="Q945" s="26" t="str">
        <f>IF(OR(F945 = "", G945 = "", I945 = ""), "", IF(F945 = "Vara", IFERROR(_xlfn.SINGLE(_xlfn.XLOOKUP(G945, Vöruskrá!A:A, Vöruskrá!N:N, "")) * I945 / 100, ""), IF(F945 = "Réttur", IFERROR(_xlfn.SINGLE(_xlfn.XLOOKUP(G945, Réttabanki!A:A, Réttabanki!BB:BB, "")) * I945 / 100, ""), "")))</f>
        <v/>
      </c>
    </row>
    <row r="946" spans="2:17">
      <c r="B946" s="33" t="str">
        <f>IF(A946&lt;&gt;"",CHOOSE(WEEKDAY(A946,2),"Mánudagur","Þriðjudagur","Miðvikudagur","Fimmtudagur","Föstudagur","Laugardagur","Sunnudagur"),IF(B945&lt;&gt;"",B945,""))</f>
        <v>Fimmtudagur</v>
      </c>
      <c r="C946" s="33">
        <f>IF(A946&lt;&gt;"",WEEKNUM(A946,21),IF(C945&lt;&gt;"",C945,""))</f>
        <v>27</v>
      </c>
      <c r="D946" s="34"/>
      <c r="E946" s="34"/>
      <c r="F946" s="34"/>
      <c r="G946" s="34"/>
      <c r="H946" s="34"/>
      <c r="I946" s="35"/>
      <c r="J946" s="35"/>
      <c r="K946" s="36"/>
      <c r="L946" s="26" t="str">
        <f>IF(OR(F946 = "", G946 = ""), "", IF(F946 = "Vara", IFERROR(_xlfn.SINGLE(_xlfn.XLOOKUP(G946, Vöruskrá!A:A, Vöruskrá!E:E, "")), ""), IF(F946 = "Réttur", IFERROR(_xlfn.SINGLE(_xlfn.XLOOKUP(G946, Réttabanki!A:A, Réttabanki!AS:AS, "")), ""), "")))</f>
        <v/>
      </c>
      <c r="M946" s="26" t="str">
        <f>IF(OR(F946 = "", G946 = ""), "", IF(F946 = "Vara", IFERROR(_xlfn.SINGLE(_xlfn.XLOOKUP(G946, Vöruskrá!A:A, Vöruskrá!F:F, "")), ""), IF(F946 = "Réttur", IFERROR(_xlfn.SINGLE(_xlfn.XLOOKUP(G946, Réttabanki!A:A, Réttabanki!AT:AT, "")), ""), "")))</f>
        <v/>
      </c>
      <c r="N946" s="26" t="str">
        <f>IF(OR(F946 = "", G946 = ""), "", IF(F946 = "Vara", IFERROR(_xlfn.SINGLE(_xlfn.XLOOKUP(G946, Vöruskrá!A:A, Vöruskrá!G:G, "")), ""), IF(F946 = "Réttur", IFERROR(_xlfn.SINGLE(_xlfn.XLOOKUP(G946, Réttabanki!A:A, Réttabanki!AU:AU, "")), ""), "")))</f>
        <v/>
      </c>
      <c r="O946" s="26" t="str">
        <f>IF(OR(F946 = "", G946 = "", I946 = ""), "", IF(F946 = "Vara", IFERROR(_xlfn.SINGLE(_xlfn.XLOOKUP(G946, Vöruskrá!A:A, Vöruskrá!I:I, "")) * I946 / 100, ""), IF(F946 = "Réttur", IFERROR(_xlfn.SINGLE(_xlfn.XLOOKUP(G946, Réttabanki!A:A, Réttabanki!AV:AV, "")) * I946 / 100, ""), "")))</f>
        <v/>
      </c>
      <c r="P946" s="26" t="str">
        <f>IF(OR(F946 = "", G946 = "", I946 = ""), "", IF(F946 = "Vara", IFERROR(_xlfn.SINGLE(_xlfn.XLOOKUP(G946, Vöruskrá!A:A, Vöruskrá!J:J, "")) * I946 / 100, ""), IF(F946 = "Réttur", IFERROR(_xlfn.SINGLE(_xlfn.XLOOKUP(G946, Réttabanki!A:A, Réttabanki!AW:AW, "")) * I946 / 100, ""), "")))</f>
        <v/>
      </c>
      <c r="Q946" s="26" t="str">
        <f>IF(OR(F946 = "", G946 = "", I946 = ""), "", IF(F946 = "Vara", IFERROR(_xlfn.SINGLE(_xlfn.XLOOKUP(G946, Vöruskrá!A:A, Vöruskrá!N:N, "")) * I946 / 100, ""), IF(F946 = "Réttur", IFERROR(_xlfn.SINGLE(_xlfn.XLOOKUP(G946, Réttabanki!A:A, Réttabanki!BB:BB, "")) * I946 / 100, ""), "")))</f>
        <v/>
      </c>
    </row>
    <row r="947" spans="2:17">
      <c r="B947" s="33" t="str">
        <f>IF(A947&lt;&gt;"",CHOOSE(WEEKDAY(A947,2),"Mánudagur","Þriðjudagur","Miðvikudagur","Fimmtudagur","Föstudagur","Laugardagur","Sunnudagur"),IF(B946&lt;&gt;"",B946,""))</f>
        <v>Fimmtudagur</v>
      </c>
      <c r="C947" s="33">
        <f>IF(A947&lt;&gt;"",WEEKNUM(A947,21),IF(C946&lt;&gt;"",C946,""))</f>
        <v>27</v>
      </c>
      <c r="D947" s="34"/>
      <c r="E947" s="34"/>
      <c r="F947" s="34"/>
      <c r="G947" s="34"/>
      <c r="H947" s="34"/>
      <c r="I947" s="35"/>
      <c r="J947" s="35"/>
      <c r="K947" s="36"/>
      <c r="L947" s="26" t="str">
        <f>IF(OR(F947 = "", G947 = ""), "", IF(F947 = "Vara", IFERROR(_xlfn.SINGLE(_xlfn.XLOOKUP(G947, Vöruskrá!A:A, Vöruskrá!E:E, "")), ""), IF(F947 = "Réttur", IFERROR(_xlfn.SINGLE(_xlfn.XLOOKUP(G947, Réttabanki!A:A, Réttabanki!AS:AS, "")), ""), "")))</f>
        <v/>
      </c>
      <c r="M947" s="26" t="str">
        <f>IF(OR(F947 = "", G947 = ""), "", IF(F947 = "Vara", IFERROR(_xlfn.SINGLE(_xlfn.XLOOKUP(G947, Vöruskrá!A:A, Vöruskrá!F:F, "")), ""), IF(F947 = "Réttur", IFERROR(_xlfn.SINGLE(_xlfn.XLOOKUP(G947, Réttabanki!A:A, Réttabanki!AT:AT, "")), ""), "")))</f>
        <v/>
      </c>
      <c r="N947" s="26" t="str">
        <f>IF(OR(F947 = "", G947 = ""), "", IF(F947 = "Vara", IFERROR(_xlfn.SINGLE(_xlfn.XLOOKUP(G947, Vöruskrá!A:A, Vöruskrá!G:G, "")), ""), IF(F947 = "Réttur", IFERROR(_xlfn.SINGLE(_xlfn.XLOOKUP(G947, Réttabanki!A:A, Réttabanki!AU:AU, "")), ""), "")))</f>
        <v/>
      </c>
      <c r="O947" s="26" t="str">
        <f>IF(OR(F947 = "", G947 = "", I947 = ""), "", IF(F947 = "Vara", IFERROR(_xlfn.SINGLE(_xlfn.XLOOKUP(G947, Vöruskrá!A:A, Vöruskrá!I:I, "")) * I947 / 100, ""), IF(F947 = "Réttur", IFERROR(_xlfn.SINGLE(_xlfn.XLOOKUP(G947, Réttabanki!A:A, Réttabanki!AV:AV, "")) * I947 / 100, ""), "")))</f>
        <v/>
      </c>
      <c r="P947" s="26" t="str">
        <f>IF(OR(F947 = "", G947 = "", I947 = ""), "", IF(F947 = "Vara", IFERROR(_xlfn.SINGLE(_xlfn.XLOOKUP(G947, Vöruskrá!A:A, Vöruskrá!J:J, "")) * I947 / 100, ""), IF(F947 = "Réttur", IFERROR(_xlfn.SINGLE(_xlfn.XLOOKUP(G947, Réttabanki!A:A, Réttabanki!AW:AW, "")) * I947 / 100, ""), "")))</f>
        <v/>
      </c>
      <c r="Q947" s="26" t="str">
        <f>IF(OR(F947 = "", G947 = "", I947 = ""), "", IF(F947 = "Vara", IFERROR(_xlfn.SINGLE(_xlfn.XLOOKUP(G947, Vöruskrá!A:A, Vöruskrá!N:N, "")) * I947 / 100, ""), IF(F947 = "Réttur", IFERROR(_xlfn.SINGLE(_xlfn.XLOOKUP(G947, Réttabanki!A:A, Réttabanki!BB:BB, "")) * I947 / 100, ""), "")))</f>
        <v/>
      </c>
    </row>
    <row r="948" spans="2:17">
      <c r="B948" s="33" t="str">
        <f>IF(A948&lt;&gt;"",CHOOSE(WEEKDAY(A948,2),"Mánudagur","Þriðjudagur","Miðvikudagur","Fimmtudagur","Föstudagur","Laugardagur","Sunnudagur"),IF(B947&lt;&gt;"",B947,""))</f>
        <v>Fimmtudagur</v>
      </c>
      <c r="C948" s="33">
        <f>IF(A948&lt;&gt;"",WEEKNUM(A948,21),IF(C947&lt;&gt;"",C947,""))</f>
        <v>27</v>
      </c>
      <c r="D948" s="34"/>
      <c r="E948" s="34"/>
      <c r="F948" s="34"/>
      <c r="G948" s="34"/>
      <c r="H948" s="34"/>
      <c r="I948" s="35"/>
      <c r="J948" s="35"/>
      <c r="K948" s="36"/>
      <c r="L948" s="26" t="str">
        <f>IF(OR(F948 = "", G948 = ""), "", IF(F948 = "Vara", IFERROR(_xlfn.SINGLE(_xlfn.XLOOKUP(G948, Vöruskrá!A:A, Vöruskrá!E:E, "")), ""), IF(F948 = "Réttur", IFERROR(_xlfn.SINGLE(_xlfn.XLOOKUP(G948, Réttabanki!A:A, Réttabanki!AS:AS, "")), ""), "")))</f>
        <v/>
      </c>
      <c r="M948" s="26" t="str">
        <f>IF(OR(F948 = "", G948 = ""), "", IF(F948 = "Vara", IFERROR(_xlfn.SINGLE(_xlfn.XLOOKUP(G948, Vöruskrá!A:A, Vöruskrá!F:F, "")), ""), IF(F948 = "Réttur", IFERROR(_xlfn.SINGLE(_xlfn.XLOOKUP(G948, Réttabanki!A:A, Réttabanki!AT:AT, "")), ""), "")))</f>
        <v/>
      </c>
      <c r="N948" s="26" t="str">
        <f>IF(OR(F948 = "", G948 = ""), "", IF(F948 = "Vara", IFERROR(_xlfn.SINGLE(_xlfn.XLOOKUP(G948, Vöruskrá!A:A, Vöruskrá!G:G, "")), ""), IF(F948 = "Réttur", IFERROR(_xlfn.SINGLE(_xlfn.XLOOKUP(G948, Réttabanki!A:A, Réttabanki!AU:AU, "")), ""), "")))</f>
        <v/>
      </c>
      <c r="O948" s="26" t="str">
        <f>IF(OR(F948 = "", G948 = "", I948 = ""), "", IF(F948 = "Vara", IFERROR(_xlfn.SINGLE(_xlfn.XLOOKUP(G948, Vöruskrá!A:A, Vöruskrá!I:I, "")) * I948 / 100, ""), IF(F948 = "Réttur", IFERROR(_xlfn.SINGLE(_xlfn.XLOOKUP(G948, Réttabanki!A:A, Réttabanki!AV:AV, "")) * I948 / 100, ""), "")))</f>
        <v/>
      </c>
      <c r="P948" s="26" t="str">
        <f>IF(OR(F948 = "", G948 = "", I948 = ""), "", IF(F948 = "Vara", IFERROR(_xlfn.SINGLE(_xlfn.XLOOKUP(G948, Vöruskrá!A:A, Vöruskrá!J:J, "")) * I948 / 100, ""), IF(F948 = "Réttur", IFERROR(_xlfn.SINGLE(_xlfn.XLOOKUP(G948, Réttabanki!A:A, Réttabanki!AW:AW, "")) * I948 / 100, ""), "")))</f>
        <v/>
      </c>
      <c r="Q948" s="26" t="str">
        <f>IF(OR(F948 = "", G948 = "", I948 = ""), "", IF(F948 = "Vara", IFERROR(_xlfn.SINGLE(_xlfn.XLOOKUP(G948, Vöruskrá!A:A, Vöruskrá!N:N, "")) * I948 / 100, ""), IF(F948 = "Réttur", IFERROR(_xlfn.SINGLE(_xlfn.XLOOKUP(G948, Réttabanki!A:A, Réttabanki!BB:BB, "")) * I948 / 100, ""), "")))</f>
        <v/>
      </c>
    </row>
    <row r="949" spans="2:17">
      <c r="B949" s="33" t="str">
        <f>IF(A949&lt;&gt;"",CHOOSE(WEEKDAY(A949,2),"Mánudagur","Þriðjudagur","Miðvikudagur","Fimmtudagur","Föstudagur","Laugardagur","Sunnudagur"),IF(B948&lt;&gt;"",B948,""))</f>
        <v>Fimmtudagur</v>
      </c>
      <c r="C949" s="33">
        <f>IF(A949&lt;&gt;"",WEEKNUM(A949,21),IF(C948&lt;&gt;"",C948,""))</f>
        <v>27</v>
      </c>
      <c r="D949" s="34"/>
      <c r="E949" s="34"/>
      <c r="F949" s="34"/>
      <c r="G949" s="34"/>
      <c r="H949" s="34"/>
      <c r="I949" s="35"/>
      <c r="J949" s="35"/>
      <c r="K949" s="36"/>
      <c r="L949" s="26" t="str">
        <f>IF(OR(F949 = "", G949 = ""), "", IF(F949 = "Vara", IFERROR(_xlfn.SINGLE(_xlfn.XLOOKUP(G949, Vöruskrá!A:A, Vöruskrá!E:E, "")), ""), IF(F949 = "Réttur", IFERROR(_xlfn.SINGLE(_xlfn.XLOOKUP(G949, Réttabanki!A:A, Réttabanki!AS:AS, "")), ""), "")))</f>
        <v/>
      </c>
      <c r="M949" s="26" t="str">
        <f>IF(OR(F949 = "", G949 = ""), "", IF(F949 = "Vara", IFERROR(_xlfn.SINGLE(_xlfn.XLOOKUP(G949, Vöruskrá!A:A, Vöruskrá!F:F, "")), ""), IF(F949 = "Réttur", IFERROR(_xlfn.SINGLE(_xlfn.XLOOKUP(G949, Réttabanki!A:A, Réttabanki!AT:AT, "")), ""), "")))</f>
        <v/>
      </c>
      <c r="N949" s="26" t="str">
        <f>IF(OR(F949 = "", G949 = ""), "", IF(F949 = "Vara", IFERROR(_xlfn.SINGLE(_xlfn.XLOOKUP(G949, Vöruskrá!A:A, Vöruskrá!G:G, "")), ""), IF(F949 = "Réttur", IFERROR(_xlfn.SINGLE(_xlfn.XLOOKUP(G949, Réttabanki!A:A, Réttabanki!AU:AU, "")), ""), "")))</f>
        <v/>
      </c>
      <c r="O949" s="26" t="str">
        <f>IF(OR(F949 = "", G949 = "", I949 = ""), "", IF(F949 = "Vara", IFERROR(_xlfn.SINGLE(_xlfn.XLOOKUP(G949, Vöruskrá!A:A, Vöruskrá!I:I, "")) * I949 / 100, ""), IF(F949 = "Réttur", IFERROR(_xlfn.SINGLE(_xlfn.XLOOKUP(G949, Réttabanki!A:A, Réttabanki!AV:AV, "")) * I949 / 100, ""), "")))</f>
        <v/>
      </c>
      <c r="P949" s="26" t="str">
        <f>IF(OR(F949 = "", G949 = "", I949 = ""), "", IF(F949 = "Vara", IFERROR(_xlfn.SINGLE(_xlfn.XLOOKUP(G949, Vöruskrá!A:A, Vöruskrá!J:J, "")) * I949 / 100, ""), IF(F949 = "Réttur", IFERROR(_xlfn.SINGLE(_xlfn.XLOOKUP(G949, Réttabanki!A:A, Réttabanki!AW:AW, "")) * I949 / 100, ""), "")))</f>
        <v/>
      </c>
      <c r="Q949" s="26" t="str">
        <f>IF(OR(F949 = "", G949 = "", I949 = ""), "", IF(F949 = "Vara", IFERROR(_xlfn.SINGLE(_xlfn.XLOOKUP(G949, Vöruskrá!A:A, Vöruskrá!N:N, "")) * I949 / 100, ""), IF(F949 = "Réttur", IFERROR(_xlfn.SINGLE(_xlfn.XLOOKUP(G949, Réttabanki!A:A, Réttabanki!BB:BB, "")) * I949 / 100, ""), "")))</f>
        <v/>
      </c>
    </row>
    <row r="950" spans="2:17">
      <c r="B950" s="33" t="str">
        <f>IF(A950&lt;&gt;"",CHOOSE(WEEKDAY(A950,2),"Mánudagur","Þriðjudagur","Miðvikudagur","Fimmtudagur","Föstudagur","Laugardagur","Sunnudagur"),IF(B949&lt;&gt;"",B949,""))</f>
        <v>Fimmtudagur</v>
      </c>
      <c r="C950" s="33">
        <f>IF(A950&lt;&gt;"",WEEKNUM(A950,21),IF(C949&lt;&gt;"",C949,""))</f>
        <v>27</v>
      </c>
      <c r="D950" s="34"/>
      <c r="E950" s="34"/>
      <c r="F950" s="34"/>
      <c r="G950" s="34"/>
      <c r="H950" s="34"/>
      <c r="I950" s="35"/>
      <c r="J950" s="35"/>
      <c r="K950" s="36"/>
      <c r="L950" s="26" t="str">
        <f>IF(OR(F950 = "", G950 = ""), "", IF(F950 = "Vara", IFERROR(_xlfn.SINGLE(_xlfn.XLOOKUP(G950, Vöruskrá!A:A, Vöruskrá!E:E, "")), ""), IF(F950 = "Réttur", IFERROR(_xlfn.SINGLE(_xlfn.XLOOKUP(G950, Réttabanki!A:A, Réttabanki!AS:AS, "")), ""), "")))</f>
        <v/>
      </c>
      <c r="M950" s="26" t="str">
        <f>IF(OR(F950 = "", G950 = ""), "", IF(F950 = "Vara", IFERROR(_xlfn.SINGLE(_xlfn.XLOOKUP(G950, Vöruskrá!A:A, Vöruskrá!F:F, "")), ""), IF(F950 = "Réttur", IFERROR(_xlfn.SINGLE(_xlfn.XLOOKUP(G950, Réttabanki!A:A, Réttabanki!AT:AT, "")), ""), "")))</f>
        <v/>
      </c>
      <c r="N950" s="26" t="str">
        <f>IF(OR(F950 = "", G950 = ""), "", IF(F950 = "Vara", IFERROR(_xlfn.SINGLE(_xlfn.XLOOKUP(G950, Vöruskrá!A:A, Vöruskrá!G:G, "")), ""), IF(F950 = "Réttur", IFERROR(_xlfn.SINGLE(_xlfn.XLOOKUP(G950, Réttabanki!A:A, Réttabanki!AU:AU, "")), ""), "")))</f>
        <v/>
      </c>
      <c r="O950" s="26" t="str">
        <f>IF(OR(F950 = "", G950 = "", I950 = ""), "", IF(F950 = "Vara", IFERROR(_xlfn.SINGLE(_xlfn.XLOOKUP(G950, Vöruskrá!A:A, Vöruskrá!I:I, "")) * I950 / 100, ""), IF(F950 = "Réttur", IFERROR(_xlfn.SINGLE(_xlfn.XLOOKUP(G950, Réttabanki!A:A, Réttabanki!AV:AV, "")) * I950 / 100, ""), "")))</f>
        <v/>
      </c>
      <c r="P950" s="26" t="str">
        <f>IF(OR(F950 = "", G950 = "", I950 = ""), "", IF(F950 = "Vara", IFERROR(_xlfn.SINGLE(_xlfn.XLOOKUP(G950, Vöruskrá!A:A, Vöruskrá!J:J, "")) * I950 / 100, ""), IF(F950 = "Réttur", IFERROR(_xlfn.SINGLE(_xlfn.XLOOKUP(G950, Réttabanki!A:A, Réttabanki!AW:AW, "")) * I950 / 100, ""), "")))</f>
        <v/>
      </c>
      <c r="Q950" s="26" t="str">
        <f>IF(OR(F950 = "", G950 = "", I950 = ""), "", IF(F950 = "Vara", IFERROR(_xlfn.SINGLE(_xlfn.XLOOKUP(G950, Vöruskrá!A:A, Vöruskrá!N:N, "")) * I950 / 100, ""), IF(F950 = "Réttur", IFERROR(_xlfn.SINGLE(_xlfn.XLOOKUP(G950, Réttabanki!A:A, Réttabanki!BB:BB, "")) * I950 / 100, ""), "")))</f>
        <v/>
      </c>
    </row>
    <row r="951" spans="2:17">
      <c r="B951" s="33" t="str">
        <f>IF(A951&lt;&gt;"",CHOOSE(WEEKDAY(A951,2),"Mánudagur","Þriðjudagur","Miðvikudagur","Fimmtudagur","Föstudagur","Laugardagur","Sunnudagur"),IF(B950&lt;&gt;"",B950,""))</f>
        <v>Fimmtudagur</v>
      </c>
      <c r="C951" s="33">
        <f>IF(A951&lt;&gt;"",WEEKNUM(A951,21),IF(C950&lt;&gt;"",C950,""))</f>
        <v>27</v>
      </c>
      <c r="D951" s="34"/>
      <c r="E951" s="34"/>
      <c r="F951" s="34"/>
      <c r="G951" s="34"/>
      <c r="H951" s="34"/>
      <c r="I951" s="35"/>
      <c r="J951" s="35"/>
      <c r="K951" s="36"/>
      <c r="L951" s="26" t="str">
        <f>IF(OR(F951 = "", G951 = ""), "", IF(F951 = "Vara", IFERROR(_xlfn.SINGLE(_xlfn.XLOOKUP(G951, Vöruskrá!A:A, Vöruskrá!E:E, "")), ""), IF(F951 = "Réttur", IFERROR(_xlfn.SINGLE(_xlfn.XLOOKUP(G951, Réttabanki!A:A, Réttabanki!AS:AS, "")), ""), "")))</f>
        <v/>
      </c>
      <c r="M951" s="26" t="str">
        <f>IF(OR(F951 = "", G951 = ""), "", IF(F951 = "Vara", IFERROR(_xlfn.SINGLE(_xlfn.XLOOKUP(G951, Vöruskrá!A:A, Vöruskrá!F:F, "")), ""), IF(F951 = "Réttur", IFERROR(_xlfn.SINGLE(_xlfn.XLOOKUP(G951, Réttabanki!A:A, Réttabanki!AT:AT, "")), ""), "")))</f>
        <v/>
      </c>
      <c r="N951" s="26" t="str">
        <f>IF(OR(F951 = "", G951 = ""), "", IF(F951 = "Vara", IFERROR(_xlfn.SINGLE(_xlfn.XLOOKUP(G951, Vöruskrá!A:A, Vöruskrá!G:G, "")), ""), IF(F951 = "Réttur", IFERROR(_xlfn.SINGLE(_xlfn.XLOOKUP(G951, Réttabanki!A:A, Réttabanki!AU:AU, "")), ""), "")))</f>
        <v/>
      </c>
      <c r="O951" s="26" t="str">
        <f>IF(OR(F951 = "", G951 = "", I951 = ""), "", IF(F951 = "Vara", IFERROR(_xlfn.SINGLE(_xlfn.XLOOKUP(G951, Vöruskrá!A:A, Vöruskrá!I:I, "")) * I951 / 100, ""), IF(F951 = "Réttur", IFERROR(_xlfn.SINGLE(_xlfn.XLOOKUP(G951, Réttabanki!A:A, Réttabanki!AV:AV, "")) * I951 / 100, ""), "")))</f>
        <v/>
      </c>
      <c r="P951" s="26" t="str">
        <f>IF(OR(F951 = "", G951 = "", I951 = ""), "", IF(F951 = "Vara", IFERROR(_xlfn.SINGLE(_xlfn.XLOOKUP(G951, Vöruskrá!A:A, Vöruskrá!J:J, "")) * I951 / 100, ""), IF(F951 = "Réttur", IFERROR(_xlfn.SINGLE(_xlfn.XLOOKUP(G951, Réttabanki!A:A, Réttabanki!AW:AW, "")) * I951 / 100, ""), "")))</f>
        <v/>
      </c>
      <c r="Q951" s="26" t="str">
        <f>IF(OR(F951 = "", G951 = "", I951 = ""), "", IF(F951 = "Vara", IFERROR(_xlfn.SINGLE(_xlfn.XLOOKUP(G951, Vöruskrá!A:A, Vöruskrá!N:N, "")) * I951 / 100, ""), IF(F951 = "Réttur", IFERROR(_xlfn.SINGLE(_xlfn.XLOOKUP(G951, Réttabanki!A:A, Réttabanki!BB:BB, "")) * I951 / 100, ""), "")))</f>
        <v/>
      </c>
    </row>
    <row r="952" spans="2:17">
      <c r="B952" s="33" t="str">
        <f>IF(A952&lt;&gt;"",CHOOSE(WEEKDAY(A952,2),"Mánudagur","Þriðjudagur","Miðvikudagur","Fimmtudagur","Föstudagur","Laugardagur","Sunnudagur"),IF(B951&lt;&gt;"",B951,""))</f>
        <v>Fimmtudagur</v>
      </c>
      <c r="C952" s="33">
        <f>IF(A952&lt;&gt;"",WEEKNUM(A952,21),IF(C951&lt;&gt;"",C951,""))</f>
        <v>27</v>
      </c>
      <c r="D952" s="34"/>
      <c r="E952" s="34"/>
      <c r="F952" s="34"/>
      <c r="G952" s="34"/>
      <c r="H952" s="34"/>
      <c r="I952" s="35"/>
      <c r="J952" s="35"/>
      <c r="K952" s="36"/>
      <c r="L952" s="26" t="str">
        <f>IF(OR(F952 = "", G952 = ""), "", IF(F952 = "Vara", IFERROR(_xlfn.SINGLE(_xlfn.XLOOKUP(G952, Vöruskrá!A:A, Vöruskrá!E:E, "")), ""), IF(F952 = "Réttur", IFERROR(_xlfn.SINGLE(_xlfn.XLOOKUP(G952, Réttabanki!A:A, Réttabanki!AS:AS, "")), ""), "")))</f>
        <v/>
      </c>
      <c r="M952" s="26" t="str">
        <f>IF(OR(F952 = "", G952 = ""), "", IF(F952 = "Vara", IFERROR(_xlfn.SINGLE(_xlfn.XLOOKUP(G952, Vöruskrá!A:A, Vöruskrá!F:F, "")), ""), IF(F952 = "Réttur", IFERROR(_xlfn.SINGLE(_xlfn.XLOOKUP(G952, Réttabanki!A:A, Réttabanki!AT:AT, "")), ""), "")))</f>
        <v/>
      </c>
      <c r="N952" s="26" t="str">
        <f>IF(OR(F952 = "", G952 = ""), "", IF(F952 = "Vara", IFERROR(_xlfn.SINGLE(_xlfn.XLOOKUP(G952, Vöruskrá!A:A, Vöruskrá!G:G, "")), ""), IF(F952 = "Réttur", IFERROR(_xlfn.SINGLE(_xlfn.XLOOKUP(G952, Réttabanki!A:A, Réttabanki!AU:AU, "")), ""), "")))</f>
        <v/>
      </c>
      <c r="O952" s="26" t="str">
        <f>IF(OR(F952 = "", G952 = "", I952 = ""), "", IF(F952 = "Vara", IFERROR(_xlfn.SINGLE(_xlfn.XLOOKUP(G952, Vöruskrá!A:A, Vöruskrá!I:I, "")) * I952 / 100, ""), IF(F952 = "Réttur", IFERROR(_xlfn.SINGLE(_xlfn.XLOOKUP(G952, Réttabanki!A:A, Réttabanki!AV:AV, "")) * I952 / 100, ""), "")))</f>
        <v/>
      </c>
      <c r="P952" s="26" t="str">
        <f>IF(OR(F952 = "", G952 = "", I952 = ""), "", IF(F952 = "Vara", IFERROR(_xlfn.SINGLE(_xlfn.XLOOKUP(G952, Vöruskrá!A:A, Vöruskrá!J:J, "")) * I952 / 100, ""), IF(F952 = "Réttur", IFERROR(_xlfn.SINGLE(_xlfn.XLOOKUP(G952, Réttabanki!A:A, Réttabanki!AW:AW, "")) * I952 / 100, ""), "")))</f>
        <v/>
      </c>
      <c r="Q952" s="26" t="str">
        <f>IF(OR(F952 = "", G952 = "", I952 = ""), "", IF(F952 = "Vara", IFERROR(_xlfn.SINGLE(_xlfn.XLOOKUP(G952, Vöruskrá!A:A, Vöruskrá!N:N, "")) * I952 / 100, ""), IF(F952 = "Réttur", IFERROR(_xlfn.SINGLE(_xlfn.XLOOKUP(G952, Réttabanki!A:A, Réttabanki!BB:BB, "")) * I952 / 100, ""), "")))</f>
        <v/>
      </c>
    </row>
    <row r="953" spans="2:17">
      <c r="B953" s="33" t="str">
        <f>IF(A953&lt;&gt;"",CHOOSE(WEEKDAY(A953,2),"Mánudagur","Þriðjudagur","Miðvikudagur","Fimmtudagur","Föstudagur","Laugardagur","Sunnudagur"),IF(B952&lt;&gt;"",B952,""))</f>
        <v>Fimmtudagur</v>
      </c>
      <c r="C953" s="33">
        <f>IF(A953&lt;&gt;"",WEEKNUM(A953,21),IF(C952&lt;&gt;"",C952,""))</f>
        <v>27</v>
      </c>
      <c r="D953" s="34"/>
      <c r="E953" s="34"/>
      <c r="F953" s="34"/>
      <c r="G953" s="34"/>
      <c r="H953" s="34"/>
      <c r="I953" s="35"/>
      <c r="J953" s="35"/>
      <c r="K953" s="36"/>
      <c r="L953" s="26" t="str">
        <f>IF(OR(F953 = "", G953 = ""), "", IF(F953 = "Vara", IFERROR(_xlfn.SINGLE(_xlfn.XLOOKUP(G953, Vöruskrá!A:A, Vöruskrá!E:E, "")), ""), IF(F953 = "Réttur", IFERROR(_xlfn.SINGLE(_xlfn.XLOOKUP(G953, Réttabanki!A:A, Réttabanki!AS:AS, "")), ""), "")))</f>
        <v/>
      </c>
      <c r="M953" s="26" t="str">
        <f>IF(OR(F953 = "", G953 = ""), "", IF(F953 = "Vara", IFERROR(_xlfn.SINGLE(_xlfn.XLOOKUP(G953, Vöruskrá!A:A, Vöruskrá!F:F, "")), ""), IF(F953 = "Réttur", IFERROR(_xlfn.SINGLE(_xlfn.XLOOKUP(G953, Réttabanki!A:A, Réttabanki!AT:AT, "")), ""), "")))</f>
        <v/>
      </c>
      <c r="N953" s="26" t="str">
        <f>IF(OR(F953 = "", G953 = ""), "", IF(F953 = "Vara", IFERROR(_xlfn.SINGLE(_xlfn.XLOOKUP(G953, Vöruskrá!A:A, Vöruskrá!G:G, "")), ""), IF(F953 = "Réttur", IFERROR(_xlfn.SINGLE(_xlfn.XLOOKUP(G953, Réttabanki!A:A, Réttabanki!AU:AU, "")), ""), "")))</f>
        <v/>
      </c>
      <c r="O953" s="26" t="str">
        <f>IF(OR(F953 = "", G953 = "", I953 = ""), "", IF(F953 = "Vara", IFERROR(_xlfn.SINGLE(_xlfn.XLOOKUP(G953, Vöruskrá!A:A, Vöruskrá!I:I, "")) * I953 / 100, ""), IF(F953 = "Réttur", IFERROR(_xlfn.SINGLE(_xlfn.XLOOKUP(G953, Réttabanki!A:A, Réttabanki!AV:AV, "")) * I953 / 100, ""), "")))</f>
        <v/>
      </c>
      <c r="P953" s="26" t="str">
        <f>IF(OR(F953 = "", G953 = "", I953 = ""), "", IF(F953 = "Vara", IFERROR(_xlfn.SINGLE(_xlfn.XLOOKUP(G953, Vöruskrá!A:A, Vöruskrá!J:J, "")) * I953 / 100, ""), IF(F953 = "Réttur", IFERROR(_xlfn.SINGLE(_xlfn.XLOOKUP(G953, Réttabanki!A:A, Réttabanki!AW:AW, "")) * I953 / 100, ""), "")))</f>
        <v/>
      </c>
      <c r="Q953" s="26" t="str">
        <f>IF(OR(F953 = "", G953 = "", I953 = ""), "", IF(F953 = "Vara", IFERROR(_xlfn.SINGLE(_xlfn.XLOOKUP(G953, Vöruskrá!A:A, Vöruskrá!N:N, "")) * I953 / 100, ""), IF(F953 = "Réttur", IFERROR(_xlfn.SINGLE(_xlfn.XLOOKUP(G953, Réttabanki!A:A, Réttabanki!BB:BB, "")) * I953 / 100, ""), "")))</f>
        <v/>
      </c>
    </row>
    <row r="954" spans="2:17">
      <c r="B954" s="33" t="str">
        <f>IF(A954&lt;&gt;"",CHOOSE(WEEKDAY(A954,2),"Mánudagur","Þriðjudagur","Miðvikudagur","Fimmtudagur","Föstudagur","Laugardagur","Sunnudagur"),IF(B953&lt;&gt;"",B953,""))</f>
        <v>Fimmtudagur</v>
      </c>
      <c r="C954" s="33">
        <f>IF(A954&lt;&gt;"",WEEKNUM(A954,21),IF(C953&lt;&gt;"",C953,""))</f>
        <v>27</v>
      </c>
      <c r="D954" s="34"/>
      <c r="E954" s="34"/>
      <c r="F954" s="34"/>
      <c r="G954" s="34"/>
      <c r="H954" s="34"/>
      <c r="I954" s="35"/>
      <c r="J954" s="35"/>
      <c r="K954" s="36"/>
      <c r="L954" s="26" t="str">
        <f>IF(OR(F954 = "", G954 = ""), "", IF(F954 = "Vara", IFERROR(_xlfn.SINGLE(_xlfn.XLOOKUP(G954, Vöruskrá!A:A, Vöruskrá!E:E, "")), ""), IF(F954 = "Réttur", IFERROR(_xlfn.SINGLE(_xlfn.XLOOKUP(G954, Réttabanki!A:A, Réttabanki!AS:AS, "")), ""), "")))</f>
        <v/>
      </c>
      <c r="M954" s="26" t="str">
        <f>IF(OR(F954 = "", G954 = ""), "", IF(F954 = "Vara", IFERROR(_xlfn.SINGLE(_xlfn.XLOOKUP(G954, Vöruskrá!A:A, Vöruskrá!F:F, "")), ""), IF(F954 = "Réttur", IFERROR(_xlfn.SINGLE(_xlfn.XLOOKUP(G954, Réttabanki!A:A, Réttabanki!AT:AT, "")), ""), "")))</f>
        <v/>
      </c>
      <c r="N954" s="26" t="str">
        <f>IF(OR(F954 = "", G954 = ""), "", IF(F954 = "Vara", IFERROR(_xlfn.SINGLE(_xlfn.XLOOKUP(G954, Vöruskrá!A:A, Vöruskrá!G:G, "")), ""), IF(F954 = "Réttur", IFERROR(_xlfn.SINGLE(_xlfn.XLOOKUP(G954, Réttabanki!A:A, Réttabanki!AU:AU, "")), ""), "")))</f>
        <v/>
      </c>
      <c r="O954" s="26" t="str">
        <f>IF(OR(F954 = "", G954 = "", I954 = ""), "", IF(F954 = "Vara", IFERROR(_xlfn.SINGLE(_xlfn.XLOOKUP(G954, Vöruskrá!A:A, Vöruskrá!I:I, "")) * I954 / 100, ""), IF(F954 = "Réttur", IFERROR(_xlfn.SINGLE(_xlfn.XLOOKUP(G954, Réttabanki!A:A, Réttabanki!AV:AV, "")) * I954 / 100, ""), "")))</f>
        <v/>
      </c>
      <c r="P954" s="26" t="str">
        <f>IF(OR(F954 = "", G954 = "", I954 = ""), "", IF(F954 = "Vara", IFERROR(_xlfn.SINGLE(_xlfn.XLOOKUP(G954, Vöruskrá!A:A, Vöruskrá!J:J, "")) * I954 / 100, ""), IF(F954 = "Réttur", IFERROR(_xlfn.SINGLE(_xlfn.XLOOKUP(G954, Réttabanki!A:A, Réttabanki!AW:AW, "")) * I954 / 100, ""), "")))</f>
        <v/>
      </c>
      <c r="Q954" s="26" t="str">
        <f>IF(OR(F954 = "", G954 = "", I954 = ""), "", IF(F954 = "Vara", IFERROR(_xlfn.SINGLE(_xlfn.XLOOKUP(G954, Vöruskrá!A:A, Vöruskrá!N:N, "")) * I954 / 100, ""), IF(F954 = "Réttur", IFERROR(_xlfn.SINGLE(_xlfn.XLOOKUP(G954, Réttabanki!A:A, Réttabanki!BB:BB, "")) * I954 / 100, ""), "")))</f>
        <v/>
      </c>
    </row>
    <row r="955" spans="2:17">
      <c r="B955" s="33" t="str">
        <f>IF(A955&lt;&gt;"",CHOOSE(WEEKDAY(A955,2),"Mánudagur","Þriðjudagur","Miðvikudagur","Fimmtudagur","Föstudagur","Laugardagur","Sunnudagur"),IF(B954&lt;&gt;"",B954,""))</f>
        <v>Fimmtudagur</v>
      </c>
      <c r="C955" s="33">
        <f>IF(A955&lt;&gt;"",WEEKNUM(A955,21),IF(C954&lt;&gt;"",C954,""))</f>
        <v>27</v>
      </c>
      <c r="D955" s="34"/>
      <c r="E955" s="34"/>
      <c r="F955" s="34"/>
      <c r="G955" s="34"/>
      <c r="H955" s="34"/>
      <c r="I955" s="35"/>
      <c r="J955" s="35"/>
      <c r="K955" s="36"/>
      <c r="L955" s="26" t="str">
        <f>IF(OR(F955 = "", G955 = ""), "", IF(F955 = "Vara", IFERROR(_xlfn.SINGLE(_xlfn.XLOOKUP(G955, Vöruskrá!A:A, Vöruskrá!E:E, "")), ""), IF(F955 = "Réttur", IFERROR(_xlfn.SINGLE(_xlfn.XLOOKUP(G955, Réttabanki!A:A, Réttabanki!AS:AS, "")), ""), "")))</f>
        <v/>
      </c>
      <c r="M955" s="26" t="str">
        <f>IF(OR(F955 = "", G955 = ""), "", IF(F955 = "Vara", IFERROR(_xlfn.SINGLE(_xlfn.XLOOKUP(G955, Vöruskrá!A:A, Vöruskrá!F:F, "")), ""), IF(F955 = "Réttur", IFERROR(_xlfn.SINGLE(_xlfn.XLOOKUP(G955, Réttabanki!A:A, Réttabanki!AT:AT, "")), ""), "")))</f>
        <v/>
      </c>
      <c r="N955" s="26" t="str">
        <f>IF(OR(F955 = "", G955 = ""), "", IF(F955 = "Vara", IFERROR(_xlfn.SINGLE(_xlfn.XLOOKUP(G955, Vöruskrá!A:A, Vöruskrá!G:G, "")), ""), IF(F955 = "Réttur", IFERROR(_xlfn.SINGLE(_xlfn.XLOOKUP(G955, Réttabanki!A:A, Réttabanki!AU:AU, "")), ""), "")))</f>
        <v/>
      </c>
      <c r="O955" s="26" t="str">
        <f>IF(OR(F955 = "", G955 = "", I955 = ""), "", IF(F955 = "Vara", IFERROR(_xlfn.SINGLE(_xlfn.XLOOKUP(G955, Vöruskrá!A:A, Vöruskrá!I:I, "")) * I955 / 100, ""), IF(F955 = "Réttur", IFERROR(_xlfn.SINGLE(_xlfn.XLOOKUP(G955, Réttabanki!A:A, Réttabanki!AV:AV, "")) * I955 / 100, ""), "")))</f>
        <v/>
      </c>
      <c r="P955" s="26" t="str">
        <f>IF(OR(F955 = "", G955 = "", I955 = ""), "", IF(F955 = "Vara", IFERROR(_xlfn.SINGLE(_xlfn.XLOOKUP(G955, Vöruskrá!A:A, Vöruskrá!J:J, "")) * I955 / 100, ""), IF(F955 = "Réttur", IFERROR(_xlfn.SINGLE(_xlfn.XLOOKUP(G955, Réttabanki!A:A, Réttabanki!AW:AW, "")) * I955 / 100, ""), "")))</f>
        <v/>
      </c>
      <c r="Q955" s="26" t="str">
        <f>IF(OR(F955 = "", G955 = "", I955 = ""), "", IF(F955 = "Vara", IFERROR(_xlfn.SINGLE(_xlfn.XLOOKUP(G955, Vöruskrá!A:A, Vöruskrá!N:N, "")) * I955 / 100, ""), IF(F955 = "Réttur", IFERROR(_xlfn.SINGLE(_xlfn.XLOOKUP(G955, Réttabanki!A:A, Réttabanki!BB:BB, "")) * I955 / 100, ""), "")))</f>
        <v/>
      </c>
    </row>
    <row r="956" spans="2:17">
      <c r="B956" s="33" t="str">
        <f>IF(A956&lt;&gt;"",CHOOSE(WEEKDAY(A956,2),"Mánudagur","Þriðjudagur","Miðvikudagur","Fimmtudagur","Föstudagur","Laugardagur","Sunnudagur"),IF(B955&lt;&gt;"",B955,""))</f>
        <v>Fimmtudagur</v>
      </c>
      <c r="C956" s="33">
        <f>IF(A956&lt;&gt;"",WEEKNUM(A956,21),IF(C955&lt;&gt;"",C955,""))</f>
        <v>27</v>
      </c>
      <c r="D956" s="34"/>
      <c r="E956" s="34"/>
      <c r="F956" s="34"/>
      <c r="G956" s="34"/>
      <c r="H956" s="34"/>
      <c r="I956" s="35"/>
      <c r="J956" s="35"/>
      <c r="K956" s="36"/>
      <c r="L956" s="26" t="str">
        <f>IF(OR(F956 = "", G956 = ""), "", IF(F956 = "Vara", IFERROR(_xlfn.SINGLE(_xlfn.XLOOKUP(G956, Vöruskrá!A:A, Vöruskrá!E:E, "")), ""), IF(F956 = "Réttur", IFERROR(_xlfn.SINGLE(_xlfn.XLOOKUP(G956, Réttabanki!A:A, Réttabanki!AS:AS, "")), ""), "")))</f>
        <v/>
      </c>
      <c r="M956" s="26" t="str">
        <f>IF(OR(F956 = "", G956 = ""), "", IF(F956 = "Vara", IFERROR(_xlfn.SINGLE(_xlfn.XLOOKUP(G956, Vöruskrá!A:A, Vöruskrá!F:F, "")), ""), IF(F956 = "Réttur", IFERROR(_xlfn.SINGLE(_xlfn.XLOOKUP(G956, Réttabanki!A:A, Réttabanki!AT:AT, "")), ""), "")))</f>
        <v/>
      </c>
      <c r="N956" s="26" t="str">
        <f>IF(OR(F956 = "", G956 = ""), "", IF(F956 = "Vara", IFERROR(_xlfn.SINGLE(_xlfn.XLOOKUP(G956, Vöruskrá!A:A, Vöruskrá!G:G, "")), ""), IF(F956 = "Réttur", IFERROR(_xlfn.SINGLE(_xlfn.XLOOKUP(G956, Réttabanki!A:A, Réttabanki!AU:AU, "")), ""), "")))</f>
        <v/>
      </c>
      <c r="O956" s="26" t="str">
        <f>IF(OR(F956 = "", G956 = "", I956 = ""), "", IF(F956 = "Vara", IFERROR(_xlfn.SINGLE(_xlfn.XLOOKUP(G956, Vöruskrá!A:A, Vöruskrá!I:I, "")) * I956 / 100, ""), IF(F956 = "Réttur", IFERROR(_xlfn.SINGLE(_xlfn.XLOOKUP(G956, Réttabanki!A:A, Réttabanki!AV:AV, "")) * I956 / 100, ""), "")))</f>
        <v/>
      </c>
      <c r="P956" s="26" t="str">
        <f>IF(OR(F956 = "", G956 = "", I956 = ""), "", IF(F956 = "Vara", IFERROR(_xlfn.SINGLE(_xlfn.XLOOKUP(G956, Vöruskrá!A:A, Vöruskrá!J:J, "")) * I956 / 100, ""), IF(F956 = "Réttur", IFERROR(_xlfn.SINGLE(_xlfn.XLOOKUP(G956, Réttabanki!A:A, Réttabanki!AW:AW, "")) * I956 / 100, ""), "")))</f>
        <v/>
      </c>
      <c r="Q956" s="26" t="str">
        <f>IF(OR(F956 = "", G956 = "", I956 = ""), "", IF(F956 = "Vara", IFERROR(_xlfn.SINGLE(_xlfn.XLOOKUP(G956, Vöruskrá!A:A, Vöruskrá!N:N, "")) * I956 / 100, ""), IF(F956 = "Réttur", IFERROR(_xlfn.SINGLE(_xlfn.XLOOKUP(G956, Réttabanki!A:A, Réttabanki!BB:BB, "")) * I956 / 100, ""), "")))</f>
        <v/>
      </c>
    </row>
    <row r="957" spans="2:17">
      <c r="B957" s="33" t="str">
        <f>IF(A957&lt;&gt;"",CHOOSE(WEEKDAY(A957,2),"Mánudagur","Þriðjudagur","Miðvikudagur","Fimmtudagur","Föstudagur","Laugardagur","Sunnudagur"),IF(B956&lt;&gt;"",B956,""))</f>
        <v>Fimmtudagur</v>
      </c>
      <c r="C957" s="33">
        <f>IF(A957&lt;&gt;"",WEEKNUM(A957,21),IF(C956&lt;&gt;"",C956,""))</f>
        <v>27</v>
      </c>
      <c r="D957" s="34"/>
      <c r="E957" s="34"/>
      <c r="F957" s="34"/>
      <c r="G957" s="34"/>
      <c r="H957" s="34"/>
      <c r="I957" s="35"/>
      <c r="J957" s="35"/>
      <c r="K957" s="36"/>
      <c r="L957" s="26" t="str">
        <f>IF(OR(F957 = "", G957 = ""), "", IF(F957 = "Vara", IFERROR(_xlfn.SINGLE(_xlfn.XLOOKUP(G957, Vöruskrá!A:A, Vöruskrá!E:E, "")), ""), IF(F957 = "Réttur", IFERROR(_xlfn.SINGLE(_xlfn.XLOOKUP(G957, Réttabanki!A:A, Réttabanki!AS:AS, "")), ""), "")))</f>
        <v/>
      </c>
      <c r="M957" s="26" t="str">
        <f>IF(OR(F957 = "", G957 = ""), "", IF(F957 = "Vara", IFERROR(_xlfn.SINGLE(_xlfn.XLOOKUP(G957, Vöruskrá!A:A, Vöruskrá!F:F, "")), ""), IF(F957 = "Réttur", IFERROR(_xlfn.SINGLE(_xlfn.XLOOKUP(G957, Réttabanki!A:A, Réttabanki!AT:AT, "")), ""), "")))</f>
        <v/>
      </c>
      <c r="N957" s="26" t="str">
        <f>IF(OR(F957 = "", G957 = ""), "", IF(F957 = "Vara", IFERROR(_xlfn.SINGLE(_xlfn.XLOOKUP(G957, Vöruskrá!A:A, Vöruskrá!G:G, "")), ""), IF(F957 = "Réttur", IFERROR(_xlfn.SINGLE(_xlfn.XLOOKUP(G957, Réttabanki!A:A, Réttabanki!AU:AU, "")), ""), "")))</f>
        <v/>
      </c>
      <c r="O957" s="26" t="str">
        <f>IF(OR(F957 = "", G957 = "", I957 = ""), "", IF(F957 = "Vara", IFERROR(_xlfn.SINGLE(_xlfn.XLOOKUP(G957, Vöruskrá!A:A, Vöruskrá!I:I, "")) * I957 / 100, ""), IF(F957 = "Réttur", IFERROR(_xlfn.SINGLE(_xlfn.XLOOKUP(G957, Réttabanki!A:A, Réttabanki!AV:AV, "")) * I957 / 100, ""), "")))</f>
        <v/>
      </c>
      <c r="P957" s="26" t="str">
        <f>IF(OR(F957 = "", G957 = "", I957 = ""), "", IF(F957 = "Vara", IFERROR(_xlfn.SINGLE(_xlfn.XLOOKUP(G957, Vöruskrá!A:A, Vöruskrá!J:J, "")) * I957 / 100, ""), IF(F957 = "Réttur", IFERROR(_xlfn.SINGLE(_xlfn.XLOOKUP(G957, Réttabanki!A:A, Réttabanki!AW:AW, "")) * I957 / 100, ""), "")))</f>
        <v/>
      </c>
      <c r="Q957" s="26" t="str">
        <f>IF(OR(F957 = "", G957 = "", I957 = ""), "", IF(F957 = "Vara", IFERROR(_xlfn.SINGLE(_xlfn.XLOOKUP(G957, Vöruskrá!A:A, Vöruskrá!N:N, "")) * I957 / 100, ""), IF(F957 = "Réttur", IFERROR(_xlfn.SINGLE(_xlfn.XLOOKUP(G957, Réttabanki!A:A, Réttabanki!BB:BB, "")) * I957 / 100, ""), "")))</f>
        <v/>
      </c>
    </row>
    <row r="958" spans="2:17">
      <c r="B958" s="33" t="str">
        <f>IF(A958&lt;&gt;"",CHOOSE(WEEKDAY(A958,2),"Mánudagur","Þriðjudagur","Miðvikudagur","Fimmtudagur","Föstudagur","Laugardagur","Sunnudagur"),IF(B957&lt;&gt;"",B957,""))</f>
        <v>Fimmtudagur</v>
      </c>
      <c r="C958" s="33">
        <f>IF(A958&lt;&gt;"",WEEKNUM(A958,21),IF(C957&lt;&gt;"",C957,""))</f>
        <v>27</v>
      </c>
      <c r="D958" s="34"/>
      <c r="E958" s="34"/>
      <c r="F958" s="34"/>
      <c r="G958" s="34"/>
      <c r="H958" s="34"/>
      <c r="I958" s="35"/>
      <c r="J958" s="35"/>
      <c r="K958" s="36"/>
      <c r="L958" s="26" t="str">
        <f>IF(OR(F958 = "", G958 = ""), "", IF(F958 = "Vara", IFERROR(_xlfn.SINGLE(_xlfn.XLOOKUP(G958, Vöruskrá!A:A, Vöruskrá!E:E, "")), ""), IF(F958 = "Réttur", IFERROR(_xlfn.SINGLE(_xlfn.XLOOKUP(G958, Réttabanki!A:A, Réttabanki!AS:AS, "")), ""), "")))</f>
        <v/>
      </c>
      <c r="M958" s="26" t="str">
        <f>IF(OR(F958 = "", G958 = ""), "", IF(F958 = "Vara", IFERROR(_xlfn.SINGLE(_xlfn.XLOOKUP(G958, Vöruskrá!A:A, Vöruskrá!F:F, "")), ""), IF(F958 = "Réttur", IFERROR(_xlfn.SINGLE(_xlfn.XLOOKUP(G958, Réttabanki!A:A, Réttabanki!AT:AT, "")), ""), "")))</f>
        <v/>
      </c>
      <c r="N958" s="26" t="str">
        <f>IF(OR(F958 = "", G958 = ""), "", IF(F958 = "Vara", IFERROR(_xlfn.SINGLE(_xlfn.XLOOKUP(G958, Vöruskrá!A:A, Vöruskrá!G:G, "")), ""), IF(F958 = "Réttur", IFERROR(_xlfn.SINGLE(_xlfn.XLOOKUP(G958, Réttabanki!A:A, Réttabanki!AU:AU, "")), ""), "")))</f>
        <v/>
      </c>
      <c r="O958" s="26" t="str">
        <f>IF(OR(F958 = "", G958 = "", I958 = ""), "", IF(F958 = "Vara", IFERROR(_xlfn.SINGLE(_xlfn.XLOOKUP(G958, Vöruskrá!A:A, Vöruskrá!I:I, "")) * I958 / 100, ""), IF(F958 = "Réttur", IFERROR(_xlfn.SINGLE(_xlfn.XLOOKUP(G958, Réttabanki!A:A, Réttabanki!AV:AV, "")) * I958 / 100, ""), "")))</f>
        <v/>
      </c>
      <c r="P958" s="26" t="str">
        <f>IF(OR(F958 = "", G958 = "", I958 = ""), "", IF(F958 = "Vara", IFERROR(_xlfn.SINGLE(_xlfn.XLOOKUP(G958, Vöruskrá!A:A, Vöruskrá!J:J, "")) * I958 / 100, ""), IF(F958 = "Réttur", IFERROR(_xlfn.SINGLE(_xlfn.XLOOKUP(G958, Réttabanki!A:A, Réttabanki!AW:AW, "")) * I958 / 100, ""), "")))</f>
        <v/>
      </c>
      <c r="Q958" s="26" t="str">
        <f>IF(OR(F958 = "", G958 = "", I958 = ""), "", IF(F958 = "Vara", IFERROR(_xlfn.SINGLE(_xlfn.XLOOKUP(G958, Vöruskrá!A:A, Vöruskrá!N:N, "")) * I958 / 100, ""), IF(F958 = "Réttur", IFERROR(_xlfn.SINGLE(_xlfn.XLOOKUP(G958, Réttabanki!A:A, Réttabanki!BB:BB, "")) * I958 / 100, ""), "")))</f>
        <v/>
      </c>
    </row>
    <row r="959" spans="2:17">
      <c r="B959" s="33" t="str">
        <f>IF(A959&lt;&gt;"",CHOOSE(WEEKDAY(A959,2),"Mánudagur","Þriðjudagur","Miðvikudagur","Fimmtudagur","Föstudagur","Laugardagur","Sunnudagur"),IF(B958&lt;&gt;"",B958,""))</f>
        <v>Fimmtudagur</v>
      </c>
      <c r="C959" s="33">
        <f>IF(A959&lt;&gt;"",WEEKNUM(A959,21),IF(C958&lt;&gt;"",C958,""))</f>
        <v>27</v>
      </c>
      <c r="D959" s="34"/>
      <c r="E959" s="34"/>
      <c r="F959" s="34"/>
      <c r="G959" s="34"/>
      <c r="H959" s="34"/>
      <c r="I959" s="35"/>
      <c r="J959" s="35"/>
      <c r="K959" s="36"/>
      <c r="L959" s="26" t="str">
        <f>IF(OR(F959 = "", G959 = ""), "", IF(F959 = "Vara", IFERROR(_xlfn.SINGLE(_xlfn.XLOOKUP(G959, Vöruskrá!A:A, Vöruskrá!E:E, "")), ""), IF(F959 = "Réttur", IFERROR(_xlfn.SINGLE(_xlfn.XLOOKUP(G959, Réttabanki!A:A, Réttabanki!AS:AS, "")), ""), "")))</f>
        <v/>
      </c>
      <c r="M959" s="26" t="str">
        <f>IF(OR(F959 = "", G959 = ""), "", IF(F959 = "Vara", IFERROR(_xlfn.SINGLE(_xlfn.XLOOKUP(G959, Vöruskrá!A:A, Vöruskrá!F:F, "")), ""), IF(F959 = "Réttur", IFERROR(_xlfn.SINGLE(_xlfn.XLOOKUP(G959, Réttabanki!A:A, Réttabanki!AT:AT, "")), ""), "")))</f>
        <v/>
      </c>
      <c r="N959" s="26" t="str">
        <f>IF(OR(F959 = "", G959 = ""), "", IF(F959 = "Vara", IFERROR(_xlfn.SINGLE(_xlfn.XLOOKUP(G959, Vöruskrá!A:A, Vöruskrá!G:G, "")), ""), IF(F959 = "Réttur", IFERROR(_xlfn.SINGLE(_xlfn.XLOOKUP(G959, Réttabanki!A:A, Réttabanki!AU:AU, "")), ""), "")))</f>
        <v/>
      </c>
      <c r="O959" s="26" t="str">
        <f>IF(OR(F959 = "", G959 = "", I959 = ""), "", IF(F959 = "Vara", IFERROR(_xlfn.SINGLE(_xlfn.XLOOKUP(G959, Vöruskrá!A:A, Vöruskrá!I:I, "")) * I959 / 100, ""), IF(F959 = "Réttur", IFERROR(_xlfn.SINGLE(_xlfn.XLOOKUP(G959, Réttabanki!A:A, Réttabanki!AV:AV, "")) * I959 / 100, ""), "")))</f>
        <v/>
      </c>
      <c r="P959" s="26" t="str">
        <f>IF(OR(F959 = "", G959 = "", I959 = ""), "", IF(F959 = "Vara", IFERROR(_xlfn.SINGLE(_xlfn.XLOOKUP(G959, Vöruskrá!A:A, Vöruskrá!J:J, "")) * I959 / 100, ""), IF(F959 = "Réttur", IFERROR(_xlfn.SINGLE(_xlfn.XLOOKUP(G959, Réttabanki!A:A, Réttabanki!AW:AW, "")) * I959 / 100, ""), "")))</f>
        <v/>
      </c>
      <c r="Q959" s="26" t="str">
        <f>IF(OR(F959 = "", G959 = "", I959 = ""), "", IF(F959 = "Vara", IFERROR(_xlfn.SINGLE(_xlfn.XLOOKUP(G959, Vöruskrá!A:A, Vöruskrá!N:N, "")) * I959 / 100, ""), IF(F959 = "Réttur", IFERROR(_xlfn.SINGLE(_xlfn.XLOOKUP(G959, Réttabanki!A:A, Réttabanki!BB:BB, "")) * I959 / 100, ""), "")))</f>
        <v/>
      </c>
    </row>
    <row r="960" spans="2:17">
      <c r="B960" s="33" t="str">
        <f>IF(A960&lt;&gt;"",CHOOSE(WEEKDAY(A960,2),"Mánudagur","Þriðjudagur","Miðvikudagur","Fimmtudagur","Föstudagur","Laugardagur","Sunnudagur"),IF(B959&lt;&gt;"",B959,""))</f>
        <v>Fimmtudagur</v>
      </c>
      <c r="C960" s="33">
        <f>IF(A960&lt;&gt;"",WEEKNUM(A960,21),IF(C959&lt;&gt;"",C959,""))</f>
        <v>27</v>
      </c>
      <c r="D960" s="34"/>
      <c r="E960" s="34"/>
      <c r="F960" s="34"/>
      <c r="G960" s="34"/>
      <c r="H960" s="34"/>
      <c r="I960" s="35"/>
      <c r="J960" s="35"/>
      <c r="K960" s="36"/>
      <c r="L960" s="26" t="str">
        <f>IF(OR(F960 = "", G960 = ""), "", IF(F960 = "Vara", IFERROR(_xlfn.SINGLE(_xlfn.XLOOKUP(G960, Vöruskrá!A:A, Vöruskrá!E:E, "")), ""), IF(F960 = "Réttur", IFERROR(_xlfn.SINGLE(_xlfn.XLOOKUP(G960, Réttabanki!A:A, Réttabanki!AS:AS, "")), ""), "")))</f>
        <v/>
      </c>
      <c r="M960" s="26" t="str">
        <f>IF(OR(F960 = "", G960 = ""), "", IF(F960 = "Vara", IFERROR(_xlfn.SINGLE(_xlfn.XLOOKUP(G960, Vöruskrá!A:A, Vöruskrá!F:F, "")), ""), IF(F960 = "Réttur", IFERROR(_xlfn.SINGLE(_xlfn.XLOOKUP(G960, Réttabanki!A:A, Réttabanki!AT:AT, "")), ""), "")))</f>
        <v/>
      </c>
      <c r="N960" s="26" t="str">
        <f>IF(OR(F960 = "", G960 = ""), "", IF(F960 = "Vara", IFERROR(_xlfn.SINGLE(_xlfn.XLOOKUP(G960, Vöruskrá!A:A, Vöruskrá!G:G, "")), ""), IF(F960 = "Réttur", IFERROR(_xlfn.SINGLE(_xlfn.XLOOKUP(G960, Réttabanki!A:A, Réttabanki!AU:AU, "")), ""), "")))</f>
        <v/>
      </c>
      <c r="O960" s="26" t="str">
        <f>IF(OR(F960 = "", G960 = "", I960 = ""), "", IF(F960 = "Vara", IFERROR(_xlfn.SINGLE(_xlfn.XLOOKUP(G960, Vöruskrá!A:A, Vöruskrá!I:I, "")) * I960 / 100, ""), IF(F960 = "Réttur", IFERROR(_xlfn.SINGLE(_xlfn.XLOOKUP(G960, Réttabanki!A:A, Réttabanki!AV:AV, "")) * I960 / 100, ""), "")))</f>
        <v/>
      </c>
      <c r="P960" s="26" t="str">
        <f>IF(OR(F960 = "", G960 = "", I960 = ""), "", IF(F960 = "Vara", IFERROR(_xlfn.SINGLE(_xlfn.XLOOKUP(G960, Vöruskrá!A:A, Vöruskrá!J:J, "")) * I960 / 100, ""), IF(F960 = "Réttur", IFERROR(_xlfn.SINGLE(_xlfn.XLOOKUP(G960, Réttabanki!A:A, Réttabanki!AW:AW, "")) * I960 / 100, ""), "")))</f>
        <v/>
      </c>
      <c r="Q960" s="26" t="str">
        <f>IF(OR(F960 = "", G960 = "", I960 = ""), "", IF(F960 = "Vara", IFERROR(_xlfn.SINGLE(_xlfn.XLOOKUP(G960, Vöruskrá!A:A, Vöruskrá!N:N, "")) * I960 / 100, ""), IF(F960 = "Réttur", IFERROR(_xlfn.SINGLE(_xlfn.XLOOKUP(G960, Réttabanki!A:A, Réttabanki!BB:BB, "")) * I960 / 100, ""), "")))</f>
        <v/>
      </c>
    </row>
    <row r="961" spans="2:17">
      <c r="B961" s="33" t="str">
        <f>IF(A961&lt;&gt;"",CHOOSE(WEEKDAY(A961,2),"Mánudagur","Þriðjudagur","Miðvikudagur","Fimmtudagur","Föstudagur","Laugardagur","Sunnudagur"),IF(B960&lt;&gt;"",B960,""))</f>
        <v>Fimmtudagur</v>
      </c>
      <c r="C961" s="33">
        <f>IF(A961&lt;&gt;"",WEEKNUM(A961,21),IF(C960&lt;&gt;"",C960,""))</f>
        <v>27</v>
      </c>
      <c r="D961" s="34"/>
      <c r="E961" s="34"/>
      <c r="F961" s="34"/>
      <c r="G961" s="34"/>
      <c r="H961" s="34"/>
      <c r="I961" s="35"/>
      <c r="J961" s="35"/>
      <c r="K961" s="36"/>
      <c r="L961" s="26" t="str">
        <f>IF(OR(F961 = "", G961 = ""), "", IF(F961 = "Vara", IFERROR(_xlfn.SINGLE(_xlfn.XLOOKUP(G961, Vöruskrá!A:A, Vöruskrá!E:E, "")), ""), IF(F961 = "Réttur", IFERROR(_xlfn.SINGLE(_xlfn.XLOOKUP(G961, Réttabanki!A:A, Réttabanki!AS:AS, "")), ""), "")))</f>
        <v/>
      </c>
      <c r="M961" s="26" t="str">
        <f>IF(OR(F961 = "", G961 = ""), "", IF(F961 = "Vara", IFERROR(_xlfn.SINGLE(_xlfn.XLOOKUP(G961, Vöruskrá!A:A, Vöruskrá!F:F, "")), ""), IF(F961 = "Réttur", IFERROR(_xlfn.SINGLE(_xlfn.XLOOKUP(G961, Réttabanki!A:A, Réttabanki!AT:AT, "")), ""), "")))</f>
        <v/>
      </c>
      <c r="N961" s="26" t="str">
        <f>IF(OR(F961 = "", G961 = ""), "", IF(F961 = "Vara", IFERROR(_xlfn.SINGLE(_xlfn.XLOOKUP(G961, Vöruskrá!A:A, Vöruskrá!G:G, "")), ""), IF(F961 = "Réttur", IFERROR(_xlfn.SINGLE(_xlfn.XLOOKUP(G961, Réttabanki!A:A, Réttabanki!AU:AU, "")), ""), "")))</f>
        <v/>
      </c>
      <c r="O961" s="26" t="str">
        <f>IF(OR(F961 = "", G961 = "", I961 = ""), "", IF(F961 = "Vara", IFERROR(_xlfn.SINGLE(_xlfn.XLOOKUP(G961, Vöruskrá!A:A, Vöruskrá!I:I, "")) * I961 / 100, ""), IF(F961 = "Réttur", IFERROR(_xlfn.SINGLE(_xlfn.XLOOKUP(G961, Réttabanki!A:A, Réttabanki!AV:AV, "")) * I961 / 100, ""), "")))</f>
        <v/>
      </c>
      <c r="P961" s="26" t="str">
        <f>IF(OR(F961 = "", G961 = "", I961 = ""), "", IF(F961 = "Vara", IFERROR(_xlfn.SINGLE(_xlfn.XLOOKUP(G961, Vöruskrá!A:A, Vöruskrá!J:J, "")) * I961 / 100, ""), IF(F961 = "Réttur", IFERROR(_xlfn.SINGLE(_xlfn.XLOOKUP(G961, Réttabanki!A:A, Réttabanki!AW:AW, "")) * I961 / 100, ""), "")))</f>
        <v/>
      </c>
      <c r="Q961" s="26" t="str">
        <f>IF(OR(F961 = "", G961 = "", I961 = ""), "", IF(F961 = "Vara", IFERROR(_xlfn.SINGLE(_xlfn.XLOOKUP(G961, Vöruskrá!A:A, Vöruskrá!N:N, "")) * I961 / 100, ""), IF(F961 = "Réttur", IFERROR(_xlfn.SINGLE(_xlfn.XLOOKUP(G961, Réttabanki!A:A, Réttabanki!BB:BB, "")) * I961 / 100, ""), "")))</f>
        <v/>
      </c>
    </row>
    <row r="962" spans="2:17">
      <c r="B962" s="33" t="str">
        <f>IF(A962&lt;&gt;"",CHOOSE(WEEKDAY(A962,2),"Mánudagur","Þriðjudagur","Miðvikudagur","Fimmtudagur","Föstudagur","Laugardagur","Sunnudagur"),IF(B961&lt;&gt;"",B961,""))</f>
        <v>Fimmtudagur</v>
      </c>
      <c r="C962" s="33">
        <f>IF(A962&lt;&gt;"",WEEKNUM(A962,21),IF(C961&lt;&gt;"",C961,""))</f>
        <v>27</v>
      </c>
      <c r="D962" s="34"/>
      <c r="E962" s="34"/>
      <c r="F962" s="34"/>
      <c r="G962" s="34"/>
      <c r="H962" s="34"/>
      <c r="I962" s="35"/>
      <c r="J962" s="35"/>
      <c r="K962" s="36"/>
      <c r="L962" s="26" t="str">
        <f>IF(OR(F962 = "", G962 = ""), "", IF(F962 = "Vara", IFERROR(_xlfn.SINGLE(_xlfn.XLOOKUP(G962, Vöruskrá!A:A, Vöruskrá!E:E, "")), ""), IF(F962 = "Réttur", IFERROR(_xlfn.SINGLE(_xlfn.XLOOKUP(G962, Réttabanki!A:A, Réttabanki!AS:AS, "")), ""), "")))</f>
        <v/>
      </c>
      <c r="M962" s="26" t="str">
        <f>IF(OR(F962 = "", G962 = ""), "", IF(F962 = "Vara", IFERROR(_xlfn.SINGLE(_xlfn.XLOOKUP(G962, Vöruskrá!A:A, Vöruskrá!F:F, "")), ""), IF(F962 = "Réttur", IFERROR(_xlfn.SINGLE(_xlfn.XLOOKUP(G962, Réttabanki!A:A, Réttabanki!AT:AT, "")), ""), "")))</f>
        <v/>
      </c>
      <c r="N962" s="26" t="str">
        <f>IF(OR(F962 = "", G962 = ""), "", IF(F962 = "Vara", IFERROR(_xlfn.SINGLE(_xlfn.XLOOKUP(G962, Vöruskrá!A:A, Vöruskrá!G:G, "")), ""), IF(F962 = "Réttur", IFERROR(_xlfn.SINGLE(_xlfn.XLOOKUP(G962, Réttabanki!A:A, Réttabanki!AU:AU, "")), ""), "")))</f>
        <v/>
      </c>
      <c r="O962" s="26" t="str">
        <f>IF(OR(F962 = "", G962 = "", I962 = ""), "", IF(F962 = "Vara", IFERROR(_xlfn.SINGLE(_xlfn.XLOOKUP(G962, Vöruskrá!A:A, Vöruskrá!I:I, "")) * I962 / 100, ""), IF(F962 = "Réttur", IFERROR(_xlfn.SINGLE(_xlfn.XLOOKUP(G962, Réttabanki!A:A, Réttabanki!AV:AV, "")) * I962 / 100, ""), "")))</f>
        <v/>
      </c>
      <c r="P962" s="26" t="str">
        <f>IF(OR(F962 = "", G962 = "", I962 = ""), "", IF(F962 = "Vara", IFERROR(_xlfn.SINGLE(_xlfn.XLOOKUP(G962, Vöruskrá!A:A, Vöruskrá!J:J, "")) * I962 / 100, ""), IF(F962 = "Réttur", IFERROR(_xlfn.SINGLE(_xlfn.XLOOKUP(G962, Réttabanki!A:A, Réttabanki!AW:AW, "")) * I962 / 100, ""), "")))</f>
        <v/>
      </c>
      <c r="Q962" s="26" t="str">
        <f>IF(OR(F962 = "", G962 = "", I962 = ""), "", IF(F962 = "Vara", IFERROR(_xlfn.SINGLE(_xlfn.XLOOKUP(G962, Vöruskrá!A:A, Vöruskrá!N:N, "")) * I962 / 100, ""), IF(F962 = "Réttur", IFERROR(_xlfn.SINGLE(_xlfn.XLOOKUP(G962, Réttabanki!A:A, Réttabanki!BB:BB, "")) * I962 / 100, ""), "")))</f>
        <v/>
      </c>
    </row>
    <row r="963" spans="2:17">
      <c r="B963" s="33" t="str">
        <f>IF(A963&lt;&gt;"",CHOOSE(WEEKDAY(A963,2),"Mánudagur","Þriðjudagur","Miðvikudagur","Fimmtudagur","Föstudagur","Laugardagur","Sunnudagur"),IF(B962&lt;&gt;"",B962,""))</f>
        <v>Fimmtudagur</v>
      </c>
      <c r="C963" s="33">
        <f>IF(A963&lt;&gt;"",WEEKNUM(A963,21),IF(C962&lt;&gt;"",C962,""))</f>
        <v>27</v>
      </c>
      <c r="D963" s="34"/>
      <c r="E963" s="34"/>
      <c r="F963" s="34"/>
      <c r="G963" s="34"/>
      <c r="H963" s="34"/>
      <c r="I963" s="35"/>
      <c r="J963" s="35"/>
      <c r="K963" s="36"/>
      <c r="L963" s="26" t="str">
        <f>IF(OR(F963 = "", G963 = ""), "", IF(F963 = "Vara", IFERROR(_xlfn.SINGLE(_xlfn.XLOOKUP(G963, Vöruskrá!A:A, Vöruskrá!E:E, "")), ""), IF(F963 = "Réttur", IFERROR(_xlfn.SINGLE(_xlfn.XLOOKUP(G963, Réttabanki!A:A, Réttabanki!AS:AS, "")), ""), "")))</f>
        <v/>
      </c>
      <c r="M963" s="26" t="str">
        <f>IF(OR(F963 = "", G963 = ""), "", IF(F963 = "Vara", IFERROR(_xlfn.SINGLE(_xlfn.XLOOKUP(G963, Vöruskrá!A:A, Vöruskrá!F:F, "")), ""), IF(F963 = "Réttur", IFERROR(_xlfn.SINGLE(_xlfn.XLOOKUP(G963, Réttabanki!A:A, Réttabanki!AT:AT, "")), ""), "")))</f>
        <v/>
      </c>
      <c r="N963" s="26" t="str">
        <f>IF(OR(F963 = "", G963 = ""), "", IF(F963 = "Vara", IFERROR(_xlfn.SINGLE(_xlfn.XLOOKUP(G963, Vöruskrá!A:A, Vöruskrá!G:G, "")), ""), IF(F963 = "Réttur", IFERROR(_xlfn.SINGLE(_xlfn.XLOOKUP(G963, Réttabanki!A:A, Réttabanki!AU:AU, "")), ""), "")))</f>
        <v/>
      </c>
      <c r="O963" s="26" t="str">
        <f>IF(OR(F963 = "", G963 = "", I963 = ""), "", IF(F963 = "Vara", IFERROR(_xlfn.SINGLE(_xlfn.XLOOKUP(G963, Vöruskrá!A:A, Vöruskrá!I:I, "")) * I963 / 100, ""), IF(F963 = "Réttur", IFERROR(_xlfn.SINGLE(_xlfn.XLOOKUP(G963, Réttabanki!A:A, Réttabanki!AV:AV, "")) * I963 / 100, ""), "")))</f>
        <v/>
      </c>
      <c r="P963" s="26" t="str">
        <f>IF(OR(F963 = "", G963 = "", I963 = ""), "", IF(F963 = "Vara", IFERROR(_xlfn.SINGLE(_xlfn.XLOOKUP(G963, Vöruskrá!A:A, Vöruskrá!J:J, "")) * I963 / 100, ""), IF(F963 = "Réttur", IFERROR(_xlfn.SINGLE(_xlfn.XLOOKUP(G963, Réttabanki!A:A, Réttabanki!AW:AW, "")) * I963 / 100, ""), "")))</f>
        <v/>
      </c>
      <c r="Q963" s="26" t="str">
        <f>IF(OR(F963 = "", G963 = "", I963 = ""), "", IF(F963 = "Vara", IFERROR(_xlfn.SINGLE(_xlfn.XLOOKUP(G963, Vöruskrá!A:A, Vöruskrá!N:N, "")) * I963 / 100, ""), IF(F963 = "Réttur", IFERROR(_xlfn.SINGLE(_xlfn.XLOOKUP(G963, Réttabanki!A:A, Réttabanki!BB:BB, "")) * I963 / 100, ""), "")))</f>
        <v/>
      </c>
    </row>
    <row r="964" spans="2:17">
      <c r="B964" s="33" t="str">
        <f>IF(A964&lt;&gt;"",CHOOSE(WEEKDAY(A964,2),"Mánudagur","Þriðjudagur","Miðvikudagur","Fimmtudagur","Föstudagur","Laugardagur","Sunnudagur"),IF(B963&lt;&gt;"",B963,""))</f>
        <v>Fimmtudagur</v>
      </c>
      <c r="C964" s="33">
        <f>IF(A964&lt;&gt;"",WEEKNUM(A964,21),IF(C963&lt;&gt;"",C963,""))</f>
        <v>27</v>
      </c>
      <c r="D964" s="34"/>
      <c r="E964" s="34"/>
      <c r="F964" s="34"/>
      <c r="G964" s="34"/>
      <c r="H964" s="34"/>
      <c r="I964" s="35"/>
      <c r="J964" s="35"/>
      <c r="K964" s="36"/>
      <c r="L964" s="26" t="str">
        <f>IF(OR(F964 = "", G964 = ""), "", IF(F964 = "Vara", IFERROR(_xlfn.SINGLE(_xlfn.XLOOKUP(G964, Vöruskrá!A:A, Vöruskrá!E:E, "")), ""), IF(F964 = "Réttur", IFERROR(_xlfn.SINGLE(_xlfn.XLOOKUP(G964, Réttabanki!A:A, Réttabanki!AS:AS, "")), ""), "")))</f>
        <v/>
      </c>
      <c r="M964" s="26" t="str">
        <f>IF(OR(F964 = "", G964 = ""), "", IF(F964 = "Vara", IFERROR(_xlfn.SINGLE(_xlfn.XLOOKUP(G964, Vöruskrá!A:A, Vöruskrá!F:F, "")), ""), IF(F964 = "Réttur", IFERROR(_xlfn.SINGLE(_xlfn.XLOOKUP(G964, Réttabanki!A:A, Réttabanki!AT:AT, "")), ""), "")))</f>
        <v/>
      </c>
      <c r="N964" s="26" t="str">
        <f>IF(OR(F964 = "", G964 = ""), "", IF(F964 = "Vara", IFERROR(_xlfn.SINGLE(_xlfn.XLOOKUP(G964, Vöruskrá!A:A, Vöruskrá!G:G, "")), ""), IF(F964 = "Réttur", IFERROR(_xlfn.SINGLE(_xlfn.XLOOKUP(G964, Réttabanki!A:A, Réttabanki!AU:AU, "")), ""), "")))</f>
        <v/>
      </c>
      <c r="O964" s="26" t="str">
        <f>IF(OR(F964 = "", G964 = "", I964 = ""), "", IF(F964 = "Vara", IFERROR(_xlfn.SINGLE(_xlfn.XLOOKUP(G964, Vöruskrá!A:A, Vöruskrá!I:I, "")) * I964 / 100, ""), IF(F964 = "Réttur", IFERROR(_xlfn.SINGLE(_xlfn.XLOOKUP(G964, Réttabanki!A:A, Réttabanki!AV:AV, "")) * I964 / 100, ""), "")))</f>
        <v/>
      </c>
      <c r="P964" s="26" t="str">
        <f>IF(OR(F964 = "", G964 = "", I964 = ""), "", IF(F964 = "Vara", IFERROR(_xlfn.SINGLE(_xlfn.XLOOKUP(G964, Vöruskrá!A:A, Vöruskrá!J:J, "")) * I964 / 100, ""), IF(F964 = "Réttur", IFERROR(_xlfn.SINGLE(_xlfn.XLOOKUP(G964, Réttabanki!A:A, Réttabanki!AW:AW, "")) * I964 / 100, ""), "")))</f>
        <v/>
      </c>
      <c r="Q964" s="26" t="str">
        <f>IF(OR(F964 = "", G964 = "", I964 = ""), "", IF(F964 = "Vara", IFERROR(_xlfn.SINGLE(_xlfn.XLOOKUP(G964, Vöruskrá!A:A, Vöruskrá!N:N, "")) * I964 / 100, ""), IF(F964 = "Réttur", IFERROR(_xlfn.SINGLE(_xlfn.XLOOKUP(G964, Réttabanki!A:A, Réttabanki!BB:BB, "")) * I964 / 100, ""), "")))</f>
        <v/>
      </c>
    </row>
    <row r="965" spans="2:17">
      <c r="B965" s="33" t="str">
        <f>IF(A965&lt;&gt;"",CHOOSE(WEEKDAY(A965,2),"Mánudagur","Þriðjudagur","Miðvikudagur","Fimmtudagur","Föstudagur","Laugardagur","Sunnudagur"),IF(B964&lt;&gt;"",B964,""))</f>
        <v>Fimmtudagur</v>
      </c>
      <c r="C965" s="33">
        <f>IF(A965&lt;&gt;"",WEEKNUM(A965,21),IF(C964&lt;&gt;"",C964,""))</f>
        <v>27</v>
      </c>
      <c r="D965" s="34"/>
      <c r="E965" s="34"/>
      <c r="F965" s="34"/>
      <c r="G965" s="34"/>
      <c r="H965" s="34"/>
      <c r="I965" s="35"/>
      <c r="J965" s="35"/>
      <c r="K965" s="36"/>
      <c r="L965" s="26" t="str">
        <f>IF(OR(F965 = "", G965 = ""), "", IF(F965 = "Vara", IFERROR(_xlfn.SINGLE(_xlfn.XLOOKUP(G965, Vöruskrá!A:A, Vöruskrá!E:E, "")), ""), IF(F965 = "Réttur", IFERROR(_xlfn.SINGLE(_xlfn.XLOOKUP(G965, Réttabanki!A:A, Réttabanki!AS:AS, "")), ""), "")))</f>
        <v/>
      </c>
      <c r="M965" s="26" t="str">
        <f>IF(OR(F965 = "", G965 = ""), "", IF(F965 = "Vara", IFERROR(_xlfn.SINGLE(_xlfn.XLOOKUP(G965, Vöruskrá!A:A, Vöruskrá!F:F, "")), ""), IF(F965 = "Réttur", IFERROR(_xlfn.SINGLE(_xlfn.XLOOKUP(G965, Réttabanki!A:A, Réttabanki!AT:AT, "")), ""), "")))</f>
        <v/>
      </c>
      <c r="N965" s="26" t="str">
        <f>IF(OR(F965 = "", G965 = ""), "", IF(F965 = "Vara", IFERROR(_xlfn.SINGLE(_xlfn.XLOOKUP(G965, Vöruskrá!A:A, Vöruskrá!G:G, "")), ""), IF(F965 = "Réttur", IFERROR(_xlfn.SINGLE(_xlfn.XLOOKUP(G965, Réttabanki!A:A, Réttabanki!AU:AU, "")), ""), "")))</f>
        <v/>
      </c>
      <c r="O965" s="26" t="str">
        <f>IF(OR(F965 = "", G965 = "", I965 = ""), "", IF(F965 = "Vara", IFERROR(_xlfn.SINGLE(_xlfn.XLOOKUP(G965, Vöruskrá!A:A, Vöruskrá!I:I, "")) * I965 / 100, ""), IF(F965 = "Réttur", IFERROR(_xlfn.SINGLE(_xlfn.XLOOKUP(G965, Réttabanki!A:A, Réttabanki!AV:AV, "")) * I965 / 100, ""), "")))</f>
        <v/>
      </c>
      <c r="P965" s="26" t="str">
        <f>IF(OR(F965 = "", G965 = "", I965 = ""), "", IF(F965 = "Vara", IFERROR(_xlfn.SINGLE(_xlfn.XLOOKUP(G965, Vöruskrá!A:A, Vöruskrá!J:J, "")) * I965 / 100, ""), IF(F965 = "Réttur", IFERROR(_xlfn.SINGLE(_xlfn.XLOOKUP(G965, Réttabanki!A:A, Réttabanki!AW:AW, "")) * I965 / 100, ""), "")))</f>
        <v/>
      </c>
      <c r="Q965" s="26" t="str">
        <f>IF(OR(F965 = "", G965 = "", I965 = ""), "", IF(F965 = "Vara", IFERROR(_xlfn.SINGLE(_xlfn.XLOOKUP(G965, Vöruskrá!A:A, Vöruskrá!N:N, "")) * I965 / 100, ""), IF(F965 = "Réttur", IFERROR(_xlfn.SINGLE(_xlfn.XLOOKUP(G965, Réttabanki!A:A, Réttabanki!BB:BB, "")) * I965 / 100, ""), "")))</f>
        <v/>
      </c>
    </row>
    <row r="966" spans="2:17">
      <c r="B966" s="33" t="str">
        <f>IF(A966&lt;&gt;"",CHOOSE(WEEKDAY(A966,2),"Mánudagur","Þriðjudagur","Miðvikudagur","Fimmtudagur","Föstudagur","Laugardagur","Sunnudagur"),IF(B965&lt;&gt;"",B965,""))</f>
        <v>Fimmtudagur</v>
      </c>
      <c r="C966" s="33">
        <f>IF(A966&lt;&gt;"",WEEKNUM(A966,21),IF(C965&lt;&gt;"",C965,""))</f>
        <v>27</v>
      </c>
      <c r="D966" s="34"/>
      <c r="E966" s="34"/>
      <c r="F966" s="34"/>
      <c r="G966" s="34"/>
      <c r="H966" s="34"/>
      <c r="I966" s="35"/>
      <c r="J966" s="35"/>
      <c r="K966" s="36"/>
      <c r="L966" s="26" t="str">
        <f>IF(OR(F966 = "", G966 = ""), "", IF(F966 = "Vara", IFERROR(_xlfn.SINGLE(_xlfn.XLOOKUP(G966, Vöruskrá!A:A, Vöruskrá!E:E, "")), ""), IF(F966 = "Réttur", IFERROR(_xlfn.SINGLE(_xlfn.XLOOKUP(G966, Réttabanki!A:A, Réttabanki!AS:AS, "")), ""), "")))</f>
        <v/>
      </c>
      <c r="M966" s="26" t="str">
        <f>IF(OR(F966 = "", G966 = ""), "", IF(F966 = "Vara", IFERROR(_xlfn.SINGLE(_xlfn.XLOOKUP(G966, Vöruskrá!A:A, Vöruskrá!F:F, "")), ""), IF(F966 = "Réttur", IFERROR(_xlfn.SINGLE(_xlfn.XLOOKUP(G966, Réttabanki!A:A, Réttabanki!AT:AT, "")), ""), "")))</f>
        <v/>
      </c>
      <c r="N966" s="26" t="str">
        <f>IF(OR(F966 = "", G966 = ""), "", IF(F966 = "Vara", IFERROR(_xlfn.SINGLE(_xlfn.XLOOKUP(G966, Vöruskrá!A:A, Vöruskrá!G:G, "")), ""), IF(F966 = "Réttur", IFERROR(_xlfn.SINGLE(_xlfn.XLOOKUP(G966, Réttabanki!A:A, Réttabanki!AU:AU, "")), ""), "")))</f>
        <v/>
      </c>
      <c r="O966" s="26" t="str">
        <f>IF(OR(F966 = "", G966 = "", I966 = ""), "", IF(F966 = "Vara", IFERROR(_xlfn.SINGLE(_xlfn.XLOOKUP(G966, Vöruskrá!A:A, Vöruskrá!I:I, "")) * I966 / 100, ""), IF(F966 = "Réttur", IFERROR(_xlfn.SINGLE(_xlfn.XLOOKUP(G966, Réttabanki!A:A, Réttabanki!AV:AV, "")) * I966 / 100, ""), "")))</f>
        <v/>
      </c>
      <c r="P966" s="26" t="str">
        <f>IF(OR(F966 = "", G966 = "", I966 = ""), "", IF(F966 = "Vara", IFERROR(_xlfn.SINGLE(_xlfn.XLOOKUP(G966, Vöruskrá!A:A, Vöruskrá!J:J, "")) * I966 / 100, ""), IF(F966 = "Réttur", IFERROR(_xlfn.SINGLE(_xlfn.XLOOKUP(G966, Réttabanki!A:A, Réttabanki!AW:AW, "")) * I966 / 100, ""), "")))</f>
        <v/>
      </c>
      <c r="Q966" s="26" t="str">
        <f>IF(OR(F966 = "", G966 = "", I966 = ""), "", IF(F966 = "Vara", IFERROR(_xlfn.SINGLE(_xlfn.XLOOKUP(G966, Vöruskrá!A:A, Vöruskrá!N:N, "")) * I966 / 100, ""), IF(F966 = "Réttur", IFERROR(_xlfn.SINGLE(_xlfn.XLOOKUP(G966, Réttabanki!A:A, Réttabanki!BB:BB, "")) * I966 / 100, ""), "")))</f>
        <v/>
      </c>
    </row>
    <row r="967" spans="2:17">
      <c r="B967" s="33" t="str">
        <f>IF(A967&lt;&gt;"",CHOOSE(WEEKDAY(A967,2),"Mánudagur","Þriðjudagur","Miðvikudagur","Fimmtudagur","Föstudagur","Laugardagur","Sunnudagur"),IF(B966&lt;&gt;"",B966,""))</f>
        <v>Fimmtudagur</v>
      </c>
      <c r="C967" s="33">
        <f>IF(A967&lt;&gt;"",WEEKNUM(A967,21),IF(C966&lt;&gt;"",C966,""))</f>
        <v>27</v>
      </c>
      <c r="D967" s="34"/>
      <c r="E967" s="34"/>
      <c r="F967" s="34"/>
      <c r="G967" s="34"/>
      <c r="H967" s="34"/>
      <c r="I967" s="35"/>
      <c r="J967" s="35"/>
      <c r="K967" s="36"/>
      <c r="L967" s="26" t="str">
        <f>IF(OR(F967 = "", G967 = ""), "", IF(F967 = "Vara", IFERROR(_xlfn.SINGLE(_xlfn.XLOOKUP(G967, Vöruskrá!A:A, Vöruskrá!E:E, "")), ""), IF(F967 = "Réttur", IFERROR(_xlfn.SINGLE(_xlfn.XLOOKUP(G967, Réttabanki!A:A, Réttabanki!AS:AS, "")), ""), "")))</f>
        <v/>
      </c>
      <c r="M967" s="26" t="str">
        <f>IF(OR(F967 = "", G967 = ""), "", IF(F967 = "Vara", IFERROR(_xlfn.SINGLE(_xlfn.XLOOKUP(G967, Vöruskrá!A:A, Vöruskrá!F:F, "")), ""), IF(F967 = "Réttur", IFERROR(_xlfn.SINGLE(_xlfn.XLOOKUP(G967, Réttabanki!A:A, Réttabanki!AT:AT, "")), ""), "")))</f>
        <v/>
      </c>
      <c r="N967" s="26" t="str">
        <f>IF(OR(F967 = "", G967 = ""), "", IF(F967 = "Vara", IFERROR(_xlfn.SINGLE(_xlfn.XLOOKUP(G967, Vöruskrá!A:A, Vöruskrá!G:G, "")), ""), IF(F967 = "Réttur", IFERROR(_xlfn.SINGLE(_xlfn.XLOOKUP(G967, Réttabanki!A:A, Réttabanki!AU:AU, "")), ""), "")))</f>
        <v/>
      </c>
      <c r="O967" s="26" t="str">
        <f>IF(OR(F967 = "", G967 = "", I967 = ""), "", IF(F967 = "Vara", IFERROR(_xlfn.SINGLE(_xlfn.XLOOKUP(G967, Vöruskrá!A:A, Vöruskrá!I:I, "")) * I967 / 100, ""), IF(F967 = "Réttur", IFERROR(_xlfn.SINGLE(_xlfn.XLOOKUP(G967, Réttabanki!A:A, Réttabanki!AV:AV, "")) * I967 / 100, ""), "")))</f>
        <v/>
      </c>
      <c r="P967" s="26" t="str">
        <f>IF(OR(F967 = "", G967 = "", I967 = ""), "", IF(F967 = "Vara", IFERROR(_xlfn.SINGLE(_xlfn.XLOOKUP(G967, Vöruskrá!A:A, Vöruskrá!J:J, "")) * I967 / 100, ""), IF(F967 = "Réttur", IFERROR(_xlfn.SINGLE(_xlfn.XLOOKUP(G967, Réttabanki!A:A, Réttabanki!AW:AW, "")) * I967 / 100, ""), "")))</f>
        <v/>
      </c>
      <c r="Q967" s="26" t="str">
        <f>IF(OR(F967 = "", G967 = "", I967 = ""), "", IF(F967 = "Vara", IFERROR(_xlfn.SINGLE(_xlfn.XLOOKUP(G967, Vöruskrá!A:A, Vöruskrá!N:N, "")) * I967 / 100, ""), IF(F967 = "Réttur", IFERROR(_xlfn.SINGLE(_xlfn.XLOOKUP(G967, Réttabanki!A:A, Réttabanki!BB:BB, "")) * I967 / 100, ""), "")))</f>
        <v/>
      </c>
    </row>
    <row r="968" spans="2:17">
      <c r="B968" s="33" t="str">
        <f>IF(A968&lt;&gt;"",CHOOSE(WEEKDAY(A968,2),"Mánudagur","Þriðjudagur","Miðvikudagur","Fimmtudagur","Föstudagur","Laugardagur","Sunnudagur"),IF(B967&lt;&gt;"",B967,""))</f>
        <v>Fimmtudagur</v>
      </c>
      <c r="C968" s="33">
        <f>IF(A968&lt;&gt;"",WEEKNUM(A968,21),IF(C967&lt;&gt;"",C967,""))</f>
        <v>27</v>
      </c>
      <c r="D968" s="34"/>
      <c r="E968" s="34"/>
      <c r="F968" s="34"/>
      <c r="G968" s="34"/>
      <c r="H968" s="34"/>
      <c r="I968" s="35"/>
      <c r="J968" s="35"/>
      <c r="K968" s="36"/>
      <c r="L968" s="26" t="str">
        <f>IF(OR(F968 = "", G968 = ""), "", IF(F968 = "Vara", IFERROR(_xlfn.SINGLE(_xlfn.XLOOKUP(G968, Vöruskrá!A:A, Vöruskrá!E:E, "")), ""), IF(F968 = "Réttur", IFERROR(_xlfn.SINGLE(_xlfn.XLOOKUP(G968, Réttabanki!A:A, Réttabanki!AS:AS, "")), ""), "")))</f>
        <v/>
      </c>
      <c r="M968" s="26" t="str">
        <f>IF(OR(F968 = "", G968 = ""), "", IF(F968 = "Vara", IFERROR(_xlfn.SINGLE(_xlfn.XLOOKUP(G968, Vöruskrá!A:A, Vöruskrá!F:F, "")), ""), IF(F968 = "Réttur", IFERROR(_xlfn.SINGLE(_xlfn.XLOOKUP(G968, Réttabanki!A:A, Réttabanki!AT:AT, "")), ""), "")))</f>
        <v/>
      </c>
      <c r="N968" s="26" t="str">
        <f>IF(OR(F968 = "", G968 = ""), "", IF(F968 = "Vara", IFERROR(_xlfn.SINGLE(_xlfn.XLOOKUP(G968, Vöruskrá!A:A, Vöruskrá!G:G, "")), ""), IF(F968 = "Réttur", IFERROR(_xlfn.SINGLE(_xlfn.XLOOKUP(G968, Réttabanki!A:A, Réttabanki!AU:AU, "")), ""), "")))</f>
        <v/>
      </c>
      <c r="O968" s="26" t="str">
        <f>IF(OR(F968 = "", G968 = "", I968 = ""), "", IF(F968 = "Vara", IFERROR(_xlfn.SINGLE(_xlfn.XLOOKUP(G968, Vöruskrá!A:A, Vöruskrá!I:I, "")) * I968 / 100, ""), IF(F968 = "Réttur", IFERROR(_xlfn.SINGLE(_xlfn.XLOOKUP(G968, Réttabanki!A:A, Réttabanki!AV:AV, "")) * I968 / 100, ""), "")))</f>
        <v/>
      </c>
      <c r="P968" s="26" t="str">
        <f>IF(OR(F968 = "", G968 = "", I968 = ""), "", IF(F968 = "Vara", IFERROR(_xlfn.SINGLE(_xlfn.XLOOKUP(G968, Vöruskrá!A:A, Vöruskrá!J:J, "")) * I968 / 100, ""), IF(F968 = "Réttur", IFERROR(_xlfn.SINGLE(_xlfn.XLOOKUP(G968, Réttabanki!A:A, Réttabanki!AW:AW, "")) * I968 / 100, ""), "")))</f>
        <v/>
      </c>
      <c r="Q968" s="26" t="str">
        <f>IF(OR(F968 = "", G968 = "", I968 = ""), "", IF(F968 = "Vara", IFERROR(_xlfn.SINGLE(_xlfn.XLOOKUP(G968, Vöruskrá!A:A, Vöruskrá!N:N, "")) * I968 / 100, ""), IF(F968 = "Réttur", IFERROR(_xlfn.SINGLE(_xlfn.XLOOKUP(G968, Réttabanki!A:A, Réttabanki!BB:BB, "")) * I968 / 100, ""), "")))</f>
        <v/>
      </c>
    </row>
    <row r="969" spans="2:17">
      <c r="B969" s="33" t="str">
        <f>IF(A969&lt;&gt;"",CHOOSE(WEEKDAY(A969,2),"Mánudagur","Þriðjudagur","Miðvikudagur","Fimmtudagur","Föstudagur","Laugardagur","Sunnudagur"),IF(B968&lt;&gt;"",B968,""))</f>
        <v>Fimmtudagur</v>
      </c>
      <c r="C969" s="33">
        <f>IF(A969&lt;&gt;"",WEEKNUM(A969,21),IF(C968&lt;&gt;"",C968,""))</f>
        <v>27</v>
      </c>
      <c r="D969" s="34"/>
      <c r="E969" s="34"/>
      <c r="F969" s="34"/>
      <c r="G969" s="34"/>
      <c r="H969" s="34"/>
      <c r="I969" s="35"/>
      <c r="J969" s="35"/>
      <c r="K969" s="36"/>
      <c r="L969" s="26" t="str">
        <f>IF(OR(F969 = "", G969 = ""), "", IF(F969 = "Vara", IFERROR(_xlfn.SINGLE(_xlfn.XLOOKUP(G969, Vöruskrá!A:A, Vöruskrá!E:E, "")), ""), IF(F969 = "Réttur", IFERROR(_xlfn.SINGLE(_xlfn.XLOOKUP(G969, Réttabanki!A:A, Réttabanki!AS:AS, "")), ""), "")))</f>
        <v/>
      </c>
      <c r="M969" s="26" t="str">
        <f>IF(OR(F969 = "", G969 = ""), "", IF(F969 = "Vara", IFERROR(_xlfn.SINGLE(_xlfn.XLOOKUP(G969, Vöruskrá!A:A, Vöruskrá!F:F, "")), ""), IF(F969 = "Réttur", IFERROR(_xlfn.SINGLE(_xlfn.XLOOKUP(G969, Réttabanki!A:A, Réttabanki!AT:AT, "")), ""), "")))</f>
        <v/>
      </c>
      <c r="N969" s="26" t="str">
        <f>IF(OR(F969 = "", G969 = ""), "", IF(F969 = "Vara", IFERROR(_xlfn.SINGLE(_xlfn.XLOOKUP(G969, Vöruskrá!A:A, Vöruskrá!G:G, "")), ""), IF(F969 = "Réttur", IFERROR(_xlfn.SINGLE(_xlfn.XLOOKUP(G969, Réttabanki!A:A, Réttabanki!AU:AU, "")), ""), "")))</f>
        <v/>
      </c>
      <c r="O969" s="26" t="str">
        <f>IF(OR(F969 = "", G969 = "", I969 = ""), "", IF(F969 = "Vara", IFERROR(_xlfn.SINGLE(_xlfn.XLOOKUP(G969, Vöruskrá!A:A, Vöruskrá!I:I, "")) * I969 / 100, ""), IF(F969 = "Réttur", IFERROR(_xlfn.SINGLE(_xlfn.XLOOKUP(G969, Réttabanki!A:A, Réttabanki!AV:AV, "")) * I969 / 100, ""), "")))</f>
        <v/>
      </c>
      <c r="P969" s="26" t="str">
        <f>IF(OR(F969 = "", G969 = "", I969 = ""), "", IF(F969 = "Vara", IFERROR(_xlfn.SINGLE(_xlfn.XLOOKUP(G969, Vöruskrá!A:A, Vöruskrá!J:J, "")) * I969 / 100, ""), IF(F969 = "Réttur", IFERROR(_xlfn.SINGLE(_xlfn.XLOOKUP(G969, Réttabanki!A:A, Réttabanki!AW:AW, "")) * I969 / 100, ""), "")))</f>
        <v/>
      </c>
      <c r="Q969" s="26" t="str">
        <f>IF(OR(F969 = "", G969 = "", I969 = ""), "", IF(F969 = "Vara", IFERROR(_xlfn.SINGLE(_xlfn.XLOOKUP(G969, Vöruskrá!A:A, Vöruskrá!N:N, "")) * I969 / 100, ""), IF(F969 = "Réttur", IFERROR(_xlfn.SINGLE(_xlfn.XLOOKUP(G969, Réttabanki!A:A, Réttabanki!BB:BB, "")) * I969 / 100, ""), "")))</f>
        <v/>
      </c>
    </row>
    <row r="970" spans="2:17">
      <c r="B970" s="33" t="str">
        <f>IF(A970&lt;&gt;"",CHOOSE(WEEKDAY(A970,2),"Mánudagur","Þriðjudagur","Miðvikudagur","Fimmtudagur","Föstudagur","Laugardagur","Sunnudagur"),IF(B969&lt;&gt;"",B969,""))</f>
        <v>Fimmtudagur</v>
      </c>
      <c r="C970" s="33">
        <f>IF(A970&lt;&gt;"",WEEKNUM(A970,21),IF(C969&lt;&gt;"",C969,""))</f>
        <v>27</v>
      </c>
      <c r="D970" s="34"/>
      <c r="E970" s="34"/>
      <c r="F970" s="34"/>
      <c r="G970" s="34"/>
      <c r="H970" s="34"/>
      <c r="I970" s="35"/>
      <c r="J970" s="35"/>
      <c r="K970" s="36"/>
      <c r="L970" s="26" t="str">
        <f>IF(OR(F970 = "", G970 = ""), "", IF(F970 = "Vara", IFERROR(_xlfn.SINGLE(_xlfn.XLOOKUP(G970, Vöruskrá!A:A, Vöruskrá!E:E, "")), ""), IF(F970 = "Réttur", IFERROR(_xlfn.SINGLE(_xlfn.XLOOKUP(G970, Réttabanki!A:A, Réttabanki!AS:AS, "")), ""), "")))</f>
        <v/>
      </c>
      <c r="M970" s="26" t="str">
        <f>IF(OR(F970 = "", G970 = ""), "", IF(F970 = "Vara", IFERROR(_xlfn.SINGLE(_xlfn.XLOOKUP(G970, Vöruskrá!A:A, Vöruskrá!F:F, "")), ""), IF(F970 = "Réttur", IFERROR(_xlfn.SINGLE(_xlfn.XLOOKUP(G970, Réttabanki!A:A, Réttabanki!AT:AT, "")), ""), "")))</f>
        <v/>
      </c>
      <c r="N970" s="26" t="str">
        <f>IF(OR(F970 = "", G970 = ""), "", IF(F970 = "Vara", IFERROR(_xlfn.SINGLE(_xlfn.XLOOKUP(G970, Vöruskrá!A:A, Vöruskrá!G:G, "")), ""), IF(F970 = "Réttur", IFERROR(_xlfn.SINGLE(_xlfn.XLOOKUP(G970, Réttabanki!A:A, Réttabanki!AU:AU, "")), ""), "")))</f>
        <v/>
      </c>
      <c r="O970" s="26" t="str">
        <f>IF(OR(F970 = "", G970 = "", I970 = ""), "", IF(F970 = "Vara", IFERROR(_xlfn.SINGLE(_xlfn.XLOOKUP(G970, Vöruskrá!A:A, Vöruskrá!I:I, "")) * I970 / 100, ""), IF(F970 = "Réttur", IFERROR(_xlfn.SINGLE(_xlfn.XLOOKUP(G970, Réttabanki!A:A, Réttabanki!AV:AV, "")) * I970 / 100, ""), "")))</f>
        <v/>
      </c>
      <c r="P970" s="26" t="str">
        <f>IF(OR(F970 = "", G970 = "", I970 = ""), "", IF(F970 = "Vara", IFERROR(_xlfn.SINGLE(_xlfn.XLOOKUP(G970, Vöruskrá!A:A, Vöruskrá!J:J, "")) * I970 / 100, ""), IF(F970 = "Réttur", IFERROR(_xlfn.SINGLE(_xlfn.XLOOKUP(G970, Réttabanki!A:A, Réttabanki!AW:AW, "")) * I970 / 100, ""), "")))</f>
        <v/>
      </c>
      <c r="Q970" s="26" t="str">
        <f>IF(OR(F970 = "", G970 = "", I970 = ""), "", IF(F970 = "Vara", IFERROR(_xlfn.SINGLE(_xlfn.XLOOKUP(G970, Vöruskrá!A:A, Vöruskrá!N:N, "")) * I970 / 100, ""), IF(F970 = "Réttur", IFERROR(_xlfn.SINGLE(_xlfn.XLOOKUP(G970, Réttabanki!A:A, Réttabanki!BB:BB, "")) * I970 / 100, ""), "")))</f>
        <v/>
      </c>
    </row>
    <row r="971" spans="2:17">
      <c r="B971" s="33" t="str">
        <f>IF(A971&lt;&gt;"",CHOOSE(WEEKDAY(A971,2),"Mánudagur","Þriðjudagur","Miðvikudagur","Fimmtudagur","Föstudagur","Laugardagur","Sunnudagur"),IF(B970&lt;&gt;"",B970,""))</f>
        <v>Fimmtudagur</v>
      </c>
      <c r="C971" s="33">
        <f>IF(A971&lt;&gt;"",WEEKNUM(A971,21),IF(C970&lt;&gt;"",C970,""))</f>
        <v>27</v>
      </c>
      <c r="D971" s="34"/>
      <c r="E971" s="34"/>
      <c r="F971" s="34"/>
      <c r="G971" s="34"/>
      <c r="H971" s="34"/>
      <c r="I971" s="35"/>
      <c r="J971" s="35"/>
      <c r="K971" s="36"/>
      <c r="L971" s="26" t="str">
        <f>IF(OR(F971 = "", G971 = ""), "", IF(F971 = "Vara", IFERROR(_xlfn.SINGLE(_xlfn.XLOOKUP(G971, Vöruskrá!A:A, Vöruskrá!E:E, "")), ""), IF(F971 = "Réttur", IFERROR(_xlfn.SINGLE(_xlfn.XLOOKUP(G971, Réttabanki!A:A, Réttabanki!AS:AS, "")), ""), "")))</f>
        <v/>
      </c>
      <c r="M971" s="26" t="str">
        <f>IF(OR(F971 = "", G971 = ""), "", IF(F971 = "Vara", IFERROR(_xlfn.SINGLE(_xlfn.XLOOKUP(G971, Vöruskrá!A:A, Vöruskrá!F:F, "")), ""), IF(F971 = "Réttur", IFERROR(_xlfn.SINGLE(_xlfn.XLOOKUP(G971, Réttabanki!A:A, Réttabanki!AT:AT, "")), ""), "")))</f>
        <v/>
      </c>
      <c r="N971" s="26" t="str">
        <f>IF(OR(F971 = "", G971 = ""), "", IF(F971 = "Vara", IFERROR(_xlfn.SINGLE(_xlfn.XLOOKUP(G971, Vöruskrá!A:A, Vöruskrá!G:G, "")), ""), IF(F971 = "Réttur", IFERROR(_xlfn.SINGLE(_xlfn.XLOOKUP(G971, Réttabanki!A:A, Réttabanki!AU:AU, "")), ""), "")))</f>
        <v/>
      </c>
      <c r="O971" s="26" t="str">
        <f>IF(OR(F971 = "", G971 = "", I971 = ""), "", IF(F971 = "Vara", IFERROR(_xlfn.SINGLE(_xlfn.XLOOKUP(G971, Vöruskrá!A:A, Vöruskrá!I:I, "")) * I971 / 100, ""), IF(F971 = "Réttur", IFERROR(_xlfn.SINGLE(_xlfn.XLOOKUP(G971, Réttabanki!A:A, Réttabanki!AV:AV, "")) * I971 / 100, ""), "")))</f>
        <v/>
      </c>
      <c r="P971" s="26" t="str">
        <f>IF(OR(F971 = "", G971 = "", I971 = ""), "", IF(F971 = "Vara", IFERROR(_xlfn.SINGLE(_xlfn.XLOOKUP(G971, Vöruskrá!A:A, Vöruskrá!J:J, "")) * I971 / 100, ""), IF(F971 = "Réttur", IFERROR(_xlfn.SINGLE(_xlfn.XLOOKUP(G971, Réttabanki!A:A, Réttabanki!AW:AW, "")) * I971 / 100, ""), "")))</f>
        <v/>
      </c>
      <c r="Q971" s="26" t="str">
        <f>IF(OR(F971 = "", G971 = "", I971 = ""), "", IF(F971 = "Vara", IFERROR(_xlfn.SINGLE(_xlfn.XLOOKUP(G971, Vöruskrá!A:A, Vöruskrá!N:N, "")) * I971 / 100, ""), IF(F971 = "Réttur", IFERROR(_xlfn.SINGLE(_xlfn.XLOOKUP(G971, Réttabanki!A:A, Réttabanki!BB:BB, "")) * I971 / 100, ""), "")))</f>
        <v/>
      </c>
    </row>
    <row r="972" spans="2:17">
      <c r="B972" s="33" t="str">
        <f>IF(A972&lt;&gt;"",CHOOSE(WEEKDAY(A972,2),"Mánudagur","Þriðjudagur","Miðvikudagur","Fimmtudagur","Föstudagur","Laugardagur","Sunnudagur"),IF(B971&lt;&gt;"",B971,""))</f>
        <v>Fimmtudagur</v>
      </c>
      <c r="C972" s="33">
        <f>IF(A972&lt;&gt;"",WEEKNUM(A972,21),IF(C971&lt;&gt;"",C971,""))</f>
        <v>27</v>
      </c>
      <c r="D972" s="34"/>
      <c r="E972" s="34"/>
      <c r="F972" s="34"/>
      <c r="G972" s="34"/>
      <c r="H972" s="34"/>
      <c r="I972" s="35"/>
      <c r="J972" s="35"/>
      <c r="K972" s="36"/>
      <c r="L972" s="26" t="str">
        <f>IF(OR(F972 = "", G972 = ""), "", IF(F972 = "Vara", IFERROR(_xlfn.SINGLE(_xlfn.XLOOKUP(G972, Vöruskrá!A:A, Vöruskrá!E:E, "")), ""), IF(F972 = "Réttur", IFERROR(_xlfn.SINGLE(_xlfn.XLOOKUP(G972, Réttabanki!A:A, Réttabanki!AS:AS, "")), ""), "")))</f>
        <v/>
      </c>
      <c r="M972" s="26" t="str">
        <f>IF(OR(F972 = "", G972 = ""), "", IF(F972 = "Vara", IFERROR(_xlfn.SINGLE(_xlfn.XLOOKUP(G972, Vöruskrá!A:A, Vöruskrá!F:F, "")), ""), IF(F972 = "Réttur", IFERROR(_xlfn.SINGLE(_xlfn.XLOOKUP(G972, Réttabanki!A:A, Réttabanki!AT:AT, "")), ""), "")))</f>
        <v/>
      </c>
      <c r="N972" s="26" t="str">
        <f>IF(OR(F972 = "", G972 = ""), "", IF(F972 = "Vara", IFERROR(_xlfn.SINGLE(_xlfn.XLOOKUP(G972, Vöruskrá!A:A, Vöruskrá!G:G, "")), ""), IF(F972 = "Réttur", IFERROR(_xlfn.SINGLE(_xlfn.XLOOKUP(G972, Réttabanki!A:A, Réttabanki!AU:AU, "")), ""), "")))</f>
        <v/>
      </c>
      <c r="O972" s="26" t="str">
        <f>IF(OR(F972 = "", G972 = "", I972 = ""), "", IF(F972 = "Vara", IFERROR(_xlfn.SINGLE(_xlfn.XLOOKUP(G972, Vöruskrá!A:A, Vöruskrá!I:I, "")) * I972 / 100, ""), IF(F972 = "Réttur", IFERROR(_xlfn.SINGLE(_xlfn.XLOOKUP(G972, Réttabanki!A:A, Réttabanki!AV:AV, "")) * I972 / 100, ""), "")))</f>
        <v/>
      </c>
      <c r="P972" s="26" t="str">
        <f>IF(OR(F972 = "", G972 = "", I972 = ""), "", IF(F972 = "Vara", IFERROR(_xlfn.SINGLE(_xlfn.XLOOKUP(G972, Vöruskrá!A:A, Vöruskrá!J:J, "")) * I972 / 100, ""), IF(F972 = "Réttur", IFERROR(_xlfn.SINGLE(_xlfn.XLOOKUP(G972, Réttabanki!A:A, Réttabanki!AW:AW, "")) * I972 / 100, ""), "")))</f>
        <v/>
      </c>
      <c r="Q972" s="26" t="str">
        <f>IF(OR(F972 = "", G972 = "", I972 = ""), "", IF(F972 = "Vara", IFERROR(_xlfn.SINGLE(_xlfn.XLOOKUP(G972, Vöruskrá!A:A, Vöruskrá!N:N, "")) * I972 / 100, ""), IF(F972 = "Réttur", IFERROR(_xlfn.SINGLE(_xlfn.XLOOKUP(G972, Réttabanki!A:A, Réttabanki!BB:BB, "")) * I972 / 100, ""), "")))</f>
        <v/>
      </c>
    </row>
    <row r="973" spans="2:17">
      <c r="B973" s="33" t="str">
        <f>IF(A973&lt;&gt;"",CHOOSE(WEEKDAY(A973,2),"Mánudagur","Þriðjudagur","Miðvikudagur","Fimmtudagur","Föstudagur","Laugardagur","Sunnudagur"),IF(B972&lt;&gt;"",B972,""))</f>
        <v>Fimmtudagur</v>
      </c>
      <c r="C973" s="33">
        <f>IF(A973&lt;&gt;"",WEEKNUM(A973,21),IF(C972&lt;&gt;"",C972,""))</f>
        <v>27</v>
      </c>
      <c r="D973" s="34"/>
      <c r="E973" s="34"/>
      <c r="F973" s="34"/>
      <c r="G973" s="34"/>
      <c r="H973" s="34"/>
      <c r="I973" s="35"/>
      <c r="J973" s="35"/>
      <c r="K973" s="36"/>
      <c r="L973" s="26" t="str">
        <f>IF(OR(F973 = "", G973 = ""), "", IF(F973 = "Vara", IFERROR(_xlfn.SINGLE(_xlfn.XLOOKUP(G973, Vöruskrá!A:A, Vöruskrá!E:E, "")), ""), IF(F973 = "Réttur", IFERROR(_xlfn.SINGLE(_xlfn.XLOOKUP(G973, Réttabanki!A:A, Réttabanki!AS:AS, "")), ""), "")))</f>
        <v/>
      </c>
      <c r="M973" s="26" t="str">
        <f>IF(OR(F973 = "", G973 = ""), "", IF(F973 = "Vara", IFERROR(_xlfn.SINGLE(_xlfn.XLOOKUP(G973, Vöruskrá!A:A, Vöruskrá!F:F, "")), ""), IF(F973 = "Réttur", IFERROR(_xlfn.SINGLE(_xlfn.XLOOKUP(G973, Réttabanki!A:A, Réttabanki!AT:AT, "")), ""), "")))</f>
        <v/>
      </c>
      <c r="N973" s="26" t="str">
        <f>IF(OR(F973 = "", G973 = ""), "", IF(F973 = "Vara", IFERROR(_xlfn.SINGLE(_xlfn.XLOOKUP(G973, Vöruskrá!A:A, Vöruskrá!G:G, "")), ""), IF(F973 = "Réttur", IFERROR(_xlfn.SINGLE(_xlfn.XLOOKUP(G973, Réttabanki!A:A, Réttabanki!AU:AU, "")), ""), "")))</f>
        <v/>
      </c>
      <c r="O973" s="26" t="str">
        <f>IF(OR(F973 = "", G973 = "", I973 = ""), "", IF(F973 = "Vara", IFERROR(_xlfn.SINGLE(_xlfn.XLOOKUP(G973, Vöruskrá!A:A, Vöruskrá!I:I, "")) * I973 / 100, ""), IF(F973 = "Réttur", IFERROR(_xlfn.SINGLE(_xlfn.XLOOKUP(G973, Réttabanki!A:A, Réttabanki!AV:AV, "")) * I973 / 100, ""), "")))</f>
        <v/>
      </c>
      <c r="P973" s="26" t="str">
        <f>IF(OR(F973 = "", G973 = "", I973 = ""), "", IF(F973 = "Vara", IFERROR(_xlfn.SINGLE(_xlfn.XLOOKUP(G973, Vöruskrá!A:A, Vöruskrá!J:J, "")) * I973 / 100, ""), IF(F973 = "Réttur", IFERROR(_xlfn.SINGLE(_xlfn.XLOOKUP(G973, Réttabanki!A:A, Réttabanki!AW:AW, "")) * I973 / 100, ""), "")))</f>
        <v/>
      </c>
      <c r="Q973" s="26" t="str">
        <f>IF(OR(F973 = "", G973 = "", I973 = ""), "", IF(F973 = "Vara", IFERROR(_xlfn.SINGLE(_xlfn.XLOOKUP(G973, Vöruskrá!A:A, Vöruskrá!N:N, "")) * I973 / 100, ""), IF(F973 = "Réttur", IFERROR(_xlfn.SINGLE(_xlfn.XLOOKUP(G973, Réttabanki!A:A, Réttabanki!BB:BB, "")) * I973 / 100, ""), "")))</f>
        <v/>
      </c>
    </row>
    <row r="974" spans="2:17">
      <c r="B974" s="33" t="str">
        <f>IF(A974&lt;&gt;"",CHOOSE(WEEKDAY(A974,2),"Mánudagur","Þriðjudagur","Miðvikudagur","Fimmtudagur","Föstudagur","Laugardagur","Sunnudagur"),IF(B973&lt;&gt;"",B973,""))</f>
        <v>Fimmtudagur</v>
      </c>
      <c r="C974" s="33">
        <f>IF(A974&lt;&gt;"",WEEKNUM(A974,21),IF(C973&lt;&gt;"",C973,""))</f>
        <v>27</v>
      </c>
      <c r="D974" s="34"/>
      <c r="E974" s="34"/>
      <c r="F974" s="34"/>
      <c r="G974" s="34"/>
      <c r="H974" s="34"/>
      <c r="I974" s="35"/>
      <c r="J974" s="35"/>
      <c r="K974" s="36"/>
      <c r="L974" s="26" t="str">
        <f>IF(OR(F974 = "", G974 = ""), "", IF(F974 = "Vara", IFERROR(_xlfn.SINGLE(_xlfn.XLOOKUP(G974, Vöruskrá!A:A, Vöruskrá!E:E, "")), ""), IF(F974 = "Réttur", IFERROR(_xlfn.SINGLE(_xlfn.XLOOKUP(G974, Réttabanki!A:A, Réttabanki!AS:AS, "")), ""), "")))</f>
        <v/>
      </c>
      <c r="M974" s="26" t="str">
        <f>IF(OR(F974 = "", G974 = ""), "", IF(F974 = "Vara", IFERROR(_xlfn.SINGLE(_xlfn.XLOOKUP(G974, Vöruskrá!A:A, Vöruskrá!F:F, "")), ""), IF(F974 = "Réttur", IFERROR(_xlfn.SINGLE(_xlfn.XLOOKUP(G974, Réttabanki!A:A, Réttabanki!AT:AT, "")), ""), "")))</f>
        <v/>
      </c>
      <c r="N974" s="26" t="str">
        <f>IF(OR(F974 = "", G974 = ""), "", IF(F974 = "Vara", IFERROR(_xlfn.SINGLE(_xlfn.XLOOKUP(G974, Vöruskrá!A:A, Vöruskrá!G:G, "")), ""), IF(F974 = "Réttur", IFERROR(_xlfn.SINGLE(_xlfn.XLOOKUP(G974, Réttabanki!A:A, Réttabanki!AU:AU, "")), ""), "")))</f>
        <v/>
      </c>
      <c r="O974" s="26" t="str">
        <f>IF(OR(F974 = "", G974 = "", I974 = ""), "", IF(F974 = "Vara", IFERROR(_xlfn.SINGLE(_xlfn.XLOOKUP(G974, Vöruskrá!A:A, Vöruskrá!I:I, "")) * I974 / 100, ""), IF(F974 = "Réttur", IFERROR(_xlfn.SINGLE(_xlfn.XLOOKUP(G974, Réttabanki!A:A, Réttabanki!AV:AV, "")) * I974 / 100, ""), "")))</f>
        <v/>
      </c>
      <c r="P974" s="26" t="str">
        <f>IF(OR(F974 = "", G974 = "", I974 = ""), "", IF(F974 = "Vara", IFERROR(_xlfn.SINGLE(_xlfn.XLOOKUP(G974, Vöruskrá!A:A, Vöruskrá!J:J, "")) * I974 / 100, ""), IF(F974 = "Réttur", IFERROR(_xlfn.SINGLE(_xlfn.XLOOKUP(G974, Réttabanki!A:A, Réttabanki!AW:AW, "")) * I974 / 100, ""), "")))</f>
        <v/>
      </c>
      <c r="Q974" s="26" t="str">
        <f>IF(OR(F974 = "", G974 = "", I974 = ""), "", IF(F974 = "Vara", IFERROR(_xlfn.SINGLE(_xlfn.XLOOKUP(G974, Vöruskrá!A:A, Vöruskrá!N:N, "")) * I974 / 100, ""), IF(F974 = "Réttur", IFERROR(_xlfn.SINGLE(_xlfn.XLOOKUP(G974, Réttabanki!A:A, Réttabanki!BB:BB, "")) * I974 / 100, ""), "")))</f>
        <v/>
      </c>
    </row>
    <row r="975" spans="2:17">
      <c r="B975" s="33" t="str">
        <f>IF(A975&lt;&gt;"",CHOOSE(WEEKDAY(A975,2),"Mánudagur","Þriðjudagur","Miðvikudagur","Fimmtudagur","Föstudagur","Laugardagur","Sunnudagur"),IF(B974&lt;&gt;"",B974,""))</f>
        <v>Fimmtudagur</v>
      </c>
      <c r="C975" s="33">
        <f>IF(A975&lt;&gt;"",WEEKNUM(A975,21),IF(C974&lt;&gt;"",C974,""))</f>
        <v>27</v>
      </c>
      <c r="D975" s="34"/>
      <c r="E975" s="34"/>
      <c r="F975" s="34"/>
      <c r="G975" s="34"/>
      <c r="H975" s="34"/>
      <c r="I975" s="35"/>
      <c r="J975" s="35"/>
      <c r="K975" s="36"/>
      <c r="L975" s="26" t="str">
        <f>IF(OR(F975 = "", G975 = ""), "", IF(F975 = "Vara", IFERROR(_xlfn.SINGLE(_xlfn.XLOOKUP(G975, Vöruskrá!A:A, Vöruskrá!E:E, "")), ""), IF(F975 = "Réttur", IFERROR(_xlfn.SINGLE(_xlfn.XLOOKUP(G975, Réttabanki!A:A, Réttabanki!AS:AS, "")), ""), "")))</f>
        <v/>
      </c>
      <c r="M975" s="26" t="str">
        <f>IF(OR(F975 = "", G975 = ""), "", IF(F975 = "Vara", IFERROR(_xlfn.SINGLE(_xlfn.XLOOKUP(G975, Vöruskrá!A:A, Vöruskrá!F:F, "")), ""), IF(F975 = "Réttur", IFERROR(_xlfn.SINGLE(_xlfn.XLOOKUP(G975, Réttabanki!A:A, Réttabanki!AT:AT, "")), ""), "")))</f>
        <v/>
      </c>
      <c r="N975" s="26" t="str">
        <f>IF(OR(F975 = "", G975 = ""), "", IF(F975 = "Vara", IFERROR(_xlfn.SINGLE(_xlfn.XLOOKUP(G975, Vöruskrá!A:A, Vöruskrá!G:G, "")), ""), IF(F975 = "Réttur", IFERROR(_xlfn.SINGLE(_xlfn.XLOOKUP(G975, Réttabanki!A:A, Réttabanki!AU:AU, "")), ""), "")))</f>
        <v/>
      </c>
      <c r="O975" s="26" t="str">
        <f>IF(OR(F975 = "", G975 = "", I975 = ""), "", IF(F975 = "Vara", IFERROR(_xlfn.SINGLE(_xlfn.XLOOKUP(G975, Vöruskrá!A:A, Vöruskrá!I:I, "")) * I975 / 100, ""), IF(F975 = "Réttur", IFERROR(_xlfn.SINGLE(_xlfn.XLOOKUP(G975, Réttabanki!A:A, Réttabanki!AV:AV, "")) * I975 / 100, ""), "")))</f>
        <v/>
      </c>
      <c r="P975" s="26" t="str">
        <f>IF(OR(F975 = "", G975 = "", I975 = ""), "", IF(F975 = "Vara", IFERROR(_xlfn.SINGLE(_xlfn.XLOOKUP(G975, Vöruskrá!A:A, Vöruskrá!J:J, "")) * I975 / 100, ""), IF(F975 = "Réttur", IFERROR(_xlfn.SINGLE(_xlfn.XLOOKUP(G975, Réttabanki!A:A, Réttabanki!AW:AW, "")) * I975 / 100, ""), "")))</f>
        <v/>
      </c>
      <c r="Q975" s="26" t="str">
        <f>IF(OR(F975 = "", G975 = "", I975 = ""), "", IF(F975 = "Vara", IFERROR(_xlfn.SINGLE(_xlfn.XLOOKUP(G975, Vöruskrá!A:A, Vöruskrá!N:N, "")) * I975 / 100, ""), IF(F975 = "Réttur", IFERROR(_xlfn.SINGLE(_xlfn.XLOOKUP(G975, Réttabanki!A:A, Réttabanki!BB:BB, "")) * I975 / 100, ""), "")))</f>
        <v/>
      </c>
    </row>
    <row r="976" spans="2:17">
      <c r="B976" s="33" t="str">
        <f>IF(A976&lt;&gt;"",CHOOSE(WEEKDAY(A976,2),"Mánudagur","Þriðjudagur","Miðvikudagur","Fimmtudagur","Föstudagur","Laugardagur","Sunnudagur"),IF(B975&lt;&gt;"",B975,""))</f>
        <v>Fimmtudagur</v>
      </c>
      <c r="C976" s="33">
        <f>IF(A976&lt;&gt;"",WEEKNUM(A976,21),IF(C975&lt;&gt;"",C975,""))</f>
        <v>27</v>
      </c>
      <c r="D976" s="34"/>
      <c r="E976" s="34"/>
      <c r="F976" s="34"/>
      <c r="G976" s="34"/>
      <c r="H976" s="34"/>
      <c r="I976" s="35"/>
      <c r="J976" s="35"/>
      <c r="K976" s="36"/>
      <c r="L976" s="26" t="str">
        <f>IF(OR(F976 = "", G976 = ""), "", IF(F976 = "Vara", IFERROR(_xlfn.SINGLE(_xlfn.XLOOKUP(G976, Vöruskrá!A:A, Vöruskrá!E:E, "")), ""), IF(F976 = "Réttur", IFERROR(_xlfn.SINGLE(_xlfn.XLOOKUP(G976, Réttabanki!A:A, Réttabanki!AS:AS, "")), ""), "")))</f>
        <v/>
      </c>
      <c r="M976" s="26" t="str">
        <f>IF(OR(F976 = "", G976 = ""), "", IF(F976 = "Vara", IFERROR(_xlfn.SINGLE(_xlfn.XLOOKUP(G976, Vöruskrá!A:A, Vöruskrá!F:F, "")), ""), IF(F976 = "Réttur", IFERROR(_xlfn.SINGLE(_xlfn.XLOOKUP(G976, Réttabanki!A:A, Réttabanki!AT:AT, "")), ""), "")))</f>
        <v/>
      </c>
      <c r="N976" s="26" t="str">
        <f>IF(OR(F976 = "", G976 = ""), "", IF(F976 = "Vara", IFERROR(_xlfn.SINGLE(_xlfn.XLOOKUP(G976, Vöruskrá!A:A, Vöruskrá!G:G, "")), ""), IF(F976 = "Réttur", IFERROR(_xlfn.SINGLE(_xlfn.XLOOKUP(G976, Réttabanki!A:A, Réttabanki!AU:AU, "")), ""), "")))</f>
        <v/>
      </c>
      <c r="O976" s="26" t="str">
        <f>IF(OR(F976 = "", G976 = "", I976 = ""), "", IF(F976 = "Vara", IFERROR(_xlfn.SINGLE(_xlfn.XLOOKUP(G976, Vöruskrá!A:A, Vöruskrá!I:I, "")) * I976 / 100, ""), IF(F976 = "Réttur", IFERROR(_xlfn.SINGLE(_xlfn.XLOOKUP(G976, Réttabanki!A:A, Réttabanki!AV:AV, "")) * I976 / 100, ""), "")))</f>
        <v/>
      </c>
      <c r="P976" s="26" t="str">
        <f>IF(OR(F976 = "", G976 = "", I976 = ""), "", IF(F976 = "Vara", IFERROR(_xlfn.SINGLE(_xlfn.XLOOKUP(G976, Vöruskrá!A:A, Vöruskrá!J:J, "")) * I976 / 100, ""), IF(F976 = "Réttur", IFERROR(_xlfn.SINGLE(_xlfn.XLOOKUP(G976, Réttabanki!A:A, Réttabanki!AW:AW, "")) * I976 / 100, ""), "")))</f>
        <v/>
      </c>
      <c r="Q976" s="26" t="str">
        <f>IF(OR(F976 = "", G976 = "", I976 = ""), "", IF(F976 = "Vara", IFERROR(_xlfn.SINGLE(_xlfn.XLOOKUP(G976, Vöruskrá!A:A, Vöruskrá!N:N, "")) * I976 / 100, ""), IF(F976 = "Réttur", IFERROR(_xlfn.SINGLE(_xlfn.XLOOKUP(G976, Réttabanki!A:A, Réttabanki!BB:BB, "")) * I976 / 100, ""), "")))</f>
        <v/>
      </c>
    </row>
    <row r="977" spans="2:17">
      <c r="B977" s="33" t="str">
        <f>IF(A977&lt;&gt;"",CHOOSE(WEEKDAY(A977,2),"Mánudagur","Þriðjudagur","Miðvikudagur","Fimmtudagur","Föstudagur","Laugardagur","Sunnudagur"),IF(B976&lt;&gt;"",B976,""))</f>
        <v>Fimmtudagur</v>
      </c>
      <c r="C977" s="33">
        <f>IF(A977&lt;&gt;"",WEEKNUM(A977,21),IF(C976&lt;&gt;"",C976,""))</f>
        <v>27</v>
      </c>
      <c r="D977" s="34"/>
      <c r="E977" s="34"/>
      <c r="F977" s="34"/>
      <c r="G977" s="34"/>
      <c r="H977" s="34"/>
      <c r="I977" s="35"/>
      <c r="J977" s="35"/>
      <c r="K977" s="36"/>
      <c r="L977" s="26" t="str">
        <f>IF(OR(F977 = "", G977 = ""), "", IF(F977 = "Vara", IFERROR(_xlfn.SINGLE(_xlfn.XLOOKUP(G977, Vöruskrá!A:A, Vöruskrá!E:E, "")), ""), IF(F977 = "Réttur", IFERROR(_xlfn.SINGLE(_xlfn.XLOOKUP(G977, Réttabanki!A:A, Réttabanki!AS:AS, "")), ""), "")))</f>
        <v/>
      </c>
      <c r="M977" s="26" t="str">
        <f>IF(OR(F977 = "", G977 = ""), "", IF(F977 = "Vara", IFERROR(_xlfn.SINGLE(_xlfn.XLOOKUP(G977, Vöruskrá!A:A, Vöruskrá!F:F, "")), ""), IF(F977 = "Réttur", IFERROR(_xlfn.SINGLE(_xlfn.XLOOKUP(G977, Réttabanki!A:A, Réttabanki!AT:AT, "")), ""), "")))</f>
        <v/>
      </c>
      <c r="N977" s="26" t="str">
        <f>IF(OR(F977 = "", G977 = ""), "", IF(F977 = "Vara", IFERROR(_xlfn.SINGLE(_xlfn.XLOOKUP(G977, Vöruskrá!A:A, Vöruskrá!G:G, "")), ""), IF(F977 = "Réttur", IFERROR(_xlfn.SINGLE(_xlfn.XLOOKUP(G977, Réttabanki!A:A, Réttabanki!AU:AU, "")), ""), "")))</f>
        <v/>
      </c>
      <c r="O977" s="26" t="str">
        <f>IF(OR(F977 = "", G977 = "", I977 = ""), "", IF(F977 = "Vara", IFERROR(_xlfn.SINGLE(_xlfn.XLOOKUP(G977, Vöruskrá!A:A, Vöruskrá!I:I, "")) * I977 / 100, ""), IF(F977 = "Réttur", IFERROR(_xlfn.SINGLE(_xlfn.XLOOKUP(G977, Réttabanki!A:A, Réttabanki!AV:AV, "")) * I977 / 100, ""), "")))</f>
        <v/>
      </c>
      <c r="P977" s="26" t="str">
        <f>IF(OR(F977 = "", G977 = "", I977 = ""), "", IF(F977 = "Vara", IFERROR(_xlfn.SINGLE(_xlfn.XLOOKUP(G977, Vöruskrá!A:A, Vöruskrá!J:J, "")) * I977 / 100, ""), IF(F977 = "Réttur", IFERROR(_xlfn.SINGLE(_xlfn.XLOOKUP(G977, Réttabanki!A:A, Réttabanki!AW:AW, "")) * I977 / 100, ""), "")))</f>
        <v/>
      </c>
      <c r="Q977" s="26" t="str">
        <f>IF(OR(F977 = "", G977 = "", I977 = ""), "", IF(F977 = "Vara", IFERROR(_xlfn.SINGLE(_xlfn.XLOOKUP(G977, Vöruskrá!A:A, Vöruskrá!N:N, "")) * I977 / 100, ""), IF(F977 = "Réttur", IFERROR(_xlfn.SINGLE(_xlfn.XLOOKUP(G977, Réttabanki!A:A, Réttabanki!BB:BB, "")) * I977 / 100, ""), "")))</f>
        <v/>
      </c>
    </row>
    <row r="978" spans="2:17">
      <c r="B978" s="33" t="str">
        <f>IF(A978&lt;&gt;"",CHOOSE(WEEKDAY(A978,2),"Mánudagur","Þriðjudagur","Miðvikudagur","Fimmtudagur","Föstudagur","Laugardagur","Sunnudagur"),IF(B977&lt;&gt;"",B977,""))</f>
        <v>Fimmtudagur</v>
      </c>
      <c r="C978" s="33">
        <f>IF(A978&lt;&gt;"",WEEKNUM(A978,21),IF(C977&lt;&gt;"",C977,""))</f>
        <v>27</v>
      </c>
      <c r="D978" s="34"/>
      <c r="E978" s="34"/>
      <c r="F978" s="34"/>
      <c r="G978" s="34"/>
      <c r="H978" s="34"/>
      <c r="I978" s="35"/>
      <c r="J978" s="35"/>
      <c r="K978" s="36"/>
      <c r="L978" s="26" t="str">
        <f>IF(OR(F978 = "", G978 = ""), "", IF(F978 = "Vara", IFERROR(_xlfn.SINGLE(_xlfn.XLOOKUP(G978, Vöruskrá!A:A, Vöruskrá!E:E, "")), ""), IF(F978 = "Réttur", IFERROR(_xlfn.SINGLE(_xlfn.XLOOKUP(G978, Réttabanki!A:A, Réttabanki!AS:AS, "")), ""), "")))</f>
        <v/>
      </c>
      <c r="M978" s="26" t="str">
        <f>IF(OR(F978 = "", G978 = ""), "", IF(F978 = "Vara", IFERROR(_xlfn.SINGLE(_xlfn.XLOOKUP(G978, Vöruskrá!A:A, Vöruskrá!F:F, "")), ""), IF(F978 = "Réttur", IFERROR(_xlfn.SINGLE(_xlfn.XLOOKUP(G978, Réttabanki!A:A, Réttabanki!AT:AT, "")), ""), "")))</f>
        <v/>
      </c>
      <c r="N978" s="26" t="str">
        <f>IF(OR(F978 = "", G978 = ""), "", IF(F978 = "Vara", IFERROR(_xlfn.SINGLE(_xlfn.XLOOKUP(G978, Vöruskrá!A:A, Vöruskrá!G:G, "")), ""), IF(F978 = "Réttur", IFERROR(_xlfn.SINGLE(_xlfn.XLOOKUP(G978, Réttabanki!A:A, Réttabanki!AU:AU, "")), ""), "")))</f>
        <v/>
      </c>
      <c r="O978" s="26" t="str">
        <f>IF(OR(F978 = "", G978 = "", I978 = ""), "", IF(F978 = "Vara", IFERROR(_xlfn.SINGLE(_xlfn.XLOOKUP(G978, Vöruskrá!A:A, Vöruskrá!I:I, "")) * I978 / 100, ""), IF(F978 = "Réttur", IFERROR(_xlfn.SINGLE(_xlfn.XLOOKUP(G978, Réttabanki!A:A, Réttabanki!AV:AV, "")) * I978 / 100, ""), "")))</f>
        <v/>
      </c>
      <c r="P978" s="26" t="str">
        <f>IF(OR(F978 = "", G978 = "", I978 = ""), "", IF(F978 = "Vara", IFERROR(_xlfn.SINGLE(_xlfn.XLOOKUP(G978, Vöruskrá!A:A, Vöruskrá!J:J, "")) * I978 / 100, ""), IF(F978 = "Réttur", IFERROR(_xlfn.SINGLE(_xlfn.XLOOKUP(G978, Réttabanki!A:A, Réttabanki!AW:AW, "")) * I978 / 100, ""), "")))</f>
        <v/>
      </c>
      <c r="Q978" s="26" t="str">
        <f>IF(OR(F978 = "", G978 = "", I978 = ""), "", IF(F978 = "Vara", IFERROR(_xlfn.SINGLE(_xlfn.XLOOKUP(G978, Vöruskrá!A:A, Vöruskrá!N:N, "")) * I978 / 100, ""), IF(F978 = "Réttur", IFERROR(_xlfn.SINGLE(_xlfn.XLOOKUP(G978, Réttabanki!A:A, Réttabanki!BB:BB, "")) * I978 / 100, ""), "")))</f>
        <v/>
      </c>
    </row>
    <row r="979" spans="2:17">
      <c r="B979" s="33" t="str">
        <f>IF(A979&lt;&gt;"",CHOOSE(WEEKDAY(A979,2),"Mánudagur","Þriðjudagur","Miðvikudagur","Fimmtudagur","Föstudagur","Laugardagur","Sunnudagur"),IF(B978&lt;&gt;"",B978,""))</f>
        <v>Fimmtudagur</v>
      </c>
      <c r="C979" s="33">
        <f>IF(A979&lt;&gt;"",WEEKNUM(A979,21),IF(C978&lt;&gt;"",C978,""))</f>
        <v>27</v>
      </c>
      <c r="D979" s="34"/>
      <c r="E979" s="34"/>
      <c r="F979" s="34"/>
      <c r="G979" s="34"/>
      <c r="H979" s="34"/>
      <c r="I979" s="35"/>
      <c r="J979" s="35"/>
      <c r="K979" s="36"/>
      <c r="L979" s="26" t="str">
        <f>IF(OR(F979 = "", G979 = ""), "", IF(F979 = "Vara", IFERROR(_xlfn.SINGLE(_xlfn.XLOOKUP(G979, Vöruskrá!A:A, Vöruskrá!E:E, "")), ""), IF(F979 = "Réttur", IFERROR(_xlfn.SINGLE(_xlfn.XLOOKUP(G979, Réttabanki!A:A, Réttabanki!AS:AS, "")), ""), "")))</f>
        <v/>
      </c>
      <c r="M979" s="26" t="str">
        <f>IF(OR(F979 = "", G979 = ""), "", IF(F979 = "Vara", IFERROR(_xlfn.SINGLE(_xlfn.XLOOKUP(G979, Vöruskrá!A:A, Vöruskrá!F:F, "")), ""), IF(F979 = "Réttur", IFERROR(_xlfn.SINGLE(_xlfn.XLOOKUP(G979, Réttabanki!A:A, Réttabanki!AT:AT, "")), ""), "")))</f>
        <v/>
      </c>
      <c r="N979" s="26" t="str">
        <f>IF(OR(F979 = "", G979 = ""), "", IF(F979 = "Vara", IFERROR(_xlfn.SINGLE(_xlfn.XLOOKUP(G979, Vöruskrá!A:A, Vöruskrá!G:G, "")), ""), IF(F979 = "Réttur", IFERROR(_xlfn.SINGLE(_xlfn.XLOOKUP(G979, Réttabanki!A:A, Réttabanki!AU:AU, "")), ""), "")))</f>
        <v/>
      </c>
      <c r="O979" s="26" t="str">
        <f>IF(OR(F979 = "", G979 = "", I979 = ""), "", IF(F979 = "Vara", IFERROR(_xlfn.SINGLE(_xlfn.XLOOKUP(G979, Vöruskrá!A:A, Vöruskrá!I:I, "")) * I979 / 100, ""), IF(F979 = "Réttur", IFERROR(_xlfn.SINGLE(_xlfn.XLOOKUP(G979, Réttabanki!A:A, Réttabanki!AV:AV, "")) * I979 / 100, ""), "")))</f>
        <v/>
      </c>
      <c r="P979" s="26" t="str">
        <f>IF(OR(F979 = "", G979 = "", I979 = ""), "", IF(F979 = "Vara", IFERROR(_xlfn.SINGLE(_xlfn.XLOOKUP(G979, Vöruskrá!A:A, Vöruskrá!J:J, "")) * I979 / 100, ""), IF(F979 = "Réttur", IFERROR(_xlfn.SINGLE(_xlfn.XLOOKUP(G979, Réttabanki!A:A, Réttabanki!AW:AW, "")) * I979 / 100, ""), "")))</f>
        <v/>
      </c>
      <c r="Q979" s="26" t="str">
        <f>IF(OR(F979 = "", G979 = "", I979 = ""), "", IF(F979 = "Vara", IFERROR(_xlfn.SINGLE(_xlfn.XLOOKUP(G979, Vöruskrá!A:A, Vöruskrá!N:N, "")) * I979 / 100, ""), IF(F979 = "Réttur", IFERROR(_xlfn.SINGLE(_xlfn.XLOOKUP(G979, Réttabanki!A:A, Réttabanki!BB:BB, "")) * I979 / 100, ""), "")))</f>
        <v/>
      </c>
    </row>
    <row r="980" spans="2:17">
      <c r="B980" s="33" t="str">
        <f>IF(A980&lt;&gt;"",CHOOSE(WEEKDAY(A980,2),"Mánudagur","Þriðjudagur","Miðvikudagur","Fimmtudagur","Föstudagur","Laugardagur","Sunnudagur"),IF(B979&lt;&gt;"",B979,""))</f>
        <v>Fimmtudagur</v>
      </c>
      <c r="C980" s="33">
        <f>IF(A980&lt;&gt;"",WEEKNUM(A980,21),IF(C979&lt;&gt;"",C979,""))</f>
        <v>27</v>
      </c>
      <c r="D980" s="34"/>
      <c r="E980" s="34"/>
      <c r="F980" s="34"/>
      <c r="G980" s="34"/>
      <c r="H980" s="34"/>
      <c r="I980" s="35"/>
      <c r="J980" s="35"/>
      <c r="K980" s="36"/>
      <c r="L980" s="26" t="str">
        <f>IF(OR(F980 = "", G980 = ""), "", IF(F980 = "Vara", IFERROR(_xlfn.SINGLE(_xlfn.XLOOKUP(G980, Vöruskrá!A:A, Vöruskrá!E:E, "")), ""), IF(F980 = "Réttur", IFERROR(_xlfn.SINGLE(_xlfn.XLOOKUP(G980, Réttabanki!A:A, Réttabanki!AS:AS, "")), ""), "")))</f>
        <v/>
      </c>
      <c r="M980" s="26" t="str">
        <f>IF(OR(F980 = "", G980 = ""), "", IF(F980 = "Vara", IFERROR(_xlfn.SINGLE(_xlfn.XLOOKUP(G980, Vöruskrá!A:A, Vöruskrá!F:F, "")), ""), IF(F980 = "Réttur", IFERROR(_xlfn.SINGLE(_xlfn.XLOOKUP(G980, Réttabanki!A:A, Réttabanki!AT:AT, "")), ""), "")))</f>
        <v/>
      </c>
      <c r="N980" s="26" t="str">
        <f>IF(OR(F980 = "", G980 = ""), "", IF(F980 = "Vara", IFERROR(_xlfn.SINGLE(_xlfn.XLOOKUP(G980, Vöruskrá!A:A, Vöruskrá!G:G, "")), ""), IF(F980 = "Réttur", IFERROR(_xlfn.SINGLE(_xlfn.XLOOKUP(G980, Réttabanki!A:A, Réttabanki!AU:AU, "")), ""), "")))</f>
        <v/>
      </c>
      <c r="O980" s="26" t="str">
        <f>IF(OR(F980 = "", G980 = "", I980 = ""), "", IF(F980 = "Vara", IFERROR(_xlfn.SINGLE(_xlfn.XLOOKUP(G980, Vöruskrá!A:A, Vöruskrá!I:I, "")) * I980 / 100, ""), IF(F980 = "Réttur", IFERROR(_xlfn.SINGLE(_xlfn.XLOOKUP(G980, Réttabanki!A:A, Réttabanki!AV:AV, "")) * I980 / 100, ""), "")))</f>
        <v/>
      </c>
      <c r="P980" s="26" t="str">
        <f>IF(OR(F980 = "", G980 = "", I980 = ""), "", IF(F980 = "Vara", IFERROR(_xlfn.SINGLE(_xlfn.XLOOKUP(G980, Vöruskrá!A:A, Vöruskrá!J:J, "")) * I980 / 100, ""), IF(F980 = "Réttur", IFERROR(_xlfn.SINGLE(_xlfn.XLOOKUP(G980, Réttabanki!A:A, Réttabanki!AW:AW, "")) * I980 / 100, ""), "")))</f>
        <v/>
      </c>
      <c r="Q980" s="26" t="str">
        <f>IF(OR(F980 = "", G980 = "", I980 = ""), "", IF(F980 = "Vara", IFERROR(_xlfn.SINGLE(_xlfn.XLOOKUP(G980, Vöruskrá!A:A, Vöruskrá!N:N, "")) * I980 / 100, ""), IF(F980 = "Réttur", IFERROR(_xlfn.SINGLE(_xlfn.XLOOKUP(G980, Réttabanki!A:A, Réttabanki!BB:BB, "")) * I980 / 100, ""), "")))</f>
        <v/>
      </c>
    </row>
    <row r="981" spans="2:17">
      <c r="B981" s="33" t="str">
        <f>IF(A981&lt;&gt;"",CHOOSE(WEEKDAY(A981,2),"Mánudagur","Þriðjudagur","Miðvikudagur","Fimmtudagur","Föstudagur","Laugardagur","Sunnudagur"),IF(B980&lt;&gt;"",B980,""))</f>
        <v>Fimmtudagur</v>
      </c>
      <c r="C981" s="33">
        <f>IF(A981&lt;&gt;"",WEEKNUM(A981,21),IF(C980&lt;&gt;"",C980,""))</f>
        <v>27</v>
      </c>
      <c r="D981" s="34"/>
      <c r="E981" s="34"/>
      <c r="F981" s="34"/>
      <c r="G981" s="34"/>
      <c r="H981" s="34"/>
      <c r="I981" s="35"/>
      <c r="J981" s="35"/>
      <c r="K981" s="36"/>
      <c r="L981" s="26" t="str">
        <f>IF(OR(F981 = "", G981 = ""), "", IF(F981 = "Vara", IFERROR(_xlfn.SINGLE(_xlfn.XLOOKUP(G981, Vöruskrá!A:A, Vöruskrá!E:E, "")), ""), IF(F981 = "Réttur", IFERROR(_xlfn.SINGLE(_xlfn.XLOOKUP(G981, Réttabanki!A:A, Réttabanki!AS:AS, "")), ""), "")))</f>
        <v/>
      </c>
      <c r="M981" s="26" t="str">
        <f>IF(OR(F981 = "", G981 = ""), "", IF(F981 = "Vara", IFERROR(_xlfn.SINGLE(_xlfn.XLOOKUP(G981, Vöruskrá!A:A, Vöruskrá!F:F, "")), ""), IF(F981 = "Réttur", IFERROR(_xlfn.SINGLE(_xlfn.XLOOKUP(G981, Réttabanki!A:A, Réttabanki!AT:AT, "")), ""), "")))</f>
        <v/>
      </c>
      <c r="N981" s="26" t="str">
        <f>IF(OR(F981 = "", G981 = ""), "", IF(F981 = "Vara", IFERROR(_xlfn.SINGLE(_xlfn.XLOOKUP(G981, Vöruskrá!A:A, Vöruskrá!G:G, "")), ""), IF(F981 = "Réttur", IFERROR(_xlfn.SINGLE(_xlfn.XLOOKUP(G981, Réttabanki!A:A, Réttabanki!AU:AU, "")), ""), "")))</f>
        <v/>
      </c>
      <c r="O981" s="26" t="str">
        <f>IF(OR(F981 = "", G981 = "", I981 = ""), "", IF(F981 = "Vara", IFERROR(_xlfn.SINGLE(_xlfn.XLOOKUP(G981, Vöruskrá!A:A, Vöruskrá!I:I, "")) * I981 / 100, ""), IF(F981 = "Réttur", IFERROR(_xlfn.SINGLE(_xlfn.XLOOKUP(G981, Réttabanki!A:A, Réttabanki!AV:AV, "")) * I981 / 100, ""), "")))</f>
        <v/>
      </c>
      <c r="P981" s="26" t="str">
        <f>IF(OR(F981 = "", G981 = "", I981 = ""), "", IF(F981 = "Vara", IFERROR(_xlfn.SINGLE(_xlfn.XLOOKUP(G981, Vöruskrá!A:A, Vöruskrá!J:J, "")) * I981 / 100, ""), IF(F981 = "Réttur", IFERROR(_xlfn.SINGLE(_xlfn.XLOOKUP(G981, Réttabanki!A:A, Réttabanki!AW:AW, "")) * I981 / 100, ""), "")))</f>
        <v/>
      </c>
      <c r="Q981" s="26" t="str">
        <f>IF(OR(F981 = "", G981 = "", I981 = ""), "", IF(F981 = "Vara", IFERROR(_xlfn.SINGLE(_xlfn.XLOOKUP(G981, Vöruskrá!A:A, Vöruskrá!N:N, "")) * I981 / 100, ""), IF(F981 = "Réttur", IFERROR(_xlfn.SINGLE(_xlfn.XLOOKUP(G981, Réttabanki!A:A, Réttabanki!BB:BB, "")) * I981 / 100, ""), "")))</f>
        <v/>
      </c>
    </row>
    <row r="982" spans="2:17">
      <c r="B982" s="33" t="str">
        <f>IF(A982&lt;&gt;"",CHOOSE(WEEKDAY(A982,2),"Mánudagur","Þriðjudagur","Miðvikudagur","Fimmtudagur","Föstudagur","Laugardagur","Sunnudagur"),IF(B981&lt;&gt;"",B981,""))</f>
        <v>Fimmtudagur</v>
      </c>
      <c r="C982" s="33">
        <f>IF(A982&lt;&gt;"",WEEKNUM(A982,21),IF(C981&lt;&gt;"",C981,""))</f>
        <v>27</v>
      </c>
      <c r="D982" s="34"/>
      <c r="E982" s="34"/>
      <c r="F982" s="34"/>
      <c r="G982" s="34"/>
      <c r="H982" s="34"/>
      <c r="I982" s="35"/>
      <c r="J982" s="35"/>
      <c r="K982" s="36"/>
      <c r="L982" s="26" t="str">
        <f>IF(OR(F982 = "", G982 = ""), "", IF(F982 = "Vara", IFERROR(_xlfn.SINGLE(_xlfn.XLOOKUP(G982, Vöruskrá!A:A, Vöruskrá!E:E, "")), ""), IF(F982 = "Réttur", IFERROR(_xlfn.SINGLE(_xlfn.XLOOKUP(G982, Réttabanki!A:A, Réttabanki!AS:AS, "")), ""), "")))</f>
        <v/>
      </c>
      <c r="M982" s="26" t="str">
        <f>IF(OR(F982 = "", G982 = ""), "", IF(F982 = "Vara", IFERROR(_xlfn.SINGLE(_xlfn.XLOOKUP(G982, Vöruskrá!A:A, Vöruskrá!F:F, "")), ""), IF(F982 = "Réttur", IFERROR(_xlfn.SINGLE(_xlfn.XLOOKUP(G982, Réttabanki!A:A, Réttabanki!AT:AT, "")), ""), "")))</f>
        <v/>
      </c>
      <c r="N982" s="26" t="str">
        <f>IF(OR(F982 = "", G982 = ""), "", IF(F982 = "Vara", IFERROR(_xlfn.SINGLE(_xlfn.XLOOKUP(G982, Vöruskrá!A:A, Vöruskrá!G:G, "")), ""), IF(F982 = "Réttur", IFERROR(_xlfn.SINGLE(_xlfn.XLOOKUP(G982, Réttabanki!A:A, Réttabanki!AU:AU, "")), ""), "")))</f>
        <v/>
      </c>
      <c r="O982" s="26" t="str">
        <f>IF(OR(F982 = "", G982 = "", I982 = ""), "", IF(F982 = "Vara", IFERROR(_xlfn.SINGLE(_xlfn.XLOOKUP(G982, Vöruskrá!A:A, Vöruskrá!I:I, "")) * I982 / 100, ""), IF(F982 = "Réttur", IFERROR(_xlfn.SINGLE(_xlfn.XLOOKUP(G982, Réttabanki!A:A, Réttabanki!AV:AV, "")) * I982 / 100, ""), "")))</f>
        <v/>
      </c>
      <c r="P982" s="26" t="str">
        <f>IF(OR(F982 = "", G982 = "", I982 = ""), "", IF(F982 = "Vara", IFERROR(_xlfn.SINGLE(_xlfn.XLOOKUP(G982, Vöruskrá!A:A, Vöruskrá!J:J, "")) * I982 / 100, ""), IF(F982 = "Réttur", IFERROR(_xlfn.SINGLE(_xlfn.XLOOKUP(G982, Réttabanki!A:A, Réttabanki!AW:AW, "")) * I982 / 100, ""), "")))</f>
        <v/>
      </c>
      <c r="Q982" s="26" t="str">
        <f>IF(OR(F982 = "", G982 = "", I982 = ""), "", IF(F982 = "Vara", IFERROR(_xlfn.SINGLE(_xlfn.XLOOKUP(G982, Vöruskrá!A:A, Vöruskrá!N:N, "")) * I982 / 100, ""), IF(F982 = "Réttur", IFERROR(_xlfn.SINGLE(_xlfn.XLOOKUP(G982, Réttabanki!A:A, Réttabanki!BB:BB, "")) * I982 / 100, ""), "")))</f>
        <v/>
      </c>
    </row>
    <row r="983" spans="2:17">
      <c r="B983" s="33" t="str">
        <f>IF(A983&lt;&gt;"",CHOOSE(WEEKDAY(A983,2),"Mánudagur","Þriðjudagur","Miðvikudagur","Fimmtudagur","Föstudagur","Laugardagur","Sunnudagur"),IF(B982&lt;&gt;"",B982,""))</f>
        <v>Fimmtudagur</v>
      </c>
      <c r="C983" s="33">
        <f>IF(A983&lt;&gt;"",WEEKNUM(A983,21),IF(C982&lt;&gt;"",C982,""))</f>
        <v>27</v>
      </c>
      <c r="D983" s="34"/>
      <c r="E983" s="34"/>
      <c r="F983" s="34"/>
      <c r="G983" s="34"/>
      <c r="H983" s="34"/>
      <c r="I983" s="35"/>
      <c r="J983" s="35"/>
      <c r="K983" s="36"/>
      <c r="L983" s="26" t="str">
        <f>IF(OR(F983 = "", G983 = ""), "", IF(F983 = "Vara", IFERROR(_xlfn.SINGLE(_xlfn.XLOOKUP(G983, Vöruskrá!A:A, Vöruskrá!E:E, "")), ""), IF(F983 = "Réttur", IFERROR(_xlfn.SINGLE(_xlfn.XLOOKUP(G983, Réttabanki!A:A, Réttabanki!AS:AS, "")), ""), "")))</f>
        <v/>
      </c>
      <c r="M983" s="26" t="str">
        <f>IF(OR(F983 = "", G983 = ""), "", IF(F983 = "Vara", IFERROR(_xlfn.SINGLE(_xlfn.XLOOKUP(G983, Vöruskrá!A:A, Vöruskrá!F:F, "")), ""), IF(F983 = "Réttur", IFERROR(_xlfn.SINGLE(_xlfn.XLOOKUP(G983, Réttabanki!A:A, Réttabanki!AT:AT, "")), ""), "")))</f>
        <v/>
      </c>
      <c r="N983" s="26" t="str">
        <f>IF(OR(F983 = "", G983 = ""), "", IF(F983 = "Vara", IFERROR(_xlfn.SINGLE(_xlfn.XLOOKUP(G983, Vöruskrá!A:A, Vöruskrá!G:G, "")), ""), IF(F983 = "Réttur", IFERROR(_xlfn.SINGLE(_xlfn.XLOOKUP(G983, Réttabanki!A:A, Réttabanki!AU:AU, "")), ""), "")))</f>
        <v/>
      </c>
      <c r="O983" s="26" t="str">
        <f>IF(OR(F983 = "", G983 = "", I983 = ""), "", IF(F983 = "Vara", IFERROR(_xlfn.SINGLE(_xlfn.XLOOKUP(G983, Vöruskrá!A:A, Vöruskrá!I:I, "")) * I983 / 100, ""), IF(F983 = "Réttur", IFERROR(_xlfn.SINGLE(_xlfn.XLOOKUP(G983, Réttabanki!A:A, Réttabanki!AV:AV, "")) * I983 / 100, ""), "")))</f>
        <v/>
      </c>
      <c r="P983" s="26" t="str">
        <f>IF(OR(F983 = "", G983 = "", I983 = ""), "", IF(F983 = "Vara", IFERROR(_xlfn.SINGLE(_xlfn.XLOOKUP(G983, Vöruskrá!A:A, Vöruskrá!J:J, "")) * I983 / 100, ""), IF(F983 = "Réttur", IFERROR(_xlfn.SINGLE(_xlfn.XLOOKUP(G983, Réttabanki!A:A, Réttabanki!AW:AW, "")) * I983 / 100, ""), "")))</f>
        <v/>
      </c>
      <c r="Q983" s="26" t="str">
        <f>IF(OR(F983 = "", G983 = "", I983 = ""), "", IF(F983 = "Vara", IFERROR(_xlfn.SINGLE(_xlfn.XLOOKUP(G983, Vöruskrá!A:A, Vöruskrá!N:N, "")) * I983 / 100, ""), IF(F983 = "Réttur", IFERROR(_xlfn.SINGLE(_xlfn.XLOOKUP(G983, Réttabanki!A:A, Réttabanki!BB:BB, "")) * I983 / 100, ""), "")))</f>
        <v/>
      </c>
    </row>
    <row r="984" spans="2:17">
      <c r="B984" s="33" t="str">
        <f>IF(A984&lt;&gt;"",CHOOSE(WEEKDAY(A984,2),"Mánudagur","Þriðjudagur","Miðvikudagur","Fimmtudagur","Föstudagur","Laugardagur","Sunnudagur"),IF(B983&lt;&gt;"",B983,""))</f>
        <v>Fimmtudagur</v>
      </c>
      <c r="C984" s="33">
        <f>IF(A984&lt;&gt;"",WEEKNUM(A984,21),IF(C983&lt;&gt;"",C983,""))</f>
        <v>27</v>
      </c>
      <c r="D984" s="34"/>
      <c r="E984" s="34"/>
      <c r="F984" s="34"/>
      <c r="G984" s="34"/>
      <c r="H984" s="34"/>
      <c r="I984" s="35"/>
      <c r="J984" s="35"/>
      <c r="K984" s="36"/>
      <c r="L984" s="26" t="str">
        <f>IF(OR(F984 = "", G984 = ""), "", IF(F984 = "Vara", IFERROR(_xlfn.SINGLE(_xlfn.XLOOKUP(G984, Vöruskrá!A:A, Vöruskrá!E:E, "")), ""), IF(F984 = "Réttur", IFERROR(_xlfn.SINGLE(_xlfn.XLOOKUP(G984, Réttabanki!A:A, Réttabanki!AS:AS, "")), ""), "")))</f>
        <v/>
      </c>
      <c r="M984" s="26" t="str">
        <f>IF(OR(F984 = "", G984 = ""), "", IF(F984 = "Vara", IFERROR(_xlfn.SINGLE(_xlfn.XLOOKUP(G984, Vöruskrá!A:A, Vöruskrá!F:F, "")), ""), IF(F984 = "Réttur", IFERROR(_xlfn.SINGLE(_xlfn.XLOOKUP(G984, Réttabanki!A:A, Réttabanki!AT:AT, "")), ""), "")))</f>
        <v/>
      </c>
      <c r="N984" s="26" t="str">
        <f>IF(OR(F984 = "", G984 = ""), "", IF(F984 = "Vara", IFERROR(_xlfn.SINGLE(_xlfn.XLOOKUP(G984, Vöruskrá!A:A, Vöruskrá!G:G, "")), ""), IF(F984 = "Réttur", IFERROR(_xlfn.SINGLE(_xlfn.XLOOKUP(G984, Réttabanki!A:A, Réttabanki!AU:AU, "")), ""), "")))</f>
        <v/>
      </c>
      <c r="O984" s="26" t="str">
        <f>IF(OR(F984 = "", G984 = "", I984 = ""), "", IF(F984 = "Vara", IFERROR(_xlfn.SINGLE(_xlfn.XLOOKUP(G984, Vöruskrá!A:A, Vöruskrá!I:I, "")) * I984 / 100, ""), IF(F984 = "Réttur", IFERROR(_xlfn.SINGLE(_xlfn.XLOOKUP(G984, Réttabanki!A:A, Réttabanki!AV:AV, "")) * I984 / 100, ""), "")))</f>
        <v/>
      </c>
      <c r="P984" s="26" t="str">
        <f>IF(OR(F984 = "", G984 = "", I984 = ""), "", IF(F984 = "Vara", IFERROR(_xlfn.SINGLE(_xlfn.XLOOKUP(G984, Vöruskrá!A:A, Vöruskrá!J:J, "")) * I984 / 100, ""), IF(F984 = "Réttur", IFERROR(_xlfn.SINGLE(_xlfn.XLOOKUP(G984, Réttabanki!A:A, Réttabanki!AW:AW, "")) * I984 / 100, ""), "")))</f>
        <v/>
      </c>
      <c r="Q984" s="26" t="str">
        <f>IF(OR(F984 = "", G984 = "", I984 = ""), "", IF(F984 = "Vara", IFERROR(_xlfn.SINGLE(_xlfn.XLOOKUP(G984, Vöruskrá!A:A, Vöruskrá!N:N, "")) * I984 / 100, ""), IF(F984 = "Réttur", IFERROR(_xlfn.SINGLE(_xlfn.XLOOKUP(G984, Réttabanki!A:A, Réttabanki!BB:BB, "")) * I984 / 100, ""), "")))</f>
        <v/>
      </c>
    </row>
    <row r="985" spans="2:17">
      <c r="B985" s="33" t="str">
        <f>IF(A985&lt;&gt;"",CHOOSE(WEEKDAY(A985,2),"Mánudagur","Þriðjudagur","Miðvikudagur","Fimmtudagur","Föstudagur","Laugardagur","Sunnudagur"),IF(B984&lt;&gt;"",B984,""))</f>
        <v>Fimmtudagur</v>
      </c>
      <c r="C985" s="33">
        <f>IF(A985&lt;&gt;"",WEEKNUM(A985,21),IF(C984&lt;&gt;"",C984,""))</f>
        <v>27</v>
      </c>
      <c r="D985" s="34"/>
      <c r="E985" s="34"/>
      <c r="F985" s="34"/>
      <c r="G985" s="34"/>
      <c r="H985" s="34"/>
      <c r="I985" s="35"/>
      <c r="J985" s="35"/>
      <c r="K985" s="36"/>
      <c r="L985" s="26" t="str">
        <f>IF(OR(F985 = "", G985 = ""), "", IF(F985 = "Vara", IFERROR(_xlfn.SINGLE(_xlfn.XLOOKUP(G985, Vöruskrá!A:A, Vöruskrá!E:E, "")), ""), IF(F985 = "Réttur", IFERROR(_xlfn.SINGLE(_xlfn.XLOOKUP(G985, Réttabanki!A:A, Réttabanki!AS:AS, "")), ""), "")))</f>
        <v/>
      </c>
      <c r="M985" s="26" t="str">
        <f>IF(OR(F985 = "", G985 = ""), "", IF(F985 = "Vara", IFERROR(_xlfn.SINGLE(_xlfn.XLOOKUP(G985, Vöruskrá!A:A, Vöruskrá!F:F, "")), ""), IF(F985 = "Réttur", IFERROR(_xlfn.SINGLE(_xlfn.XLOOKUP(G985, Réttabanki!A:A, Réttabanki!AT:AT, "")), ""), "")))</f>
        <v/>
      </c>
      <c r="N985" s="26" t="str">
        <f>IF(OR(F985 = "", G985 = ""), "", IF(F985 = "Vara", IFERROR(_xlfn.SINGLE(_xlfn.XLOOKUP(G985, Vöruskrá!A:A, Vöruskrá!G:G, "")), ""), IF(F985 = "Réttur", IFERROR(_xlfn.SINGLE(_xlfn.XLOOKUP(G985, Réttabanki!A:A, Réttabanki!AU:AU, "")), ""), "")))</f>
        <v/>
      </c>
      <c r="O985" s="26" t="str">
        <f>IF(OR(F985 = "", G985 = "", I985 = ""), "", IF(F985 = "Vara", IFERROR(_xlfn.SINGLE(_xlfn.XLOOKUP(G985, Vöruskrá!A:A, Vöruskrá!I:I, "")) * I985 / 100, ""), IF(F985 = "Réttur", IFERROR(_xlfn.SINGLE(_xlfn.XLOOKUP(G985, Réttabanki!A:A, Réttabanki!AV:AV, "")) * I985 / 100, ""), "")))</f>
        <v/>
      </c>
      <c r="P985" s="26" t="str">
        <f>IF(OR(F985 = "", G985 = "", I985 = ""), "", IF(F985 = "Vara", IFERROR(_xlfn.SINGLE(_xlfn.XLOOKUP(G985, Vöruskrá!A:A, Vöruskrá!J:J, "")) * I985 / 100, ""), IF(F985 = "Réttur", IFERROR(_xlfn.SINGLE(_xlfn.XLOOKUP(G985, Réttabanki!A:A, Réttabanki!AW:AW, "")) * I985 / 100, ""), "")))</f>
        <v/>
      </c>
      <c r="Q985" s="26" t="str">
        <f>IF(OR(F985 = "", G985 = "", I985 = ""), "", IF(F985 = "Vara", IFERROR(_xlfn.SINGLE(_xlfn.XLOOKUP(G985, Vöruskrá!A:A, Vöruskrá!N:N, "")) * I985 / 100, ""), IF(F985 = "Réttur", IFERROR(_xlfn.SINGLE(_xlfn.XLOOKUP(G985, Réttabanki!A:A, Réttabanki!BB:BB, "")) * I985 / 100, ""), "")))</f>
        <v/>
      </c>
    </row>
    <row r="986" spans="2:17">
      <c r="B986" s="33" t="str">
        <f>IF(A986&lt;&gt;"",CHOOSE(WEEKDAY(A986,2),"Mánudagur","Þriðjudagur","Miðvikudagur","Fimmtudagur","Föstudagur","Laugardagur","Sunnudagur"),IF(B985&lt;&gt;"",B985,""))</f>
        <v>Fimmtudagur</v>
      </c>
      <c r="C986" s="33">
        <f>IF(A986&lt;&gt;"",WEEKNUM(A986,21),IF(C985&lt;&gt;"",C985,""))</f>
        <v>27</v>
      </c>
      <c r="D986" s="34"/>
      <c r="E986" s="34"/>
      <c r="F986" s="34"/>
      <c r="G986" s="34"/>
      <c r="H986" s="34"/>
      <c r="I986" s="35"/>
      <c r="J986" s="35"/>
      <c r="K986" s="36"/>
      <c r="L986" s="26" t="str">
        <f>IF(OR(F986 = "", G986 = ""), "", IF(F986 = "Vara", IFERROR(_xlfn.SINGLE(_xlfn.XLOOKUP(G986, Vöruskrá!A:A, Vöruskrá!E:E, "")), ""), IF(F986 = "Réttur", IFERROR(_xlfn.SINGLE(_xlfn.XLOOKUP(G986, Réttabanki!A:A, Réttabanki!AS:AS, "")), ""), "")))</f>
        <v/>
      </c>
      <c r="M986" s="26" t="str">
        <f>IF(OR(F986 = "", G986 = ""), "", IF(F986 = "Vara", IFERROR(_xlfn.SINGLE(_xlfn.XLOOKUP(G986, Vöruskrá!A:A, Vöruskrá!F:F, "")), ""), IF(F986 = "Réttur", IFERROR(_xlfn.SINGLE(_xlfn.XLOOKUP(G986, Réttabanki!A:A, Réttabanki!AT:AT, "")), ""), "")))</f>
        <v/>
      </c>
      <c r="N986" s="26" t="str">
        <f>IF(OR(F986 = "", G986 = ""), "", IF(F986 = "Vara", IFERROR(_xlfn.SINGLE(_xlfn.XLOOKUP(G986, Vöruskrá!A:A, Vöruskrá!G:G, "")), ""), IF(F986 = "Réttur", IFERROR(_xlfn.SINGLE(_xlfn.XLOOKUP(G986, Réttabanki!A:A, Réttabanki!AU:AU, "")), ""), "")))</f>
        <v/>
      </c>
      <c r="O986" s="26" t="str">
        <f>IF(OR(F986 = "", G986 = "", I986 = ""), "", IF(F986 = "Vara", IFERROR(_xlfn.SINGLE(_xlfn.XLOOKUP(G986, Vöruskrá!A:A, Vöruskrá!I:I, "")) * I986 / 100, ""), IF(F986 = "Réttur", IFERROR(_xlfn.SINGLE(_xlfn.XLOOKUP(G986, Réttabanki!A:A, Réttabanki!AV:AV, "")) * I986 / 100, ""), "")))</f>
        <v/>
      </c>
      <c r="P986" s="26" t="str">
        <f>IF(OR(F986 = "", G986 = "", I986 = ""), "", IF(F986 = "Vara", IFERROR(_xlfn.SINGLE(_xlfn.XLOOKUP(G986, Vöruskrá!A:A, Vöruskrá!J:J, "")) * I986 / 100, ""), IF(F986 = "Réttur", IFERROR(_xlfn.SINGLE(_xlfn.XLOOKUP(G986, Réttabanki!A:A, Réttabanki!AW:AW, "")) * I986 / 100, ""), "")))</f>
        <v/>
      </c>
      <c r="Q986" s="26" t="str">
        <f>IF(OR(F986 = "", G986 = "", I986 = ""), "", IF(F986 = "Vara", IFERROR(_xlfn.SINGLE(_xlfn.XLOOKUP(G986, Vöruskrá!A:A, Vöruskrá!N:N, "")) * I986 / 100, ""), IF(F986 = "Réttur", IFERROR(_xlfn.SINGLE(_xlfn.XLOOKUP(G986, Réttabanki!A:A, Réttabanki!BB:BB, "")) * I986 / 100, ""), "")))</f>
        <v/>
      </c>
    </row>
    <row r="987" spans="2:17">
      <c r="B987" s="33" t="str">
        <f>IF(A987&lt;&gt;"",CHOOSE(WEEKDAY(A987,2),"Mánudagur","Þriðjudagur","Miðvikudagur","Fimmtudagur","Föstudagur","Laugardagur","Sunnudagur"),IF(B986&lt;&gt;"",B986,""))</f>
        <v>Fimmtudagur</v>
      </c>
      <c r="C987" s="33">
        <f>IF(A987&lt;&gt;"",WEEKNUM(A987,21),IF(C986&lt;&gt;"",C986,""))</f>
        <v>27</v>
      </c>
      <c r="D987" s="34"/>
      <c r="E987" s="34"/>
      <c r="F987" s="34"/>
      <c r="G987" s="34"/>
      <c r="H987" s="34"/>
      <c r="I987" s="35"/>
      <c r="J987" s="35"/>
      <c r="K987" s="36"/>
      <c r="L987" s="26" t="str">
        <f>IF(OR(F987 = "", G987 = ""), "", IF(F987 = "Vara", IFERROR(_xlfn.SINGLE(_xlfn.XLOOKUP(G987, Vöruskrá!A:A, Vöruskrá!E:E, "")), ""), IF(F987 = "Réttur", IFERROR(_xlfn.SINGLE(_xlfn.XLOOKUP(G987, Réttabanki!A:A, Réttabanki!AS:AS, "")), ""), "")))</f>
        <v/>
      </c>
      <c r="M987" s="26" t="str">
        <f>IF(OR(F987 = "", G987 = ""), "", IF(F987 = "Vara", IFERROR(_xlfn.SINGLE(_xlfn.XLOOKUP(G987, Vöruskrá!A:A, Vöruskrá!F:F, "")), ""), IF(F987 = "Réttur", IFERROR(_xlfn.SINGLE(_xlfn.XLOOKUP(G987, Réttabanki!A:A, Réttabanki!AT:AT, "")), ""), "")))</f>
        <v/>
      </c>
      <c r="N987" s="26" t="str">
        <f>IF(OR(F987 = "", G987 = ""), "", IF(F987 = "Vara", IFERROR(_xlfn.SINGLE(_xlfn.XLOOKUP(G987, Vöruskrá!A:A, Vöruskrá!G:G, "")), ""), IF(F987 = "Réttur", IFERROR(_xlfn.SINGLE(_xlfn.XLOOKUP(G987, Réttabanki!A:A, Réttabanki!AU:AU, "")), ""), "")))</f>
        <v/>
      </c>
      <c r="O987" s="26" t="str">
        <f>IF(OR(F987 = "", G987 = "", I987 = ""), "", IF(F987 = "Vara", IFERROR(_xlfn.SINGLE(_xlfn.XLOOKUP(G987, Vöruskrá!A:A, Vöruskrá!I:I, "")) * I987 / 100, ""), IF(F987 = "Réttur", IFERROR(_xlfn.SINGLE(_xlfn.XLOOKUP(G987, Réttabanki!A:A, Réttabanki!AV:AV, "")) * I987 / 100, ""), "")))</f>
        <v/>
      </c>
      <c r="P987" s="26" t="str">
        <f>IF(OR(F987 = "", G987 = "", I987 = ""), "", IF(F987 = "Vara", IFERROR(_xlfn.SINGLE(_xlfn.XLOOKUP(G987, Vöruskrá!A:A, Vöruskrá!J:J, "")) * I987 / 100, ""), IF(F987 = "Réttur", IFERROR(_xlfn.SINGLE(_xlfn.XLOOKUP(G987, Réttabanki!A:A, Réttabanki!AW:AW, "")) * I987 / 100, ""), "")))</f>
        <v/>
      </c>
      <c r="Q987" s="26" t="str">
        <f>IF(OR(F987 = "", G987 = "", I987 = ""), "", IF(F987 = "Vara", IFERROR(_xlfn.SINGLE(_xlfn.XLOOKUP(G987, Vöruskrá!A:A, Vöruskrá!N:N, "")) * I987 / 100, ""), IF(F987 = "Réttur", IFERROR(_xlfn.SINGLE(_xlfn.XLOOKUP(G987, Réttabanki!A:A, Réttabanki!BB:BB, "")) * I987 / 100, ""), "")))</f>
        <v/>
      </c>
    </row>
    <row r="988" spans="2:17">
      <c r="B988" s="33" t="str">
        <f>IF(A988&lt;&gt;"",CHOOSE(WEEKDAY(A988,2),"Mánudagur","Þriðjudagur","Miðvikudagur","Fimmtudagur","Föstudagur","Laugardagur","Sunnudagur"),IF(B987&lt;&gt;"",B987,""))</f>
        <v>Fimmtudagur</v>
      </c>
      <c r="C988" s="33">
        <f>IF(A988&lt;&gt;"",WEEKNUM(A988,21),IF(C987&lt;&gt;"",C987,""))</f>
        <v>27</v>
      </c>
      <c r="D988" s="34"/>
      <c r="E988" s="34"/>
      <c r="F988" s="34"/>
      <c r="G988" s="34"/>
      <c r="H988" s="34"/>
      <c r="I988" s="35"/>
      <c r="J988" s="35"/>
      <c r="K988" s="36"/>
      <c r="L988" s="26" t="str">
        <f>IF(OR(F988 = "", G988 = ""), "", IF(F988 = "Vara", IFERROR(_xlfn.SINGLE(_xlfn.XLOOKUP(G988, Vöruskrá!A:A, Vöruskrá!E:E, "")), ""), IF(F988 = "Réttur", IFERROR(_xlfn.SINGLE(_xlfn.XLOOKUP(G988, Réttabanki!A:A, Réttabanki!AS:AS, "")), ""), "")))</f>
        <v/>
      </c>
      <c r="M988" s="26" t="str">
        <f>IF(OR(F988 = "", G988 = ""), "", IF(F988 = "Vara", IFERROR(_xlfn.SINGLE(_xlfn.XLOOKUP(G988, Vöruskrá!A:A, Vöruskrá!F:F, "")), ""), IF(F988 = "Réttur", IFERROR(_xlfn.SINGLE(_xlfn.XLOOKUP(G988, Réttabanki!A:A, Réttabanki!AT:AT, "")), ""), "")))</f>
        <v/>
      </c>
      <c r="N988" s="26" t="str">
        <f>IF(OR(F988 = "", G988 = ""), "", IF(F988 = "Vara", IFERROR(_xlfn.SINGLE(_xlfn.XLOOKUP(G988, Vöruskrá!A:A, Vöruskrá!G:G, "")), ""), IF(F988 = "Réttur", IFERROR(_xlfn.SINGLE(_xlfn.XLOOKUP(G988, Réttabanki!A:A, Réttabanki!AU:AU, "")), ""), "")))</f>
        <v/>
      </c>
      <c r="O988" s="26" t="str">
        <f>IF(OR(F988 = "", G988 = "", I988 = ""), "", IF(F988 = "Vara", IFERROR(_xlfn.SINGLE(_xlfn.XLOOKUP(G988, Vöruskrá!A:A, Vöruskrá!I:I, "")) * I988 / 100, ""), IF(F988 = "Réttur", IFERROR(_xlfn.SINGLE(_xlfn.XLOOKUP(G988, Réttabanki!A:A, Réttabanki!AV:AV, "")) * I988 / 100, ""), "")))</f>
        <v/>
      </c>
      <c r="P988" s="26" t="str">
        <f>IF(OR(F988 = "", G988 = "", I988 = ""), "", IF(F988 = "Vara", IFERROR(_xlfn.SINGLE(_xlfn.XLOOKUP(G988, Vöruskrá!A:A, Vöruskrá!J:J, "")) * I988 / 100, ""), IF(F988 = "Réttur", IFERROR(_xlfn.SINGLE(_xlfn.XLOOKUP(G988, Réttabanki!A:A, Réttabanki!AW:AW, "")) * I988 / 100, ""), "")))</f>
        <v/>
      </c>
      <c r="Q988" s="26" t="str">
        <f>IF(OR(F988 = "", G988 = "", I988 = ""), "", IF(F988 = "Vara", IFERROR(_xlfn.SINGLE(_xlfn.XLOOKUP(G988, Vöruskrá!A:A, Vöruskrá!N:N, "")) * I988 / 100, ""), IF(F988 = "Réttur", IFERROR(_xlfn.SINGLE(_xlfn.XLOOKUP(G988, Réttabanki!A:A, Réttabanki!BB:BB, "")) * I988 / 100, ""), "")))</f>
        <v/>
      </c>
    </row>
    <row r="989" spans="2:17">
      <c r="B989" s="33" t="str">
        <f>IF(A989&lt;&gt;"",CHOOSE(WEEKDAY(A989,2),"Mánudagur","Þriðjudagur","Miðvikudagur","Fimmtudagur","Föstudagur","Laugardagur","Sunnudagur"),IF(B988&lt;&gt;"",B988,""))</f>
        <v>Fimmtudagur</v>
      </c>
      <c r="C989" s="33">
        <f>IF(A989&lt;&gt;"",WEEKNUM(A989,21),IF(C988&lt;&gt;"",C988,""))</f>
        <v>27</v>
      </c>
      <c r="D989" s="34"/>
      <c r="E989" s="34"/>
      <c r="F989" s="34"/>
      <c r="G989" s="34"/>
      <c r="H989" s="34"/>
      <c r="I989" s="35"/>
      <c r="J989" s="35"/>
      <c r="K989" s="36"/>
      <c r="L989" s="26" t="str">
        <f>IF(OR(F989 = "", G989 = ""), "", IF(F989 = "Vara", IFERROR(_xlfn.SINGLE(_xlfn.XLOOKUP(G989, Vöruskrá!A:A, Vöruskrá!E:E, "")), ""), IF(F989 = "Réttur", IFERROR(_xlfn.SINGLE(_xlfn.XLOOKUP(G989, Réttabanki!A:A, Réttabanki!AS:AS, "")), ""), "")))</f>
        <v/>
      </c>
      <c r="M989" s="26" t="str">
        <f>IF(OR(F989 = "", G989 = ""), "", IF(F989 = "Vara", IFERROR(_xlfn.SINGLE(_xlfn.XLOOKUP(G989, Vöruskrá!A:A, Vöruskrá!F:F, "")), ""), IF(F989 = "Réttur", IFERROR(_xlfn.SINGLE(_xlfn.XLOOKUP(G989, Réttabanki!A:A, Réttabanki!AT:AT, "")), ""), "")))</f>
        <v/>
      </c>
      <c r="N989" s="26" t="str">
        <f>IF(OR(F989 = "", G989 = ""), "", IF(F989 = "Vara", IFERROR(_xlfn.SINGLE(_xlfn.XLOOKUP(G989, Vöruskrá!A:A, Vöruskrá!G:G, "")), ""), IF(F989 = "Réttur", IFERROR(_xlfn.SINGLE(_xlfn.XLOOKUP(G989, Réttabanki!A:A, Réttabanki!AU:AU, "")), ""), "")))</f>
        <v/>
      </c>
      <c r="O989" s="26" t="str">
        <f>IF(OR(F989 = "", G989 = "", I989 = ""), "", IF(F989 = "Vara", IFERROR(_xlfn.SINGLE(_xlfn.XLOOKUP(G989, Vöruskrá!A:A, Vöruskrá!I:I, "")) * I989 / 100, ""), IF(F989 = "Réttur", IFERROR(_xlfn.SINGLE(_xlfn.XLOOKUP(G989, Réttabanki!A:A, Réttabanki!AV:AV, "")) * I989 / 100, ""), "")))</f>
        <v/>
      </c>
      <c r="P989" s="26" t="str">
        <f>IF(OR(F989 = "", G989 = "", I989 = ""), "", IF(F989 = "Vara", IFERROR(_xlfn.SINGLE(_xlfn.XLOOKUP(G989, Vöruskrá!A:A, Vöruskrá!J:J, "")) * I989 / 100, ""), IF(F989 = "Réttur", IFERROR(_xlfn.SINGLE(_xlfn.XLOOKUP(G989, Réttabanki!A:A, Réttabanki!AW:AW, "")) * I989 / 100, ""), "")))</f>
        <v/>
      </c>
      <c r="Q989" s="26" t="str">
        <f>IF(OR(F989 = "", G989 = "", I989 = ""), "", IF(F989 = "Vara", IFERROR(_xlfn.SINGLE(_xlfn.XLOOKUP(G989, Vöruskrá!A:A, Vöruskrá!N:N, "")) * I989 / 100, ""), IF(F989 = "Réttur", IFERROR(_xlfn.SINGLE(_xlfn.XLOOKUP(G989, Réttabanki!A:A, Réttabanki!BB:BB, "")) * I989 / 100, ""), "")))</f>
        <v/>
      </c>
    </row>
    <row r="990" spans="2:17">
      <c r="B990" s="33" t="str">
        <f>IF(A990&lt;&gt;"",CHOOSE(WEEKDAY(A990,2),"Mánudagur","Þriðjudagur","Miðvikudagur","Fimmtudagur","Föstudagur","Laugardagur","Sunnudagur"),IF(B989&lt;&gt;"",B989,""))</f>
        <v>Fimmtudagur</v>
      </c>
      <c r="C990" s="33">
        <f>IF(A990&lt;&gt;"",WEEKNUM(A990,21),IF(C989&lt;&gt;"",C989,""))</f>
        <v>27</v>
      </c>
      <c r="D990" s="34"/>
      <c r="E990" s="34"/>
      <c r="F990" s="34"/>
      <c r="G990" s="34"/>
      <c r="H990" s="34"/>
      <c r="I990" s="35"/>
      <c r="J990" s="35"/>
      <c r="K990" s="36"/>
      <c r="L990" s="26" t="str">
        <f>IF(OR(F990 = "", G990 = ""), "", IF(F990 = "Vara", IFERROR(_xlfn.SINGLE(_xlfn.XLOOKUP(G990, Vöruskrá!A:A, Vöruskrá!E:E, "")), ""), IF(F990 = "Réttur", IFERROR(_xlfn.SINGLE(_xlfn.XLOOKUP(G990, Réttabanki!A:A, Réttabanki!AS:AS, "")), ""), "")))</f>
        <v/>
      </c>
      <c r="M990" s="26" t="str">
        <f>IF(OR(F990 = "", G990 = ""), "", IF(F990 = "Vara", IFERROR(_xlfn.SINGLE(_xlfn.XLOOKUP(G990, Vöruskrá!A:A, Vöruskrá!F:F, "")), ""), IF(F990 = "Réttur", IFERROR(_xlfn.SINGLE(_xlfn.XLOOKUP(G990, Réttabanki!A:A, Réttabanki!AT:AT, "")), ""), "")))</f>
        <v/>
      </c>
      <c r="N990" s="26" t="str">
        <f>IF(OR(F990 = "", G990 = ""), "", IF(F990 = "Vara", IFERROR(_xlfn.SINGLE(_xlfn.XLOOKUP(G990, Vöruskrá!A:A, Vöruskrá!G:G, "")), ""), IF(F990 = "Réttur", IFERROR(_xlfn.SINGLE(_xlfn.XLOOKUP(G990, Réttabanki!A:A, Réttabanki!AU:AU, "")), ""), "")))</f>
        <v/>
      </c>
      <c r="O990" s="26" t="str">
        <f>IF(OR(F990 = "", G990 = "", I990 = ""), "", IF(F990 = "Vara", IFERROR(_xlfn.SINGLE(_xlfn.XLOOKUP(G990, Vöruskrá!A:A, Vöruskrá!I:I, "")) * I990 / 100, ""), IF(F990 = "Réttur", IFERROR(_xlfn.SINGLE(_xlfn.XLOOKUP(G990, Réttabanki!A:A, Réttabanki!AV:AV, "")) * I990 / 100, ""), "")))</f>
        <v/>
      </c>
      <c r="P990" s="26" t="str">
        <f>IF(OR(F990 = "", G990 = "", I990 = ""), "", IF(F990 = "Vara", IFERROR(_xlfn.SINGLE(_xlfn.XLOOKUP(G990, Vöruskrá!A:A, Vöruskrá!J:J, "")) * I990 / 100, ""), IF(F990 = "Réttur", IFERROR(_xlfn.SINGLE(_xlfn.XLOOKUP(G990, Réttabanki!A:A, Réttabanki!AW:AW, "")) * I990 / 100, ""), "")))</f>
        <v/>
      </c>
      <c r="Q990" s="26" t="str">
        <f>IF(OR(F990 = "", G990 = "", I990 = ""), "", IF(F990 = "Vara", IFERROR(_xlfn.SINGLE(_xlfn.XLOOKUP(G990, Vöruskrá!A:A, Vöruskrá!N:N, "")) * I990 / 100, ""), IF(F990 = "Réttur", IFERROR(_xlfn.SINGLE(_xlfn.XLOOKUP(G990, Réttabanki!A:A, Réttabanki!BB:BB, "")) * I990 / 100, ""), "")))</f>
        <v/>
      </c>
    </row>
    <row r="991" spans="2:17">
      <c r="B991" s="33" t="str">
        <f>IF(A991&lt;&gt;"",CHOOSE(WEEKDAY(A991,2),"Mánudagur","Þriðjudagur","Miðvikudagur","Fimmtudagur","Föstudagur","Laugardagur","Sunnudagur"),IF(B990&lt;&gt;"",B990,""))</f>
        <v>Fimmtudagur</v>
      </c>
      <c r="C991" s="33">
        <f>IF(A991&lt;&gt;"",WEEKNUM(A991,21),IF(C990&lt;&gt;"",C990,""))</f>
        <v>27</v>
      </c>
      <c r="D991" s="34"/>
      <c r="E991" s="34"/>
      <c r="F991" s="34"/>
      <c r="G991" s="34"/>
      <c r="H991" s="34"/>
      <c r="I991" s="35"/>
      <c r="J991" s="35"/>
      <c r="K991" s="36"/>
      <c r="L991" s="26" t="str">
        <f>IF(OR(F991 = "", G991 = ""), "", IF(F991 = "Vara", IFERROR(_xlfn.SINGLE(_xlfn.XLOOKUP(G991, Vöruskrá!A:A, Vöruskrá!E:E, "")), ""), IF(F991 = "Réttur", IFERROR(_xlfn.SINGLE(_xlfn.XLOOKUP(G991, Réttabanki!A:A, Réttabanki!AS:AS, "")), ""), "")))</f>
        <v/>
      </c>
      <c r="M991" s="26" t="str">
        <f>IF(OR(F991 = "", G991 = ""), "", IF(F991 = "Vara", IFERROR(_xlfn.SINGLE(_xlfn.XLOOKUP(G991, Vöruskrá!A:A, Vöruskrá!F:F, "")), ""), IF(F991 = "Réttur", IFERROR(_xlfn.SINGLE(_xlfn.XLOOKUP(G991, Réttabanki!A:A, Réttabanki!AT:AT, "")), ""), "")))</f>
        <v/>
      </c>
      <c r="N991" s="26" t="str">
        <f>IF(OR(F991 = "", G991 = ""), "", IF(F991 = "Vara", IFERROR(_xlfn.SINGLE(_xlfn.XLOOKUP(G991, Vöruskrá!A:A, Vöruskrá!G:G, "")), ""), IF(F991 = "Réttur", IFERROR(_xlfn.SINGLE(_xlfn.XLOOKUP(G991, Réttabanki!A:A, Réttabanki!AU:AU, "")), ""), "")))</f>
        <v/>
      </c>
      <c r="O991" s="26" t="str">
        <f>IF(OR(F991 = "", G991 = "", I991 = ""), "", IF(F991 = "Vara", IFERROR(_xlfn.SINGLE(_xlfn.XLOOKUP(G991, Vöruskrá!A:A, Vöruskrá!I:I, "")) * I991 / 100, ""), IF(F991 = "Réttur", IFERROR(_xlfn.SINGLE(_xlfn.XLOOKUP(G991, Réttabanki!A:A, Réttabanki!AV:AV, "")) * I991 / 100, ""), "")))</f>
        <v/>
      </c>
      <c r="P991" s="26" t="str">
        <f>IF(OR(F991 = "", G991 = "", I991 = ""), "", IF(F991 = "Vara", IFERROR(_xlfn.SINGLE(_xlfn.XLOOKUP(G991, Vöruskrá!A:A, Vöruskrá!J:J, "")) * I991 / 100, ""), IF(F991 = "Réttur", IFERROR(_xlfn.SINGLE(_xlfn.XLOOKUP(G991, Réttabanki!A:A, Réttabanki!AW:AW, "")) * I991 / 100, ""), "")))</f>
        <v/>
      </c>
      <c r="Q991" s="26" t="str">
        <f>IF(OR(F991 = "", G991 = "", I991 = ""), "", IF(F991 = "Vara", IFERROR(_xlfn.SINGLE(_xlfn.XLOOKUP(G991, Vöruskrá!A:A, Vöruskrá!N:N, "")) * I991 / 100, ""), IF(F991 = "Réttur", IFERROR(_xlfn.SINGLE(_xlfn.XLOOKUP(G991, Réttabanki!A:A, Réttabanki!BB:BB, "")) * I991 / 100, ""), "")))</f>
        <v/>
      </c>
    </row>
    <row r="992" spans="2:17">
      <c r="B992" s="33" t="str">
        <f>IF(A992&lt;&gt;"",CHOOSE(WEEKDAY(A992,2),"Mánudagur","Þriðjudagur","Miðvikudagur","Fimmtudagur","Föstudagur","Laugardagur","Sunnudagur"),IF(B991&lt;&gt;"",B991,""))</f>
        <v>Fimmtudagur</v>
      </c>
      <c r="C992" s="33">
        <f>IF(A992&lt;&gt;"",WEEKNUM(A992,21),IF(C991&lt;&gt;"",C991,""))</f>
        <v>27</v>
      </c>
      <c r="D992" s="34"/>
      <c r="E992" s="34"/>
      <c r="F992" s="34"/>
      <c r="G992" s="34"/>
      <c r="H992" s="34"/>
      <c r="I992" s="35"/>
      <c r="J992" s="35"/>
      <c r="K992" s="36"/>
      <c r="L992" s="26" t="str">
        <f>IF(OR(F992 = "", G992 = ""), "", IF(F992 = "Vara", IFERROR(_xlfn.SINGLE(_xlfn.XLOOKUP(G992, Vöruskrá!A:A, Vöruskrá!E:E, "")), ""), IF(F992 = "Réttur", IFERROR(_xlfn.SINGLE(_xlfn.XLOOKUP(G992, Réttabanki!A:A, Réttabanki!AS:AS, "")), ""), "")))</f>
        <v/>
      </c>
      <c r="M992" s="26" t="str">
        <f>IF(OR(F992 = "", G992 = ""), "", IF(F992 = "Vara", IFERROR(_xlfn.SINGLE(_xlfn.XLOOKUP(G992, Vöruskrá!A:A, Vöruskrá!F:F, "")), ""), IF(F992 = "Réttur", IFERROR(_xlfn.SINGLE(_xlfn.XLOOKUP(G992, Réttabanki!A:A, Réttabanki!AT:AT, "")), ""), "")))</f>
        <v/>
      </c>
      <c r="N992" s="26" t="str">
        <f>IF(OR(F992 = "", G992 = ""), "", IF(F992 = "Vara", IFERROR(_xlfn.SINGLE(_xlfn.XLOOKUP(G992, Vöruskrá!A:A, Vöruskrá!G:G, "")), ""), IF(F992 = "Réttur", IFERROR(_xlfn.SINGLE(_xlfn.XLOOKUP(G992, Réttabanki!A:A, Réttabanki!AU:AU, "")), ""), "")))</f>
        <v/>
      </c>
      <c r="O992" s="26" t="str">
        <f>IF(OR(F992 = "", G992 = "", I992 = ""), "", IF(F992 = "Vara", IFERROR(_xlfn.SINGLE(_xlfn.XLOOKUP(G992, Vöruskrá!A:A, Vöruskrá!I:I, "")) * I992 / 100, ""), IF(F992 = "Réttur", IFERROR(_xlfn.SINGLE(_xlfn.XLOOKUP(G992, Réttabanki!A:A, Réttabanki!AV:AV, "")) * I992 / 100, ""), "")))</f>
        <v/>
      </c>
      <c r="P992" s="26" t="str">
        <f>IF(OR(F992 = "", G992 = "", I992 = ""), "", IF(F992 = "Vara", IFERROR(_xlfn.SINGLE(_xlfn.XLOOKUP(G992, Vöruskrá!A:A, Vöruskrá!J:J, "")) * I992 / 100, ""), IF(F992 = "Réttur", IFERROR(_xlfn.SINGLE(_xlfn.XLOOKUP(G992, Réttabanki!A:A, Réttabanki!AW:AW, "")) * I992 / 100, ""), "")))</f>
        <v/>
      </c>
      <c r="Q992" s="26" t="str">
        <f>IF(OR(F992 = "", G992 = "", I992 = ""), "", IF(F992 = "Vara", IFERROR(_xlfn.SINGLE(_xlfn.XLOOKUP(G992, Vöruskrá!A:A, Vöruskrá!N:N, "")) * I992 / 100, ""), IF(F992 = "Réttur", IFERROR(_xlfn.SINGLE(_xlfn.XLOOKUP(G992, Réttabanki!A:A, Réttabanki!BB:BB, "")) * I992 / 100, ""), "")))</f>
        <v/>
      </c>
    </row>
    <row r="993" spans="2:17">
      <c r="B993" s="33" t="str">
        <f>IF(A993&lt;&gt;"",CHOOSE(WEEKDAY(A993,2),"Mánudagur","Þriðjudagur","Miðvikudagur","Fimmtudagur","Föstudagur","Laugardagur","Sunnudagur"),IF(B992&lt;&gt;"",B992,""))</f>
        <v>Fimmtudagur</v>
      </c>
      <c r="C993" s="33">
        <f>IF(A993&lt;&gt;"",WEEKNUM(A993,21),IF(C992&lt;&gt;"",C992,""))</f>
        <v>27</v>
      </c>
      <c r="D993" s="34"/>
      <c r="E993" s="34"/>
      <c r="F993" s="34"/>
      <c r="G993" s="34"/>
      <c r="H993" s="34"/>
      <c r="I993" s="35"/>
      <c r="J993" s="35"/>
      <c r="K993" s="36"/>
      <c r="L993" s="26" t="str">
        <f>IF(OR(F993 = "", G993 = ""), "", IF(F993 = "Vara", IFERROR(_xlfn.SINGLE(_xlfn.XLOOKUP(G993, Vöruskrá!A:A, Vöruskrá!E:E, "")), ""), IF(F993 = "Réttur", IFERROR(_xlfn.SINGLE(_xlfn.XLOOKUP(G993, Réttabanki!A:A, Réttabanki!AS:AS, "")), ""), "")))</f>
        <v/>
      </c>
      <c r="M993" s="26" t="str">
        <f>IF(OR(F993 = "", G993 = ""), "", IF(F993 = "Vara", IFERROR(_xlfn.SINGLE(_xlfn.XLOOKUP(G993, Vöruskrá!A:A, Vöruskrá!F:F, "")), ""), IF(F993 = "Réttur", IFERROR(_xlfn.SINGLE(_xlfn.XLOOKUP(G993, Réttabanki!A:A, Réttabanki!AT:AT, "")), ""), "")))</f>
        <v/>
      </c>
      <c r="N993" s="26" t="str">
        <f>IF(OR(F993 = "", G993 = ""), "", IF(F993 = "Vara", IFERROR(_xlfn.SINGLE(_xlfn.XLOOKUP(G993, Vöruskrá!A:A, Vöruskrá!G:G, "")), ""), IF(F993 = "Réttur", IFERROR(_xlfn.SINGLE(_xlfn.XLOOKUP(G993, Réttabanki!A:A, Réttabanki!AU:AU, "")), ""), "")))</f>
        <v/>
      </c>
      <c r="O993" s="26" t="str">
        <f>IF(OR(F993 = "", G993 = "", I993 = ""), "", IF(F993 = "Vara", IFERROR(_xlfn.SINGLE(_xlfn.XLOOKUP(G993, Vöruskrá!A:A, Vöruskrá!I:I, "")) * I993 / 100, ""), IF(F993 = "Réttur", IFERROR(_xlfn.SINGLE(_xlfn.XLOOKUP(G993, Réttabanki!A:A, Réttabanki!AV:AV, "")) * I993 / 100, ""), "")))</f>
        <v/>
      </c>
      <c r="P993" s="26" t="str">
        <f>IF(OR(F993 = "", G993 = "", I993 = ""), "", IF(F993 = "Vara", IFERROR(_xlfn.SINGLE(_xlfn.XLOOKUP(G993, Vöruskrá!A:A, Vöruskrá!J:J, "")) * I993 / 100, ""), IF(F993 = "Réttur", IFERROR(_xlfn.SINGLE(_xlfn.XLOOKUP(G993, Réttabanki!A:A, Réttabanki!AW:AW, "")) * I993 / 100, ""), "")))</f>
        <v/>
      </c>
      <c r="Q993" s="26" t="str">
        <f>IF(OR(F993 = "", G993 = "", I993 = ""), "", IF(F993 = "Vara", IFERROR(_xlfn.SINGLE(_xlfn.XLOOKUP(G993, Vöruskrá!A:A, Vöruskrá!N:N, "")) * I993 / 100, ""), IF(F993 = "Réttur", IFERROR(_xlfn.SINGLE(_xlfn.XLOOKUP(G993, Réttabanki!A:A, Réttabanki!BB:BB, "")) * I993 / 100, ""), "")))</f>
        <v/>
      </c>
    </row>
    <row r="994" spans="2:17">
      <c r="B994" s="33" t="str">
        <f>IF(A994&lt;&gt;"",CHOOSE(WEEKDAY(A994,2),"Mánudagur","Þriðjudagur","Miðvikudagur","Fimmtudagur","Föstudagur","Laugardagur","Sunnudagur"),IF(B993&lt;&gt;"",B993,""))</f>
        <v>Fimmtudagur</v>
      </c>
      <c r="C994" s="33">
        <f>IF(A994&lt;&gt;"",WEEKNUM(A994,21),IF(C993&lt;&gt;"",C993,""))</f>
        <v>27</v>
      </c>
      <c r="D994" s="34"/>
      <c r="E994" s="34"/>
      <c r="F994" s="34"/>
      <c r="G994" s="34"/>
      <c r="H994" s="34"/>
      <c r="I994" s="35"/>
      <c r="J994" s="35"/>
      <c r="K994" s="36"/>
      <c r="L994" s="26" t="str">
        <f>IF(OR(F994 = "", G994 = ""), "", IF(F994 = "Vara", IFERROR(_xlfn.SINGLE(_xlfn.XLOOKUP(G994, Vöruskrá!A:A, Vöruskrá!E:E, "")), ""), IF(F994 = "Réttur", IFERROR(_xlfn.SINGLE(_xlfn.XLOOKUP(G994, Réttabanki!A:A, Réttabanki!AS:AS, "")), ""), "")))</f>
        <v/>
      </c>
      <c r="M994" s="26" t="str">
        <f>IF(OR(F994 = "", G994 = ""), "", IF(F994 = "Vara", IFERROR(_xlfn.SINGLE(_xlfn.XLOOKUP(G994, Vöruskrá!A:A, Vöruskrá!F:F, "")), ""), IF(F994 = "Réttur", IFERROR(_xlfn.SINGLE(_xlfn.XLOOKUP(G994, Réttabanki!A:A, Réttabanki!AT:AT, "")), ""), "")))</f>
        <v/>
      </c>
      <c r="N994" s="26" t="str">
        <f>IF(OR(F994 = "", G994 = ""), "", IF(F994 = "Vara", IFERROR(_xlfn.SINGLE(_xlfn.XLOOKUP(G994, Vöruskrá!A:A, Vöruskrá!G:G, "")), ""), IF(F994 = "Réttur", IFERROR(_xlfn.SINGLE(_xlfn.XLOOKUP(G994, Réttabanki!A:A, Réttabanki!AU:AU, "")), ""), "")))</f>
        <v/>
      </c>
      <c r="O994" s="26" t="str">
        <f>IF(OR(F994 = "", G994 = "", I994 = ""), "", IF(F994 = "Vara", IFERROR(_xlfn.SINGLE(_xlfn.XLOOKUP(G994, Vöruskrá!A:A, Vöruskrá!I:I, "")) * I994 / 100, ""), IF(F994 = "Réttur", IFERROR(_xlfn.SINGLE(_xlfn.XLOOKUP(G994, Réttabanki!A:A, Réttabanki!AV:AV, "")) * I994 / 100, ""), "")))</f>
        <v/>
      </c>
      <c r="P994" s="26" t="str">
        <f>IF(OR(F994 = "", G994 = "", I994 = ""), "", IF(F994 = "Vara", IFERROR(_xlfn.SINGLE(_xlfn.XLOOKUP(G994, Vöruskrá!A:A, Vöruskrá!J:J, "")) * I994 / 100, ""), IF(F994 = "Réttur", IFERROR(_xlfn.SINGLE(_xlfn.XLOOKUP(G994, Réttabanki!A:A, Réttabanki!AW:AW, "")) * I994 / 100, ""), "")))</f>
        <v/>
      </c>
      <c r="Q994" s="26" t="str">
        <f>IF(OR(F994 = "", G994 = "", I994 = ""), "", IF(F994 = "Vara", IFERROR(_xlfn.SINGLE(_xlfn.XLOOKUP(G994, Vöruskrá!A:A, Vöruskrá!N:N, "")) * I994 / 100, ""), IF(F994 = "Réttur", IFERROR(_xlfn.SINGLE(_xlfn.XLOOKUP(G994, Réttabanki!A:A, Réttabanki!BB:BB, "")) * I994 / 100, ""), "")))</f>
        <v/>
      </c>
    </row>
    <row r="995" spans="2:17">
      <c r="B995" s="33" t="str">
        <f>IF(A995&lt;&gt;"",CHOOSE(WEEKDAY(A995,2),"Mánudagur","Þriðjudagur","Miðvikudagur","Fimmtudagur","Föstudagur","Laugardagur","Sunnudagur"),IF(B994&lt;&gt;"",B994,""))</f>
        <v>Fimmtudagur</v>
      </c>
      <c r="C995" s="33">
        <f>IF(A995&lt;&gt;"",WEEKNUM(A995,21),IF(C994&lt;&gt;"",C994,""))</f>
        <v>27</v>
      </c>
      <c r="D995" s="34"/>
      <c r="E995" s="34"/>
      <c r="F995" s="34"/>
      <c r="G995" s="34"/>
      <c r="H995" s="34"/>
      <c r="I995" s="35"/>
      <c r="J995" s="35"/>
      <c r="K995" s="36"/>
      <c r="L995" s="26" t="str">
        <f>IF(OR(F995 = "", G995 = ""), "", IF(F995 = "Vara", IFERROR(_xlfn.SINGLE(_xlfn.XLOOKUP(G995, Vöruskrá!A:A, Vöruskrá!E:E, "")), ""), IF(F995 = "Réttur", IFERROR(_xlfn.SINGLE(_xlfn.XLOOKUP(G995, Réttabanki!A:A, Réttabanki!AS:AS, "")), ""), "")))</f>
        <v/>
      </c>
      <c r="M995" s="26" t="str">
        <f>IF(OR(F995 = "", G995 = ""), "", IF(F995 = "Vara", IFERROR(_xlfn.SINGLE(_xlfn.XLOOKUP(G995, Vöruskrá!A:A, Vöruskrá!F:F, "")), ""), IF(F995 = "Réttur", IFERROR(_xlfn.SINGLE(_xlfn.XLOOKUP(G995, Réttabanki!A:A, Réttabanki!AT:AT, "")), ""), "")))</f>
        <v/>
      </c>
      <c r="N995" s="26" t="str">
        <f>IF(OR(F995 = "", G995 = ""), "", IF(F995 = "Vara", IFERROR(_xlfn.SINGLE(_xlfn.XLOOKUP(G995, Vöruskrá!A:A, Vöruskrá!G:G, "")), ""), IF(F995 = "Réttur", IFERROR(_xlfn.SINGLE(_xlfn.XLOOKUP(G995, Réttabanki!A:A, Réttabanki!AU:AU, "")), ""), "")))</f>
        <v/>
      </c>
      <c r="O995" s="26" t="str">
        <f>IF(OR(F995 = "", G995 = "", I995 = ""), "", IF(F995 = "Vara", IFERROR(_xlfn.SINGLE(_xlfn.XLOOKUP(G995, Vöruskrá!A:A, Vöruskrá!I:I, "")) * I995 / 100, ""), IF(F995 = "Réttur", IFERROR(_xlfn.SINGLE(_xlfn.XLOOKUP(G995, Réttabanki!A:A, Réttabanki!AV:AV, "")) * I995 / 100, ""), "")))</f>
        <v/>
      </c>
      <c r="P995" s="26" t="str">
        <f>IF(OR(F995 = "", G995 = "", I995 = ""), "", IF(F995 = "Vara", IFERROR(_xlfn.SINGLE(_xlfn.XLOOKUP(G995, Vöruskrá!A:A, Vöruskrá!J:J, "")) * I995 / 100, ""), IF(F995 = "Réttur", IFERROR(_xlfn.SINGLE(_xlfn.XLOOKUP(G995, Réttabanki!A:A, Réttabanki!AW:AW, "")) * I995 / 100, ""), "")))</f>
        <v/>
      </c>
      <c r="Q995" s="26" t="str">
        <f>IF(OR(F995 = "", G995 = "", I995 = ""), "", IF(F995 = "Vara", IFERROR(_xlfn.SINGLE(_xlfn.XLOOKUP(G995, Vöruskrá!A:A, Vöruskrá!N:N, "")) * I995 / 100, ""), IF(F995 = "Réttur", IFERROR(_xlfn.SINGLE(_xlfn.XLOOKUP(G995, Réttabanki!A:A, Réttabanki!BB:BB, "")) * I995 / 100, ""), "")))</f>
        <v/>
      </c>
    </row>
    <row r="996" spans="2:17">
      <c r="B996" s="33" t="str">
        <f>IF(A996&lt;&gt;"",CHOOSE(WEEKDAY(A996,2),"Mánudagur","Þriðjudagur","Miðvikudagur","Fimmtudagur","Föstudagur","Laugardagur","Sunnudagur"),IF(B995&lt;&gt;"",B995,""))</f>
        <v>Fimmtudagur</v>
      </c>
      <c r="C996" s="33">
        <f>IF(A996&lt;&gt;"",WEEKNUM(A996,21),IF(C995&lt;&gt;"",C995,""))</f>
        <v>27</v>
      </c>
      <c r="D996" s="34"/>
      <c r="E996" s="34"/>
      <c r="F996" s="34"/>
      <c r="G996" s="34"/>
      <c r="H996" s="34"/>
      <c r="I996" s="35"/>
      <c r="J996" s="35"/>
      <c r="K996" s="36"/>
      <c r="L996" s="26" t="str">
        <f>IF(OR(F996 = "", G996 = ""), "", IF(F996 = "Vara", IFERROR(_xlfn.SINGLE(_xlfn.XLOOKUP(G996, Vöruskrá!A:A, Vöruskrá!E:E, "")), ""), IF(F996 = "Réttur", IFERROR(_xlfn.SINGLE(_xlfn.XLOOKUP(G996, Réttabanki!A:A, Réttabanki!AS:AS, "")), ""), "")))</f>
        <v/>
      </c>
      <c r="M996" s="26" t="str">
        <f>IF(OR(F996 = "", G996 = ""), "", IF(F996 = "Vara", IFERROR(_xlfn.SINGLE(_xlfn.XLOOKUP(G996, Vöruskrá!A:A, Vöruskrá!F:F, "")), ""), IF(F996 = "Réttur", IFERROR(_xlfn.SINGLE(_xlfn.XLOOKUP(G996, Réttabanki!A:A, Réttabanki!AT:AT, "")), ""), "")))</f>
        <v/>
      </c>
      <c r="N996" s="26" t="str">
        <f>IF(OR(F996 = "", G996 = ""), "", IF(F996 = "Vara", IFERROR(_xlfn.SINGLE(_xlfn.XLOOKUP(G996, Vöruskrá!A:A, Vöruskrá!G:G, "")), ""), IF(F996 = "Réttur", IFERROR(_xlfn.SINGLE(_xlfn.XLOOKUP(G996, Réttabanki!A:A, Réttabanki!AU:AU, "")), ""), "")))</f>
        <v/>
      </c>
      <c r="O996" s="26" t="str">
        <f>IF(OR(F996 = "", G996 = "", I996 = ""), "", IF(F996 = "Vara", IFERROR(_xlfn.SINGLE(_xlfn.XLOOKUP(G996, Vöruskrá!A:A, Vöruskrá!I:I, "")) * I996 / 100, ""), IF(F996 = "Réttur", IFERROR(_xlfn.SINGLE(_xlfn.XLOOKUP(G996, Réttabanki!A:A, Réttabanki!AV:AV, "")) * I996 / 100, ""), "")))</f>
        <v/>
      </c>
      <c r="P996" s="26" t="str">
        <f>IF(OR(F996 = "", G996 = "", I996 = ""), "", IF(F996 = "Vara", IFERROR(_xlfn.SINGLE(_xlfn.XLOOKUP(G996, Vöruskrá!A:A, Vöruskrá!J:J, "")) * I996 / 100, ""), IF(F996 = "Réttur", IFERROR(_xlfn.SINGLE(_xlfn.XLOOKUP(G996, Réttabanki!A:A, Réttabanki!AW:AW, "")) * I996 / 100, ""), "")))</f>
        <v/>
      </c>
      <c r="Q996" s="26" t="str">
        <f>IF(OR(F996 = "", G996 = "", I996 = ""), "", IF(F996 = "Vara", IFERROR(_xlfn.SINGLE(_xlfn.XLOOKUP(G996, Vöruskrá!A:A, Vöruskrá!N:N, "")) * I996 / 100, ""), IF(F996 = "Réttur", IFERROR(_xlfn.SINGLE(_xlfn.XLOOKUP(G996, Réttabanki!A:A, Réttabanki!BB:BB, "")) * I996 / 100, ""), "")))</f>
        <v/>
      </c>
    </row>
    <row r="997" spans="2:17">
      <c r="B997" s="33" t="str">
        <f>IF(A997&lt;&gt;"",CHOOSE(WEEKDAY(A997,2),"Mánudagur","Þriðjudagur","Miðvikudagur","Fimmtudagur","Föstudagur","Laugardagur","Sunnudagur"),IF(B996&lt;&gt;"",B996,""))</f>
        <v>Fimmtudagur</v>
      </c>
      <c r="C997" s="33">
        <f>IF(A997&lt;&gt;"",WEEKNUM(A997,21),IF(C996&lt;&gt;"",C996,""))</f>
        <v>27</v>
      </c>
      <c r="D997" s="34"/>
      <c r="E997" s="34"/>
      <c r="F997" s="34"/>
      <c r="G997" s="34"/>
      <c r="H997" s="34"/>
      <c r="I997" s="35"/>
      <c r="J997" s="35"/>
      <c r="K997" s="36"/>
      <c r="L997" s="26" t="str">
        <f>IF(OR(F997 = "", G997 = ""), "", IF(F997 = "Vara", IFERROR(_xlfn.SINGLE(_xlfn.XLOOKUP(G997, Vöruskrá!A:A, Vöruskrá!E:E, "")), ""), IF(F997 = "Réttur", IFERROR(_xlfn.SINGLE(_xlfn.XLOOKUP(G997, Réttabanki!A:A, Réttabanki!AS:AS, "")), ""), "")))</f>
        <v/>
      </c>
      <c r="M997" s="26" t="str">
        <f>IF(OR(F997 = "", G997 = ""), "", IF(F997 = "Vara", IFERROR(_xlfn.SINGLE(_xlfn.XLOOKUP(G997, Vöruskrá!A:A, Vöruskrá!F:F, "")), ""), IF(F997 = "Réttur", IFERROR(_xlfn.SINGLE(_xlfn.XLOOKUP(G997, Réttabanki!A:A, Réttabanki!AT:AT, "")), ""), "")))</f>
        <v/>
      </c>
      <c r="N997" s="26" t="str">
        <f>IF(OR(F997 = "", G997 = ""), "", IF(F997 = "Vara", IFERROR(_xlfn.SINGLE(_xlfn.XLOOKUP(G997, Vöruskrá!A:A, Vöruskrá!G:G, "")), ""), IF(F997 = "Réttur", IFERROR(_xlfn.SINGLE(_xlfn.XLOOKUP(G997, Réttabanki!A:A, Réttabanki!AU:AU, "")), ""), "")))</f>
        <v/>
      </c>
      <c r="O997" s="26" t="str">
        <f>IF(OR(F997 = "", G997 = "", I997 = ""), "", IF(F997 = "Vara", IFERROR(_xlfn.SINGLE(_xlfn.XLOOKUP(G997, Vöruskrá!A:A, Vöruskrá!I:I, "")) * I997 / 100, ""), IF(F997 = "Réttur", IFERROR(_xlfn.SINGLE(_xlfn.XLOOKUP(G997, Réttabanki!A:A, Réttabanki!AV:AV, "")) * I997 / 100, ""), "")))</f>
        <v/>
      </c>
      <c r="P997" s="26" t="str">
        <f>IF(OR(F997 = "", G997 = "", I997 = ""), "", IF(F997 = "Vara", IFERROR(_xlfn.SINGLE(_xlfn.XLOOKUP(G997, Vöruskrá!A:A, Vöruskrá!J:J, "")) * I997 / 100, ""), IF(F997 = "Réttur", IFERROR(_xlfn.SINGLE(_xlfn.XLOOKUP(G997, Réttabanki!A:A, Réttabanki!AW:AW, "")) * I997 / 100, ""), "")))</f>
        <v/>
      </c>
      <c r="Q997" s="26" t="str">
        <f>IF(OR(F997 = "", G997 = "", I997 = ""), "", IF(F997 = "Vara", IFERROR(_xlfn.SINGLE(_xlfn.XLOOKUP(G997, Vöruskrá!A:A, Vöruskrá!N:N, "")) * I997 / 100, ""), IF(F997 = "Réttur", IFERROR(_xlfn.SINGLE(_xlfn.XLOOKUP(G997, Réttabanki!A:A, Réttabanki!BB:BB, "")) * I997 / 100, ""), "")))</f>
        <v/>
      </c>
    </row>
    <row r="998" spans="2:17">
      <c r="B998" s="33" t="str">
        <f>IF(A998&lt;&gt;"",CHOOSE(WEEKDAY(A998,2),"Mánudagur","Þriðjudagur","Miðvikudagur","Fimmtudagur","Föstudagur","Laugardagur","Sunnudagur"),IF(B997&lt;&gt;"",B997,""))</f>
        <v>Fimmtudagur</v>
      </c>
      <c r="C998" s="33">
        <f>IF(A998&lt;&gt;"",WEEKNUM(A998,21),IF(C997&lt;&gt;"",C997,""))</f>
        <v>27</v>
      </c>
      <c r="D998" s="34"/>
      <c r="E998" s="34"/>
      <c r="F998" s="34"/>
      <c r="G998" s="34"/>
      <c r="H998" s="34"/>
      <c r="I998" s="35"/>
      <c r="J998" s="35"/>
      <c r="K998" s="36"/>
      <c r="L998" s="26" t="str">
        <f>IF(OR(F998 = "", G998 = ""), "", IF(F998 = "Vara", IFERROR(_xlfn.SINGLE(_xlfn.XLOOKUP(G998, Vöruskrá!A:A, Vöruskrá!E:E, "")), ""), IF(F998 = "Réttur", IFERROR(_xlfn.SINGLE(_xlfn.XLOOKUP(G998, Réttabanki!A:A, Réttabanki!AS:AS, "")), ""), "")))</f>
        <v/>
      </c>
      <c r="M998" s="26" t="str">
        <f>IF(OR(F998 = "", G998 = ""), "", IF(F998 = "Vara", IFERROR(_xlfn.SINGLE(_xlfn.XLOOKUP(G998, Vöruskrá!A:A, Vöruskrá!F:F, "")), ""), IF(F998 = "Réttur", IFERROR(_xlfn.SINGLE(_xlfn.XLOOKUP(G998, Réttabanki!A:A, Réttabanki!AT:AT, "")), ""), "")))</f>
        <v/>
      </c>
      <c r="N998" s="26" t="str">
        <f>IF(OR(F998 = "", G998 = ""), "", IF(F998 = "Vara", IFERROR(_xlfn.SINGLE(_xlfn.XLOOKUP(G998, Vöruskrá!A:A, Vöruskrá!G:G, "")), ""), IF(F998 = "Réttur", IFERROR(_xlfn.SINGLE(_xlfn.XLOOKUP(G998, Réttabanki!A:A, Réttabanki!AU:AU, "")), ""), "")))</f>
        <v/>
      </c>
      <c r="O998" s="26" t="str">
        <f>IF(OR(F998 = "", G998 = "", I998 = ""), "", IF(F998 = "Vara", IFERROR(_xlfn.SINGLE(_xlfn.XLOOKUP(G998, Vöruskrá!A:A, Vöruskrá!I:I, "")) * I998 / 100, ""), IF(F998 = "Réttur", IFERROR(_xlfn.SINGLE(_xlfn.XLOOKUP(G998, Réttabanki!A:A, Réttabanki!AV:AV, "")) * I998 / 100, ""), "")))</f>
        <v/>
      </c>
      <c r="P998" s="26" t="str">
        <f>IF(OR(F998 = "", G998 = "", I998 = ""), "", IF(F998 = "Vara", IFERROR(_xlfn.SINGLE(_xlfn.XLOOKUP(G998, Vöruskrá!A:A, Vöruskrá!J:J, "")) * I998 / 100, ""), IF(F998 = "Réttur", IFERROR(_xlfn.SINGLE(_xlfn.XLOOKUP(G998, Réttabanki!A:A, Réttabanki!AW:AW, "")) * I998 / 100, ""), "")))</f>
        <v/>
      </c>
      <c r="Q998" s="26" t="str">
        <f>IF(OR(F998 = "", G998 = "", I998 = ""), "", IF(F998 = "Vara", IFERROR(_xlfn.SINGLE(_xlfn.XLOOKUP(G998, Vöruskrá!A:A, Vöruskrá!N:N, "")) * I998 / 100, ""), IF(F998 = "Réttur", IFERROR(_xlfn.SINGLE(_xlfn.XLOOKUP(G998, Réttabanki!A:A, Réttabanki!BB:BB, "")) * I998 / 100, ""), "")))</f>
        <v/>
      </c>
    </row>
    <row r="999" spans="2:17">
      <c r="B999" s="33" t="str">
        <f>IF(A999&lt;&gt;"",CHOOSE(WEEKDAY(A999,2),"Mánudagur","Þriðjudagur","Miðvikudagur","Fimmtudagur","Föstudagur","Laugardagur","Sunnudagur"),IF(B998&lt;&gt;"",B998,""))</f>
        <v>Fimmtudagur</v>
      </c>
      <c r="C999" s="33">
        <f>IF(A999&lt;&gt;"",WEEKNUM(A999,21),IF(C998&lt;&gt;"",C998,""))</f>
        <v>27</v>
      </c>
      <c r="D999" s="34"/>
      <c r="E999" s="34"/>
      <c r="F999" s="34"/>
      <c r="G999" s="34"/>
      <c r="H999" s="34"/>
      <c r="I999" s="35"/>
      <c r="J999" s="35"/>
      <c r="K999" s="36"/>
      <c r="L999" s="26" t="str">
        <f>IF(OR(F999 = "", G999 = ""), "", IF(F999 = "Vara", IFERROR(_xlfn.SINGLE(_xlfn.XLOOKUP(G999, Vöruskrá!A:A, Vöruskrá!E:E, "")), ""), IF(F999 = "Réttur", IFERROR(_xlfn.SINGLE(_xlfn.XLOOKUP(G999, Réttabanki!A:A, Réttabanki!AS:AS, "")), ""), "")))</f>
        <v/>
      </c>
      <c r="M999" s="26" t="str">
        <f>IF(OR(F999 = "", G999 = ""), "", IF(F999 = "Vara", IFERROR(_xlfn.SINGLE(_xlfn.XLOOKUP(G999, Vöruskrá!A:A, Vöruskrá!F:F, "")), ""), IF(F999 = "Réttur", IFERROR(_xlfn.SINGLE(_xlfn.XLOOKUP(G999, Réttabanki!A:A, Réttabanki!AT:AT, "")), ""), "")))</f>
        <v/>
      </c>
      <c r="N999" s="26" t="str">
        <f>IF(OR(F999 = "", G999 = ""), "", IF(F999 = "Vara", IFERROR(_xlfn.SINGLE(_xlfn.XLOOKUP(G999, Vöruskrá!A:A, Vöruskrá!G:G, "")), ""), IF(F999 = "Réttur", IFERROR(_xlfn.SINGLE(_xlfn.XLOOKUP(G999, Réttabanki!A:A, Réttabanki!AU:AU, "")), ""), "")))</f>
        <v/>
      </c>
      <c r="O999" s="26" t="str">
        <f>IF(OR(F999 = "", G999 = "", I999 = ""), "", IF(F999 = "Vara", IFERROR(_xlfn.SINGLE(_xlfn.XLOOKUP(G999, Vöruskrá!A:A, Vöruskrá!I:I, "")) * I999 / 100, ""), IF(F999 = "Réttur", IFERROR(_xlfn.SINGLE(_xlfn.XLOOKUP(G999, Réttabanki!A:A, Réttabanki!AV:AV, "")) * I999 / 100, ""), "")))</f>
        <v/>
      </c>
      <c r="P999" s="26" t="str">
        <f>IF(OR(F999 = "", G999 = "", I999 = ""), "", IF(F999 = "Vara", IFERROR(_xlfn.SINGLE(_xlfn.XLOOKUP(G999, Vöruskrá!A:A, Vöruskrá!J:J, "")) * I999 / 100, ""), IF(F999 = "Réttur", IFERROR(_xlfn.SINGLE(_xlfn.XLOOKUP(G999, Réttabanki!A:A, Réttabanki!AW:AW, "")) * I999 / 100, ""), "")))</f>
        <v/>
      </c>
      <c r="Q999" s="26" t="str">
        <f>IF(OR(F999 = "", G999 = "", I999 = ""), "", IF(F999 = "Vara", IFERROR(_xlfn.SINGLE(_xlfn.XLOOKUP(G999, Vöruskrá!A:A, Vöruskrá!N:N, "")) * I999 / 100, ""), IF(F999 = "Réttur", IFERROR(_xlfn.SINGLE(_xlfn.XLOOKUP(G999, Réttabanki!A:A, Réttabanki!BB:BB, "")) * I999 / 100, ""), "")))</f>
        <v/>
      </c>
    </row>
    <row r="1000" spans="2:17">
      <c r="B1000" s="33" t="str">
        <f>IF(A1000&lt;&gt;"",CHOOSE(WEEKDAY(A1000,2),"Mánudagur","Þriðjudagur","Miðvikudagur","Fimmtudagur","Föstudagur","Laugardagur","Sunnudagur"),IF(B999&lt;&gt;"",B999,""))</f>
        <v>Fimmtudagur</v>
      </c>
      <c r="C1000" s="33">
        <f>IF(A1000&lt;&gt;"",WEEKNUM(A1000,21),IF(C999&lt;&gt;"",C999,""))</f>
        <v>27</v>
      </c>
      <c r="D1000" s="34"/>
      <c r="E1000" s="34"/>
      <c r="F1000" s="34"/>
      <c r="G1000" s="34"/>
      <c r="H1000" s="34"/>
      <c r="I1000" s="35"/>
      <c r="J1000" s="35"/>
      <c r="K1000" s="36"/>
      <c r="L1000" s="26" t="str">
        <f>IF(OR(F1000 = "", G1000 = ""), "", IF(F1000 = "Vara", IFERROR(_xlfn.SINGLE(_xlfn.XLOOKUP(G1000, Vöruskrá!A:A, Vöruskrá!E:E, "")), ""), IF(F1000 = "Réttur", IFERROR(_xlfn.SINGLE(_xlfn.XLOOKUP(G1000, Réttabanki!A:A, Réttabanki!AS:AS, "")), ""), "")))</f>
        <v/>
      </c>
      <c r="M1000" s="26" t="str">
        <f>IF(OR(F1000 = "", G1000 = ""), "", IF(F1000 = "Vara", IFERROR(_xlfn.SINGLE(_xlfn.XLOOKUP(G1000, Vöruskrá!A:A, Vöruskrá!F:F, "")), ""), IF(F1000 = "Réttur", IFERROR(_xlfn.SINGLE(_xlfn.XLOOKUP(G1000, Réttabanki!A:A, Réttabanki!AT:AT, "")), ""), "")))</f>
        <v/>
      </c>
      <c r="N1000" s="26" t="str">
        <f>IF(OR(F1000 = "", G1000 = ""), "", IF(F1000 = "Vara", IFERROR(_xlfn.SINGLE(_xlfn.XLOOKUP(G1000, Vöruskrá!A:A, Vöruskrá!G:G, "")), ""), IF(F1000 = "Réttur", IFERROR(_xlfn.SINGLE(_xlfn.XLOOKUP(G1000, Réttabanki!A:A, Réttabanki!AU:AU, "")), ""), "")))</f>
        <v/>
      </c>
      <c r="O1000" s="26" t="str">
        <f>IF(OR(F1000 = "", G1000 = "", I1000 = ""), "", IF(F1000 = "Vara", IFERROR(_xlfn.SINGLE(_xlfn.XLOOKUP(G1000, Vöruskrá!A:A, Vöruskrá!I:I, "")) * I1000 / 100, ""), IF(F1000 = "Réttur", IFERROR(_xlfn.SINGLE(_xlfn.XLOOKUP(G1000, Réttabanki!A:A, Réttabanki!AV:AV, "")) * I1000 / 100, ""), "")))</f>
        <v/>
      </c>
      <c r="P1000" s="26" t="str">
        <f>IF(OR(F1000 = "", G1000 = "", I1000 = ""), "", IF(F1000 = "Vara", IFERROR(_xlfn.SINGLE(_xlfn.XLOOKUP(G1000, Vöruskrá!A:A, Vöruskrá!J:J, "")) * I1000 / 100, ""), IF(F1000 = "Réttur", IFERROR(_xlfn.SINGLE(_xlfn.XLOOKUP(G1000, Réttabanki!A:A, Réttabanki!AW:AW, "")) * I1000 / 100, ""), "")))</f>
        <v/>
      </c>
      <c r="Q1000" s="26" t="str">
        <f>IF(OR(F1000 = "", G1000 = "", I1000 = ""), "", IF(F1000 = "Vara", IFERROR(_xlfn.SINGLE(_xlfn.XLOOKUP(G1000, Vöruskrá!A:A, Vöruskrá!N:N, "")) * I1000 / 100, ""), IF(F1000 = "Réttur", IFERROR(_xlfn.SINGLE(_xlfn.XLOOKUP(G1000, Réttabanki!A:A, Réttabanki!BB:BB, "")) * I1000 / 100, ""), "")))</f>
        <v/>
      </c>
    </row>
    <row r="1001" spans="2:17">
      <c r="B1001" s="33" t="str">
        <f>IF(A1001&lt;&gt;"",CHOOSE(WEEKDAY(A1001,2),"Mánudagur","Þriðjudagur","Miðvikudagur","Fimmtudagur","Föstudagur","Laugardagur","Sunnudagur"),IF(B1000&lt;&gt;"",B1000,""))</f>
        <v>Fimmtudagur</v>
      </c>
      <c r="C1001" s="33">
        <f>IF(A1001&lt;&gt;"",WEEKNUM(A1001,21),IF(C1000&lt;&gt;"",C1000,""))</f>
        <v>27</v>
      </c>
      <c r="D1001" s="34"/>
      <c r="E1001" s="34"/>
      <c r="F1001" s="34"/>
      <c r="G1001" s="34"/>
      <c r="H1001" s="34"/>
      <c r="I1001" s="35"/>
      <c r="J1001" s="35"/>
      <c r="K1001" s="36"/>
      <c r="L1001" s="26" t="str">
        <f>IF(OR(F1001 = "", G1001 = ""), "", IF(F1001 = "Vara", IFERROR(_xlfn.SINGLE(_xlfn.XLOOKUP(G1001, Vöruskrá!A:A, Vöruskrá!E:E, "")), ""), IF(F1001 = "Réttur", IFERROR(_xlfn.SINGLE(_xlfn.XLOOKUP(G1001, Réttabanki!A:A, Réttabanki!AS:AS, "")), ""), "")))</f>
        <v/>
      </c>
      <c r="M1001" s="26" t="str">
        <f>IF(OR(F1001 = "", G1001 = ""), "", IF(F1001 = "Vara", IFERROR(_xlfn.SINGLE(_xlfn.XLOOKUP(G1001, Vöruskrá!A:A, Vöruskrá!F:F, "")), ""), IF(F1001 = "Réttur", IFERROR(_xlfn.SINGLE(_xlfn.XLOOKUP(G1001, Réttabanki!A:A, Réttabanki!AT:AT, "")), ""), "")))</f>
        <v/>
      </c>
      <c r="N1001" s="26" t="str">
        <f>IF(OR(F1001 = "", G1001 = ""), "", IF(F1001 = "Vara", IFERROR(_xlfn.SINGLE(_xlfn.XLOOKUP(G1001, Vöruskrá!A:A, Vöruskrá!G:G, "")), ""), IF(F1001 = "Réttur", IFERROR(_xlfn.SINGLE(_xlfn.XLOOKUP(G1001, Réttabanki!A:A, Réttabanki!AU:AU, "")), ""), "")))</f>
        <v/>
      </c>
      <c r="O1001" s="26" t="str">
        <f>IF(OR(F1001 = "", G1001 = "", I1001 = ""), "", IF(F1001 = "Vara", IFERROR(_xlfn.SINGLE(_xlfn.XLOOKUP(G1001, Vöruskrá!A:A, Vöruskrá!I:I, "")) * I1001 / 100, ""), IF(F1001 = "Réttur", IFERROR(_xlfn.SINGLE(_xlfn.XLOOKUP(G1001, Réttabanki!A:A, Réttabanki!AV:AV, "")) * I1001 / 100, ""), "")))</f>
        <v/>
      </c>
      <c r="P1001" s="26" t="str">
        <f>IF(OR(F1001 = "", G1001 = "", I1001 = ""), "", IF(F1001 = "Vara", IFERROR(_xlfn.SINGLE(_xlfn.XLOOKUP(G1001, Vöruskrá!A:A, Vöruskrá!J:J, "")) * I1001 / 100, ""), IF(F1001 = "Réttur", IFERROR(_xlfn.SINGLE(_xlfn.XLOOKUP(G1001, Réttabanki!A:A, Réttabanki!AW:AW, "")) * I1001 / 100, ""), "")))</f>
        <v/>
      </c>
      <c r="Q1001" s="26" t="str">
        <f>IF(OR(F1001 = "", G1001 = "", I1001 = ""), "", IF(F1001 = "Vara", IFERROR(_xlfn.SINGLE(_xlfn.XLOOKUP(G1001, Vöruskrá!A:A, Vöruskrá!N:N, "")) * I1001 / 100, ""), IF(F1001 = "Réttur", IFERROR(_xlfn.SINGLE(_xlfn.XLOOKUP(G1001, Réttabanki!A:A, Réttabanki!BB:BB, "")) * I1001 / 100, ""), "")))</f>
        <v/>
      </c>
    </row>
    <row r="1002" spans="2:17">
      <c r="B1002" s="33" t="str">
        <f>IF(A1002&lt;&gt;"",CHOOSE(WEEKDAY(A1002,2),"Mánudagur","Þriðjudagur","Miðvikudagur","Fimmtudagur","Föstudagur","Laugardagur","Sunnudagur"),IF(B1001&lt;&gt;"",B1001,""))</f>
        <v>Fimmtudagur</v>
      </c>
      <c r="C1002" s="33">
        <f>IF(A1002&lt;&gt;"",WEEKNUM(A1002,21),IF(C1001&lt;&gt;"",C1001,""))</f>
        <v>27</v>
      </c>
      <c r="D1002" s="34"/>
      <c r="E1002" s="34"/>
      <c r="F1002" s="34"/>
      <c r="G1002" s="34"/>
      <c r="H1002" s="34"/>
      <c r="I1002" s="35"/>
      <c r="J1002" s="35"/>
      <c r="K1002" s="36"/>
      <c r="L1002" s="26" t="str">
        <f>IF(OR(F1002 = "", G1002 = ""), "", IF(F1002 = "Vara", IFERROR(_xlfn.SINGLE(_xlfn.XLOOKUP(G1002, Vöruskrá!A:A, Vöruskrá!E:E, "")), ""), IF(F1002 = "Réttur", IFERROR(_xlfn.SINGLE(_xlfn.XLOOKUP(G1002, Réttabanki!A:A, Réttabanki!AS:AS, "")), ""), "")))</f>
        <v/>
      </c>
      <c r="M1002" s="26" t="str">
        <f>IF(OR(F1002 = "", G1002 = ""), "", IF(F1002 = "Vara", IFERROR(_xlfn.SINGLE(_xlfn.XLOOKUP(G1002, Vöruskrá!A:A, Vöruskrá!F:F, "")), ""), IF(F1002 = "Réttur", IFERROR(_xlfn.SINGLE(_xlfn.XLOOKUP(G1002, Réttabanki!A:A, Réttabanki!AT:AT, "")), ""), "")))</f>
        <v/>
      </c>
      <c r="N1002" s="26" t="str">
        <f>IF(OR(F1002 = "", G1002 = ""), "", IF(F1002 = "Vara", IFERROR(_xlfn.SINGLE(_xlfn.XLOOKUP(G1002, Vöruskrá!A:A, Vöruskrá!G:G, "")), ""), IF(F1002 = "Réttur", IFERROR(_xlfn.SINGLE(_xlfn.XLOOKUP(G1002, Réttabanki!A:A, Réttabanki!AU:AU, "")), ""), "")))</f>
        <v/>
      </c>
      <c r="O1002" s="26" t="str">
        <f>IF(OR(F1002 = "", G1002 = "", I1002 = ""), "", IF(F1002 = "Vara", IFERROR(_xlfn.SINGLE(_xlfn.XLOOKUP(G1002, Vöruskrá!A:A, Vöruskrá!I:I, "")) * I1002 / 100, ""), IF(F1002 = "Réttur", IFERROR(_xlfn.SINGLE(_xlfn.XLOOKUP(G1002, Réttabanki!A:A, Réttabanki!AV:AV, "")) * I1002 / 100, ""), "")))</f>
        <v/>
      </c>
      <c r="P1002" s="26" t="str">
        <f>IF(OR(F1002 = "", G1002 = "", I1002 = ""), "", IF(F1002 = "Vara", IFERROR(_xlfn.SINGLE(_xlfn.XLOOKUP(G1002, Vöruskrá!A:A, Vöruskrá!J:J, "")) * I1002 / 100, ""), IF(F1002 = "Réttur", IFERROR(_xlfn.SINGLE(_xlfn.XLOOKUP(G1002, Réttabanki!A:A, Réttabanki!AW:AW, "")) * I1002 / 100, ""), "")))</f>
        <v/>
      </c>
      <c r="Q1002" s="26" t="str">
        <f>IF(OR(F1002 = "", G1002 = "", I1002 = ""), "", IF(F1002 = "Vara", IFERROR(_xlfn.SINGLE(_xlfn.XLOOKUP(G1002, Vöruskrá!A:A, Vöruskrá!N:N, "")) * I1002 / 100, ""), IF(F1002 = "Réttur", IFERROR(_xlfn.SINGLE(_xlfn.XLOOKUP(G1002, Réttabanki!A:A, Réttabanki!BB:BB, "")) * I1002 / 100, ""), "")))</f>
        <v/>
      </c>
    </row>
    <row r="1003" spans="2:17">
      <c r="B1003" s="33" t="str">
        <f>IF(A1003&lt;&gt;"",CHOOSE(WEEKDAY(A1003,2),"Mánudagur","Þriðjudagur","Miðvikudagur","Fimmtudagur","Föstudagur","Laugardagur","Sunnudagur"),IF(B1002&lt;&gt;"",B1002,""))</f>
        <v>Fimmtudagur</v>
      </c>
      <c r="C1003" s="33">
        <f>IF(A1003&lt;&gt;"",WEEKNUM(A1003,21),IF(C1002&lt;&gt;"",C1002,""))</f>
        <v>27</v>
      </c>
      <c r="D1003" s="34"/>
      <c r="E1003" s="34"/>
      <c r="F1003" s="34"/>
      <c r="G1003" s="34"/>
      <c r="H1003" s="34"/>
      <c r="I1003" s="35"/>
      <c r="J1003" s="35"/>
      <c r="K1003" s="36"/>
      <c r="L1003" s="26" t="str">
        <f>IF(OR(F1003 = "", G1003 = ""), "", IF(F1003 = "Vara", IFERROR(_xlfn.SINGLE(_xlfn.XLOOKUP(G1003, Vöruskrá!A:A, Vöruskrá!E:E, "")), ""), IF(F1003 = "Réttur", IFERROR(_xlfn.SINGLE(_xlfn.XLOOKUP(G1003, Réttabanki!A:A, Réttabanki!AS:AS, "")), ""), "")))</f>
        <v/>
      </c>
      <c r="M1003" s="26" t="str">
        <f>IF(OR(F1003 = "", G1003 = ""), "", IF(F1003 = "Vara", IFERROR(_xlfn.SINGLE(_xlfn.XLOOKUP(G1003, Vöruskrá!A:A, Vöruskrá!F:F, "")), ""), IF(F1003 = "Réttur", IFERROR(_xlfn.SINGLE(_xlfn.XLOOKUP(G1003, Réttabanki!A:A, Réttabanki!AT:AT, "")), ""), "")))</f>
        <v/>
      </c>
      <c r="N1003" s="26" t="str">
        <f>IF(OR(F1003 = "", G1003 = ""), "", IF(F1003 = "Vara", IFERROR(_xlfn.SINGLE(_xlfn.XLOOKUP(G1003, Vöruskrá!A:A, Vöruskrá!G:G, "")), ""), IF(F1003 = "Réttur", IFERROR(_xlfn.SINGLE(_xlfn.XLOOKUP(G1003, Réttabanki!A:A, Réttabanki!AU:AU, "")), ""), "")))</f>
        <v/>
      </c>
      <c r="O1003" s="26" t="str">
        <f>IF(OR(F1003 = "", G1003 = "", I1003 = ""), "", IF(F1003 = "Vara", IFERROR(_xlfn.SINGLE(_xlfn.XLOOKUP(G1003, Vöruskrá!A:A, Vöruskrá!I:I, "")) * I1003 / 100, ""), IF(F1003 = "Réttur", IFERROR(_xlfn.SINGLE(_xlfn.XLOOKUP(G1003, Réttabanki!A:A, Réttabanki!AV:AV, "")) * I1003 / 100, ""), "")))</f>
        <v/>
      </c>
      <c r="P1003" s="26" t="str">
        <f>IF(OR(F1003 = "", G1003 = "", I1003 = ""), "", IF(F1003 = "Vara", IFERROR(_xlfn.SINGLE(_xlfn.XLOOKUP(G1003, Vöruskrá!A:A, Vöruskrá!J:J, "")) * I1003 / 100, ""), IF(F1003 = "Réttur", IFERROR(_xlfn.SINGLE(_xlfn.XLOOKUP(G1003, Réttabanki!A:A, Réttabanki!AW:AW, "")) * I1003 / 100, ""), "")))</f>
        <v/>
      </c>
      <c r="Q1003" s="26" t="str">
        <f>IF(OR(F1003 = "", G1003 = "", I1003 = ""), "", IF(F1003 = "Vara", IFERROR(_xlfn.SINGLE(_xlfn.XLOOKUP(G1003, Vöruskrá!A:A, Vöruskrá!N:N, "")) * I1003 / 100, ""), IF(F1003 = "Réttur", IFERROR(_xlfn.SINGLE(_xlfn.XLOOKUP(G1003, Réttabanki!A:A, Réttabanki!BB:BB, "")) * I1003 / 100, ""), "")))</f>
        <v/>
      </c>
    </row>
    <row r="1004" spans="2:17">
      <c r="B1004" s="33" t="str">
        <f>IF(A1004&lt;&gt;"",CHOOSE(WEEKDAY(A1004,2),"Mánudagur","Þriðjudagur","Miðvikudagur","Fimmtudagur","Föstudagur","Laugardagur","Sunnudagur"),IF(B1003&lt;&gt;"",B1003,""))</f>
        <v>Fimmtudagur</v>
      </c>
      <c r="C1004" s="33">
        <f>IF(A1004&lt;&gt;"",WEEKNUM(A1004,21),IF(C1003&lt;&gt;"",C1003,""))</f>
        <v>27</v>
      </c>
      <c r="D1004" s="34"/>
      <c r="E1004" s="34"/>
      <c r="F1004" s="34"/>
      <c r="G1004" s="34"/>
      <c r="H1004" s="34"/>
      <c r="I1004" s="35"/>
      <c r="J1004" s="35"/>
      <c r="K1004" s="36"/>
      <c r="L1004" s="26" t="str">
        <f>IF(OR(F1004 = "", G1004 = ""), "", IF(F1004 = "Vara", IFERROR(_xlfn.SINGLE(_xlfn.XLOOKUP(G1004, Vöruskrá!A:A, Vöruskrá!E:E, "")), ""), IF(F1004 = "Réttur", IFERROR(_xlfn.SINGLE(_xlfn.XLOOKUP(G1004, Réttabanki!A:A, Réttabanki!AS:AS, "")), ""), "")))</f>
        <v/>
      </c>
      <c r="M1004" s="26" t="str">
        <f>IF(OR(F1004 = "", G1004 = ""), "", IF(F1004 = "Vara", IFERROR(_xlfn.SINGLE(_xlfn.XLOOKUP(G1004, Vöruskrá!A:A, Vöruskrá!F:F, "")), ""), IF(F1004 = "Réttur", IFERROR(_xlfn.SINGLE(_xlfn.XLOOKUP(G1004, Réttabanki!A:A, Réttabanki!AT:AT, "")), ""), "")))</f>
        <v/>
      </c>
      <c r="N1004" s="26" t="str">
        <f>IF(OR(F1004 = "", G1004 = ""), "", IF(F1004 = "Vara", IFERROR(_xlfn.SINGLE(_xlfn.XLOOKUP(G1004, Vöruskrá!A:A, Vöruskrá!G:G, "")), ""), IF(F1004 = "Réttur", IFERROR(_xlfn.SINGLE(_xlfn.XLOOKUP(G1004, Réttabanki!A:A, Réttabanki!AU:AU, "")), ""), "")))</f>
        <v/>
      </c>
      <c r="O1004" s="26" t="str">
        <f>IF(OR(F1004 = "", G1004 = "", I1004 = ""), "", IF(F1004 = "Vara", IFERROR(_xlfn.SINGLE(_xlfn.XLOOKUP(G1004, Vöruskrá!A:A, Vöruskrá!I:I, "")) * I1004 / 100, ""), IF(F1004 = "Réttur", IFERROR(_xlfn.SINGLE(_xlfn.XLOOKUP(G1004, Réttabanki!A:A, Réttabanki!AV:AV, "")) * I1004 / 100, ""), "")))</f>
        <v/>
      </c>
      <c r="P1004" s="26" t="str">
        <f>IF(OR(F1004 = "", G1004 = "", I1004 = ""), "", IF(F1004 = "Vara", IFERROR(_xlfn.SINGLE(_xlfn.XLOOKUP(G1004, Vöruskrá!A:A, Vöruskrá!J:J, "")) * I1004 / 100, ""), IF(F1004 = "Réttur", IFERROR(_xlfn.SINGLE(_xlfn.XLOOKUP(G1004, Réttabanki!A:A, Réttabanki!AW:AW, "")) * I1004 / 100, ""), "")))</f>
        <v/>
      </c>
      <c r="Q1004" s="26" t="str">
        <f>IF(OR(F1004 = "", G1004 = "", I1004 = ""), "", IF(F1004 = "Vara", IFERROR(_xlfn.SINGLE(_xlfn.XLOOKUP(G1004, Vöruskrá!A:A, Vöruskrá!N:N, "")) * I1004 / 100, ""), IF(F1004 = "Réttur", IFERROR(_xlfn.SINGLE(_xlfn.XLOOKUP(G1004, Réttabanki!A:A, Réttabanki!BB:BB, "")) * I1004 / 100, ""), "")))</f>
        <v/>
      </c>
    </row>
    <row r="1005" spans="2:17">
      <c r="B1005" s="33" t="str">
        <f>IF(A1005&lt;&gt;"",CHOOSE(WEEKDAY(A1005,2),"Mánudagur","Þriðjudagur","Miðvikudagur","Fimmtudagur","Föstudagur","Laugardagur","Sunnudagur"),IF(B1004&lt;&gt;"",B1004,""))</f>
        <v>Fimmtudagur</v>
      </c>
      <c r="C1005" s="33">
        <f>IF(A1005&lt;&gt;"",WEEKNUM(A1005,21),IF(C1004&lt;&gt;"",C1004,""))</f>
        <v>27</v>
      </c>
      <c r="D1005" s="34"/>
      <c r="E1005" s="34"/>
      <c r="F1005" s="34"/>
      <c r="G1005" s="34"/>
      <c r="H1005" s="34"/>
      <c r="I1005" s="35"/>
      <c r="J1005" s="35"/>
      <c r="K1005" s="36"/>
      <c r="L1005" s="26" t="str">
        <f>IF(OR(F1005 = "", G1005 = ""), "", IF(F1005 = "Vara", IFERROR(_xlfn.SINGLE(_xlfn.XLOOKUP(G1005, Vöruskrá!A:A, Vöruskrá!E:E, "")), ""), IF(F1005 = "Réttur", IFERROR(_xlfn.SINGLE(_xlfn.XLOOKUP(G1005, Réttabanki!A:A, Réttabanki!AS:AS, "")), ""), "")))</f>
        <v/>
      </c>
      <c r="M1005" s="26" t="str">
        <f>IF(OR(F1005 = "", G1005 = ""), "", IF(F1005 = "Vara", IFERROR(_xlfn.SINGLE(_xlfn.XLOOKUP(G1005, Vöruskrá!A:A, Vöruskrá!F:F, "")), ""), IF(F1005 = "Réttur", IFERROR(_xlfn.SINGLE(_xlfn.XLOOKUP(G1005, Réttabanki!A:A, Réttabanki!AT:AT, "")), ""), "")))</f>
        <v/>
      </c>
      <c r="N1005" s="26" t="str">
        <f>IF(OR(F1005 = "", G1005 = ""), "", IF(F1005 = "Vara", IFERROR(_xlfn.SINGLE(_xlfn.XLOOKUP(G1005, Vöruskrá!A:A, Vöruskrá!G:G, "")), ""), IF(F1005 = "Réttur", IFERROR(_xlfn.SINGLE(_xlfn.XLOOKUP(G1005, Réttabanki!A:A, Réttabanki!AU:AU, "")), ""), "")))</f>
        <v/>
      </c>
      <c r="O1005" s="26" t="str">
        <f>IF(OR(F1005 = "", G1005 = "", I1005 = ""), "", IF(F1005 = "Vara", IFERROR(_xlfn.SINGLE(_xlfn.XLOOKUP(G1005, Vöruskrá!A:A, Vöruskrá!I:I, "")) * I1005 / 100, ""), IF(F1005 = "Réttur", IFERROR(_xlfn.SINGLE(_xlfn.XLOOKUP(G1005, Réttabanki!A:A, Réttabanki!AV:AV, "")) * I1005 / 100, ""), "")))</f>
        <v/>
      </c>
      <c r="P1005" s="26" t="str">
        <f>IF(OR(F1005 = "", G1005 = "", I1005 = ""), "", IF(F1005 = "Vara", IFERROR(_xlfn.SINGLE(_xlfn.XLOOKUP(G1005, Vöruskrá!A:A, Vöruskrá!J:J, "")) * I1005 / 100, ""), IF(F1005 = "Réttur", IFERROR(_xlfn.SINGLE(_xlfn.XLOOKUP(G1005, Réttabanki!A:A, Réttabanki!AW:AW, "")) * I1005 / 100, ""), "")))</f>
        <v/>
      </c>
      <c r="Q1005" s="26" t="str">
        <f>IF(OR(F1005 = "", G1005 = "", I1005 = ""), "", IF(F1005 = "Vara", IFERROR(_xlfn.SINGLE(_xlfn.XLOOKUP(G1005, Vöruskrá!A:A, Vöruskrá!N:N, "")) * I1005 / 100, ""), IF(F1005 = "Réttur", IFERROR(_xlfn.SINGLE(_xlfn.XLOOKUP(G1005, Réttabanki!A:A, Réttabanki!BB:BB, "")) * I1005 / 100, ""), "")))</f>
        <v/>
      </c>
    </row>
    <row r="1006" spans="2:17">
      <c r="B1006" s="33" t="str">
        <f>IF(A1006&lt;&gt;"",CHOOSE(WEEKDAY(A1006,2),"Mánudagur","Þriðjudagur","Miðvikudagur","Fimmtudagur","Föstudagur","Laugardagur","Sunnudagur"),IF(B1005&lt;&gt;"",B1005,""))</f>
        <v>Fimmtudagur</v>
      </c>
      <c r="C1006" s="33">
        <f>IF(A1006&lt;&gt;"",WEEKNUM(A1006,21),IF(C1005&lt;&gt;"",C1005,""))</f>
        <v>27</v>
      </c>
      <c r="D1006" s="34"/>
      <c r="E1006" s="34"/>
      <c r="F1006" s="34"/>
      <c r="G1006" s="34"/>
      <c r="H1006" s="34"/>
      <c r="I1006" s="35"/>
      <c r="J1006" s="35"/>
      <c r="K1006" s="36"/>
      <c r="L1006" s="26" t="str">
        <f>IF(OR(F1006 = "", G1006 = ""), "", IF(F1006 = "Vara", IFERROR(_xlfn.SINGLE(_xlfn.XLOOKUP(G1006, Vöruskrá!A:A, Vöruskrá!E:E, "")), ""), IF(F1006 = "Réttur", IFERROR(_xlfn.SINGLE(_xlfn.XLOOKUP(G1006, Réttabanki!A:A, Réttabanki!AS:AS, "")), ""), "")))</f>
        <v/>
      </c>
      <c r="M1006" s="26" t="str">
        <f>IF(OR(F1006 = "", G1006 = ""), "", IF(F1006 = "Vara", IFERROR(_xlfn.SINGLE(_xlfn.XLOOKUP(G1006, Vöruskrá!A:A, Vöruskrá!F:F, "")), ""), IF(F1006 = "Réttur", IFERROR(_xlfn.SINGLE(_xlfn.XLOOKUP(G1006, Réttabanki!A:A, Réttabanki!AT:AT, "")), ""), "")))</f>
        <v/>
      </c>
      <c r="N1006" s="26" t="str">
        <f>IF(OR(F1006 = "", G1006 = ""), "", IF(F1006 = "Vara", IFERROR(_xlfn.SINGLE(_xlfn.XLOOKUP(G1006, Vöruskrá!A:A, Vöruskrá!G:G, "")), ""), IF(F1006 = "Réttur", IFERROR(_xlfn.SINGLE(_xlfn.XLOOKUP(G1006, Réttabanki!A:A, Réttabanki!AU:AU, "")), ""), "")))</f>
        <v/>
      </c>
      <c r="O1006" s="26" t="str">
        <f>IF(OR(F1006 = "", G1006 = "", I1006 = ""), "", IF(F1006 = "Vara", IFERROR(_xlfn.SINGLE(_xlfn.XLOOKUP(G1006, Vöruskrá!A:A, Vöruskrá!I:I, "")) * I1006 / 100, ""), IF(F1006 = "Réttur", IFERROR(_xlfn.SINGLE(_xlfn.XLOOKUP(G1006, Réttabanki!A:A, Réttabanki!AV:AV, "")) * I1006 / 100, ""), "")))</f>
        <v/>
      </c>
      <c r="P1006" s="26" t="str">
        <f>IF(OR(F1006 = "", G1006 = "", I1006 = ""), "", IF(F1006 = "Vara", IFERROR(_xlfn.SINGLE(_xlfn.XLOOKUP(G1006, Vöruskrá!A:A, Vöruskrá!J:J, "")) * I1006 / 100, ""), IF(F1006 = "Réttur", IFERROR(_xlfn.SINGLE(_xlfn.XLOOKUP(G1006, Réttabanki!A:A, Réttabanki!AW:AW, "")) * I1006 / 100, ""), "")))</f>
        <v/>
      </c>
      <c r="Q1006" s="26" t="str">
        <f>IF(OR(F1006 = "", G1006 = "", I1006 = ""), "", IF(F1006 = "Vara", IFERROR(_xlfn.SINGLE(_xlfn.XLOOKUP(G1006, Vöruskrá!A:A, Vöruskrá!N:N, "")) * I1006 / 100, ""), IF(F1006 = "Réttur", IFERROR(_xlfn.SINGLE(_xlfn.XLOOKUP(G1006, Réttabanki!A:A, Réttabanki!BB:BB, "")) * I1006 / 100, ""), "")))</f>
        <v/>
      </c>
    </row>
    <row r="1007" spans="2:17">
      <c r="B1007" s="33" t="str">
        <f>IF(A1007&lt;&gt;"",CHOOSE(WEEKDAY(A1007,2),"Mánudagur","Þriðjudagur","Miðvikudagur","Fimmtudagur","Föstudagur","Laugardagur","Sunnudagur"),IF(B1006&lt;&gt;"",B1006,""))</f>
        <v>Fimmtudagur</v>
      </c>
      <c r="C1007" s="33">
        <f>IF(A1007&lt;&gt;"",WEEKNUM(A1007,21),IF(C1006&lt;&gt;"",C1006,""))</f>
        <v>27</v>
      </c>
      <c r="D1007" s="34"/>
      <c r="E1007" s="34"/>
      <c r="F1007" s="34"/>
      <c r="G1007" s="34"/>
      <c r="H1007" s="34"/>
      <c r="I1007" s="35"/>
      <c r="J1007" s="35"/>
      <c r="K1007" s="36"/>
      <c r="L1007" s="26" t="str">
        <f>IF(OR(F1007 = "", G1007 = ""), "", IF(F1007 = "Vara", IFERROR(_xlfn.SINGLE(_xlfn.XLOOKUP(G1007, Vöruskrá!A:A, Vöruskrá!E:E, "")), ""), IF(F1007 = "Réttur", IFERROR(_xlfn.SINGLE(_xlfn.XLOOKUP(G1007, Réttabanki!A:A, Réttabanki!AS:AS, "")), ""), "")))</f>
        <v/>
      </c>
      <c r="M1007" s="26" t="str">
        <f>IF(OR(F1007 = "", G1007 = ""), "", IF(F1007 = "Vara", IFERROR(_xlfn.SINGLE(_xlfn.XLOOKUP(G1007, Vöruskrá!A:A, Vöruskrá!F:F, "")), ""), IF(F1007 = "Réttur", IFERROR(_xlfn.SINGLE(_xlfn.XLOOKUP(G1007, Réttabanki!A:A, Réttabanki!AT:AT, "")), ""), "")))</f>
        <v/>
      </c>
      <c r="N1007" s="26" t="str">
        <f>IF(OR(F1007 = "", G1007 = ""), "", IF(F1007 = "Vara", IFERROR(_xlfn.SINGLE(_xlfn.XLOOKUP(G1007, Vöruskrá!A:A, Vöruskrá!G:G, "")), ""), IF(F1007 = "Réttur", IFERROR(_xlfn.SINGLE(_xlfn.XLOOKUP(G1007, Réttabanki!A:A, Réttabanki!AU:AU, "")), ""), "")))</f>
        <v/>
      </c>
      <c r="O1007" s="26" t="str">
        <f>IF(OR(F1007 = "", G1007 = "", I1007 = ""), "", IF(F1007 = "Vara", IFERROR(_xlfn.SINGLE(_xlfn.XLOOKUP(G1007, Vöruskrá!A:A, Vöruskrá!I:I, "")) * I1007 / 100, ""), IF(F1007 = "Réttur", IFERROR(_xlfn.SINGLE(_xlfn.XLOOKUP(G1007, Réttabanki!A:A, Réttabanki!AV:AV, "")) * I1007 / 100, ""), "")))</f>
        <v/>
      </c>
      <c r="P1007" s="26" t="str">
        <f>IF(OR(F1007 = "", G1007 = "", I1007 = ""), "", IF(F1007 = "Vara", IFERROR(_xlfn.SINGLE(_xlfn.XLOOKUP(G1007, Vöruskrá!A:A, Vöruskrá!J:J, "")) * I1007 / 100, ""), IF(F1007 = "Réttur", IFERROR(_xlfn.SINGLE(_xlfn.XLOOKUP(G1007, Réttabanki!A:A, Réttabanki!AW:AW, "")) * I1007 / 100, ""), "")))</f>
        <v/>
      </c>
      <c r="Q1007" s="26" t="str">
        <f>IF(OR(F1007 = "", G1007 = "", I1007 = ""), "", IF(F1007 = "Vara", IFERROR(_xlfn.SINGLE(_xlfn.XLOOKUP(G1007, Vöruskrá!A:A, Vöruskrá!N:N, "")) * I1007 / 100, ""), IF(F1007 = "Réttur", IFERROR(_xlfn.SINGLE(_xlfn.XLOOKUP(G1007, Réttabanki!A:A, Réttabanki!BB:BB, "")) * I1007 / 100, ""), "")))</f>
        <v/>
      </c>
    </row>
    <row r="1008" spans="2:17">
      <c r="B1008" s="33" t="str">
        <f>IF(A1008&lt;&gt;"",CHOOSE(WEEKDAY(A1008,2),"Mánudagur","Þriðjudagur","Miðvikudagur","Fimmtudagur","Föstudagur","Laugardagur","Sunnudagur"),IF(B1007&lt;&gt;"",B1007,""))</f>
        <v>Fimmtudagur</v>
      </c>
      <c r="C1008" s="33">
        <f>IF(A1008&lt;&gt;"",WEEKNUM(A1008,21),IF(C1007&lt;&gt;"",C1007,""))</f>
        <v>27</v>
      </c>
      <c r="D1008" s="34"/>
      <c r="E1008" s="34"/>
      <c r="F1008" s="34"/>
      <c r="G1008" s="34"/>
      <c r="H1008" s="34"/>
      <c r="I1008" s="35"/>
      <c r="J1008" s="35"/>
      <c r="K1008" s="36"/>
      <c r="L1008" s="26" t="str">
        <f>IF(OR(F1008 = "", G1008 = ""), "", IF(F1008 = "Vara", IFERROR(_xlfn.SINGLE(_xlfn.XLOOKUP(G1008, Vöruskrá!A:A, Vöruskrá!E:E, "")), ""), IF(F1008 = "Réttur", IFERROR(_xlfn.SINGLE(_xlfn.XLOOKUP(G1008, Réttabanki!A:A, Réttabanki!AS:AS, "")), ""), "")))</f>
        <v/>
      </c>
      <c r="M1008" s="26" t="str">
        <f>IF(OR(F1008 = "", G1008 = ""), "", IF(F1008 = "Vara", IFERROR(_xlfn.SINGLE(_xlfn.XLOOKUP(G1008, Vöruskrá!A:A, Vöruskrá!F:F, "")), ""), IF(F1008 = "Réttur", IFERROR(_xlfn.SINGLE(_xlfn.XLOOKUP(G1008, Réttabanki!A:A, Réttabanki!AT:AT, "")), ""), "")))</f>
        <v/>
      </c>
      <c r="N1008" s="26" t="str">
        <f>IF(OR(F1008 = "", G1008 = ""), "", IF(F1008 = "Vara", IFERROR(_xlfn.SINGLE(_xlfn.XLOOKUP(G1008, Vöruskrá!A:A, Vöruskrá!G:G, "")), ""), IF(F1008 = "Réttur", IFERROR(_xlfn.SINGLE(_xlfn.XLOOKUP(G1008, Réttabanki!A:A, Réttabanki!AU:AU, "")), ""), "")))</f>
        <v/>
      </c>
      <c r="O1008" s="26" t="str">
        <f>IF(OR(F1008 = "", G1008 = "", I1008 = ""), "", IF(F1008 = "Vara", IFERROR(_xlfn.SINGLE(_xlfn.XLOOKUP(G1008, Vöruskrá!A:A, Vöruskrá!I:I, "")) * I1008 / 100, ""), IF(F1008 = "Réttur", IFERROR(_xlfn.SINGLE(_xlfn.XLOOKUP(G1008, Réttabanki!A:A, Réttabanki!AV:AV, "")) * I1008 / 100, ""), "")))</f>
        <v/>
      </c>
      <c r="P1008" s="26" t="str">
        <f>IF(OR(F1008 = "", G1008 = "", I1008 = ""), "", IF(F1008 = "Vara", IFERROR(_xlfn.SINGLE(_xlfn.XLOOKUP(G1008, Vöruskrá!A:A, Vöruskrá!J:J, "")) * I1008 / 100, ""), IF(F1008 = "Réttur", IFERROR(_xlfn.SINGLE(_xlfn.XLOOKUP(G1008, Réttabanki!A:A, Réttabanki!AW:AW, "")) * I1008 / 100, ""), "")))</f>
        <v/>
      </c>
      <c r="Q1008" s="26" t="str">
        <f>IF(OR(F1008 = "", G1008 = "", I1008 = ""), "", IF(F1008 = "Vara", IFERROR(_xlfn.SINGLE(_xlfn.XLOOKUP(G1008, Vöruskrá!A:A, Vöruskrá!N:N, "")) * I1008 / 100, ""), IF(F1008 = "Réttur", IFERROR(_xlfn.SINGLE(_xlfn.XLOOKUP(G1008, Réttabanki!A:A, Réttabanki!BB:BB, "")) * I1008 / 100, ""), "")))</f>
        <v/>
      </c>
    </row>
    <row r="1009" spans="2:17">
      <c r="B1009" s="33" t="str">
        <f>IF(A1009&lt;&gt;"",CHOOSE(WEEKDAY(A1009,2),"Mánudagur","Þriðjudagur","Miðvikudagur","Fimmtudagur","Föstudagur","Laugardagur","Sunnudagur"),IF(B1008&lt;&gt;"",B1008,""))</f>
        <v>Fimmtudagur</v>
      </c>
      <c r="C1009" s="33">
        <f>IF(A1009&lt;&gt;"",WEEKNUM(A1009,21),IF(C1008&lt;&gt;"",C1008,""))</f>
        <v>27</v>
      </c>
      <c r="D1009" s="34"/>
      <c r="E1009" s="34"/>
      <c r="F1009" s="34"/>
      <c r="G1009" s="34"/>
      <c r="H1009" s="34"/>
      <c r="I1009" s="35"/>
      <c r="J1009" s="35"/>
      <c r="K1009" s="36"/>
      <c r="L1009" s="26" t="str">
        <f>IF(OR(F1009 = "", G1009 = ""), "", IF(F1009 = "Vara", IFERROR(_xlfn.SINGLE(_xlfn.XLOOKUP(G1009, Vöruskrá!A:A, Vöruskrá!E:E, "")), ""), IF(F1009 = "Réttur", IFERROR(_xlfn.SINGLE(_xlfn.XLOOKUP(G1009, Réttabanki!A:A, Réttabanki!AS:AS, "")), ""), "")))</f>
        <v/>
      </c>
      <c r="M1009" s="26" t="str">
        <f>IF(OR(F1009 = "", G1009 = ""), "", IF(F1009 = "Vara", IFERROR(_xlfn.SINGLE(_xlfn.XLOOKUP(G1009, Vöruskrá!A:A, Vöruskrá!F:F, "")), ""), IF(F1009 = "Réttur", IFERROR(_xlfn.SINGLE(_xlfn.XLOOKUP(G1009, Réttabanki!A:A, Réttabanki!AT:AT, "")), ""), "")))</f>
        <v/>
      </c>
      <c r="N1009" s="26" t="str">
        <f>IF(OR(F1009 = "", G1009 = ""), "", IF(F1009 = "Vara", IFERROR(_xlfn.SINGLE(_xlfn.XLOOKUP(G1009, Vöruskrá!A:A, Vöruskrá!G:G, "")), ""), IF(F1009 = "Réttur", IFERROR(_xlfn.SINGLE(_xlfn.XLOOKUP(G1009, Réttabanki!A:A, Réttabanki!AU:AU, "")), ""), "")))</f>
        <v/>
      </c>
      <c r="O1009" s="26" t="str">
        <f>IF(OR(F1009 = "", G1009 = "", I1009 = ""), "", IF(F1009 = "Vara", IFERROR(_xlfn.SINGLE(_xlfn.XLOOKUP(G1009, Vöruskrá!A:A, Vöruskrá!I:I, "")) * I1009 / 100, ""), IF(F1009 = "Réttur", IFERROR(_xlfn.SINGLE(_xlfn.XLOOKUP(G1009, Réttabanki!A:A, Réttabanki!AV:AV, "")) * I1009 / 100, ""), "")))</f>
        <v/>
      </c>
      <c r="P1009" s="26" t="str">
        <f>IF(OR(F1009 = "", G1009 = "", I1009 = ""), "", IF(F1009 = "Vara", IFERROR(_xlfn.SINGLE(_xlfn.XLOOKUP(G1009, Vöruskrá!A:A, Vöruskrá!J:J, "")) * I1009 / 100, ""), IF(F1009 = "Réttur", IFERROR(_xlfn.SINGLE(_xlfn.XLOOKUP(G1009, Réttabanki!A:A, Réttabanki!AW:AW, "")) * I1009 / 100, ""), "")))</f>
        <v/>
      </c>
      <c r="Q1009" s="26" t="str">
        <f>IF(OR(F1009 = "", G1009 = "", I1009 = ""), "", IF(F1009 = "Vara", IFERROR(_xlfn.SINGLE(_xlfn.XLOOKUP(G1009, Vöruskrá!A:A, Vöruskrá!N:N, "")) * I1009 / 100, ""), IF(F1009 = "Réttur", IFERROR(_xlfn.SINGLE(_xlfn.XLOOKUP(G1009, Réttabanki!A:A, Réttabanki!BB:BB, "")) * I1009 / 100, ""), "")))</f>
        <v/>
      </c>
    </row>
    <row r="1010" spans="2:17">
      <c r="B1010" s="33" t="str">
        <f>IF(A1010&lt;&gt;"",CHOOSE(WEEKDAY(A1010,2),"Mánudagur","Þriðjudagur","Miðvikudagur","Fimmtudagur","Föstudagur","Laugardagur","Sunnudagur"),IF(B1009&lt;&gt;"",B1009,""))</f>
        <v>Fimmtudagur</v>
      </c>
      <c r="C1010" s="33">
        <f>IF(A1010&lt;&gt;"",WEEKNUM(A1010,21),IF(C1009&lt;&gt;"",C1009,""))</f>
        <v>27</v>
      </c>
      <c r="D1010" s="34"/>
      <c r="E1010" s="34"/>
      <c r="F1010" s="34"/>
      <c r="G1010" s="34"/>
      <c r="H1010" s="34"/>
      <c r="I1010" s="35"/>
      <c r="J1010" s="35"/>
      <c r="K1010" s="36"/>
      <c r="L1010" s="26" t="str">
        <f>IF(OR(F1010 = "", G1010 = ""), "", IF(F1010 = "Vara", IFERROR(_xlfn.SINGLE(_xlfn.XLOOKUP(G1010, Vöruskrá!A:A, Vöruskrá!E:E, "")), ""), IF(F1010 = "Réttur", IFERROR(_xlfn.SINGLE(_xlfn.XLOOKUP(G1010, Réttabanki!A:A, Réttabanki!AS:AS, "")), ""), "")))</f>
        <v/>
      </c>
      <c r="M1010" s="26" t="str">
        <f>IF(OR(F1010 = "", G1010 = ""), "", IF(F1010 = "Vara", IFERROR(_xlfn.SINGLE(_xlfn.XLOOKUP(G1010, Vöruskrá!A:A, Vöruskrá!F:F, "")), ""), IF(F1010 = "Réttur", IFERROR(_xlfn.SINGLE(_xlfn.XLOOKUP(G1010, Réttabanki!A:A, Réttabanki!AT:AT, "")), ""), "")))</f>
        <v/>
      </c>
      <c r="N1010" s="26" t="str">
        <f>IF(OR(F1010 = "", G1010 = ""), "", IF(F1010 = "Vara", IFERROR(_xlfn.SINGLE(_xlfn.XLOOKUP(G1010, Vöruskrá!A:A, Vöruskrá!G:G, "")), ""), IF(F1010 = "Réttur", IFERROR(_xlfn.SINGLE(_xlfn.XLOOKUP(G1010, Réttabanki!A:A, Réttabanki!AU:AU, "")), ""), "")))</f>
        <v/>
      </c>
      <c r="O1010" s="26" t="str">
        <f>IF(OR(F1010 = "", G1010 = "", I1010 = ""), "", IF(F1010 = "Vara", IFERROR(_xlfn.SINGLE(_xlfn.XLOOKUP(G1010, Vöruskrá!A:A, Vöruskrá!I:I, "")) * I1010 / 100, ""), IF(F1010 = "Réttur", IFERROR(_xlfn.SINGLE(_xlfn.XLOOKUP(G1010, Réttabanki!A:A, Réttabanki!AV:AV, "")) * I1010 / 100, ""), "")))</f>
        <v/>
      </c>
      <c r="P1010" s="26" t="str">
        <f>IF(OR(F1010 = "", G1010 = "", I1010 = ""), "", IF(F1010 = "Vara", IFERROR(_xlfn.SINGLE(_xlfn.XLOOKUP(G1010, Vöruskrá!A:A, Vöruskrá!J:J, "")) * I1010 / 100, ""), IF(F1010 = "Réttur", IFERROR(_xlfn.SINGLE(_xlfn.XLOOKUP(G1010, Réttabanki!A:A, Réttabanki!AW:AW, "")) * I1010 / 100, ""), "")))</f>
        <v/>
      </c>
      <c r="Q1010" s="26" t="str">
        <f>IF(OR(F1010 = "", G1010 = "", I1010 = ""), "", IF(F1010 = "Vara", IFERROR(_xlfn.SINGLE(_xlfn.XLOOKUP(G1010, Vöruskrá!A:A, Vöruskrá!N:N, "")) * I1010 / 100, ""), IF(F1010 = "Réttur", IFERROR(_xlfn.SINGLE(_xlfn.XLOOKUP(G1010, Réttabanki!A:A, Réttabanki!BB:BB, "")) * I1010 / 100, ""), "")))</f>
        <v/>
      </c>
    </row>
    <row r="1011" spans="2:17">
      <c r="B1011" s="33" t="str">
        <f>IF(A1011&lt;&gt;"",CHOOSE(WEEKDAY(A1011,2),"Mánudagur","Þriðjudagur","Miðvikudagur","Fimmtudagur","Föstudagur","Laugardagur","Sunnudagur"),IF(B1010&lt;&gt;"",B1010,""))</f>
        <v>Fimmtudagur</v>
      </c>
      <c r="C1011" s="33">
        <f>IF(A1011&lt;&gt;"",WEEKNUM(A1011,21),IF(C1010&lt;&gt;"",C1010,""))</f>
        <v>27</v>
      </c>
      <c r="D1011" s="34"/>
      <c r="E1011" s="34"/>
      <c r="F1011" s="34"/>
      <c r="G1011" s="34"/>
      <c r="H1011" s="34"/>
      <c r="I1011" s="35"/>
      <c r="J1011" s="35"/>
      <c r="K1011" s="36"/>
      <c r="L1011" s="26" t="str">
        <f>IF(OR(F1011 = "", G1011 = ""), "", IF(F1011 = "Vara", IFERROR(_xlfn.SINGLE(_xlfn.XLOOKUP(G1011, Vöruskrá!A:A, Vöruskrá!E:E, "")), ""), IF(F1011 = "Réttur", IFERROR(_xlfn.SINGLE(_xlfn.XLOOKUP(G1011, Réttabanki!A:A, Réttabanki!AS:AS, "")), ""), "")))</f>
        <v/>
      </c>
      <c r="M1011" s="26" t="str">
        <f>IF(OR(F1011 = "", G1011 = ""), "", IF(F1011 = "Vara", IFERROR(_xlfn.SINGLE(_xlfn.XLOOKUP(G1011, Vöruskrá!A:A, Vöruskrá!F:F, "")), ""), IF(F1011 = "Réttur", IFERROR(_xlfn.SINGLE(_xlfn.XLOOKUP(G1011, Réttabanki!A:A, Réttabanki!AT:AT, "")), ""), "")))</f>
        <v/>
      </c>
      <c r="N1011" s="26" t="str">
        <f>IF(OR(F1011 = "", G1011 = ""), "", IF(F1011 = "Vara", IFERROR(_xlfn.SINGLE(_xlfn.XLOOKUP(G1011, Vöruskrá!A:A, Vöruskrá!G:G, "")), ""), IF(F1011 = "Réttur", IFERROR(_xlfn.SINGLE(_xlfn.XLOOKUP(G1011, Réttabanki!A:A, Réttabanki!AU:AU, "")), ""), "")))</f>
        <v/>
      </c>
      <c r="O1011" s="26" t="str">
        <f>IF(OR(F1011 = "", G1011 = "", I1011 = ""), "", IF(F1011 = "Vara", IFERROR(_xlfn.SINGLE(_xlfn.XLOOKUP(G1011, Vöruskrá!A:A, Vöruskrá!I:I, "")) * I1011 / 100, ""), IF(F1011 = "Réttur", IFERROR(_xlfn.SINGLE(_xlfn.XLOOKUP(G1011, Réttabanki!A:A, Réttabanki!AV:AV, "")) * I1011 / 100, ""), "")))</f>
        <v/>
      </c>
      <c r="P1011" s="26" t="str">
        <f>IF(OR(F1011 = "", G1011 = "", I1011 = ""), "", IF(F1011 = "Vara", IFERROR(_xlfn.SINGLE(_xlfn.XLOOKUP(G1011, Vöruskrá!A:A, Vöruskrá!J:J, "")) * I1011 / 100, ""), IF(F1011 = "Réttur", IFERROR(_xlfn.SINGLE(_xlfn.XLOOKUP(G1011, Réttabanki!A:A, Réttabanki!AW:AW, "")) * I1011 / 100, ""), "")))</f>
        <v/>
      </c>
      <c r="Q1011" s="26" t="str">
        <f>IF(OR(F1011 = "", G1011 = "", I1011 = ""), "", IF(F1011 = "Vara", IFERROR(_xlfn.SINGLE(_xlfn.XLOOKUP(G1011, Vöruskrá!A:A, Vöruskrá!N:N, "")) * I1011 / 100, ""), IF(F1011 = "Réttur", IFERROR(_xlfn.SINGLE(_xlfn.XLOOKUP(G1011, Réttabanki!A:A, Réttabanki!BB:BB, "")) * I1011 / 100, ""), "")))</f>
        <v/>
      </c>
    </row>
    <row r="1012" spans="2:17">
      <c r="B1012" s="33" t="str">
        <f>IF(A1012&lt;&gt;"",CHOOSE(WEEKDAY(A1012,2),"Mánudagur","Þriðjudagur","Miðvikudagur","Fimmtudagur","Föstudagur","Laugardagur","Sunnudagur"),IF(B1011&lt;&gt;"",B1011,""))</f>
        <v>Fimmtudagur</v>
      </c>
      <c r="C1012" s="33">
        <f>IF(A1012&lt;&gt;"",WEEKNUM(A1012,21),IF(C1011&lt;&gt;"",C1011,""))</f>
        <v>27</v>
      </c>
      <c r="D1012" s="34"/>
      <c r="E1012" s="34"/>
      <c r="F1012" s="34"/>
      <c r="G1012" s="34"/>
      <c r="H1012" s="34"/>
      <c r="I1012" s="35"/>
      <c r="J1012" s="35"/>
      <c r="K1012" s="36"/>
      <c r="L1012" s="26" t="str">
        <f>IF(OR(F1012 = "", G1012 = ""), "", IF(F1012 = "Vara", IFERROR(_xlfn.SINGLE(_xlfn.XLOOKUP(G1012, Vöruskrá!A:A, Vöruskrá!E:E, "")), ""), IF(F1012 = "Réttur", IFERROR(_xlfn.SINGLE(_xlfn.XLOOKUP(G1012, Réttabanki!A:A, Réttabanki!AS:AS, "")), ""), "")))</f>
        <v/>
      </c>
      <c r="M1012" s="26" t="str">
        <f>IF(OR(F1012 = "", G1012 = ""), "", IF(F1012 = "Vara", IFERROR(_xlfn.SINGLE(_xlfn.XLOOKUP(G1012, Vöruskrá!A:A, Vöruskrá!F:F, "")), ""), IF(F1012 = "Réttur", IFERROR(_xlfn.SINGLE(_xlfn.XLOOKUP(G1012, Réttabanki!A:A, Réttabanki!AT:AT, "")), ""), "")))</f>
        <v/>
      </c>
      <c r="N1012" s="26" t="str">
        <f>IF(OR(F1012 = "", G1012 = ""), "", IF(F1012 = "Vara", IFERROR(_xlfn.SINGLE(_xlfn.XLOOKUP(G1012, Vöruskrá!A:A, Vöruskrá!G:G, "")), ""), IF(F1012 = "Réttur", IFERROR(_xlfn.SINGLE(_xlfn.XLOOKUP(G1012, Réttabanki!A:A, Réttabanki!AU:AU, "")), ""), "")))</f>
        <v/>
      </c>
      <c r="O1012" s="26" t="str">
        <f>IF(OR(F1012 = "", G1012 = "", I1012 = ""), "", IF(F1012 = "Vara", IFERROR(_xlfn.SINGLE(_xlfn.XLOOKUP(G1012, Vöruskrá!A:A, Vöruskrá!I:I, "")) * I1012 / 100, ""), IF(F1012 = "Réttur", IFERROR(_xlfn.SINGLE(_xlfn.XLOOKUP(G1012, Réttabanki!A:A, Réttabanki!AV:AV, "")) * I1012 / 100, ""), "")))</f>
        <v/>
      </c>
      <c r="P1012" s="26" t="str">
        <f>IF(OR(F1012 = "", G1012 = "", I1012 = ""), "", IF(F1012 = "Vara", IFERROR(_xlfn.SINGLE(_xlfn.XLOOKUP(G1012, Vöruskrá!A:A, Vöruskrá!J:J, "")) * I1012 / 100, ""), IF(F1012 = "Réttur", IFERROR(_xlfn.SINGLE(_xlfn.XLOOKUP(G1012, Réttabanki!A:A, Réttabanki!AW:AW, "")) * I1012 / 100, ""), "")))</f>
        <v/>
      </c>
      <c r="Q1012" s="26" t="str">
        <f>IF(OR(F1012 = "", G1012 = "", I1012 = ""), "", IF(F1012 = "Vara", IFERROR(_xlfn.SINGLE(_xlfn.XLOOKUP(G1012, Vöruskrá!A:A, Vöruskrá!N:N, "")) * I1012 / 100, ""), IF(F1012 = "Réttur", IFERROR(_xlfn.SINGLE(_xlfn.XLOOKUP(G1012, Réttabanki!A:A, Réttabanki!BB:BB, "")) * I1012 / 100, ""), "")))</f>
        <v/>
      </c>
    </row>
    <row r="1013" spans="2:17">
      <c r="B1013" s="33" t="str">
        <f>IF(A1013&lt;&gt;"",CHOOSE(WEEKDAY(A1013,2),"Mánudagur","Þriðjudagur","Miðvikudagur","Fimmtudagur","Föstudagur","Laugardagur","Sunnudagur"),IF(B1012&lt;&gt;"",B1012,""))</f>
        <v>Fimmtudagur</v>
      </c>
      <c r="C1013" s="33">
        <f>IF(A1013&lt;&gt;"",WEEKNUM(A1013,21),IF(C1012&lt;&gt;"",C1012,""))</f>
        <v>27</v>
      </c>
      <c r="D1013" s="34"/>
      <c r="E1013" s="34"/>
      <c r="F1013" s="34"/>
      <c r="G1013" s="34"/>
      <c r="H1013" s="34"/>
      <c r="I1013" s="35"/>
      <c r="J1013" s="35"/>
      <c r="K1013" s="36"/>
      <c r="L1013" s="26" t="str">
        <f>IF(OR(F1013 = "", G1013 = ""), "", IF(F1013 = "Vara", IFERROR(_xlfn.SINGLE(_xlfn.XLOOKUP(G1013, Vöruskrá!A:A, Vöruskrá!E:E, "")), ""), IF(F1013 = "Réttur", IFERROR(_xlfn.SINGLE(_xlfn.XLOOKUP(G1013, Réttabanki!A:A, Réttabanki!AS:AS, "")), ""), "")))</f>
        <v/>
      </c>
      <c r="M1013" s="26" t="str">
        <f>IF(OR(F1013 = "", G1013 = ""), "", IF(F1013 = "Vara", IFERROR(_xlfn.SINGLE(_xlfn.XLOOKUP(G1013, Vöruskrá!A:A, Vöruskrá!F:F, "")), ""), IF(F1013 = "Réttur", IFERROR(_xlfn.SINGLE(_xlfn.XLOOKUP(G1013, Réttabanki!A:A, Réttabanki!AT:AT, "")), ""), "")))</f>
        <v/>
      </c>
      <c r="N1013" s="26" t="str">
        <f>IF(OR(F1013 = "", G1013 = ""), "", IF(F1013 = "Vara", IFERROR(_xlfn.SINGLE(_xlfn.XLOOKUP(G1013, Vöruskrá!A:A, Vöruskrá!G:G, "")), ""), IF(F1013 = "Réttur", IFERROR(_xlfn.SINGLE(_xlfn.XLOOKUP(G1013, Réttabanki!A:A, Réttabanki!AU:AU, "")), ""), "")))</f>
        <v/>
      </c>
      <c r="O1013" s="26" t="str">
        <f>IF(OR(F1013 = "", G1013 = "", I1013 = ""), "", IF(F1013 = "Vara", IFERROR(_xlfn.SINGLE(_xlfn.XLOOKUP(G1013, Vöruskrá!A:A, Vöruskrá!I:I, "")) * I1013 / 100, ""), IF(F1013 = "Réttur", IFERROR(_xlfn.SINGLE(_xlfn.XLOOKUP(G1013, Réttabanki!A:A, Réttabanki!AV:AV, "")) * I1013 / 100, ""), "")))</f>
        <v/>
      </c>
      <c r="P1013" s="26" t="str">
        <f>IF(OR(F1013 = "", G1013 = "", I1013 = ""), "", IF(F1013 = "Vara", IFERROR(_xlfn.SINGLE(_xlfn.XLOOKUP(G1013, Vöruskrá!A:A, Vöruskrá!J:J, "")) * I1013 / 100, ""), IF(F1013 = "Réttur", IFERROR(_xlfn.SINGLE(_xlfn.XLOOKUP(G1013, Réttabanki!A:A, Réttabanki!AW:AW, "")) * I1013 / 100, ""), "")))</f>
        <v/>
      </c>
      <c r="Q1013" s="26" t="str">
        <f>IF(OR(F1013 = "", G1013 = "", I1013 = ""), "", IF(F1013 = "Vara", IFERROR(_xlfn.SINGLE(_xlfn.XLOOKUP(G1013, Vöruskrá!A:A, Vöruskrá!N:N, "")) * I1013 / 100, ""), IF(F1013 = "Réttur", IFERROR(_xlfn.SINGLE(_xlfn.XLOOKUP(G1013, Réttabanki!A:A, Réttabanki!BB:BB, "")) * I1013 / 100, ""), "")))</f>
        <v/>
      </c>
    </row>
    <row r="1014" spans="2:17">
      <c r="B1014" s="33" t="str">
        <f>IF(A1014&lt;&gt;"",CHOOSE(WEEKDAY(A1014,2),"Mánudagur","Þriðjudagur","Miðvikudagur","Fimmtudagur","Föstudagur","Laugardagur","Sunnudagur"),IF(B1013&lt;&gt;"",B1013,""))</f>
        <v>Fimmtudagur</v>
      </c>
      <c r="C1014" s="33">
        <f>IF(A1014&lt;&gt;"",WEEKNUM(A1014,21),IF(C1013&lt;&gt;"",C1013,""))</f>
        <v>27</v>
      </c>
      <c r="D1014" s="34"/>
      <c r="E1014" s="34"/>
      <c r="F1014" s="34"/>
      <c r="G1014" s="34"/>
      <c r="H1014" s="34"/>
      <c r="I1014" s="35"/>
      <c r="J1014" s="35"/>
      <c r="K1014" s="36"/>
      <c r="L1014" s="26" t="str">
        <f>IF(OR(F1014 = "", G1014 = ""), "", IF(F1014 = "Vara", IFERROR(_xlfn.SINGLE(_xlfn.XLOOKUP(G1014, Vöruskrá!A:A, Vöruskrá!E:E, "")), ""), IF(F1014 = "Réttur", IFERROR(_xlfn.SINGLE(_xlfn.XLOOKUP(G1014, Réttabanki!A:A, Réttabanki!AS:AS, "")), ""), "")))</f>
        <v/>
      </c>
      <c r="M1014" s="26" t="str">
        <f>IF(OR(F1014 = "", G1014 = ""), "", IF(F1014 = "Vara", IFERROR(_xlfn.SINGLE(_xlfn.XLOOKUP(G1014, Vöruskrá!A:A, Vöruskrá!F:F, "")), ""), IF(F1014 = "Réttur", IFERROR(_xlfn.SINGLE(_xlfn.XLOOKUP(G1014, Réttabanki!A:A, Réttabanki!AT:AT, "")), ""), "")))</f>
        <v/>
      </c>
      <c r="N1014" s="26" t="str">
        <f>IF(OR(F1014 = "", G1014 = ""), "", IF(F1014 = "Vara", IFERROR(_xlfn.SINGLE(_xlfn.XLOOKUP(G1014, Vöruskrá!A:A, Vöruskrá!G:G, "")), ""), IF(F1014 = "Réttur", IFERROR(_xlfn.SINGLE(_xlfn.XLOOKUP(G1014, Réttabanki!A:A, Réttabanki!AU:AU, "")), ""), "")))</f>
        <v/>
      </c>
      <c r="O1014" s="26" t="str">
        <f>IF(OR(F1014 = "", G1014 = "", I1014 = ""), "", IF(F1014 = "Vara", IFERROR(_xlfn.SINGLE(_xlfn.XLOOKUP(G1014, Vöruskrá!A:A, Vöruskrá!I:I, "")) * I1014 / 100, ""), IF(F1014 = "Réttur", IFERROR(_xlfn.SINGLE(_xlfn.XLOOKUP(G1014, Réttabanki!A:A, Réttabanki!AV:AV, "")) * I1014 / 100, ""), "")))</f>
        <v/>
      </c>
      <c r="P1014" s="26" t="str">
        <f>IF(OR(F1014 = "", G1014 = "", I1014 = ""), "", IF(F1014 = "Vara", IFERROR(_xlfn.SINGLE(_xlfn.XLOOKUP(G1014, Vöruskrá!A:A, Vöruskrá!J:J, "")) * I1014 / 100, ""), IF(F1014 = "Réttur", IFERROR(_xlfn.SINGLE(_xlfn.XLOOKUP(G1014, Réttabanki!A:A, Réttabanki!AW:AW, "")) * I1014 / 100, ""), "")))</f>
        <v/>
      </c>
      <c r="Q1014" s="26" t="str">
        <f>IF(OR(F1014 = "", G1014 = "", I1014 = ""), "", IF(F1014 = "Vara", IFERROR(_xlfn.SINGLE(_xlfn.XLOOKUP(G1014, Vöruskrá!A:A, Vöruskrá!N:N, "")) * I1014 / 100, ""), IF(F1014 = "Réttur", IFERROR(_xlfn.SINGLE(_xlfn.XLOOKUP(G1014, Réttabanki!A:A, Réttabanki!BB:BB, "")) * I1014 / 100, ""), "")))</f>
        <v/>
      </c>
    </row>
    <row r="1015" spans="2:17">
      <c r="B1015" s="33" t="str">
        <f>IF(A1015&lt;&gt;"",CHOOSE(WEEKDAY(A1015,2),"Mánudagur","Þriðjudagur","Miðvikudagur","Fimmtudagur","Föstudagur","Laugardagur","Sunnudagur"),IF(B1014&lt;&gt;"",B1014,""))</f>
        <v>Fimmtudagur</v>
      </c>
      <c r="C1015" s="33">
        <f>IF(A1015&lt;&gt;"",WEEKNUM(A1015,21),IF(C1014&lt;&gt;"",C1014,""))</f>
        <v>27</v>
      </c>
      <c r="D1015" s="34"/>
      <c r="E1015" s="34"/>
      <c r="F1015" s="34"/>
      <c r="G1015" s="34"/>
      <c r="H1015" s="34"/>
      <c r="I1015" s="35"/>
      <c r="J1015" s="35"/>
      <c r="K1015" s="36"/>
      <c r="L1015" s="26" t="str">
        <f>IF(OR(F1015 = "", G1015 = ""), "", IF(F1015 = "Vara", IFERROR(_xlfn.SINGLE(_xlfn.XLOOKUP(G1015, Vöruskrá!A:A, Vöruskrá!E:E, "")), ""), IF(F1015 = "Réttur", IFERROR(_xlfn.SINGLE(_xlfn.XLOOKUP(G1015, Réttabanki!A:A, Réttabanki!AS:AS, "")), ""), "")))</f>
        <v/>
      </c>
      <c r="M1015" s="26" t="str">
        <f>IF(OR(F1015 = "", G1015 = ""), "", IF(F1015 = "Vara", IFERROR(_xlfn.SINGLE(_xlfn.XLOOKUP(G1015, Vöruskrá!A:A, Vöruskrá!F:F, "")), ""), IF(F1015 = "Réttur", IFERROR(_xlfn.SINGLE(_xlfn.XLOOKUP(G1015, Réttabanki!A:A, Réttabanki!AT:AT, "")), ""), "")))</f>
        <v/>
      </c>
      <c r="N1015" s="26" t="str">
        <f>IF(OR(F1015 = "", G1015 = ""), "", IF(F1015 = "Vara", IFERROR(_xlfn.SINGLE(_xlfn.XLOOKUP(G1015, Vöruskrá!A:A, Vöruskrá!G:G, "")), ""), IF(F1015 = "Réttur", IFERROR(_xlfn.SINGLE(_xlfn.XLOOKUP(G1015, Réttabanki!A:A, Réttabanki!AU:AU, "")), ""), "")))</f>
        <v/>
      </c>
      <c r="O1015" s="26" t="str">
        <f>IF(OR(F1015 = "", G1015 = "", I1015 = ""), "", IF(F1015 = "Vara", IFERROR(_xlfn.SINGLE(_xlfn.XLOOKUP(G1015, Vöruskrá!A:A, Vöruskrá!I:I, "")) * I1015 / 100, ""), IF(F1015 = "Réttur", IFERROR(_xlfn.SINGLE(_xlfn.XLOOKUP(G1015, Réttabanki!A:A, Réttabanki!AV:AV, "")) * I1015 / 100, ""), "")))</f>
        <v/>
      </c>
      <c r="P1015" s="26" t="str">
        <f>IF(OR(F1015 = "", G1015 = "", I1015 = ""), "", IF(F1015 = "Vara", IFERROR(_xlfn.SINGLE(_xlfn.XLOOKUP(G1015, Vöruskrá!A:A, Vöruskrá!J:J, "")) * I1015 / 100, ""), IF(F1015 = "Réttur", IFERROR(_xlfn.SINGLE(_xlfn.XLOOKUP(G1015, Réttabanki!A:A, Réttabanki!AW:AW, "")) * I1015 / 100, ""), "")))</f>
        <v/>
      </c>
      <c r="Q1015" s="26" t="str">
        <f>IF(OR(F1015 = "", G1015 = "", I1015 = ""), "", IF(F1015 = "Vara", IFERROR(_xlfn.SINGLE(_xlfn.XLOOKUP(G1015, Vöruskrá!A:A, Vöruskrá!N:N, "")) * I1015 / 100, ""), IF(F1015 = "Réttur", IFERROR(_xlfn.SINGLE(_xlfn.XLOOKUP(G1015, Réttabanki!A:A, Réttabanki!BB:BB, "")) * I1015 / 100, ""), "")))</f>
        <v/>
      </c>
    </row>
    <row r="1016" spans="2:17">
      <c r="B1016" s="33" t="str">
        <f>IF(A1016&lt;&gt;"",CHOOSE(WEEKDAY(A1016,2),"Mánudagur","Þriðjudagur","Miðvikudagur","Fimmtudagur","Föstudagur","Laugardagur","Sunnudagur"),IF(B1015&lt;&gt;"",B1015,""))</f>
        <v>Fimmtudagur</v>
      </c>
      <c r="C1016" s="33">
        <f>IF(A1016&lt;&gt;"",WEEKNUM(A1016,21),IF(C1015&lt;&gt;"",C1015,""))</f>
        <v>27</v>
      </c>
      <c r="D1016" s="34"/>
      <c r="E1016" s="34"/>
      <c r="F1016" s="34"/>
      <c r="G1016" s="34"/>
      <c r="H1016" s="34"/>
      <c r="I1016" s="35"/>
      <c r="J1016" s="35"/>
      <c r="K1016" s="36"/>
      <c r="L1016" s="26" t="str">
        <f>IF(OR(F1016 = "", G1016 = ""), "", IF(F1016 = "Vara", IFERROR(_xlfn.SINGLE(_xlfn.XLOOKUP(G1016, Vöruskrá!A:A, Vöruskrá!E:E, "")), ""), IF(F1016 = "Réttur", IFERROR(_xlfn.SINGLE(_xlfn.XLOOKUP(G1016, Réttabanki!A:A, Réttabanki!AS:AS, "")), ""), "")))</f>
        <v/>
      </c>
      <c r="M1016" s="26" t="str">
        <f>IF(OR(F1016 = "", G1016 = ""), "", IF(F1016 = "Vara", IFERROR(_xlfn.SINGLE(_xlfn.XLOOKUP(G1016, Vöruskrá!A:A, Vöruskrá!F:F, "")), ""), IF(F1016 = "Réttur", IFERROR(_xlfn.SINGLE(_xlfn.XLOOKUP(G1016, Réttabanki!A:A, Réttabanki!AT:AT, "")), ""), "")))</f>
        <v/>
      </c>
      <c r="N1016" s="26" t="str">
        <f>IF(OR(F1016 = "", G1016 = ""), "", IF(F1016 = "Vara", IFERROR(_xlfn.SINGLE(_xlfn.XLOOKUP(G1016, Vöruskrá!A:A, Vöruskrá!G:G, "")), ""), IF(F1016 = "Réttur", IFERROR(_xlfn.SINGLE(_xlfn.XLOOKUP(G1016, Réttabanki!A:A, Réttabanki!AU:AU, "")), ""), "")))</f>
        <v/>
      </c>
      <c r="O1016" s="26" t="str">
        <f>IF(OR(F1016 = "", G1016 = "", I1016 = ""), "", IF(F1016 = "Vara", IFERROR(_xlfn.SINGLE(_xlfn.XLOOKUP(G1016, Vöruskrá!A:A, Vöruskrá!I:I, "")) * I1016 / 100, ""), IF(F1016 = "Réttur", IFERROR(_xlfn.SINGLE(_xlfn.XLOOKUP(G1016, Réttabanki!A:A, Réttabanki!AV:AV, "")) * I1016 / 100, ""), "")))</f>
        <v/>
      </c>
      <c r="P1016" s="26" t="str">
        <f>IF(OR(F1016 = "", G1016 = "", I1016 = ""), "", IF(F1016 = "Vara", IFERROR(_xlfn.SINGLE(_xlfn.XLOOKUP(G1016, Vöruskrá!A:A, Vöruskrá!J:J, "")) * I1016 / 100, ""), IF(F1016 = "Réttur", IFERROR(_xlfn.SINGLE(_xlfn.XLOOKUP(G1016, Réttabanki!A:A, Réttabanki!AW:AW, "")) * I1016 / 100, ""), "")))</f>
        <v/>
      </c>
      <c r="Q1016" s="26" t="str">
        <f>IF(OR(F1016 = "", G1016 = "", I1016 = ""), "", IF(F1016 = "Vara", IFERROR(_xlfn.SINGLE(_xlfn.XLOOKUP(G1016, Vöruskrá!A:A, Vöruskrá!N:N, "")) * I1016 / 100, ""), IF(F1016 = "Réttur", IFERROR(_xlfn.SINGLE(_xlfn.XLOOKUP(G1016, Réttabanki!A:A, Réttabanki!BB:BB, "")) * I1016 / 100, ""), "")))</f>
        <v/>
      </c>
    </row>
    <row r="1017" spans="2:17">
      <c r="B1017" s="33" t="str">
        <f>IF(A1017&lt;&gt;"",CHOOSE(WEEKDAY(A1017,2),"Mánudagur","Þriðjudagur","Miðvikudagur","Fimmtudagur","Föstudagur","Laugardagur","Sunnudagur"),IF(B1016&lt;&gt;"",B1016,""))</f>
        <v>Fimmtudagur</v>
      </c>
      <c r="C1017" s="33">
        <f>IF(A1017&lt;&gt;"",WEEKNUM(A1017,21),IF(C1016&lt;&gt;"",C1016,""))</f>
        <v>27</v>
      </c>
      <c r="D1017" s="34"/>
      <c r="E1017" s="34"/>
      <c r="F1017" s="34"/>
      <c r="G1017" s="34"/>
      <c r="H1017" s="34"/>
      <c r="I1017" s="35"/>
      <c r="J1017" s="35"/>
      <c r="K1017" s="36"/>
      <c r="L1017" s="26" t="str">
        <f>IF(OR(F1017 = "", G1017 = ""), "", IF(F1017 = "Vara", IFERROR(_xlfn.SINGLE(_xlfn.XLOOKUP(G1017, Vöruskrá!A:A, Vöruskrá!E:E, "")), ""), IF(F1017 = "Réttur", IFERROR(_xlfn.SINGLE(_xlfn.XLOOKUP(G1017, Réttabanki!A:A, Réttabanki!AS:AS, "")), ""), "")))</f>
        <v/>
      </c>
      <c r="M1017" s="26" t="str">
        <f>IF(OR(F1017 = "", G1017 = ""), "", IF(F1017 = "Vara", IFERROR(_xlfn.SINGLE(_xlfn.XLOOKUP(G1017, Vöruskrá!A:A, Vöruskrá!F:F, "")), ""), IF(F1017 = "Réttur", IFERROR(_xlfn.SINGLE(_xlfn.XLOOKUP(G1017, Réttabanki!A:A, Réttabanki!AT:AT, "")), ""), "")))</f>
        <v/>
      </c>
      <c r="N1017" s="26" t="str">
        <f>IF(OR(F1017 = "", G1017 = ""), "", IF(F1017 = "Vara", IFERROR(_xlfn.SINGLE(_xlfn.XLOOKUP(G1017, Vöruskrá!A:A, Vöruskrá!G:G, "")), ""), IF(F1017 = "Réttur", IFERROR(_xlfn.SINGLE(_xlfn.XLOOKUP(G1017, Réttabanki!A:A, Réttabanki!AU:AU, "")), ""), "")))</f>
        <v/>
      </c>
      <c r="O1017" s="26" t="str">
        <f>IF(OR(F1017 = "", G1017 = "", I1017 = ""), "", IF(F1017 = "Vara", IFERROR(_xlfn.SINGLE(_xlfn.XLOOKUP(G1017, Vöruskrá!A:A, Vöruskrá!I:I, "")) * I1017 / 100, ""), IF(F1017 = "Réttur", IFERROR(_xlfn.SINGLE(_xlfn.XLOOKUP(G1017, Réttabanki!A:A, Réttabanki!AV:AV, "")) * I1017 / 100, ""), "")))</f>
        <v/>
      </c>
      <c r="P1017" s="26" t="str">
        <f>IF(OR(F1017 = "", G1017 = "", I1017 = ""), "", IF(F1017 = "Vara", IFERROR(_xlfn.SINGLE(_xlfn.XLOOKUP(G1017, Vöruskrá!A:A, Vöruskrá!J:J, "")) * I1017 / 100, ""), IF(F1017 = "Réttur", IFERROR(_xlfn.SINGLE(_xlfn.XLOOKUP(G1017, Réttabanki!A:A, Réttabanki!AW:AW, "")) * I1017 / 100, ""), "")))</f>
        <v/>
      </c>
      <c r="Q1017" s="26" t="str">
        <f>IF(OR(F1017 = "", G1017 = "", I1017 = ""), "", IF(F1017 = "Vara", IFERROR(_xlfn.SINGLE(_xlfn.XLOOKUP(G1017, Vöruskrá!A:A, Vöruskrá!N:N, "")) * I1017 / 100, ""), IF(F1017 = "Réttur", IFERROR(_xlfn.SINGLE(_xlfn.XLOOKUP(G1017, Réttabanki!A:A, Réttabanki!BB:BB, "")) * I1017 / 100, ""), "")))</f>
        <v/>
      </c>
    </row>
    <row r="1018" spans="2:17">
      <c r="B1018" s="33" t="str">
        <f>IF(A1018&lt;&gt;"",CHOOSE(WEEKDAY(A1018,2),"Mánudagur","Þriðjudagur","Miðvikudagur","Fimmtudagur","Föstudagur","Laugardagur","Sunnudagur"),IF(B1017&lt;&gt;"",B1017,""))</f>
        <v>Fimmtudagur</v>
      </c>
      <c r="C1018" s="33">
        <f>IF(A1018&lt;&gt;"",WEEKNUM(A1018,21),IF(C1017&lt;&gt;"",C1017,""))</f>
        <v>27</v>
      </c>
      <c r="D1018" s="34"/>
      <c r="E1018" s="34"/>
      <c r="F1018" s="34"/>
      <c r="G1018" s="34"/>
      <c r="H1018" s="34"/>
      <c r="I1018" s="35"/>
      <c r="J1018" s="35"/>
      <c r="K1018" s="36"/>
      <c r="L1018" s="26" t="str">
        <f>IF(OR(F1018 = "", G1018 = ""), "", IF(F1018 = "Vara", IFERROR(_xlfn.SINGLE(_xlfn.XLOOKUP(G1018, Vöruskrá!A:A, Vöruskrá!E:E, "")), ""), IF(F1018 = "Réttur", IFERROR(_xlfn.SINGLE(_xlfn.XLOOKUP(G1018, Réttabanki!A:A, Réttabanki!AS:AS, "")), ""), "")))</f>
        <v/>
      </c>
      <c r="M1018" s="26" t="str">
        <f>IF(OR(F1018 = "", G1018 = ""), "", IF(F1018 = "Vara", IFERROR(_xlfn.SINGLE(_xlfn.XLOOKUP(G1018, Vöruskrá!A:A, Vöruskrá!F:F, "")), ""), IF(F1018 = "Réttur", IFERROR(_xlfn.SINGLE(_xlfn.XLOOKUP(G1018, Réttabanki!A:A, Réttabanki!AT:AT, "")), ""), "")))</f>
        <v/>
      </c>
      <c r="N1018" s="26" t="str">
        <f>IF(OR(F1018 = "", G1018 = ""), "", IF(F1018 = "Vara", IFERROR(_xlfn.SINGLE(_xlfn.XLOOKUP(G1018, Vöruskrá!A:A, Vöruskrá!G:G, "")), ""), IF(F1018 = "Réttur", IFERROR(_xlfn.SINGLE(_xlfn.XLOOKUP(G1018, Réttabanki!A:A, Réttabanki!AU:AU, "")), ""), "")))</f>
        <v/>
      </c>
      <c r="O1018" s="26" t="str">
        <f>IF(OR(F1018 = "", G1018 = "", I1018 = ""), "", IF(F1018 = "Vara", IFERROR(_xlfn.SINGLE(_xlfn.XLOOKUP(G1018, Vöruskrá!A:A, Vöruskrá!I:I, "")) * I1018 / 100, ""), IF(F1018 = "Réttur", IFERROR(_xlfn.SINGLE(_xlfn.XLOOKUP(G1018, Réttabanki!A:A, Réttabanki!AV:AV, "")) * I1018 / 100, ""), "")))</f>
        <v/>
      </c>
      <c r="P1018" s="26" t="str">
        <f>IF(OR(F1018 = "", G1018 = "", I1018 = ""), "", IF(F1018 = "Vara", IFERROR(_xlfn.SINGLE(_xlfn.XLOOKUP(G1018, Vöruskrá!A:A, Vöruskrá!J:J, "")) * I1018 / 100, ""), IF(F1018 = "Réttur", IFERROR(_xlfn.SINGLE(_xlfn.XLOOKUP(G1018, Réttabanki!A:A, Réttabanki!AW:AW, "")) * I1018 / 100, ""), "")))</f>
        <v/>
      </c>
      <c r="Q1018" s="26" t="str">
        <f>IF(OR(F1018 = "", G1018 = "", I1018 = ""), "", IF(F1018 = "Vara", IFERROR(_xlfn.SINGLE(_xlfn.XLOOKUP(G1018, Vöruskrá!A:A, Vöruskrá!N:N, "")) * I1018 / 100, ""), IF(F1018 = "Réttur", IFERROR(_xlfn.SINGLE(_xlfn.XLOOKUP(G1018, Réttabanki!A:A, Réttabanki!BB:BB, "")) * I1018 / 100, ""), "")))</f>
        <v/>
      </c>
    </row>
    <row r="1019" spans="2:17">
      <c r="B1019" s="33" t="str">
        <f>IF(A1019&lt;&gt;"",CHOOSE(WEEKDAY(A1019,2),"Mánudagur","Þriðjudagur","Miðvikudagur","Fimmtudagur","Föstudagur","Laugardagur","Sunnudagur"),IF(B1018&lt;&gt;"",B1018,""))</f>
        <v>Fimmtudagur</v>
      </c>
      <c r="C1019" s="33">
        <f>IF(A1019&lt;&gt;"",WEEKNUM(A1019,21),IF(C1018&lt;&gt;"",C1018,""))</f>
        <v>27</v>
      </c>
      <c r="D1019" s="34"/>
      <c r="E1019" s="34"/>
      <c r="F1019" s="34"/>
      <c r="G1019" s="34"/>
      <c r="H1019" s="34"/>
      <c r="I1019" s="35"/>
      <c r="J1019" s="35"/>
      <c r="K1019" s="36"/>
      <c r="L1019" s="26" t="str">
        <f>IF(OR(F1019 = "", G1019 = ""), "", IF(F1019 = "Vara", IFERROR(_xlfn.SINGLE(_xlfn.XLOOKUP(G1019, Vöruskrá!A:A, Vöruskrá!E:E, "")), ""), IF(F1019 = "Réttur", IFERROR(_xlfn.SINGLE(_xlfn.XLOOKUP(G1019, Réttabanki!A:A, Réttabanki!AS:AS, "")), ""), "")))</f>
        <v/>
      </c>
      <c r="M1019" s="26" t="str">
        <f>IF(OR(F1019 = "", G1019 = ""), "", IF(F1019 = "Vara", IFERROR(_xlfn.SINGLE(_xlfn.XLOOKUP(G1019, Vöruskrá!A:A, Vöruskrá!F:F, "")), ""), IF(F1019 = "Réttur", IFERROR(_xlfn.SINGLE(_xlfn.XLOOKUP(G1019, Réttabanki!A:A, Réttabanki!AT:AT, "")), ""), "")))</f>
        <v/>
      </c>
      <c r="N1019" s="26" t="str">
        <f>IF(OR(F1019 = "", G1019 = ""), "", IF(F1019 = "Vara", IFERROR(_xlfn.SINGLE(_xlfn.XLOOKUP(G1019, Vöruskrá!A:A, Vöruskrá!G:G, "")), ""), IF(F1019 = "Réttur", IFERROR(_xlfn.SINGLE(_xlfn.XLOOKUP(G1019, Réttabanki!A:A, Réttabanki!AU:AU, "")), ""), "")))</f>
        <v/>
      </c>
      <c r="O1019" s="26" t="str">
        <f>IF(OR(F1019 = "", G1019 = "", I1019 = ""), "", IF(F1019 = "Vara", IFERROR(_xlfn.SINGLE(_xlfn.XLOOKUP(G1019, Vöruskrá!A:A, Vöruskrá!I:I, "")) * I1019 / 100, ""), IF(F1019 = "Réttur", IFERROR(_xlfn.SINGLE(_xlfn.XLOOKUP(G1019, Réttabanki!A:A, Réttabanki!AV:AV, "")) * I1019 / 100, ""), "")))</f>
        <v/>
      </c>
      <c r="P1019" s="26" t="str">
        <f>IF(OR(F1019 = "", G1019 = "", I1019 = ""), "", IF(F1019 = "Vara", IFERROR(_xlfn.SINGLE(_xlfn.XLOOKUP(G1019, Vöruskrá!A:A, Vöruskrá!J:J, "")) * I1019 / 100, ""), IF(F1019 = "Réttur", IFERROR(_xlfn.SINGLE(_xlfn.XLOOKUP(G1019, Réttabanki!A:A, Réttabanki!AW:AW, "")) * I1019 / 100, ""), "")))</f>
        <v/>
      </c>
      <c r="Q1019" s="26" t="str">
        <f>IF(OR(F1019 = "", G1019 = "", I1019 = ""), "", IF(F1019 = "Vara", IFERROR(_xlfn.SINGLE(_xlfn.XLOOKUP(G1019, Vöruskrá!A:A, Vöruskrá!N:N, "")) * I1019 / 100, ""), IF(F1019 = "Réttur", IFERROR(_xlfn.SINGLE(_xlfn.XLOOKUP(G1019, Réttabanki!A:A, Réttabanki!BB:BB, "")) * I1019 / 100, ""), "")))</f>
        <v/>
      </c>
    </row>
    <row r="1020" spans="2:17">
      <c r="B1020" s="33" t="str">
        <f>IF(A1020&lt;&gt;"",CHOOSE(WEEKDAY(A1020,2),"Mánudagur","Þriðjudagur","Miðvikudagur","Fimmtudagur","Föstudagur","Laugardagur","Sunnudagur"),IF(B1019&lt;&gt;"",B1019,""))</f>
        <v>Fimmtudagur</v>
      </c>
      <c r="C1020" s="33">
        <f>IF(A1020&lt;&gt;"",WEEKNUM(A1020,21),IF(C1019&lt;&gt;"",C1019,""))</f>
        <v>27</v>
      </c>
      <c r="D1020" s="34"/>
      <c r="E1020" s="34"/>
      <c r="F1020" s="34"/>
      <c r="G1020" s="34"/>
      <c r="H1020" s="34"/>
      <c r="I1020" s="35"/>
      <c r="J1020" s="35"/>
      <c r="K1020" s="36"/>
      <c r="L1020" s="26" t="str">
        <f>IF(OR(F1020 = "", G1020 = ""), "", IF(F1020 = "Vara", IFERROR(_xlfn.SINGLE(_xlfn.XLOOKUP(G1020, Vöruskrá!A:A, Vöruskrá!E:E, "")), ""), IF(F1020 = "Réttur", IFERROR(_xlfn.SINGLE(_xlfn.XLOOKUP(G1020, Réttabanki!A:A, Réttabanki!AS:AS, "")), ""), "")))</f>
        <v/>
      </c>
      <c r="M1020" s="26" t="str">
        <f>IF(OR(F1020 = "", G1020 = ""), "", IF(F1020 = "Vara", IFERROR(_xlfn.SINGLE(_xlfn.XLOOKUP(G1020, Vöruskrá!A:A, Vöruskrá!F:F, "")), ""), IF(F1020 = "Réttur", IFERROR(_xlfn.SINGLE(_xlfn.XLOOKUP(G1020, Réttabanki!A:A, Réttabanki!AT:AT, "")), ""), "")))</f>
        <v/>
      </c>
      <c r="N1020" s="26" t="str">
        <f>IF(OR(F1020 = "", G1020 = ""), "", IF(F1020 = "Vara", IFERROR(_xlfn.SINGLE(_xlfn.XLOOKUP(G1020, Vöruskrá!A:A, Vöruskrá!G:G, "")), ""), IF(F1020 = "Réttur", IFERROR(_xlfn.SINGLE(_xlfn.XLOOKUP(G1020, Réttabanki!A:A, Réttabanki!AU:AU, "")), ""), "")))</f>
        <v/>
      </c>
      <c r="O1020" s="26" t="str">
        <f>IF(OR(F1020 = "", G1020 = "", I1020 = ""), "", IF(F1020 = "Vara", IFERROR(_xlfn.SINGLE(_xlfn.XLOOKUP(G1020, Vöruskrá!A:A, Vöruskrá!I:I, "")) * I1020 / 100, ""), IF(F1020 = "Réttur", IFERROR(_xlfn.SINGLE(_xlfn.XLOOKUP(G1020, Réttabanki!A:A, Réttabanki!AV:AV, "")) * I1020 / 100, ""), "")))</f>
        <v/>
      </c>
      <c r="P1020" s="26" t="str">
        <f>IF(OR(F1020 = "", G1020 = "", I1020 = ""), "", IF(F1020 = "Vara", IFERROR(_xlfn.SINGLE(_xlfn.XLOOKUP(G1020, Vöruskrá!A:A, Vöruskrá!J:J, "")) * I1020 / 100, ""), IF(F1020 = "Réttur", IFERROR(_xlfn.SINGLE(_xlfn.XLOOKUP(G1020, Réttabanki!A:A, Réttabanki!AW:AW, "")) * I1020 / 100, ""), "")))</f>
        <v/>
      </c>
      <c r="Q1020" s="26" t="str">
        <f>IF(OR(F1020 = "", G1020 = "", I1020 = ""), "", IF(F1020 = "Vara", IFERROR(_xlfn.SINGLE(_xlfn.XLOOKUP(G1020, Vöruskrá!A:A, Vöruskrá!N:N, "")) * I1020 / 100, ""), IF(F1020 = "Réttur", IFERROR(_xlfn.SINGLE(_xlfn.XLOOKUP(G1020, Réttabanki!A:A, Réttabanki!BB:BB, "")) * I1020 / 100, ""), "")))</f>
        <v/>
      </c>
    </row>
    <row r="1021" spans="2:17">
      <c r="B1021" s="33" t="str">
        <f>IF(A1021&lt;&gt;"",CHOOSE(WEEKDAY(A1021,2),"Mánudagur","Þriðjudagur","Miðvikudagur","Fimmtudagur","Föstudagur","Laugardagur","Sunnudagur"),IF(B1020&lt;&gt;"",B1020,""))</f>
        <v>Fimmtudagur</v>
      </c>
      <c r="C1021" s="33">
        <f>IF(A1021&lt;&gt;"",WEEKNUM(A1021,21),IF(C1020&lt;&gt;"",C1020,""))</f>
        <v>27</v>
      </c>
      <c r="D1021" s="34"/>
      <c r="E1021" s="34"/>
      <c r="F1021" s="34"/>
      <c r="G1021" s="34"/>
      <c r="H1021" s="34"/>
      <c r="I1021" s="35"/>
      <c r="J1021" s="35"/>
      <c r="K1021" s="36"/>
      <c r="L1021" s="26" t="str">
        <f>IF(OR(F1021 = "", G1021 = ""), "", IF(F1021 = "Vara", IFERROR(_xlfn.SINGLE(_xlfn.XLOOKUP(G1021, Vöruskrá!A:A, Vöruskrá!E:E, "")), ""), IF(F1021 = "Réttur", IFERROR(_xlfn.SINGLE(_xlfn.XLOOKUP(G1021, Réttabanki!A:A, Réttabanki!AS:AS, "")), ""), "")))</f>
        <v/>
      </c>
      <c r="M1021" s="26" t="str">
        <f>IF(OR(F1021 = "", G1021 = ""), "", IF(F1021 = "Vara", IFERROR(_xlfn.SINGLE(_xlfn.XLOOKUP(G1021, Vöruskrá!A:A, Vöruskrá!F:F, "")), ""), IF(F1021 = "Réttur", IFERROR(_xlfn.SINGLE(_xlfn.XLOOKUP(G1021, Réttabanki!A:A, Réttabanki!AT:AT, "")), ""), "")))</f>
        <v/>
      </c>
      <c r="N1021" s="26" t="str">
        <f>IF(OR(F1021 = "", G1021 = ""), "", IF(F1021 = "Vara", IFERROR(_xlfn.SINGLE(_xlfn.XLOOKUP(G1021, Vöruskrá!A:A, Vöruskrá!G:G, "")), ""), IF(F1021 = "Réttur", IFERROR(_xlfn.SINGLE(_xlfn.XLOOKUP(G1021, Réttabanki!A:A, Réttabanki!AU:AU, "")), ""), "")))</f>
        <v/>
      </c>
      <c r="O1021" s="26" t="str">
        <f>IF(OR(F1021 = "", G1021 = "", I1021 = ""), "", IF(F1021 = "Vara", IFERROR(_xlfn.SINGLE(_xlfn.XLOOKUP(G1021, Vöruskrá!A:A, Vöruskrá!I:I, "")) * I1021 / 100, ""), IF(F1021 = "Réttur", IFERROR(_xlfn.SINGLE(_xlfn.XLOOKUP(G1021, Réttabanki!A:A, Réttabanki!AV:AV, "")) * I1021 / 100, ""), "")))</f>
        <v/>
      </c>
      <c r="P1021" s="26" t="str">
        <f>IF(OR(F1021 = "", G1021 = "", I1021 = ""), "", IF(F1021 = "Vara", IFERROR(_xlfn.SINGLE(_xlfn.XLOOKUP(G1021, Vöruskrá!A:A, Vöruskrá!J:J, "")) * I1021 / 100, ""), IF(F1021 = "Réttur", IFERROR(_xlfn.SINGLE(_xlfn.XLOOKUP(G1021, Réttabanki!A:A, Réttabanki!AW:AW, "")) * I1021 / 100, ""), "")))</f>
        <v/>
      </c>
      <c r="Q1021" s="26" t="str">
        <f>IF(OR(F1021 = "", G1021 = "", I1021 = ""), "", IF(F1021 = "Vara", IFERROR(_xlfn.SINGLE(_xlfn.XLOOKUP(G1021, Vöruskrá!A:A, Vöruskrá!N:N, "")) * I1021 / 100, ""), IF(F1021 = "Réttur", IFERROR(_xlfn.SINGLE(_xlfn.XLOOKUP(G1021, Réttabanki!A:A, Réttabanki!BB:BB, "")) * I1021 / 100, ""), "")))</f>
        <v/>
      </c>
    </row>
    <row r="1022" spans="2:17">
      <c r="B1022" s="33" t="str">
        <f>IF(A1022&lt;&gt;"",CHOOSE(WEEKDAY(A1022,2),"Mánudagur","Þriðjudagur","Miðvikudagur","Fimmtudagur","Föstudagur","Laugardagur","Sunnudagur"),IF(B1021&lt;&gt;"",B1021,""))</f>
        <v>Fimmtudagur</v>
      </c>
      <c r="C1022" s="33">
        <f>IF(A1022&lt;&gt;"",WEEKNUM(A1022,21),IF(C1021&lt;&gt;"",C1021,""))</f>
        <v>27</v>
      </c>
      <c r="D1022" s="34"/>
      <c r="E1022" s="34"/>
      <c r="F1022" s="34"/>
      <c r="G1022" s="34"/>
      <c r="H1022" s="34"/>
      <c r="I1022" s="35"/>
      <c r="J1022" s="35"/>
      <c r="K1022" s="36"/>
      <c r="L1022" s="26" t="str">
        <f>IF(OR(F1022 = "", G1022 = ""), "", IF(F1022 = "Vara", IFERROR(_xlfn.SINGLE(_xlfn.XLOOKUP(G1022, Vöruskrá!A:A, Vöruskrá!E:E, "")), ""), IF(F1022 = "Réttur", IFERROR(_xlfn.SINGLE(_xlfn.XLOOKUP(G1022, Réttabanki!A:A, Réttabanki!AS:AS, "")), ""), "")))</f>
        <v/>
      </c>
      <c r="M1022" s="26" t="str">
        <f>IF(OR(F1022 = "", G1022 = ""), "", IF(F1022 = "Vara", IFERROR(_xlfn.SINGLE(_xlfn.XLOOKUP(G1022, Vöruskrá!A:A, Vöruskrá!F:F, "")), ""), IF(F1022 = "Réttur", IFERROR(_xlfn.SINGLE(_xlfn.XLOOKUP(G1022, Réttabanki!A:A, Réttabanki!AT:AT, "")), ""), "")))</f>
        <v/>
      </c>
      <c r="N1022" s="26" t="str">
        <f>IF(OR(F1022 = "", G1022 = ""), "", IF(F1022 = "Vara", IFERROR(_xlfn.SINGLE(_xlfn.XLOOKUP(G1022, Vöruskrá!A:A, Vöruskrá!G:G, "")), ""), IF(F1022 = "Réttur", IFERROR(_xlfn.SINGLE(_xlfn.XLOOKUP(G1022, Réttabanki!A:A, Réttabanki!AU:AU, "")), ""), "")))</f>
        <v/>
      </c>
      <c r="O1022" s="26" t="str">
        <f>IF(OR(F1022 = "", G1022 = "", I1022 = ""), "", IF(F1022 = "Vara", IFERROR(_xlfn.SINGLE(_xlfn.XLOOKUP(G1022, Vöruskrá!A:A, Vöruskrá!I:I, "")) * I1022 / 100, ""), IF(F1022 = "Réttur", IFERROR(_xlfn.SINGLE(_xlfn.XLOOKUP(G1022, Réttabanki!A:A, Réttabanki!AV:AV, "")) * I1022 / 100, ""), "")))</f>
        <v/>
      </c>
      <c r="P1022" s="26" t="str">
        <f>IF(OR(F1022 = "", G1022 = "", I1022 = ""), "", IF(F1022 = "Vara", IFERROR(_xlfn.SINGLE(_xlfn.XLOOKUP(G1022, Vöruskrá!A:A, Vöruskrá!J:J, "")) * I1022 / 100, ""), IF(F1022 = "Réttur", IFERROR(_xlfn.SINGLE(_xlfn.XLOOKUP(G1022, Réttabanki!A:A, Réttabanki!AW:AW, "")) * I1022 / 100, ""), "")))</f>
        <v/>
      </c>
      <c r="Q1022" s="26" t="str">
        <f>IF(OR(F1022 = "", G1022 = "", I1022 = ""), "", IF(F1022 = "Vara", IFERROR(_xlfn.SINGLE(_xlfn.XLOOKUP(G1022, Vöruskrá!A:A, Vöruskrá!N:N, "")) * I1022 / 100, ""), IF(F1022 = "Réttur", IFERROR(_xlfn.SINGLE(_xlfn.XLOOKUP(G1022, Réttabanki!A:A, Réttabanki!BB:BB, "")) * I1022 / 100, ""), "")))</f>
        <v/>
      </c>
    </row>
    <row r="1023" spans="2:17">
      <c r="B1023" s="33" t="str">
        <f>IF(A1023&lt;&gt;"",CHOOSE(WEEKDAY(A1023,2),"Mánudagur","Þriðjudagur","Miðvikudagur","Fimmtudagur","Föstudagur","Laugardagur","Sunnudagur"),IF(B1022&lt;&gt;"",B1022,""))</f>
        <v>Fimmtudagur</v>
      </c>
      <c r="C1023" s="33">
        <f>IF(A1023&lt;&gt;"",WEEKNUM(A1023,21),IF(C1022&lt;&gt;"",C1022,""))</f>
        <v>27</v>
      </c>
      <c r="D1023" s="34"/>
      <c r="E1023" s="34"/>
      <c r="F1023" s="34"/>
      <c r="G1023" s="34"/>
      <c r="H1023" s="34"/>
      <c r="I1023" s="35"/>
      <c r="J1023" s="35"/>
      <c r="K1023" s="36"/>
      <c r="L1023" s="26" t="str">
        <f>IF(OR(F1023 = "", G1023 = ""), "", IF(F1023 = "Vara", IFERROR(_xlfn.SINGLE(_xlfn.XLOOKUP(G1023, Vöruskrá!A:A, Vöruskrá!E:E, "")), ""), IF(F1023 = "Réttur", IFERROR(_xlfn.SINGLE(_xlfn.XLOOKUP(G1023, Réttabanki!A:A, Réttabanki!AS:AS, "")), ""), "")))</f>
        <v/>
      </c>
      <c r="M1023" s="26" t="str">
        <f>IF(OR(F1023 = "", G1023 = ""), "", IF(F1023 = "Vara", IFERROR(_xlfn.SINGLE(_xlfn.XLOOKUP(G1023, Vöruskrá!A:A, Vöruskrá!F:F, "")), ""), IF(F1023 = "Réttur", IFERROR(_xlfn.SINGLE(_xlfn.XLOOKUP(G1023, Réttabanki!A:A, Réttabanki!AT:AT, "")), ""), "")))</f>
        <v/>
      </c>
      <c r="N1023" s="26" t="str">
        <f>IF(OR(F1023 = "", G1023 = ""), "", IF(F1023 = "Vara", IFERROR(_xlfn.SINGLE(_xlfn.XLOOKUP(G1023, Vöruskrá!A:A, Vöruskrá!G:G, "")), ""), IF(F1023 = "Réttur", IFERROR(_xlfn.SINGLE(_xlfn.XLOOKUP(G1023, Réttabanki!A:A, Réttabanki!AU:AU, "")), ""), "")))</f>
        <v/>
      </c>
      <c r="O1023" s="26" t="str">
        <f>IF(OR(F1023 = "", G1023 = "", I1023 = ""), "", IF(F1023 = "Vara", IFERROR(_xlfn.SINGLE(_xlfn.XLOOKUP(G1023, Vöruskrá!A:A, Vöruskrá!I:I, "")) * I1023 / 100, ""), IF(F1023 = "Réttur", IFERROR(_xlfn.SINGLE(_xlfn.XLOOKUP(G1023, Réttabanki!A:A, Réttabanki!AV:AV, "")) * I1023 / 100, ""), "")))</f>
        <v/>
      </c>
      <c r="P1023" s="26" t="str">
        <f>IF(OR(F1023 = "", G1023 = "", I1023 = ""), "", IF(F1023 = "Vara", IFERROR(_xlfn.SINGLE(_xlfn.XLOOKUP(G1023, Vöruskrá!A:A, Vöruskrá!J:J, "")) * I1023 / 100, ""), IF(F1023 = "Réttur", IFERROR(_xlfn.SINGLE(_xlfn.XLOOKUP(G1023, Réttabanki!A:A, Réttabanki!AW:AW, "")) * I1023 / 100, ""), "")))</f>
        <v/>
      </c>
      <c r="Q1023" s="26" t="str">
        <f>IF(OR(F1023 = "", G1023 = "", I1023 = ""), "", IF(F1023 = "Vara", IFERROR(_xlfn.SINGLE(_xlfn.XLOOKUP(G1023, Vöruskrá!A:A, Vöruskrá!N:N, "")) * I1023 / 100, ""), IF(F1023 = "Réttur", IFERROR(_xlfn.SINGLE(_xlfn.XLOOKUP(G1023, Réttabanki!A:A, Réttabanki!BB:BB, "")) * I1023 / 100, ""), "")))</f>
        <v/>
      </c>
    </row>
    <row r="1024" spans="2:17">
      <c r="B1024" s="33" t="str">
        <f>IF(A1024&lt;&gt;"",CHOOSE(WEEKDAY(A1024,2),"Mánudagur","Þriðjudagur","Miðvikudagur","Fimmtudagur","Föstudagur","Laugardagur","Sunnudagur"),IF(B1023&lt;&gt;"",B1023,""))</f>
        <v>Fimmtudagur</v>
      </c>
      <c r="C1024" s="33">
        <f>IF(A1024&lt;&gt;"",WEEKNUM(A1024,21),IF(C1023&lt;&gt;"",C1023,""))</f>
        <v>27</v>
      </c>
      <c r="D1024" s="34"/>
      <c r="E1024" s="34"/>
      <c r="F1024" s="34"/>
      <c r="G1024" s="34"/>
      <c r="H1024" s="34"/>
      <c r="I1024" s="35"/>
      <c r="J1024" s="35"/>
      <c r="K1024" s="36"/>
      <c r="L1024" s="26" t="str">
        <f>IF(OR(F1024 = "", G1024 = ""), "", IF(F1024 = "Vara", IFERROR(_xlfn.SINGLE(_xlfn.XLOOKUP(G1024, Vöruskrá!A:A, Vöruskrá!E:E, "")), ""), IF(F1024 = "Réttur", IFERROR(_xlfn.SINGLE(_xlfn.XLOOKUP(G1024, Réttabanki!A:A, Réttabanki!AS:AS, "")), ""), "")))</f>
        <v/>
      </c>
      <c r="M1024" s="26" t="str">
        <f>IF(OR(F1024 = "", G1024 = ""), "", IF(F1024 = "Vara", IFERROR(_xlfn.SINGLE(_xlfn.XLOOKUP(G1024, Vöruskrá!A:A, Vöruskrá!F:F, "")), ""), IF(F1024 = "Réttur", IFERROR(_xlfn.SINGLE(_xlfn.XLOOKUP(G1024, Réttabanki!A:A, Réttabanki!AT:AT, "")), ""), "")))</f>
        <v/>
      </c>
      <c r="N1024" s="26" t="str">
        <f>IF(OR(F1024 = "", G1024 = ""), "", IF(F1024 = "Vara", IFERROR(_xlfn.SINGLE(_xlfn.XLOOKUP(G1024, Vöruskrá!A:A, Vöruskrá!G:G, "")), ""), IF(F1024 = "Réttur", IFERROR(_xlfn.SINGLE(_xlfn.XLOOKUP(G1024, Réttabanki!A:A, Réttabanki!AU:AU, "")), ""), "")))</f>
        <v/>
      </c>
      <c r="O1024" s="26" t="str">
        <f>IF(OR(F1024 = "", G1024 = "", I1024 = ""), "", IF(F1024 = "Vara", IFERROR(_xlfn.SINGLE(_xlfn.XLOOKUP(G1024, Vöruskrá!A:A, Vöruskrá!I:I, "")) * I1024 / 100, ""), IF(F1024 = "Réttur", IFERROR(_xlfn.SINGLE(_xlfn.XLOOKUP(G1024, Réttabanki!A:A, Réttabanki!AV:AV, "")) * I1024 / 100, ""), "")))</f>
        <v/>
      </c>
      <c r="P1024" s="26" t="str">
        <f>IF(OR(F1024 = "", G1024 = "", I1024 = ""), "", IF(F1024 = "Vara", IFERROR(_xlfn.SINGLE(_xlfn.XLOOKUP(G1024, Vöruskrá!A:A, Vöruskrá!J:J, "")) * I1024 / 100, ""), IF(F1024 = "Réttur", IFERROR(_xlfn.SINGLE(_xlfn.XLOOKUP(G1024, Réttabanki!A:A, Réttabanki!AW:AW, "")) * I1024 / 100, ""), "")))</f>
        <v/>
      </c>
      <c r="Q1024" s="26" t="str">
        <f>IF(OR(F1024 = "", G1024 = "", I1024 = ""), "", IF(F1024 = "Vara", IFERROR(_xlfn.SINGLE(_xlfn.XLOOKUP(G1024, Vöruskrá!A:A, Vöruskrá!N:N, "")) * I1024 / 100, ""), IF(F1024 = "Réttur", IFERROR(_xlfn.SINGLE(_xlfn.XLOOKUP(G1024, Réttabanki!A:A, Réttabanki!BB:BB, "")) * I1024 / 100, ""), "")))</f>
        <v/>
      </c>
    </row>
    <row r="1025" spans="2:17">
      <c r="B1025" s="33" t="str">
        <f>IF(A1025&lt;&gt;"",CHOOSE(WEEKDAY(A1025,2),"Mánudagur","Þriðjudagur","Miðvikudagur","Fimmtudagur","Föstudagur","Laugardagur","Sunnudagur"),IF(B1024&lt;&gt;"",B1024,""))</f>
        <v>Fimmtudagur</v>
      </c>
      <c r="C1025" s="33">
        <f>IF(A1025&lt;&gt;"",WEEKNUM(A1025,21),IF(C1024&lt;&gt;"",C1024,""))</f>
        <v>27</v>
      </c>
      <c r="D1025" s="34"/>
      <c r="E1025" s="34"/>
      <c r="F1025" s="34"/>
      <c r="G1025" s="34"/>
      <c r="H1025" s="34"/>
      <c r="I1025" s="35"/>
      <c r="J1025" s="35"/>
      <c r="K1025" s="36"/>
      <c r="L1025" s="26" t="str">
        <f>IF(OR(F1025 = "", G1025 = ""), "", IF(F1025 = "Vara", IFERROR(_xlfn.SINGLE(_xlfn.XLOOKUP(G1025, Vöruskrá!A:A, Vöruskrá!E:E, "")), ""), IF(F1025 = "Réttur", IFERROR(_xlfn.SINGLE(_xlfn.XLOOKUP(G1025, Réttabanki!A:A, Réttabanki!AS:AS, "")), ""), "")))</f>
        <v/>
      </c>
      <c r="M1025" s="26" t="str">
        <f>IF(OR(F1025 = "", G1025 = ""), "", IF(F1025 = "Vara", IFERROR(_xlfn.SINGLE(_xlfn.XLOOKUP(G1025, Vöruskrá!A:A, Vöruskrá!F:F, "")), ""), IF(F1025 = "Réttur", IFERROR(_xlfn.SINGLE(_xlfn.XLOOKUP(G1025, Réttabanki!A:A, Réttabanki!AT:AT, "")), ""), "")))</f>
        <v/>
      </c>
      <c r="N1025" s="26" t="str">
        <f>IF(OR(F1025 = "", G1025 = ""), "", IF(F1025 = "Vara", IFERROR(_xlfn.SINGLE(_xlfn.XLOOKUP(G1025, Vöruskrá!A:A, Vöruskrá!G:G, "")), ""), IF(F1025 = "Réttur", IFERROR(_xlfn.SINGLE(_xlfn.XLOOKUP(G1025, Réttabanki!A:A, Réttabanki!AU:AU, "")), ""), "")))</f>
        <v/>
      </c>
      <c r="O1025" s="26" t="str">
        <f>IF(OR(F1025 = "", G1025 = "", I1025 = ""), "", IF(F1025 = "Vara", IFERROR(_xlfn.SINGLE(_xlfn.XLOOKUP(G1025, Vöruskrá!A:A, Vöruskrá!I:I, "")) * I1025 / 100, ""), IF(F1025 = "Réttur", IFERROR(_xlfn.SINGLE(_xlfn.XLOOKUP(G1025, Réttabanki!A:A, Réttabanki!AV:AV, "")) * I1025 / 100, ""), "")))</f>
        <v/>
      </c>
      <c r="P1025" s="26" t="str">
        <f>IF(OR(F1025 = "", G1025 = "", I1025 = ""), "", IF(F1025 = "Vara", IFERROR(_xlfn.SINGLE(_xlfn.XLOOKUP(G1025, Vöruskrá!A:A, Vöruskrá!J:J, "")) * I1025 / 100, ""), IF(F1025 = "Réttur", IFERROR(_xlfn.SINGLE(_xlfn.XLOOKUP(G1025, Réttabanki!A:A, Réttabanki!AW:AW, "")) * I1025 / 100, ""), "")))</f>
        <v/>
      </c>
      <c r="Q1025" s="26" t="str">
        <f>IF(OR(F1025 = "", G1025 = "", I1025 = ""), "", IF(F1025 = "Vara", IFERROR(_xlfn.SINGLE(_xlfn.XLOOKUP(G1025, Vöruskrá!A:A, Vöruskrá!N:N, "")) * I1025 / 100, ""), IF(F1025 = "Réttur", IFERROR(_xlfn.SINGLE(_xlfn.XLOOKUP(G1025, Réttabanki!A:A, Réttabanki!BB:BB, "")) * I1025 / 100, ""), "")))</f>
        <v/>
      </c>
    </row>
    <row r="1026" spans="2:17">
      <c r="B1026" s="33" t="str">
        <f>IF(A1026&lt;&gt;"",CHOOSE(WEEKDAY(A1026,2),"Mánudagur","Þriðjudagur","Miðvikudagur","Fimmtudagur","Föstudagur","Laugardagur","Sunnudagur"),IF(B1025&lt;&gt;"",B1025,""))</f>
        <v>Fimmtudagur</v>
      </c>
      <c r="C1026" s="33">
        <f>IF(A1026&lt;&gt;"",WEEKNUM(A1026,21),IF(C1025&lt;&gt;"",C1025,""))</f>
        <v>27</v>
      </c>
      <c r="D1026" s="34"/>
      <c r="E1026" s="34"/>
      <c r="F1026" s="34"/>
      <c r="G1026" s="34"/>
      <c r="H1026" s="34"/>
      <c r="I1026" s="35"/>
      <c r="J1026" s="35"/>
      <c r="K1026" s="36"/>
      <c r="L1026" s="26" t="str">
        <f>IF(OR(F1026 = "", G1026 = ""), "", IF(F1026 = "Vara", IFERROR(_xlfn.SINGLE(_xlfn.XLOOKUP(G1026, Vöruskrá!A:A, Vöruskrá!E:E, "")), ""), IF(F1026 = "Réttur", IFERROR(_xlfn.SINGLE(_xlfn.XLOOKUP(G1026, Réttabanki!A:A, Réttabanki!AS:AS, "")), ""), "")))</f>
        <v/>
      </c>
      <c r="M1026" s="26" t="str">
        <f>IF(OR(F1026 = "", G1026 = ""), "", IF(F1026 = "Vara", IFERROR(_xlfn.SINGLE(_xlfn.XLOOKUP(G1026, Vöruskrá!A:A, Vöruskrá!F:F, "")), ""), IF(F1026 = "Réttur", IFERROR(_xlfn.SINGLE(_xlfn.XLOOKUP(G1026, Réttabanki!A:A, Réttabanki!AT:AT, "")), ""), "")))</f>
        <v/>
      </c>
      <c r="N1026" s="26" t="str">
        <f>IF(OR(F1026 = "", G1026 = ""), "", IF(F1026 = "Vara", IFERROR(_xlfn.SINGLE(_xlfn.XLOOKUP(G1026, Vöruskrá!A:A, Vöruskrá!G:G, "")), ""), IF(F1026 = "Réttur", IFERROR(_xlfn.SINGLE(_xlfn.XLOOKUP(G1026, Réttabanki!A:A, Réttabanki!AU:AU, "")), ""), "")))</f>
        <v/>
      </c>
      <c r="O1026" s="26" t="str">
        <f>IF(OR(F1026 = "", G1026 = "", I1026 = ""), "", IF(F1026 = "Vara", IFERROR(_xlfn.SINGLE(_xlfn.XLOOKUP(G1026, Vöruskrá!A:A, Vöruskrá!I:I, "")) * I1026 / 100, ""), IF(F1026 = "Réttur", IFERROR(_xlfn.SINGLE(_xlfn.XLOOKUP(G1026, Réttabanki!A:A, Réttabanki!AV:AV, "")) * I1026 / 100, ""), "")))</f>
        <v/>
      </c>
      <c r="P1026" s="26" t="str">
        <f>IF(OR(F1026 = "", G1026 = "", I1026 = ""), "", IF(F1026 = "Vara", IFERROR(_xlfn.SINGLE(_xlfn.XLOOKUP(G1026, Vöruskrá!A:A, Vöruskrá!J:J, "")) * I1026 / 100, ""), IF(F1026 = "Réttur", IFERROR(_xlfn.SINGLE(_xlfn.XLOOKUP(G1026, Réttabanki!A:A, Réttabanki!AW:AW, "")) * I1026 / 100, ""), "")))</f>
        <v/>
      </c>
      <c r="Q1026" s="26" t="str">
        <f>IF(OR(F1026 = "", G1026 = "", I1026 = ""), "", IF(F1026 = "Vara", IFERROR(_xlfn.SINGLE(_xlfn.XLOOKUP(G1026, Vöruskrá!A:A, Vöruskrá!N:N, "")) * I1026 / 100, ""), IF(F1026 = "Réttur", IFERROR(_xlfn.SINGLE(_xlfn.XLOOKUP(G1026, Réttabanki!A:A, Réttabanki!BB:BB, "")) * I1026 / 100, ""), "")))</f>
        <v/>
      </c>
    </row>
    <row r="1027" spans="2:17">
      <c r="B1027" s="33" t="str">
        <f>IF(A1027&lt;&gt;"",CHOOSE(WEEKDAY(A1027,2),"Mánudagur","Þriðjudagur","Miðvikudagur","Fimmtudagur","Föstudagur","Laugardagur","Sunnudagur"),IF(B1026&lt;&gt;"",B1026,""))</f>
        <v>Fimmtudagur</v>
      </c>
      <c r="C1027" s="33">
        <f>IF(A1027&lt;&gt;"",WEEKNUM(A1027,21),IF(C1026&lt;&gt;"",C1026,""))</f>
        <v>27</v>
      </c>
      <c r="D1027" s="34"/>
      <c r="E1027" s="34"/>
      <c r="F1027" s="34"/>
      <c r="G1027" s="34"/>
      <c r="H1027" s="34"/>
      <c r="I1027" s="35"/>
      <c r="J1027" s="35"/>
      <c r="K1027" s="36"/>
      <c r="L1027" s="26" t="str">
        <f>IF(OR(F1027 = "", G1027 = ""), "", IF(F1027 = "Vara", IFERROR(_xlfn.SINGLE(_xlfn.XLOOKUP(G1027, Vöruskrá!A:A, Vöruskrá!E:E, "")), ""), IF(F1027 = "Réttur", IFERROR(_xlfn.SINGLE(_xlfn.XLOOKUP(G1027, Réttabanki!A:A, Réttabanki!AS:AS, "")), ""), "")))</f>
        <v/>
      </c>
      <c r="M1027" s="26" t="str">
        <f>IF(OR(F1027 = "", G1027 = ""), "", IF(F1027 = "Vara", IFERROR(_xlfn.SINGLE(_xlfn.XLOOKUP(G1027, Vöruskrá!A:A, Vöruskrá!F:F, "")), ""), IF(F1027 = "Réttur", IFERROR(_xlfn.SINGLE(_xlfn.XLOOKUP(G1027, Réttabanki!A:A, Réttabanki!AT:AT, "")), ""), "")))</f>
        <v/>
      </c>
      <c r="N1027" s="26" t="str">
        <f>IF(OR(F1027 = "", G1027 = ""), "", IF(F1027 = "Vara", IFERROR(_xlfn.SINGLE(_xlfn.XLOOKUP(G1027, Vöruskrá!A:A, Vöruskrá!G:G, "")), ""), IF(F1027 = "Réttur", IFERROR(_xlfn.SINGLE(_xlfn.XLOOKUP(G1027, Réttabanki!A:A, Réttabanki!AU:AU, "")), ""), "")))</f>
        <v/>
      </c>
      <c r="O1027" s="26" t="str">
        <f>IF(OR(F1027 = "", G1027 = "", I1027 = ""), "", IF(F1027 = "Vara", IFERROR(_xlfn.SINGLE(_xlfn.XLOOKUP(G1027, Vöruskrá!A:A, Vöruskrá!I:I, "")) * I1027 / 100, ""), IF(F1027 = "Réttur", IFERROR(_xlfn.SINGLE(_xlfn.XLOOKUP(G1027, Réttabanki!A:A, Réttabanki!AV:AV, "")) * I1027 / 100, ""), "")))</f>
        <v/>
      </c>
      <c r="P1027" s="26" t="str">
        <f>IF(OR(F1027 = "", G1027 = "", I1027 = ""), "", IF(F1027 = "Vara", IFERROR(_xlfn.SINGLE(_xlfn.XLOOKUP(G1027, Vöruskrá!A:A, Vöruskrá!J:J, "")) * I1027 / 100, ""), IF(F1027 = "Réttur", IFERROR(_xlfn.SINGLE(_xlfn.XLOOKUP(G1027, Réttabanki!A:A, Réttabanki!AW:AW, "")) * I1027 / 100, ""), "")))</f>
        <v/>
      </c>
      <c r="Q1027" s="26" t="str">
        <f>IF(OR(F1027 = "", G1027 = "", I1027 = ""), "", IF(F1027 = "Vara", IFERROR(_xlfn.SINGLE(_xlfn.XLOOKUP(G1027, Vöruskrá!A:A, Vöruskrá!N:N, "")) * I1027 / 100, ""), IF(F1027 = "Réttur", IFERROR(_xlfn.SINGLE(_xlfn.XLOOKUP(G1027, Réttabanki!A:A, Réttabanki!BB:BB, "")) * I1027 / 100, ""), "")))</f>
        <v/>
      </c>
    </row>
    <row r="1028" spans="2:17">
      <c r="B1028" s="33" t="str">
        <f>IF(A1028&lt;&gt;"",CHOOSE(WEEKDAY(A1028,2),"Mánudagur","Þriðjudagur","Miðvikudagur","Fimmtudagur","Föstudagur","Laugardagur","Sunnudagur"),IF(B1027&lt;&gt;"",B1027,""))</f>
        <v>Fimmtudagur</v>
      </c>
      <c r="C1028" s="33">
        <f>IF(A1028&lt;&gt;"",WEEKNUM(A1028,21),IF(C1027&lt;&gt;"",C1027,""))</f>
        <v>27</v>
      </c>
      <c r="D1028" s="34"/>
      <c r="E1028" s="34"/>
      <c r="F1028" s="34"/>
      <c r="G1028" s="34"/>
      <c r="H1028" s="34"/>
      <c r="I1028" s="35"/>
      <c r="J1028" s="35"/>
      <c r="K1028" s="36"/>
      <c r="L1028" s="26" t="str">
        <f>IF(OR(F1028 = "", G1028 = ""), "", IF(F1028 = "Vara", IFERROR(_xlfn.SINGLE(_xlfn.XLOOKUP(G1028, Vöruskrá!A:A, Vöruskrá!E:E, "")), ""), IF(F1028 = "Réttur", IFERROR(_xlfn.SINGLE(_xlfn.XLOOKUP(G1028, Réttabanki!A:A, Réttabanki!AS:AS, "")), ""), "")))</f>
        <v/>
      </c>
      <c r="M1028" s="26" t="str">
        <f>IF(OR(F1028 = "", G1028 = ""), "", IF(F1028 = "Vara", IFERROR(_xlfn.SINGLE(_xlfn.XLOOKUP(G1028, Vöruskrá!A:A, Vöruskrá!F:F, "")), ""), IF(F1028 = "Réttur", IFERROR(_xlfn.SINGLE(_xlfn.XLOOKUP(G1028, Réttabanki!A:A, Réttabanki!AT:AT, "")), ""), "")))</f>
        <v/>
      </c>
      <c r="N1028" s="26" t="str">
        <f>IF(OR(F1028 = "", G1028 = ""), "", IF(F1028 = "Vara", IFERROR(_xlfn.SINGLE(_xlfn.XLOOKUP(G1028, Vöruskrá!A:A, Vöruskrá!G:G, "")), ""), IF(F1028 = "Réttur", IFERROR(_xlfn.SINGLE(_xlfn.XLOOKUP(G1028, Réttabanki!A:A, Réttabanki!AU:AU, "")), ""), "")))</f>
        <v/>
      </c>
      <c r="O1028" s="26" t="str">
        <f>IF(OR(F1028 = "", G1028 = "", I1028 = ""), "", IF(F1028 = "Vara", IFERROR(_xlfn.SINGLE(_xlfn.XLOOKUP(G1028, Vöruskrá!A:A, Vöruskrá!I:I, "")) * I1028 / 100, ""), IF(F1028 = "Réttur", IFERROR(_xlfn.SINGLE(_xlfn.XLOOKUP(G1028, Réttabanki!A:A, Réttabanki!AV:AV, "")) * I1028 / 100, ""), "")))</f>
        <v/>
      </c>
      <c r="P1028" s="26" t="str">
        <f>IF(OR(F1028 = "", G1028 = "", I1028 = ""), "", IF(F1028 = "Vara", IFERROR(_xlfn.SINGLE(_xlfn.XLOOKUP(G1028, Vöruskrá!A:A, Vöruskrá!J:J, "")) * I1028 / 100, ""), IF(F1028 = "Réttur", IFERROR(_xlfn.SINGLE(_xlfn.XLOOKUP(G1028, Réttabanki!A:A, Réttabanki!AW:AW, "")) * I1028 / 100, ""), "")))</f>
        <v/>
      </c>
      <c r="Q1028" s="26" t="str">
        <f>IF(OR(F1028 = "", G1028 = "", I1028 = ""), "", IF(F1028 = "Vara", IFERROR(_xlfn.SINGLE(_xlfn.XLOOKUP(G1028, Vöruskrá!A:A, Vöruskrá!N:N, "")) * I1028 / 100, ""), IF(F1028 = "Réttur", IFERROR(_xlfn.SINGLE(_xlfn.XLOOKUP(G1028, Réttabanki!A:A, Réttabanki!BB:BB, "")) * I1028 / 100, ""), "")))</f>
        <v/>
      </c>
    </row>
    <row r="1029" spans="2:17">
      <c r="B1029" s="33" t="str">
        <f>IF(A1029&lt;&gt;"",CHOOSE(WEEKDAY(A1029,2),"Mánudagur","Þriðjudagur","Miðvikudagur","Fimmtudagur","Föstudagur","Laugardagur","Sunnudagur"),IF(B1028&lt;&gt;"",B1028,""))</f>
        <v>Fimmtudagur</v>
      </c>
      <c r="C1029" s="33">
        <f>IF(A1029&lt;&gt;"",WEEKNUM(A1029,21),IF(C1028&lt;&gt;"",C1028,""))</f>
        <v>27</v>
      </c>
      <c r="D1029" s="34"/>
      <c r="E1029" s="34"/>
      <c r="F1029" s="34"/>
      <c r="G1029" s="34"/>
      <c r="H1029" s="34"/>
      <c r="I1029" s="35"/>
      <c r="J1029" s="35"/>
      <c r="K1029" s="36"/>
      <c r="L1029" s="26" t="str">
        <f>IF(OR(F1029 = "", G1029 = ""), "", IF(F1029 = "Vara", IFERROR(_xlfn.SINGLE(_xlfn.XLOOKUP(G1029, Vöruskrá!A:A, Vöruskrá!E:E, "")), ""), IF(F1029 = "Réttur", IFERROR(_xlfn.SINGLE(_xlfn.XLOOKUP(G1029, Réttabanki!A:A, Réttabanki!AS:AS, "")), ""), "")))</f>
        <v/>
      </c>
      <c r="M1029" s="26" t="str">
        <f>IF(OR(F1029 = "", G1029 = ""), "", IF(F1029 = "Vara", IFERROR(_xlfn.SINGLE(_xlfn.XLOOKUP(G1029, Vöruskrá!A:A, Vöruskrá!F:F, "")), ""), IF(F1029 = "Réttur", IFERROR(_xlfn.SINGLE(_xlfn.XLOOKUP(G1029, Réttabanki!A:A, Réttabanki!AT:AT, "")), ""), "")))</f>
        <v/>
      </c>
      <c r="N1029" s="26" t="str">
        <f>IF(OR(F1029 = "", G1029 = ""), "", IF(F1029 = "Vara", IFERROR(_xlfn.SINGLE(_xlfn.XLOOKUP(G1029, Vöruskrá!A:A, Vöruskrá!G:G, "")), ""), IF(F1029 = "Réttur", IFERROR(_xlfn.SINGLE(_xlfn.XLOOKUP(G1029, Réttabanki!A:A, Réttabanki!AU:AU, "")), ""), "")))</f>
        <v/>
      </c>
      <c r="O1029" s="26" t="str">
        <f>IF(OR(F1029 = "", G1029 = "", I1029 = ""), "", IF(F1029 = "Vara", IFERROR(_xlfn.SINGLE(_xlfn.XLOOKUP(G1029, Vöruskrá!A:A, Vöruskrá!I:I, "")) * I1029 / 100, ""), IF(F1029 = "Réttur", IFERROR(_xlfn.SINGLE(_xlfn.XLOOKUP(G1029, Réttabanki!A:A, Réttabanki!AV:AV, "")) * I1029 / 100, ""), "")))</f>
        <v/>
      </c>
      <c r="P1029" s="26" t="str">
        <f>IF(OR(F1029 = "", G1029 = "", I1029 = ""), "", IF(F1029 = "Vara", IFERROR(_xlfn.SINGLE(_xlfn.XLOOKUP(G1029, Vöruskrá!A:A, Vöruskrá!J:J, "")) * I1029 / 100, ""), IF(F1029 = "Réttur", IFERROR(_xlfn.SINGLE(_xlfn.XLOOKUP(G1029, Réttabanki!A:A, Réttabanki!AW:AW, "")) * I1029 / 100, ""), "")))</f>
        <v/>
      </c>
      <c r="Q1029" s="26" t="str">
        <f>IF(OR(F1029 = "", G1029 = "", I1029 = ""), "", IF(F1029 = "Vara", IFERROR(_xlfn.SINGLE(_xlfn.XLOOKUP(G1029, Vöruskrá!A:A, Vöruskrá!N:N, "")) * I1029 / 100, ""), IF(F1029 = "Réttur", IFERROR(_xlfn.SINGLE(_xlfn.XLOOKUP(G1029, Réttabanki!A:A, Réttabanki!BB:BB, "")) * I1029 / 100, ""), "")))</f>
        <v/>
      </c>
    </row>
    <row r="1030" spans="2:17">
      <c r="B1030" s="33" t="str">
        <f>IF(A1030&lt;&gt;"",CHOOSE(WEEKDAY(A1030,2),"Mánudagur","Þriðjudagur","Miðvikudagur","Fimmtudagur","Föstudagur","Laugardagur","Sunnudagur"),IF(B1029&lt;&gt;"",B1029,""))</f>
        <v>Fimmtudagur</v>
      </c>
      <c r="C1030" s="33">
        <f>IF(A1030&lt;&gt;"",WEEKNUM(A1030,21),IF(C1029&lt;&gt;"",C1029,""))</f>
        <v>27</v>
      </c>
      <c r="D1030" s="34"/>
      <c r="E1030" s="34"/>
      <c r="F1030" s="34"/>
      <c r="G1030" s="34"/>
      <c r="H1030" s="34"/>
      <c r="I1030" s="35"/>
      <c r="J1030" s="35"/>
      <c r="K1030" s="36"/>
      <c r="L1030" s="26" t="str">
        <f>IF(OR(F1030 = "", G1030 = ""), "", IF(F1030 = "Vara", IFERROR(_xlfn.SINGLE(_xlfn.XLOOKUP(G1030, Vöruskrá!A:A, Vöruskrá!E:E, "")), ""), IF(F1030 = "Réttur", IFERROR(_xlfn.SINGLE(_xlfn.XLOOKUP(G1030, Réttabanki!A:A, Réttabanki!AS:AS, "")), ""), "")))</f>
        <v/>
      </c>
      <c r="M1030" s="26" t="str">
        <f>IF(OR(F1030 = "", G1030 = ""), "", IF(F1030 = "Vara", IFERROR(_xlfn.SINGLE(_xlfn.XLOOKUP(G1030, Vöruskrá!A:A, Vöruskrá!F:F, "")), ""), IF(F1030 = "Réttur", IFERROR(_xlfn.SINGLE(_xlfn.XLOOKUP(G1030, Réttabanki!A:A, Réttabanki!AT:AT, "")), ""), "")))</f>
        <v/>
      </c>
      <c r="N1030" s="26" t="str">
        <f>IF(OR(F1030 = "", G1030 = ""), "", IF(F1030 = "Vara", IFERROR(_xlfn.SINGLE(_xlfn.XLOOKUP(G1030, Vöruskrá!A:A, Vöruskrá!G:G, "")), ""), IF(F1030 = "Réttur", IFERROR(_xlfn.SINGLE(_xlfn.XLOOKUP(G1030, Réttabanki!A:A, Réttabanki!AU:AU, "")), ""), "")))</f>
        <v/>
      </c>
      <c r="O1030" s="26" t="str">
        <f>IF(OR(F1030 = "", G1030 = "", I1030 = ""), "", IF(F1030 = "Vara", IFERROR(_xlfn.SINGLE(_xlfn.XLOOKUP(G1030, Vöruskrá!A:A, Vöruskrá!I:I, "")) * I1030 / 100, ""), IF(F1030 = "Réttur", IFERROR(_xlfn.SINGLE(_xlfn.XLOOKUP(G1030, Réttabanki!A:A, Réttabanki!AV:AV, "")) * I1030 / 100, ""), "")))</f>
        <v/>
      </c>
      <c r="P1030" s="26" t="str">
        <f>IF(OR(F1030 = "", G1030 = "", I1030 = ""), "", IF(F1030 = "Vara", IFERROR(_xlfn.SINGLE(_xlfn.XLOOKUP(G1030, Vöruskrá!A:A, Vöruskrá!J:J, "")) * I1030 / 100, ""), IF(F1030 = "Réttur", IFERROR(_xlfn.SINGLE(_xlfn.XLOOKUP(G1030, Réttabanki!A:A, Réttabanki!AW:AW, "")) * I1030 / 100, ""), "")))</f>
        <v/>
      </c>
      <c r="Q1030" s="26" t="str">
        <f>IF(OR(F1030 = "", G1030 = "", I1030 = ""), "", IF(F1030 = "Vara", IFERROR(_xlfn.SINGLE(_xlfn.XLOOKUP(G1030, Vöruskrá!A:A, Vöruskrá!N:N, "")) * I1030 / 100, ""), IF(F1030 = "Réttur", IFERROR(_xlfn.SINGLE(_xlfn.XLOOKUP(G1030, Réttabanki!A:A, Réttabanki!BB:BB, "")) * I1030 / 100, ""), "")))</f>
        <v/>
      </c>
    </row>
    <row r="1031" spans="2:17">
      <c r="B1031" s="33" t="str">
        <f>IF(A1031&lt;&gt;"",CHOOSE(WEEKDAY(A1031,2),"Mánudagur","Þriðjudagur","Miðvikudagur","Fimmtudagur","Föstudagur","Laugardagur","Sunnudagur"),IF(B1030&lt;&gt;"",B1030,""))</f>
        <v>Fimmtudagur</v>
      </c>
      <c r="C1031" s="33">
        <f>IF(A1031&lt;&gt;"",WEEKNUM(A1031,21),IF(C1030&lt;&gt;"",C1030,""))</f>
        <v>27</v>
      </c>
      <c r="D1031" s="34"/>
      <c r="E1031" s="34"/>
      <c r="F1031" s="34"/>
      <c r="G1031" s="34"/>
      <c r="H1031" s="34"/>
      <c r="I1031" s="35"/>
      <c r="J1031" s="35"/>
      <c r="K1031" s="36"/>
      <c r="L1031" s="26" t="str">
        <f>IF(OR(F1031 = "", G1031 = ""), "", IF(F1031 = "Vara", IFERROR(_xlfn.SINGLE(_xlfn.XLOOKUP(G1031, Vöruskrá!A:A, Vöruskrá!E:E, "")), ""), IF(F1031 = "Réttur", IFERROR(_xlfn.SINGLE(_xlfn.XLOOKUP(G1031, Réttabanki!A:A, Réttabanki!AS:AS, "")), ""), "")))</f>
        <v/>
      </c>
      <c r="M1031" s="26" t="str">
        <f>IF(OR(F1031 = "", G1031 = ""), "", IF(F1031 = "Vara", IFERROR(_xlfn.SINGLE(_xlfn.XLOOKUP(G1031, Vöruskrá!A:A, Vöruskrá!F:F, "")), ""), IF(F1031 = "Réttur", IFERROR(_xlfn.SINGLE(_xlfn.XLOOKUP(G1031, Réttabanki!A:A, Réttabanki!AT:AT, "")), ""), "")))</f>
        <v/>
      </c>
      <c r="N1031" s="26" t="str">
        <f>IF(OR(F1031 = "", G1031 = ""), "", IF(F1031 = "Vara", IFERROR(_xlfn.SINGLE(_xlfn.XLOOKUP(G1031, Vöruskrá!A:A, Vöruskrá!G:G, "")), ""), IF(F1031 = "Réttur", IFERROR(_xlfn.SINGLE(_xlfn.XLOOKUP(G1031, Réttabanki!A:A, Réttabanki!AU:AU, "")), ""), "")))</f>
        <v/>
      </c>
      <c r="O1031" s="26" t="str">
        <f>IF(OR(F1031 = "", G1031 = "", I1031 = ""), "", IF(F1031 = "Vara", IFERROR(_xlfn.SINGLE(_xlfn.XLOOKUP(G1031, Vöruskrá!A:A, Vöruskrá!I:I, "")) * I1031 / 100, ""), IF(F1031 = "Réttur", IFERROR(_xlfn.SINGLE(_xlfn.XLOOKUP(G1031, Réttabanki!A:A, Réttabanki!AV:AV, "")) * I1031 / 100, ""), "")))</f>
        <v/>
      </c>
      <c r="P1031" s="26" t="str">
        <f>IF(OR(F1031 = "", G1031 = "", I1031 = ""), "", IF(F1031 = "Vara", IFERROR(_xlfn.SINGLE(_xlfn.XLOOKUP(G1031, Vöruskrá!A:A, Vöruskrá!J:J, "")) * I1031 / 100, ""), IF(F1031 = "Réttur", IFERROR(_xlfn.SINGLE(_xlfn.XLOOKUP(G1031, Réttabanki!A:A, Réttabanki!AW:AW, "")) * I1031 / 100, ""), "")))</f>
        <v/>
      </c>
      <c r="Q1031" s="26" t="str">
        <f>IF(OR(F1031 = "", G1031 = "", I1031 = ""), "", IF(F1031 = "Vara", IFERROR(_xlfn.SINGLE(_xlfn.XLOOKUP(G1031, Vöruskrá!A:A, Vöruskrá!N:N, "")) * I1031 / 100, ""), IF(F1031 = "Réttur", IFERROR(_xlfn.SINGLE(_xlfn.XLOOKUP(G1031, Réttabanki!A:A, Réttabanki!BB:BB, "")) * I1031 / 100, ""), "")))</f>
        <v/>
      </c>
    </row>
    <row r="1032" spans="2:17">
      <c r="B1032" s="33" t="str">
        <f>IF(A1032&lt;&gt;"",CHOOSE(WEEKDAY(A1032,2),"Mánudagur","Þriðjudagur","Miðvikudagur","Fimmtudagur","Föstudagur","Laugardagur","Sunnudagur"),IF(B1031&lt;&gt;"",B1031,""))</f>
        <v>Fimmtudagur</v>
      </c>
      <c r="C1032" s="33">
        <f>IF(A1032&lt;&gt;"",WEEKNUM(A1032,21),IF(C1031&lt;&gt;"",C1031,""))</f>
        <v>27</v>
      </c>
      <c r="D1032" s="34"/>
      <c r="E1032" s="34"/>
      <c r="F1032" s="34"/>
      <c r="G1032" s="34"/>
      <c r="H1032" s="34"/>
      <c r="I1032" s="35"/>
      <c r="J1032" s="35"/>
      <c r="K1032" s="36"/>
      <c r="L1032" s="26" t="str">
        <f>IF(OR(F1032 = "", G1032 = ""), "", IF(F1032 = "Vara", IFERROR(_xlfn.SINGLE(_xlfn.XLOOKUP(G1032, Vöruskrá!A:A, Vöruskrá!E:E, "")), ""), IF(F1032 = "Réttur", IFERROR(_xlfn.SINGLE(_xlfn.XLOOKUP(G1032, Réttabanki!A:A, Réttabanki!AS:AS, "")), ""), "")))</f>
        <v/>
      </c>
      <c r="M1032" s="26" t="str">
        <f>IF(OR(F1032 = "", G1032 = ""), "", IF(F1032 = "Vara", IFERROR(_xlfn.SINGLE(_xlfn.XLOOKUP(G1032, Vöruskrá!A:A, Vöruskrá!F:F, "")), ""), IF(F1032 = "Réttur", IFERROR(_xlfn.SINGLE(_xlfn.XLOOKUP(G1032, Réttabanki!A:A, Réttabanki!AT:AT, "")), ""), "")))</f>
        <v/>
      </c>
      <c r="N1032" s="26" t="str">
        <f>IF(OR(F1032 = "", G1032 = ""), "", IF(F1032 = "Vara", IFERROR(_xlfn.SINGLE(_xlfn.XLOOKUP(G1032, Vöruskrá!A:A, Vöruskrá!G:G, "")), ""), IF(F1032 = "Réttur", IFERROR(_xlfn.SINGLE(_xlfn.XLOOKUP(G1032, Réttabanki!A:A, Réttabanki!AU:AU, "")), ""), "")))</f>
        <v/>
      </c>
      <c r="O1032" s="26" t="str">
        <f>IF(OR(F1032 = "", G1032 = "", I1032 = ""), "", IF(F1032 = "Vara", IFERROR(_xlfn.SINGLE(_xlfn.XLOOKUP(G1032, Vöruskrá!A:A, Vöruskrá!I:I, "")) * I1032 / 100, ""), IF(F1032 = "Réttur", IFERROR(_xlfn.SINGLE(_xlfn.XLOOKUP(G1032, Réttabanki!A:A, Réttabanki!AV:AV, "")) * I1032 / 100, ""), "")))</f>
        <v/>
      </c>
      <c r="P1032" s="26" t="str">
        <f>IF(OR(F1032 = "", G1032 = "", I1032 = ""), "", IF(F1032 = "Vara", IFERROR(_xlfn.SINGLE(_xlfn.XLOOKUP(G1032, Vöruskrá!A:A, Vöruskrá!J:J, "")) * I1032 / 100, ""), IF(F1032 = "Réttur", IFERROR(_xlfn.SINGLE(_xlfn.XLOOKUP(G1032, Réttabanki!A:A, Réttabanki!AW:AW, "")) * I1032 / 100, ""), "")))</f>
        <v/>
      </c>
      <c r="Q1032" s="26" t="str">
        <f>IF(OR(F1032 = "", G1032 = "", I1032 = ""), "", IF(F1032 = "Vara", IFERROR(_xlfn.SINGLE(_xlfn.XLOOKUP(G1032, Vöruskrá!A:A, Vöruskrá!N:N, "")) * I1032 / 100, ""), IF(F1032 = "Réttur", IFERROR(_xlfn.SINGLE(_xlfn.XLOOKUP(G1032, Réttabanki!A:A, Réttabanki!BB:BB, "")) * I1032 / 100, ""), "")))</f>
        <v/>
      </c>
    </row>
    <row r="1033" spans="2:17">
      <c r="B1033" s="33" t="str">
        <f>IF(A1033&lt;&gt;"",CHOOSE(WEEKDAY(A1033,2),"Mánudagur","Þriðjudagur","Miðvikudagur","Fimmtudagur","Föstudagur","Laugardagur","Sunnudagur"),IF(B1032&lt;&gt;"",B1032,""))</f>
        <v>Fimmtudagur</v>
      </c>
      <c r="C1033" s="33">
        <f>IF(A1033&lt;&gt;"",WEEKNUM(A1033,21),IF(C1032&lt;&gt;"",C1032,""))</f>
        <v>27</v>
      </c>
      <c r="D1033" s="34"/>
      <c r="E1033" s="34"/>
      <c r="F1033" s="34"/>
      <c r="G1033" s="34"/>
      <c r="H1033" s="34"/>
      <c r="I1033" s="35"/>
      <c r="J1033" s="35"/>
      <c r="K1033" s="36"/>
      <c r="L1033" s="26" t="str">
        <f>IF(OR(F1033 = "", G1033 = ""), "", IF(F1033 = "Vara", IFERROR(_xlfn.SINGLE(_xlfn.XLOOKUP(G1033, Vöruskrá!A:A, Vöruskrá!E:E, "")), ""), IF(F1033 = "Réttur", IFERROR(_xlfn.SINGLE(_xlfn.XLOOKUP(G1033, Réttabanki!A:A, Réttabanki!AS:AS, "")), ""), "")))</f>
        <v/>
      </c>
      <c r="M1033" s="26" t="str">
        <f>IF(OR(F1033 = "", G1033 = ""), "", IF(F1033 = "Vara", IFERROR(_xlfn.SINGLE(_xlfn.XLOOKUP(G1033, Vöruskrá!A:A, Vöruskrá!F:F, "")), ""), IF(F1033 = "Réttur", IFERROR(_xlfn.SINGLE(_xlfn.XLOOKUP(G1033, Réttabanki!A:A, Réttabanki!AT:AT, "")), ""), "")))</f>
        <v/>
      </c>
      <c r="N1033" s="26" t="str">
        <f>IF(OR(F1033 = "", G1033 = ""), "", IF(F1033 = "Vara", IFERROR(_xlfn.SINGLE(_xlfn.XLOOKUP(G1033, Vöruskrá!A:A, Vöruskrá!G:G, "")), ""), IF(F1033 = "Réttur", IFERROR(_xlfn.SINGLE(_xlfn.XLOOKUP(G1033, Réttabanki!A:A, Réttabanki!AU:AU, "")), ""), "")))</f>
        <v/>
      </c>
      <c r="O1033" s="26" t="str">
        <f>IF(OR(F1033 = "", G1033 = "", I1033 = ""), "", IF(F1033 = "Vara", IFERROR(_xlfn.SINGLE(_xlfn.XLOOKUP(G1033, Vöruskrá!A:A, Vöruskrá!I:I, "")) * I1033 / 100, ""), IF(F1033 = "Réttur", IFERROR(_xlfn.SINGLE(_xlfn.XLOOKUP(G1033, Réttabanki!A:A, Réttabanki!AV:AV, "")) * I1033 / 100, ""), "")))</f>
        <v/>
      </c>
      <c r="P1033" s="26" t="str">
        <f>IF(OR(F1033 = "", G1033 = "", I1033 = ""), "", IF(F1033 = "Vara", IFERROR(_xlfn.SINGLE(_xlfn.XLOOKUP(G1033, Vöruskrá!A:A, Vöruskrá!J:J, "")) * I1033 / 100, ""), IF(F1033 = "Réttur", IFERROR(_xlfn.SINGLE(_xlfn.XLOOKUP(G1033, Réttabanki!A:A, Réttabanki!AW:AW, "")) * I1033 / 100, ""), "")))</f>
        <v/>
      </c>
      <c r="Q1033" s="26" t="str">
        <f>IF(OR(F1033 = "", G1033 = "", I1033 = ""), "", IF(F1033 = "Vara", IFERROR(_xlfn.SINGLE(_xlfn.XLOOKUP(G1033, Vöruskrá!A:A, Vöruskrá!N:N, "")) * I1033 / 100, ""), IF(F1033 = "Réttur", IFERROR(_xlfn.SINGLE(_xlfn.XLOOKUP(G1033, Réttabanki!A:A, Réttabanki!BB:BB, "")) * I1033 / 100, ""), "")))</f>
        <v/>
      </c>
    </row>
    <row r="1034" spans="2:17">
      <c r="B1034" s="33" t="str">
        <f>IF(A1034&lt;&gt;"",CHOOSE(WEEKDAY(A1034,2),"Mánudagur","Þriðjudagur","Miðvikudagur","Fimmtudagur","Föstudagur","Laugardagur","Sunnudagur"),IF(B1033&lt;&gt;"",B1033,""))</f>
        <v>Fimmtudagur</v>
      </c>
      <c r="C1034" s="33">
        <f>IF(A1034&lt;&gt;"",WEEKNUM(A1034,21),IF(C1033&lt;&gt;"",C1033,""))</f>
        <v>27</v>
      </c>
      <c r="D1034" s="34"/>
      <c r="E1034" s="34"/>
      <c r="F1034" s="34"/>
      <c r="G1034" s="34"/>
      <c r="H1034" s="34"/>
      <c r="I1034" s="35"/>
      <c r="J1034" s="35"/>
      <c r="K1034" s="36"/>
      <c r="L1034" s="26" t="str">
        <f>IF(OR(F1034 = "", G1034 = ""), "", IF(F1034 = "Vara", IFERROR(_xlfn.SINGLE(_xlfn.XLOOKUP(G1034, Vöruskrá!A:A, Vöruskrá!E:E, "")), ""), IF(F1034 = "Réttur", IFERROR(_xlfn.SINGLE(_xlfn.XLOOKUP(G1034, Réttabanki!A:A, Réttabanki!AS:AS, "")), ""), "")))</f>
        <v/>
      </c>
      <c r="M1034" s="26" t="str">
        <f>IF(OR(F1034 = "", G1034 = ""), "", IF(F1034 = "Vara", IFERROR(_xlfn.SINGLE(_xlfn.XLOOKUP(G1034, Vöruskrá!A:A, Vöruskrá!F:F, "")), ""), IF(F1034 = "Réttur", IFERROR(_xlfn.SINGLE(_xlfn.XLOOKUP(G1034, Réttabanki!A:A, Réttabanki!AT:AT, "")), ""), "")))</f>
        <v/>
      </c>
      <c r="N1034" s="26" t="str">
        <f>IF(OR(F1034 = "", G1034 = ""), "", IF(F1034 = "Vara", IFERROR(_xlfn.SINGLE(_xlfn.XLOOKUP(G1034, Vöruskrá!A:A, Vöruskrá!G:G, "")), ""), IF(F1034 = "Réttur", IFERROR(_xlfn.SINGLE(_xlfn.XLOOKUP(G1034, Réttabanki!A:A, Réttabanki!AU:AU, "")), ""), "")))</f>
        <v/>
      </c>
      <c r="O1034" s="26" t="str">
        <f>IF(OR(F1034 = "", G1034 = "", I1034 = ""), "", IF(F1034 = "Vara", IFERROR(_xlfn.SINGLE(_xlfn.XLOOKUP(G1034, Vöruskrá!A:A, Vöruskrá!I:I, "")) * I1034 / 100, ""), IF(F1034 = "Réttur", IFERROR(_xlfn.SINGLE(_xlfn.XLOOKUP(G1034, Réttabanki!A:A, Réttabanki!AV:AV, "")) * I1034 / 100, ""), "")))</f>
        <v/>
      </c>
      <c r="P1034" s="26" t="str">
        <f>IF(OR(F1034 = "", G1034 = "", I1034 = ""), "", IF(F1034 = "Vara", IFERROR(_xlfn.SINGLE(_xlfn.XLOOKUP(G1034, Vöruskrá!A:A, Vöruskrá!J:J, "")) * I1034 / 100, ""), IF(F1034 = "Réttur", IFERROR(_xlfn.SINGLE(_xlfn.XLOOKUP(G1034, Réttabanki!A:A, Réttabanki!AW:AW, "")) * I1034 / 100, ""), "")))</f>
        <v/>
      </c>
      <c r="Q1034" s="26" t="str">
        <f>IF(OR(F1034 = "", G1034 = "", I1034 = ""), "", IF(F1034 = "Vara", IFERROR(_xlfn.SINGLE(_xlfn.XLOOKUP(G1034, Vöruskrá!A:A, Vöruskrá!N:N, "")) * I1034 / 100, ""), IF(F1034 = "Réttur", IFERROR(_xlfn.SINGLE(_xlfn.XLOOKUP(G1034, Réttabanki!A:A, Réttabanki!BB:BB, "")) * I1034 / 100, ""), "")))</f>
        <v/>
      </c>
    </row>
    <row r="1035" spans="2:17">
      <c r="B1035" s="33" t="str">
        <f>IF(A1035&lt;&gt;"",CHOOSE(WEEKDAY(A1035,2),"Mánudagur","Þriðjudagur","Miðvikudagur","Fimmtudagur","Föstudagur","Laugardagur","Sunnudagur"),IF(B1034&lt;&gt;"",B1034,""))</f>
        <v>Fimmtudagur</v>
      </c>
      <c r="C1035" s="33">
        <f>IF(A1035&lt;&gt;"",WEEKNUM(A1035,21),IF(C1034&lt;&gt;"",C1034,""))</f>
        <v>27</v>
      </c>
      <c r="D1035" s="34"/>
      <c r="E1035" s="34"/>
      <c r="F1035" s="34"/>
      <c r="G1035" s="34"/>
      <c r="H1035" s="34"/>
      <c r="I1035" s="35"/>
      <c r="J1035" s="35"/>
      <c r="K1035" s="36"/>
      <c r="L1035" s="26" t="str">
        <f>IF(OR(F1035 = "", G1035 = ""), "", IF(F1035 = "Vara", IFERROR(_xlfn.SINGLE(_xlfn.XLOOKUP(G1035, Vöruskrá!A:A, Vöruskrá!E:E, "")), ""), IF(F1035 = "Réttur", IFERROR(_xlfn.SINGLE(_xlfn.XLOOKUP(G1035, Réttabanki!A:A, Réttabanki!AS:AS, "")), ""), "")))</f>
        <v/>
      </c>
      <c r="M1035" s="26" t="str">
        <f>IF(OR(F1035 = "", G1035 = ""), "", IF(F1035 = "Vara", IFERROR(_xlfn.SINGLE(_xlfn.XLOOKUP(G1035, Vöruskrá!A:A, Vöruskrá!F:F, "")), ""), IF(F1035 = "Réttur", IFERROR(_xlfn.SINGLE(_xlfn.XLOOKUP(G1035, Réttabanki!A:A, Réttabanki!AT:AT, "")), ""), "")))</f>
        <v/>
      </c>
      <c r="N1035" s="26" t="str">
        <f>IF(OR(F1035 = "", G1035 = ""), "", IF(F1035 = "Vara", IFERROR(_xlfn.SINGLE(_xlfn.XLOOKUP(G1035, Vöruskrá!A:A, Vöruskrá!G:G, "")), ""), IF(F1035 = "Réttur", IFERROR(_xlfn.SINGLE(_xlfn.XLOOKUP(G1035, Réttabanki!A:A, Réttabanki!AU:AU, "")), ""), "")))</f>
        <v/>
      </c>
      <c r="O1035" s="26" t="str">
        <f>IF(OR(F1035 = "", G1035 = "", I1035 = ""), "", IF(F1035 = "Vara", IFERROR(_xlfn.SINGLE(_xlfn.XLOOKUP(G1035, Vöruskrá!A:A, Vöruskrá!I:I, "")) * I1035 / 100, ""), IF(F1035 = "Réttur", IFERROR(_xlfn.SINGLE(_xlfn.XLOOKUP(G1035, Réttabanki!A:A, Réttabanki!AV:AV, "")) * I1035 / 100, ""), "")))</f>
        <v/>
      </c>
      <c r="P1035" s="26" t="str">
        <f>IF(OR(F1035 = "", G1035 = "", I1035 = ""), "", IF(F1035 = "Vara", IFERROR(_xlfn.SINGLE(_xlfn.XLOOKUP(G1035, Vöruskrá!A:A, Vöruskrá!J:J, "")) * I1035 / 100, ""), IF(F1035 = "Réttur", IFERROR(_xlfn.SINGLE(_xlfn.XLOOKUP(G1035, Réttabanki!A:A, Réttabanki!AW:AW, "")) * I1035 / 100, ""), "")))</f>
        <v/>
      </c>
      <c r="Q1035" s="26" t="str">
        <f>IF(OR(F1035 = "", G1035 = "", I1035 = ""), "", IF(F1035 = "Vara", IFERROR(_xlfn.SINGLE(_xlfn.XLOOKUP(G1035, Vöruskrá!A:A, Vöruskrá!N:N, "")) * I1035 / 100, ""), IF(F1035 = "Réttur", IFERROR(_xlfn.SINGLE(_xlfn.XLOOKUP(G1035, Réttabanki!A:A, Réttabanki!BB:BB, "")) * I1035 / 100, ""), "")))</f>
        <v/>
      </c>
    </row>
    <row r="1036" spans="2:17">
      <c r="B1036" s="33" t="str">
        <f>IF(A1036&lt;&gt;"",CHOOSE(WEEKDAY(A1036,2),"Mánudagur","Þriðjudagur","Miðvikudagur","Fimmtudagur","Föstudagur","Laugardagur","Sunnudagur"),IF(B1035&lt;&gt;"",B1035,""))</f>
        <v>Fimmtudagur</v>
      </c>
      <c r="C1036" s="33">
        <f>IF(A1036&lt;&gt;"",WEEKNUM(A1036,21),IF(C1035&lt;&gt;"",C1035,""))</f>
        <v>27</v>
      </c>
      <c r="D1036" s="34"/>
      <c r="E1036" s="34"/>
      <c r="F1036" s="34"/>
      <c r="G1036" s="34"/>
      <c r="H1036" s="34"/>
      <c r="I1036" s="35"/>
      <c r="J1036" s="35"/>
      <c r="K1036" s="36"/>
      <c r="L1036" s="26" t="str">
        <f>IF(OR(F1036 = "", G1036 = ""), "", IF(F1036 = "Vara", IFERROR(_xlfn.SINGLE(_xlfn.XLOOKUP(G1036, Vöruskrá!A:A, Vöruskrá!E:E, "")), ""), IF(F1036 = "Réttur", IFERROR(_xlfn.SINGLE(_xlfn.XLOOKUP(G1036, Réttabanki!A:A, Réttabanki!AS:AS, "")), ""), "")))</f>
        <v/>
      </c>
      <c r="M1036" s="26" t="str">
        <f>IF(OR(F1036 = "", G1036 = ""), "", IF(F1036 = "Vara", IFERROR(_xlfn.SINGLE(_xlfn.XLOOKUP(G1036, Vöruskrá!A:A, Vöruskrá!F:F, "")), ""), IF(F1036 = "Réttur", IFERROR(_xlfn.SINGLE(_xlfn.XLOOKUP(G1036, Réttabanki!A:A, Réttabanki!AT:AT, "")), ""), "")))</f>
        <v/>
      </c>
      <c r="N1036" s="26" t="str">
        <f>IF(OR(F1036 = "", G1036 = ""), "", IF(F1036 = "Vara", IFERROR(_xlfn.SINGLE(_xlfn.XLOOKUP(G1036, Vöruskrá!A:A, Vöruskrá!G:G, "")), ""), IF(F1036 = "Réttur", IFERROR(_xlfn.SINGLE(_xlfn.XLOOKUP(G1036, Réttabanki!A:A, Réttabanki!AU:AU, "")), ""), "")))</f>
        <v/>
      </c>
      <c r="O1036" s="26" t="str">
        <f>IF(OR(F1036 = "", G1036 = "", I1036 = ""), "", IF(F1036 = "Vara", IFERROR(_xlfn.SINGLE(_xlfn.XLOOKUP(G1036, Vöruskrá!A:A, Vöruskrá!I:I, "")) * I1036 / 100, ""), IF(F1036 = "Réttur", IFERROR(_xlfn.SINGLE(_xlfn.XLOOKUP(G1036, Réttabanki!A:A, Réttabanki!AV:AV, "")) * I1036 / 100, ""), "")))</f>
        <v/>
      </c>
      <c r="P1036" s="26" t="str">
        <f>IF(OR(F1036 = "", G1036 = "", I1036 = ""), "", IF(F1036 = "Vara", IFERROR(_xlfn.SINGLE(_xlfn.XLOOKUP(G1036, Vöruskrá!A:A, Vöruskrá!J:J, "")) * I1036 / 100, ""), IF(F1036 = "Réttur", IFERROR(_xlfn.SINGLE(_xlfn.XLOOKUP(G1036, Réttabanki!A:A, Réttabanki!AW:AW, "")) * I1036 / 100, ""), "")))</f>
        <v/>
      </c>
      <c r="Q1036" s="26" t="str">
        <f>IF(OR(F1036 = "", G1036 = "", I1036 = ""), "", IF(F1036 = "Vara", IFERROR(_xlfn.SINGLE(_xlfn.XLOOKUP(G1036, Vöruskrá!A:A, Vöruskrá!N:N, "")) * I1036 / 100, ""), IF(F1036 = "Réttur", IFERROR(_xlfn.SINGLE(_xlfn.XLOOKUP(G1036, Réttabanki!A:A, Réttabanki!BB:BB, "")) * I1036 / 100, ""), "")))</f>
        <v/>
      </c>
    </row>
    <row r="1037" spans="2:17">
      <c r="B1037" s="33" t="str">
        <f>IF(A1037&lt;&gt;"",CHOOSE(WEEKDAY(A1037,2),"Mánudagur","Þriðjudagur","Miðvikudagur","Fimmtudagur","Föstudagur","Laugardagur","Sunnudagur"),IF(B1036&lt;&gt;"",B1036,""))</f>
        <v>Fimmtudagur</v>
      </c>
      <c r="C1037" s="33">
        <f>IF(A1037&lt;&gt;"",WEEKNUM(A1037,21),IF(C1036&lt;&gt;"",C1036,""))</f>
        <v>27</v>
      </c>
      <c r="D1037" s="34"/>
      <c r="E1037" s="34"/>
      <c r="F1037" s="34"/>
      <c r="G1037" s="34"/>
      <c r="H1037" s="34"/>
      <c r="I1037" s="35"/>
      <c r="J1037" s="35"/>
      <c r="K1037" s="36"/>
      <c r="L1037" s="26" t="str">
        <f>IF(OR(F1037 = "", G1037 = ""), "", IF(F1037 = "Vara", IFERROR(_xlfn.SINGLE(_xlfn.XLOOKUP(G1037, Vöruskrá!A:A, Vöruskrá!E:E, "")), ""), IF(F1037 = "Réttur", IFERROR(_xlfn.SINGLE(_xlfn.XLOOKUP(G1037, Réttabanki!A:A, Réttabanki!AS:AS, "")), ""), "")))</f>
        <v/>
      </c>
      <c r="M1037" s="26" t="str">
        <f>IF(OR(F1037 = "", G1037 = ""), "", IF(F1037 = "Vara", IFERROR(_xlfn.SINGLE(_xlfn.XLOOKUP(G1037, Vöruskrá!A:A, Vöruskrá!F:F, "")), ""), IF(F1037 = "Réttur", IFERROR(_xlfn.SINGLE(_xlfn.XLOOKUP(G1037, Réttabanki!A:A, Réttabanki!AT:AT, "")), ""), "")))</f>
        <v/>
      </c>
      <c r="N1037" s="26" t="str">
        <f>IF(OR(F1037 = "", G1037 = ""), "", IF(F1037 = "Vara", IFERROR(_xlfn.SINGLE(_xlfn.XLOOKUP(G1037, Vöruskrá!A:A, Vöruskrá!G:G, "")), ""), IF(F1037 = "Réttur", IFERROR(_xlfn.SINGLE(_xlfn.XLOOKUP(G1037, Réttabanki!A:A, Réttabanki!AU:AU, "")), ""), "")))</f>
        <v/>
      </c>
      <c r="O1037" s="26" t="str">
        <f>IF(OR(F1037 = "", G1037 = "", I1037 = ""), "", IF(F1037 = "Vara", IFERROR(_xlfn.SINGLE(_xlfn.XLOOKUP(G1037, Vöruskrá!A:A, Vöruskrá!I:I, "")) * I1037 / 100, ""), IF(F1037 = "Réttur", IFERROR(_xlfn.SINGLE(_xlfn.XLOOKUP(G1037, Réttabanki!A:A, Réttabanki!AV:AV, "")) * I1037 / 100, ""), "")))</f>
        <v/>
      </c>
      <c r="P1037" s="26" t="str">
        <f>IF(OR(F1037 = "", G1037 = "", I1037 = ""), "", IF(F1037 = "Vara", IFERROR(_xlfn.SINGLE(_xlfn.XLOOKUP(G1037, Vöruskrá!A:A, Vöruskrá!J:J, "")) * I1037 / 100, ""), IF(F1037 = "Réttur", IFERROR(_xlfn.SINGLE(_xlfn.XLOOKUP(G1037, Réttabanki!A:A, Réttabanki!AW:AW, "")) * I1037 / 100, ""), "")))</f>
        <v/>
      </c>
      <c r="Q1037" s="26" t="str">
        <f>IF(OR(F1037 = "", G1037 = "", I1037 = ""), "", IF(F1037 = "Vara", IFERROR(_xlfn.SINGLE(_xlfn.XLOOKUP(G1037, Vöruskrá!A:A, Vöruskrá!N:N, "")) * I1037 / 100, ""), IF(F1037 = "Réttur", IFERROR(_xlfn.SINGLE(_xlfn.XLOOKUP(G1037, Réttabanki!A:A, Réttabanki!BB:BB, "")) * I1037 / 100, ""), "")))</f>
        <v/>
      </c>
    </row>
    <row r="1038" spans="2:17">
      <c r="B1038" s="33" t="str">
        <f>IF(A1038&lt;&gt;"",CHOOSE(WEEKDAY(A1038,2),"Mánudagur","Þriðjudagur","Miðvikudagur","Fimmtudagur","Föstudagur","Laugardagur","Sunnudagur"),IF(B1037&lt;&gt;"",B1037,""))</f>
        <v>Fimmtudagur</v>
      </c>
      <c r="C1038" s="33">
        <f>IF(A1038&lt;&gt;"",WEEKNUM(A1038,21),IF(C1037&lt;&gt;"",C1037,""))</f>
        <v>27</v>
      </c>
      <c r="D1038" s="34"/>
      <c r="E1038" s="34"/>
      <c r="F1038" s="34"/>
      <c r="G1038" s="34"/>
      <c r="H1038" s="34"/>
      <c r="I1038" s="35"/>
      <c r="J1038" s="35"/>
      <c r="K1038" s="36"/>
      <c r="L1038" s="26" t="str">
        <f>IF(OR(F1038 = "", G1038 = ""), "", IF(F1038 = "Vara", IFERROR(_xlfn.SINGLE(_xlfn.XLOOKUP(G1038, Vöruskrá!A:A, Vöruskrá!E:E, "")), ""), IF(F1038 = "Réttur", IFERROR(_xlfn.SINGLE(_xlfn.XLOOKUP(G1038, Réttabanki!A:A, Réttabanki!AS:AS, "")), ""), "")))</f>
        <v/>
      </c>
      <c r="M1038" s="26" t="str">
        <f>IF(OR(F1038 = "", G1038 = ""), "", IF(F1038 = "Vara", IFERROR(_xlfn.SINGLE(_xlfn.XLOOKUP(G1038, Vöruskrá!A:A, Vöruskrá!F:F, "")), ""), IF(F1038 = "Réttur", IFERROR(_xlfn.SINGLE(_xlfn.XLOOKUP(G1038, Réttabanki!A:A, Réttabanki!AT:AT, "")), ""), "")))</f>
        <v/>
      </c>
      <c r="N1038" s="26" t="str">
        <f>IF(OR(F1038 = "", G1038 = ""), "", IF(F1038 = "Vara", IFERROR(_xlfn.SINGLE(_xlfn.XLOOKUP(G1038, Vöruskrá!A:A, Vöruskrá!G:G, "")), ""), IF(F1038 = "Réttur", IFERROR(_xlfn.SINGLE(_xlfn.XLOOKUP(G1038, Réttabanki!A:A, Réttabanki!AU:AU, "")), ""), "")))</f>
        <v/>
      </c>
      <c r="O1038" s="26" t="str">
        <f>IF(OR(F1038 = "", G1038 = "", I1038 = ""), "", IF(F1038 = "Vara", IFERROR(_xlfn.SINGLE(_xlfn.XLOOKUP(G1038, Vöruskrá!A:A, Vöruskrá!I:I, "")) * I1038 / 100, ""), IF(F1038 = "Réttur", IFERROR(_xlfn.SINGLE(_xlfn.XLOOKUP(G1038, Réttabanki!A:A, Réttabanki!AV:AV, "")) * I1038 / 100, ""), "")))</f>
        <v/>
      </c>
      <c r="P1038" s="26" t="str">
        <f>IF(OR(F1038 = "", G1038 = "", I1038 = ""), "", IF(F1038 = "Vara", IFERROR(_xlfn.SINGLE(_xlfn.XLOOKUP(G1038, Vöruskrá!A:A, Vöruskrá!J:J, "")) * I1038 / 100, ""), IF(F1038 = "Réttur", IFERROR(_xlfn.SINGLE(_xlfn.XLOOKUP(G1038, Réttabanki!A:A, Réttabanki!AW:AW, "")) * I1038 / 100, ""), "")))</f>
        <v/>
      </c>
      <c r="Q1038" s="26" t="str">
        <f>IF(OR(F1038 = "", G1038 = "", I1038 = ""), "", IF(F1038 = "Vara", IFERROR(_xlfn.SINGLE(_xlfn.XLOOKUP(G1038, Vöruskrá!A:A, Vöruskrá!N:N, "")) * I1038 / 100, ""), IF(F1038 = "Réttur", IFERROR(_xlfn.SINGLE(_xlfn.XLOOKUP(G1038, Réttabanki!A:A, Réttabanki!BB:BB, "")) * I1038 / 100, ""), "")))</f>
        <v/>
      </c>
    </row>
    <row r="1039" spans="2:17">
      <c r="B1039" s="33" t="str">
        <f>IF(A1039&lt;&gt;"",CHOOSE(WEEKDAY(A1039,2),"Mánudagur","Þriðjudagur","Miðvikudagur","Fimmtudagur","Föstudagur","Laugardagur","Sunnudagur"),IF(B1038&lt;&gt;"",B1038,""))</f>
        <v>Fimmtudagur</v>
      </c>
      <c r="C1039" s="33">
        <f>IF(A1039&lt;&gt;"",WEEKNUM(A1039,21),IF(C1038&lt;&gt;"",C1038,""))</f>
        <v>27</v>
      </c>
      <c r="D1039" s="34"/>
      <c r="E1039" s="34"/>
      <c r="F1039" s="34"/>
      <c r="G1039" s="34"/>
      <c r="H1039" s="34"/>
      <c r="I1039" s="35"/>
      <c r="J1039" s="35"/>
      <c r="K1039" s="36"/>
      <c r="L1039" s="26" t="str">
        <f>IF(OR(F1039 = "", G1039 = ""), "", IF(F1039 = "Vara", IFERROR(_xlfn.SINGLE(_xlfn.XLOOKUP(G1039, Vöruskrá!A:A, Vöruskrá!E:E, "")), ""), IF(F1039 = "Réttur", IFERROR(_xlfn.SINGLE(_xlfn.XLOOKUP(G1039, Réttabanki!A:A, Réttabanki!AS:AS, "")), ""), "")))</f>
        <v/>
      </c>
      <c r="M1039" s="26" t="str">
        <f>IF(OR(F1039 = "", G1039 = ""), "", IF(F1039 = "Vara", IFERROR(_xlfn.SINGLE(_xlfn.XLOOKUP(G1039, Vöruskrá!A:A, Vöruskrá!F:F, "")), ""), IF(F1039 = "Réttur", IFERROR(_xlfn.SINGLE(_xlfn.XLOOKUP(G1039, Réttabanki!A:A, Réttabanki!AT:AT, "")), ""), "")))</f>
        <v/>
      </c>
      <c r="N1039" s="26" t="str">
        <f>IF(OR(F1039 = "", G1039 = ""), "", IF(F1039 = "Vara", IFERROR(_xlfn.SINGLE(_xlfn.XLOOKUP(G1039, Vöruskrá!A:A, Vöruskrá!G:G, "")), ""), IF(F1039 = "Réttur", IFERROR(_xlfn.SINGLE(_xlfn.XLOOKUP(G1039, Réttabanki!A:A, Réttabanki!AU:AU, "")), ""), "")))</f>
        <v/>
      </c>
      <c r="O1039" s="26" t="str">
        <f>IF(OR(F1039 = "", G1039 = "", I1039 = ""), "", IF(F1039 = "Vara", IFERROR(_xlfn.SINGLE(_xlfn.XLOOKUP(G1039, Vöruskrá!A:A, Vöruskrá!I:I, "")) * I1039 / 100, ""), IF(F1039 = "Réttur", IFERROR(_xlfn.SINGLE(_xlfn.XLOOKUP(G1039, Réttabanki!A:A, Réttabanki!AV:AV, "")) * I1039 / 100, ""), "")))</f>
        <v/>
      </c>
      <c r="P1039" s="26" t="str">
        <f>IF(OR(F1039 = "", G1039 = "", I1039 = ""), "", IF(F1039 = "Vara", IFERROR(_xlfn.SINGLE(_xlfn.XLOOKUP(G1039, Vöruskrá!A:A, Vöruskrá!J:J, "")) * I1039 / 100, ""), IF(F1039 = "Réttur", IFERROR(_xlfn.SINGLE(_xlfn.XLOOKUP(G1039, Réttabanki!A:A, Réttabanki!AW:AW, "")) * I1039 / 100, ""), "")))</f>
        <v/>
      </c>
      <c r="Q1039" s="26" t="str">
        <f>IF(OR(F1039 = "", G1039 = "", I1039 = ""), "", IF(F1039 = "Vara", IFERROR(_xlfn.SINGLE(_xlfn.XLOOKUP(G1039, Vöruskrá!A:A, Vöruskrá!N:N, "")) * I1039 / 100, ""), IF(F1039 = "Réttur", IFERROR(_xlfn.SINGLE(_xlfn.XLOOKUP(G1039, Réttabanki!A:A, Réttabanki!BB:BB, "")) * I1039 / 100, ""), "")))</f>
        <v/>
      </c>
    </row>
    <row r="1040" spans="2:17">
      <c r="B1040" s="33" t="str">
        <f>IF(A1040&lt;&gt;"",CHOOSE(WEEKDAY(A1040,2),"Mánudagur","Þriðjudagur","Miðvikudagur","Fimmtudagur","Föstudagur","Laugardagur","Sunnudagur"),IF(B1039&lt;&gt;"",B1039,""))</f>
        <v>Fimmtudagur</v>
      </c>
      <c r="C1040" s="33">
        <f>IF(A1040&lt;&gt;"",WEEKNUM(A1040,21),IF(C1039&lt;&gt;"",C1039,""))</f>
        <v>27</v>
      </c>
      <c r="D1040" s="34"/>
      <c r="E1040" s="34"/>
      <c r="F1040" s="34"/>
      <c r="G1040" s="34"/>
      <c r="H1040" s="34"/>
      <c r="I1040" s="35"/>
      <c r="J1040" s="35"/>
      <c r="K1040" s="36"/>
      <c r="L1040" s="26" t="str">
        <f>IF(OR(F1040 = "", G1040 = ""), "", IF(F1040 = "Vara", IFERROR(_xlfn.SINGLE(_xlfn.XLOOKUP(G1040, Vöruskrá!A:A, Vöruskrá!E:E, "")), ""), IF(F1040 = "Réttur", IFERROR(_xlfn.SINGLE(_xlfn.XLOOKUP(G1040, Réttabanki!A:A, Réttabanki!AS:AS, "")), ""), "")))</f>
        <v/>
      </c>
      <c r="M1040" s="26" t="str">
        <f>IF(OR(F1040 = "", G1040 = ""), "", IF(F1040 = "Vara", IFERROR(_xlfn.SINGLE(_xlfn.XLOOKUP(G1040, Vöruskrá!A:A, Vöruskrá!F:F, "")), ""), IF(F1040 = "Réttur", IFERROR(_xlfn.SINGLE(_xlfn.XLOOKUP(G1040, Réttabanki!A:A, Réttabanki!AT:AT, "")), ""), "")))</f>
        <v/>
      </c>
      <c r="N1040" s="26" t="str">
        <f>IF(OR(F1040 = "", G1040 = ""), "", IF(F1040 = "Vara", IFERROR(_xlfn.SINGLE(_xlfn.XLOOKUP(G1040, Vöruskrá!A:A, Vöruskrá!G:G, "")), ""), IF(F1040 = "Réttur", IFERROR(_xlfn.SINGLE(_xlfn.XLOOKUP(G1040, Réttabanki!A:A, Réttabanki!AU:AU, "")), ""), "")))</f>
        <v/>
      </c>
      <c r="O1040" s="26" t="str">
        <f>IF(OR(F1040 = "", G1040 = "", I1040 = ""), "", IF(F1040 = "Vara", IFERROR(_xlfn.SINGLE(_xlfn.XLOOKUP(G1040, Vöruskrá!A:A, Vöruskrá!I:I, "")) * I1040 / 100, ""), IF(F1040 = "Réttur", IFERROR(_xlfn.SINGLE(_xlfn.XLOOKUP(G1040, Réttabanki!A:A, Réttabanki!AV:AV, "")) * I1040 / 100, ""), "")))</f>
        <v/>
      </c>
      <c r="P1040" s="26" t="str">
        <f>IF(OR(F1040 = "", G1040 = "", I1040 = ""), "", IF(F1040 = "Vara", IFERROR(_xlfn.SINGLE(_xlfn.XLOOKUP(G1040, Vöruskrá!A:A, Vöruskrá!J:J, "")) * I1040 / 100, ""), IF(F1040 = "Réttur", IFERROR(_xlfn.SINGLE(_xlfn.XLOOKUP(G1040, Réttabanki!A:A, Réttabanki!AW:AW, "")) * I1040 / 100, ""), "")))</f>
        <v/>
      </c>
      <c r="Q1040" s="26" t="str">
        <f>IF(OR(F1040 = "", G1040 = "", I1040 = ""), "", IF(F1040 = "Vara", IFERROR(_xlfn.SINGLE(_xlfn.XLOOKUP(G1040, Vöruskrá!A:A, Vöruskrá!N:N, "")) * I1040 / 100, ""), IF(F1040 = "Réttur", IFERROR(_xlfn.SINGLE(_xlfn.XLOOKUP(G1040, Réttabanki!A:A, Réttabanki!BB:BB, "")) * I1040 / 100, ""), "")))</f>
        <v/>
      </c>
    </row>
    <row r="1041" spans="2:17">
      <c r="B1041" s="33" t="str">
        <f>IF(A1041&lt;&gt;"",CHOOSE(WEEKDAY(A1041,2),"Mánudagur","Þriðjudagur","Miðvikudagur","Fimmtudagur","Föstudagur","Laugardagur","Sunnudagur"),IF(B1040&lt;&gt;"",B1040,""))</f>
        <v>Fimmtudagur</v>
      </c>
      <c r="C1041" s="33">
        <f>IF(A1041&lt;&gt;"",WEEKNUM(A1041,21),IF(C1040&lt;&gt;"",C1040,""))</f>
        <v>27</v>
      </c>
      <c r="D1041" s="34"/>
      <c r="E1041" s="34"/>
      <c r="F1041" s="34"/>
      <c r="G1041" s="34"/>
      <c r="H1041" s="34"/>
      <c r="I1041" s="35"/>
      <c r="J1041" s="35"/>
      <c r="K1041" s="36"/>
      <c r="L1041" s="26" t="str">
        <f>IF(OR(F1041 = "", G1041 = ""), "", IF(F1041 = "Vara", IFERROR(_xlfn.SINGLE(_xlfn.XLOOKUP(G1041, Vöruskrá!A:A, Vöruskrá!E:E, "")), ""), IF(F1041 = "Réttur", IFERROR(_xlfn.SINGLE(_xlfn.XLOOKUP(G1041, Réttabanki!A:A, Réttabanki!AS:AS, "")), ""), "")))</f>
        <v/>
      </c>
      <c r="M1041" s="26" t="str">
        <f>IF(OR(F1041 = "", G1041 = ""), "", IF(F1041 = "Vara", IFERROR(_xlfn.SINGLE(_xlfn.XLOOKUP(G1041, Vöruskrá!A:A, Vöruskrá!F:F, "")), ""), IF(F1041 = "Réttur", IFERROR(_xlfn.SINGLE(_xlfn.XLOOKUP(G1041, Réttabanki!A:A, Réttabanki!AT:AT, "")), ""), "")))</f>
        <v/>
      </c>
      <c r="N1041" s="26" t="str">
        <f>IF(OR(F1041 = "", G1041 = ""), "", IF(F1041 = "Vara", IFERROR(_xlfn.SINGLE(_xlfn.XLOOKUP(G1041, Vöruskrá!A:A, Vöruskrá!G:G, "")), ""), IF(F1041 = "Réttur", IFERROR(_xlfn.SINGLE(_xlfn.XLOOKUP(G1041, Réttabanki!A:A, Réttabanki!AU:AU, "")), ""), "")))</f>
        <v/>
      </c>
      <c r="O1041" s="26" t="str">
        <f>IF(OR(F1041 = "", G1041 = "", I1041 = ""), "", IF(F1041 = "Vara", IFERROR(_xlfn.SINGLE(_xlfn.XLOOKUP(G1041, Vöruskrá!A:A, Vöruskrá!I:I, "")) * I1041 / 100, ""), IF(F1041 = "Réttur", IFERROR(_xlfn.SINGLE(_xlfn.XLOOKUP(G1041, Réttabanki!A:A, Réttabanki!AV:AV, "")) * I1041 / 100, ""), "")))</f>
        <v/>
      </c>
      <c r="P1041" s="26" t="str">
        <f>IF(OR(F1041 = "", G1041 = "", I1041 = ""), "", IF(F1041 = "Vara", IFERROR(_xlfn.SINGLE(_xlfn.XLOOKUP(G1041, Vöruskrá!A:A, Vöruskrá!J:J, "")) * I1041 / 100, ""), IF(F1041 = "Réttur", IFERROR(_xlfn.SINGLE(_xlfn.XLOOKUP(G1041, Réttabanki!A:A, Réttabanki!AW:AW, "")) * I1041 / 100, ""), "")))</f>
        <v/>
      </c>
      <c r="Q1041" s="26" t="str">
        <f>IF(OR(F1041 = "", G1041 = "", I1041 = ""), "", IF(F1041 = "Vara", IFERROR(_xlfn.SINGLE(_xlfn.XLOOKUP(G1041, Vöruskrá!A:A, Vöruskrá!N:N, "")) * I1041 / 100, ""), IF(F1041 = "Réttur", IFERROR(_xlfn.SINGLE(_xlfn.XLOOKUP(G1041, Réttabanki!A:A, Réttabanki!BB:BB, "")) * I1041 / 100, ""), "")))</f>
        <v/>
      </c>
    </row>
    <row r="1042" spans="2:17">
      <c r="B1042" s="33" t="str">
        <f>IF(A1042&lt;&gt;"",CHOOSE(WEEKDAY(A1042,2),"Mánudagur","Þriðjudagur","Miðvikudagur","Fimmtudagur","Föstudagur","Laugardagur","Sunnudagur"),IF(B1041&lt;&gt;"",B1041,""))</f>
        <v>Fimmtudagur</v>
      </c>
      <c r="C1042" s="33">
        <f>IF(A1042&lt;&gt;"",WEEKNUM(A1042,21),IF(C1041&lt;&gt;"",C1041,""))</f>
        <v>27</v>
      </c>
      <c r="D1042" s="34"/>
      <c r="E1042" s="34"/>
      <c r="F1042" s="34"/>
      <c r="G1042" s="34"/>
      <c r="H1042" s="34"/>
      <c r="I1042" s="35"/>
      <c r="J1042" s="35"/>
      <c r="K1042" s="36"/>
      <c r="L1042" s="26" t="str">
        <f>IF(OR(F1042 = "", G1042 = ""), "", IF(F1042 = "Vara", IFERROR(_xlfn.SINGLE(_xlfn.XLOOKUP(G1042, Vöruskrá!A:A, Vöruskrá!E:E, "")), ""), IF(F1042 = "Réttur", IFERROR(_xlfn.SINGLE(_xlfn.XLOOKUP(G1042, Réttabanki!A:A, Réttabanki!AS:AS, "")), ""), "")))</f>
        <v/>
      </c>
      <c r="M1042" s="26" t="str">
        <f>IF(OR(F1042 = "", G1042 = ""), "", IF(F1042 = "Vara", IFERROR(_xlfn.SINGLE(_xlfn.XLOOKUP(G1042, Vöruskrá!A:A, Vöruskrá!F:F, "")), ""), IF(F1042 = "Réttur", IFERROR(_xlfn.SINGLE(_xlfn.XLOOKUP(G1042, Réttabanki!A:A, Réttabanki!AT:AT, "")), ""), "")))</f>
        <v/>
      </c>
      <c r="N1042" s="26" t="str">
        <f>IF(OR(F1042 = "", G1042 = ""), "", IF(F1042 = "Vara", IFERROR(_xlfn.SINGLE(_xlfn.XLOOKUP(G1042, Vöruskrá!A:A, Vöruskrá!G:G, "")), ""), IF(F1042 = "Réttur", IFERROR(_xlfn.SINGLE(_xlfn.XLOOKUP(G1042, Réttabanki!A:A, Réttabanki!AU:AU, "")), ""), "")))</f>
        <v/>
      </c>
      <c r="O1042" s="26" t="str">
        <f>IF(OR(F1042 = "", G1042 = "", I1042 = ""), "", IF(F1042 = "Vara", IFERROR(_xlfn.SINGLE(_xlfn.XLOOKUP(G1042, Vöruskrá!A:A, Vöruskrá!I:I, "")) * I1042 / 100, ""), IF(F1042 = "Réttur", IFERROR(_xlfn.SINGLE(_xlfn.XLOOKUP(G1042, Réttabanki!A:A, Réttabanki!AV:AV, "")) * I1042 / 100, ""), "")))</f>
        <v/>
      </c>
      <c r="P1042" s="26" t="str">
        <f>IF(OR(F1042 = "", G1042 = "", I1042 = ""), "", IF(F1042 = "Vara", IFERROR(_xlfn.SINGLE(_xlfn.XLOOKUP(G1042, Vöruskrá!A:A, Vöruskrá!J:J, "")) * I1042 / 100, ""), IF(F1042 = "Réttur", IFERROR(_xlfn.SINGLE(_xlfn.XLOOKUP(G1042, Réttabanki!A:A, Réttabanki!AW:AW, "")) * I1042 / 100, ""), "")))</f>
        <v/>
      </c>
      <c r="Q1042" s="26" t="str">
        <f>IF(OR(F1042 = "", G1042 = "", I1042 = ""), "", IF(F1042 = "Vara", IFERROR(_xlfn.SINGLE(_xlfn.XLOOKUP(G1042, Vöruskrá!A:A, Vöruskrá!N:N, "")) * I1042 / 100, ""), IF(F1042 = "Réttur", IFERROR(_xlfn.SINGLE(_xlfn.XLOOKUP(G1042, Réttabanki!A:A, Réttabanki!BB:BB, "")) * I1042 / 100, ""), "")))</f>
        <v/>
      </c>
    </row>
    <row r="1043" spans="2:17">
      <c r="B1043" s="33" t="str">
        <f>IF(A1043&lt;&gt;"",CHOOSE(WEEKDAY(A1043,2),"Mánudagur","Þriðjudagur","Miðvikudagur","Fimmtudagur","Föstudagur","Laugardagur","Sunnudagur"),IF(B1042&lt;&gt;"",B1042,""))</f>
        <v>Fimmtudagur</v>
      </c>
      <c r="C1043" s="33">
        <f>IF(A1043&lt;&gt;"",WEEKNUM(A1043,21),IF(C1042&lt;&gt;"",C1042,""))</f>
        <v>27</v>
      </c>
      <c r="D1043" s="34"/>
      <c r="E1043" s="34"/>
      <c r="F1043" s="34"/>
      <c r="G1043" s="34"/>
      <c r="H1043" s="34"/>
      <c r="I1043" s="35"/>
      <c r="J1043" s="35"/>
      <c r="K1043" s="36"/>
      <c r="L1043" s="26" t="str">
        <f>IF(OR(F1043 = "", G1043 = ""), "", IF(F1043 = "Vara", IFERROR(_xlfn.SINGLE(_xlfn.XLOOKUP(G1043, Vöruskrá!A:A, Vöruskrá!E:E, "")), ""), IF(F1043 = "Réttur", IFERROR(_xlfn.SINGLE(_xlfn.XLOOKUP(G1043, Réttabanki!A:A, Réttabanki!AS:AS, "")), ""), "")))</f>
        <v/>
      </c>
      <c r="M1043" s="26" t="str">
        <f>IF(OR(F1043 = "", G1043 = ""), "", IF(F1043 = "Vara", IFERROR(_xlfn.SINGLE(_xlfn.XLOOKUP(G1043, Vöruskrá!A:A, Vöruskrá!F:F, "")), ""), IF(F1043 = "Réttur", IFERROR(_xlfn.SINGLE(_xlfn.XLOOKUP(G1043, Réttabanki!A:A, Réttabanki!AT:AT, "")), ""), "")))</f>
        <v/>
      </c>
      <c r="N1043" s="26" t="str">
        <f>IF(OR(F1043 = "", G1043 = ""), "", IF(F1043 = "Vara", IFERROR(_xlfn.SINGLE(_xlfn.XLOOKUP(G1043, Vöruskrá!A:A, Vöruskrá!G:G, "")), ""), IF(F1043 = "Réttur", IFERROR(_xlfn.SINGLE(_xlfn.XLOOKUP(G1043, Réttabanki!A:A, Réttabanki!AU:AU, "")), ""), "")))</f>
        <v/>
      </c>
      <c r="O1043" s="26" t="str">
        <f>IF(OR(F1043 = "", G1043 = "", I1043 = ""), "", IF(F1043 = "Vara", IFERROR(_xlfn.SINGLE(_xlfn.XLOOKUP(G1043, Vöruskrá!A:A, Vöruskrá!I:I, "")) * I1043 / 100, ""), IF(F1043 = "Réttur", IFERROR(_xlfn.SINGLE(_xlfn.XLOOKUP(G1043, Réttabanki!A:A, Réttabanki!AV:AV, "")) * I1043 / 100, ""), "")))</f>
        <v/>
      </c>
      <c r="P1043" s="26" t="str">
        <f>IF(OR(F1043 = "", G1043 = "", I1043 = ""), "", IF(F1043 = "Vara", IFERROR(_xlfn.SINGLE(_xlfn.XLOOKUP(G1043, Vöruskrá!A:A, Vöruskrá!J:J, "")) * I1043 / 100, ""), IF(F1043 = "Réttur", IFERROR(_xlfn.SINGLE(_xlfn.XLOOKUP(G1043, Réttabanki!A:A, Réttabanki!AW:AW, "")) * I1043 / 100, ""), "")))</f>
        <v/>
      </c>
      <c r="Q1043" s="26" t="str">
        <f>IF(OR(F1043 = "", G1043 = "", I1043 = ""), "", IF(F1043 = "Vara", IFERROR(_xlfn.SINGLE(_xlfn.XLOOKUP(G1043, Vöruskrá!A:A, Vöruskrá!N:N, "")) * I1043 / 100, ""), IF(F1043 = "Réttur", IFERROR(_xlfn.SINGLE(_xlfn.XLOOKUP(G1043, Réttabanki!A:A, Réttabanki!BB:BB, "")) * I1043 / 100, ""), "")))</f>
        <v/>
      </c>
    </row>
    <row r="1044" spans="2:17">
      <c r="B1044" s="33" t="str">
        <f>IF(A1044&lt;&gt;"",CHOOSE(WEEKDAY(A1044,2),"Mánudagur","Þriðjudagur","Miðvikudagur","Fimmtudagur","Föstudagur","Laugardagur","Sunnudagur"),IF(B1043&lt;&gt;"",B1043,""))</f>
        <v>Fimmtudagur</v>
      </c>
      <c r="C1044" s="33">
        <f>IF(A1044&lt;&gt;"",WEEKNUM(A1044,21),IF(C1043&lt;&gt;"",C1043,""))</f>
        <v>27</v>
      </c>
      <c r="D1044" s="34"/>
      <c r="E1044" s="34"/>
      <c r="F1044" s="34"/>
      <c r="G1044" s="34"/>
      <c r="H1044" s="34"/>
      <c r="I1044" s="35"/>
      <c r="J1044" s="35"/>
      <c r="K1044" s="36"/>
      <c r="L1044" s="26" t="str">
        <f>IF(OR(F1044 = "", G1044 = ""), "", IF(F1044 = "Vara", IFERROR(_xlfn.SINGLE(_xlfn.XLOOKUP(G1044, Vöruskrá!A:A, Vöruskrá!E:E, "")), ""), IF(F1044 = "Réttur", IFERROR(_xlfn.SINGLE(_xlfn.XLOOKUP(G1044, Réttabanki!A:A, Réttabanki!AS:AS, "")), ""), "")))</f>
        <v/>
      </c>
      <c r="M1044" s="26" t="str">
        <f>IF(OR(F1044 = "", G1044 = ""), "", IF(F1044 = "Vara", IFERROR(_xlfn.SINGLE(_xlfn.XLOOKUP(G1044, Vöruskrá!A:A, Vöruskrá!F:F, "")), ""), IF(F1044 = "Réttur", IFERROR(_xlfn.SINGLE(_xlfn.XLOOKUP(G1044, Réttabanki!A:A, Réttabanki!AT:AT, "")), ""), "")))</f>
        <v/>
      </c>
      <c r="N1044" s="26" t="str">
        <f>IF(OR(F1044 = "", G1044 = ""), "", IF(F1044 = "Vara", IFERROR(_xlfn.SINGLE(_xlfn.XLOOKUP(G1044, Vöruskrá!A:A, Vöruskrá!G:G, "")), ""), IF(F1044 = "Réttur", IFERROR(_xlfn.SINGLE(_xlfn.XLOOKUP(G1044, Réttabanki!A:A, Réttabanki!AU:AU, "")), ""), "")))</f>
        <v/>
      </c>
      <c r="O1044" s="26" t="str">
        <f>IF(OR(F1044 = "", G1044 = "", I1044 = ""), "", IF(F1044 = "Vara", IFERROR(_xlfn.SINGLE(_xlfn.XLOOKUP(G1044, Vöruskrá!A:A, Vöruskrá!I:I, "")) * I1044 / 100, ""), IF(F1044 = "Réttur", IFERROR(_xlfn.SINGLE(_xlfn.XLOOKUP(G1044, Réttabanki!A:A, Réttabanki!AV:AV, "")) * I1044 / 100, ""), "")))</f>
        <v/>
      </c>
      <c r="P1044" s="26" t="str">
        <f>IF(OR(F1044 = "", G1044 = "", I1044 = ""), "", IF(F1044 = "Vara", IFERROR(_xlfn.SINGLE(_xlfn.XLOOKUP(G1044, Vöruskrá!A:A, Vöruskrá!J:J, "")) * I1044 / 100, ""), IF(F1044 = "Réttur", IFERROR(_xlfn.SINGLE(_xlfn.XLOOKUP(G1044, Réttabanki!A:A, Réttabanki!AW:AW, "")) * I1044 / 100, ""), "")))</f>
        <v/>
      </c>
      <c r="Q1044" s="26" t="str">
        <f>IF(OR(F1044 = "", G1044 = "", I1044 = ""), "", IF(F1044 = "Vara", IFERROR(_xlfn.SINGLE(_xlfn.XLOOKUP(G1044, Vöruskrá!A:A, Vöruskrá!N:N, "")) * I1044 / 100, ""), IF(F1044 = "Réttur", IFERROR(_xlfn.SINGLE(_xlfn.XLOOKUP(G1044, Réttabanki!A:A, Réttabanki!BB:BB, "")) * I1044 / 100, ""), "")))</f>
        <v/>
      </c>
    </row>
    <row r="1045" spans="2:17">
      <c r="B1045" s="33" t="str">
        <f>IF(A1045&lt;&gt;"",CHOOSE(WEEKDAY(A1045,2),"Mánudagur","Þriðjudagur","Miðvikudagur","Fimmtudagur","Föstudagur","Laugardagur","Sunnudagur"),IF(B1044&lt;&gt;"",B1044,""))</f>
        <v>Fimmtudagur</v>
      </c>
      <c r="C1045" s="33">
        <f>IF(A1045&lt;&gt;"",WEEKNUM(A1045,21),IF(C1044&lt;&gt;"",C1044,""))</f>
        <v>27</v>
      </c>
      <c r="D1045" s="34"/>
      <c r="E1045" s="34"/>
      <c r="F1045" s="34"/>
      <c r="G1045" s="34"/>
      <c r="H1045" s="34"/>
      <c r="I1045" s="35"/>
      <c r="J1045" s="35"/>
      <c r="K1045" s="36"/>
      <c r="L1045" s="26" t="str">
        <f>IF(OR(F1045 = "", G1045 = ""), "", IF(F1045 = "Vara", IFERROR(_xlfn.SINGLE(_xlfn.XLOOKUP(G1045, Vöruskrá!A:A, Vöruskrá!E:E, "")), ""), IF(F1045 = "Réttur", IFERROR(_xlfn.SINGLE(_xlfn.XLOOKUP(G1045, Réttabanki!A:A, Réttabanki!AS:AS, "")), ""), "")))</f>
        <v/>
      </c>
      <c r="M1045" s="26" t="str">
        <f>IF(OR(F1045 = "", G1045 = ""), "", IF(F1045 = "Vara", IFERROR(_xlfn.SINGLE(_xlfn.XLOOKUP(G1045, Vöruskrá!A:A, Vöruskrá!F:F, "")), ""), IF(F1045 = "Réttur", IFERROR(_xlfn.SINGLE(_xlfn.XLOOKUP(G1045, Réttabanki!A:A, Réttabanki!AT:AT, "")), ""), "")))</f>
        <v/>
      </c>
      <c r="N1045" s="26" t="str">
        <f>IF(OR(F1045 = "", G1045 = ""), "", IF(F1045 = "Vara", IFERROR(_xlfn.SINGLE(_xlfn.XLOOKUP(G1045, Vöruskrá!A:A, Vöruskrá!G:G, "")), ""), IF(F1045 = "Réttur", IFERROR(_xlfn.SINGLE(_xlfn.XLOOKUP(G1045, Réttabanki!A:A, Réttabanki!AU:AU, "")), ""), "")))</f>
        <v/>
      </c>
      <c r="O1045" s="26" t="str">
        <f>IF(OR(F1045 = "", G1045 = "", I1045 = ""), "", IF(F1045 = "Vara", IFERROR(_xlfn.SINGLE(_xlfn.XLOOKUP(G1045, Vöruskrá!A:A, Vöruskrá!I:I, "")) * I1045 / 100, ""), IF(F1045 = "Réttur", IFERROR(_xlfn.SINGLE(_xlfn.XLOOKUP(G1045, Réttabanki!A:A, Réttabanki!AV:AV, "")) * I1045 / 100, ""), "")))</f>
        <v/>
      </c>
      <c r="P1045" s="26" t="str">
        <f>IF(OR(F1045 = "", G1045 = "", I1045 = ""), "", IF(F1045 = "Vara", IFERROR(_xlfn.SINGLE(_xlfn.XLOOKUP(G1045, Vöruskrá!A:A, Vöruskrá!J:J, "")) * I1045 / 100, ""), IF(F1045 = "Réttur", IFERROR(_xlfn.SINGLE(_xlfn.XLOOKUP(G1045, Réttabanki!A:A, Réttabanki!AW:AW, "")) * I1045 / 100, ""), "")))</f>
        <v/>
      </c>
      <c r="Q1045" s="26" t="str">
        <f>IF(OR(F1045 = "", G1045 = "", I1045 = ""), "", IF(F1045 = "Vara", IFERROR(_xlfn.SINGLE(_xlfn.XLOOKUP(G1045, Vöruskrá!A:A, Vöruskrá!N:N, "")) * I1045 / 100, ""), IF(F1045 = "Réttur", IFERROR(_xlfn.SINGLE(_xlfn.XLOOKUP(G1045, Réttabanki!A:A, Réttabanki!BB:BB, "")) * I1045 / 100, ""), "")))</f>
        <v/>
      </c>
    </row>
    <row r="1046" spans="2:17">
      <c r="B1046" s="33" t="str">
        <f>IF(A1046&lt;&gt;"",CHOOSE(WEEKDAY(A1046,2),"Mánudagur","Þriðjudagur","Miðvikudagur","Fimmtudagur","Föstudagur","Laugardagur","Sunnudagur"),IF(B1045&lt;&gt;"",B1045,""))</f>
        <v>Fimmtudagur</v>
      </c>
      <c r="C1046" s="33">
        <f>IF(A1046&lt;&gt;"",WEEKNUM(A1046,21),IF(C1045&lt;&gt;"",C1045,""))</f>
        <v>27</v>
      </c>
      <c r="D1046" s="34"/>
      <c r="E1046" s="34"/>
      <c r="F1046" s="34"/>
      <c r="G1046" s="34"/>
      <c r="H1046" s="34"/>
      <c r="I1046" s="35"/>
      <c r="J1046" s="35"/>
      <c r="K1046" s="36"/>
      <c r="L1046" s="26" t="str">
        <f>IF(OR(F1046 = "", G1046 = ""), "", IF(F1046 = "Vara", IFERROR(_xlfn.SINGLE(_xlfn.XLOOKUP(G1046, Vöruskrá!A:A, Vöruskrá!E:E, "")), ""), IF(F1046 = "Réttur", IFERROR(_xlfn.SINGLE(_xlfn.XLOOKUP(G1046, Réttabanki!A:A, Réttabanki!AS:AS, "")), ""), "")))</f>
        <v/>
      </c>
      <c r="M1046" s="26" t="str">
        <f>IF(OR(F1046 = "", G1046 = ""), "", IF(F1046 = "Vara", IFERROR(_xlfn.SINGLE(_xlfn.XLOOKUP(G1046, Vöruskrá!A:A, Vöruskrá!F:F, "")), ""), IF(F1046 = "Réttur", IFERROR(_xlfn.SINGLE(_xlfn.XLOOKUP(G1046, Réttabanki!A:A, Réttabanki!AT:AT, "")), ""), "")))</f>
        <v/>
      </c>
      <c r="N1046" s="26" t="str">
        <f>IF(OR(F1046 = "", G1046 = ""), "", IF(F1046 = "Vara", IFERROR(_xlfn.SINGLE(_xlfn.XLOOKUP(G1046, Vöruskrá!A:A, Vöruskrá!G:G, "")), ""), IF(F1046 = "Réttur", IFERROR(_xlfn.SINGLE(_xlfn.XLOOKUP(G1046, Réttabanki!A:A, Réttabanki!AU:AU, "")), ""), "")))</f>
        <v/>
      </c>
      <c r="O1046" s="26" t="str">
        <f>IF(OR(F1046 = "", G1046 = "", I1046 = ""), "", IF(F1046 = "Vara", IFERROR(_xlfn.SINGLE(_xlfn.XLOOKUP(G1046, Vöruskrá!A:A, Vöruskrá!I:I, "")) * I1046 / 100, ""), IF(F1046 = "Réttur", IFERROR(_xlfn.SINGLE(_xlfn.XLOOKUP(G1046, Réttabanki!A:A, Réttabanki!AV:AV, "")) * I1046 / 100, ""), "")))</f>
        <v/>
      </c>
      <c r="P1046" s="26" t="str">
        <f>IF(OR(F1046 = "", G1046 = "", I1046 = ""), "", IF(F1046 = "Vara", IFERROR(_xlfn.SINGLE(_xlfn.XLOOKUP(G1046, Vöruskrá!A:A, Vöruskrá!J:J, "")) * I1046 / 100, ""), IF(F1046 = "Réttur", IFERROR(_xlfn.SINGLE(_xlfn.XLOOKUP(G1046, Réttabanki!A:A, Réttabanki!AW:AW, "")) * I1046 / 100, ""), "")))</f>
        <v/>
      </c>
      <c r="Q1046" s="26" t="str">
        <f>IF(OR(F1046 = "", G1046 = "", I1046 = ""), "", IF(F1046 = "Vara", IFERROR(_xlfn.SINGLE(_xlfn.XLOOKUP(G1046, Vöruskrá!A:A, Vöruskrá!N:N, "")) * I1046 / 100, ""), IF(F1046 = "Réttur", IFERROR(_xlfn.SINGLE(_xlfn.XLOOKUP(G1046, Réttabanki!A:A, Réttabanki!BB:BB, "")) * I1046 / 100, ""), "")))</f>
        <v/>
      </c>
    </row>
    <row r="1047" spans="2:17">
      <c r="B1047" s="33" t="str">
        <f>IF(A1047&lt;&gt;"",CHOOSE(WEEKDAY(A1047,2),"Mánudagur","Þriðjudagur","Miðvikudagur","Fimmtudagur","Föstudagur","Laugardagur","Sunnudagur"),IF(B1046&lt;&gt;"",B1046,""))</f>
        <v>Fimmtudagur</v>
      </c>
      <c r="C1047" s="33">
        <f>IF(A1047&lt;&gt;"",WEEKNUM(A1047,21),IF(C1046&lt;&gt;"",C1046,""))</f>
        <v>27</v>
      </c>
      <c r="D1047" s="34"/>
      <c r="E1047" s="34"/>
      <c r="F1047" s="34"/>
      <c r="G1047" s="34"/>
      <c r="H1047" s="34"/>
      <c r="I1047" s="35"/>
      <c r="J1047" s="35"/>
      <c r="K1047" s="36"/>
      <c r="L1047" s="26" t="str">
        <f>IF(OR(F1047 = "", G1047 = ""), "", IF(F1047 = "Vara", IFERROR(_xlfn.SINGLE(_xlfn.XLOOKUP(G1047, Vöruskrá!A:A, Vöruskrá!E:E, "")), ""), IF(F1047 = "Réttur", IFERROR(_xlfn.SINGLE(_xlfn.XLOOKUP(G1047, Réttabanki!A:A, Réttabanki!AS:AS, "")), ""), "")))</f>
        <v/>
      </c>
      <c r="M1047" s="26" t="str">
        <f>IF(OR(F1047 = "", G1047 = ""), "", IF(F1047 = "Vara", IFERROR(_xlfn.SINGLE(_xlfn.XLOOKUP(G1047, Vöruskrá!A:A, Vöruskrá!F:F, "")), ""), IF(F1047 = "Réttur", IFERROR(_xlfn.SINGLE(_xlfn.XLOOKUP(G1047, Réttabanki!A:A, Réttabanki!AT:AT, "")), ""), "")))</f>
        <v/>
      </c>
      <c r="N1047" s="26" t="str">
        <f>IF(OR(F1047 = "", G1047 = ""), "", IF(F1047 = "Vara", IFERROR(_xlfn.SINGLE(_xlfn.XLOOKUP(G1047, Vöruskrá!A:A, Vöruskrá!G:G, "")), ""), IF(F1047 = "Réttur", IFERROR(_xlfn.SINGLE(_xlfn.XLOOKUP(G1047, Réttabanki!A:A, Réttabanki!AU:AU, "")), ""), "")))</f>
        <v/>
      </c>
      <c r="O1047" s="26" t="str">
        <f>IF(OR(F1047 = "", G1047 = "", I1047 = ""), "", IF(F1047 = "Vara", IFERROR(_xlfn.SINGLE(_xlfn.XLOOKUP(G1047, Vöruskrá!A:A, Vöruskrá!I:I, "")) * I1047 / 100, ""), IF(F1047 = "Réttur", IFERROR(_xlfn.SINGLE(_xlfn.XLOOKUP(G1047, Réttabanki!A:A, Réttabanki!AV:AV, "")) * I1047 / 100, ""), "")))</f>
        <v/>
      </c>
      <c r="P1047" s="26" t="str">
        <f>IF(OR(F1047 = "", G1047 = "", I1047 = ""), "", IF(F1047 = "Vara", IFERROR(_xlfn.SINGLE(_xlfn.XLOOKUP(G1047, Vöruskrá!A:A, Vöruskrá!J:J, "")) * I1047 / 100, ""), IF(F1047 = "Réttur", IFERROR(_xlfn.SINGLE(_xlfn.XLOOKUP(G1047, Réttabanki!A:A, Réttabanki!AW:AW, "")) * I1047 / 100, ""), "")))</f>
        <v/>
      </c>
      <c r="Q1047" s="26" t="str">
        <f>IF(OR(F1047 = "", G1047 = "", I1047 = ""), "", IF(F1047 = "Vara", IFERROR(_xlfn.SINGLE(_xlfn.XLOOKUP(G1047, Vöruskrá!A:A, Vöruskrá!N:N, "")) * I1047 / 100, ""), IF(F1047 = "Réttur", IFERROR(_xlfn.SINGLE(_xlfn.XLOOKUP(G1047, Réttabanki!A:A, Réttabanki!BB:BB, "")) * I1047 / 100, ""), "")))</f>
        <v/>
      </c>
    </row>
    <row r="1048" spans="2:17">
      <c r="B1048" s="33" t="str">
        <f>IF(A1048&lt;&gt;"",CHOOSE(WEEKDAY(A1048,2),"Mánudagur","Þriðjudagur","Miðvikudagur","Fimmtudagur","Föstudagur","Laugardagur","Sunnudagur"),IF(B1047&lt;&gt;"",B1047,""))</f>
        <v>Fimmtudagur</v>
      </c>
      <c r="C1048" s="33">
        <f>IF(A1048&lt;&gt;"",WEEKNUM(A1048,21),IF(C1047&lt;&gt;"",C1047,""))</f>
        <v>27</v>
      </c>
      <c r="D1048" s="34"/>
      <c r="E1048" s="34"/>
      <c r="F1048" s="34"/>
      <c r="G1048" s="34"/>
      <c r="H1048" s="34"/>
      <c r="I1048" s="35"/>
      <c r="J1048" s="35"/>
      <c r="K1048" s="36"/>
      <c r="L1048" s="26" t="str">
        <f>IF(OR(F1048 = "", G1048 = ""), "", IF(F1048 = "Vara", IFERROR(_xlfn.SINGLE(_xlfn.XLOOKUP(G1048, Vöruskrá!A:A, Vöruskrá!E:E, "")), ""), IF(F1048 = "Réttur", IFERROR(_xlfn.SINGLE(_xlfn.XLOOKUP(G1048, Réttabanki!A:A, Réttabanki!AS:AS, "")), ""), "")))</f>
        <v/>
      </c>
      <c r="M1048" s="26" t="str">
        <f>IF(OR(F1048 = "", G1048 = ""), "", IF(F1048 = "Vara", IFERROR(_xlfn.SINGLE(_xlfn.XLOOKUP(G1048, Vöruskrá!A:A, Vöruskrá!F:F, "")), ""), IF(F1048 = "Réttur", IFERROR(_xlfn.SINGLE(_xlfn.XLOOKUP(G1048, Réttabanki!A:A, Réttabanki!AT:AT, "")), ""), "")))</f>
        <v/>
      </c>
      <c r="N1048" s="26" t="str">
        <f>IF(OR(F1048 = "", G1048 = ""), "", IF(F1048 = "Vara", IFERROR(_xlfn.SINGLE(_xlfn.XLOOKUP(G1048, Vöruskrá!A:A, Vöruskrá!G:G, "")), ""), IF(F1048 = "Réttur", IFERROR(_xlfn.SINGLE(_xlfn.XLOOKUP(G1048, Réttabanki!A:A, Réttabanki!AU:AU, "")), ""), "")))</f>
        <v/>
      </c>
      <c r="O1048" s="26" t="str">
        <f>IF(OR(F1048 = "", G1048 = "", I1048 = ""), "", IF(F1048 = "Vara", IFERROR(_xlfn.SINGLE(_xlfn.XLOOKUP(G1048, Vöruskrá!A:A, Vöruskrá!I:I, "")) * I1048 / 100, ""), IF(F1048 = "Réttur", IFERROR(_xlfn.SINGLE(_xlfn.XLOOKUP(G1048, Réttabanki!A:A, Réttabanki!AV:AV, "")) * I1048 / 100, ""), "")))</f>
        <v/>
      </c>
      <c r="P1048" s="26" t="str">
        <f>IF(OR(F1048 = "", G1048 = "", I1048 = ""), "", IF(F1048 = "Vara", IFERROR(_xlfn.SINGLE(_xlfn.XLOOKUP(G1048, Vöruskrá!A:A, Vöruskrá!J:J, "")) * I1048 / 100, ""), IF(F1048 = "Réttur", IFERROR(_xlfn.SINGLE(_xlfn.XLOOKUP(G1048, Réttabanki!A:A, Réttabanki!AW:AW, "")) * I1048 / 100, ""), "")))</f>
        <v/>
      </c>
      <c r="Q1048" s="26" t="str">
        <f>IF(OR(F1048 = "", G1048 = "", I1048 = ""), "", IF(F1048 = "Vara", IFERROR(_xlfn.SINGLE(_xlfn.XLOOKUP(G1048, Vöruskrá!A:A, Vöruskrá!N:N, "")) * I1048 / 100, ""), IF(F1048 = "Réttur", IFERROR(_xlfn.SINGLE(_xlfn.XLOOKUP(G1048, Réttabanki!A:A, Réttabanki!BB:BB, "")) * I1048 / 100, ""), "")))</f>
        <v/>
      </c>
    </row>
    <row r="1049" spans="2:17">
      <c r="B1049" s="33" t="str">
        <f>IF(A1049&lt;&gt;"",CHOOSE(WEEKDAY(A1049,2),"Mánudagur","Þriðjudagur","Miðvikudagur","Fimmtudagur","Föstudagur","Laugardagur","Sunnudagur"),IF(B1048&lt;&gt;"",B1048,""))</f>
        <v>Fimmtudagur</v>
      </c>
      <c r="C1049" s="33">
        <f>IF(A1049&lt;&gt;"",WEEKNUM(A1049,21),IF(C1048&lt;&gt;"",C1048,""))</f>
        <v>27</v>
      </c>
      <c r="D1049" s="34"/>
      <c r="E1049" s="34"/>
      <c r="F1049" s="34"/>
      <c r="G1049" s="34"/>
      <c r="H1049" s="34"/>
      <c r="I1049" s="35"/>
      <c r="J1049" s="35"/>
      <c r="K1049" s="36"/>
      <c r="L1049" s="26" t="str">
        <f>IF(OR(F1049 = "", G1049 = ""), "", IF(F1049 = "Vara", IFERROR(_xlfn.SINGLE(_xlfn.XLOOKUP(G1049, Vöruskrá!A:A, Vöruskrá!E:E, "")), ""), IF(F1049 = "Réttur", IFERROR(_xlfn.SINGLE(_xlfn.XLOOKUP(G1049, Réttabanki!A:A, Réttabanki!AS:AS, "")), ""), "")))</f>
        <v/>
      </c>
      <c r="M1049" s="26" t="str">
        <f>IF(OR(F1049 = "", G1049 = ""), "", IF(F1049 = "Vara", IFERROR(_xlfn.SINGLE(_xlfn.XLOOKUP(G1049, Vöruskrá!A:A, Vöruskrá!F:F, "")), ""), IF(F1049 = "Réttur", IFERROR(_xlfn.SINGLE(_xlfn.XLOOKUP(G1049, Réttabanki!A:A, Réttabanki!AT:AT, "")), ""), "")))</f>
        <v/>
      </c>
      <c r="N1049" s="26" t="str">
        <f>IF(OR(F1049 = "", G1049 = ""), "", IF(F1049 = "Vara", IFERROR(_xlfn.SINGLE(_xlfn.XLOOKUP(G1049, Vöruskrá!A:A, Vöruskrá!G:G, "")), ""), IF(F1049 = "Réttur", IFERROR(_xlfn.SINGLE(_xlfn.XLOOKUP(G1049, Réttabanki!A:A, Réttabanki!AU:AU, "")), ""), "")))</f>
        <v/>
      </c>
      <c r="O1049" s="26" t="str">
        <f>IF(OR(F1049 = "", G1049 = "", I1049 = ""), "", IF(F1049 = "Vara", IFERROR(_xlfn.SINGLE(_xlfn.XLOOKUP(G1049, Vöruskrá!A:A, Vöruskrá!I:I, "")) * I1049 / 100, ""), IF(F1049 = "Réttur", IFERROR(_xlfn.SINGLE(_xlfn.XLOOKUP(G1049, Réttabanki!A:A, Réttabanki!AV:AV, "")) * I1049 / 100, ""), "")))</f>
        <v/>
      </c>
      <c r="P1049" s="26" t="str">
        <f>IF(OR(F1049 = "", G1049 = "", I1049 = ""), "", IF(F1049 = "Vara", IFERROR(_xlfn.SINGLE(_xlfn.XLOOKUP(G1049, Vöruskrá!A:A, Vöruskrá!J:J, "")) * I1049 / 100, ""), IF(F1049 = "Réttur", IFERROR(_xlfn.SINGLE(_xlfn.XLOOKUP(G1049, Réttabanki!A:A, Réttabanki!AW:AW, "")) * I1049 / 100, ""), "")))</f>
        <v/>
      </c>
      <c r="Q1049" s="26" t="str">
        <f>IF(OR(F1049 = "", G1049 = "", I1049 = ""), "", IF(F1049 = "Vara", IFERROR(_xlfn.SINGLE(_xlfn.XLOOKUP(G1049, Vöruskrá!A:A, Vöruskrá!N:N, "")) * I1049 / 100, ""), IF(F1049 = "Réttur", IFERROR(_xlfn.SINGLE(_xlfn.XLOOKUP(G1049, Réttabanki!A:A, Réttabanki!BB:BB, "")) * I1049 / 100, ""), "")))</f>
        <v/>
      </c>
    </row>
    <row r="1050" spans="2:17">
      <c r="B1050" s="33" t="str">
        <f>IF(A1050&lt;&gt;"",CHOOSE(WEEKDAY(A1050,2),"Mánudagur","Þriðjudagur","Miðvikudagur","Fimmtudagur","Föstudagur","Laugardagur","Sunnudagur"),IF(B1049&lt;&gt;"",B1049,""))</f>
        <v>Fimmtudagur</v>
      </c>
      <c r="C1050" s="33">
        <f>IF(A1050&lt;&gt;"",WEEKNUM(A1050,21),IF(C1049&lt;&gt;"",C1049,""))</f>
        <v>27</v>
      </c>
      <c r="D1050" s="34"/>
      <c r="E1050" s="34"/>
      <c r="F1050" s="34"/>
      <c r="G1050" s="34"/>
      <c r="H1050" s="34"/>
      <c r="I1050" s="35"/>
      <c r="J1050" s="35"/>
      <c r="K1050" s="36"/>
      <c r="L1050" s="26" t="str">
        <f>IF(OR(F1050 = "", G1050 = ""), "", IF(F1050 = "Vara", IFERROR(_xlfn.SINGLE(_xlfn.XLOOKUP(G1050, Vöruskrá!A:A, Vöruskrá!E:E, "")), ""), IF(F1050 = "Réttur", IFERROR(_xlfn.SINGLE(_xlfn.XLOOKUP(G1050, Réttabanki!A:A, Réttabanki!AS:AS, "")), ""), "")))</f>
        <v/>
      </c>
      <c r="M1050" s="26" t="str">
        <f>IF(OR(F1050 = "", G1050 = ""), "", IF(F1050 = "Vara", IFERROR(_xlfn.SINGLE(_xlfn.XLOOKUP(G1050, Vöruskrá!A:A, Vöruskrá!F:F, "")), ""), IF(F1050 = "Réttur", IFERROR(_xlfn.SINGLE(_xlfn.XLOOKUP(G1050, Réttabanki!A:A, Réttabanki!AT:AT, "")), ""), "")))</f>
        <v/>
      </c>
      <c r="N1050" s="26" t="str">
        <f>IF(OR(F1050 = "", G1050 = ""), "", IF(F1050 = "Vara", IFERROR(_xlfn.SINGLE(_xlfn.XLOOKUP(G1050, Vöruskrá!A:A, Vöruskrá!G:G, "")), ""), IF(F1050 = "Réttur", IFERROR(_xlfn.SINGLE(_xlfn.XLOOKUP(G1050, Réttabanki!A:A, Réttabanki!AU:AU, "")), ""), "")))</f>
        <v/>
      </c>
      <c r="O1050" s="26" t="str">
        <f>IF(OR(F1050 = "", G1050 = "", I1050 = ""), "", IF(F1050 = "Vara", IFERROR(_xlfn.SINGLE(_xlfn.XLOOKUP(G1050, Vöruskrá!A:A, Vöruskrá!I:I, "")) * I1050 / 100, ""), IF(F1050 = "Réttur", IFERROR(_xlfn.SINGLE(_xlfn.XLOOKUP(G1050, Réttabanki!A:A, Réttabanki!AV:AV, "")) * I1050 / 100, ""), "")))</f>
        <v/>
      </c>
      <c r="P1050" s="26" t="str">
        <f>IF(OR(F1050 = "", G1050 = "", I1050 = ""), "", IF(F1050 = "Vara", IFERROR(_xlfn.SINGLE(_xlfn.XLOOKUP(G1050, Vöruskrá!A:A, Vöruskrá!J:J, "")) * I1050 / 100, ""), IF(F1050 = "Réttur", IFERROR(_xlfn.SINGLE(_xlfn.XLOOKUP(G1050, Réttabanki!A:A, Réttabanki!AW:AW, "")) * I1050 / 100, ""), "")))</f>
        <v/>
      </c>
      <c r="Q1050" s="26" t="str">
        <f>IF(OR(F1050 = "", G1050 = "", I1050 = ""), "", IF(F1050 = "Vara", IFERROR(_xlfn.SINGLE(_xlfn.XLOOKUP(G1050, Vöruskrá!A:A, Vöruskrá!N:N, "")) * I1050 / 100, ""), IF(F1050 = "Réttur", IFERROR(_xlfn.SINGLE(_xlfn.XLOOKUP(G1050, Réttabanki!A:A, Réttabanki!BB:BB, "")) * I1050 / 100, ""), "")))</f>
        <v/>
      </c>
    </row>
    <row r="1051" spans="2:17">
      <c r="B1051" s="33" t="str">
        <f>IF(A1051&lt;&gt;"",CHOOSE(WEEKDAY(A1051,2),"Mánudagur","Þriðjudagur","Miðvikudagur","Fimmtudagur","Föstudagur","Laugardagur","Sunnudagur"),IF(B1050&lt;&gt;"",B1050,""))</f>
        <v>Fimmtudagur</v>
      </c>
      <c r="C1051" s="33">
        <f>IF(A1051&lt;&gt;"",WEEKNUM(A1051,21),IF(C1050&lt;&gt;"",C1050,""))</f>
        <v>27</v>
      </c>
      <c r="D1051" s="34"/>
      <c r="E1051" s="34"/>
      <c r="F1051" s="34"/>
      <c r="G1051" s="34"/>
      <c r="H1051" s="34"/>
      <c r="I1051" s="35"/>
      <c r="J1051" s="35"/>
      <c r="K1051" s="36"/>
      <c r="L1051" s="26" t="str">
        <f>IF(OR(F1051 = "", G1051 = ""), "", IF(F1051 = "Vara", IFERROR(_xlfn.SINGLE(_xlfn.XLOOKUP(G1051, Vöruskrá!A:A, Vöruskrá!E:E, "")), ""), IF(F1051 = "Réttur", IFERROR(_xlfn.SINGLE(_xlfn.XLOOKUP(G1051, Réttabanki!A:A, Réttabanki!AS:AS, "")), ""), "")))</f>
        <v/>
      </c>
      <c r="M1051" s="26" t="str">
        <f>IF(OR(F1051 = "", G1051 = ""), "", IF(F1051 = "Vara", IFERROR(_xlfn.SINGLE(_xlfn.XLOOKUP(G1051, Vöruskrá!A:A, Vöruskrá!F:F, "")), ""), IF(F1051 = "Réttur", IFERROR(_xlfn.SINGLE(_xlfn.XLOOKUP(G1051, Réttabanki!A:A, Réttabanki!AT:AT, "")), ""), "")))</f>
        <v/>
      </c>
      <c r="N1051" s="26" t="str">
        <f>IF(OR(F1051 = "", G1051 = ""), "", IF(F1051 = "Vara", IFERROR(_xlfn.SINGLE(_xlfn.XLOOKUP(G1051, Vöruskrá!A:A, Vöruskrá!G:G, "")), ""), IF(F1051 = "Réttur", IFERROR(_xlfn.SINGLE(_xlfn.XLOOKUP(G1051, Réttabanki!A:A, Réttabanki!AU:AU, "")), ""), "")))</f>
        <v/>
      </c>
      <c r="O1051" s="26" t="str">
        <f>IF(OR(F1051 = "", G1051 = "", I1051 = ""), "", IF(F1051 = "Vara", IFERROR(_xlfn.SINGLE(_xlfn.XLOOKUP(G1051, Vöruskrá!A:A, Vöruskrá!I:I, "")) * I1051 / 100, ""), IF(F1051 = "Réttur", IFERROR(_xlfn.SINGLE(_xlfn.XLOOKUP(G1051, Réttabanki!A:A, Réttabanki!AV:AV, "")) * I1051 / 100, ""), "")))</f>
        <v/>
      </c>
      <c r="P1051" s="26" t="str">
        <f>IF(OR(F1051 = "", G1051 = "", I1051 = ""), "", IF(F1051 = "Vara", IFERROR(_xlfn.SINGLE(_xlfn.XLOOKUP(G1051, Vöruskrá!A:A, Vöruskrá!J:J, "")) * I1051 / 100, ""), IF(F1051 = "Réttur", IFERROR(_xlfn.SINGLE(_xlfn.XLOOKUP(G1051, Réttabanki!A:A, Réttabanki!AW:AW, "")) * I1051 / 100, ""), "")))</f>
        <v/>
      </c>
      <c r="Q1051" s="26" t="str">
        <f>IF(OR(F1051 = "", G1051 = "", I1051 = ""), "", IF(F1051 = "Vara", IFERROR(_xlfn.SINGLE(_xlfn.XLOOKUP(G1051, Vöruskrá!A:A, Vöruskrá!N:N, "")) * I1051 / 100, ""), IF(F1051 = "Réttur", IFERROR(_xlfn.SINGLE(_xlfn.XLOOKUP(G1051, Réttabanki!A:A, Réttabanki!BB:BB, "")) * I1051 / 100, ""), "")))</f>
        <v/>
      </c>
    </row>
    <row r="1052" spans="2:17">
      <c r="B1052" s="33" t="str">
        <f>IF(A1052&lt;&gt;"",CHOOSE(WEEKDAY(A1052,2),"Mánudagur","Þriðjudagur","Miðvikudagur","Fimmtudagur","Föstudagur","Laugardagur","Sunnudagur"),IF(B1051&lt;&gt;"",B1051,""))</f>
        <v>Fimmtudagur</v>
      </c>
      <c r="C1052" s="33">
        <f>IF(A1052&lt;&gt;"",WEEKNUM(A1052,21),IF(C1051&lt;&gt;"",C1051,""))</f>
        <v>27</v>
      </c>
      <c r="D1052" s="34"/>
      <c r="E1052" s="34"/>
      <c r="F1052" s="34"/>
      <c r="G1052" s="34"/>
      <c r="H1052" s="34"/>
      <c r="I1052" s="35"/>
      <c r="J1052" s="35"/>
      <c r="K1052" s="36"/>
      <c r="L1052" s="26" t="str">
        <f>IF(OR(F1052 = "", G1052 = ""), "", IF(F1052 = "Vara", IFERROR(_xlfn.SINGLE(_xlfn.XLOOKUP(G1052, Vöruskrá!A:A, Vöruskrá!E:E, "")), ""), IF(F1052 = "Réttur", IFERROR(_xlfn.SINGLE(_xlfn.XLOOKUP(G1052, Réttabanki!A:A, Réttabanki!AS:AS, "")), ""), "")))</f>
        <v/>
      </c>
      <c r="M1052" s="26" t="str">
        <f>IF(OR(F1052 = "", G1052 = ""), "", IF(F1052 = "Vara", IFERROR(_xlfn.SINGLE(_xlfn.XLOOKUP(G1052, Vöruskrá!A:A, Vöruskrá!F:F, "")), ""), IF(F1052 = "Réttur", IFERROR(_xlfn.SINGLE(_xlfn.XLOOKUP(G1052, Réttabanki!A:A, Réttabanki!AT:AT, "")), ""), "")))</f>
        <v/>
      </c>
      <c r="N1052" s="26" t="str">
        <f>IF(OR(F1052 = "", G1052 = ""), "", IF(F1052 = "Vara", IFERROR(_xlfn.SINGLE(_xlfn.XLOOKUP(G1052, Vöruskrá!A:A, Vöruskrá!G:G, "")), ""), IF(F1052 = "Réttur", IFERROR(_xlfn.SINGLE(_xlfn.XLOOKUP(G1052, Réttabanki!A:A, Réttabanki!AU:AU, "")), ""), "")))</f>
        <v/>
      </c>
      <c r="O1052" s="26" t="str">
        <f>IF(OR(F1052 = "", G1052 = "", I1052 = ""), "", IF(F1052 = "Vara", IFERROR(_xlfn.SINGLE(_xlfn.XLOOKUP(G1052, Vöruskrá!A:A, Vöruskrá!I:I, "")) * I1052 / 100, ""), IF(F1052 = "Réttur", IFERROR(_xlfn.SINGLE(_xlfn.XLOOKUP(G1052, Réttabanki!A:A, Réttabanki!AV:AV, "")) * I1052 / 100, ""), "")))</f>
        <v/>
      </c>
      <c r="P1052" s="26" t="str">
        <f>IF(OR(F1052 = "", G1052 = "", I1052 = ""), "", IF(F1052 = "Vara", IFERROR(_xlfn.SINGLE(_xlfn.XLOOKUP(G1052, Vöruskrá!A:A, Vöruskrá!J:J, "")) * I1052 / 100, ""), IF(F1052 = "Réttur", IFERROR(_xlfn.SINGLE(_xlfn.XLOOKUP(G1052, Réttabanki!A:A, Réttabanki!AW:AW, "")) * I1052 / 100, ""), "")))</f>
        <v/>
      </c>
      <c r="Q1052" s="26" t="str">
        <f>IF(OR(F1052 = "", G1052 = "", I1052 = ""), "", IF(F1052 = "Vara", IFERROR(_xlfn.SINGLE(_xlfn.XLOOKUP(G1052, Vöruskrá!A:A, Vöruskrá!N:N, "")) * I1052 / 100, ""), IF(F1052 = "Réttur", IFERROR(_xlfn.SINGLE(_xlfn.XLOOKUP(G1052, Réttabanki!A:A, Réttabanki!BB:BB, "")) * I1052 / 100, ""), "")))</f>
        <v/>
      </c>
    </row>
    <row r="1053" spans="2:17">
      <c r="B1053" s="33" t="str">
        <f>IF(A1053&lt;&gt;"",CHOOSE(WEEKDAY(A1053,2),"Mánudagur","Þriðjudagur","Miðvikudagur","Fimmtudagur","Föstudagur","Laugardagur","Sunnudagur"),IF(B1052&lt;&gt;"",B1052,""))</f>
        <v>Fimmtudagur</v>
      </c>
      <c r="C1053" s="33">
        <f>IF(A1053&lt;&gt;"",WEEKNUM(A1053,21),IF(C1052&lt;&gt;"",C1052,""))</f>
        <v>27</v>
      </c>
      <c r="D1053" s="34"/>
      <c r="E1053" s="34"/>
      <c r="F1053" s="34"/>
      <c r="G1053" s="34"/>
      <c r="H1053" s="34"/>
      <c r="I1053" s="35"/>
      <c r="J1053" s="35"/>
      <c r="K1053" s="36"/>
      <c r="L1053" s="26" t="str">
        <f>IF(OR(F1053 = "", G1053 = ""), "", IF(F1053 = "Vara", IFERROR(_xlfn.SINGLE(_xlfn.XLOOKUP(G1053, Vöruskrá!A:A, Vöruskrá!E:E, "")), ""), IF(F1053 = "Réttur", IFERROR(_xlfn.SINGLE(_xlfn.XLOOKUP(G1053, Réttabanki!A:A, Réttabanki!AS:AS, "")), ""), "")))</f>
        <v/>
      </c>
      <c r="M1053" s="26" t="str">
        <f>IF(OR(F1053 = "", G1053 = ""), "", IF(F1053 = "Vara", IFERROR(_xlfn.SINGLE(_xlfn.XLOOKUP(G1053, Vöruskrá!A:A, Vöruskrá!F:F, "")), ""), IF(F1053 = "Réttur", IFERROR(_xlfn.SINGLE(_xlfn.XLOOKUP(G1053, Réttabanki!A:A, Réttabanki!AT:AT, "")), ""), "")))</f>
        <v/>
      </c>
      <c r="N1053" s="26" t="str">
        <f>IF(OR(F1053 = "", G1053 = ""), "", IF(F1053 = "Vara", IFERROR(_xlfn.SINGLE(_xlfn.XLOOKUP(G1053, Vöruskrá!A:A, Vöruskrá!G:G, "")), ""), IF(F1053 = "Réttur", IFERROR(_xlfn.SINGLE(_xlfn.XLOOKUP(G1053, Réttabanki!A:A, Réttabanki!AU:AU, "")), ""), "")))</f>
        <v/>
      </c>
      <c r="O1053" s="26" t="str">
        <f>IF(OR(F1053 = "", G1053 = "", I1053 = ""), "", IF(F1053 = "Vara", IFERROR(_xlfn.SINGLE(_xlfn.XLOOKUP(G1053, Vöruskrá!A:A, Vöruskrá!I:I, "")) * I1053 / 100, ""), IF(F1053 = "Réttur", IFERROR(_xlfn.SINGLE(_xlfn.XLOOKUP(G1053, Réttabanki!A:A, Réttabanki!AV:AV, "")) * I1053 / 100, ""), "")))</f>
        <v/>
      </c>
      <c r="P1053" s="26" t="str">
        <f>IF(OR(F1053 = "", G1053 = "", I1053 = ""), "", IF(F1053 = "Vara", IFERROR(_xlfn.SINGLE(_xlfn.XLOOKUP(G1053, Vöruskrá!A:A, Vöruskrá!J:J, "")) * I1053 / 100, ""), IF(F1053 = "Réttur", IFERROR(_xlfn.SINGLE(_xlfn.XLOOKUP(G1053, Réttabanki!A:A, Réttabanki!AW:AW, "")) * I1053 / 100, ""), "")))</f>
        <v/>
      </c>
      <c r="Q1053" s="26" t="str">
        <f>IF(OR(F1053 = "", G1053 = "", I1053 = ""), "", IF(F1053 = "Vara", IFERROR(_xlfn.SINGLE(_xlfn.XLOOKUP(G1053, Vöruskrá!A:A, Vöruskrá!N:N, "")) * I1053 / 100, ""), IF(F1053 = "Réttur", IFERROR(_xlfn.SINGLE(_xlfn.XLOOKUP(G1053, Réttabanki!A:A, Réttabanki!BB:BB, "")) * I1053 / 100, ""), "")))</f>
        <v/>
      </c>
    </row>
    <row r="1054" spans="2:17">
      <c r="B1054" s="33" t="str">
        <f>IF(A1054&lt;&gt;"",CHOOSE(WEEKDAY(A1054,2),"Mánudagur","Þriðjudagur","Miðvikudagur","Fimmtudagur","Föstudagur","Laugardagur","Sunnudagur"),IF(B1053&lt;&gt;"",B1053,""))</f>
        <v>Fimmtudagur</v>
      </c>
      <c r="C1054" s="33">
        <f>IF(A1054&lt;&gt;"",WEEKNUM(A1054,21),IF(C1053&lt;&gt;"",C1053,""))</f>
        <v>27</v>
      </c>
      <c r="D1054" s="34"/>
      <c r="E1054" s="34"/>
      <c r="F1054" s="34"/>
      <c r="G1054" s="34"/>
      <c r="H1054" s="34"/>
      <c r="I1054" s="35"/>
      <c r="J1054" s="35"/>
      <c r="K1054" s="36"/>
      <c r="L1054" s="26" t="str">
        <f>IF(OR(F1054 = "", G1054 = ""), "", IF(F1054 = "Vara", IFERROR(_xlfn.SINGLE(_xlfn.XLOOKUP(G1054, Vöruskrá!A:A, Vöruskrá!E:E, "")), ""), IF(F1054 = "Réttur", IFERROR(_xlfn.SINGLE(_xlfn.XLOOKUP(G1054, Réttabanki!A:A, Réttabanki!AS:AS, "")), ""), "")))</f>
        <v/>
      </c>
      <c r="M1054" s="26" t="str">
        <f>IF(OR(F1054 = "", G1054 = ""), "", IF(F1054 = "Vara", IFERROR(_xlfn.SINGLE(_xlfn.XLOOKUP(G1054, Vöruskrá!A:A, Vöruskrá!F:F, "")), ""), IF(F1054 = "Réttur", IFERROR(_xlfn.SINGLE(_xlfn.XLOOKUP(G1054, Réttabanki!A:A, Réttabanki!AT:AT, "")), ""), "")))</f>
        <v/>
      </c>
      <c r="N1054" s="26" t="str">
        <f>IF(OR(F1054 = "", G1054 = ""), "", IF(F1054 = "Vara", IFERROR(_xlfn.SINGLE(_xlfn.XLOOKUP(G1054, Vöruskrá!A:A, Vöruskrá!G:G, "")), ""), IF(F1054 = "Réttur", IFERROR(_xlfn.SINGLE(_xlfn.XLOOKUP(G1054, Réttabanki!A:A, Réttabanki!AU:AU, "")), ""), "")))</f>
        <v/>
      </c>
      <c r="O1054" s="26" t="str">
        <f>IF(OR(F1054 = "", G1054 = "", I1054 = ""), "", IF(F1054 = "Vara", IFERROR(_xlfn.SINGLE(_xlfn.XLOOKUP(G1054, Vöruskrá!A:A, Vöruskrá!I:I, "")) * I1054 / 100, ""), IF(F1054 = "Réttur", IFERROR(_xlfn.SINGLE(_xlfn.XLOOKUP(G1054, Réttabanki!A:A, Réttabanki!AV:AV, "")) * I1054 / 100, ""), "")))</f>
        <v/>
      </c>
      <c r="P1054" s="26" t="str">
        <f>IF(OR(F1054 = "", G1054 = "", I1054 = ""), "", IF(F1054 = "Vara", IFERROR(_xlfn.SINGLE(_xlfn.XLOOKUP(G1054, Vöruskrá!A:A, Vöruskrá!J:J, "")) * I1054 / 100, ""), IF(F1054 = "Réttur", IFERROR(_xlfn.SINGLE(_xlfn.XLOOKUP(G1054, Réttabanki!A:A, Réttabanki!AW:AW, "")) * I1054 / 100, ""), "")))</f>
        <v/>
      </c>
      <c r="Q1054" s="26" t="str">
        <f>IF(OR(F1054 = "", G1054 = "", I1054 = ""), "", IF(F1054 = "Vara", IFERROR(_xlfn.SINGLE(_xlfn.XLOOKUP(G1054, Vöruskrá!A:A, Vöruskrá!N:N, "")) * I1054 / 100, ""), IF(F1054 = "Réttur", IFERROR(_xlfn.SINGLE(_xlfn.XLOOKUP(G1054, Réttabanki!A:A, Réttabanki!BB:BB, "")) * I1054 / 100, ""), "")))</f>
        <v/>
      </c>
    </row>
    <row r="1055" spans="2:17">
      <c r="B1055" s="33" t="str">
        <f>IF(A1055&lt;&gt;"",CHOOSE(WEEKDAY(A1055,2),"Mánudagur","Þriðjudagur","Miðvikudagur","Fimmtudagur","Föstudagur","Laugardagur","Sunnudagur"),IF(B1054&lt;&gt;"",B1054,""))</f>
        <v>Fimmtudagur</v>
      </c>
      <c r="C1055" s="33">
        <f>IF(A1055&lt;&gt;"",WEEKNUM(A1055,21),IF(C1054&lt;&gt;"",C1054,""))</f>
        <v>27</v>
      </c>
      <c r="D1055" s="34"/>
      <c r="E1055" s="34"/>
      <c r="F1055" s="34"/>
      <c r="G1055" s="34"/>
      <c r="H1055" s="34"/>
      <c r="I1055" s="35"/>
      <c r="J1055" s="35"/>
      <c r="K1055" s="36"/>
      <c r="L1055" s="26" t="str">
        <f>IF(OR(F1055 = "", G1055 = ""), "", IF(F1055 = "Vara", IFERROR(_xlfn.SINGLE(_xlfn.XLOOKUP(G1055, Vöruskrá!A:A, Vöruskrá!E:E, "")), ""), IF(F1055 = "Réttur", IFERROR(_xlfn.SINGLE(_xlfn.XLOOKUP(G1055, Réttabanki!A:A, Réttabanki!AS:AS, "")), ""), "")))</f>
        <v/>
      </c>
      <c r="M1055" s="26" t="str">
        <f>IF(OR(F1055 = "", G1055 = ""), "", IF(F1055 = "Vara", IFERROR(_xlfn.SINGLE(_xlfn.XLOOKUP(G1055, Vöruskrá!A:A, Vöruskrá!F:F, "")), ""), IF(F1055 = "Réttur", IFERROR(_xlfn.SINGLE(_xlfn.XLOOKUP(G1055, Réttabanki!A:A, Réttabanki!AT:AT, "")), ""), "")))</f>
        <v/>
      </c>
      <c r="N1055" s="26" t="str">
        <f>IF(OR(F1055 = "", G1055 = ""), "", IF(F1055 = "Vara", IFERROR(_xlfn.SINGLE(_xlfn.XLOOKUP(G1055, Vöruskrá!A:A, Vöruskrá!G:G, "")), ""), IF(F1055 = "Réttur", IFERROR(_xlfn.SINGLE(_xlfn.XLOOKUP(G1055, Réttabanki!A:A, Réttabanki!AU:AU, "")), ""), "")))</f>
        <v/>
      </c>
      <c r="O1055" s="26" t="str">
        <f>IF(OR(F1055 = "", G1055 = "", I1055 = ""), "", IF(F1055 = "Vara", IFERROR(_xlfn.SINGLE(_xlfn.XLOOKUP(G1055, Vöruskrá!A:A, Vöruskrá!I:I, "")) * I1055 / 100, ""), IF(F1055 = "Réttur", IFERROR(_xlfn.SINGLE(_xlfn.XLOOKUP(G1055, Réttabanki!A:A, Réttabanki!AV:AV, "")) * I1055 / 100, ""), "")))</f>
        <v/>
      </c>
      <c r="P1055" s="26" t="str">
        <f>IF(OR(F1055 = "", G1055 = "", I1055 = ""), "", IF(F1055 = "Vara", IFERROR(_xlfn.SINGLE(_xlfn.XLOOKUP(G1055, Vöruskrá!A:A, Vöruskrá!J:J, "")) * I1055 / 100, ""), IF(F1055 = "Réttur", IFERROR(_xlfn.SINGLE(_xlfn.XLOOKUP(G1055, Réttabanki!A:A, Réttabanki!AW:AW, "")) * I1055 / 100, ""), "")))</f>
        <v/>
      </c>
      <c r="Q1055" s="26" t="str">
        <f>IF(OR(F1055 = "", G1055 = "", I1055 = ""), "", IF(F1055 = "Vara", IFERROR(_xlfn.SINGLE(_xlfn.XLOOKUP(G1055, Vöruskrá!A:A, Vöruskrá!N:N, "")) * I1055 / 100, ""), IF(F1055 = "Réttur", IFERROR(_xlfn.SINGLE(_xlfn.XLOOKUP(G1055, Réttabanki!A:A, Réttabanki!BB:BB, "")) * I1055 / 100, ""), "")))</f>
        <v/>
      </c>
    </row>
    <row r="1056" spans="2:17">
      <c r="B1056" s="33" t="str">
        <f>IF(A1056&lt;&gt;"",CHOOSE(WEEKDAY(A1056,2),"Mánudagur","Þriðjudagur","Miðvikudagur","Fimmtudagur","Föstudagur","Laugardagur","Sunnudagur"),IF(B1055&lt;&gt;"",B1055,""))</f>
        <v>Fimmtudagur</v>
      </c>
      <c r="C1056" s="33">
        <f>IF(A1056&lt;&gt;"",WEEKNUM(A1056,21),IF(C1055&lt;&gt;"",C1055,""))</f>
        <v>27</v>
      </c>
      <c r="D1056" s="34"/>
      <c r="E1056" s="34"/>
      <c r="F1056" s="34"/>
      <c r="G1056" s="34"/>
      <c r="H1056" s="34"/>
      <c r="I1056" s="35"/>
      <c r="J1056" s="35"/>
      <c r="K1056" s="36"/>
      <c r="L1056" s="26" t="str">
        <f>IF(OR(F1056 = "", G1056 = ""), "", IF(F1056 = "Vara", IFERROR(_xlfn.SINGLE(_xlfn.XLOOKUP(G1056, Vöruskrá!A:A, Vöruskrá!E:E, "")), ""), IF(F1056 = "Réttur", IFERROR(_xlfn.SINGLE(_xlfn.XLOOKUP(G1056, Réttabanki!A:A, Réttabanki!AS:AS, "")), ""), "")))</f>
        <v/>
      </c>
      <c r="M1056" s="26" t="str">
        <f>IF(OR(F1056 = "", G1056 = ""), "", IF(F1056 = "Vara", IFERROR(_xlfn.SINGLE(_xlfn.XLOOKUP(G1056, Vöruskrá!A:A, Vöruskrá!F:F, "")), ""), IF(F1056 = "Réttur", IFERROR(_xlfn.SINGLE(_xlfn.XLOOKUP(G1056, Réttabanki!A:A, Réttabanki!AT:AT, "")), ""), "")))</f>
        <v/>
      </c>
      <c r="N1056" s="26" t="str">
        <f>IF(OR(F1056 = "", G1056 = ""), "", IF(F1056 = "Vara", IFERROR(_xlfn.SINGLE(_xlfn.XLOOKUP(G1056, Vöruskrá!A:A, Vöruskrá!G:G, "")), ""), IF(F1056 = "Réttur", IFERROR(_xlfn.SINGLE(_xlfn.XLOOKUP(G1056, Réttabanki!A:A, Réttabanki!AU:AU, "")), ""), "")))</f>
        <v/>
      </c>
      <c r="O1056" s="26" t="str">
        <f>IF(OR(F1056 = "", G1056 = "", I1056 = ""), "", IF(F1056 = "Vara", IFERROR(_xlfn.SINGLE(_xlfn.XLOOKUP(G1056, Vöruskrá!A:A, Vöruskrá!I:I, "")) * I1056 / 100, ""), IF(F1056 = "Réttur", IFERROR(_xlfn.SINGLE(_xlfn.XLOOKUP(G1056, Réttabanki!A:A, Réttabanki!AV:AV, "")) * I1056 / 100, ""), "")))</f>
        <v/>
      </c>
      <c r="P1056" s="26" t="str">
        <f>IF(OR(F1056 = "", G1056 = "", I1056 = ""), "", IF(F1056 = "Vara", IFERROR(_xlfn.SINGLE(_xlfn.XLOOKUP(G1056, Vöruskrá!A:A, Vöruskrá!J:J, "")) * I1056 / 100, ""), IF(F1056 = "Réttur", IFERROR(_xlfn.SINGLE(_xlfn.XLOOKUP(G1056, Réttabanki!A:A, Réttabanki!AW:AW, "")) * I1056 / 100, ""), "")))</f>
        <v/>
      </c>
      <c r="Q1056" s="26" t="str">
        <f>IF(OR(F1056 = "", G1056 = "", I1056 = ""), "", IF(F1056 = "Vara", IFERROR(_xlfn.SINGLE(_xlfn.XLOOKUP(G1056, Vöruskrá!A:A, Vöruskrá!N:N, "")) * I1056 / 100, ""), IF(F1056 = "Réttur", IFERROR(_xlfn.SINGLE(_xlfn.XLOOKUP(G1056, Réttabanki!A:A, Réttabanki!BB:BB, "")) * I1056 / 100, ""), "")))</f>
        <v/>
      </c>
    </row>
    <row r="1057" spans="2:17">
      <c r="B1057" s="33" t="str">
        <f>IF(A1057&lt;&gt;"",CHOOSE(WEEKDAY(A1057,2),"Mánudagur","Þriðjudagur","Miðvikudagur","Fimmtudagur","Föstudagur","Laugardagur","Sunnudagur"),IF(B1056&lt;&gt;"",B1056,""))</f>
        <v>Fimmtudagur</v>
      </c>
      <c r="C1057" s="33">
        <f>IF(A1057&lt;&gt;"",WEEKNUM(A1057,21),IF(C1056&lt;&gt;"",C1056,""))</f>
        <v>27</v>
      </c>
      <c r="D1057" s="34"/>
      <c r="E1057" s="34"/>
      <c r="F1057" s="34"/>
      <c r="G1057" s="34"/>
      <c r="H1057" s="34"/>
      <c r="I1057" s="35"/>
      <c r="J1057" s="35"/>
      <c r="K1057" s="36"/>
      <c r="L1057" s="26" t="str">
        <f>IF(OR(F1057 = "", G1057 = ""), "", IF(F1057 = "Vara", IFERROR(_xlfn.SINGLE(_xlfn.XLOOKUP(G1057, Vöruskrá!A:A, Vöruskrá!E:E, "")), ""), IF(F1057 = "Réttur", IFERROR(_xlfn.SINGLE(_xlfn.XLOOKUP(G1057, Réttabanki!A:A, Réttabanki!AS:AS, "")), ""), "")))</f>
        <v/>
      </c>
      <c r="M1057" s="26" t="str">
        <f>IF(OR(F1057 = "", G1057 = ""), "", IF(F1057 = "Vara", IFERROR(_xlfn.SINGLE(_xlfn.XLOOKUP(G1057, Vöruskrá!A:A, Vöruskrá!F:F, "")), ""), IF(F1057 = "Réttur", IFERROR(_xlfn.SINGLE(_xlfn.XLOOKUP(G1057, Réttabanki!A:A, Réttabanki!AT:AT, "")), ""), "")))</f>
        <v/>
      </c>
      <c r="N1057" s="26" t="str">
        <f>IF(OR(F1057 = "", G1057 = ""), "", IF(F1057 = "Vara", IFERROR(_xlfn.SINGLE(_xlfn.XLOOKUP(G1057, Vöruskrá!A:A, Vöruskrá!G:G, "")), ""), IF(F1057 = "Réttur", IFERROR(_xlfn.SINGLE(_xlfn.XLOOKUP(G1057, Réttabanki!A:A, Réttabanki!AU:AU, "")), ""), "")))</f>
        <v/>
      </c>
      <c r="O1057" s="26" t="str">
        <f>IF(OR(F1057 = "", G1057 = "", I1057 = ""), "", IF(F1057 = "Vara", IFERROR(_xlfn.SINGLE(_xlfn.XLOOKUP(G1057, Vöruskrá!A:A, Vöruskrá!I:I, "")) * I1057 / 100, ""), IF(F1057 = "Réttur", IFERROR(_xlfn.SINGLE(_xlfn.XLOOKUP(G1057, Réttabanki!A:A, Réttabanki!AV:AV, "")) * I1057 / 100, ""), "")))</f>
        <v/>
      </c>
      <c r="P1057" s="26" t="str">
        <f>IF(OR(F1057 = "", G1057 = "", I1057 = ""), "", IF(F1057 = "Vara", IFERROR(_xlfn.SINGLE(_xlfn.XLOOKUP(G1057, Vöruskrá!A:A, Vöruskrá!J:J, "")) * I1057 / 100, ""), IF(F1057 = "Réttur", IFERROR(_xlfn.SINGLE(_xlfn.XLOOKUP(G1057, Réttabanki!A:A, Réttabanki!AW:AW, "")) * I1057 / 100, ""), "")))</f>
        <v/>
      </c>
      <c r="Q1057" s="26" t="str">
        <f>IF(OR(F1057 = "", G1057 = "", I1057 = ""), "", IF(F1057 = "Vara", IFERROR(_xlfn.SINGLE(_xlfn.XLOOKUP(G1057, Vöruskrá!A:A, Vöruskrá!N:N, "")) * I1057 / 100, ""), IF(F1057 = "Réttur", IFERROR(_xlfn.SINGLE(_xlfn.XLOOKUP(G1057, Réttabanki!A:A, Réttabanki!BB:BB, "")) * I1057 / 100, ""), "")))</f>
        <v/>
      </c>
    </row>
    <row r="1058" spans="2:17">
      <c r="B1058" s="33" t="str">
        <f>IF(A1058&lt;&gt;"",CHOOSE(WEEKDAY(A1058,2),"Mánudagur","Þriðjudagur","Miðvikudagur","Fimmtudagur","Föstudagur","Laugardagur","Sunnudagur"),IF(B1057&lt;&gt;"",B1057,""))</f>
        <v>Fimmtudagur</v>
      </c>
      <c r="C1058" s="33">
        <f>IF(A1058&lt;&gt;"",WEEKNUM(A1058,21),IF(C1057&lt;&gt;"",C1057,""))</f>
        <v>27</v>
      </c>
      <c r="D1058" s="34"/>
      <c r="E1058" s="34"/>
      <c r="F1058" s="34"/>
      <c r="G1058" s="34"/>
      <c r="H1058" s="34"/>
      <c r="I1058" s="35"/>
      <c r="J1058" s="35"/>
      <c r="K1058" s="36"/>
      <c r="L1058" s="26" t="str">
        <f>IF(OR(F1058 = "", G1058 = ""), "", IF(F1058 = "Vara", IFERROR(_xlfn.SINGLE(_xlfn.XLOOKUP(G1058, Vöruskrá!A:A, Vöruskrá!E:E, "")), ""), IF(F1058 = "Réttur", IFERROR(_xlfn.SINGLE(_xlfn.XLOOKUP(G1058, Réttabanki!A:A, Réttabanki!AS:AS, "")), ""), "")))</f>
        <v/>
      </c>
      <c r="M1058" s="26" t="str">
        <f>IF(OR(F1058 = "", G1058 = ""), "", IF(F1058 = "Vara", IFERROR(_xlfn.SINGLE(_xlfn.XLOOKUP(G1058, Vöruskrá!A:A, Vöruskrá!F:F, "")), ""), IF(F1058 = "Réttur", IFERROR(_xlfn.SINGLE(_xlfn.XLOOKUP(G1058, Réttabanki!A:A, Réttabanki!AT:AT, "")), ""), "")))</f>
        <v/>
      </c>
      <c r="N1058" s="26" t="str">
        <f>IF(OR(F1058 = "", G1058 = ""), "", IF(F1058 = "Vara", IFERROR(_xlfn.SINGLE(_xlfn.XLOOKUP(G1058, Vöruskrá!A:A, Vöruskrá!G:G, "")), ""), IF(F1058 = "Réttur", IFERROR(_xlfn.SINGLE(_xlfn.XLOOKUP(G1058, Réttabanki!A:A, Réttabanki!AU:AU, "")), ""), "")))</f>
        <v/>
      </c>
      <c r="O1058" s="26" t="str">
        <f>IF(OR(F1058 = "", G1058 = "", I1058 = ""), "", IF(F1058 = "Vara", IFERROR(_xlfn.SINGLE(_xlfn.XLOOKUP(G1058, Vöruskrá!A:A, Vöruskrá!I:I, "")) * I1058 / 100, ""), IF(F1058 = "Réttur", IFERROR(_xlfn.SINGLE(_xlfn.XLOOKUP(G1058, Réttabanki!A:A, Réttabanki!AV:AV, "")) * I1058 / 100, ""), "")))</f>
        <v/>
      </c>
      <c r="P1058" s="26" t="str">
        <f>IF(OR(F1058 = "", G1058 = "", I1058 = ""), "", IF(F1058 = "Vara", IFERROR(_xlfn.SINGLE(_xlfn.XLOOKUP(G1058, Vöruskrá!A:A, Vöruskrá!J:J, "")) * I1058 / 100, ""), IF(F1058 = "Réttur", IFERROR(_xlfn.SINGLE(_xlfn.XLOOKUP(G1058, Réttabanki!A:A, Réttabanki!AW:AW, "")) * I1058 / 100, ""), "")))</f>
        <v/>
      </c>
      <c r="Q1058" s="26" t="str">
        <f>IF(OR(F1058 = "", G1058 = "", I1058 = ""), "", IF(F1058 = "Vara", IFERROR(_xlfn.SINGLE(_xlfn.XLOOKUP(G1058, Vöruskrá!A:A, Vöruskrá!N:N, "")) * I1058 / 100, ""), IF(F1058 = "Réttur", IFERROR(_xlfn.SINGLE(_xlfn.XLOOKUP(G1058, Réttabanki!A:A, Réttabanki!BB:BB, "")) * I1058 / 100, ""), "")))</f>
        <v/>
      </c>
    </row>
    <row r="1059" spans="2:17">
      <c r="B1059" s="33" t="str">
        <f>IF(A1059&lt;&gt;"",CHOOSE(WEEKDAY(A1059,2),"Mánudagur","Þriðjudagur","Miðvikudagur","Fimmtudagur","Föstudagur","Laugardagur","Sunnudagur"),IF(B1058&lt;&gt;"",B1058,""))</f>
        <v>Fimmtudagur</v>
      </c>
      <c r="C1059" s="33">
        <f>IF(A1059&lt;&gt;"",WEEKNUM(A1059,21),IF(C1058&lt;&gt;"",C1058,""))</f>
        <v>27</v>
      </c>
      <c r="D1059" s="34"/>
      <c r="E1059" s="34"/>
      <c r="F1059" s="34"/>
      <c r="G1059" s="34"/>
      <c r="H1059" s="34"/>
      <c r="I1059" s="35"/>
      <c r="J1059" s="35"/>
      <c r="K1059" s="36"/>
      <c r="L1059" s="26" t="str">
        <f>IF(OR(F1059 = "", G1059 = ""), "", IF(F1059 = "Vara", IFERROR(_xlfn.SINGLE(_xlfn.XLOOKUP(G1059, Vöruskrá!A:A, Vöruskrá!E:E, "")), ""), IF(F1059 = "Réttur", IFERROR(_xlfn.SINGLE(_xlfn.XLOOKUP(G1059, Réttabanki!A:A, Réttabanki!AS:AS, "")), ""), "")))</f>
        <v/>
      </c>
      <c r="M1059" s="26" t="str">
        <f>IF(OR(F1059 = "", G1059 = ""), "", IF(F1059 = "Vara", IFERROR(_xlfn.SINGLE(_xlfn.XLOOKUP(G1059, Vöruskrá!A:A, Vöruskrá!F:F, "")), ""), IF(F1059 = "Réttur", IFERROR(_xlfn.SINGLE(_xlfn.XLOOKUP(G1059, Réttabanki!A:A, Réttabanki!AT:AT, "")), ""), "")))</f>
        <v/>
      </c>
      <c r="N1059" s="26" t="str">
        <f>IF(OR(F1059 = "", G1059 = ""), "", IF(F1059 = "Vara", IFERROR(_xlfn.SINGLE(_xlfn.XLOOKUP(G1059, Vöruskrá!A:A, Vöruskrá!G:G, "")), ""), IF(F1059 = "Réttur", IFERROR(_xlfn.SINGLE(_xlfn.XLOOKUP(G1059, Réttabanki!A:A, Réttabanki!AU:AU, "")), ""), "")))</f>
        <v/>
      </c>
      <c r="O1059" s="26" t="str">
        <f>IF(OR(F1059 = "", G1059 = "", I1059 = ""), "", IF(F1059 = "Vara", IFERROR(_xlfn.SINGLE(_xlfn.XLOOKUP(G1059, Vöruskrá!A:A, Vöruskrá!I:I, "")) * I1059 / 100, ""), IF(F1059 = "Réttur", IFERROR(_xlfn.SINGLE(_xlfn.XLOOKUP(G1059, Réttabanki!A:A, Réttabanki!AV:AV, "")) * I1059 / 100, ""), "")))</f>
        <v/>
      </c>
      <c r="P1059" s="26" t="str">
        <f>IF(OR(F1059 = "", G1059 = "", I1059 = ""), "", IF(F1059 = "Vara", IFERROR(_xlfn.SINGLE(_xlfn.XLOOKUP(G1059, Vöruskrá!A:A, Vöruskrá!J:J, "")) * I1059 / 100, ""), IF(F1059 = "Réttur", IFERROR(_xlfn.SINGLE(_xlfn.XLOOKUP(G1059, Réttabanki!A:A, Réttabanki!AW:AW, "")) * I1059 / 100, ""), "")))</f>
        <v/>
      </c>
      <c r="Q1059" s="26" t="str">
        <f>IF(OR(F1059 = "", G1059 = "", I1059 = ""), "", IF(F1059 = "Vara", IFERROR(_xlfn.SINGLE(_xlfn.XLOOKUP(G1059, Vöruskrá!A:A, Vöruskrá!N:N, "")) * I1059 / 100, ""), IF(F1059 = "Réttur", IFERROR(_xlfn.SINGLE(_xlfn.XLOOKUP(G1059, Réttabanki!A:A, Réttabanki!BB:BB, "")) * I1059 / 100, ""), "")))</f>
        <v/>
      </c>
    </row>
    <row r="1060" spans="2:17">
      <c r="B1060" s="33" t="str">
        <f>IF(A1060&lt;&gt;"",CHOOSE(WEEKDAY(A1060,2),"Mánudagur","Þriðjudagur","Miðvikudagur","Fimmtudagur","Föstudagur","Laugardagur","Sunnudagur"),IF(B1059&lt;&gt;"",B1059,""))</f>
        <v>Fimmtudagur</v>
      </c>
      <c r="C1060" s="33">
        <f>IF(A1060&lt;&gt;"",WEEKNUM(A1060,21),IF(C1059&lt;&gt;"",C1059,""))</f>
        <v>27</v>
      </c>
      <c r="D1060" s="34"/>
      <c r="E1060" s="34"/>
      <c r="F1060" s="34"/>
      <c r="G1060" s="34"/>
      <c r="H1060" s="34"/>
      <c r="I1060" s="35"/>
      <c r="J1060" s="35"/>
      <c r="K1060" s="36"/>
      <c r="L1060" s="26" t="str">
        <f>IF(OR(F1060 = "", G1060 = ""), "", IF(F1060 = "Vara", IFERROR(_xlfn.SINGLE(_xlfn.XLOOKUP(G1060, Vöruskrá!A:A, Vöruskrá!E:E, "")), ""), IF(F1060 = "Réttur", IFERROR(_xlfn.SINGLE(_xlfn.XLOOKUP(G1060, Réttabanki!A:A, Réttabanki!AS:AS, "")), ""), "")))</f>
        <v/>
      </c>
      <c r="M1060" s="26" t="str">
        <f>IF(OR(F1060 = "", G1060 = ""), "", IF(F1060 = "Vara", IFERROR(_xlfn.SINGLE(_xlfn.XLOOKUP(G1060, Vöruskrá!A:A, Vöruskrá!F:F, "")), ""), IF(F1060 = "Réttur", IFERROR(_xlfn.SINGLE(_xlfn.XLOOKUP(G1060, Réttabanki!A:A, Réttabanki!AT:AT, "")), ""), "")))</f>
        <v/>
      </c>
      <c r="N1060" s="26" t="str">
        <f>IF(OR(F1060 = "", G1060 = ""), "", IF(F1060 = "Vara", IFERROR(_xlfn.SINGLE(_xlfn.XLOOKUP(G1060, Vöruskrá!A:A, Vöruskrá!G:G, "")), ""), IF(F1060 = "Réttur", IFERROR(_xlfn.SINGLE(_xlfn.XLOOKUP(G1060, Réttabanki!A:A, Réttabanki!AU:AU, "")), ""), "")))</f>
        <v/>
      </c>
      <c r="O1060" s="26" t="str">
        <f>IF(OR(F1060 = "", G1060 = "", I1060 = ""), "", IF(F1060 = "Vara", IFERROR(_xlfn.SINGLE(_xlfn.XLOOKUP(G1060, Vöruskrá!A:A, Vöruskrá!I:I, "")) * I1060 / 100, ""), IF(F1060 = "Réttur", IFERROR(_xlfn.SINGLE(_xlfn.XLOOKUP(G1060, Réttabanki!A:A, Réttabanki!AV:AV, "")) * I1060 / 100, ""), "")))</f>
        <v/>
      </c>
      <c r="P1060" s="26" t="str">
        <f>IF(OR(F1060 = "", G1060 = "", I1060 = ""), "", IF(F1060 = "Vara", IFERROR(_xlfn.SINGLE(_xlfn.XLOOKUP(G1060, Vöruskrá!A:A, Vöruskrá!J:J, "")) * I1060 / 100, ""), IF(F1060 = "Réttur", IFERROR(_xlfn.SINGLE(_xlfn.XLOOKUP(G1060, Réttabanki!A:A, Réttabanki!AW:AW, "")) * I1060 / 100, ""), "")))</f>
        <v/>
      </c>
      <c r="Q1060" s="26" t="str">
        <f>IF(OR(F1060 = "", G1060 = "", I1060 = ""), "", IF(F1060 = "Vara", IFERROR(_xlfn.SINGLE(_xlfn.XLOOKUP(G1060, Vöruskrá!A:A, Vöruskrá!N:N, "")) * I1060 / 100, ""), IF(F1060 = "Réttur", IFERROR(_xlfn.SINGLE(_xlfn.XLOOKUP(G1060, Réttabanki!A:A, Réttabanki!BB:BB, "")) * I1060 / 100, ""), "")))</f>
        <v/>
      </c>
    </row>
    <row r="1061" spans="2:17">
      <c r="B1061" s="33" t="str">
        <f>IF(A1061&lt;&gt;"",CHOOSE(WEEKDAY(A1061,2),"Mánudagur","Þriðjudagur","Miðvikudagur","Fimmtudagur","Föstudagur","Laugardagur","Sunnudagur"),IF(B1060&lt;&gt;"",B1060,""))</f>
        <v>Fimmtudagur</v>
      </c>
      <c r="C1061" s="33">
        <f>IF(A1061&lt;&gt;"",WEEKNUM(A1061,21),IF(C1060&lt;&gt;"",C1060,""))</f>
        <v>27</v>
      </c>
      <c r="D1061" s="34"/>
      <c r="E1061" s="34"/>
      <c r="F1061" s="34"/>
      <c r="G1061" s="34"/>
      <c r="H1061" s="34"/>
      <c r="I1061" s="35"/>
      <c r="J1061" s="35"/>
      <c r="K1061" s="36"/>
      <c r="L1061" s="26" t="str">
        <f>IF(OR(F1061 = "", G1061 = ""), "", IF(F1061 = "Vara", IFERROR(_xlfn.SINGLE(_xlfn.XLOOKUP(G1061, Vöruskrá!A:A, Vöruskrá!E:E, "")), ""), IF(F1061 = "Réttur", IFERROR(_xlfn.SINGLE(_xlfn.XLOOKUP(G1061, Réttabanki!A:A, Réttabanki!AS:AS, "")), ""), "")))</f>
        <v/>
      </c>
      <c r="M1061" s="26" t="str">
        <f>IF(OR(F1061 = "", G1061 = ""), "", IF(F1061 = "Vara", IFERROR(_xlfn.SINGLE(_xlfn.XLOOKUP(G1061, Vöruskrá!A:A, Vöruskrá!F:F, "")), ""), IF(F1061 = "Réttur", IFERROR(_xlfn.SINGLE(_xlfn.XLOOKUP(G1061, Réttabanki!A:A, Réttabanki!AT:AT, "")), ""), "")))</f>
        <v/>
      </c>
      <c r="N1061" s="26" t="str">
        <f>IF(OR(F1061 = "", G1061 = ""), "", IF(F1061 = "Vara", IFERROR(_xlfn.SINGLE(_xlfn.XLOOKUP(G1061, Vöruskrá!A:A, Vöruskrá!G:G, "")), ""), IF(F1061 = "Réttur", IFERROR(_xlfn.SINGLE(_xlfn.XLOOKUP(G1061, Réttabanki!A:A, Réttabanki!AU:AU, "")), ""), "")))</f>
        <v/>
      </c>
      <c r="O1061" s="26" t="str">
        <f>IF(OR(F1061 = "", G1061 = "", I1061 = ""), "", IF(F1061 = "Vara", IFERROR(_xlfn.SINGLE(_xlfn.XLOOKUP(G1061, Vöruskrá!A:A, Vöruskrá!I:I, "")) * I1061 / 100, ""), IF(F1061 = "Réttur", IFERROR(_xlfn.SINGLE(_xlfn.XLOOKUP(G1061, Réttabanki!A:A, Réttabanki!AV:AV, "")) * I1061 / 100, ""), "")))</f>
        <v/>
      </c>
      <c r="P1061" s="26" t="str">
        <f>IF(OR(F1061 = "", G1061 = "", I1061 = ""), "", IF(F1061 = "Vara", IFERROR(_xlfn.SINGLE(_xlfn.XLOOKUP(G1061, Vöruskrá!A:A, Vöruskrá!J:J, "")) * I1061 / 100, ""), IF(F1061 = "Réttur", IFERROR(_xlfn.SINGLE(_xlfn.XLOOKUP(G1061, Réttabanki!A:A, Réttabanki!AW:AW, "")) * I1061 / 100, ""), "")))</f>
        <v/>
      </c>
      <c r="Q1061" s="26" t="str">
        <f>IF(OR(F1061 = "", G1061 = "", I1061 = ""), "", IF(F1061 = "Vara", IFERROR(_xlfn.SINGLE(_xlfn.XLOOKUP(G1061, Vöruskrá!A:A, Vöruskrá!N:N, "")) * I1061 / 100, ""), IF(F1061 = "Réttur", IFERROR(_xlfn.SINGLE(_xlfn.XLOOKUP(G1061, Réttabanki!A:A, Réttabanki!BB:BB, "")) * I1061 / 100, ""), "")))</f>
        <v/>
      </c>
    </row>
    <row r="1062" spans="2:17">
      <c r="B1062" s="33" t="str">
        <f>IF(A1062&lt;&gt;"",CHOOSE(WEEKDAY(A1062,2),"Mánudagur","Þriðjudagur","Miðvikudagur","Fimmtudagur","Föstudagur","Laugardagur","Sunnudagur"),IF(B1061&lt;&gt;"",B1061,""))</f>
        <v>Fimmtudagur</v>
      </c>
      <c r="C1062" s="33">
        <f>IF(A1062&lt;&gt;"",WEEKNUM(A1062,21),IF(C1061&lt;&gt;"",C1061,""))</f>
        <v>27</v>
      </c>
      <c r="D1062" s="34"/>
      <c r="E1062" s="34"/>
      <c r="F1062" s="34"/>
      <c r="G1062" s="34"/>
      <c r="H1062" s="34"/>
      <c r="I1062" s="35"/>
      <c r="J1062" s="35"/>
      <c r="K1062" s="36"/>
      <c r="L1062" s="26" t="str">
        <f>IF(OR(F1062 = "", G1062 = ""), "", IF(F1062 = "Vara", IFERROR(_xlfn.SINGLE(_xlfn.XLOOKUP(G1062, Vöruskrá!A:A, Vöruskrá!E:E, "")), ""), IF(F1062 = "Réttur", IFERROR(_xlfn.SINGLE(_xlfn.XLOOKUP(G1062, Réttabanki!A:A, Réttabanki!AS:AS, "")), ""), "")))</f>
        <v/>
      </c>
      <c r="M1062" s="26" t="str">
        <f>IF(OR(F1062 = "", G1062 = ""), "", IF(F1062 = "Vara", IFERROR(_xlfn.SINGLE(_xlfn.XLOOKUP(G1062, Vöruskrá!A:A, Vöruskrá!F:F, "")), ""), IF(F1062 = "Réttur", IFERROR(_xlfn.SINGLE(_xlfn.XLOOKUP(G1062, Réttabanki!A:A, Réttabanki!AT:AT, "")), ""), "")))</f>
        <v/>
      </c>
      <c r="N1062" s="26" t="str">
        <f>IF(OR(F1062 = "", G1062 = ""), "", IF(F1062 = "Vara", IFERROR(_xlfn.SINGLE(_xlfn.XLOOKUP(G1062, Vöruskrá!A:A, Vöruskrá!G:G, "")), ""), IF(F1062 = "Réttur", IFERROR(_xlfn.SINGLE(_xlfn.XLOOKUP(G1062, Réttabanki!A:A, Réttabanki!AU:AU, "")), ""), "")))</f>
        <v/>
      </c>
      <c r="O1062" s="26" t="str">
        <f>IF(OR(F1062 = "", G1062 = "", I1062 = ""), "", IF(F1062 = "Vara", IFERROR(_xlfn.SINGLE(_xlfn.XLOOKUP(G1062, Vöruskrá!A:A, Vöruskrá!I:I, "")) * I1062 / 100, ""), IF(F1062 = "Réttur", IFERROR(_xlfn.SINGLE(_xlfn.XLOOKUP(G1062, Réttabanki!A:A, Réttabanki!AV:AV, "")) * I1062 / 100, ""), "")))</f>
        <v/>
      </c>
      <c r="P1062" s="26" t="str">
        <f>IF(OR(F1062 = "", G1062 = "", I1062 = ""), "", IF(F1062 = "Vara", IFERROR(_xlfn.SINGLE(_xlfn.XLOOKUP(G1062, Vöruskrá!A:A, Vöruskrá!J:J, "")) * I1062 / 100, ""), IF(F1062 = "Réttur", IFERROR(_xlfn.SINGLE(_xlfn.XLOOKUP(G1062, Réttabanki!A:A, Réttabanki!AW:AW, "")) * I1062 / 100, ""), "")))</f>
        <v/>
      </c>
      <c r="Q1062" s="26" t="str">
        <f>IF(OR(F1062 = "", G1062 = "", I1062 = ""), "", IF(F1062 = "Vara", IFERROR(_xlfn.SINGLE(_xlfn.XLOOKUP(G1062, Vöruskrá!A:A, Vöruskrá!N:N, "")) * I1062 / 100, ""), IF(F1062 = "Réttur", IFERROR(_xlfn.SINGLE(_xlfn.XLOOKUP(G1062, Réttabanki!A:A, Réttabanki!BB:BB, "")) * I1062 / 100, ""), "")))</f>
        <v/>
      </c>
    </row>
    <row r="1063" spans="2:17">
      <c r="B1063" s="33" t="str">
        <f>IF(A1063&lt;&gt;"",CHOOSE(WEEKDAY(A1063,2),"Mánudagur","Þriðjudagur","Miðvikudagur","Fimmtudagur","Föstudagur","Laugardagur","Sunnudagur"),IF(B1062&lt;&gt;"",B1062,""))</f>
        <v>Fimmtudagur</v>
      </c>
      <c r="C1063" s="33">
        <f>IF(A1063&lt;&gt;"",WEEKNUM(A1063,21),IF(C1062&lt;&gt;"",C1062,""))</f>
        <v>27</v>
      </c>
      <c r="D1063" s="34"/>
      <c r="E1063" s="34"/>
      <c r="F1063" s="34"/>
      <c r="G1063" s="34"/>
      <c r="H1063" s="34"/>
      <c r="I1063" s="35"/>
      <c r="J1063" s="35"/>
      <c r="K1063" s="36"/>
      <c r="L1063" s="26" t="str">
        <f>IF(OR(F1063 = "", G1063 = ""), "", IF(F1063 = "Vara", IFERROR(_xlfn.SINGLE(_xlfn.XLOOKUP(G1063, Vöruskrá!A:A, Vöruskrá!E:E, "")), ""), IF(F1063 = "Réttur", IFERROR(_xlfn.SINGLE(_xlfn.XLOOKUP(G1063, Réttabanki!A:A, Réttabanki!AS:AS, "")), ""), "")))</f>
        <v/>
      </c>
      <c r="M1063" s="26" t="str">
        <f>IF(OR(F1063 = "", G1063 = ""), "", IF(F1063 = "Vara", IFERROR(_xlfn.SINGLE(_xlfn.XLOOKUP(G1063, Vöruskrá!A:A, Vöruskrá!F:F, "")), ""), IF(F1063 = "Réttur", IFERROR(_xlfn.SINGLE(_xlfn.XLOOKUP(G1063, Réttabanki!A:A, Réttabanki!AT:AT, "")), ""), "")))</f>
        <v/>
      </c>
      <c r="N1063" s="26" t="str">
        <f>IF(OR(F1063 = "", G1063 = ""), "", IF(F1063 = "Vara", IFERROR(_xlfn.SINGLE(_xlfn.XLOOKUP(G1063, Vöruskrá!A:A, Vöruskrá!G:G, "")), ""), IF(F1063 = "Réttur", IFERROR(_xlfn.SINGLE(_xlfn.XLOOKUP(G1063, Réttabanki!A:A, Réttabanki!AU:AU, "")), ""), "")))</f>
        <v/>
      </c>
      <c r="O1063" s="26" t="str">
        <f>IF(OR(F1063 = "", G1063 = "", I1063 = ""), "", IF(F1063 = "Vara", IFERROR(_xlfn.SINGLE(_xlfn.XLOOKUP(G1063, Vöruskrá!A:A, Vöruskrá!I:I, "")) * I1063 / 100, ""), IF(F1063 = "Réttur", IFERROR(_xlfn.SINGLE(_xlfn.XLOOKUP(G1063, Réttabanki!A:A, Réttabanki!AV:AV, "")) * I1063 / 100, ""), "")))</f>
        <v/>
      </c>
      <c r="P1063" s="26" t="str">
        <f>IF(OR(F1063 = "", G1063 = "", I1063 = ""), "", IF(F1063 = "Vara", IFERROR(_xlfn.SINGLE(_xlfn.XLOOKUP(G1063, Vöruskrá!A:A, Vöruskrá!J:J, "")) * I1063 / 100, ""), IF(F1063 = "Réttur", IFERROR(_xlfn.SINGLE(_xlfn.XLOOKUP(G1063, Réttabanki!A:A, Réttabanki!AW:AW, "")) * I1063 / 100, ""), "")))</f>
        <v/>
      </c>
      <c r="Q1063" s="26" t="str">
        <f>IF(OR(F1063 = "", G1063 = "", I1063 = ""), "", IF(F1063 = "Vara", IFERROR(_xlfn.SINGLE(_xlfn.XLOOKUP(G1063, Vöruskrá!A:A, Vöruskrá!N:N, "")) * I1063 / 100, ""), IF(F1063 = "Réttur", IFERROR(_xlfn.SINGLE(_xlfn.XLOOKUP(G1063, Réttabanki!A:A, Réttabanki!BB:BB, "")) * I1063 / 100, ""), "")))</f>
        <v/>
      </c>
    </row>
    <row r="1064" spans="2:17">
      <c r="B1064" s="33" t="str">
        <f>IF(A1064&lt;&gt;"",CHOOSE(WEEKDAY(A1064,2),"Mánudagur","Þriðjudagur","Miðvikudagur","Fimmtudagur","Föstudagur","Laugardagur","Sunnudagur"),IF(B1063&lt;&gt;"",B1063,""))</f>
        <v>Fimmtudagur</v>
      </c>
      <c r="C1064" s="33">
        <f>IF(A1064&lt;&gt;"",WEEKNUM(A1064,21),IF(C1063&lt;&gt;"",C1063,""))</f>
        <v>27</v>
      </c>
      <c r="D1064" s="34"/>
      <c r="E1064" s="34"/>
      <c r="F1064" s="34"/>
      <c r="G1064" s="34"/>
      <c r="H1064" s="34"/>
      <c r="I1064" s="35"/>
      <c r="J1064" s="35"/>
      <c r="K1064" s="36"/>
      <c r="L1064" s="26" t="str">
        <f>IF(OR(F1064 = "", G1064 = ""), "", IF(F1064 = "Vara", IFERROR(_xlfn.SINGLE(_xlfn.XLOOKUP(G1064, Vöruskrá!A:A, Vöruskrá!E:E, "")), ""), IF(F1064 = "Réttur", IFERROR(_xlfn.SINGLE(_xlfn.XLOOKUP(G1064, Réttabanki!A:A, Réttabanki!AS:AS, "")), ""), "")))</f>
        <v/>
      </c>
      <c r="M1064" s="26" t="str">
        <f>IF(OR(F1064 = "", G1064 = ""), "", IF(F1064 = "Vara", IFERROR(_xlfn.SINGLE(_xlfn.XLOOKUP(G1064, Vöruskrá!A:A, Vöruskrá!F:F, "")), ""), IF(F1064 = "Réttur", IFERROR(_xlfn.SINGLE(_xlfn.XLOOKUP(G1064, Réttabanki!A:A, Réttabanki!AT:AT, "")), ""), "")))</f>
        <v/>
      </c>
      <c r="N1064" s="26" t="str">
        <f>IF(OR(F1064 = "", G1064 = ""), "", IF(F1064 = "Vara", IFERROR(_xlfn.SINGLE(_xlfn.XLOOKUP(G1064, Vöruskrá!A:A, Vöruskrá!G:G, "")), ""), IF(F1064 = "Réttur", IFERROR(_xlfn.SINGLE(_xlfn.XLOOKUP(G1064, Réttabanki!A:A, Réttabanki!AU:AU, "")), ""), "")))</f>
        <v/>
      </c>
      <c r="O1064" s="26" t="str">
        <f>IF(OR(F1064 = "", G1064 = "", I1064 = ""), "", IF(F1064 = "Vara", IFERROR(_xlfn.SINGLE(_xlfn.XLOOKUP(G1064, Vöruskrá!A:A, Vöruskrá!I:I, "")) * I1064 / 100, ""), IF(F1064 = "Réttur", IFERROR(_xlfn.SINGLE(_xlfn.XLOOKUP(G1064, Réttabanki!A:A, Réttabanki!AV:AV, "")) * I1064 / 100, ""), "")))</f>
        <v/>
      </c>
      <c r="P1064" s="26" t="str">
        <f>IF(OR(F1064 = "", G1064 = "", I1064 = ""), "", IF(F1064 = "Vara", IFERROR(_xlfn.SINGLE(_xlfn.XLOOKUP(G1064, Vöruskrá!A:A, Vöruskrá!J:J, "")) * I1064 / 100, ""), IF(F1064 = "Réttur", IFERROR(_xlfn.SINGLE(_xlfn.XLOOKUP(G1064, Réttabanki!A:A, Réttabanki!AW:AW, "")) * I1064 / 100, ""), "")))</f>
        <v/>
      </c>
      <c r="Q1064" s="26" t="str">
        <f>IF(OR(F1064 = "", G1064 = "", I1064 = ""), "", IF(F1064 = "Vara", IFERROR(_xlfn.SINGLE(_xlfn.XLOOKUP(G1064, Vöruskrá!A:A, Vöruskrá!N:N, "")) * I1064 / 100, ""), IF(F1064 = "Réttur", IFERROR(_xlfn.SINGLE(_xlfn.XLOOKUP(G1064, Réttabanki!A:A, Réttabanki!BB:BB, "")) * I1064 / 100, ""), "")))</f>
        <v/>
      </c>
    </row>
    <row r="1065" spans="2:17">
      <c r="B1065" s="33" t="str">
        <f>IF(A1065&lt;&gt;"",CHOOSE(WEEKDAY(A1065,2),"Mánudagur","Þriðjudagur","Miðvikudagur","Fimmtudagur","Föstudagur","Laugardagur","Sunnudagur"),IF(B1064&lt;&gt;"",B1064,""))</f>
        <v>Fimmtudagur</v>
      </c>
      <c r="C1065" s="33">
        <f>IF(A1065&lt;&gt;"",WEEKNUM(A1065,21),IF(C1064&lt;&gt;"",C1064,""))</f>
        <v>27</v>
      </c>
      <c r="D1065" s="34"/>
      <c r="E1065" s="34"/>
      <c r="F1065" s="34"/>
      <c r="G1065" s="34"/>
      <c r="H1065" s="34"/>
      <c r="I1065" s="35"/>
      <c r="J1065" s="35"/>
      <c r="K1065" s="36"/>
      <c r="L1065" s="26" t="str">
        <f>IF(OR(F1065 = "", G1065 = ""), "", IF(F1065 = "Vara", IFERROR(_xlfn.SINGLE(_xlfn.XLOOKUP(G1065, Vöruskrá!A:A, Vöruskrá!E:E, "")), ""), IF(F1065 = "Réttur", IFERROR(_xlfn.SINGLE(_xlfn.XLOOKUP(G1065, Réttabanki!A:A, Réttabanki!AS:AS, "")), ""), "")))</f>
        <v/>
      </c>
      <c r="M1065" s="26" t="str">
        <f>IF(OR(F1065 = "", G1065 = ""), "", IF(F1065 = "Vara", IFERROR(_xlfn.SINGLE(_xlfn.XLOOKUP(G1065, Vöruskrá!A:A, Vöruskrá!F:F, "")), ""), IF(F1065 = "Réttur", IFERROR(_xlfn.SINGLE(_xlfn.XLOOKUP(G1065, Réttabanki!A:A, Réttabanki!AT:AT, "")), ""), "")))</f>
        <v/>
      </c>
      <c r="N1065" s="26" t="str">
        <f>IF(OR(F1065 = "", G1065 = ""), "", IF(F1065 = "Vara", IFERROR(_xlfn.SINGLE(_xlfn.XLOOKUP(G1065, Vöruskrá!A:A, Vöruskrá!G:G, "")), ""), IF(F1065 = "Réttur", IFERROR(_xlfn.SINGLE(_xlfn.XLOOKUP(G1065, Réttabanki!A:A, Réttabanki!AU:AU, "")), ""), "")))</f>
        <v/>
      </c>
      <c r="O1065" s="26" t="str">
        <f>IF(OR(F1065 = "", G1065 = "", I1065 = ""), "", IF(F1065 = "Vara", IFERROR(_xlfn.SINGLE(_xlfn.XLOOKUP(G1065, Vöruskrá!A:A, Vöruskrá!I:I, "")) * I1065 / 100, ""), IF(F1065 = "Réttur", IFERROR(_xlfn.SINGLE(_xlfn.XLOOKUP(G1065, Réttabanki!A:A, Réttabanki!AV:AV, "")) * I1065 / 100, ""), "")))</f>
        <v/>
      </c>
      <c r="P1065" s="26" t="str">
        <f>IF(OR(F1065 = "", G1065 = "", I1065 = ""), "", IF(F1065 = "Vara", IFERROR(_xlfn.SINGLE(_xlfn.XLOOKUP(G1065, Vöruskrá!A:A, Vöruskrá!J:J, "")) * I1065 / 100, ""), IF(F1065 = "Réttur", IFERROR(_xlfn.SINGLE(_xlfn.XLOOKUP(G1065, Réttabanki!A:A, Réttabanki!AW:AW, "")) * I1065 / 100, ""), "")))</f>
        <v/>
      </c>
      <c r="Q1065" s="26" t="str">
        <f>IF(OR(F1065 = "", G1065 = "", I1065 = ""), "", IF(F1065 = "Vara", IFERROR(_xlfn.SINGLE(_xlfn.XLOOKUP(G1065, Vöruskrá!A:A, Vöruskrá!N:N, "")) * I1065 / 100, ""), IF(F1065 = "Réttur", IFERROR(_xlfn.SINGLE(_xlfn.XLOOKUP(G1065, Réttabanki!A:A, Réttabanki!BB:BB, "")) * I1065 / 100, ""), "")))</f>
        <v/>
      </c>
    </row>
    <row r="1066" spans="2:17">
      <c r="B1066" s="33" t="str">
        <f>IF(A1066&lt;&gt;"",CHOOSE(WEEKDAY(A1066,2),"Mánudagur","Þriðjudagur","Miðvikudagur","Fimmtudagur","Föstudagur","Laugardagur","Sunnudagur"),IF(B1065&lt;&gt;"",B1065,""))</f>
        <v>Fimmtudagur</v>
      </c>
      <c r="C1066" s="33">
        <f>IF(A1066&lt;&gt;"",WEEKNUM(A1066,21),IF(C1065&lt;&gt;"",C1065,""))</f>
        <v>27</v>
      </c>
      <c r="D1066" s="34"/>
      <c r="E1066" s="34"/>
      <c r="F1066" s="34"/>
      <c r="G1066" s="34"/>
      <c r="H1066" s="34"/>
      <c r="I1066" s="35"/>
      <c r="J1066" s="35"/>
      <c r="K1066" s="36"/>
      <c r="L1066" s="26" t="str">
        <f>IF(OR(F1066 = "", G1066 = ""), "", IF(F1066 = "Vara", IFERROR(_xlfn.SINGLE(_xlfn.XLOOKUP(G1066, Vöruskrá!A:A, Vöruskrá!E:E, "")), ""), IF(F1066 = "Réttur", IFERROR(_xlfn.SINGLE(_xlfn.XLOOKUP(G1066, Réttabanki!A:A, Réttabanki!AS:AS, "")), ""), "")))</f>
        <v/>
      </c>
      <c r="M1066" s="26" t="str">
        <f>IF(OR(F1066 = "", G1066 = ""), "", IF(F1066 = "Vara", IFERROR(_xlfn.SINGLE(_xlfn.XLOOKUP(G1066, Vöruskrá!A:A, Vöruskrá!F:F, "")), ""), IF(F1066 = "Réttur", IFERROR(_xlfn.SINGLE(_xlfn.XLOOKUP(G1066, Réttabanki!A:A, Réttabanki!AT:AT, "")), ""), "")))</f>
        <v/>
      </c>
      <c r="N1066" s="26" t="str">
        <f>IF(OR(F1066 = "", G1066 = ""), "", IF(F1066 = "Vara", IFERROR(_xlfn.SINGLE(_xlfn.XLOOKUP(G1066, Vöruskrá!A:A, Vöruskrá!G:G, "")), ""), IF(F1066 = "Réttur", IFERROR(_xlfn.SINGLE(_xlfn.XLOOKUP(G1066, Réttabanki!A:A, Réttabanki!AU:AU, "")), ""), "")))</f>
        <v/>
      </c>
      <c r="O1066" s="26" t="str">
        <f>IF(OR(F1066 = "", G1066 = "", I1066 = ""), "", IF(F1066 = "Vara", IFERROR(_xlfn.SINGLE(_xlfn.XLOOKUP(G1066, Vöruskrá!A:A, Vöruskrá!I:I, "")) * I1066 / 100, ""), IF(F1066 = "Réttur", IFERROR(_xlfn.SINGLE(_xlfn.XLOOKUP(G1066, Réttabanki!A:A, Réttabanki!AV:AV, "")) * I1066 / 100, ""), "")))</f>
        <v/>
      </c>
      <c r="P1066" s="26" t="str">
        <f>IF(OR(F1066 = "", G1066 = "", I1066 = ""), "", IF(F1066 = "Vara", IFERROR(_xlfn.SINGLE(_xlfn.XLOOKUP(G1066, Vöruskrá!A:A, Vöruskrá!J:J, "")) * I1066 / 100, ""), IF(F1066 = "Réttur", IFERROR(_xlfn.SINGLE(_xlfn.XLOOKUP(G1066, Réttabanki!A:A, Réttabanki!AW:AW, "")) * I1066 / 100, ""), "")))</f>
        <v/>
      </c>
      <c r="Q1066" s="26" t="str">
        <f>IF(OR(F1066 = "", G1066 = "", I1066 = ""), "", IF(F1066 = "Vara", IFERROR(_xlfn.SINGLE(_xlfn.XLOOKUP(G1066, Vöruskrá!A:A, Vöruskrá!N:N, "")) * I1066 / 100, ""), IF(F1066 = "Réttur", IFERROR(_xlfn.SINGLE(_xlfn.XLOOKUP(G1066, Réttabanki!A:A, Réttabanki!BB:BB, "")) * I1066 / 100, ""), "")))</f>
        <v/>
      </c>
    </row>
    <row r="1067" spans="2:17">
      <c r="B1067" s="33" t="str">
        <f>IF(A1067&lt;&gt;"",CHOOSE(WEEKDAY(A1067,2),"Mánudagur","Þriðjudagur","Miðvikudagur","Fimmtudagur","Föstudagur","Laugardagur","Sunnudagur"),IF(B1066&lt;&gt;"",B1066,""))</f>
        <v>Fimmtudagur</v>
      </c>
      <c r="C1067" s="33">
        <f>IF(A1067&lt;&gt;"",WEEKNUM(A1067,21),IF(C1066&lt;&gt;"",C1066,""))</f>
        <v>27</v>
      </c>
      <c r="D1067" s="34"/>
      <c r="E1067" s="34"/>
      <c r="F1067" s="34"/>
      <c r="G1067" s="34"/>
      <c r="H1067" s="34"/>
      <c r="I1067" s="35"/>
      <c r="J1067" s="35"/>
      <c r="K1067" s="36"/>
      <c r="L1067" s="26" t="str">
        <f>IF(OR(F1067 = "", G1067 = ""), "", IF(F1067 = "Vara", IFERROR(_xlfn.SINGLE(_xlfn.XLOOKUP(G1067, Vöruskrá!A:A, Vöruskrá!E:E, "")), ""), IF(F1067 = "Réttur", IFERROR(_xlfn.SINGLE(_xlfn.XLOOKUP(G1067, Réttabanki!A:A, Réttabanki!AS:AS, "")), ""), "")))</f>
        <v/>
      </c>
      <c r="M1067" s="26" t="str">
        <f>IF(OR(F1067 = "", G1067 = ""), "", IF(F1067 = "Vara", IFERROR(_xlfn.SINGLE(_xlfn.XLOOKUP(G1067, Vöruskrá!A:A, Vöruskrá!F:F, "")), ""), IF(F1067 = "Réttur", IFERROR(_xlfn.SINGLE(_xlfn.XLOOKUP(G1067, Réttabanki!A:A, Réttabanki!AT:AT, "")), ""), "")))</f>
        <v/>
      </c>
      <c r="N1067" s="26" t="str">
        <f>IF(OR(F1067 = "", G1067 = ""), "", IF(F1067 = "Vara", IFERROR(_xlfn.SINGLE(_xlfn.XLOOKUP(G1067, Vöruskrá!A:A, Vöruskrá!G:G, "")), ""), IF(F1067 = "Réttur", IFERROR(_xlfn.SINGLE(_xlfn.XLOOKUP(G1067, Réttabanki!A:A, Réttabanki!AU:AU, "")), ""), "")))</f>
        <v/>
      </c>
      <c r="O1067" s="26" t="str">
        <f>IF(OR(F1067 = "", G1067 = "", I1067 = ""), "", IF(F1067 = "Vara", IFERROR(_xlfn.SINGLE(_xlfn.XLOOKUP(G1067, Vöruskrá!A:A, Vöruskrá!I:I, "")) * I1067 / 100, ""), IF(F1067 = "Réttur", IFERROR(_xlfn.SINGLE(_xlfn.XLOOKUP(G1067, Réttabanki!A:A, Réttabanki!AV:AV, "")) * I1067 / 100, ""), "")))</f>
        <v/>
      </c>
      <c r="P1067" s="26" t="str">
        <f>IF(OR(F1067 = "", G1067 = "", I1067 = ""), "", IF(F1067 = "Vara", IFERROR(_xlfn.SINGLE(_xlfn.XLOOKUP(G1067, Vöruskrá!A:A, Vöruskrá!J:J, "")) * I1067 / 100, ""), IF(F1067 = "Réttur", IFERROR(_xlfn.SINGLE(_xlfn.XLOOKUP(G1067, Réttabanki!A:A, Réttabanki!AW:AW, "")) * I1067 / 100, ""), "")))</f>
        <v/>
      </c>
      <c r="Q1067" s="26" t="str">
        <f>IF(OR(F1067 = "", G1067 = "", I1067 = ""), "", IF(F1067 = "Vara", IFERROR(_xlfn.SINGLE(_xlfn.XLOOKUP(G1067, Vöruskrá!A:A, Vöruskrá!N:N, "")) * I1067 / 100, ""), IF(F1067 = "Réttur", IFERROR(_xlfn.SINGLE(_xlfn.XLOOKUP(G1067, Réttabanki!A:A, Réttabanki!BB:BB, "")) * I1067 / 100, ""), "")))</f>
        <v/>
      </c>
    </row>
    <row r="1068" spans="2:17">
      <c r="B1068" s="33" t="str">
        <f>IF(A1068&lt;&gt;"",CHOOSE(WEEKDAY(A1068,2),"Mánudagur","Þriðjudagur","Miðvikudagur","Fimmtudagur","Föstudagur","Laugardagur","Sunnudagur"),IF(B1067&lt;&gt;"",B1067,""))</f>
        <v>Fimmtudagur</v>
      </c>
      <c r="C1068" s="33">
        <f>IF(A1068&lt;&gt;"",WEEKNUM(A1068,21),IF(C1067&lt;&gt;"",C1067,""))</f>
        <v>27</v>
      </c>
      <c r="D1068" s="34"/>
      <c r="E1068" s="34"/>
      <c r="F1068" s="34"/>
      <c r="G1068" s="34"/>
      <c r="H1068" s="34"/>
      <c r="I1068" s="35"/>
      <c r="J1068" s="35"/>
      <c r="K1068" s="36"/>
      <c r="L1068" s="26" t="str">
        <f>IF(OR(F1068 = "", G1068 = ""), "", IF(F1068 = "Vara", IFERROR(_xlfn.SINGLE(_xlfn.XLOOKUP(G1068, Vöruskrá!A:A, Vöruskrá!E:E, "")), ""), IF(F1068 = "Réttur", IFERROR(_xlfn.SINGLE(_xlfn.XLOOKUP(G1068, Réttabanki!A:A, Réttabanki!AS:AS, "")), ""), "")))</f>
        <v/>
      </c>
      <c r="M1068" s="26" t="str">
        <f>IF(OR(F1068 = "", G1068 = ""), "", IF(F1068 = "Vara", IFERROR(_xlfn.SINGLE(_xlfn.XLOOKUP(G1068, Vöruskrá!A:A, Vöruskrá!F:F, "")), ""), IF(F1068 = "Réttur", IFERROR(_xlfn.SINGLE(_xlfn.XLOOKUP(G1068, Réttabanki!A:A, Réttabanki!AT:AT, "")), ""), "")))</f>
        <v/>
      </c>
      <c r="N1068" s="26" t="str">
        <f>IF(OR(F1068 = "", G1068 = ""), "", IF(F1068 = "Vara", IFERROR(_xlfn.SINGLE(_xlfn.XLOOKUP(G1068, Vöruskrá!A:A, Vöruskrá!G:G, "")), ""), IF(F1068 = "Réttur", IFERROR(_xlfn.SINGLE(_xlfn.XLOOKUP(G1068, Réttabanki!A:A, Réttabanki!AU:AU, "")), ""), "")))</f>
        <v/>
      </c>
      <c r="O1068" s="26" t="str">
        <f>IF(OR(F1068 = "", G1068 = "", I1068 = ""), "", IF(F1068 = "Vara", IFERROR(_xlfn.SINGLE(_xlfn.XLOOKUP(G1068, Vöruskrá!A:A, Vöruskrá!I:I, "")) * I1068 / 100, ""), IF(F1068 = "Réttur", IFERROR(_xlfn.SINGLE(_xlfn.XLOOKUP(G1068, Réttabanki!A:A, Réttabanki!AV:AV, "")) * I1068 / 100, ""), "")))</f>
        <v/>
      </c>
      <c r="P1068" s="26" t="str">
        <f>IF(OR(F1068 = "", G1068 = "", I1068 = ""), "", IF(F1068 = "Vara", IFERROR(_xlfn.SINGLE(_xlfn.XLOOKUP(G1068, Vöruskrá!A:A, Vöruskrá!J:J, "")) * I1068 / 100, ""), IF(F1068 = "Réttur", IFERROR(_xlfn.SINGLE(_xlfn.XLOOKUP(G1068, Réttabanki!A:A, Réttabanki!AW:AW, "")) * I1068 / 100, ""), "")))</f>
        <v/>
      </c>
      <c r="Q1068" s="26" t="str">
        <f>IF(OR(F1068 = "", G1068 = "", I1068 = ""), "", IF(F1068 = "Vara", IFERROR(_xlfn.SINGLE(_xlfn.XLOOKUP(G1068, Vöruskrá!A:A, Vöruskrá!N:N, "")) * I1068 / 100, ""), IF(F1068 = "Réttur", IFERROR(_xlfn.SINGLE(_xlfn.XLOOKUP(G1068, Réttabanki!A:A, Réttabanki!BB:BB, "")) * I1068 / 100, ""), "")))</f>
        <v/>
      </c>
    </row>
    <row r="1069" spans="2:17">
      <c r="B1069" s="33" t="str">
        <f>IF(A1069&lt;&gt;"",CHOOSE(WEEKDAY(A1069,2),"Mánudagur","Þriðjudagur","Miðvikudagur","Fimmtudagur","Föstudagur","Laugardagur","Sunnudagur"),IF(B1068&lt;&gt;"",B1068,""))</f>
        <v>Fimmtudagur</v>
      </c>
      <c r="C1069" s="33">
        <f>IF(A1069&lt;&gt;"",WEEKNUM(A1069,21),IF(C1068&lt;&gt;"",C1068,""))</f>
        <v>27</v>
      </c>
      <c r="D1069" s="34"/>
      <c r="E1069" s="34"/>
      <c r="F1069" s="34"/>
      <c r="G1069" s="34"/>
      <c r="H1069" s="34"/>
      <c r="I1069" s="35"/>
      <c r="J1069" s="35"/>
      <c r="K1069" s="36"/>
      <c r="L1069" s="26" t="str">
        <f>IF(OR(F1069 = "", G1069 = ""), "", IF(F1069 = "Vara", IFERROR(_xlfn.SINGLE(_xlfn.XLOOKUP(G1069, Vöruskrá!A:A, Vöruskrá!E:E, "")), ""), IF(F1069 = "Réttur", IFERROR(_xlfn.SINGLE(_xlfn.XLOOKUP(G1069, Réttabanki!A:A, Réttabanki!AS:AS, "")), ""), "")))</f>
        <v/>
      </c>
      <c r="M1069" s="26" t="str">
        <f>IF(OR(F1069 = "", G1069 = ""), "", IF(F1069 = "Vara", IFERROR(_xlfn.SINGLE(_xlfn.XLOOKUP(G1069, Vöruskrá!A:A, Vöruskrá!F:F, "")), ""), IF(F1069 = "Réttur", IFERROR(_xlfn.SINGLE(_xlfn.XLOOKUP(G1069, Réttabanki!A:A, Réttabanki!AT:AT, "")), ""), "")))</f>
        <v/>
      </c>
      <c r="N1069" s="26" t="str">
        <f>IF(OR(F1069 = "", G1069 = ""), "", IF(F1069 = "Vara", IFERROR(_xlfn.SINGLE(_xlfn.XLOOKUP(G1069, Vöruskrá!A:A, Vöruskrá!G:G, "")), ""), IF(F1069 = "Réttur", IFERROR(_xlfn.SINGLE(_xlfn.XLOOKUP(G1069, Réttabanki!A:A, Réttabanki!AU:AU, "")), ""), "")))</f>
        <v/>
      </c>
      <c r="O1069" s="26" t="str">
        <f>IF(OR(F1069 = "", G1069 = "", I1069 = ""), "", IF(F1069 = "Vara", IFERROR(_xlfn.SINGLE(_xlfn.XLOOKUP(G1069, Vöruskrá!A:A, Vöruskrá!I:I, "")) * I1069 / 100, ""), IF(F1069 = "Réttur", IFERROR(_xlfn.SINGLE(_xlfn.XLOOKUP(G1069, Réttabanki!A:A, Réttabanki!AV:AV, "")) * I1069 / 100, ""), "")))</f>
        <v/>
      </c>
      <c r="P1069" s="26" t="str">
        <f>IF(OR(F1069 = "", G1069 = "", I1069 = ""), "", IF(F1069 = "Vara", IFERROR(_xlfn.SINGLE(_xlfn.XLOOKUP(G1069, Vöruskrá!A:A, Vöruskrá!J:J, "")) * I1069 / 100, ""), IF(F1069 = "Réttur", IFERROR(_xlfn.SINGLE(_xlfn.XLOOKUP(G1069, Réttabanki!A:A, Réttabanki!AW:AW, "")) * I1069 / 100, ""), "")))</f>
        <v/>
      </c>
      <c r="Q1069" s="26" t="str">
        <f>IF(OR(F1069 = "", G1069 = "", I1069 = ""), "", IF(F1069 = "Vara", IFERROR(_xlfn.SINGLE(_xlfn.XLOOKUP(G1069, Vöruskrá!A:A, Vöruskrá!N:N, "")) * I1069 / 100, ""), IF(F1069 = "Réttur", IFERROR(_xlfn.SINGLE(_xlfn.XLOOKUP(G1069, Réttabanki!A:A, Réttabanki!BB:BB, "")) * I1069 / 100, ""), "")))</f>
        <v/>
      </c>
    </row>
    <row r="1070" spans="2:17">
      <c r="B1070" s="33" t="str">
        <f>IF(A1070&lt;&gt;"",CHOOSE(WEEKDAY(A1070,2),"Mánudagur","Þriðjudagur","Miðvikudagur","Fimmtudagur","Föstudagur","Laugardagur","Sunnudagur"),IF(B1069&lt;&gt;"",B1069,""))</f>
        <v>Fimmtudagur</v>
      </c>
      <c r="C1070" s="33">
        <f>IF(A1070&lt;&gt;"",WEEKNUM(A1070,21),IF(C1069&lt;&gt;"",C1069,""))</f>
        <v>27</v>
      </c>
      <c r="D1070" s="34"/>
      <c r="E1070" s="34"/>
      <c r="F1070" s="34"/>
      <c r="G1070" s="34"/>
      <c r="H1070" s="34"/>
      <c r="I1070" s="35"/>
      <c r="J1070" s="35"/>
      <c r="K1070" s="36"/>
      <c r="L1070" s="26" t="str">
        <f>IF(OR(F1070 = "", G1070 = ""), "", IF(F1070 = "Vara", IFERROR(_xlfn.SINGLE(_xlfn.XLOOKUP(G1070, Vöruskrá!A:A, Vöruskrá!E:E, "")), ""), IF(F1070 = "Réttur", IFERROR(_xlfn.SINGLE(_xlfn.XLOOKUP(G1070, Réttabanki!A:A, Réttabanki!AS:AS, "")), ""), "")))</f>
        <v/>
      </c>
      <c r="M1070" s="26" t="str">
        <f>IF(OR(F1070 = "", G1070 = ""), "", IF(F1070 = "Vara", IFERROR(_xlfn.SINGLE(_xlfn.XLOOKUP(G1070, Vöruskrá!A:A, Vöruskrá!F:F, "")), ""), IF(F1070 = "Réttur", IFERROR(_xlfn.SINGLE(_xlfn.XLOOKUP(G1070, Réttabanki!A:A, Réttabanki!AT:AT, "")), ""), "")))</f>
        <v/>
      </c>
      <c r="N1070" s="26" t="str">
        <f>IF(OR(F1070 = "", G1070 = ""), "", IF(F1070 = "Vara", IFERROR(_xlfn.SINGLE(_xlfn.XLOOKUP(G1070, Vöruskrá!A:A, Vöruskrá!G:G, "")), ""), IF(F1070 = "Réttur", IFERROR(_xlfn.SINGLE(_xlfn.XLOOKUP(G1070, Réttabanki!A:A, Réttabanki!AU:AU, "")), ""), "")))</f>
        <v/>
      </c>
      <c r="O1070" s="26" t="str">
        <f>IF(OR(F1070 = "", G1070 = "", I1070 = ""), "", IF(F1070 = "Vara", IFERROR(_xlfn.SINGLE(_xlfn.XLOOKUP(G1070, Vöruskrá!A:A, Vöruskrá!I:I, "")) * I1070 / 100, ""), IF(F1070 = "Réttur", IFERROR(_xlfn.SINGLE(_xlfn.XLOOKUP(G1070, Réttabanki!A:A, Réttabanki!AV:AV, "")) * I1070 / 100, ""), "")))</f>
        <v/>
      </c>
      <c r="P1070" s="26" t="str">
        <f>IF(OR(F1070 = "", G1070 = "", I1070 = ""), "", IF(F1070 = "Vara", IFERROR(_xlfn.SINGLE(_xlfn.XLOOKUP(G1070, Vöruskrá!A:A, Vöruskrá!J:J, "")) * I1070 / 100, ""), IF(F1070 = "Réttur", IFERROR(_xlfn.SINGLE(_xlfn.XLOOKUP(G1070, Réttabanki!A:A, Réttabanki!AW:AW, "")) * I1070 / 100, ""), "")))</f>
        <v/>
      </c>
      <c r="Q1070" s="26" t="str">
        <f>IF(OR(F1070 = "", G1070 = "", I1070 = ""), "", IF(F1070 = "Vara", IFERROR(_xlfn.SINGLE(_xlfn.XLOOKUP(G1070, Vöruskrá!A:A, Vöruskrá!N:N, "")) * I1070 / 100, ""), IF(F1070 = "Réttur", IFERROR(_xlfn.SINGLE(_xlfn.XLOOKUP(G1070, Réttabanki!A:A, Réttabanki!BB:BB, "")) * I1070 / 100, ""), "")))</f>
        <v/>
      </c>
    </row>
    <row r="1071" spans="2:17">
      <c r="B1071" s="33" t="str">
        <f>IF(A1071&lt;&gt;"",CHOOSE(WEEKDAY(A1071,2),"Mánudagur","Þriðjudagur","Miðvikudagur","Fimmtudagur","Föstudagur","Laugardagur","Sunnudagur"),IF(B1070&lt;&gt;"",B1070,""))</f>
        <v>Fimmtudagur</v>
      </c>
      <c r="C1071" s="33">
        <f>IF(A1071&lt;&gt;"",WEEKNUM(A1071,21),IF(C1070&lt;&gt;"",C1070,""))</f>
        <v>27</v>
      </c>
      <c r="D1071" s="34"/>
      <c r="E1071" s="34"/>
      <c r="F1071" s="34"/>
      <c r="G1071" s="34"/>
      <c r="H1071" s="34"/>
      <c r="I1071" s="35"/>
      <c r="J1071" s="35"/>
      <c r="K1071" s="36"/>
      <c r="L1071" s="26" t="str">
        <f>IF(OR(F1071 = "", G1071 = ""), "", IF(F1071 = "Vara", IFERROR(_xlfn.SINGLE(_xlfn.XLOOKUP(G1071, Vöruskrá!A:A, Vöruskrá!E:E, "")), ""), IF(F1071 = "Réttur", IFERROR(_xlfn.SINGLE(_xlfn.XLOOKUP(G1071, Réttabanki!A:A, Réttabanki!AS:AS, "")), ""), "")))</f>
        <v/>
      </c>
      <c r="M1071" s="26" t="str">
        <f>IF(OR(F1071 = "", G1071 = ""), "", IF(F1071 = "Vara", IFERROR(_xlfn.SINGLE(_xlfn.XLOOKUP(G1071, Vöruskrá!A:A, Vöruskrá!F:F, "")), ""), IF(F1071 = "Réttur", IFERROR(_xlfn.SINGLE(_xlfn.XLOOKUP(G1071, Réttabanki!A:A, Réttabanki!AT:AT, "")), ""), "")))</f>
        <v/>
      </c>
      <c r="N1071" s="26" t="str">
        <f>IF(OR(F1071 = "", G1071 = ""), "", IF(F1071 = "Vara", IFERROR(_xlfn.SINGLE(_xlfn.XLOOKUP(G1071, Vöruskrá!A:A, Vöruskrá!G:G, "")), ""), IF(F1071 = "Réttur", IFERROR(_xlfn.SINGLE(_xlfn.XLOOKUP(G1071, Réttabanki!A:A, Réttabanki!AU:AU, "")), ""), "")))</f>
        <v/>
      </c>
      <c r="O1071" s="26" t="str">
        <f>IF(OR(F1071 = "", G1071 = "", I1071 = ""), "", IF(F1071 = "Vara", IFERROR(_xlfn.SINGLE(_xlfn.XLOOKUP(G1071, Vöruskrá!A:A, Vöruskrá!I:I, "")) * I1071 / 100, ""), IF(F1071 = "Réttur", IFERROR(_xlfn.SINGLE(_xlfn.XLOOKUP(G1071, Réttabanki!A:A, Réttabanki!AV:AV, "")) * I1071 / 100, ""), "")))</f>
        <v/>
      </c>
      <c r="P1071" s="26" t="str">
        <f>IF(OR(F1071 = "", G1071 = "", I1071 = ""), "", IF(F1071 = "Vara", IFERROR(_xlfn.SINGLE(_xlfn.XLOOKUP(G1071, Vöruskrá!A:A, Vöruskrá!J:J, "")) * I1071 / 100, ""), IF(F1071 = "Réttur", IFERROR(_xlfn.SINGLE(_xlfn.XLOOKUP(G1071, Réttabanki!A:A, Réttabanki!AW:AW, "")) * I1071 / 100, ""), "")))</f>
        <v/>
      </c>
      <c r="Q1071" s="26" t="str">
        <f>IF(OR(F1071 = "", G1071 = "", I1071 = ""), "", IF(F1071 = "Vara", IFERROR(_xlfn.SINGLE(_xlfn.XLOOKUP(G1071, Vöruskrá!A:A, Vöruskrá!N:N, "")) * I1071 / 100, ""), IF(F1071 = "Réttur", IFERROR(_xlfn.SINGLE(_xlfn.XLOOKUP(G1071, Réttabanki!A:A, Réttabanki!BB:BB, "")) * I1071 / 100, ""), "")))</f>
        <v/>
      </c>
    </row>
    <row r="1072" spans="2:17">
      <c r="B1072" s="33" t="str">
        <f>IF(A1072&lt;&gt;"",CHOOSE(WEEKDAY(A1072,2),"Mánudagur","Þriðjudagur","Miðvikudagur","Fimmtudagur","Föstudagur","Laugardagur","Sunnudagur"),IF(B1071&lt;&gt;"",B1071,""))</f>
        <v>Fimmtudagur</v>
      </c>
      <c r="C1072" s="33">
        <f>IF(A1072&lt;&gt;"",WEEKNUM(A1072,21),IF(C1071&lt;&gt;"",C1071,""))</f>
        <v>27</v>
      </c>
      <c r="D1072" s="34"/>
      <c r="E1072" s="34"/>
      <c r="F1072" s="34"/>
      <c r="G1072" s="34"/>
      <c r="H1072" s="34"/>
      <c r="I1072" s="35"/>
      <c r="J1072" s="35"/>
      <c r="K1072" s="36"/>
      <c r="L1072" s="26" t="str">
        <f>IF(OR(F1072 = "", G1072 = ""), "", IF(F1072 = "Vara", IFERROR(_xlfn.SINGLE(_xlfn.XLOOKUP(G1072, Vöruskrá!A:A, Vöruskrá!E:E, "")), ""), IF(F1072 = "Réttur", IFERROR(_xlfn.SINGLE(_xlfn.XLOOKUP(G1072, Réttabanki!A:A, Réttabanki!AS:AS, "")), ""), "")))</f>
        <v/>
      </c>
      <c r="M1072" s="26" t="str">
        <f>IF(OR(F1072 = "", G1072 = ""), "", IF(F1072 = "Vara", IFERROR(_xlfn.SINGLE(_xlfn.XLOOKUP(G1072, Vöruskrá!A:A, Vöruskrá!F:F, "")), ""), IF(F1072 = "Réttur", IFERROR(_xlfn.SINGLE(_xlfn.XLOOKUP(G1072, Réttabanki!A:A, Réttabanki!AT:AT, "")), ""), "")))</f>
        <v/>
      </c>
      <c r="N1072" s="26" t="str">
        <f>IF(OR(F1072 = "", G1072 = ""), "", IF(F1072 = "Vara", IFERROR(_xlfn.SINGLE(_xlfn.XLOOKUP(G1072, Vöruskrá!A:A, Vöruskrá!G:G, "")), ""), IF(F1072 = "Réttur", IFERROR(_xlfn.SINGLE(_xlfn.XLOOKUP(G1072, Réttabanki!A:A, Réttabanki!AU:AU, "")), ""), "")))</f>
        <v/>
      </c>
      <c r="O1072" s="26" t="str">
        <f>IF(OR(F1072 = "", G1072 = "", I1072 = ""), "", IF(F1072 = "Vara", IFERROR(_xlfn.SINGLE(_xlfn.XLOOKUP(G1072, Vöruskrá!A:A, Vöruskrá!I:I, "")) * I1072 / 100, ""), IF(F1072 = "Réttur", IFERROR(_xlfn.SINGLE(_xlfn.XLOOKUP(G1072, Réttabanki!A:A, Réttabanki!AV:AV, "")) * I1072 / 100, ""), "")))</f>
        <v/>
      </c>
      <c r="P1072" s="26" t="str">
        <f>IF(OR(F1072 = "", G1072 = "", I1072 = ""), "", IF(F1072 = "Vara", IFERROR(_xlfn.SINGLE(_xlfn.XLOOKUP(G1072, Vöruskrá!A:A, Vöruskrá!J:J, "")) * I1072 / 100, ""), IF(F1072 = "Réttur", IFERROR(_xlfn.SINGLE(_xlfn.XLOOKUP(G1072, Réttabanki!A:A, Réttabanki!AW:AW, "")) * I1072 / 100, ""), "")))</f>
        <v/>
      </c>
      <c r="Q1072" s="26" t="str">
        <f>IF(OR(F1072 = "", G1072 = "", I1072 = ""), "", IF(F1072 = "Vara", IFERROR(_xlfn.SINGLE(_xlfn.XLOOKUP(G1072, Vöruskrá!A:A, Vöruskrá!N:N, "")) * I1072 / 100, ""), IF(F1072 = "Réttur", IFERROR(_xlfn.SINGLE(_xlfn.XLOOKUP(G1072, Réttabanki!A:A, Réttabanki!BB:BB, "")) * I1072 / 100, ""), "")))</f>
        <v/>
      </c>
    </row>
    <row r="1073" spans="2:17">
      <c r="B1073" s="33" t="str">
        <f>IF(A1073&lt;&gt;"",CHOOSE(WEEKDAY(A1073,2),"Mánudagur","Þriðjudagur","Miðvikudagur","Fimmtudagur","Föstudagur","Laugardagur","Sunnudagur"),IF(B1072&lt;&gt;"",B1072,""))</f>
        <v>Fimmtudagur</v>
      </c>
      <c r="C1073" s="33">
        <f>IF(A1073&lt;&gt;"",WEEKNUM(A1073,21),IF(C1072&lt;&gt;"",C1072,""))</f>
        <v>27</v>
      </c>
      <c r="D1073" s="34"/>
      <c r="E1073" s="34"/>
      <c r="F1073" s="34"/>
      <c r="G1073" s="34"/>
      <c r="H1073" s="34"/>
      <c r="I1073" s="35"/>
      <c r="J1073" s="35"/>
      <c r="K1073" s="36"/>
      <c r="L1073" s="26" t="str">
        <f>IF(OR(F1073 = "", G1073 = ""), "", IF(F1073 = "Vara", IFERROR(_xlfn.SINGLE(_xlfn.XLOOKUP(G1073, Vöruskrá!A:A, Vöruskrá!E:E, "")), ""), IF(F1073 = "Réttur", IFERROR(_xlfn.SINGLE(_xlfn.XLOOKUP(G1073, Réttabanki!A:A, Réttabanki!AS:AS, "")), ""), "")))</f>
        <v/>
      </c>
      <c r="M1073" s="26" t="str">
        <f>IF(OR(F1073 = "", G1073 = ""), "", IF(F1073 = "Vara", IFERROR(_xlfn.SINGLE(_xlfn.XLOOKUP(G1073, Vöruskrá!A:A, Vöruskrá!F:F, "")), ""), IF(F1073 = "Réttur", IFERROR(_xlfn.SINGLE(_xlfn.XLOOKUP(G1073, Réttabanki!A:A, Réttabanki!AT:AT, "")), ""), "")))</f>
        <v/>
      </c>
      <c r="N1073" s="26" t="str">
        <f>IF(OR(F1073 = "", G1073 = ""), "", IF(F1073 = "Vara", IFERROR(_xlfn.SINGLE(_xlfn.XLOOKUP(G1073, Vöruskrá!A:A, Vöruskrá!G:G, "")), ""), IF(F1073 = "Réttur", IFERROR(_xlfn.SINGLE(_xlfn.XLOOKUP(G1073, Réttabanki!A:A, Réttabanki!AU:AU, "")), ""), "")))</f>
        <v/>
      </c>
      <c r="O1073" s="26" t="str">
        <f>IF(OR(F1073 = "", G1073 = "", I1073 = ""), "", IF(F1073 = "Vara", IFERROR(_xlfn.SINGLE(_xlfn.XLOOKUP(G1073, Vöruskrá!A:A, Vöruskrá!I:I, "")) * I1073 / 100, ""), IF(F1073 = "Réttur", IFERROR(_xlfn.SINGLE(_xlfn.XLOOKUP(G1073, Réttabanki!A:A, Réttabanki!AV:AV, "")) * I1073 / 100, ""), "")))</f>
        <v/>
      </c>
      <c r="P1073" s="26" t="str">
        <f>IF(OR(F1073 = "", G1073 = "", I1073 = ""), "", IF(F1073 = "Vara", IFERROR(_xlfn.SINGLE(_xlfn.XLOOKUP(G1073, Vöruskrá!A:A, Vöruskrá!J:J, "")) * I1073 / 100, ""), IF(F1073 = "Réttur", IFERROR(_xlfn.SINGLE(_xlfn.XLOOKUP(G1073, Réttabanki!A:A, Réttabanki!AW:AW, "")) * I1073 / 100, ""), "")))</f>
        <v/>
      </c>
      <c r="Q1073" s="26" t="str">
        <f>IF(OR(F1073 = "", G1073 = "", I1073 = ""), "", IF(F1073 = "Vara", IFERROR(_xlfn.SINGLE(_xlfn.XLOOKUP(G1073, Vöruskrá!A:A, Vöruskrá!N:N, "")) * I1073 / 100, ""), IF(F1073 = "Réttur", IFERROR(_xlfn.SINGLE(_xlfn.XLOOKUP(G1073, Réttabanki!A:A, Réttabanki!BB:BB, "")) * I1073 / 100, ""), "")))</f>
        <v/>
      </c>
    </row>
    <row r="1074" spans="2:17">
      <c r="B1074" s="33" t="str">
        <f>IF(A1074&lt;&gt;"",CHOOSE(WEEKDAY(A1074,2),"Mánudagur","Þriðjudagur","Miðvikudagur","Fimmtudagur","Föstudagur","Laugardagur","Sunnudagur"),IF(B1073&lt;&gt;"",B1073,""))</f>
        <v>Fimmtudagur</v>
      </c>
      <c r="C1074" s="33">
        <f>IF(A1074&lt;&gt;"",WEEKNUM(A1074,21),IF(C1073&lt;&gt;"",C1073,""))</f>
        <v>27</v>
      </c>
      <c r="D1074" s="34"/>
      <c r="E1074" s="34"/>
      <c r="F1074" s="34"/>
      <c r="G1074" s="34"/>
      <c r="H1074" s="34"/>
      <c r="I1074" s="35"/>
      <c r="J1074" s="35"/>
      <c r="K1074" s="36"/>
      <c r="L1074" s="26" t="str">
        <f>IF(OR(F1074 = "", G1074 = ""), "", IF(F1074 = "Vara", IFERROR(_xlfn.SINGLE(_xlfn.XLOOKUP(G1074, Vöruskrá!A:A, Vöruskrá!E:E, "")), ""), IF(F1074 = "Réttur", IFERROR(_xlfn.SINGLE(_xlfn.XLOOKUP(G1074, Réttabanki!A:A, Réttabanki!AS:AS, "")), ""), "")))</f>
        <v/>
      </c>
      <c r="M1074" s="26" t="str">
        <f>IF(OR(F1074 = "", G1074 = ""), "", IF(F1074 = "Vara", IFERROR(_xlfn.SINGLE(_xlfn.XLOOKUP(G1074, Vöruskrá!A:A, Vöruskrá!F:F, "")), ""), IF(F1074 = "Réttur", IFERROR(_xlfn.SINGLE(_xlfn.XLOOKUP(G1074, Réttabanki!A:A, Réttabanki!AT:AT, "")), ""), "")))</f>
        <v/>
      </c>
      <c r="N1074" s="26" t="str">
        <f>IF(OR(F1074 = "", G1074 = ""), "", IF(F1074 = "Vara", IFERROR(_xlfn.SINGLE(_xlfn.XLOOKUP(G1074, Vöruskrá!A:A, Vöruskrá!G:G, "")), ""), IF(F1074 = "Réttur", IFERROR(_xlfn.SINGLE(_xlfn.XLOOKUP(G1074, Réttabanki!A:A, Réttabanki!AU:AU, "")), ""), "")))</f>
        <v/>
      </c>
      <c r="O1074" s="26" t="str">
        <f>IF(OR(F1074 = "", G1074 = "", I1074 = ""), "", IF(F1074 = "Vara", IFERROR(_xlfn.SINGLE(_xlfn.XLOOKUP(G1074, Vöruskrá!A:A, Vöruskrá!I:I, "")) * I1074 / 100, ""), IF(F1074 = "Réttur", IFERROR(_xlfn.SINGLE(_xlfn.XLOOKUP(G1074, Réttabanki!A:A, Réttabanki!AV:AV, "")) * I1074 / 100, ""), "")))</f>
        <v/>
      </c>
      <c r="P1074" s="26" t="str">
        <f>IF(OR(F1074 = "", G1074 = "", I1074 = ""), "", IF(F1074 = "Vara", IFERROR(_xlfn.SINGLE(_xlfn.XLOOKUP(G1074, Vöruskrá!A:A, Vöruskrá!J:J, "")) * I1074 / 100, ""), IF(F1074 = "Réttur", IFERROR(_xlfn.SINGLE(_xlfn.XLOOKUP(G1074, Réttabanki!A:A, Réttabanki!AW:AW, "")) * I1074 / 100, ""), "")))</f>
        <v/>
      </c>
      <c r="Q1074" s="26" t="str">
        <f>IF(OR(F1074 = "", G1074 = "", I1074 = ""), "", IF(F1074 = "Vara", IFERROR(_xlfn.SINGLE(_xlfn.XLOOKUP(G1074, Vöruskrá!A:A, Vöruskrá!N:N, "")) * I1074 / 100, ""), IF(F1074 = "Réttur", IFERROR(_xlfn.SINGLE(_xlfn.XLOOKUP(G1074, Réttabanki!A:A, Réttabanki!BB:BB, "")) * I1074 / 100, ""), "")))</f>
        <v/>
      </c>
    </row>
    <row r="1075" spans="2:17">
      <c r="B1075" s="33" t="str">
        <f>IF(A1075&lt;&gt;"",CHOOSE(WEEKDAY(A1075,2),"Mánudagur","Þriðjudagur","Miðvikudagur","Fimmtudagur","Föstudagur","Laugardagur","Sunnudagur"),IF(B1074&lt;&gt;"",B1074,""))</f>
        <v>Fimmtudagur</v>
      </c>
      <c r="C1075" s="33">
        <f>IF(A1075&lt;&gt;"",WEEKNUM(A1075,21),IF(C1074&lt;&gt;"",C1074,""))</f>
        <v>27</v>
      </c>
      <c r="D1075" s="34"/>
      <c r="E1075" s="34"/>
      <c r="F1075" s="34"/>
      <c r="G1075" s="34"/>
      <c r="H1075" s="34"/>
      <c r="I1075" s="35"/>
      <c r="J1075" s="35"/>
      <c r="K1075" s="36"/>
      <c r="L1075" s="26" t="str">
        <f>IF(OR(F1075 = "", G1075 = ""), "", IF(F1075 = "Vara", IFERROR(_xlfn.SINGLE(_xlfn.XLOOKUP(G1075, Vöruskrá!A:A, Vöruskrá!E:E, "")), ""), IF(F1075 = "Réttur", IFERROR(_xlfn.SINGLE(_xlfn.XLOOKUP(G1075, Réttabanki!A:A, Réttabanki!AS:AS, "")), ""), "")))</f>
        <v/>
      </c>
      <c r="M1075" s="26" t="str">
        <f>IF(OR(F1075 = "", G1075 = ""), "", IF(F1075 = "Vara", IFERROR(_xlfn.SINGLE(_xlfn.XLOOKUP(G1075, Vöruskrá!A:A, Vöruskrá!F:F, "")), ""), IF(F1075 = "Réttur", IFERROR(_xlfn.SINGLE(_xlfn.XLOOKUP(G1075, Réttabanki!A:A, Réttabanki!AT:AT, "")), ""), "")))</f>
        <v/>
      </c>
      <c r="N1075" s="26" t="str">
        <f>IF(OR(F1075 = "", G1075 = ""), "", IF(F1075 = "Vara", IFERROR(_xlfn.SINGLE(_xlfn.XLOOKUP(G1075, Vöruskrá!A:A, Vöruskrá!G:G, "")), ""), IF(F1075 = "Réttur", IFERROR(_xlfn.SINGLE(_xlfn.XLOOKUP(G1075, Réttabanki!A:A, Réttabanki!AU:AU, "")), ""), "")))</f>
        <v/>
      </c>
      <c r="O1075" s="26" t="str">
        <f>IF(OR(F1075 = "", G1075 = "", I1075 = ""), "", IF(F1075 = "Vara", IFERROR(_xlfn.SINGLE(_xlfn.XLOOKUP(G1075, Vöruskrá!A:A, Vöruskrá!I:I, "")) * I1075 / 100, ""), IF(F1075 = "Réttur", IFERROR(_xlfn.SINGLE(_xlfn.XLOOKUP(G1075, Réttabanki!A:A, Réttabanki!AV:AV, "")) * I1075 / 100, ""), "")))</f>
        <v/>
      </c>
      <c r="P1075" s="26" t="str">
        <f>IF(OR(F1075 = "", G1075 = "", I1075 = ""), "", IF(F1075 = "Vara", IFERROR(_xlfn.SINGLE(_xlfn.XLOOKUP(G1075, Vöruskrá!A:A, Vöruskrá!J:J, "")) * I1075 / 100, ""), IF(F1075 = "Réttur", IFERROR(_xlfn.SINGLE(_xlfn.XLOOKUP(G1075, Réttabanki!A:A, Réttabanki!AW:AW, "")) * I1075 / 100, ""), "")))</f>
        <v/>
      </c>
      <c r="Q1075" s="26" t="str">
        <f>IF(OR(F1075 = "", G1075 = "", I1075 = ""), "", IF(F1075 = "Vara", IFERROR(_xlfn.SINGLE(_xlfn.XLOOKUP(G1075, Vöruskrá!A:A, Vöruskrá!N:N, "")) * I1075 / 100, ""), IF(F1075 = "Réttur", IFERROR(_xlfn.SINGLE(_xlfn.XLOOKUP(G1075, Réttabanki!A:A, Réttabanki!BB:BB, "")) * I1075 / 100, ""), "")))</f>
        <v/>
      </c>
    </row>
    <row r="1076" spans="2:17">
      <c r="B1076" s="33" t="str">
        <f>IF(A1076&lt;&gt;"",CHOOSE(WEEKDAY(A1076,2),"Mánudagur","Þriðjudagur","Miðvikudagur","Fimmtudagur","Föstudagur","Laugardagur","Sunnudagur"),IF(B1075&lt;&gt;"",B1075,""))</f>
        <v>Fimmtudagur</v>
      </c>
      <c r="C1076" s="33">
        <f>IF(A1076&lt;&gt;"",WEEKNUM(A1076,21),IF(C1075&lt;&gt;"",C1075,""))</f>
        <v>27</v>
      </c>
      <c r="D1076" s="34"/>
      <c r="E1076" s="34"/>
      <c r="F1076" s="34"/>
      <c r="G1076" s="34"/>
      <c r="H1076" s="34"/>
      <c r="I1076" s="35"/>
      <c r="J1076" s="35"/>
      <c r="K1076" s="36"/>
      <c r="L1076" s="26" t="str">
        <f>IF(OR(F1076 = "", G1076 = ""), "", IF(F1076 = "Vara", IFERROR(_xlfn.SINGLE(_xlfn.XLOOKUP(G1076, Vöruskrá!A:A, Vöruskrá!E:E, "")), ""), IF(F1076 = "Réttur", IFERROR(_xlfn.SINGLE(_xlfn.XLOOKUP(G1076, Réttabanki!A:A, Réttabanki!AS:AS, "")), ""), "")))</f>
        <v/>
      </c>
      <c r="M1076" s="26" t="str">
        <f>IF(OR(F1076 = "", G1076 = ""), "", IF(F1076 = "Vara", IFERROR(_xlfn.SINGLE(_xlfn.XLOOKUP(G1076, Vöruskrá!A:A, Vöruskrá!F:F, "")), ""), IF(F1076 = "Réttur", IFERROR(_xlfn.SINGLE(_xlfn.XLOOKUP(G1076, Réttabanki!A:A, Réttabanki!AT:AT, "")), ""), "")))</f>
        <v/>
      </c>
      <c r="N1076" s="26" t="str">
        <f>IF(OR(F1076 = "", G1076 = ""), "", IF(F1076 = "Vara", IFERROR(_xlfn.SINGLE(_xlfn.XLOOKUP(G1076, Vöruskrá!A:A, Vöruskrá!G:G, "")), ""), IF(F1076 = "Réttur", IFERROR(_xlfn.SINGLE(_xlfn.XLOOKUP(G1076, Réttabanki!A:A, Réttabanki!AU:AU, "")), ""), "")))</f>
        <v/>
      </c>
      <c r="O1076" s="26" t="str">
        <f>IF(OR(F1076 = "", G1076 = "", I1076 = ""), "", IF(F1076 = "Vara", IFERROR(_xlfn.SINGLE(_xlfn.XLOOKUP(G1076, Vöruskrá!A:A, Vöruskrá!I:I, "")) * I1076 / 100, ""), IF(F1076 = "Réttur", IFERROR(_xlfn.SINGLE(_xlfn.XLOOKUP(G1076, Réttabanki!A:A, Réttabanki!AV:AV, "")) * I1076 / 100, ""), "")))</f>
        <v/>
      </c>
      <c r="P1076" s="26" t="str">
        <f>IF(OR(F1076 = "", G1076 = "", I1076 = ""), "", IF(F1076 = "Vara", IFERROR(_xlfn.SINGLE(_xlfn.XLOOKUP(G1076, Vöruskrá!A:A, Vöruskrá!J:J, "")) * I1076 / 100, ""), IF(F1076 = "Réttur", IFERROR(_xlfn.SINGLE(_xlfn.XLOOKUP(G1076, Réttabanki!A:A, Réttabanki!AW:AW, "")) * I1076 / 100, ""), "")))</f>
        <v/>
      </c>
      <c r="Q1076" s="26" t="str">
        <f>IF(OR(F1076 = "", G1076 = "", I1076 = ""), "", IF(F1076 = "Vara", IFERROR(_xlfn.SINGLE(_xlfn.XLOOKUP(G1076, Vöruskrá!A:A, Vöruskrá!N:N, "")) * I1076 / 100, ""), IF(F1076 = "Réttur", IFERROR(_xlfn.SINGLE(_xlfn.XLOOKUP(G1076, Réttabanki!A:A, Réttabanki!BB:BB, "")) * I1076 / 100, ""), "")))</f>
        <v/>
      </c>
    </row>
    <row r="1077" spans="2:17">
      <c r="B1077" s="33" t="str">
        <f>IF(A1077&lt;&gt;"",CHOOSE(WEEKDAY(A1077,2),"Mánudagur","Þriðjudagur","Miðvikudagur","Fimmtudagur","Föstudagur","Laugardagur","Sunnudagur"),IF(B1076&lt;&gt;"",B1076,""))</f>
        <v>Fimmtudagur</v>
      </c>
      <c r="C1077" s="33">
        <f>IF(A1077&lt;&gt;"",WEEKNUM(A1077,21),IF(C1076&lt;&gt;"",C1076,""))</f>
        <v>27</v>
      </c>
      <c r="D1077" s="34"/>
      <c r="E1077" s="34"/>
      <c r="F1077" s="34"/>
      <c r="G1077" s="34"/>
      <c r="H1077" s="34"/>
      <c r="I1077" s="35"/>
      <c r="J1077" s="35"/>
      <c r="K1077" s="36"/>
      <c r="L1077" s="26" t="str">
        <f>IF(OR(F1077 = "", G1077 = ""), "", IF(F1077 = "Vara", IFERROR(_xlfn.SINGLE(_xlfn.XLOOKUP(G1077, Vöruskrá!A:A, Vöruskrá!E:E, "")), ""), IF(F1077 = "Réttur", IFERROR(_xlfn.SINGLE(_xlfn.XLOOKUP(G1077, Réttabanki!A:A, Réttabanki!AS:AS, "")), ""), "")))</f>
        <v/>
      </c>
      <c r="M1077" s="26" t="str">
        <f>IF(OR(F1077 = "", G1077 = ""), "", IF(F1077 = "Vara", IFERROR(_xlfn.SINGLE(_xlfn.XLOOKUP(G1077, Vöruskrá!A:A, Vöruskrá!F:F, "")), ""), IF(F1077 = "Réttur", IFERROR(_xlfn.SINGLE(_xlfn.XLOOKUP(G1077, Réttabanki!A:A, Réttabanki!AT:AT, "")), ""), "")))</f>
        <v/>
      </c>
      <c r="N1077" s="26" t="str">
        <f>IF(OR(F1077 = "", G1077 = ""), "", IF(F1077 = "Vara", IFERROR(_xlfn.SINGLE(_xlfn.XLOOKUP(G1077, Vöruskrá!A:A, Vöruskrá!G:G, "")), ""), IF(F1077 = "Réttur", IFERROR(_xlfn.SINGLE(_xlfn.XLOOKUP(G1077, Réttabanki!A:A, Réttabanki!AU:AU, "")), ""), "")))</f>
        <v/>
      </c>
      <c r="O1077" s="26" t="str">
        <f>IF(OR(F1077 = "", G1077 = "", I1077 = ""), "", IF(F1077 = "Vara", IFERROR(_xlfn.SINGLE(_xlfn.XLOOKUP(G1077, Vöruskrá!A:A, Vöruskrá!I:I, "")) * I1077 / 100, ""), IF(F1077 = "Réttur", IFERROR(_xlfn.SINGLE(_xlfn.XLOOKUP(G1077, Réttabanki!A:A, Réttabanki!AV:AV, "")) * I1077 / 100, ""), "")))</f>
        <v/>
      </c>
      <c r="P1077" s="26" t="str">
        <f>IF(OR(F1077 = "", G1077 = "", I1077 = ""), "", IF(F1077 = "Vara", IFERROR(_xlfn.SINGLE(_xlfn.XLOOKUP(G1077, Vöruskrá!A:A, Vöruskrá!J:J, "")) * I1077 / 100, ""), IF(F1077 = "Réttur", IFERROR(_xlfn.SINGLE(_xlfn.XLOOKUP(G1077, Réttabanki!A:A, Réttabanki!AW:AW, "")) * I1077 / 100, ""), "")))</f>
        <v/>
      </c>
      <c r="Q1077" s="26" t="str">
        <f>IF(OR(F1077 = "", G1077 = "", I1077 = ""), "", IF(F1077 = "Vara", IFERROR(_xlfn.SINGLE(_xlfn.XLOOKUP(G1077, Vöruskrá!A:A, Vöruskrá!N:N, "")) * I1077 / 100, ""), IF(F1077 = "Réttur", IFERROR(_xlfn.SINGLE(_xlfn.XLOOKUP(G1077, Réttabanki!A:A, Réttabanki!BB:BB, "")) * I1077 / 100, ""), "")))</f>
        <v/>
      </c>
    </row>
    <row r="1078" spans="2:17">
      <c r="B1078" s="33" t="str">
        <f>IF(A1078&lt;&gt;"",CHOOSE(WEEKDAY(A1078,2),"Mánudagur","Þriðjudagur","Miðvikudagur","Fimmtudagur","Föstudagur","Laugardagur","Sunnudagur"),IF(B1077&lt;&gt;"",B1077,""))</f>
        <v>Fimmtudagur</v>
      </c>
      <c r="C1078" s="33">
        <f>IF(A1078&lt;&gt;"",WEEKNUM(A1078,21),IF(C1077&lt;&gt;"",C1077,""))</f>
        <v>27</v>
      </c>
      <c r="D1078" s="34"/>
      <c r="E1078" s="34"/>
      <c r="F1078" s="34"/>
      <c r="G1078" s="34"/>
      <c r="H1078" s="34"/>
      <c r="I1078" s="35"/>
      <c r="J1078" s="35"/>
      <c r="K1078" s="36"/>
      <c r="L1078" s="26" t="str">
        <f>IF(OR(F1078 = "", G1078 = ""), "", IF(F1078 = "Vara", IFERROR(_xlfn.SINGLE(_xlfn.XLOOKUP(G1078, Vöruskrá!A:A, Vöruskrá!E:E, "")), ""), IF(F1078 = "Réttur", IFERROR(_xlfn.SINGLE(_xlfn.XLOOKUP(G1078, Réttabanki!A:A, Réttabanki!AS:AS, "")), ""), "")))</f>
        <v/>
      </c>
      <c r="M1078" s="26" t="str">
        <f>IF(OR(F1078 = "", G1078 = ""), "", IF(F1078 = "Vara", IFERROR(_xlfn.SINGLE(_xlfn.XLOOKUP(G1078, Vöruskrá!A:A, Vöruskrá!F:F, "")), ""), IF(F1078 = "Réttur", IFERROR(_xlfn.SINGLE(_xlfn.XLOOKUP(G1078, Réttabanki!A:A, Réttabanki!AT:AT, "")), ""), "")))</f>
        <v/>
      </c>
      <c r="N1078" s="26" t="str">
        <f>IF(OR(F1078 = "", G1078 = ""), "", IF(F1078 = "Vara", IFERROR(_xlfn.SINGLE(_xlfn.XLOOKUP(G1078, Vöruskrá!A:A, Vöruskrá!G:G, "")), ""), IF(F1078 = "Réttur", IFERROR(_xlfn.SINGLE(_xlfn.XLOOKUP(G1078, Réttabanki!A:A, Réttabanki!AU:AU, "")), ""), "")))</f>
        <v/>
      </c>
      <c r="O1078" s="26" t="str">
        <f>IF(OR(F1078 = "", G1078 = "", I1078 = ""), "", IF(F1078 = "Vara", IFERROR(_xlfn.SINGLE(_xlfn.XLOOKUP(G1078, Vöruskrá!A:A, Vöruskrá!I:I, "")) * I1078 / 100, ""), IF(F1078 = "Réttur", IFERROR(_xlfn.SINGLE(_xlfn.XLOOKUP(G1078, Réttabanki!A:A, Réttabanki!AV:AV, "")) * I1078 / 100, ""), "")))</f>
        <v/>
      </c>
      <c r="P1078" s="26" t="str">
        <f>IF(OR(F1078 = "", G1078 = "", I1078 = ""), "", IF(F1078 = "Vara", IFERROR(_xlfn.SINGLE(_xlfn.XLOOKUP(G1078, Vöruskrá!A:A, Vöruskrá!J:J, "")) * I1078 / 100, ""), IF(F1078 = "Réttur", IFERROR(_xlfn.SINGLE(_xlfn.XLOOKUP(G1078, Réttabanki!A:A, Réttabanki!AW:AW, "")) * I1078 / 100, ""), "")))</f>
        <v/>
      </c>
      <c r="Q1078" s="26" t="str">
        <f>IF(OR(F1078 = "", G1078 = "", I1078 = ""), "", IF(F1078 = "Vara", IFERROR(_xlfn.SINGLE(_xlfn.XLOOKUP(G1078, Vöruskrá!A:A, Vöruskrá!N:N, "")) * I1078 / 100, ""), IF(F1078 = "Réttur", IFERROR(_xlfn.SINGLE(_xlfn.XLOOKUP(G1078, Réttabanki!A:A, Réttabanki!BB:BB, "")) * I1078 / 100, ""), "")))</f>
        <v/>
      </c>
    </row>
    <row r="1079" spans="2:17">
      <c r="B1079" s="33" t="str">
        <f>IF(A1079&lt;&gt;"",CHOOSE(WEEKDAY(A1079,2),"Mánudagur","Þriðjudagur","Miðvikudagur","Fimmtudagur","Föstudagur","Laugardagur","Sunnudagur"),IF(B1078&lt;&gt;"",B1078,""))</f>
        <v>Fimmtudagur</v>
      </c>
      <c r="C1079" s="33">
        <f>IF(A1079&lt;&gt;"",WEEKNUM(A1079,21),IF(C1078&lt;&gt;"",C1078,""))</f>
        <v>27</v>
      </c>
      <c r="D1079" s="34"/>
      <c r="E1079" s="34"/>
      <c r="F1079" s="34"/>
      <c r="G1079" s="34"/>
      <c r="H1079" s="34"/>
      <c r="I1079" s="35"/>
      <c r="J1079" s="35"/>
      <c r="K1079" s="36"/>
      <c r="L1079" s="26" t="str">
        <f>IF(OR(F1079 = "", G1079 = ""), "", IF(F1079 = "Vara", IFERROR(_xlfn.SINGLE(_xlfn.XLOOKUP(G1079, Vöruskrá!A:A, Vöruskrá!E:E, "")), ""), IF(F1079 = "Réttur", IFERROR(_xlfn.SINGLE(_xlfn.XLOOKUP(G1079, Réttabanki!A:A, Réttabanki!AS:AS, "")), ""), "")))</f>
        <v/>
      </c>
      <c r="M1079" s="26" t="str">
        <f>IF(OR(F1079 = "", G1079 = ""), "", IF(F1079 = "Vara", IFERROR(_xlfn.SINGLE(_xlfn.XLOOKUP(G1079, Vöruskrá!A:A, Vöruskrá!F:F, "")), ""), IF(F1079 = "Réttur", IFERROR(_xlfn.SINGLE(_xlfn.XLOOKUP(G1079, Réttabanki!A:A, Réttabanki!AT:AT, "")), ""), "")))</f>
        <v/>
      </c>
      <c r="N1079" s="26" t="str">
        <f>IF(OR(F1079 = "", G1079 = ""), "", IF(F1079 = "Vara", IFERROR(_xlfn.SINGLE(_xlfn.XLOOKUP(G1079, Vöruskrá!A:A, Vöruskrá!G:G, "")), ""), IF(F1079 = "Réttur", IFERROR(_xlfn.SINGLE(_xlfn.XLOOKUP(G1079, Réttabanki!A:A, Réttabanki!AU:AU, "")), ""), "")))</f>
        <v/>
      </c>
      <c r="O1079" s="26" t="str">
        <f>IF(OR(F1079 = "", G1079 = "", I1079 = ""), "", IF(F1079 = "Vara", IFERROR(_xlfn.SINGLE(_xlfn.XLOOKUP(G1079, Vöruskrá!A:A, Vöruskrá!I:I, "")) * I1079 / 100, ""), IF(F1079 = "Réttur", IFERROR(_xlfn.SINGLE(_xlfn.XLOOKUP(G1079, Réttabanki!A:A, Réttabanki!AV:AV, "")) * I1079 / 100, ""), "")))</f>
        <v/>
      </c>
      <c r="P1079" s="26" t="str">
        <f>IF(OR(F1079 = "", G1079 = "", I1079 = ""), "", IF(F1079 = "Vara", IFERROR(_xlfn.SINGLE(_xlfn.XLOOKUP(G1079, Vöruskrá!A:A, Vöruskrá!J:J, "")) * I1079 / 100, ""), IF(F1079 = "Réttur", IFERROR(_xlfn.SINGLE(_xlfn.XLOOKUP(G1079, Réttabanki!A:A, Réttabanki!AW:AW, "")) * I1079 / 100, ""), "")))</f>
        <v/>
      </c>
      <c r="Q1079" s="26" t="str">
        <f>IF(OR(F1079 = "", G1079 = "", I1079 = ""), "", IF(F1079 = "Vara", IFERROR(_xlfn.SINGLE(_xlfn.XLOOKUP(G1079, Vöruskrá!A:A, Vöruskrá!N:N, "")) * I1079 / 100, ""), IF(F1079 = "Réttur", IFERROR(_xlfn.SINGLE(_xlfn.XLOOKUP(G1079, Réttabanki!A:A, Réttabanki!BB:BB, "")) * I1079 / 100, ""), "")))</f>
        <v/>
      </c>
    </row>
    <row r="1080" spans="2:17">
      <c r="B1080" s="33" t="str">
        <f>IF(A1080&lt;&gt;"",CHOOSE(WEEKDAY(A1080,2),"Mánudagur","Þriðjudagur","Miðvikudagur","Fimmtudagur","Föstudagur","Laugardagur","Sunnudagur"),IF(B1079&lt;&gt;"",B1079,""))</f>
        <v>Fimmtudagur</v>
      </c>
      <c r="C1080" s="33">
        <f>IF(A1080&lt;&gt;"",WEEKNUM(A1080,21),IF(C1079&lt;&gt;"",C1079,""))</f>
        <v>27</v>
      </c>
      <c r="D1080" s="34"/>
      <c r="E1080" s="34"/>
      <c r="F1080" s="34"/>
      <c r="G1080" s="34"/>
      <c r="H1080" s="34"/>
      <c r="I1080" s="35"/>
      <c r="J1080" s="35"/>
      <c r="K1080" s="36"/>
      <c r="L1080" s="26" t="str">
        <f>IF(OR(F1080 = "", G1080 = ""), "", IF(F1080 = "Vara", IFERROR(_xlfn.SINGLE(_xlfn.XLOOKUP(G1080, Vöruskrá!A:A, Vöruskrá!E:E, "")), ""), IF(F1080 = "Réttur", IFERROR(_xlfn.SINGLE(_xlfn.XLOOKUP(G1080, Réttabanki!A:A, Réttabanki!AS:AS, "")), ""), "")))</f>
        <v/>
      </c>
      <c r="M1080" s="26" t="str">
        <f>IF(OR(F1080 = "", G1080 = ""), "", IF(F1080 = "Vara", IFERROR(_xlfn.SINGLE(_xlfn.XLOOKUP(G1080, Vöruskrá!A:A, Vöruskrá!F:F, "")), ""), IF(F1080 = "Réttur", IFERROR(_xlfn.SINGLE(_xlfn.XLOOKUP(G1080, Réttabanki!A:A, Réttabanki!AT:AT, "")), ""), "")))</f>
        <v/>
      </c>
      <c r="N1080" s="26" t="str">
        <f>IF(OR(F1080 = "", G1080 = ""), "", IF(F1080 = "Vara", IFERROR(_xlfn.SINGLE(_xlfn.XLOOKUP(G1080, Vöruskrá!A:A, Vöruskrá!G:G, "")), ""), IF(F1080 = "Réttur", IFERROR(_xlfn.SINGLE(_xlfn.XLOOKUP(G1080, Réttabanki!A:A, Réttabanki!AU:AU, "")), ""), "")))</f>
        <v/>
      </c>
      <c r="O1080" s="26" t="str">
        <f>IF(OR(F1080 = "", G1080 = "", I1080 = ""), "", IF(F1080 = "Vara", IFERROR(_xlfn.SINGLE(_xlfn.XLOOKUP(G1080, Vöruskrá!A:A, Vöruskrá!I:I, "")) * I1080 / 100, ""), IF(F1080 = "Réttur", IFERROR(_xlfn.SINGLE(_xlfn.XLOOKUP(G1080, Réttabanki!A:A, Réttabanki!AV:AV, "")) * I1080 / 100, ""), "")))</f>
        <v/>
      </c>
      <c r="P1080" s="26" t="str">
        <f>IF(OR(F1080 = "", G1080 = "", I1080 = ""), "", IF(F1080 = "Vara", IFERROR(_xlfn.SINGLE(_xlfn.XLOOKUP(G1080, Vöruskrá!A:A, Vöruskrá!J:J, "")) * I1080 / 100, ""), IF(F1080 = "Réttur", IFERROR(_xlfn.SINGLE(_xlfn.XLOOKUP(G1080, Réttabanki!A:A, Réttabanki!AW:AW, "")) * I1080 / 100, ""), "")))</f>
        <v/>
      </c>
      <c r="Q1080" s="26" t="str">
        <f>IF(OR(F1080 = "", G1080 = "", I1080 = ""), "", IF(F1080 = "Vara", IFERROR(_xlfn.SINGLE(_xlfn.XLOOKUP(G1080, Vöruskrá!A:A, Vöruskrá!N:N, "")) * I1080 / 100, ""), IF(F1080 = "Réttur", IFERROR(_xlfn.SINGLE(_xlfn.XLOOKUP(G1080, Réttabanki!A:A, Réttabanki!BB:BB, "")) * I1080 / 100, ""), "")))</f>
        <v/>
      </c>
    </row>
    <row r="1081" spans="2:17">
      <c r="B1081" s="33" t="str">
        <f>IF(A1081&lt;&gt;"",CHOOSE(WEEKDAY(A1081,2),"Mánudagur","Þriðjudagur","Miðvikudagur","Fimmtudagur","Föstudagur","Laugardagur","Sunnudagur"),IF(B1080&lt;&gt;"",B1080,""))</f>
        <v>Fimmtudagur</v>
      </c>
      <c r="C1081" s="33">
        <f>IF(A1081&lt;&gt;"",WEEKNUM(A1081,21),IF(C1080&lt;&gt;"",C1080,""))</f>
        <v>27</v>
      </c>
      <c r="D1081" s="34"/>
      <c r="E1081" s="34"/>
      <c r="F1081" s="34"/>
      <c r="G1081" s="34"/>
      <c r="H1081" s="34"/>
      <c r="I1081" s="35"/>
      <c r="J1081" s="35"/>
      <c r="K1081" s="36"/>
      <c r="L1081" s="26" t="str">
        <f>IF(OR(F1081 = "", G1081 = ""), "", IF(F1081 = "Vara", IFERROR(_xlfn.SINGLE(_xlfn.XLOOKUP(G1081, Vöruskrá!A:A, Vöruskrá!E:E, "")), ""), IF(F1081 = "Réttur", IFERROR(_xlfn.SINGLE(_xlfn.XLOOKUP(G1081, Réttabanki!A:A, Réttabanki!AS:AS, "")), ""), "")))</f>
        <v/>
      </c>
      <c r="M1081" s="26" t="str">
        <f>IF(OR(F1081 = "", G1081 = ""), "", IF(F1081 = "Vara", IFERROR(_xlfn.SINGLE(_xlfn.XLOOKUP(G1081, Vöruskrá!A:A, Vöruskrá!F:F, "")), ""), IF(F1081 = "Réttur", IFERROR(_xlfn.SINGLE(_xlfn.XLOOKUP(G1081, Réttabanki!A:A, Réttabanki!AT:AT, "")), ""), "")))</f>
        <v/>
      </c>
      <c r="N1081" s="26" t="str">
        <f>IF(OR(F1081 = "", G1081 = ""), "", IF(F1081 = "Vara", IFERROR(_xlfn.SINGLE(_xlfn.XLOOKUP(G1081, Vöruskrá!A:A, Vöruskrá!G:G, "")), ""), IF(F1081 = "Réttur", IFERROR(_xlfn.SINGLE(_xlfn.XLOOKUP(G1081, Réttabanki!A:A, Réttabanki!AU:AU, "")), ""), "")))</f>
        <v/>
      </c>
      <c r="O1081" s="26" t="str">
        <f>IF(OR(F1081 = "", G1081 = "", I1081 = ""), "", IF(F1081 = "Vara", IFERROR(_xlfn.SINGLE(_xlfn.XLOOKUP(G1081, Vöruskrá!A:A, Vöruskrá!I:I, "")) * I1081 / 100, ""), IF(F1081 = "Réttur", IFERROR(_xlfn.SINGLE(_xlfn.XLOOKUP(G1081, Réttabanki!A:A, Réttabanki!AV:AV, "")) * I1081 / 100, ""), "")))</f>
        <v/>
      </c>
      <c r="P1081" s="26" t="str">
        <f>IF(OR(F1081 = "", G1081 = "", I1081 = ""), "", IF(F1081 = "Vara", IFERROR(_xlfn.SINGLE(_xlfn.XLOOKUP(G1081, Vöruskrá!A:A, Vöruskrá!J:J, "")) * I1081 / 100, ""), IF(F1081 = "Réttur", IFERROR(_xlfn.SINGLE(_xlfn.XLOOKUP(G1081, Réttabanki!A:A, Réttabanki!AW:AW, "")) * I1081 / 100, ""), "")))</f>
        <v/>
      </c>
      <c r="Q1081" s="26" t="str">
        <f>IF(OR(F1081 = "", G1081 = "", I1081 = ""), "", IF(F1081 = "Vara", IFERROR(_xlfn.SINGLE(_xlfn.XLOOKUP(G1081, Vöruskrá!A:A, Vöruskrá!N:N, "")) * I1081 / 100, ""), IF(F1081 = "Réttur", IFERROR(_xlfn.SINGLE(_xlfn.XLOOKUP(G1081, Réttabanki!A:A, Réttabanki!BB:BB, "")) * I1081 / 100, ""), "")))</f>
        <v/>
      </c>
    </row>
    <row r="1082" spans="2:17">
      <c r="B1082" s="33" t="str">
        <f>IF(A1082&lt;&gt;"",CHOOSE(WEEKDAY(A1082,2),"Mánudagur","Þriðjudagur","Miðvikudagur","Fimmtudagur","Föstudagur","Laugardagur","Sunnudagur"),IF(B1081&lt;&gt;"",B1081,""))</f>
        <v>Fimmtudagur</v>
      </c>
      <c r="C1082" s="33">
        <f>IF(A1082&lt;&gt;"",WEEKNUM(A1082,21),IF(C1081&lt;&gt;"",C1081,""))</f>
        <v>27</v>
      </c>
      <c r="D1082" s="34"/>
      <c r="E1082" s="34"/>
      <c r="F1082" s="34"/>
      <c r="G1082" s="34"/>
      <c r="H1082" s="34"/>
      <c r="I1082" s="35"/>
      <c r="J1082" s="35"/>
      <c r="K1082" s="36"/>
      <c r="L1082" s="26" t="str">
        <f>IF(OR(F1082 = "", G1082 = ""), "", IF(F1082 = "Vara", IFERROR(_xlfn.SINGLE(_xlfn.XLOOKUP(G1082, Vöruskrá!A:A, Vöruskrá!E:E, "")), ""), IF(F1082 = "Réttur", IFERROR(_xlfn.SINGLE(_xlfn.XLOOKUP(G1082, Réttabanki!A:A, Réttabanki!AS:AS, "")), ""), "")))</f>
        <v/>
      </c>
      <c r="M1082" s="26" t="str">
        <f>IF(OR(F1082 = "", G1082 = ""), "", IF(F1082 = "Vara", IFERROR(_xlfn.SINGLE(_xlfn.XLOOKUP(G1082, Vöruskrá!A:A, Vöruskrá!F:F, "")), ""), IF(F1082 = "Réttur", IFERROR(_xlfn.SINGLE(_xlfn.XLOOKUP(G1082, Réttabanki!A:A, Réttabanki!AT:AT, "")), ""), "")))</f>
        <v/>
      </c>
      <c r="N1082" s="26" t="str">
        <f>IF(OR(F1082 = "", G1082 = ""), "", IF(F1082 = "Vara", IFERROR(_xlfn.SINGLE(_xlfn.XLOOKUP(G1082, Vöruskrá!A:A, Vöruskrá!G:G, "")), ""), IF(F1082 = "Réttur", IFERROR(_xlfn.SINGLE(_xlfn.XLOOKUP(G1082, Réttabanki!A:A, Réttabanki!AU:AU, "")), ""), "")))</f>
        <v/>
      </c>
      <c r="O1082" s="26" t="str">
        <f>IF(OR(F1082 = "", G1082 = "", I1082 = ""), "", IF(F1082 = "Vara", IFERROR(_xlfn.SINGLE(_xlfn.XLOOKUP(G1082, Vöruskrá!A:A, Vöruskrá!I:I, "")) * I1082 / 100, ""), IF(F1082 = "Réttur", IFERROR(_xlfn.SINGLE(_xlfn.XLOOKUP(G1082, Réttabanki!A:A, Réttabanki!AV:AV, "")) * I1082 / 100, ""), "")))</f>
        <v/>
      </c>
      <c r="P1082" s="26" t="str">
        <f>IF(OR(F1082 = "", G1082 = "", I1082 = ""), "", IF(F1082 = "Vara", IFERROR(_xlfn.SINGLE(_xlfn.XLOOKUP(G1082, Vöruskrá!A:A, Vöruskrá!J:J, "")) * I1082 / 100, ""), IF(F1082 = "Réttur", IFERROR(_xlfn.SINGLE(_xlfn.XLOOKUP(G1082, Réttabanki!A:A, Réttabanki!AW:AW, "")) * I1082 / 100, ""), "")))</f>
        <v/>
      </c>
      <c r="Q1082" s="26" t="str">
        <f>IF(OR(F1082 = "", G1082 = "", I1082 = ""), "", IF(F1082 = "Vara", IFERROR(_xlfn.SINGLE(_xlfn.XLOOKUP(G1082, Vöruskrá!A:A, Vöruskrá!N:N, "")) * I1082 / 100, ""), IF(F1082 = "Réttur", IFERROR(_xlfn.SINGLE(_xlfn.XLOOKUP(G1082, Réttabanki!A:A, Réttabanki!BB:BB, "")) * I1082 / 100, ""), "")))</f>
        <v/>
      </c>
    </row>
    <row r="1083" spans="2:17">
      <c r="B1083" s="33" t="str">
        <f>IF(A1083&lt;&gt;"",CHOOSE(WEEKDAY(A1083,2),"Mánudagur","Þriðjudagur","Miðvikudagur","Fimmtudagur","Föstudagur","Laugardagur","Sunnudagur"),IF(B1082&lt;&gt;"",B1082,""))</f>
        <v>Fimmtudagur</v>
      </c>
      <c r="C1083" s="33">
        <f>IF(A1083&lt;&gt;"",WEEKNUM(A1083,21),IF(C1082&lt;&gt;"",C1082,""))</f>
        <v>27</v>
      </c>
      <c r="D1083" s="34"/>
      <c r="E1083" s="34"/>
      <c r="F1083" s="34"/>
      <c r="G1083" s="34"/>
      <c r="H1083" s="34"/>
      <c r="I1083" s="35"/>
      <c r="J1083" s="35"/>
      <c r="K1083" s="36"/>
      <c r="L1083" s="26" t="str">
        <f>IF(OR(F1083 = "", G1083 = ""), "", IF(F1083 = "Vara", IFERROR(_xlfn.SINGLE(_xlfn.XLOOKUP(G1083, Vöruskrá!A:A, Vöruskrá!E:E, "")), ""), IF(F1083 = "Réttur", IFERROR(_xlfn.SINGLE(_xlfn.XLOOKUP(G1083, Réttabanki!A:A, Réttabanki!AS:AS, "")), ""), "")))</f>
        <v/>
      </c>
      <c r="M1083" s="26" t="str">
        <f>IF(OR(F1083 = "", G1083 = ""), "", IF(F1083 = "Vara", IFERROR(_xlfn.SINGLE(_xlfn.XLOOKUP(G1083, Vöruskrá!A:A, Vöruskrá!F:F, "")), ""), IF(F1083 = "Réttur", IFERROR(_xlfn.SINGLE(_xlfn.XLOOKUP(G1083, Réttabanki!A:A, Réttabanki!AT:AT, "")), ""), "")))</f>
        <v/>
      </c>
      <c r="N1083" s="26" t="str">
        <f>IF(OR(F1083 = "", G1083 = ""), "", IF(F1083 = "Vara", IFERROR(_xlfn.SINGLE(_xlfn.XLOOKUP(G1083, Vöruskrá!A:A, Vöruskrá!G:G, "")), ""), IF(F1083 = "Réttur", IFERROR(_xlfn.SINGLE(_xlfn.XLOOKUP(G1083, Réttabanki!A:A, Réttabanki!AU:AU, "")), ""), "")))</f>
        <v/>
      </c>
      <c r="O1083" s="26" t="str">
        <f>IF(OR(F1083 = "", G1083 = "", I1083 = ""), "", IF(F1083 = "Vara", IFERROR(_xlfn.SINGLE(_xlfn.XLOOKUP(G1083, Vöruskrá!A:A, Vöruskrá!I:I, "")) * I1083 / 100, ""), IF(F1083 = "Réttur", IFERROR(_xlfn.SINGLE(_xlfn.XLOOKUP(G1083, Réttabanki!A:A, Réttabanki!AV:AV, "")) * I1083 / 100, ""), "")))</f>
        <v/>
      </c>
      <c r="P1083" s="26" t="str">
        <f>IF(OR(F1083 = "", G1083 = "", I1083 = ""), "", IF(F1083 = "Vara", IFERROR(_xlfn.SINGLE(_xlfn.XLOOKUP(G1083, Vöruskrá!A:A, Vöruskrá!J:J, "")) * I1083 / 100, ""), IF(F1083 = "Réttur", IFERROR(_xlfn.SINGLE(_xlfn.XLOOKUP(G1083, Réttabanki!A:A, Réttabanki!AW:AW, "")) * I1083 / 100, ""), "")))</f>
        <v/>
      </c>
      <c r="Q1083" s="26" t="str">
        <f>IF(OR(F1083 = "", G1083 = "", I1083 = ""), "", IF(F1083 = "Vara", IFERROR(_xlfn.SINGLE(_xlfn.XLOOKUP(G1083, Vöruskrá!A:A, Vöruskrá!N:N, "")) * I1083 / 100, ""), IF(F1083 = "Réttur", IFERROR(_xlfn.SINGLE(_xlfn.XLOOKUP(G1083, Réttabanki!A:A, Réttabanki!BB:BB, "")) * I1083 / 100, ""), "")))</f>
        <v/>
      </c>
    </row>
    <row r="1084" spans="2:17">
      <c r="B1084" s="33" t="str">
        <f>IF(A1084&lt;&gt;"",CHOOSE(WEEKDAY(A1084,2),"Mánudagur","Þriðjudagur","Miðvikudagur","Fimmtudagur","Föstudagur","Laugardagur","Sunnudagur"),IF(B1083&lt;&gt;"",B1083,""))</f>
        <v>Fimmtudagur</v>
      </c>
      <c r="C1084" s="33">
        <f>IF(A1084&lt;&gt;"",WEEKNUM(A1084,21),IF(C1083&lt;&gt;"",C1083,""))</f>
        <v>27</v>
      </c>
      <c r="D1084" s="34"/>
      <c r="E1084" s="34"/>
      <c r="F1084" s="34"/>
      <c r="G1084" s="34"/>
      <c r="H1084" s="34"/>
      <c r="I1084" s="35"/>
      <c r="J1084" s="35"/>
      <c r="K1084" s="36"/>
      <c r="L1084" s="26" t="str">
        <f>IF(OR(F1084 = "", G1084 = ""), "", IF(F1084 = "Vara", IFERROR(_xlfn.SINGLE(_xlfn.XLOOKUP(G1084, Vöruskrá!A:A, Vöruskrá!E:E, "")), ""), IF(F1084 = "Réttur", IFERROR(_xlfn.SINGLE(_xlfn.XLOOKUP(G1084, Réttabanki!A:A, Réttabanki!AS:AS, "")), ""), "")))</f>
        <v/>
      </c>
      <c r="M1084" s="26" t="str">
        <f>IF(OR(F1084 = "", G1084 = ""), "", IF(F1084 = "Vara", IFERROR(_xlfn.SINGLE(_xlfn.XLOOKUP(G1084, Vöruskrá!A:A, Vöruskrá!F:F, "")), ""), IF(F1084 = "Réttur", IFERROR(_xlfn.SINGLE(_xlfn.XLOOKUP(G1084, Réttabanki!A:A, Réttabanki!AT:AT, "")), ""), "")))</f>
        <v/>
      </c>
      <c r="N1084" s="26" t="str">
        <f>IF(OR(F1084 = "", G1084 = ""), "", IF(F1084 = "Vara", IFERROR(_xlfn.SINGLE(_xlfn.XLOOKUP(G1084, Vöruskrá!A:A, Vöruskrá!G:G, "")), ""), IF(F1084 = "Réttur", IFERROR(_xlfn.SINGLE(_xlfn.XLOOKUP(G1084, Réttabanki!A:A, Réttabanki!AU:AU, "")), ""), "")))</f>
        <v/>
      </c>
      <c r="O1084" s="26" t="str">
        <f>IF(OR(F1084 = "", G1084 = "", I1084 = ""), "", IF(F1084 = "Vara", IFERROR(_xlfn.SINGLE(_xlfn.XLOOKUP(G1084, Vöruskrá!A:A, Vöruskrá!I:I, "")) * I1084 / 100, ""), IF(F1084 = "Réttur", IFERROR(_xlfn.SINGLE(_xlfn.XLOOKUP(G1084, Réttabanki!A:A, Réttabanki!AV:AV, "")) * I1084 / 100, ""), "")))</f>
        <v/>
      </c>
      <c r="P1084" s="26" t="str">
        <f>IF(OR(F1084 = "", G1084 = "", I1084 = ""), "", IF(F1084 = "Vara", IFERROR(_xlfn.SINGLE(_xlfn.XLOOKUP(G1084, Vöruskrá!A:A, Vöruskrá!J:J, "")) * I1084 / 100, ""), IF(F1084 = "Réttur", IFERROR(_xlfn.SINGLE(_xlfn.XLOOKUP(G1084, Réttabanki!A:A, Réttabanki!AW:AW, "")) * I1084 / 100, ""), "")))</f>
        <v/>
      </c>
      <c r="Q1084" s="26" t="str">
        <f>IF(OR(F1084 = "", G1084 = "", I1084 = ""), "", IF(F1084 = "Vara", IFERROR(_xlfn.SINGLE(_xlfn.XLOOKUP(G1084, Vöruskrá!A:A, Vöruskrá!N:N, "")) * I1084 / 100, ""), IF(F1084 = "Réttur", IFERROR(_xlfn.SINGLE(_xlfn.XLOOKUP(G1084, Réttabanki!A:A, Réttabanki!BB:BB, "")) * I1084 / 100, ""), "")))</f>
        <v/>
      </c>
    </row>
    <row r="1085" spans="2:17">
      <c r="B1085" s="33" t="str">
        <f>IF(A1085&lt;&gt;"",CHOOSE(WEEKDAY(A1085,2),"Mánudagur","Þriðjudagur","Miðvikudagur","Fimmtudagur","Föstudagur","Laugardagur","Sunnudagur"),IF(B1084&lt;&gt;"",B1084,""))</f>
        <v>Fimmtudagur</v>
      </c>
      <c r="C1085" s="33">
        <f>IF(A1085&lt;&gt;"",WEEKNUM(A1085,21),IF(C1084&lt;&gt;"",C1084,""))</f>
        <v>27</v>
      </c>
      <c r="D1085" s="34"/>
      <c r="E1085" s="34"/>
      <c r="F1085" s="34"/>
      <c r="G1085" s="34"/>
      <c r="H1085" s="34"/>
      <c r="I1085" s="35"/>
      <c r="J1085" s="35"/>
      <c r="K1085" s="36"/>
      <c r="L1085" s="26" t="str">
        <f>IF(OR(F1085 = "", G1085 = ""), "", IF(F1085 = "Vara", IFERROR(_xlfn.SINGLE(_xlfn.XLOOKUP(G1085, Vöruskrá!A:A, Vöruskrá!E:E, "")), ""), IF(F1085 = "Réttur", IFERROR(_xlfn.SINGLE(_xlfn.XLOOKUP(G1085, Réttabanki!A:A, Réttabanki!AS:AS, "")), ""), "")))</f>
        <v/>
      </c>
      <c r="M1085" s="26" t="str">
        <f>IF(OR(F1085 = "", G1085 = ""), "", IF(F1085 = "Vara", IFERROR(_xlfn.SINGLE(_xlfn.XLOOKUP(G1085, Vöruskrá!A:A, Vöruskrá!F:F, "")), ""), IF(F1085 = "Réttur", IFERROR(_xlfn.SINGLE(_xlfn.XLOOKUP(G1085, Réttabanki!A:A, Réttabanki!AT:AT, "")), ""), "")))</f>
        <v/>
      </c>
      <c r="N1085" s="26" t="str">
        <f>IF(OR(F1085 = "", G1085 = ""), "", IF(F1085 = "Vara", IFERROR(_xlfn.SINGLE(_xlfn.XLOOKUP(G1085, Vöruskrá!A:A, Vöruskrá!G:G, "")), ""), IF(F1085 = "Réttur", IFERROR(_xlfn.SINGLE(_xlfn.XLOOKUP(G1085, Réttabanki!A:A, Réttabanki!AU:AU, "")), ""), "")))</f>
        <v/>
      </c>
      <c r="O1085" s="26" t="str">
        <f>IF(OR(F1085 = "", G1085 = "", I1085 = ""), "", IF(F1085 = "Vara", IFERROR(_xlfn.SINGLE(_xlfn.XLOOKUP(G1085, Vöruskrá!A:A, Vöruskrá!I:I, "")) * I1085 / 100, ""), IF(F1085 = "Réttur", IFERROR(_xlfn.SINGLE(_xlfn.XLOOKUP(G1085, Réttabanki!A:A, Réttabanki!AV:AV, "")) * I1085 / 100, ""), "")))</f>
        <v/>
      </c>
      <c r="P1085" s="26" t="str">
        <f>IF(OR(F1085 = "", G1085 = "", I1085 = ""), "", IF(F1085 = "Vara", IFERROR(_xlfn.SINGLE(_xlfn.XLOOKUP(G1085, Vöruskrá!A:A, Vöruskrá!J:J, "")) * I1085 / 100, ""), IF(F1085 = "Réttur", IFERROR(_xlfn.SINGLE(_xlfn.XLOOKUP(G1085, Réttabanki!A:A, Réttabanki!AW:AW, "")) * I1085 / 100, ""), "")))</f>
        <v/>
      </c>
      <c r="Q1085" s="26" t="str">
        <f>IF(OR(F1085 = "", G1085 = "", I1085 = ""), "", IF(F1085 = "Vara", IFERROR(_xlfn.SINGLE(_xlfn.XLOOKUP(G1085, Vöruskrá!A:A, Vöruskrá!N:N, "")) * I1085 / 100, ""), IF(F1085 = "Réttur", IFERROR(_xlfn.SINGLE(_xlfn.XLOOKUP(G1085, Réttabanki!A:A, Réttabanki!BB:BB, "")) * I1085 / 100, ""), "")))</f>
        <v/>
      </c>
    </row>
    <row r="1086" spans="2:17">
      <c r="B1086" s="33" t="str">
        <f>IF(A1086&lt;&gt;"",CHOOSE(WEEKDAY(A1086,2),"Mánudagur","Þriðjudagur","Miðvikudagur","Fimmtudagur","Föstudagur","Laugardagur","Sunnudagur"),IF(B1085&lt;&gt;"",B1085,""))</f>
        <v>Fimmtudagur</v>
      </c>
      <c r="C1086" s="33">
        <f>IF(A1086&lt;&gt;"",WEEKNUM(A1086,21),IF(C1085&lt;&gt;"",C1085,""))</f>
        <v>27</v>
      </c>
      <c r="D1086" s="34"/>
      <c r="E1086" s="34"/>
      <c r="F1086" s="34"/>
      <c r="G1086" s="34"/>
      <c r="H1086" s="34"/>
      <c r="I1086" s="35"/>
      <c r="J1086" s="35"/>
      <c r="K1086" s="36"/>
      <c r="L1086" s="26" t="str">
        <f>IF(OR(F1086 = "", G1086 = ""), "", IF(F1086 = "Vara", IFERROR(_xlfn.SINGLE(_xlfn.XLOOKUP(G1086, Vöruskrá!A:A, Vöruskrá!E:E, "")), ""), IF(F1086 = "Réttur", IFERROR(_xlfn.SINGLE(_xlfn.XLOOKUP(G1086, Réttabanki!A:A, Réttabanki!AS:AS, "")), ""), "")))</f>
        <v/>
      </c>
      <c r="M1086" s="26" t="str">
        <f>IF(OR(F1086 = "", G1086 = ""), "", IF(F1086 = "Vara", IFERROR(_xlfn.SINGLE(_xlfn.XLOOKUP(G1086, Vöruskrá!A:A, Vöruskrá!F:F, "")), ""), IF(F1086 = "Réttur", IFERROR(_xlfn.SINGLE(_xlfn.XLOOKUP(G1086, Réttabanki!A:A, Réttabanki!AT:AT, "")), ""), "")))</f>
        <v/>
      </c>
      <c r="N1086" s="26" t="str">
        <f>IF(OR(F1086 = "", G1086 = ""), "", IF(F1086 = "Vara", IFERROR(_xlfn.SINGLE(_xlfn.XLOOKUP(G1086, Vöruskrá!A:A, Vöruskrá!G:G, "")), ""), IF(F1086 = "Réttur", IFERROR(_xlfn.SINGLE(_xlfn.XLOOKUP(G1086, Réttabanki!A:A, Réttabanki!AU:AU, "")), ""), "")))</f>
        <v/>
      </c>
      <c r="O1086" s="26" t="str">
        <f>IF(OR(F1086 = "", G1086 = "", I1086 = ""), "", IF(F1086 = "Vara", IFERROR(_xlfn.SINGLE(_xlfn.XLOOKUP(G1086, Vöruskrá!A:A, Vöruskrá!I:I, "")) * I1086 / 100, ""), IF(F1086 = "Réttur", IFERROR(_xlfn.SINGLE(_xlfn.XLOOKUP(G1086, Réttabanki!A:A, Réttabanki!AV:AV, "")) * I1086 / 100, ""), "")))</f>
        <v/>
      </c>
      <c r="P1086" s="26" t="str">
        <f>IF(OR(F1086 = "", G1086 = "", I1086 = ""), "", IF(F1086 = "Vara", IFERROR(_xlfn.SINGLE(_xlfn.XLOOKUP(G1086, Vöruskrá!A:A, Vöruskrá!J:J, "")) * I1086 / 100, ""), IF(F1086 = "Réttur", IFERROR(_xlfn.SINGLE(_xlfn.XLOOKUP(G1086, Réttabanki!A:A, Réttabanki!AW:AW, "")) * I1086 / 100, ""), "")))</f>
        <v/>
      </c>
      <c r="Q1086" s="26" t="str">
        <f>IF(OR(F1086 = "", G1086 = "", I1086 = ""), "", IF(F1086 = "Vara", IFERROR(_xlfn.SINGLE(_xlfn.XLOOKUP(G1086, Vöruskrá!A:A, Vöruskrá!N:N, "")) * I1086 / 100, ""), IF(F1086 = "Réttur", IFERROR(_xlfn.SINGLE(_xlfn.XLOOKUP(G1086, Réttabanki!A:A, Réttabanki!BB:BB, "")) * I1086 / 100, ""), "")))</f>
        <v/>
      </c>
    </row>
    <row r="1087" spans="2:17">
      <c r="B1087" s="33" t="str">
        <f>IF(A1087&lt;&gt;"",CHOOSE(WEEKDAY(A1087,2),"Mánudagur","Þriðjudagur","Miðvikudagur","Fimmtudagur","Föstudagur","Laugardagur","Sunnudagur"),IF(B1086&lt;&gt;"",B1086,""))</f>
        <v>Fimmtudagur</v>
      </c>
      <c r="C1087" s="33">
        <f>IF(A1087&lt;&gt;"",WEEKNUM(A1087,21),IF(C1086&lt;&gt;"",C1086,""))</f>
        <v>27</v>
      </c>
      <c r="D1087" s="34"/>
      <c r="E1087" s="34"/>
      <c r="F1087" s="34"/>
      <c r="G1087" s="34"/>
      <c r="H1087" s="34"/>
      <c r="I1087" s="35"/>
      <c r="J1087" s="35"/>
      <c r="K1087" s="36"/>
      <c r="L1087" s="26" t="str">
        <f>IF(OR(F1087 = "", G1087 = ""), "", IF(F1087 = "Vara", IFERROR(_xlfn.SINGLE(_xlfn.XLOOKUP(G1087, Vöruskrá!A:A, Vöruskrá!E:E, "")), ""), IF(F1087 = "Réttur", IFERROR(_xlfn.SINGLE(_xlfn.XLOOKUP(G1087, Réttabanki!A:A, Réttabanki!AS:AS, "")), ""), "")))</f>
        <v/>
      </c>
      <c r="M1087" s="26" t="str">
        <f>IF(OR(F1087 = "", G1087 = ""), "", IF(F1087 = "Vara", IFERROR(_xlfn.SINGLE(_xlfn.XLOOKUP(G1087, Vöruskrá!A:A, Vöruskrá!F:F, "")), ""), IF(F1087 = "Réttur", IFERROR(_xlfn.SINGLE(_xlfn.XLOOKUP(G1087, Réttabanki!A:A, Réttabanki!AT:AT, "")), ""), "")))</f>
        <v/>
      </c>
      <c r="N1087" s="26" t="str">
        <f>IF(OR(F1087 = "", G1087 = ""), "", IF(F1087 = "Vara", IFERROR(_xlfn.SINGLE(_xlfn.XLOOKUP(G1087, Vöruskrá!A:A, Vöruskrá!G:G, "")), ""), IF(F1087 = "Réttur", IFERROR(_xlfn.SINGLE(_xlfn.XLOOKUP(G1087, Réttabanki!A:A, Réttabanki!AU:AU, "")), ""), "")))</f>
        <v/>
      </c>
      <c r="O1087" s="26" t="str">
        <f>IF(OR(F1087 = "", G1087 = "", I1087 = ""), "", IF(F1087 = "Vara", IFERROR(_xlfn.SINGLE(_xlfn.XLOOKUP(G1087, Vöruskrá!A:A, Vöruskrá!I:I, "")) * I1087 / 100, ""), IF(F1087 = "Réttur", IFERROR(_xlfn.SINGLE(_xlfn.XLOOKUP(G1087, Réttabanki!A:A, Réttabanki!AV:AV, "")) * I1087 / 100, ""), "")))</f>
        <v/>
      </c>
      <c r="P1087" s="26" t="str">
        <f>IF(OR(F1087 = "", G1087 = "", I1087 = ""), "", IF(F1087 = "Vara", IFERROR(_xlfn.SINGLE(_xlfn.XLOOKUP(G1087, Vöruskrá!A:A, Vöruskrá!J:J, "")) * I1087 / 100, ""), IF(F1087 = "Réttur", IFERROR(_xlfn.SINGLE(_xlfn.XLOOKUP(G1087, Réttabanki!A:A, Réttabanki!AW:AW, "")) * I1087 / 100, ""), "")))</f>
        <v/>
      </c>
      <c r="Q1087" s="26" t="str">
        <f>IF(OR(F1087 = "", G1087 = "", I1087 = ""), "", IF(F1087 = "Vara", IFERROR(_xlfn.SINGLE(_xlfn.XLOOKUP(G1087, Vöruskrá!A:A, Vöruskrá!N:N, "")) * I1087 / 100, ""), IF(F1087 = "Réttur", IFERROR(_xlfn.SINGLE(_xlfn.XLOOKUP(G1087, Réttabanki!A:A, Réttabanki!BB:BB, "")) * I1087 / 100, ""), "")))</f>
        <v/>
      </c>
    </row>
    <row r="1088" spans="2:17">
      <c r="B1088" s="33" t="str">
        <f>IF(A1088&lt;&gt;"",CHOOSE(WEEKDAY(A1088,2),"Mánudagur","Þriðjudagur","Miðvikudagur","Fimmtudagur","Föstudagur","Laugardagur","Sunnudagur"),IF(B1087&lt;&gt;"",B1087,""))</f>
        <v>Fimmtudagur</v>
      </c>
      <c r="C1088" s="33">
        <f>IF(A1088&lt;&gt;"",WEEKNUM(A1088,21),IF(C1087&lt;&gt;"",C1087,""))</f>
        <v>27</v>
      </c>
      <c r="D1088" s="34"/>
      <c r="E1088" s="34"/>
      <c r="F1088" s="34"/>
      <c r="G1088" s="34"/>
      <c r="H1088" s="34"/>
      <c r="I1088" s="35"/>
      <c r="J1088" s="35"/>
      <c r="K1088" s="36"/>
      <c r="L1088" s="26" t="str">
        <f>IF(OR(F1088 = "", G1088 = ""), "", IF(F1088 = "Vara", IFERROR(_xlfn.SINGLE(_xlfn.XLOOKUP(G1088, Vöruskrá!A:A, Vöruskrá!E:E, "")), ""), IF(F1088 = "Réttur", IFERROR(_xlfn.SINGLE(_xlfn.XLOOKUP(G1088, Réttabanki!A:A, Réttabanki!AS:AS, "")), ""), "")))</f>
        <v/>
      </c>
      <c r="M1088" s="26" t="str">
        <f>IF(OR(F1088 = "", G1088 = ""), "", IF(F1088 = "Vara", IFERROR(_xlfn.SINGLE(_xlfn.XLOOKUP(G1088, Vöruskrá!A:A, Vöruskrá!F:F, "")), ""), IF(F1088 = "Réttur", IFERROR(_xlfn.SINGLE(_xlfn.XLOOKUP(G1088, Réttabanki!A:A, Réttabanki!AT:AT, "")), ""), "")))</f>
        <v/>
      </c>
      <c r="N1088" s="26" t="str">
        <f>IF(OR(F1088 = "", G1088 = ""), "", IF(F1088 = "Vara", IFERROR(_xlfn.SINGLE(_xlfn.XLOOKUP(G1088, Vöruskrá!A:A, Vöruskrá!G:G, "")), ""), IF(F1088 = "Réttur", IFERROR(_xlfn.SINGLE(_xlfn.XLOOKUP(G1088, Réttabanki!A:A, Réttabanki!AU:AU, "")), ""), "")))</f>
        <v/>
      </c>
      <c r="O1088" s="26" t="str">
        <f>IF(OR(F1088 = "", G1088 = "", I1088 = ""), "", IF(F1088 = "Vara", IFERROR(_xlfn.SINGLE(_xlfn.XLOOKUP(G1088, Vöruskrá!A:A, Vöruskrá!I:I, "")) * I1088 / 100, ""), IF(F1088 = "Réttur", IFERROR(_xlfn.SINGLE(_xlfn.XLOOKUP(G1088, Réttabanki!A:A, Réttabanki!AV:AV, "")) * I1088 / 100, ""), "")))</f>
        <v/>
      </c>
      <c r="P1088" s="26" t="str">
        <f>IF(OR(F1088 = "", G1088 = "", I1088 = ""), "", IF(F1088 = "Vara", IFERROR(_xlfn.SINGLE(_xlfn.XLOOKUP(G1088, Vöruskrá!A:A, Vöruskrá!J:J, "")) * I1088 / 100, ""), IF(F1088 = "Réttur", IFERROR(_xlfn.SINGLE(_xlfn.XLOOKUP(G1088, Réttabanki!A:A, Réttabanki!AW:AW, "")) * I1088 / 100, ""), "")))</f>
        <v/>
      </c>
      <c r="Q1088" s="26" t="str">
        <f>IF(OR(F1088 = "", G1088 = "", I1088 = ""), "", IF(F1088 = "Vara", IFERROR(_xlfn.SINGLE(_xlfn.XLOOKUP(G1088, Vöruskrá!A:A, Vöruskrá!N:N, "")) * I1088 / 100, ""), IF(F1088 = "Réttur", IFERROR(_xlfn.SINGLE(_xlfn.XLOOKUP(G1088, Réttabanki!A:A, Réttabanki!BB:BB, "")) * I1088 / 100, ""), "")))</f>
        <v/>
      </c>
    </row>
    <row r="1089" spans="2:17">
      <c r="B1089" s="33" t="str">
        <f>IF(A1089&lt;&gt;"",CHOOSE(WEEKDAY(A1089,2),"Mánudagur","Þriðjudagur","Miðvikudagur","Fimmtudagur","Föstudagur","Laugardagur","Sunnudagur"),IF(B1088&lt;&gt;"",B1088,""))</f>
        <v>Fimmtudagur</v>
      </c>
      <c r="C1089" s="33">
        <f>IF(A1089&lt;&gt;"",WEEKNUM(A1089,21),IF(C1088&lt;&gt;"",C1088,""))</f>
        <v>27</v>
      </c>
      <c r="D1089" s="34"/>
      <c r="E1089" s="34"/>
      <c r="F1089" s="34"/>
      <c r="G1089" s="34"/>
      <c r="H1089" s="34"/>
      <c r="I1089" s="35"/>
      <c r="J1089" s="35"/>
      <c r="K1089" s="36"/>
      <c r="L1089" s="26" t="str">
        <f>IF(OR(F1089 = "", G1089 = ""), "", IF(F1089 = "Vara", IFERROR(_xlfn.SINGLE(_xlfn.XLOOKUP(G1089, Vöruskrá!A:A, Vöruskrá!E:E, "")), ""), IF(F1089 = "Réttur", IFERROR(_xlfn.SINGLE(_xlfn.XLOOKUP(G1089, Réttabanki!A:A, Réttabanki!AS:AS, "")), ""), "")))</f>
        <v/>
      </c>
      <c r="M1089" s="26" t="str">
        <f>IF(OR(F1089 = "", G1089 = ""), "", IF(F1089 = "Vara", IFERROR(_xlfn.SINGLE(_xlfn.XLOOKUP(G1089, Vöruskrá!A:A, Vöruskrá!F:F, "")), ""), IF(F1089 = "Réttur", IFERROR(_xlfn.SINGLE(_xlfn.XLOOKUP(G1089, Réttabanki!A:A, Réttabanki!AT:AT, "")), ""), "")))</f>
        <v/>
      </c>
      <c r="N1089" s="26" t="str">
        <f>IF(OR(F1089 = "", G1089 = ""), "", IF(F1089 = "Vara", IFERROR(_xlfn.SINGLE(_xlfn.XLOOKUP(G1089, Vöruskrá!A:A, Vöruskrá!G:G, "")), ""), IF(F1089 = "Réttur", IFERROR(_xlfn.SINGLE(_xlfn.XLOOKUP(G1089, Réttabanki!A:A, Réttabanki!AU:AU, "")), ""), "")))</f>
        <v/>
      </c>
      <c r="O1089" s="26" t="str">
        <f>IF(OR(F1089 = "", G1089 = "", I1089 = ""), "", IF(F1089 = "Vara", IFERROR(_xlfn.SINGLE(_xlfn.XLOOKUP(G1089, Vöruskrá!A:A, Vöruskrá!I:I, "")) * I1089 / 100, ""), IF(F1089 = "Réttur", IFERROR(_xlfn.SINGLE(_xlfn.XLOOKUP(G1089, Réttabanki!A:A, Réttabanki!AV:AV, "")) * I1089 / 100, ""), "")))</f>
        <v/>
      </c>
      <c r="P1089" s="26" t="str">
        <f>IF(OR(F1089 = "", G1089 = "", I1089 = ""), "", IF(F1089 = "Vara", IFERROR(_xlfn.SINGLE(_xlfn.XLOOKUP(G1089, Vöruskrá!A:A, Vöruskrá!J:J, "")) * I1089 / 100, ""), IF(F1089 = "Réttur", IFERROR(_xlfn.SINGLE(_xlfn.XLOOKUP(G1089, Réttabanki!A:A, Réttabanki!AW:AW, "")) * I1089 / 100, ""), "")))</f>
        <v/>
      </c>
      <c r="Q1089" s="26" t="str">
        <f>IF(OR(F1089 = "", G1089 = "", I1089 = ""), "", IF(F1089 = "Vara", IFERROR(_xlfn.SINGLE(_xlfn.XLOOKUP(G1089, Vöruskrá!A:A, Vöruskrá!N:N, "")) * I1089 / 100, ""), IF(F1089 = "Réttur", IFERROR(_xlfn.SINGLE(_xlfn.XLOOKUP(G1089, Réttabanki!A:A, Réttabanki!BB:BB, "")) * I1089 / 100, ""), "")))</f>
        <v/>
      </c>
    </row>
    <row r="1090" spans="2:17">
      <c r="B1090" s="33" t="str">
        <f>IF(A1090&lt;&gt;"",CHOOSE(WEEKDAY(A1090,2),"Mánudagur","Þriðjudagur","Miðvikudagur","Fimmtudagur","Föstudagur","Laugardagur","Sunnudagur"),IF(B1089&lt;&gt;"",B1089,""))</f>
        <v>Fimmtudagur</v>
      </c>
      <c r="C1090" s="33">
        <f>IF(A1090&lt;&gt;"",WEEKNUM(A1090,21),IF(C1089&lt;&gt;"",C1089,""))</f>
        <v>27</v>
      </c>
      <c r="D1090" s="34"/>
      <c r="E1090" s="34"/>
      <c r="F1090" s="34"/>
      <c r="G1090" s="34"/>
      <c r="H1090" s="34"/>
      <c r="I1090" s="35"/>
      <c r="J1090" s="35"/>
      <c r="K1090" s="36"/>
      <c r="L1090" s="26" t="str">
        <f>IF(OR(F1090 = "", G1090 = ""), "", IF(F1090 = "Vara", IFERROR(_xlfn.SINGLE(_xlfn.XLOOKUP(G1090, Vöruskrá!A:A, Vöruskrá!E:E, "")), ""), IF(F1090 = "Réttur", IFERROR(_xlfn.SINGLE(_xlfn.XLOOKUP(G1090, Réttabanki!A:A, Réttabanki!AS:AS, "")), ""), "")))</f>
        <v/>
      </c>
      <c r="M1090" s="26" t="str">
        <f>IF(OR(F1090 = "", G1090 = ""), "", IF(F1090 = "Vara", IFERROR(_xlfn.SINGLE(_xlfn.XLOOKUP(G1090, Vöruskrá!A:A, Vöruskrá!F:F, "")), ""), IF(F1090 = "Réttur", IFERROR(_xlfn.SINGLE(_xlfn.XLOOKUP(G1090, Réttabanki!A:A, Réttabanki!AT:AT, "")), ""), "")))</f>
        <v/>
      </c>
      <c r="N1090" s="26" t="str">
        <f>IF(OR(F1090 = "", G1090 = ""), "", IF(F1090 = "Vara", IFERROR(_xlfn.SINGLE(_xlfn.XLOOKUP(G1090, Vöruskrá!A:A, Vöruskrá!G:G, "")), ""), IF(F1090 = "Réttur", IFERROR(_xlfn.SINGLE(_xlfn.XLOOKUP(G1090, Réttabanki!A:A, Réttabanki!AU:AU, "")), ""), "")))</f>
        <v/>
      </c>
      <c r="O1090" s="26" t="str">
        <f>IF(OR(F1090 = "", G1090 = "", I1090 = ""), "", IF(F1090 = "Vara", IFERROR(_xlfn.SINGLE(_xlfn.XLOOKUP(G1090, Vöruskrá!A:A, Vöruskrá!I:I, "")) * I1090 / 100, ""), IF(F1090 = "Réttur", IFERROR(_xlfn.SINGLE(_xlfn.XLOOKUP(G1090, Réttabanki!A:A, Réttabanki!AV:AV, "")) * I1090 / 100, ""), "")))</f>
        <v/>
      </c>
      <c r="P1090" s="26" t="str">
        <f>IF(OR(F1090 = "", G1090 = "", I1090 = ""), "", IF(F1090 = "Vara", IFERROR(_xlfn.SINGLE(_xlfn.XLOOKUP(G1090, Vöruskrá!A:A, Vöruskrá!J:J, "")) * I1090 / 100, ""), IF(F1090 = "Réttur", IFERROR(_xlfn.SINGLE(_xlfn.XLOOKUP(G1090, Réttabanki!A:A, Réttabanki!AW:AW, "")) * I1090 / 100, ""), "")))</f>
        <v/>
      </c>
      <c r="Q1090" s="26" t="str">
        <f>IF(OR(F1090 = "", G1090 = "", I1090 = ""), "", IF(F1090 = "Vara", IFERROR(_xlfn.SINGLE(_xlfn.XLOOKUP(G1090, Vöruskrá!A:A, Vöruskrá!N:N, "")) * I1090 / 100, ""), IF(F1090 = "Réttur", IFERROR(_xlfn.SINGLE(_xlfn.XLOOKUP(G1090, Réttabanki!A:A, Réttabanki!BB:BB, "")) * I1090 / 100, ""), "")))</f>
        <v/>
      </c>
    </row>
    <row r="1091" spans="2:17">
      <c r="B1091" s="33" t="str">
        <f>IF(A1091&lt;&gt;"",CHOOSE(WEEKDAY(A1091,2),"Mánudagur","Þriðjudagur","Miðvikudagur","Fimmtudagur","Föstudagur","Laugardagur","Sunnudagur"),IF(B1090&lt;&gt;"",B1090,""))</f>
        <v>Fimmtudagur</v>
      </c>
      <c r="C1091" s="33">
        <f>IF(A1091&lt;&gt;"",WEEKNUM(A1091,21),IF(C1090&lt;&gt;"",C1090,""))</f>
        <v>27</v>
      </c>
      <c r="D1091" s="34"/>
      <c r="E1091" s="34"/>
      <c r="F1091" s="34"/>
      <c r="G1091" s="34"/>
      <c r="H1091" s="34"/>
      <c r="I1091" s="35"/>
      <c r="J1091" s="35"/>
      <c r="K1091" s="36"/>
      <c r="L1091" s="26" t="str">
        <f>IF(OR(F1091 = "", G1091 = ""), "", IF(F1091 = "Vara", IFERROR(_xlfn.SINGLE(_xlfn.XLOOKUP(G1091, Vöruskrá!A:A, Vöruskrá!E:E, "")), ""), IF(F1091 = "Réttur", IFERROR(_xlfn.SINGLE(_xlfn.XLOOKUP(G1091, Réttabanki!A:A, Réttabanki!AS:AS, "")), ""), "")))</f>
        <v/>
      </c>
      <c r="M1091" s="26" t="str">
        <f>IF(OR(F1091 = "", G1091 = ""), "", IF(F1091 = "Vara", IFERROR(_xlfn.SINGLE(_xlfn.XLOOKUP(G1091, Vöruskrá!A:A, Vöruskrá!F:F, "")), ""), IF(F1091 = "Réttur", IFERROR(_xlfn.SINGLE(_xlfn.XLOOKUP(G1091, Réttabanki!A:A, Réttabanki!AT:AT, "")), ""), "")))</f>
        <v/>
      </c>
      <c r="N1091" s="26" t="str">
        <f>IF(OR(F1091 = "", G1091 = ""), "", IF(F1091 = "Vara", IFERROR(_xlfn.SINGLE(_xlfn.XLOOKUP(G1091, Vöruskrá!A:A, Vöruskrá!G:G, "")), ""), IF(F1091 = "Réttur", IFERROR(_xlfn.SINGLE(_xlfn.XLOOKUP(G1091, Réttabanki!A:A, Réttabanki!AU:AU, "")), ""), "")))</f>
        <v/>
      </c>
      <c r="O1091" s="26" t="str">
        <f>IF(OR(F1091 = "", G1091 = "", I1091 = ""), "", IF(F1091 = "Vara", IFERROR(_xlfn.SINGLE(_xlfn.XLOOKUP(G1091, Vöruskrá!A:A, Vöruskrá!I:I, "")) * I1091 / 100, ""), IF(F1091 = "Réttur", IFERROR(_xlfn.SINGLE(_xlfn.XLOOKUP(G1091, Réttabanki!A:A, Réttabanki!AV:AV, "")) * I1091 / 100, ""), "")))</f>
        <v/>
      </c>
      <c r="P1091" s="26" t="str">
        <f>IF(OR(F1091 = "", G1091 = "", I1091 = ""), "", IF(F1091 = "Vara", IFERROR(_xlfn.SINGLE(_xlfn.XLOOKUP(G1091, Vöruskrá!A:A, Vöruskrá!J:J, "")) * I1091 / 100, ""), IF(F1091 = "Réttur", IFERROR(_xlfn.SINGLE(_xlfn.XLOOKUP(G1091, Réttabanki!A:A, Réttabanki!AW:AW, "")) * I1091 / 100, ""), "")))</f>
        <v/>
      </c>
      <c r="Q1091" s="26" t="str">
        <f>IF(OR(F1091 = "", G1091 = "", I1091 = ""), "", IF(F1091 = "Vara", IFERROR(_xlfn.SINGLE(_xlfn.XLOOKUP(G1091, Vöruskrá!A:A, Vöruskrá!N:N, "")) * I1091 / 100, ""), IF(F1091 = "Réttur", IFERROR(_xlfn.SINGLE(_xlfn.XLOOKUP(G1091, Réttabanki!A:A, Réttabanki!BB:BB, "")) * I1091 / 100, ""), "")))</f>
        <v/>
      </c>
    </row>
    <row r="1092" spans="2:17">
      <c r="B1092" s="33" t="str">
        <f>IF(A1092&lt;&gt;"",CHOOSE(WEEKDAY(A1092,2),"Mánudagur","Þriðjudagur","Miðvikudagur","Fimmtudagur","Föstudagur","Laugardagur","Sunnudagur"),IF(B1091&lt;&gt;"",B1091,""))</f>
        <v>Fimmtudagur</v>
      </c>
      <c r="C1092" s="33">
        <f>IF(A1092&lt;&gt;"",WEEKNUM(A1092,21),IF(C1091&lt;&gt;"",C1091,""))</f>
        <v>27</v>
      </c>
      <c r="D1092" s="34"/>
      <c r="E1092" s="34"/>
      <c r="F1092" s="34"/>
      <c r="G1092" s="34"/>
      <c r="H1092" s="34"/>
      <c r="I1092" s="35"/>
      <c r="J1092" s="35"/>
      <c r="K1092" s="36"/>
      <c r="L1092" s="26" t="str">
        <f>IF(OR(F1092 = "", G1092 = ""), "", IF(F1092 = "Vara", IFERROR(_xlfn.SINGLE(_xlfn.XLOOKUP(G1092, Vöruskrá!A:A, Vöruskrá!E:E, "")), ""), IF(F1092 = "Réttur", IFERROR(_xlfn.SINGLE(_xlfn.XLOOKUP(G1092, Réttabanki!A:A, Réttabanki!AS:AS, "")), ""), "")))</f>
        <v/>
      </c>
      <c r="M1092" s="26" t="str">
        <f>IF(OR(F1092 = "", G1092 = ""), "", IF(F1092 = "Vara", IFERROR(_xlfn.SINGLE(_xlfn.XLOOKUP(G1092, Vöruskrá!A:A, Vöruskrá!F:F, "")), ""), IF(F1092 = "Réttur", IFERROR(_xlfn.SINGLE(_xlfn.XLOOKUP(G1092, Réttabanki!A:A, Réttabanki!AT:AT, "")), ""), "")))</f>
        <v/>
      </c>
      <c r="N1092" s="26" t="str">
        <f>IF(OR(F1092 = "", G1092 = ""), "", IF(F1092 = "Vara", IFERROR(_xlfn.SINGLE(_xlfn.XLOOKUP(G1092, Vöruskrá!A:A, Vöruskrá!G:G, "")), ""), IF(F1092 = "Réttur", IFERROR(_xlfn.SINGLE(_xlfn.XLOOKUP(G1092, Réttabanki!A:A, Réttabanki!AU:AU, "")), ""), "")))</f>
        <v/>
      </c>
      <c r="O1092" s="26" t="str">
        <f>IF(OR(F1092 = "", G1092 = "", I1092 = ""), "", IF(F1092 = "Vara", IFERROR(_xlfn.SINGLE(_xlfn.XLOOKUP(G1092, Vöruskrá!A:A, Vöruskrá!I:I, "")) * I1092 / 100, ""), IF(F1092 = "Réttur", IFERROR(_xlfn.SINGLE(_xlfn.XLOOKUP(G1092, Réttabanki!A:A, Réttabanki!AV:AV, "")) * I1092 / 100, ""), "")))</f>
        <v/>
      </c>
      <c r="P1092" s="26" t="str">
        <f>IF(OR(F1092 = "", G1092 = "", I1092 = ""), "", IF(F1092 = "Vara", IFERROR(_xlfn.SINGLE(_xlfn.XLOOKUP(G1092, Vöruskrá!A:A, Vöruskrá!J:J, "")) * I1092 / 100, ""), IF(F1092 = "Réttur", IFERROR(_xlfn.SINGLE(_xlfn.XLOOKUP(G1092, Réttabanki!A:A, Réttabanki!AW:AW, "")) * I1092 / 100, ""), "")))</f>
        <v/>
      </c>
      <c r="Q1092" s="26" t="str">
        <f>IF(OR(F1092 = "", G1092 = "", I1092 = ""), "", IF(F1092 = "Vara", IFERROR(_xlfn.SINGLE(_xlfn.XLOOKUP(G1092, Vöruskrá!A:A, Vöruskrá!N:N, "")) * I1092 / 100, ""), IF(F1092 = "Réttur", IFERROR(_xlfn.SINGLE(_xlfn.XLOOKUP(G1092, Réttabanki!A:A, Réttabanki!BB:BB, "")) * I1092 / 100, ""), "")))</f>
        <v/>
      </c>
    </row>
    <row r="1093" spans="2:17">
      <c r="B1093" s="33" t="str">
        <f>IF(A1093&lt;&gt;"",CHOOSE(WEEKDAY(A1093,2),"Mánudagur","Þriðjudagur","Miðvikudagur","Fimmtudagur","Föstudagur","Laugardagur","Sunnudagur"),IF(B1092&lt;&gt;"",B1092,""))</f>
        <v>Fimmtudagur</v>
      </c>
      <c r="C1093" s="33">
        <f>IF(A1093&lt;&gt;"",WEEKNUM(A1093,21),IF(C1092&lt;&gt;"",C1092,""))</f>
        <v>27</v>
      </c>
      <c r="D1093" s="34"/>
      <c r="E1093" s="34"/>
      <c r="F1093" s="34"/>
      <c r="G1093" s="34"/>
      <c r="H1093" s="34"/>
      <c r="I1093" s="35"/>
      <c r="J1093" s="35"/>
      <c r="K1093" s="36"/>
      <c r="L1093" s="26" t="str">
        <f>IF(OR(F1093 = "", G1093 = ""), "", IF(F1093 = "Vara", IFERROR(_xlfn.SINGLE(_xlfn.XLOOKUP(G1093, Vöruskrá!A:A, Vöruskrá!E:E, "")), ""), IF(F1093 = "Réttur", IFERROR(_xlfn.SINGLE(_xlfn.XLOOKUP(G1093, Réttabanki!A:A, Réttabanki!AS:AS, "")), ""), "")))</f>
        <v/>
      </c>
      <c r="M1093" s="26" t="str">
        <f>IF(OR(F1093 = "", G1093 = ""), "", IF(F1093 = "Vara", IFERROR(_xlfn.SINGLE(_xlfn.XLOOKUP(G1093, Vöruskrá!A:A, Vöruskrá!F:F, "")), ""), IF(F1093 = "Réttur", IFERROR(_xlfn.SINGLE(_xlfn.XLOOKUP(G1093, Réttabanki!A:A, Réttabanki!AT:AT, "")), ""), "")))</f>
        <v/>
      </c>
      <c r="N1093" s="26" t="str">
        <f>IF(OR(F1093 = "", G1093 = ""), "", IF(F1093 = "Vara", IFERROR(_xlfn.SINGLE(_xlfn.XLOOKUP(G1093, Vöruskrá!A:A, Vöruskrá!G:G, "")), ""), IF(F1093 = "Réttur", IFERROR(_xlfn.SINGLE(_xlfn.XLOOKUP(G1093, Réttabanki!A:A, Réttabanki!AU:AU, "")), ""), "")))</f>
        <v/>
      </c>
      <c r="O1093" s="26" t="str">
        <f>IF(OR(F1093 = "", G1093 = "", I1093 = ""), "", IF(F1093 = "Vara", IFERROR(_xlfn.SINGLE(_xlfn.XLOOKUP(G1093, Vöruskrá!A:A, Vöruskrá!I:I, "")) * I1093 / 100, ""), IF(F1093 = "Réttur", IFERROR(_xlfn.SINGLE(_xlfn.XLOOKUP(G1093, Réttabanki!A:A, Réttabanki!AV:AV, "")) * I1093 / 100, ""), "")))</f>
        <v/>
      </c>
      <c r="P1093" s="26" t="str">
        <f>IF(OR(F1093 = "", G1093 = "", I1093 = ""), "", IF(F1093 = "Vara", IFERROR(_xlfn.SINGLE(_xlfn.XLOOKUP(G1093, Vöruskrá!A:A, Vöruskrá!J:J, "")) * I1093 / 100, ""), IF(F1093 = "Réttur", IFERROR(_xlfn.SINGLE(_xlfn.XLOOKUP(G1093, Réttabanki!A:A, Réttabanki!AW:AW, "")) * I1093 / 100, ""), "")))</f>
        <v/>
      </c>
      <c r="Q1093" s="26" t="str">
        <f>IF(OR(F1093 = "", G1093 = "", I1093 = ""), "", IF(F1093 = "Vara", IFERROR(_xlfn.SINGLE(_xlfn.XLOOKUP(G1093, Vöruskrá!A:A, Vöruskrá!N:N, "")) * I1093 / 100, ""), IF(F1093 = "Réttur", IFERROR(_xlfn.SINGLE(_xlfn.XLOOKUP(G1093, Réttabanki!A:A, Réttabanki!BB:BB, "")) * I1093 / 100, ""), "")))</f>
        <v/>
      </c>
    </row>
    <row r="1094" spans="2:17">
      <c r="B1094" s="33" t="str">
        <f>IF(A1094&lt;&gt;"",CHOOSE(WEEKDAY(A1094,2),"Mánudagur","Þriðjudagur","Miðvikudagur","Fimmtudagur","Föstudagur","Laugardagur","Sunnudagur"),IF(B1093&lt;&gt;"",B1093,""))</f>
        <v>Fimmtudagur</v>
      </c>
      <c r="C1094" s="33">
        <f>IF(A1094&lt;&gt;"",WEEKNUM(A1094,21),IF(C1093&lt;&gt;"",C1093,""))</f>
        <v>27</v>
      </c>
      <c r="D1094" s="34"/>
      <c r="E1094" s="34"/>
      <c r="F1094" s="34"/>
      <c r="G1094" s="34"/>
      <c r="H1094" s="34"/>
      <c r="I1094" s="35"/>
      <c r="J1094" s="35"/>
      <c r="K1094" s="36"/>
      <c r="L1094" s="26" t="str">
        <f>IF(OR(F1094 = "", G1094 = ""), "", IF(F1094 = "Vara", IFERROR(_xlfn.SINGLE(_xlfn.XLOOKUP(G1094, Vöruskrá!A:A, Vöruskrá!E:E, "")), ""), IF(F1094 = "Réttur", IFERROR(_xlfn.SINGLE(_xlfn.XLOOKUP(G1094, Réttabanki!A:A, Réttabanki!AS:AS, "")), ""), "")))</f>
        <v/>
      </c>
      <c r="M1094" s="26" t="str">
        <f>IF(OR(F1094 = "", G1094 = ""), "", IF(F1094 = "Vara", IFERROR(_xlfn.SINGLE(_xlfn.XLOOKUP(G1094, Vöruskrá!A:A, Vöruskrá!F:F, "")), ""), IF(F1094 = "Réttur", IFERROR(_xlfn.SINGLE(_xlfn.XLOOKUP(G1094, Réttabanki!A:A, Réttabanki!AT:AT, "")), ""), "")))</f>
        <v/>
      </c>
      <c r="N1094" s="26" t="str">
        <f>IF(OR(F1094 = "", G1094 = ""), "", IF(F1094 = "Vara", IFERROR(_xlfn.SINGLE(_xlfn.XLOOKUP(G1094, Vöruskrá!A:A, Vöruskrá!G:G, "")), ""), IF(F1094 = "Réttur", IFERROR(_xlfn.SINGLE(_xlfn.XLOOKUP(G1094, Réttabanki!A:A, Réttabanki!AU:AU, "")), ""), "")))</f>
        <v/>
      </c>
      <c r="O1094" s="26" t="str">
        <f>IF(OR(F1094 = "", G1094 = "", I1094 = ""), "", IF(F1094 = "Vara", IFERROR(_xlfn.SINGLE(_xlfn.XLOOKUP(G1094, Vöruskrá!A:A, Vöruskrá!I:I, "")) * I1094 / 100, ""), IF(F1094 = "Réttur", IFERROR(_xlfn.SINGLE(_xlfn.XLOOKUP(G1094, Réttabanki!A:A, Réttabanki!AV:AV, "")) * I1094 / 100, ""), "")))</f>
        <v/>
      </c>
      <c r="P1094" s="26" t="str">
        <f>IF(OR(F1094 = "", G1094 = "", I1094 = ""), "", IF(F1094 = "Vara", IFERROR(_xlfn.SINGLE(_xlfn.XLOOKUP(G1094, Vöruskrá!A:A, Vöruskrá!J:J, "")) * I1094 / 100, ""), IF(F1094 = "Réttur", IFERROR(_xlfn.SINGLE(_xlfn.XLOOKUP(G1094, Réttabanki!A:A, Réttabanki!AW:AW, "")) * I1094 / 100, ""), "")))</f>
        <v/>
      </c>
      <c r="Q1094" s="26" t="str">
        <f>IF(OR(F1094 = "", G1094 = "", I1094 = ""), "", IF(F1094 = "Vara", IFERROR(_xlfn.SINGLE(_xlfn.XLOOKUP(G1094, Vöruskrá!A:A, Vöruskrá!N:N, "")) * I1094 / 100, ""), IF(F1094 = "Réttur", IFERROR(_xlfn.SINGLE(_xlfn.XLOOKUP(G1094, Réttabanki!A:A, Réttabanki!BB:BB, "")) * I1094 / 100, ""), "")))</f>
        <v/>
      </c>
    </row>
    <row r="1095" spans="2:17">
      <c r="B1095" s="33" t="str">
        <f>IF(A1095&lt;&gt;"",CHOOSE(WEEKDAY(A1095,2),"Mánudagur","Þriðjudagur","Miðvikudagur","Fimmtudagur","Föstudagur","Laugardagur","Sunnudagur"),IF(B1094&lt;&gt;"",B1094,""))</f>
        <v>Fimmtudagur</v>
      </c>
      <c r="C1095" s="33">
        <f>IF(A1095&lt;&gt;"",WEEKNUM(A1095,21),IF(C1094&lt;&gt;"",C1094,""))</f>
        <v>27</v>
      </c>
      <c r="D1095" s="34"/>
      <c r="E1095" s="34"/>
      <c r="F1095" s="34"/>
      <c r="G1095" s="34"/>
      <c r="H1095" s="34"/>
      <c r="I1095" s="35"/>
      <c r="J1095" s="35"/>
      <c r="K1095" s="36"/>
      <c r="L1095" s="26" t="str">
        <f>IF(OR(F1095 = "", G1095 = ""), "", IF(F1095 = "Vara", IFERROR(_xlfn.SINGLE(_xlfn.XLOOKUP(G1095, Vöruskrá!A:A, Vöruskrá!E:E, "")), ""), IF(F1095 = "Réttur", IFERROR(_xlfn.SINGLE(_xlfn.XLOOKUP(G1095, Réttabanki!A:A, Réttabanki!AS:AS, "")), ""), "")))</f>
        <v/>
      </c>
      <c r="M1095" s="26" t="str">
        <f>IF(OR(F1095 = "", G1095 = ""), "", IF(F1095 = "Vara", IFERROR(_xlfn.SINGLE(_xlfn.XLOOKUP(G1095, Vöruskrá!A:A, Vöruskrá!F:F, "")), ""), IF(F1095 = "Réttur", IFERROR(_xlfn.SINGLE(_xlfn.XLOOKUP(G1095, Réttabanki!A:A, Réttabanki!AT:AT, "")), ""), "")))</f>
        <v/>
      </c>
      <c r="N1095" s="26" t="str">
        <f>IF(OR(F1095 = "", G1095 = ""), "", IF(F1095 = "Vara", IFERROR(_xlfn.SINGLE(_xlfn.XLOOKUP(G1095, Vöruskrá!A:A, Vöruskrá!G:G, "")), ""), IF(F1095 = "Réttur", IFERROR(_xlfn.SINGLE(_xlfn.XLOOKUP(G1095, Réttabanki!A:A, Réttabanki!AU:AU, "")), ""), "")))</f>
        <v/>
      </c>
      <c r="O1095" s="26" t="str">
        <f>IF(OR(F1095 = "", G1095 = "", I1095 = ""), "", IF(F1095 = "Vara", IFERROR(_xlfn.SINGLE(_xlfn.XLOOKUP(G1095, Vöruskrá!A:A, Vöruskrá!I:I, "")) * I1095 / 100, ""), IF(F1095 = "Réttur", IFERROR(_xlfn.SINGLE(_xlfn.XLOOKUP(G1095, Réttabanki!A:A, Réttabanki!AV:AV, "")) * I1095 / 100, ""), "")))</f>
        <v/>
      </c>
      <c r="P1095" s="26" t="str">
        <f>IF(OR(F1095 = "", G1095 = "", I1095 = ""), "", IF(F1095 = "Vara", IFERROR(_xlfn.SINGLE(_xlfn.XLOOKUP(G1095, Vöruskrá!A:A, Vöruskrá!J:J, "")) * I1095 / 100, ""), IF(F1095 = "Réttur", IFERROR(_xlfn.SINGLE(_xlfn.XLOOKUP(G1095, Réttabanki!A:A, Réttabanki!AW:AW, "")) * I1095 / 100, ""), "")))</f>
        <v/>
      </c>
      <c r="Q1095" s="26" t="str">
        <f>IF(OR(F1095 = "", G1095 = "", I1095 = ""), "", IF(F1095 = "Vara", IFERROR(_xlfn.SINGLE(_xlfn.XLOOKUP(G1095, Vöruskrá!A:A, Vöruskrá!N:N, "")) * I1095 / 100, ""), IF(F1095 = "Réttur", IFERROR(_xlfn.SINGLE(_xlfn.XLOOKUP(G1095, Réttabanki!A:A, Réttabanki!BB:BB, "")) * I1095 / 100, ""), "")))</f>
        <v/>
      </c>
    </row>
    <row r="1096" spans="2:17">
      <c r="B1096" s="33" t="str">
        <f>IF(A1096&lt;&gt;"",CHOOSE(WEEKDAY(A1096,2),"Mánudagur","Þriðjudagur","Miðvikudagur","Fimmtudagur","Föstudagur","Laugardagur","Sunnudagur"),IF(B1095&lt;&gt;"",B1095,""))</f>
        <v>Fimmtudagur</v>
      </c>
      <c r="C1096" s="33">
        <f>IF(A1096&lt;&gt;"",WEEKNUM(A1096,21),IF(C1095&lt;&gt;"",C1095,""))</f>
        <v>27</v>
      </c>
      <c r="D1096" s="34"/>
      <c r="E1096" s="34"/>
      <c r="F1096" s="34"/>
      <c r="G1096" s="34"/>
      <c r="H1096" s="34"/>
      <c r="I1096" s="35"/>
      <c r="J1096" s="35"/>
      <c r="K1096" s="36"/>
      <c r="L1096" s="26" t="str">
        <f>IF(OR(F1096 = "", G1096 = ""), "", IF(F1096 = "Vara", IFERROR(_xlfn.SINGLE(_xlfn.XLOOKUP(G1096, Vöruskrá!A:A, Vöruskrá!E:E, "")), ""), IF(F1096 = "Réttur", IFERROR(_xlfn.SINGLE(_xlfn.XLOOKUP(G1096, Réttabanki!A:A, Réttabanki!AS:AS, "")), ""), "")))</f>
        <v/>
      </c>
      <c r="M1096" s="26" t="str">
        <f>IF(OR(F1096 = "", G1096 = ""), "", IF(F1096 = "Vara", IFERROR(_xlfn.SINGLE(_xlfn.XLOOKUP(G1096, Vöruskrá!A:A, Vöruskrá!F:F, "")), ""), IF(F1096 = "Réttur", IFERROR(_xlfn.SINGLE(_xlfn.XLOOKUP(G1096, Réttabanki!A:A, Réttabanki!AT:AT, "")), ""), "")))</f>
        <v/>
      </c>
      <c r="N1096" s="26" t="str">
        <f>IF(OR(F1096 = "", G1096 = ""), "", IF(F1096 = "Vara", IFERROR(_xlfn.SINGLE(_xlfn.XLOOKUP(G1096, Vöruskrá!A:A, Vöruskrá!G:G, "")), ""), IF(F1096 = "Réttur", IFERROR(_xlfn.SINGLE(_xlfn.XLOOKUP(G1096, Réttabanki!A:A, Réttabanki!AU:AU, "")), ""), "")))</f>
        <v/>
      </c>
      <c r="O1096" s="26" t="str">
        <f>IF(OR(F1096 = "", G1096 = "", I1096 = ""), "", IF(F1096 = "Vara", IFERROR(_xlfn.SINGLE(_xlfn.XLOOKUP(G1096, Vöruskrá!A:A, Vöruskrá!I:I, "")) * I1096 / 100, ""), IF(F1096 = "Réttur", IFERROR(_xlfn.SINGLE(_xlfn.XLOOKUP(G1096, Réttabanki!A:A, Réttabanki!AV:AV, "")) * I1096 / 100, ""), "")))</f>
        <v/>
      </c>
      <c r="P1096" s="26" t="str">
        <f>IF(OR(F1096 = "", G1096 = "", I1096 = ""), "", IF(F1096 = "Vara", IFERROR(_xlfn.SINGLE(_xlfn.XLOOKUP(G1096, Vöruskrá!A:A, Vöruskrá!J:J, "")) * I1096 / 100, ""), IF(F1096 = "Réttur", IFERROR(_xlfn.SINGLE(_xlfn.XLOOKUP(G1096, Réttabanki!A:A, Réttabanki!AW:AW, "")) * I1096 / 100, ""), "")))</f>
        <v/>
      </c>
      <c r="Q1096" s="26" t="str">
        <f>IF(OR(F1096 = "", G1096 = "", I1096 = ""), "", IF(F1096 = "Vara", IFERROR(_xlfn.SINGLE(_xlfn.XLOOKUP(G1096, Vöruskrá!A:A, Vöruskrá!N:N, "")) * I1096 / 100, ""), IF(F1096 = "Réttur", IFERROR(_xlfn.SINGLE(_xlfn.XLOOKUP(G1096, Réttabanki!A:A, Réttabanki!BB:BB, "")) * I1096 / 100, ""), "")))</f>
        <v/>
      </c>
    </row>
    <row r="1097" spans="2:17">
      <c r="B1097" s="33" t="str">
        <f>IF(A1097&lt;&gt;"",CHOOSE(WEEKDAY(A1097,2),"Mánudagur","Þriðjudagur","Miðvikudagur","Fimmtudagur","Föstudagur","Laugardagur","Sunnudagur"),IF(B1096&lt;&gt;"",B1096,""))</f>
        <v>Fimmtudagur</v>
      </c>
      <c r="C1097" s="33">
        <f>IF(A1097&lt;&gt;"",WEEKNUM(A1097,21),IF(C1096&lt;&gt;"",C1096,""))</f>
        <v>27</v>
      </c>
      <c r="D1097" s="34"/>
      <c r="E1097" s="34"/>
      <c r="F1097" s="34"/>
      <c r="G1097" s="34"/>
      <c r="H1097" s="34"/>
      <c r="I1097" s="35"/>
      <c r="J1097" s="35"/>
      <c r="K1097" s="36"/>
      <c r="L1097" s="26" t="str">
        <f>IF(OR(F1097 = "", G1097 = ""), "", IF(F1097 = "Vara", IFERROR(_xlfn.SINGLE(_xlfn.XLOOKUP(G1097, Vöruskrá!A:A, Vöruskrá!E:E, "")), ""), IF(F1097 = "Réttur", IFERROR(_xlfn.SINGLE(_xlfn.XLOOKUP(G1097, Réttabanki!A:A, Réttabanki!AS:AS, "")), ""), "")))</f>
        <v/>
      </c>
      <c r="M1097" s="26" t="str">
        <f>IF(OR(F1097 = "", G1097 = ""), "", IF(F1097 = "Vara", IFERROR(_xlfn.SINGLE(_xlfn.XLOOKUP(G1097, Vöruskrá!A:A, Vöruskrá!F:F, "")), ""), IF(F1097 = "Réttur", IFERROR(_xlfn.SINGLE(_xlfn.XLOOKUP(G1097, Réttabanki!A:A, Réttabanki!AT:AT, "")), ""), "")))</f>
        <v/>
      </c>
      <c r="N1097" s="26" t="str">
        <f>IF(OR(F1097 = "", G1097 = ""), "", IF(F1097 = "Vara", IFERROR(_xlfn.SINGLE(_xlfn.XLOOKUP(G1097, Vöruskrá!A:A, Vöruskrá!G:G, "")), ""), IF(F1097 = "Réttur", IFERROR(_xlfn.SINGLE(_xlfn.XLOOKUP(G1097, Réttabanki!A:A, Réttabanki!AU:AU, "")), ""), "")))</f>
        <v/>
      </c>
      <c r="O1097" s="26" t="str">
        <f>IF(OR(F1097 = "", G1097 = "", I1097 = ""), "", IF(F1097 = "Vara", IFERROR(_xlfn.SINGLE(_xlfn.XLOOKUP(G1097, Vöruskrá!A:A, Vöruskrá!I:I, "")) * I1097 / 100, ""), IF(F1097 = "Réttur", IFERROR(_xlfn.SINGLE(_xlfn.XLOOKUP(G1097, Réttabanki!A:A, Réttabanki!AV:AV, "")) * I1097 / 100, ""), "")))</f>
        <v/>
      </c>
      <c r="P1097" s="26" t="str">
        <f>IF(OR(F1097 = "", G1097 = "", I1097 = ""), "", IF(F1097 = "Vara", IFERROR(_xlfn.SINGLE(_xlfn.XLOOKUP(G1097, Vöruskrá!A:A, Vöruskrá!J:J, "")) * I1097 / 100, ""), IF(F1097 = "Réttur", IFERROR(_xlfn.SINGLE(_xlfn.XLOOKUP(G1097, Réttabanki!A:A, Réttabanki!AW:AW, "")) * I1097 / 100, ""), "")))</f>
        <v/>
      </c>
      <c r="Q1097" s="26" t="str">
        <f>IF(OR(F1097 = "", G1097 = "", I1097 = ""), "", IF(F1097 = "Vara", IFERROR(_xlfn.SINGLE(_xlfn.XLOOKUP(G1097, Vöruskrá!A:A, Vöruskrá!N:N, "")) * I1097 / 100, ""), IF(F1097 = "Réttur", IFERROR(_xlfn.SINGLE(_xlfn.XLOOKUP(G1097, Réttabanki!A:A, Réttabanki!BB:BB, "")) * I1097 / 100, ""), "")))</f>
        <v/>
      </c>
    </row>
    <row r="1098" spans="2:17">
      <c r="B1098" s="33" t="str">
        <f>IF(A1098&lt;&gt;"",CHOOSE(WEEKDAY(A1098,2),"Mánudagur","Þriðjudagur","Miðvikudagur","Fimmtudagur","Föstudagur","Laugardagur","Sunnudagur"),IF(B1097&lt;&gt;"",B1097,""))</f>
        <v>Fimmtudagur</v>
      </c>
      <c r="C1098" s="33">
        <f>IF(A1098&lt;&gt;"",WEEKNUM(A1098,21),IF(C1097&lt;&gt;"",C1097,""))</f>
        <v>27</v>
      </c>
      <c r="D1098" s="34"/>
      <c r="E1098" s="34"/>
      <c r="F1098" s="34"/>
      <c r="G1098" s="34"/>
      <c r="H1098" s="34"/>
      <c r="I1098" s="35"/>
      <c r="J1098" s="35"/>
      <c r="K1098" s="36"/>
      <c r="L1098" s="26" t="str">
        <f>IF(OR(F1098 = "", G1098 = ""), "", IF(F1098 = "Vara", IFERROR(_xlfn.SINGLE(_xlfn.XLOOKUP(G1098, Vöruskrá!A:A, Vöruskrá!E:E, "")), ""), IF(F1098 = "Réttur", IFERROR(_xlfn.SINGLE(_xlfn.XLOOKUP(G1098, Réttabanki!A:A, Réttabanki!AS:AS, "")), ""), "")))</f>
        <v/>
      </c>
      <c r="M1098" s="26" t="str">
        <f>IF(OR(F1098 = "", G1098 = ""), "", IF(F1098 = "Vara", IFERROR(_xlfn.SINGLE(_xlfn.XLOOKUP(G1098, Vöruskrá!A:A, Vöruskrá!F:F, "")), ""), IF(F1098 = "Réttur", IFERROR(_xlfn.SINGLE(_xlfn.XLOOKUP(G1098, Réttabanki!A:A, Réttabanki!AT:AT, "")), ""), "")))</f>
        <v/>
      </c>
      <c r="N1098" s="26" t="str">
        <f>IF(OR(F1098 = "", G1098 = ""), "", IF(F1098 = "Vara", IFERROR(_xlfn.SINGLE(_xlfn.XLOOKUP(G1098, Vöruskrá!A:A, Vöruskrá!G:G, "")), ""), IF(F1098 = "Réttur", IFERROR(_xlfn.SINGLE(_xlfn.XLOOKUP(G1098, Réttabanki!A:A, Réttabanki!AU:AU, "")), ""), "")))</f>
        <v/>
      </c>
      <c r="O1098" s="26" t="str">
        <f>IF(OR(F1098 = "", G1098 = "", I1098 = ""), "", IF(F1098 = "Vara", IFERROR(_xlfn.SINGLE(_xlfn.XLOOKUP(G1098, Vöruskrá!A:A, Vöruskrá!I:I, "")) * I1098 / 100, ""), IF(F1098 = "Réttur", IFERROR(_xlfn.SINGLE(_xlfn.XLOOKUP(G1098, Réttabanki!A:A, Réttabanki!AV:AV, "")) * I1098 / 100, ""), "")))</f>
        <v/>
      </c>
      <c r="P1098" s="26" t="str">
        <f>IF(OR(F1098 = "", G1098 = "", I1098 = ""), "", IF(F1098 = "Vara", IFERROR(_xlfn.SINGLE(_xlfn.XLOOKUP(G1098, Vöruskrá!A:A, Vöruskrá!J:J, "")) * I1098 / 100, ""), IF(F1098 = "Réttur", IFERROR(_xlfn.SINGLE(_xlfn.XLOOKUP(G1098, Réttabanki!A:A, Réttabanki!AW:AW, "")) * I1098 / 100, ""), "")))</f>
        <v/>
      </c>
      <c r="Q1098" s="26" t="str">
        <f>IF(OR(F1098 = "", G1098 = "", I1098 = ""), "", IF(F1098 = "Vara", IFERROR(_xlfn.SINGLE(_xlfn.XLOOKUP(G1098, Vöruskrá!A:A, Vöruskrá!N:N, "")) * I1098 / 100, ""), IF(F1098 = "Réttur", IFERROR(_xlfn.SINGLE(_xlfn.XLOOKUP(G1098, Réttabanki!A:A, Réttabanki!BB:BB, "")) * I1098 / 100, ""), "")))</f>
        <v/>
      </c>
    </row>
    <row r="1099" spans="2:17">
      <c r="B1099" s="33" t="str">
        <f>IF(A1099&lt;&gt;"",CHOOSE(WEEKDAY(A1099,2),"Mánudagur","Þriðjudagur","Miðvikudagur","Fimmtudagur","Föstudagur","Laugardagur","Sunnudagur"),IF(B1098&lt;&gt;"",B1098,""))</f>
        <v>Fimmtudagur</v>
      </c>
      <c r="C1099" s="33">
        <f>IF(A1099&lt;&gt;"",WEEKNUM(A1099,21),IF(C1098&lt;&gt;"",C1098,""))</f>
        <v>27</v>
      </c>
      <c r="D1099" s="34"/>
      <c r="E1099" s="34"/>
      <c r="F1099" s="34"/>
      <c r="G1099" s="34"/>
      <c r="H1099" s="34"/>
      <c r="I1099" s="35"/>
      <c r="J1099" s="35"/>
      <c r="K1099" s="36"/>
      <c r="L1099" s="26" t="str">
        <f>IF(OR(F1099 = "", G1099 = ""), "", IF(F1099 = "Vara", IFERROR(_xlfn.SINGLE(_xlfn.XLOOKUP(G1099, Vöruskrá!A:A, Vöruskrá!E:E, "")), ""), IF(F1099 = "Réttur", IFERROR(_xlfn.SINGLE(_xlfn.XLOOKUP(G1099, Réttabanki!A:A, Réttabanki!AS:AS, "")), ""), "")))</f>
        <v/>
      </c>
      <c r="M1099" s="26" t="str">
        <f>IF(OR(F1099 = "", G1099 = ""), "", IF(F1099 = "Vara", IFERROR(_xlfn.SINGLE(_xlfn.XLOOKUP(G1099, Vöruskrá!A:A, Vöruskrá!F:F, "")), ""), IF(F1099 = "Réttur", IFERROR(_xlfn.SINGLE(_xlfn.XLOOKUP(G1099, Réttabanki!A:A, Réttabanki!AT:AT, "")), ""), "")))</f>
        <v/>
      </c>
      <c r="N1099" s="26" t="str">
        <f>IF(OR(F1099 = "", G1099 = ""), "", IF(F1099 = "Vara", IFERROR(_xlfn.SINGLE(_xlfn.XLOOKUP(G1099, Vöruskrá!A:A, Vöruskrá!G:G, "")), ""), IF(F1099 = "Réttur", IFERROR(_xlfn.SINGLE(_xlfn.XLOOKUP(G1099, Réttabanki!A:A, Réttabanki!AU:AU, "")), ""), "")))</f>
        <v/>
      </c>
      <c r="O1099" s="26" t="str">
        <f>IF(OR(F1099 = "", G1099 = "", I1099 = ""), "", IF(F1099 = "Vara", IFERROR(_xlfn.SINGLE(_xlfn.XLOOKUP(G1099, Vöruskrá!A:A, Vöruskrá!I:I, "")) * I1099 / 100, ""), IF(F1099 = "Réttur", IFERROR(_xlfn.SINGLE(_xlfn.XLOOKUP(G1099, Réttabanki!A:A, Réttabanki!AV:AV, "")) * I1099 / 100, ""), "")))</f>
        <v/>
      </c>
      <c r="P1099" s="26" t="str">
        <f>IF(OR(F1099 = "", G1099 = "", I1099 = ""), "", IF(F1099 = "Vara", IFERROR(_xlfn.SINGLE(_xlfn.XLOOKUP(G1099, Vöruskrá!A:A, Vöruskrá!J:J, "")) * I1099 / 100, ""), IF(F1099 = "Réttur", IFERROR(_xlfn.SINGLE(_xlfn.XLOOKUP(G1099, Réttabanki!A:A, Réttabanki!AW:AW, "")) * I1099 / 100, ""), "")))</f>
        <v/>
      </c>
      <c r="Q1099" s="26" t="str">
        <f>IF(OR(F1099 = "", G1099 = "", I1099 = ""), "", IF(F1099 = "Vara", IFERROR(_xlfn.SINGLE(_xlfn.XLOOKUP(G1099, Vöruskrá!A:A, Vöruskrá!N:N, "")) * I1099 / 100, ""), IF(F1099 = "Réttur", IFERROR(_xlfn.SINGLE(_xlfn.XLOOKUP(G1099, Réttabanki!A:A, Réttabanki!BB:BB, "")) * I1099 / 100, ""), "")))</f>
        <v/>
      </c>
    </row>
    <row r="1100" spans="2:17">
      <c r="B1100" s="33" t="str">
        <f>IF(A1100&lt;&gt;"",CHOOSE(WEEKDAY(A1100,2),"Mánudagur","Þriðjudagur","Miðvikudagur","Fimmtudagur","Föstudagur","Laugardagur","Sunnudagur"),IF(B1099&lt;&gt;"",B1099,""))</f>
        <v>Fimmtudagur</v>
      </c>
      <c r="C1100" s="33">
        <f>IF(A1100&lt;&gt;"",WEEKNUM(A1100,21),IF(C1099&lt;&gt;"",C1099,""))</f>
        <v>27</v>
      </c>
      <c r="D1100" s="34"/>
      <c r="E1100" s="34"/>
      <c r="F1100" s="34"/>
      <c r="G1100" s="34"/>
      <c r="H1100" s="34"/>
      <c r="I1100" s="35"/>
      <c r="J1100" s="35"/>
      <c r="K1100" s="36"/>
      <c r="L1100" s="26" t="str">
        <f>IF(OR(F1100 = "", G1100 = ""), "", IF(F1100 = "Vara", IFERROR(_xlfn.SINGLE(_xlfn.XLOOKUP(G1100, Vöruskrá!A:A, Vöruskrá!E:E, "")), ""), IF(F1100 = "Réttur", IFERROR(_xlfn.SINGLE(_xlfn.XLOOKUP(G1100, Réttabanki!A:A, Réttabanki!AS:AS, "")), ""), "")))</f>
        <v/>
      </c>
      <c r="M1100" s="26" t="str">
        <f>IF(OR(F1100 = "", G1100 = ""), "", IF(F1100 = "Vara", IFERROR(_xlfn.SINGLE(_xlfn.XLOOKUP(G1100, Vöruskrá!A:A, Vöruskrá!F:F, "")), ""), IF(F1100 = "Réttur", IFERROR(_xlfn.SINGLE(_xlfn.XLOOKUP(G1100, Réttabanki!A:A, Réttabanki!AT:AT, "")), ""), "")))</f>
        <v/>
      </c>
      <c r="N1100" s="26" t="str">
        <f>IF(OR(F1100 = "", G1100 = ""), "", IF(F1100 = "Vara", IFERROR(_xlfn.SINGLE(_xlfn.XLOOKUP(G1100, Vöruskrá!A:A, Vöruskrá!G:G, "")), ""), IF(F1100 = "Réttur", IFERROR(_xlfn.SINGLE(_xlfn.XLOOKUP(G1100, Réttabanki!A:A, Réttabanki!AU:AU, "")), ""), "")))</f>
        <v/>
      </c>
      <c r="O1100" s="26" t="str">
        <f>IF(OR(F1100 = "", G1100 = "", I1100 = ""), "", IF(F1100 = "Vara", IFERROR(_xlfn.SINGLE(_xlfn.XLOOKUP(G1100, Vöruskrá!A:A, Vöruskrá!I:I, "")) * I1100 / 100, ""), IF(F1100 = "Réttur", IFERROR(_xlfn.SINGLE(_xlfn.XLOOKUP(G1100, Réttabanki!A:A, Réttabanki!AV:AV, "")) * I1100 / 100, ""), "")))</f>
        <v/>
      </c>
      <c r="P1100" s="26" t="str">
        <f>IF(OR(F1100 = "", G1100 = "", I1100 = ""), "", IF(F1100 = "Vara", IFERROR(_xlfn.SINGLE(_xlfn.XLOOKUP(G1100, Vöruskrá!A:A, Vöruskrá!J:J, "")) * I1100 / 100, ""), IF(F1100 = "Réttur", IFERROR(_xlfn.SINGLE(_xlfn.XLOOKUP(G1100, Réttabanki!A:A, Réttabanki!AW:AW, "")) * I1100 / 100, ""), "")))</f>
        <v/>
      </c>
      <c r="Q1100" s="26" t="str">
        <f>IF(OR(F1100 = "", G1100 = "", I1100 = ""), "", IF(F1100 = "Vara", IFERROR(_xlfn.SINGLE(_xlfn.XLOOKUP(G1100, Vöruskrá!A:A, Vöruskrá!N:N, "")) * I1100 / 100, ""), IF(F1100 = "Réttur", IFERROR(_xlfn.SINGLE(_xlfn.XLOOKUP(G1100, Réttabanki!A:A, Réttabanki!BB:BB, "")) * I1100 / 100, ""), "")))</f>
        <v/>
      </c>
    </row>
    <row r="1101" spans="2:17">
      <c r="B1101" s="33" t="str">
        <f>IF(A1101&lt;&gt;"",CHOOSE(WEEKDAY(A1101,2),"Mánudagur","Þriðjudagur","Miðvikudagur","Fimmtudagur","Föstudagur","Laugardagur","Sunnudagur"),IF(B1100&lt;&gt;"",B1100,""))</f>
        <v>Fimmtudagur</v>
      </c>
      <c r="C1101" s="33">
        <f>IF(A1101&lt;&gt;"",WEEKNUM(A1101,21),IF(C1100&lt;&gt;"",C1100,""))</f>
        <v>27</v>
      </c>
      <c r="D1101" s="34"/>
      <c r="E1101" s="34"/>
      <c r="F1101" s="34"/>
      <c r="G1101" s="34"/>
      <c r="H1101" s="34"/>
      <c r="I1101" s="35"/>
      <c r="J1101" s="35"/>
      <c r="K1101" s="36"/>
      <c r="L1101" s="26" t="str">
        <f>IF(OR(F1101 = "", G1101 = ""), "", IF(F1101 = "Vara", IFERROR(_xlfn.SINGLE(_xlfn.XLOOKUP(G1101, Vöruskrá!A:A, Vöruskrá!E:E, "")), ""), IF(F1101 = "Réttur", IFERROR(_xlfn.SINGLE(_xlfn.XLOOKUP(G1101, Réttabanki!A:A, Réttabanki!AS:AS, "")), ""), "")))</f>
        <v/>
      </c>
      <c r="M1101" s="26" t="str">
        <f>IF(OR(F1101 = "", G1101 = ""), "", IF(F1101 = "Vara", IFERROR(_xlfn.SINGLE(_xlfn.XLOOKUP(G1101, Vöruskrá!A:A, Vöruskrá!F:F, "")), ""), IF(F1101 = "Réttur", IFERROR(_xlfn.SINGLE(_xlfn.XLOOKUP(G1101, Réttabanki!A:A, Réttabanki!AT:AT, "")), ""), "")))</f>
        <v/>
      </c>
      <c r="N1101" s="26" t="str">
        <f>IF(OR(F1101 = "", G1101 = ""), "", IF(F1101 = "Vara", IFERROR(_xlfn.SINGLE(_xlfn.XLOOKUP(G1101, Vöruskrá!A:A, Vöruskrá!G:G, "")), ""), IF(F1101 = "Réttur", IFERROR(_xlfn.SINGLE(_xlfn.XLOOKUP(G1101, Réttabanki!A:A, Réttabanki!AU:AU, "")), ""), "")))</f>
        <v/>
      </c>
      <c r="O1101" s="26" t="str">
        <f>IF(OR(F1101 = "", G1101 = "", I1101 = ""), "", IF(F1101 = "Vara", IFERROR(_xlfn.SINGLE(_xlfn.XLOOKUP(G1101, Vöruskrá!A:A, Vöruskrá!I:I, "")) * I1101 / 100, ""), IF(F1101 = "Réttur", IFERROR(_xlfn.SINGLE(_xlfn.XLOOKUP(G1101, Réttabanki!A:A, Réttabanki!AV:AV, "")) * I1101 / 100, ""), "")))</f>
        <v/>
      </c>
      <c r="P1101" s="26" t="str">
        <f>IF(OR(F1101 = "", G1101 = "", I1101 = ""), "", IF(F1101 = "Vara", IFERROR(_xlfn.SINGLE(_xlfn.XLOOKUP(G1101, Vöruskrá!A:A, Vöruskrá!J:J, "")) * I1101 / 100, ""), IF(F1101 = "Réttur", IFERROR(_xlfn.SINGLE(_xlfn.XLOOKUP(G1101, Réttabanki!A:A, Réttabanki!AW:AW, "")) * I1101 / 100, ""), "")))</f>
        <v/>
      </c>
      <c r="Q1101" s="26" t="str">
        <f>IF(OR(F1101 = "", G1101 = "", I1101 = ""), "", IF(F1101 = "Vara", IFERROR(_xlfn.SINGLE(_xlfn.XLOOKUP(G1101, Vöruskrá!A:A, Vöruskrá!N:N, "")) * I1101 / 100, ""), IF(F1101 = "Réttur", IFERROR(_xlfn.SINGLE(_xlfn.XLOOKUP(G1101, Réttabanki!A:A, Réttabanki!BB:BB, "")) * I1101 / 100, ""), "")))</f>
        <v/>
      </c>
    </row>
    <row r="1102" spans="2:17">
      <c r="B1102" s="33" t="str">
        <f>IF(A1102&lt;&gt;"",CHOOSE(WEEKDAY(A1102,2),"Mánudagur","Þriðjudagur","Miðvikudagur","Fimmtudagur","Föstudagur","Laugardagur","Sunnudagur"),IF(B1101&lt;&gt;"",B1101,""))</f>
        <v>Fimmtudagur</v>
      </c>
      <c r="C1102" s="33">
        <f>IF(A1102&lt;&gt;"",WEEKNUM(A1102,21),IF(C1101&lt;&gt;"",C1101,""))</f>
        <v>27</v>
      </c>
      <c r="D1102" s="34"/>
      <c r="E1102" s="34"/>
      <c r="F1102" s="34"/>
      <c r="G1102" s="34"/>
      <c r="H1102" s="34"/>
      <c r="I1102" s="35"/>
      <c r="J1102" s="35"/>
      <c r="K1102" s="36"/>
      <c r="L1102" s="26" t="str">
        <f>IF(OR(F1102 = "", G1102 = ""), "", IF(F1102 = "Vara", IFERROR(_xlfn.SINGLE(_xlfn.XLOOKUP(G1102, Vöruskrá!A:A, Vöruskrá!E:E, "")), ""), IF(F1102 = "Réttur", IFERROR(_xlfn.SINGLE(_xlfn.XLOOKUP(G1102, Réttabanki!A:A, Réttabanki!AS:AS, "")), ""), "")))</f>
        <v/>
      </c>
      <c r="M1102" s="26" t="str">
        <f>IF(OR(F1102 = "", G1102 = ""), "", IF(F1102 = "Vara", IFERROR(_xlfn.SINGLE(_xlfn.XLOOKUP(G1102, Vöruskrá!A:A, Vöruskrá!F:F, "")), ""), IF(F1102 = "Réttur", IFERROR(_xlfn.SINGLE(_xlfn.XLOOKUP(G1102, Réttabanki!A:A, Réttabanki!AT:AT, "")), ""), "")))</f>
        <v/>
      </c>
      <c r="N1102" s="26" t="str">
        <f>IF(OR(F1102 = "", G1102 = ""), "", IF(F1102 = "Vara", IFERROR(_xlfn.SINGLE(_xlfn.XLOOKUP(G1102, Vöruskrá!A:A, Vöruskrá!G:G, "")), ""), IF(F1102 = "Réttur", IFERROR(_xlfn.SINGLE(_xlfn.XLOOKUP(G1102, Réttabanki!A:A, Réttabanki!AU:AU, "")), ""), "")))</f>
        <v/>
      </c>
      <c r="O1102" s="26" t="str">
        <f>IF(OR(F1102 = "", G1102 = "", I1102 = ""), "", IF(F1102 = "Vara", IFERROR(_xlfn.SINGLE(_xlfn.XLOOKUP(G1102, Vöruskrá!A:A, Vöruskrá!I:I, "")) * I1102 / 100, ""), IF(F1102 = "Réttur", IFERROR(_xlfn.SINGLE(_xlfn.XLOOKUP(G1102, Réttabanki!A:A, Réttabanki!AV:AV, "")) * I1102 / 100, ""), "")))</f>
        <v/>
      </c>
      <c r="P1102" s="26" t="str">
        <f>IF(OR(F1102 = "", G1102 = "", I1102 = ""), "", IF(F1102 = "Vara", IFERROR(_xlfn.SINGLE(_xlfn.XLOOKUP(G1102, Vöruskrá!A:A, Vöruskrá!J:J, "")) * I1102 / 100, ""), IF(F1102 = "Réttur", IFERROR(_xlfn.SINGLE(_xlfn.XLOOKUP(G1102, Réttabanki!A:A, Réttabanki!AW:AW, "")) * I1102 / 100, ""), "")))</f>
        <v/>
      </c>
      <c r="Q1102" s="26" t="str">
        <f>IF(OR(F1102 = "", G1102 = "", I1102 = ""), "", IF(F1102 = "Vara", IFERROR(_xlfn.SINGLE(_xlfn.XLOOKUP(G1102, Vöruskrá!A:A, Vöruskrá!N:N, "")) * I1102 / 100, ""), IF(F1102 = "Réttur", IFERROR(_xlfn.SINGLE(_xlfn.XLOOKUP(G1102, Réttabanki!A:A, Réttabanki!BB:BB, "")) * I1102 / 100, ""), "")))</f>
        <v/>
      </c>
    </row>
    <row r="1103" spans="2:17">
      <c r="B1103" s="33" t="str">
        <f>IF(A1103&lt;&gt;"",CHOOSE(WEEKDAY(A1103,2),"Mánudagur","Þriðjudagur","Miðvikudagur","Fimmtudagur","Föstudagur","Laugardagur","Sunnudagur"),IF(B1102&lt;&gt;"",B1102,""))</f>
        <v>Fimmtudagur</v>
      </c>
      <c r="C1103" s="33">
        <f>IF(A1103&lt;&gt;"",WEEKNUM(A1103,21),IF(C1102&lt;&gt;"",C1102,""))</f>
        <v>27</v>
      </c>
      <c r="D1103" s="34"/>
      <c r="E1103" s="34"/>
      <c r="F1103" s="34"/>
      <c r="G1103" s="34"/>
      <c r="H1103" s="34"/>
      <c r="I1103" s="35"/>
      <c r="J1103" s="35"/>
      <c r="K1103" s="36"/>
      <c r="L1103" s="26" t="str">
        <f>IF(OR(F1103 = "", G1103 = ""), "", IF(F1103 = "Vara", IFERROR(_xlfn.SINGLE(_xlfn.XLOOKUP(G1103, Vöruskrá!A:A, Vöruskrá!E:E, "")), ""), IF(F1103 = "Réttur", IFERROR(_xlfn.SINGLE(_xlfn.XLOOKUP(G1103, Réttabanki!A:A, Réttabanki!AS:AS, "")), ""), "")))</f>
        <v/>
      </c>
      <c r="M1103" s="26" t="str">
        <f>IF(OR(F1103 = "", G1103 = ""), "", IF(F1103 = "Vara", IFERROR(_xlfn.SINGLE(_xlfn.XLOOKUP(G1103, Vöruskrá!A:A, Vöruskrá!F:F, "")), ""), IF(F1103 = "Réttur", IFERROR(_xlfn.SINGLE(_xlfn.XLOOKUP(G1103, Réttabanki!A:A, Réttabanki!AT:AT, "")), ""), "")))</f>
        <v/>
      </c>
      <c r="N1103" s="26" t="str">
        <f>IF(OR(F1103 = "", G1103 = ""), "", IF(F1103 = "Vara", IFERROR(_xlfn.SINGLE(_xlfn.XLOOKUP(G1103, Vöruskrá!A:A, Vöruskrá!G:G, "")), ""), IF(F1103 = "Réttur", IFERROR(_xlfn.SINGLE(_xlfn.XLOOKUP(G1103, Réttabanki!A:A, Réttabanki!AU:AU, "")), ""), "")))</f>
        <v/>
      </c>
      <c r="O1103" s="26" t="str">
        <f>IF(OR(F1103 = "", G1103 = "", I1103 = ""), "", IF(F1103 = "Vara", IFERROR(_xlfn.SINGLE(_xlfn.XLOOKUP(G1103, Vöruskrá!A:A, Vöruskrá!I:I, "")) * I1103 / 100, ""), IF(F1103 = "Réttur", IFERROR(_xlfn.SINGLE(_xlfn.XLOOKUP(G1103, Réttabanki!A:A, Réttabanki!AV:AV, "")) * I1103 / 100, ""), "")))</f>
        <v/>
      </c>
      <c r="P1103" s="26" t="str">
        <f>IF(OR(F1103 = "", G1103 = "", I1103 = ""), "", IF(F1103 = "Vara", IFERROR(_xlfn.SINGLE(_xlfn.XLOOKUP(G1103, Vöruskrá!A:A, Vöruskrá!J:J, "")) * I1103 / 100, ""), IF(F1103 = "Réttur", IFERROR(_xlfn.SINGLE(_xlfn.XLOOKUP(G1103, Réttabanki!A:A, Réttabanki!AW:AW, "")) * I1103 / 100, ""), "")))</f>
        <v/>
      </c>
      <c r="Q1103" s="26" t="str">
        <f>IF(OR(F1103 = "", G1103 = "", I1103 = ""), "", IF(F1103 = "Vara", IFERROR(_xlfn.SINGLE(_xlfn.XLOOKUP(G1103, Vöruskrá!A:A, Vöruskrá!N:N, "")) * I1103 / 100, ""), IF(F1103 = "Réttur", IFERROR(_xlfn.SINGLE(_xlfn.XLOOKUP(G1103, Réttabanki!A:A, Réttabanki!BB:BB, "")) * I1103 / 100, ""), "")))</f>
        <v/>
      </c>
    </row>
    <row r="1104" spans="2:17">
      <c r="B1104" s="33" t="str">
        <f>IF(A1104&lt;&gt;"",CHOOSE(WEEKDAY(A1104,2),"Mánudagur","Þriðjudagur","Miðvikudagur","Fimmtudagur","Föstudagur","Laugardagur","Sunnudagur"),IF(B1103&lt;&gt;"",B1103,""))</f>
        <v>Fimmtudagur</v>
      </c>
      <c r="C1104" s="33">
        <f>IF(A1104&lt;&gt;"",WEEKNUM(A1104,21),IF(C1103&lt;&gt;"",C1103,""))</f>
        <v>27</v>
      </c>
      <c r="D1104" s="34"/>
      <c r="E1104" s="34"/>
      <c r="F1104" s="34"/>
      <c r="G1104" s="34"/>
      <c r="H1104" s="34"/>
      <c r="I1104" s="35"/>
      <c r="J1104" s="35"/>
      <c r="K1104" s="36"/>
      <c r="L1104" s="26" t="str">
        <f>IF(OR(F1104 = "", G1104 = ""), "", IF(F1104 = "Vara", IFERROR(_xlfn.SINGLE(_xlfn.XLOOKUP(G1104, Vöruskrá!A:A, Vöruskrá!E:E, "")), ""), IF(F1104 = "Réttur", IFERROR(_xlfn.SINGLE(_xlfn.XLOOKUP(G1104, Réttabanki!A:A, Réttabanki!AS:AS, "")), ""), "")))</f>
        <v/>
      </c>
      <c r="M1104" s="26" t="str">
        <f>IF(OR(F1104 = "", G1104 = ""), "", IF(F1104 = "Vara", IFERROR(_xlfn.SINGLE(_xlfn.XLOOKUP(G1104, Vöruskrá!A:A, Vöruskrá!F:F, "")), ""), IF(F1104 = "Réttur", IFERROR(_xlfn.SINGLE(_xlfn.XLOOKUP(G1104, Réttabanki!A:A, Réttabanki!AT:AT, "")), ""), "")))</f>
        <v/>
      </c>
      <c r="N1104" s="26" t="str">
        <f>IF(OR(F1104 = "", G1104 = ""), "", IF(F1104 = "Vara", IFERROR(_xlfn.SINGLE(_xlfn.XLOOKUP(G1104, Vöruskrá!A:A, Vöruskrá!G:G, "")), ""), IF(F1104 = "Réttur", IFERROR(_xlfn.SINGLE(_xlfn.XLOOKUP(G1104, Réttabanki!A:A, Réttabanki!AU:AU, "")), ""), "")))</f>
        <v/>
      </c>
      <c r="O1104" s="26" t="str">
        <f>IF(OR(F1104 = "", G1104 = "", I1104 = ""), "", IF(F1104 = "Vara", IFERROR(_xlfn.SINGLE(_xlfn.XLOOKUP(G1104, Vöruskrá!A:A, Vöruskrá!I:I, "")) * I1104 / 100, ""), IF(F1104 = "Réttur", IFERROR(_xlfn.SINGLE(_xlfn.XLOOKUP(G1104, Réttabanki!A:A, Réttabanki!AV:AV, "")) * I1104 / 100, ""), "")))</f>
        <v/>
      </c>
      <c r="P1104" s="26" t="str">
        <f>IF(OR(F1104 = "", G1104 = "", I1104 = ""), "", IF(F1104 = "Vara", IFERROR(_xlfn.SINGLE(_xlfn.XLOOKUP(G1104, Vöruskrá!A:A, Vöruskrá!J:J, "")) * I1104 / 100, ""), IF(F1104 = "Réttur", IFERROR(_xlfn.SINGLE(_xlfn.XLOOKUP(G1104, Réttabanki!A:A, Réttabanki!AW:AW, "")) * I1104 / 100, ""), "")))</f>
        <v/>
      </c>
      <c r="Q1104" s="26" t="str">
        <f>IF(OR(F1104 = "", G1104 = "", I1104 = ""), "", IF(F1104 = "Vara", IFERROR(_xlfn.SINGLE(_xlfn.XLOOKUP(G1104, Vöruskrá!A:A, Vöruskrá!N:N, "")) * I1104 / 100, ""), IF(F1104 = "Réttur", IFERROR(_xlfn.SINGLE(_xlfn.XLOOKUP(G1104, Réttabanki!A:A, Réttabanki!BB:BB, "")) * I1104 / 100, ""), "")))</f>
        <v/>
      </c>
    </row>
    <row r="1105" spans="2:17">
      <c r="B1105" s="33" t="str">
        <f>IF(A1105&lt;&gt;"",CHOOSE(WEEKDAY(A1105,2),"Mánudagur","Þriðjudagur","Miðvikudagur","Fimmtudagur","Föstudagur","Laugardagur","Sunnudagur"),IF(B1104&lt;&gt;"",B1104,""))</f>
        <v>Fimmtudagur</v>
      </c>
      <c r="C1105" s="33">
        <f>IF(A1105&lt;&gt;"",WEEKNUM(A1105,21),IF(C1104&lt;&gt;"",C1104,""))</f>
        <v>27</v>
      </c>
      <c r="D1105" s="34"/>
      <c r="E1105" s="34"/>
      <c r="F1105" s="34"/>
      <c r="G1105" s="34"/>
      <c r="H1105" s="34"/>
      <c r="I1105" s="35"/>
      <c r="J1105" s="35"/>
      <c r="K1105" s="36"/>
      <c r="L1105" s="26" t="str">
        <f>IF(OR(F1105 = "", G1105 = ""), "", IF(F1105 = "Vara", IFERROR(_xlfn.SINGLE(_xlfn.XLOOKUP(G1105, Vöruskrá!A:A, Vöruskrá!E:E, "")), ""), IF(F1105 = "Réttur", IFERROR(_xlfn.SINGLE(_xlfn.XLOOKUP(G1105, Réttabanki!A:A, Réttabanki!AS:AS, "")), ""), "")))</f>
        <v/>
      </c>
      <c r="M1105" s="26" t="str">
        <f>IF(OR(F1105 = "", G1105 = ""), "", IF(F1105 = "Vara", IFERROR(_xlfn.SINGLE(_xlfn.XLOOKUP(G1105, Vöruskrá!A:A, Vöruskrá!F:F, "")), ""), IF(F1105 = "Réttur", IFERROR(_xlfn.SINGLE(_xlfn.XLOOKUP(G1105, Réttabanki!A:A, Réttabanki!AT:AT, "")), ""), "")))</f>
        <v/>
      </c>
      <c r="N1105" s="26" t="str">
        <f>IF(OR(F1105 = "", G1105 = ""), "", IF(F1105 = "Vara", IFERROR(_xlfn.SINGLE(_xlfn.XLOOKUP(G1105, Vöruskrá!A:A, Vöruskrá!G:G, "")), ""), IF(F1105 = "Réttur", IFERROR(_xlfn.SINGLE(_xlfn.XLOOKUP(G1105, Réttabanki!A:A, Réttabanki!AU:AU, "")), ""), "")))</f>
        <v/>
      </c>
      <c r="O1105" s="26" t="str">
        <f>IF(OR(F1105 = "", G1105 = "", I1105 = ""), "", IF(F1105 = "Vara", IFERROR(_xlfn.SINGLE(_xlfn.XLOOKUP(G1105, Vöruskrá!A:A, Vöruskrá!I:I, "")) * I1105 / 100, ""), IF(F1105 = "Réttur", IFERROR(_xlfn.SINGLE(_xlfn.XLOOKUP(G1105, Réttabanki!A:A, Réttabanki!AV:AV, "")) * I1105 / 100, ""), "")))</f>
        <v/>
      </c>
      <c r="P1105" s="26" t="str">
        <f>IF(OR(F1105 = "", G1105 = "", I1105 = ""), "", IF(F1105 = "Vara", IFERROR(_xlfn.SINGLE(_xlfn.XLOOKUP(G1105, Vöruskrá!A:A, Vöruskrá!J:J, "")) * I1105 / 100, ""), IF(F1105 = "Réttur", IFERROR(_xlfn.SINGLE(_xlfn.XLOOKUP(G1105, Réttabanki!A:A, Réttabanki!AW:AW, "")) * I1105 / 100, ""), "")))</f>
        <v/>
      </c>
      <c r="Q1105" s="26" t="str">
        <f>IF(OR(F1105 = "", G1105 = "", I1105 = ""), "", IF(F1105 = "Vara", IFERROR(_xlfn.SINGLE(_xlfn.XLOOKUP(G1105, Vöruskrá!A:A, Vöruskrá!N:N, "")) * I1105 / 100, ""), IF(F1105 = "Réttur", IFERROR(_xlfn.SINGLE(_xlfn.XLOOKUP(G1105, Réttabanki!A:A, Réttabanki!BB:BB, "")) * I1105 / 100, ""), "")))</f>
        <v/>
      </c>
    </row>
    <row r="1106" spans="2:17">
      <c r="B1106" s="33" t="str">
        <f>IF(A1106&lt;&gt;"",CHOOSE(WEEKDAY(A1106,2),"Mánudagur","Þriðjudagur","Miðvikudagur","Fimmtudagur","Föstudagur","Laugardagur","Sunnudagur"),IF(B1105&lt;&gt;"",B1105,""))</f>
        <v>Fimmtudagur</v>
      </c>
      <c r="C1106" s="33">
        <f>IF(A1106&lt;&gt;"",WEEKNUM(A1106,21),IF(C1105&lt;&gt;"",C1105,""))</f>
        <v>27</v>
      </c>
      <c r="D1106" s="34"/>
      <c r="E1106" s="34"/>
      <c r="F1106" s="34"/>
      <c r="G1106" s="34"/>
      <c r="H1106" s="34"/>
      <c r="I1106" s="35"/>
      <c r="J1106" s="35"/>
      <c r="K1106" s="36"/>
      <c r="L1106" s="26" t="str">
        <f>IF(OR(F1106 = "", G1106 = ""), "", IF(F1106 = "Vara", IFERROR(_xlfn.SINGLE(_xlfn.XLOOKUP(G1106, Vöruskrá!A:A, Vöruskrá!E:E, "")), ""), IF(F1106 = "Réttur", IFERROR(_xlfn.SINGLE(_xlfn.XLOOKUP(G1106, Réttabanki!A:A, Réttabanki!AS:AS, "")), ""), "")))</f>
        <v/>
      </c>
      <c r="M1106" s="26" t="str">
        <f>IF(OR(F1106 = "", G1106 = ""), "", IF(F1106 = "Vara", IFERROR(_xlfn.SINGLE(_xlfn.XLOOKUP(G1106, Vöruskrá!A:A, Vöruskrá!F:F, "")), ""), IF(F1106 = "Réttur", IFERROR(_xlfn.SINGLE(_xlfn.XLOOKUP(G1106, Réttabanki!A:A, Réttabanki!AT:AT, "")), ""), "")))</f>
        <v/>
      </c>
      <c r="N1106" s="26" t="str">
        <f>IF(OR(F1106 = "", G1106 = ""), "", IF(F1106 = "Vara", IFERROR(_xlfn.SINGLE(_xlfn.XLOOKUP(G1106, Vöruskrá!A:A, Vöruskrá!G:G, "")), ""), IF(F1106 = "Réttur", IFERROR(_xlfn.SINGLE(_xlfn.XLOOKUP(G1106, Réttabanki!A:A, Réttabanki!AU:AU, "")), ""), "")))</f>
        <v/>
      </c>
      <c r="O1106" s="26" t="str">
        <f>IF(OR(F1106 = "", G1106 = "", I1106 = ""), "", IF(F1106 = "Vara", IFERROR(_xlfn.SINGLE(_xlfn.XLOOKUP(G1106, Vöruskrá!A:A, Vöruskrá!I:I, "")) * I1106 / 100, ""), IF(F1106 = "Réttur", IFERROR(_xlfn.SINGLE(_xlfn.XLOOKUP(G1106, Réttabanki!A:A, Réttabanki!AV:AV, "")) * I1106 / 100, ""), "")))</f>
        <v/>
      </c>
      <c r="P1106" s="26" t="str">
        <f>IF(OR(F1106 = "", G1106 = "", I1106 = ""), "", IF(F1106 = "Vara", IFERROR(_xlfn.SINGLE(_xlfn.XLOOKUP(G1106, Vöruskrá!A:A, Vöruskrá!J:J, "")) * I1106 / 100, ""), IF(F1106 = "Réttur", IFERROR(_xlfn.SINGLE(_xlfn.XLOOKUP(G1106, Réttabanki!A:A, Réttabanki!AW:AW, "")) * I1106 / 100, ""), "")))</f>
        <v/>
      </c>
      <c r="Q1106" s="26" t="str">
        <f>IF(OR(F1106 = "", G1106 = "", I1106 = ""), "", IF(F1106 = "Vara", IFERROR(_xlfn.SINGLE(_xlfn.XLOOKUP(G1106, Vöruskrá!A:A, Vöruskrá!N:N, "")) * I1106 / 100, ""), IF(F1106 = "Réttur", IFERROR(_xlfn.SINGLE(_xlfn.XLOOKUP(G1106, Réttabanki!A:A, Réttabanki!BB:BB, "")) * I1106 / 100, ""), "")))</f>
        <v/>
      </c>
    </row>
    <row r="1107" spans="2:17">
      <c r="B1107" s="33" t="str">
        <f>IF(A1107&lt;&gt;"",CHOOSE(WEEKDAY(A1107,2),"Mánudagur","Þriðjudagur","Miðvikudagur","Fimmtudagur","Föstudagur","Laugardagur","Sunnudagur"),IF(B1106&lt;&gt;"",B1106,""))</f>
        <v>Fimmtudagur</v>
      </c>
      <c r="C1107" s="33">
        <f>IF(A1107&lt;&gt;"",WEEKNUM(A1107,21),IF(C1106&lt;&gt;"",C1106,""))</f>
        <v>27</v>
      </c>
      <c r="D1107" s="34"/>
      <c r="E1107" s="34"/>
      <c r="F1107" s="34"/>
      <c r="G1107" s="34"/>
      <c r="H1107" s="34"/>
      <c r="I1107" s="35"/>
      <c r="J1107" s="35"/>
      <c r="K1107" s="36"/>
      <c r="L1107" s="26" t="str">
        <f>IF(OR(F1107 = "", G1107 = ""), "", IF(F1107 = "Vara", IFERROR(_xlfn.SINGLE(_xlfn.XLOOKUP(G1107, Vöruskrá!A:A, Vöruskrá!E:E, "")), ""), IF(F1107 = "Réttur", IFERROR(_xlfn.SINGLE(_xlfn.XLOOKUP(G1107, Réttabanki!A:A, Réttabanki!AS:AS, "")), ""), "")))</f>
        <v/>
      </c>
      <c r="M1107" s="26" t="str">
        <f>IF(OR(F1107 = "", G1107 = ""), "", IF(F1107 = "Vara", IFERROR(_xlfn.SINGLE(_xlfn.XLOOKUP(G1107, Vöruskrá!A:A, Vöruskrá!F:F, "")), ""), IF(F1107 = "Réttur", IFERROR(_xlfn.SINGLE(_xlfn.XLOOKUP(G1107, Réttabanki!A:A, Réttabanki!AT:AT, "")), ""), "")))</f>
        <v/>
      </c>
      <c r="N1107" s="26" t="str">
        <f>IF(OR(F1107 = "", G1107 = ""), "", IF(F1107 = "Vara", IFERROR(_xlfn.SINGLE(_xlfn.XLOOKUP(G1107, Vöruskrá!A:A, Vöruskrá!G:G, "")), ""), IF(F1107 = "Réttur", IFERROR(_xlfn.SINGLE(_xlfn.XLOOKUP(G1107, Réttabanki!A:A, Réttabanki!AU:AU, "")), ""), "")))</f>
        <v/>
      </c>
      <c r="O1107" s="26" t="str">
        <f>IF(OR(F1107 = "", G1107 = "", I1107 = ""), "", IF(F1107 = "Vara", IFERROR(_xlfn.SINGLE(_xlfn.XLOOKUP(G1107, Vöruskrá!A:A, Vöruskrá!I:I, "")) * I1107 / 100, ""), IF(F1107 = "Réttur", IFERROR(_xlfn.SINGLE(_xlfn.XLOOKUP(G1107, Réttabanki!A:A, Réttabanki!AV:AV, "")) * I1107 / 100, ""), "")))</f>
        <v/>
      </c>
      <c r="P1107" s="26" t="str">
        <f>IF(OR(F1107 = "", G1107 = "", I1107 = ""), "", IF(F1107 = "Vara", IFERROR(_xlfn.SINGLE(_xlfn.XLOOKUP(G1107, Vöruskrá!A:A, Vöruskrá!J:J, "")) * I1107 / 100, ""), IF(F1107 = "Réttur", IFERROR(_xlfn.SINGLE(_xlfn.XLOOKUP(G1107, Réttabanki!A:A, Réttabanki!AW:AW, "")) * I1107 / 100, ""), "")))</f>
        <v/>
      </c>
      <c r="Q1107" s="26" t="str">
        <f>IF(OR(F1107 = "", G1107 = "", I1107 = ""), "", IF(F1107 = "Vara", IFERROR(_xlfn.SINGLE(_xlfn.XLOOKUP(G1107, Vöruskrá!A:A, Vöruskrá!N:N, "")) * I1107 / 100, ""), IF(F1107 = "Réttur", IFERROR(_xlfn.SINGLE(_xlfn.XLOOKUP(G1107, Réttabanki!A:A, Réttabanki!BB:BB, "")) * I1107 / 100, ""), "")))</f>
        <v/>
      </c>
    </row>
    <row r="1108" spans="2:17">
      <c r="B1108" s="33" t="str">
        <f>IF(A1108&lt;&gt;"",CHOOSE(WEEKDAY(A1108,2),"Mánudagur","Þriðjudagur","Miðvikudagur","Fimmtudagur","Föstudagur","Laugardagur","Sunnudagur"),IF(B1107&lt;&gt;"",B1107,""))</f>
        <v>Fimmtudagur</v>
      </c>
      <c r="C1108" s="33">
        <f>IF(A1108&lt;&gt;"",WEEKNUM(A1108,21),IF(C1107&lt;&gt;"",C1107,""))</f>
        <v>27</v>
      </c>
      <c r="D1108" s="34"/>
      <c r="E1108" s="34"/>
      <c r="F1108" s="34"/>
      <c r="G1108" s="34"/>
      <c r="H1108" s="34"/>
      <c r="I1108" s="35"/>
      <c r="J1108" s="35"/>
      <c r="K1108" s="36"/>
      <c r="L1108" s="26" t="str">
        <f>IF(OR(F1108 = "", G1108 = ""), "", IF(F1108 = "Vara", IFERROR(_xlfn.SINGLE(_xlfn.XLOOKUP(G1108, Vöruskrá!A:A, Vöruskrá!E:E, "")), ""), IF(F1108 = "Réttur", IFERROR(_xlfn.SINGLE(_xlfn.XLOOKUP(G1108, Réttabanki!A:A, Réttabanki!AS:AS, "")), ""), "")))</f>
        <v/>
      </c>
      <c r="M1108" s="26" t="str">
        <f>IF(OR(F1108 = "", G1108 = ""), "", IF(F1108 = "Vara", IFERROR(_xlfn.SINGLE(_xlfn.XLOOKUP(G1108, Vöruskrá!A:A, Vöruskrá!F:F, "")), ""), IF(F1108 = "Réttur", IFERROR(_xlfn.SINGLE(_xlfn.XLOOKUP(G1108, Réttabanki!A:A, Réttabanki!AT:AT, "")), ""), "")))</f>
        <v/>
      </c>
      <c r="N1108" s="26" t="str">
        <f>IF(OR(F1108 = "", G1108 = ""), "", IF(F1108 = "Vara", IFERROR(_xlfn.SINGLE(_xlfn.XLOOKUP(G1108, Vöruskrá!A:A, Vöruskrá!G:G, "")), ""), IF(F1108 = "Réttur", IFERROR(_xlfn.SINGLE(_xlfn.XLOOKUP(G1108, Réttabanki!A:A, Réttabanki!AU:AU, "")), ""), "")))</f>
        <v/>
      </c>
      <c r="O1108" s="26" t="str">
        <f>IF(OR(F1108 = "", G1108 = "", I1108 = ""), "", IF(F1108 = "Vara", IFERROR(_xlfn.SINGLE(_xlfn.XLOOKUP(G1108, Vöruskrá!A:A, Vöruskrá!I:I, "")) * I1108 / 100, ""), IF(F1108 = "Réttur", IFERROR(_xlfn.SINGLE(_xlfn.XLOOKUP(G1108, Réttabanki!A:A, Réttabanki!AV:AV, "")) * I1108 / 100, ""), "")))</f>
        <v/>
      </c>
      <c r="P1108" s="26" t="str">
        <f>IF(OR(F1108 = "", G1108 = "", I1108 = ""), "", IF(F1108 = "Vara", IFERROR(_xlfn.SINGLE(_xlfn.XLOOKUP(G1108, Vöruskrá!A:A, Vöruskrá!J:J, "")) * I1108 / 100, ""), IF(F1108 = "Réttur", IFERROR(_xlfn.SINGLE(_xlfn.XLOOKUP(G1108, Réttabanki!A:A, Réttabanki!AW:AW, "")) * I1108 / 100, ""), "")))</f>
        <v/>
      </c>
      <c r="Q1108" s="26" t="str">
        <f>IF(OR(F1108 = "", G1108 = "", I1108 = ""), "", IF(F1108 = "Vara", IFERROR(_xlfn.SINGLE(_xlfn.XLOOKUP(G1108, Vöruskrá!A:A, Vöruskrá!N:N, "")) * I1108 / 100, ""), IF(F1108 = "Réttur", IFERROR(_xlfn.SINGLE(_xlfn.XLOOKUP(G1108, Réttabanki!A:A, Réttabanki!BB:BB, "")) * I1108 / 100, ""), "")))</f>
        <v/>
      </c>
    </row>
    <row r="1109" spans="2:17">
      <c r="B1109" s="33" t="str">
        <f>IF(A1109&lt;&gt;"",CHOOSE(WEEKDAY(A1109,2),"Mánudagur","Þriðjudagur","Miðvikudagur","Fimmtudagur","Föstudagur","Laugardagur","Sunnudagur"),IF(B1108&lt;&gt;"",B1108,""))</f>
        <v>Fimmtudagur</v>
      </c>
      <c r="C1109" s="33">
        <f>IF(A1109&lt;&gt;"",WEEKNUM(A1109,21),IF(C1108&lt;&gt;"",C1108,""))</f>
        <v>27</v>
      </c>
      <c r="D1109" s="34"/>
      <c r="E1109" s="34"/>
      <c r="F1109" s="34"/>
      <c r="G1109" s="34"/>
      <c r="H1109" s="34"/>
      <c r="I1109" s="35"/>
      <c r="J1109" s="35"/>
      <c r="K1109" s="36"/>
      <c r="L1109" s="26" t="str">
        <f>IF(OR(F1109 = "", G1109 = ""), "", IF(F1109 = "Vara", IFERROR(_xlfn.SINGLE(_xlfn.XLOOKUP(G1109, Vöruskrá!A:A, Vöruskrá!E:E, "")), ""), IF(F1109 = "Réttur", IFERROR(_xlfn.SINGLE(_xlfn.XLOOKUP(G1109, Réttabanki!A:A, Réttabanki!AS:AS, "")), ""), "")))</f>
        <v/>
      </c>
      <c r="M1109" s="26" t="str">
        <f>IF(OR(F1109 = "", G1109 = ""), "", IF(F1109 = "Vara", IFERROR(_xlfn.SINGLE(_xlfn.XLOOKUP(G1109, Vöruskrá!A:A, Vöruskrá!F:F, "")), ""), IF(F1109 = "Réttur", IFERROR(_xlfn.SINGLE(_xlfn.XLOOKUP(G1109, Réttabanki!A:A, Réttabanki!AT:AT, "")), ""), "")))</f>
        <v/>
      </c>
      <c r="N1109" s="26" t="str">
        <f>IF(OR(F1109 = "", G1109 = ""), "", IF(F1109 = "Vara", IFERROR(_xlfn.SINGLE(_xlfn.XLOOKUP(G1109, Vöruskrá!A:A, Vöruskrá!G:G, "")), ""), IF(F1109 = "Réttur", IFERROR(_xlfn.SINGLE(_xlfn.XLOOKUP(G1109, Réttabanki!A:A, Réttabanki!AU:AU, "")), ""), "")))</f>
        <v/>
      </c>
      <c r="O1109" s="26" t="str">
        <f>IF(OR(F1109 = "", G1109 = "", I1109 = ""), "", IF(F1109 = "Vara", IFERROR(_xlfn.SINGLE(_xlfn.XLOOKUP(G1109, Vöruskrá!A:A, Vöruskrá!I:I, "")) * I1109 / 100, ""), IF(F1109 = "Réttur", IFERROR(_xlfn.SINGLE(_xlfn.XLOOKUP(G1109, Réttabanki!A:A, Réttabanki!AV:AV, "")) * I1109 / 100, ""), "")))</f>
        <v/>
      </c>
      <c r="P1109" s="26" t="str">
        <f>IF(OR(F1109 = "", G1109 = "", I1109 = ""), "", IF(F1109 = "Vara", IFERROR(_xlfn.SINGLE(_xlfn.XLOOKUP(G1109, Vöruskrá!A:A, Vöruskrá!J:J, "")) * I1109 / 100, ""), IF(F1109 = "Réttur", IFERROR(_xlfn.SINGLE(_xlfn.XLOOKUP(G1109, Réttabanki!A:A, Réttabanki!AW:AW, "")) * I1109 / 100, ""), "")))</f>
        <v/>
      </c>
      <c r="Q1109" s="26" t="str">
        <f>IF(OR(F1109 = "", G1109 = "", I1109 = ""), "", IF(F1109 = "Vara", IFERROR(_xlfn.SINGLE(_xlfn.XLOOKUP(G1109, Vöruskrá!A:A, Vöruskrá!N:N, "")) * I1109 / 100, ""), IF(F1109 = "Réttur", IFERROR(_xlfn.SINGLE(_xlfn.XLOOKUP(G1109, Réttabanki!A:A, Réttabanki!BB:BB, "")) * I1109 / 100, ""), "")))</f>
        <v/>
      </c>
    </row>
    <row r="1110" spans="2:17">
      <c r="B1110" s="33" t="str">
        <f>IF(A1110&lt;&gt;"",CHOOSE(WEEKDAY(A1110,2),"Mánudagur","Þriðjudagur","Miðvikudagur","Fimmtudagur","Föstudagur","Laugardagur","Sunnudagur"),IF(B1109&lt;&gt;"",B1109,""))</f>
        <v>Fimmtudagur</v>
      </c>
      <c r="C1110" s="33">
        <f>IF(A1110&lt;&gt;"",WEEKNUM(A1110,21),IF(C1109&lt;&gt;"",C1109,""))</f>
        <v>27</v>
      </c>
      <c r="D1110" s="34"/>
      <c r="E1110" s="34"/>
      <c r="F1110" s="34"/>
      <c r="G1110" s="34"/>
      <c r="H1110" s="34"/>
      <c r="I1110" s="35"/>
      <c r="J1110" s="35"/>
      <c r="K1110" s="36"/>
      <c r="L1110" s="26" t="str">
        <f>IF(OR(F1110 = "", G1110 = ""), "", IF(F1110 = "Vara", IFERROR(_xlfn.SINGLE(_xlfn.XLOOKUP(G1110, Vöruskrá!A:A, Vöruskrá!E:E, "")), ""), IF(F1110 = "Réttur", IFERROR(_xlfn.SINGLE(_xlfn.XLOOKUP(G1110, Réttabanki!A:A, Réttabanki!AS:AS, "")), ""), "")))</f>
        <v/>
      </c>
      <c r="M1110" s="26" t="str">
        <f>IF(OR(F1110 = "", G1110 = ""), "", IF(F1110 = "Vara", IFERROR(_xlfn.SINGLE(_xlfn.XLOOKUP(G1110, Vöruskrá!A:A, Vöruskrá!F:F, "")), ""), IF(F1110 = "Réttur", IFERROR(_xlfn.SINGLE(_xlfn.XLOOKUP(G1110, Réttabanki!A:A, Réttabanki!AT:AT, "")), ""), "")))</f>
        <v/>
      </c>
      <c r="N1110" s="26" t="str">
        <f>IF(OR(F1110 = "", G1110 = ""), "", IF(F1110 = "Vara", IFERROR(_xlfn.SINGLE(_xlfn.XLOOKUP(G1110, Vöruskrá!A:A, Vöruskrá!G:G, "")), ""), IF(F1110 = "Réttur", IFERROR(_xlfn.SINGLE(_xlfn.XLOOKUP(G1110, Réttabanki!A:A, Réttabanki!AU:AU, "")), ""), "")))</f>
        <v/>
      </c>
      <c r="O1110" s="26" t="str">
        <f>IF(OR(F1110 = "", G1110 = "", I1110 = ""), "", IF(F1110 = "Vara", IFERROR(_xlfn.SINGLE(_xlfn.XLOOKUP(G1110, Vöruskrá!A:A, Vöruskrá!I:I, "")) * I1110 / 100, ""), IF(F1110 = "Réttur", IFERROR(_xlfn.SINGLE(_xlfn.XLOOKUP(G1110, Réttabanki!A:A, Réttabanki!AV:AV, "")) * I1110 / 100, ""), "")))</f>
        <v/>
      </c>
      <c r="P1110" s="26" t="str">
        <f>IF(OR(F1110 = "", G1110 = "", I1110 = ""), "", IF(F1110 = "Vara", IFERROR(_xlfn.SINGLE(_xlfn.XLOOKUP(G1110, Vöruskrá!A:A, Vöruskrá!J:J, "")) * I1110 / 100, ""), IF(F1110 = "Réttur", IFERROR(_xlfn.SINGLE(_xlfn.XLOOKUP(G1110, Réttabanki!A:A, Réttabanki!AW:AW, "")) * I1110 / 100, ""), "")))</f>
        <v/>
      </c>
      <c r="Q1110" s="26" t="str">
        <f>IF(OR(F1110 = "", G1110 = "", I1110 = ""), "", IF(F1110 = "Vara", IFERROR(_xlfn.SINGLE(_xlfn.XLOOKUP(G1110, Vöruskrá!A:A, Vöruskrá!N:N, "")) * I1110 / 100, ""), IF(F1110 = "Réttur", IFERROR(_xlfn.SINGLE(_xlfn.XLOOKUP(G1110, Réttabanki!A:A, Réttabanki!BB:BB, "")) * I1110 / 100, ""), "")))</f>
        <v/>
      </c>
    </row>
    <row r="1111" spans="2:17">
      <c r="B1111" s="33" t="str">
        <f>IF(A1111&lt;&gt;"",CHOOSE(WEEKDAY(A1111,2),"Mánudagur","Þriðjudagur","Miðvikudagur","Fimmtudagur","Föstudagur","Laugardagur","Sunnudagur"),IF(B1110&lt;&gt;"",B1110,""))</f>
        <v>Fimmtudagur</v>
      </c>
      <c r="C1111" s="33">
        <f>IF(A1111&lt;&gt;"",WEEKNUM(A1111,21),IF(C1110&lt;&gt;"",C1110,""))</f>
        <v>27</v>
      </c>
      <c r="D1111" s="34"/>
      <c r="E1111" s="34"/>
      <c r="F1111" s="34"/>
      <c r="G1111" s="34"/>
      <c r="H1111" s="34"/>
      <c r="I1111" s="35"/>
      <c r="J1111" s="35"/>
      <c r="K1111" s="36"/>
      <c r="L1111" s="26" t="str">
        <f>IF(OR(F1111 = "", G1111 = ""), "", IF(F1111 = "Vara", IFERROR(_xlfn.SINGLE(_xlfn.XLOOKUP(G1111, Vöruskrá!A:A, Vöruskrá!E:E, "")), ""), IF(F1111 = "Réttur", IFERROR(_xlfn.SINGLE(_xlfn.XLOOKUP(G1111, Réttabanki!A:A, Réttabanki!AS:AS, "")), ""), "")))</f>
        <v/>
      </c>
      <c r="M1111" s="26" t="str">
        <f>IF(OR(F1111 = "", G1111 = ""), "", IF(F1111 = "Vara", IFERROR(_xlfn.SINGLE(_xlfn.XLOOKUP(G1111, Vöruskrá!A:A, Vöruskrá!F:F, "")), ""), IF(F1111 = "Réttur", IFERROR(_xlfn.SINGLE(_xlfn.XLOOKUP(G1111, Réttabanki!A:A, Réttabanki!AT:AT, "")), ""), "")))</f>
        <v/>
      </c>
      <c r="N1111" s="26" t="str">
        <f>IF(OR(F1111 = "", G1111 = ""), "", IF(F1111 = "Vara", IFERROR(_xlfn.SINGLE(_xlfn.XLOOKUP(G1111, Vöruskrá!A:A, Vöruskrá!G:G, "")), ""), IF(F1111 = "Réttur", IFERROR(_xlfn.SINGLE(_xlfn.XLOOKUP(G1111, Réttabanki!A:A, Réttabanki!AU:AU, "")), ""), "")))</f>
        <v/>
      </c>
      <c r="O1111" s="26" t="str">
        <f>IF(OR(F1111 = "", G1111 = "", I1111 = ""), "", IF(F1111 = "Vara", IFERROR(_xlfn.SINGLE(_xlfn.XLOOKUP(G1111, Vöruskrá!A:A, Vöruskrá!I:I, "")) * I1111 / 100, ""), IF(F1111 = "Réttur", IFERROR(_xlfn.SINGLE(_xlfn.XLOOKUP(G1111, Réttabanki!A:A, Réttabanki!AV:AV, "")) * I1111 / 100, ""), "")))</f>
        <v/>
      </c>
      <c r="P1111" s="26" t="str">
        <f>IF(OR(F1111 = "", G1111 = "", I1111 = ""), "", IF(F1111 = "Vara", IFERROR(_xlfn.SINGLE(_xlfn.XLOOKUP(G1111, Vöruskrá!A:A, Vöruskrá!J:J, "")) * I1111 / 100, ""), IF(F1111 = "Réttur", IFERROR(_xlfn.SINGLE(_xlfn.XLOOKUP(G1111, Réttabanki!A:A, Réttabanki!AW:AW, "")) * I1111 / 100, ""), "")))</f>
        <v/>
      </c>
      <c r="Q1111" s="26" t="str">
        <f>IF(OR(F1111 = "", G1111 = "", I1111 = ""), "", IF(F1111 = "Vara", IFERROR(_xlfn.SINGLE(_xlfn.XLOOKUP(G1111, Vöruskrá!A:A, Vöruskrá!N:N, "")) * I1111 / 100, ""), IF(F1111 = "Réttur", IFERROR(_xlfn.SINGLE(_xlfn.XLOOKUP(G1111, Réttabanki!A:A, Réttabanki!BB:BB, "")) * I1111 / 100, ""), "")))</f>
        <v/>
      </c>
    </row>
    <row r="1112" spans="2:17">
      <c r="B1112" s="33" t="str">
        <f>IF(A1112&lt;&gt;"",CHOOSE(WEEKDAY(A1112,2),"Mánudagur","Þriðjudagur","Miðvikudagur","Fimmtudagur","Föstudagur","Laugardagur","Sunnudagur"),IF(B1111&lt;&gt;"",B1111,""))</f>
        <v>Fimmtudagur</v>
      </c>
      <c r="C1112" s="33">
        <f>IF(A1112&lt;&gt;"",WEEKNUM(A1112,21),IF(C1111&lt;&gt;"",C1111,""))</f>
        <v>27</v>
      </c>
      <c r="D1112" s="34"/>
      <c r="E1112" s="34"/>
      <c r="F1112" s="34"/>
      <c r="G1112" s="34"/>
      <c r="H1112" s="34"/>
      <c r="I1112" s="35"/>
      <c r="J1112" s="35"/>
      <c r="K1112" s="36"/>
      <c r="L1112" s="26" t="str">
        <f>IF(OR(F1112 = "", G1112 = ""), "", IF(F1112 = "Vara", IFERROR(_xlfn.SINGLE(_xlfn.XLOOKUP(G1112, Vöruskrá!A:A, Vöruskrá!E:E, "")), ""), IF(F1112 = "Réttur", IFERROR(_xlfn.SINGLE(_xlfn.XLOOKUP(G1112, Réttabanki!A:A, Réttabanki!AS:AS, "")), ""), "")))</f>
        <v/>
      </c>
      <c r="M1112" s="26" t="str">
        <f>IF(OR(F1112 = "", G1112 = ""), "", IF(F1112 = "Vara", IFERROR(_xlfn.SINGLE(_xlfn.XLOOKUP(G1112, Vöruskrá!A:A, Vöruskrá!F:F, "")), ""), IF(F1112 = "Réttur", IFERROR(_xlfn.SINGLE(_xlfn.XLOOKUP(G1112, Réttabanki!A:A, Réttabanki!AT:AT, "")), ""), "")))</f>
        <v/>
      </c>
      <c r="N1112" s="26" t="str">
        <f>IF(OR(F1112 = "", G1112 = ""), "", IF(F1112 = "Vara", IFERROR(_xlfn.SINGLE(_xlfn.XLOOKUP(G1112, Vöruskrá!A:A, Vöruskrá!G:G, "")), ""), IF(F1112 = "Réttur", IFERROR(_xlfn.SINGLE(_xlfn.XLOOKUP(G1112, Réttabanki!A:A, Réttabanki!AU:AU, "")), ""), "")))</f>
        <v/>
      </c>
      <c r="O1112" s="26" t="str">
        <f>IF(OR(F1112 = "", G1112 = "", I1112 = ""), "", IF(F1112 = "Vara", IFERROR(_xlfn.SINGLE(_xlfn.XLOOKUP(G1112, Vöruskrá!A:A, Vöruskrá!I:I, "")) * I1112 / 100, ""), IF(F1112 = "Réttur", IFERROR(_xlfn.SINGLE(_xlfn.XLOOKUP(G1112, Réttabanki!A:A, Réttabanki!AV:AV, "")) * I1112 / 100, ""), "")))</f>
        <v/>
      </c>
      <c r="P1112" s="26" t="str">
        <f>IF(OR(F1112 = "", G1112 = "", I1112 = ""), "", IF(F1112 = "Vara", IFERROR(_xlfn.SINGLE(_xlfn.XLOOKUP(G1112, Vöruskrá!A:A, Vöruskrá!J:J, "")) * I1112 / 100, ""), IF(F1112 = "Réttur", IFERROR(_xlfn.SINGLE(_xlfn.XLOOKUP(G1112, Réttabanki!A:A, Réttabanki!AW:AW, "")) * I1112 / 100, ""), "")))</f>
        <v/>
      </c>
      <c r="Q1112" s="26" t="str">
        <f>IF(OR(F1112 = "", G1112 = "", I1112 = ""), "", IF(F1112 = "Vara", IFERROR(_xlfn.SINGLE(_xlfn.XLOOKUP(G1112, Vöruskrá!A:A, Vöruskrá!N:N, "")) * I1112 / 100, ""), IF(F1112 = "Réttur", IFERROR(_xlfn.SINGLE(_xlfn.XLOOKUP(G1112, Réttabanki!A:A, Réttabanki!BB:BB, "")) * I1112 / 100, ""), "")))</f>
        <v/>
      </c>
    </row>
    <row r="1113" spans="2:17">
      <c r="B1113" s="33" t="str">
        <f>IF(A1113&lt;&gt;"",CHOOSE(WEEKDAY(A1113,2),"Mánudagur","Þriðjudagur","Miðvikudagur","Fimmtudagur","Föstudagur","Laugardagur","Sunnudagur"),IF(B1112&lt;&gt;"",B1112,""))</f>
        <v>Fimmtudagur</v>
      </c>
      <c r="C1113" s="33">
        <f>IF(A1113&lt;&gt;"",WEEKNUM(A1113,21),IF(C1112&lt;&gt;"",C1112,""))</f>
        <v>27</v>
      </c>
      <c r="D1113" s="34"/>
      <c r="E1113" s="34"/>
      <c r="F1113" s="34"/>
      <c r="G1113" s="34"/>
      <c r="H1113" s="34"/>
      <c r="I1113" s="35"/>
      <c r="J1113" s="35"/>
      <c r="K1113" s="36"/>
      <c r="L1113" s="26" t="str">
        <f>IF(OR(F1113 = "", G1113 = ""), "", IF(F1113 = "Vara", IFERROR(_xlfn.SINGLE(_xlfn.XLOOKUP(G1113, Vöruskrá!A:A, Vöruskrá!E:E, "")), ""), IF(F1113 = "Réttur", IFERROR(_xlfn.SINGLE(_xlfn.XLOOKUP(G1113, Réttabanki!A:A, Réttabanki!AS:AS, "")), ""), "")))</f>
        <v/>
      </c>
      <c r="M1113" s="26" t="str">
        <f>IF(OR(F1113 = "", G1113 = ""), "", IF(F1113 = "Vara", IFERROR(_xlfn.SINGLE(_xlfn.XLOOKUP(G1113, Vöruskrá!A:A, Vöruskrá!F:F, "")), ""), IF(F1113 = "Réttur", IFERROR(_xlfn.SINGLE(_xlfn.XLOOKUP(G1113, Réttabanki!A:A, Réttabanki!AT:AT, "")), ""), "")))</f>
        <v/>
      </c>
      <c r="N1113" s="26" t="str">
        <f>IF(OR(F1113 = "", G1113 = ""), "", IF(F1113 = "Vara", IFERROR(_xlfn.SINGLE(_xlfn.XLOOKUP(G1113, Vöruskrá!A:A, Vöruskrá!G:G, "")), ""), IF(F1113 = "Réttur", IFERROR(_xlfn.SINGLE(_xlfn.XLOOKUP(G1113, Réttabanki!A:A, Réttabanki!AU:AU, "")), ""), "")))</f>
        <v/>
      </c>
      <c r="O1113" s="26" t="str">
        <f>IF(OR(F1113 = "", G1113 = "", I1113 = ""), "", IF(F1113 = "Vara", IFERROR(_xlfn.SINGLE(_xlfn.XLOOKUP(G1113, Vöruskrá!A:A, Vöruskrá!I:I, "")) * I1113 / 100, ""), IF(F1113 = "Réttur", IFERROR(_xlfn.SINGLE(_xlfn.XLOOKUP(G1113, Réttabanki!A:A, Réttabanki!AV:AV, "")) * I1113 / 100, ""), "")))</f>
        <v/>
      </c>
      <c r="P1113" s="26" t="str">
        <f>IF(OR(F1113 = "", G1113 = "", I1113 = ""), "", IF(F1113 = "Vara", IFERROR(_xlfn.SINGLE(_xlfn.XLOOKUP(G1113, Vöruskrá!A:A, Vöruskrá!J:J, "")) * I1113 / 100, ""), IF(F1113 = "Réttur", IFERROR(_xlfn.SINGLE(_xlfn.XLOOKUP(G1113, Réttabanki!A:A, Réttabanki!AW:AW, "")) * I1113 / 100, ""), "")))</f>
        <v/>
      </c>
      <c r="Q1113" s="26" t="str">
        <f>IF(OR(F1113 = "", G1113 = "", I1113 = ""), "", IF(F1113 = "Vara", IFERROR(_xlfn.SINGLE(_xlfn.XLOOKUP(G1113, Vöruskrá!A:A, Vöruskrá!N:N, "")) * I1113 / 100, ""), IF(F1113 = "Réttur", IFERROR(_xlfn.SINGLE(_xlfn.XLOOKUP(G1113, Réttabanki!A:A, Réttabanki!BB:BB, "")) * I1113 / 100, ""), "")))</f>
        <v/>
      </c>
    </row>
    <row r="1114" spans="2:17">
      <c r="B1114" s="33" t="str">
        <f>IF(A1114&lt;&gt;"",CHOOSE(WEEKDAY(A1114,2),"Mánudagur","Þriðjudagur","Miðvikudagur","Fimmtudagur","Föstudagur","Laugardagur","Sunnudagur"),IF(B1113&lt;&gt;"",B1113,""))</f>
        <v>Fimmtudagur</v>
      </c>
      <c r="C1114" s="33">
        <f>IF(A1114&lt;&gt;"",WEEKNUM(A1114,21),IF(C1113&lt;&gt;"",C1113,""))</f>
        <v>27</v>
      </c>
      <c r="D1114" s="34"/>
      <c r="E1114" s="34"/>
      <c r="F1114" s="34"/>
      <c r="G1114" s="34"/>
      <c r="H1114" s="34"/>
      <c r="I1114" s="35"/>
      <c r="J1114" s="35"/>
      <c r="K1114" s="36"/>
      <c r="L1114" s="26" t="str">
        <f>IF(OR(F1114 = "", G1114 = ""), "", IF(F1114 = "Vara", IFERROR(_xlfn.SINGLE(_xlfn.XLOOKUP(G1114, Vöruskrá!A:A, Vöruskrá!E:E, "")), ""), IF(F1114 = "Réttur", IFERROR(_xlfn.SINGLE(_xlfn.XLOOKUP(G1114, Réttabanki!A:A, Réttabanki!AS:AS, "")), ""), "")))</f>
        <v/>
      </c>
      <c r="M1114" s="26" t="str">
        <f>IF(OR(F1114 = "", G1114 = ""), "", IF(F1114 = "Vara", IFERROR(_xlfn.SINGLE(_xlfn.XLOOKUP(G1114, Vöruskrá!A:A, Vöruskrá!F:F, "")), ""), IF(F1114 = "Réttur", IFERROR(_xlfn.SINGLE(_xlfn.XLOOKUP(G1114, Réttabanki!A:A, Réttabanki!AT:AT, "")), ""), "")))</f>
        <v/>
      </c>
      <c r="N1114" s="26" t="str">
        <f>IF(OR(F1114 = "", G1114 = ""), "", IF(F1114 = "Vara", IFERROR(_xlfn.SINGLE(_xlfn.XLOOKUP(G1114, Vöruskrá!A:A, Vöruskrá!G:G, "")), ""), IF(F1114 = "Réttur", IFERROR(_xlfn.SINGLE(_xlfn.XLOOKUP(G1114, Réttabanki!A:A, Réttabanki!AU:AU, "")), ""), "")))</f>
        <v/>
      </c>
      <c r="O1114" s="26" t="str">
        <f>IF(OR(F1114 = "", G1114 = "", I1114 = ""), "", IF(F1114 = "Vara", IFERROR(_xlfn.SINGLE(_xlfn.XLOOKUP(G1114, Vöruskrá!A:A, Vöruskrá!I:I, "")) * I1114 / 100, ""), IF(F1114 = "Réttur", IFERROR(_xlfn.SINGLE(_xlfn.XLOOKUP(G1114, Réttabanki!A:A, Réttabanki!AV:AV, "")) * I1114 / 100, ""), "")))</f>
        <v/>
      </c>
      <c r="P1114" s="26" t="str">
        <f>IF(OR(F1114 = "", G1114 = "", I1114 = ""), "", IF(F1114 = "Vara", IFERROR(_xlfn.SINGLE(_xlfn.XLOOKUP(G1114, Vöruskrá!A:A, Vöruskrá!J:J, "")) * I1114 / 100, ""), IF(F1114 = "Réttur", IFERROR(_xlfn.SINGLE(_xlfn.XLOOKUP(G1114, Réttabanki!A:A, Réttabanki!AW:AW, "")) * I1114 / 100, ""), "")))</f>
        <v/>
      </c>
      <c r="Q1114" s="26" t="str">
        <f>IF(OR(F1114 = "", G1114 = "", I1114 = ""), "", IF(F1114 = "Vara", IFERROR(_xlfn.SINGLE(_xlfn.XLOOKUP(G1114, Vöruskrá!A:A, Vöruskrá!N:N, "")) * I1114 / 100, ""), IF(F1114 = "Réttur", IFERROR(_xlfn.SINGLE(_xlfn.XLOOKUP(G1114, Réttabanki!A:A, Réttabanki!BB:BB, "")) * I1114 / 100, ""), "")))</f>
        <v/>
      </c>
    </row>
    <row r="1115" spans="2:17">
      <c r="B1115" s="33" t="str">
        <f>IF(A1115&lt;&gt;"",CHOOSE(WEEKDAY(A1115,2),"Mánudagur","Þriðjudagur","Miðvikudagur","Fimmtudagur","Föstudagur","Laugardagur","Sunnudagur"),IF(B1114&lt;&gt;"",B1114,""))</f>
        <v>Fimmtudagur</v>
      </c>
      <c r="C1115" s="33">
        <f>IF(A1115&lt;&gt;"",WEEKNUM(A1115,21),IF(C1114&lt;&gt;"",C1114,""))</f>
        <v>27</v>
      </c>
      <c r="D1115" s="34"/>
      <c r="E1115" s="34"/>
      <c r="F1115" s="34"/>
      <c r="G1115" s="34"/>
      <c r="H1115" s="34"/>
      <c r="I1115" s="35"/>
      <c r="J1115" s="35"/>
      <c r="K1115" s="36"/>
      <c r="L1115" s="26" t="str">
        <f>IF(OR(F1115 = "", G1115 = ""), "", IF(F1115 = "Vara", IFERROR(_xlfn.SINGLE(_xlfn.XLOOKUP(G1115, Vöruskrá!A:A, Vöruskrá!E:E, "")), ""), IF(F1115 = "Réttur", IFERROR(_xlfn.SINGLE(_xlfn.XLOOKUP(G1115, Réttabanki!A:A, Réttabanki!AS:AS, "")), ""), "")))</f>
        <v/>
      </c>
      <c r="M1115" s="26" t="str">
        <f>IF(OR(F1115 = "", G1115 = ""), "", IF(F1115 = "Vara", IFERROR(_xlfn.SINGLE(_xlfn.XLOOKUP(G1115, Vöruskrá!A:A, Vöruskrá!F:F, "")), ""), IF(F1115 = "Réttur", IFERROR(_xlfn.SINGLE(_xlfn.XLOOKUP(G1115, Réttabanki!A:A, Réttabanki!AT:AT, "")), ""), "")))</f>
        <v/>
      </c>
      <c r="N1115" s="26" t="str">
        <f>IF(OR(F1115 = "", G1115 = ""), "", IF(F1115 = "Vara", IFERROR(_xlfn.SINGLE(_xlfn.XLOOKUP(G1115, Vöruskrá!A:A, Vöruskrá!G:G, "")), ""), IF(F1115 = "Réttur", IFERROR(_xlfn.SINGLE(_xlfn.XLOOKUP(G1115, Réttabanki!A:A, Réttabanki!AU:AU, "")), ""), "")))</f>
        <v/>
      </c>
      <c r="O1115" s="26" t="str">
        <f>IF(OR(F1115 = "", G1115 = "", I1115 = ""), "", IF(F1115 = "Vara", IFERROR(_xlfn.SINGLE(_xlfn.XLOOKUP(G1115, Vöruskrá!A:A, Vöruskrá!I:I, "")) * I1115 / 100, ""), IF(F1115 = "Réttur", IFERROR(_xlfn.SINGLE(_xlfn.XLOOKUP(G1115, Réttabanki!A:A, Réttabanki!AV:AV, "")) * I1115 / 100, ""), "")))</f>
        <v/>
      </c>
      <c r="P1115" s="26" t="str">
        <f>IF(OR(F1115 = "", G1115 = "", I1115 = ""), "", IF(F1115 = "Vara", IFERROR(_xlfn.SINGLE(_xlfn.XLOOKUP(G1115, Vöruskrá!A:A, Vöruskrá!J:J, "")) * I1115 / 100, ""), IF(F1115 = "Réttur", IFERROR(_xlfn.SINGLE(_xlfn.XLOOKUP(G1115, Réttabanki!A:A, Réttabanki!AW:AW, "")) * I1115 / 100, ""), "")))</f>
        <v/>
      </c>
      <c r="Q1115" s="26" t="str">
        <f>IF(OR(F1115 = "", G1115 = "", I1115 = ""), "", IF(F1115 = "Vara", IFERROR(_xlfn.SINGLE(_xlfn.XLOOKUP(G1115, Vöruskrá!A:A, Vöruskrá!N:N, "")) * I1115 / 100, ""), IF(F1115 = "Réttur", IFERROR(_xlfn.SINGLE(_xlfn.XLOOKUP(G1115, Réttabanki!A:A, Réttabanki!BB:BB, "")) * I1115 / 100, ""), "")))</f>
        <v/>
      </c>
    </row>
    <row r="1116" spans="2:17">
      <c r="B1116" s="33" t="str">
        <f>IF(A1116&lt;&gt;"",CHOOSE(WEEKDAY(A1116,2),"Mánudagur","Þriðjudagur","Miðvikudagur","Fimmtudagur","Föstudagur","Laugardagur","Sunnudagur"),IF(B1115&lt;&gt;"",B1115,""))</f>
        <v>Fimmtudagur</v>
      </c>
      <c r="C1116" s="33">
        <f>IF(A1116&lt;&gt;"",WEEKNUM(A1116,21),IF(C1115&lt;&gt;"",C1115,""))</f>
        <v>27</v>
      </c>
      <c r="D1116" s="34"/>
      <c r="E1116" s="34"/>
      <c r="F1116" s="34"/>
      <c r="G1116" s="34"/>
      <c r="H1116" s="34"/>
      <c r="I1116" s="35"/>
      <c r="J1116" s="35"/>
      <c r="K1116" s="36"/>
      <c r="L1116" s="26" t="str">
        <f>IF(OR(F1116 = "", G1116 = ""), "", IF(F1116 = "Vara", IFERROR(_xlfn.SINGLE(_xlfn.XLOOKUP(G1116, Vöruskrá!A:A, Vöruskrá!E:E, "")), ""), IF(F1116 = "Réttur", IFERROR(_xlfn.SINGLE(_xlfn.XLOOKUP(G1116, Réttabanki!A:A, Réttabanki!AS:AS, "")), ""), "")))</f>
        <v/>
      </c>
      <c r="M1116" s="26" t="str">
        <f>IF(OR(F1116 = "", G1116 = ""), "", IF(F1116 = "Vara", IFERROR(_xlfn.SINGLE(_xlfn.XLOOKUP(G1116, Vöruskrá!A:A, Vöruskrá!F:F, "")), ""), IF(F1116 = "Réttur", IFERROR(_xlfn.SINGLE(_xlfn.XLOOKUP(G1116, Réttabanki!A:A, Réttabanki!AT:AT, "")), ""), "")))</f>
        <v/>
      </c>
      <c r="N1116" s="26" t="str">
        <f>IF(OR(F1116 = "", G1116 = ""), "", IF(F1116 = "Vara", IFERROR(_xlfn.SINGLE(_xlfn.XLOOKUP(G1116, Vöruskrá!A:A, Vöruskrá!G:G, "")), ""), IF(F1116 = "Réttur", IFERROR(_xlfn.SINGLE(_xlfn.XLOOKUP(G1116, Réttabanki!A:A, Réttabanki!AU:AU, "")), ""), "")))</f>
        <v/>
      </c>
      <c r="O1116" s="26" t="str">
        <f>IF(OR(F1116 = "", G1116 = "", I1116 = ""), "", IF(F1116 = "Vara", IFERROR(_xlfn.SINGLE(_xlfn.XLOOKUP(G1116, Vöruskrá!A:A, Vöruskrá!I:I, "")) * I1116 / 100, ""), IF(F1116 = "Réttur", IFERROR(_xlfn.SINGLE(_xlfn.XLOOKUP(G1116, Réttabanki!A:A, Réttabanki!AV:AV, "")) * I1116 / 100, ""), "")))</f>
        <v/>
      </c>
      <c r="P1116" s="26" t="str">
        <f>IF(OR(F1116 = "", G1116 = "", I1116 = ""), "", IF(F1116 = "Vara", IFERROR(_xlfn.SINGLE(_xlfn.XLOOKUP(G1116, Vöruskrá!A:A, Vöruskrá!J:J, "")) * I1116 / 100, ""), IF(F1116 = "Réttur", IFERROR(_xlfn.SINGLE(_xlfn.XLOOKUP(G1116, Réttabanki!A:A, Réttabanki!AW:AW, "")) * I1116 / 100, ""), "")))</f>
        <v/>
      </c>
      <c r="Q1116" s="26" t="str">
        <f>IF(OR(F1116 = "", G1116 = "", I1116 = ""), "", IF(F1116 = "Vara", IFERROR(_xlfn.SINGLE(_xlfn.XLOOKUP(G1116, Vöruskrá!A:A, Vöruskrá!N:N, "")) * I1116 / 100, ""), IF(F1116 = "Réttur", IFERROR(_xlfn.SINGLE(_xlfn.XLOOKUP(G1116, Réttabanki!A:A, Réttabanki!BB:BB, "")) * I1116 / 100, ""), "")))</f>
        <v/>
      </c>
    </row>
    <row r="1117" spans="2:17">
      <c r="B1117" s="33" t="str">
        <f>IF(A1117&lt;&gt;"",CHOOSE(WEEKDAY(A1117,2),"Mánudagur","Þriðjudagur","Miðvikudagur","Fimmtudagur","Föstudagur","Laugardagur","Sunnudagur"),IF(B1116&lt;&gt;"",B1116,""))</f>
        <v>Fimmtudagur</v>
      </c>
      <c r="C1117" s="33">
        <f>IF(A1117&lt;&gt;"",WEEKNUM(A1117,21),IF(C1116&lt;&gt;"",C1116,""))</f>
        <v>27</v>
      </c>
      <c r="D1117" s="34"/>
      <c r="E1117" s="34"/>
      <c r="F1117" s="34"/>
      <c r="G1117" s="34"/>
      <c r="H1117" s="34"/>
      <c r="I1117" s="35"/>
      <c r="J1117" s="35"/>
      <c r="K1117" s="36"/>
      <c r="L1117" s="26" t="str">
        <f>IF(OR(F1117 = "", G1117 = ""), "", IF(F1117 = "Vara", IFERROR(_xlfn.SINGLE(_xlfn.XLOOKUP(G1117, Vöruskrá!A:A, Vöruskrá!E:E, "")), ""), IF(F1117 = "Réttur", IFERROR(_xlfn.SINGLE(_xlfn.XLOOKUP(G1117, Réttabanki!A:A, Réttabanki!AS:AS, "")), ""), "")))</f>
        <v/>
      </c>
      <c r="M1117" s="26" t="str">
        <f>IF(OR(F1117 = "", G1117 = ""), "", IF(F1117 = "Vara", IFERROR(_xlfn.SINGLE(_xlfn.XLOOKUP(G1117, Vöruskrá!A:A, Vöruskrá!F:F, "")), ""), IF(F1117 = "Réttur", IFERROR(_xlfn.SINGLE(_xlfn.XLOOKUP(G1117, Réttabanki!A:A, Réttabanki!AT:AT, "")), ""), "")))</f>
        <v/>
      </c>
      <c r="N1117" s="26" t="str">
        <f>IF(OR(F1117 = "", G1117 = ""), "", IF(F1117 = "Vara", IFERROR(_xlfn.SINGLE(_xlfn.XLOOKUP(G1117, Vöruskrá!A:A, Vöruskrá!G:G, "")), ""), IF(F1117 = "Réttur", IFERROR(_xlfn.SINGLE(_xlfn.XLOOKUP(G1117, Réttabanki!A:A, Réttabanki!AU:AU, "")), ""), "")))</f>
        <v/>
      </c>
      <c r="O1117" s="26" t="str">
        <f>IF(OR(F1117 = "", G1117 = "", I1117 = ""), "", IF(F1117 = "Vara", IFERROR(_xlfn.SINGLE(_xlfn.XLOOKUP(G1117, Vöruskrá!A:A, Vöruskrá!I:I, "")) * I1117 / 100, ""), IF(F1117 = "Réttur", IFERROR(_xlfn.SINGLE(_xlfn.XLOOKUP(G1117, Réttabanki!A:A, Réttabanki!AV:AV, "")) * I1117 / 100, ""), "")))</f>
        <v/>
      </c>
      <c r="P1117" s="26" t="str">
        <f>IF(OR(F1117 = "", G1117 = "", I1117 = ""), "", IF(F1117 = "Vara", IFERROR(_xlfn.SINGLE(_xlfn.XLOOKUP(G1117, Vöruskrá!A:A, Vöruskrá!J:J, "")) * I1117 / 100, ""), IF(F1117 = "Réttur", IFERROR(_xlfn.SINGLE(_xlfn.XLOOKUP(G1117, Réttabanki!A:A, Réttabanki!AW:AW, "")) * I1117 / 100, ""), "")))</f>
        <v/>
      </c>
      <c r="Q1117" s="26" t="str">
        <f>IF(OR(F1117 = "", G1117 = "", I1117 = ""), "", IF(F1117 = "Vara", IFERROR(_xlfn.SINGLE(_xlfn.XLOOKUP(G1117, Vöruskrá!A:A, Vöruskrá!N:N, "")) * I1117 / 100, ""), IF(F1117 = "Réttur", IFERROR(_xlfn.SINGLE(_xlfn.XLOOKUP(G1117, Réttabanki!A:A, Réttabanki!BB:BB, "")) * I1117 / 100, ""), "")))</f>
        <v/>
      </c>
    </row>
    <row r="1118" spans="2:17">
      <c r="B1118" s="33" t="str">
        <f>IF(A1118&lt;&gt;"",CHOOSE(WEEKDAY(A1118,2),"Mánudagur","Þriðjudagur","Miðvikudagur","Fimmtudagur","Föstudagur","Laugardagur","Sunnudagur"),IF(B1117&lt;&gt;"",B1117,""))</f>
        <v>Fimmtudagur</v>
      </c>
      <c r="C1118" s="33">
        <f>IF(A1118&lt;&gt;"",WEEKNUM(A1118,21),IF(C1117&lt;&gt;"",C1117,""))</f>
        <v>27</v>
      </c>
      <c r="D1118" s="34"/>
      <c r="E1118" s="34"/>
      <c r="F1118" s="34"/>
      <c r="G1118" s="34"/>
      <c r="H1118" s="34"/>
      <c r="I1118" s="35"/>
      <c r="J1118" s="35"/>
      <c r="K1118" s="36"/>
      <c r="L1118" s="26" t="str">
        <f>IF(OR(F1118 = "", G1118 = ""), "", IF(F1118 = "Vara", IFERROR(_xlfn.SINGLE(_xlfn.XLOOKUP(G1118, Vöruskrá!A:A, Vöruskrá!E:E, "")), ""), IF(F1118 = "Réttur", IFERROR(_xlfn.SINGLE(_xlfn.XLOOKUP(G1118, Réttabanki!A:A, Réttabanki!AS:AS, "")), ""), "")))</f>
        <v/>
      </c>
      <c r="M1118" s="26" t="str">
        <f>IF(OR(F1118 = "", G1118 = ""), "", IF(F1118 = "Vara", IFERROR(_xlfn.SINGLE(_xlfn.XLOOKUP(G1118, Vöruskrá!A:A, Vöruskrá!F:F, "")), ""), IF(F1118 = "Réttur", IFERROR(_xlfn.SINGLE(_xlfn.XLOOKUP(G1118, Réttabanki!A:A, Réttabanki!AT:AT, "")), ""), "")))</f>
        <v/>
      </c>
      <c r="N1118" s="26" t="str">
        <f>IF(OR(F1118 = "", G1118 = ""), "", IF(F1118 = "Vara", IFERROR(_xlfn.SINGLE(_xlfn.XLOOKUP(G1118, Vöruskrá!A:A, Vöruskrá!G:G, "")), ""), IF(F1118 = "Réttur", IFERROR(_xlfn.SINGLE(_xlfn.XLOOKUP(G1118, Réttabanki!A:A, Réttabanki!AU:AU, "")), ""), "")))</f>
        <v/>
      </c>
      <c r="O1118" s="26" t="str">
        <f>IF(OR(F1118 = "", G1118 = "", I1118 = ""), "", IF(F1118 = "Vara", IFERROR(_xlfn.SINGLE(_xlfn.XLOOKUP(G1118, Vöruskrá!A:A, Vöruskrá!I:I, "")) * I1118 / 100, ""), IF(F1118 = "Réttur", IFERROR(_xlfn.SINGLE(_xlfn.XLOOKUP(G1118, Réttabanki!A:A, Réttabanki!AV:AV, "")) * I1118 / 100, ""), "")))</f>
        <v/>
      </c>
      <c r="P1118" s="26" t="str">
        <f>IF(OR(F1118 = "", G1118 = "", I1118 = ""), "", IF(F1118 = "Vara", IFERROR(_xlfn.SINGLE(_xlfn.XLOOKUP(G1118, Vöruskrá!A:A, Vöruskrá!J:J, "")) * I1118 / 100, ""), IF(F1118 = "Réttur", IFERROR(_xlfn.SINGLE(_xlfn.XLOOKUP(G1118, Réttabanki!A:A, Réttabanki!AW:AW, "")) * I1118 / 100, ""), "")))</f>
        <v/>
      </c>
      <c r="Q1118" s="26" t="str">
        <f>IF(OR(F1118 = "", G1118 = "", I1118 = ""), "", IF(F1118 = "Vara", IFERROR(_xlfn.SINGLE(_xlfn.XLOOKUP(G1118, Vöruskrá!A:A, Vöruskrá!N:N, "")) * I1118 / 100, ""), IF(F1118 = "Réttur", IFERROR(_xlfn.SINGLE(_xlfn.XLOOKUP(G1118, Réttabanki!A:A, Réttabanki!BB:BB, "")) * I1118 / 100, ""), "")))</f>
        <v/>
      </c>
    </row>
    <row r="1119" spans="2:17">
      <c r="B1119" s="33" t="str">
        <f>IF(A1119&lt;&gt;"",CHOOSE(WEEKDAY(A1119,2),"Mánudagur","Þriðjudagur","Miðvikudagur","Fimmtudagur","Föstudagur","Laugardagur","Sunnudagur"),IF(B1118&lt;&gt;"",B1118,""))</f>
        <v>Fimmtudagur</v>
      </c>
      <c r="C1119" s="33">
        <f>IF(A1119&lt;&gt;"",WEEKNUM(A1119,21),IF(C1118&lt;&gt;"",C1118,""))</f>
        <v>27</v>
      </c>
      <c r="D1119" s="34"/>
      <c r="E1119" s="34"/>
      <c r="F1119" s="34"/>
      <c r="G1119" s="34"/>
      <c r="H1119" s="34"/>
      <c r="I1119" s="35"/>
      <c r="J1119" s="35"/>
      <c r="K1119" s="36"/>
      <c r="L1119" s="26" t="str">
        <f>IF(OR(F1119 = "", G1119 = ""), "", IF(F1119 = "Vara", IFERROR(_xlfn.SINGLE(_xlfn.XLOOKUP(G1119, Vöruskrá!A:A, Vöruskrá!E:E, "")), ""), IF(F1119 = "Réttur", IFERROR(_xlfn.SINGLE(_xlfn.XLOOKUP(G1119, Réttabanki!A:A, Réttabanki!AS:AS, "")), ""), "")))</f>
        <v/>
      </c>
      <c r="M1119" s="26" t="str">
        <f>IF(OR(F1119 = "", G1119 = ""), "", IF(F1119 = "Vara", IFERROR(_xlfn.SINGLE(_xlfn.XLOOKUP(G1119, Vöruskrá!A:A, Vöruskrá!F:F, "")), ""), IF(F1119 = "Réttur", IFERROR(_xlfn.SINGLE(_xlfn.XLOOKUP(G1119, Réttabanki!A:A, Réttabanki!AT:AT, "")), ""), "")))</f>
        <v/>
      </c>
      <c r="N1119" s="26" t="str">
        <f>IF(OR(F1119 = "", G1119 = ""), "", IF(F1119 = "Vara", IFERROR(_xlfn.SINGLE(_xlfn.XLOOKUP(G1119, Vöruskrá!A:A, Vöruskrá!G:G, "")), ""), IF(F1119 = "Réttur", IFERROR(_xlfn.SINGLE(_xlfn.XLOOKUP(G1119, Réttabanki!A:A, Réttabanki!AU:AU, "")), ""), "")))</f>
        <v/>
      </c>
      <c r="O1119" s="26" t="str">
        <f>IF(OR(F1119 = "", G1119 = "", I1119 = ""), "", IF(F1119 = "Vara", IFERROR(_xlfn.SINGLE(_xlfn.XLOOKUP(G1119, Vöruskrá!A:A, Vöruskrá!I:I, "")) * I1119 / 100, ""), IF(F1119 = "Réttur", IFERROR(_xlfn.SINGLE(_xlfn.XLOOKUP(G1119, Réttabanki!A:A, Réttabanki!AV:AV, "")) * I1119 / 100, ""), "")))</f>
        <v/>
      </c>
      <c r="P1119" s="26" t="str">
        <f>IF(OR(F1119 = "", G1119 = "", I1119 = ""), "", IF(F1119 = "Vara", IFERROR(_xlfn.SINGLE(_xlfn.XLOOKUP(G1119, Vöruskrá!A:A, Vöruskrá!J:J, "")) * I1119 / 100, ""), IF(F1119 = "Réttur", IFERROR(_xlfn.SINGLE(_xlfn.XLOOKUP(G1119, Réttabanki!A:A, Réttabanki!AW:AW, "")) * I1119 / 100, ""), "")))</f>
        <v/>
      </c>
      <c r="Q1119" s="26" t="str">
        <f>IF(OR(F1119 = "", G1119 = "", I1119 = ""), "", IF(F1119 = "Vara", IFERROR(_xlfn.SINGLE(_xlfn.XLOOKUP(G1119, Vöruskrá!A:A, Vöruskrá!N:N, "")) * I1119 / 100, ""), IF(F1119 = "Réttur", IFERROR(_xlfn.SINGLE(_xlfn.XLOOKUP(G1119, Réttabanki!A:A, Réttabanki!BB:BB, "")) * I1119 / 100, ""), "")))</f>
        <v/>
      </c>
    </row>
    <row r="1120" spans="2:17">
      <c r="B1120" s="33" t="str">
        <f>IF(A1120&lt;&gt;"",CHOOSE(WEEKDAY(A1120,2),"Mánudagur","Þriðjudagur","Miðvikudagur","Fimmtudagur","Föstudagur","Laugardagur","Sunnudagur"),IF(B1119&lt;&gt;"",B1119,""))</f>
        <v>Fimmtudagur</v>
      </c>
      <c r="C1120" s="33">
        <f>IF(A1120&lt;&gt;"",WEEKNUM(A1120,21),IF(C1119&lt;&gt;"",C1119,""))</f>
        <v>27</v>
      </c>
      <c r="D1120" s="34"/>
      <c r="E1120" s="34"/>
      <c r="F1120" s="34"/>
      <c r="G1120" s="34"/>
      <c r="H1120" s="34"/>
      <c r="I1120" s="35"/>
      <c r="J1120" s="35"/>
      <c r="K1120" s="36"/>
      <c r="L1120" s="26" t="str">
        <f>IF(OR(F1120 = "", G1120 = ""), "", IF(F1120 = "Vara", IFERROR(_xlfn.SINGLE(_xlfn.XLOOKUP(G1120, Vöruskrá!A:A, Vöruskrá!E:E, "")), ""), IF(F1120 = "Réttur", IFERROR(_xlfn.SINGLE(_xlfn.XLOOKUP(G1120, Réttabanki!A:A, Réttabanki!AS:AS, "")), ""), "")))</f>
        <v/>
      </c>
      <c r="M1120" s="26" t="str">
        <f>IF(OR(F1120 = "", G1120 = ""), "", IF(F1120 = "Vara", IFERROR(_xlfn.SINGLE(_xlfn.XLOOKUP(G1120, Vöruskrá!A:A, Vöruskrá!F:F, "")), ""), IF(F1120 = "Réttur", IFERROR(_xlfn.SINGLE(_xlfn.XLOOKUP(G1120, Réttabanki!A:A, Réttabanki!AT:AT, "")), ""), "")))</f>
        <v/>
      </c>
      <c r="N1120" s="26" t="str">
        <f>IF(OR(F1120 = "", G1120 = ""), "", IF(F1120 = "Vara", IFERROR(_xlfn.SINGLE(_xlfn.XLOOKUP(G1120, Vöruskrá!A:A, Vöruskrá!G:G, "")), ""), IF(F1120 = "Réttur", IFERROR(_xlfn.SINGLE(_xlfn.XLOOKUP(G1120, Réttabanki!A:A, Réttabanki!AU:AU, "")), ""), "")))</f>
        <v/>
      </c>
      <c r="O1120" s="26" t="str">
        <f>IF(OR(F1120 = "", G1120 = "", I1120 = ""), "", IF(F1120 = "Vara", IFERROR(_xlfn.SINGLE(_xlfn.XLOOKUP(G1120, Vöruskrá!A:A, Vöruskrá!I:I, "")) * I1120 / 100, ""), IF(F1120 = "Réttur", IFERROR(_xlfn.SINGLE(_xlfn.XLOOKUP(G1120, Réttabanki!A:A, Réttabanki!AV:AV, "")) * I1120 / 100, ""), "")))</f>
        <v/>
      </c>
      <c r="P1120" s="26" t="str">
        <f>IF(OR(F1120 = "", G1120 = "", I1120 = ""), "", IF(F1120 = "Vara", IFERROR(_xlfn.SINGLE(_xlfn.XLOOKUP(G1120, Vöruskrá!A:A, Vöruskrá!J:J, "")) * I1120 / 100, ""), IF(F1120 = "Réttur", IFERROR(_xlfn.SINGLE(_xlfn.XLOOKUP(G1120, Réttabanki!A:A, Réttabanki!AW:AW, "")) * I1120 / 100, ""), "")))</f>
        <v/>
      </c>
      <c r="Q1120" s="26" t="str">
        <f>IF(OR(F1120 = "", G1120 = "", I1120 = ""), "", IF(F1120 = "Vara", IFERROR(_xlfn.SINGLE(_xlfn.XLOOKUP(G1120, Vöruskrá!A:A, Vöruskrá!N:N, "")) * I1120 / 100, ""), IF(F1120 = "Réttur", IFERROR(_xlfn.SINGLE(_xlfn.XLOOKUP(G1120, Réttabanki!A:A, Réttabanki!BB:BB, "")) * I1120 / 100, ""), "")))</f>
        <v/>
      </c>
    </row>
    <row r="1121" spans="2:17">
      <c r="B1121" s="33" t="str">
        <f>IF(A1121&lt;&gt;"",CHOOSE(WEEKDAY(A1121,2),"Mánudagur","Þriðjudagur","Miðvikudagur","Fimmtudagur","Föstudagur","Laugardagur","Sunnudagur"),IF(B1120&lt;&gt;"",B1120,""))</f>
        <v>Fimmtudagur</v>
      </c>
      <c r="C1121" s="33">
        <f>IF(A1121&lt;&gt;"",WEEKNUM(A1121,21),IF(C1120&lt;&gt;"",C1120,""))</f>
        <v>27</v>
      </c>
      <c r="D1121" s="34"/>
      <c r="E1121" s="34"/>
      <c r="F1121" s="34"/>
      <c r="G1121" s="34"/>
      <c r="H1121" s="34"/>
      <c r="I1121" s="35"/>
      <c r="J1121" s="35"/>
      <c r="K1121" s="36"/>
      <c r="L1121" s="26" t="str">
        <f>IF(OR(F1121 = "", G1121 = ""), "", IF(F1121 = "Vara", IFERROR(_xlfn.SINGLE(_xlfn.XLOOKUP(G1121, Vöruskrá!A:A, Vöruskrá!E:E, "")), ""), IF(F1121 = "Réttur", IFERROR(_xlfn.SINGLE(_xlfn.XLOOKUP(G1121, Réttabanki!A:A, Réttabanki!AS:AS, "")), ""), "")))</f>
        <v/>
      </c>
      <c r="M1121" s="26" t="str">
        <f>IF(OR(F1121 = "", G1121 = ""), "", IF(F1121 = "Vara", IFERROR(_xlfn.SINGLE(_xlfn.XLOOKUP(G1121, Vöruskrá!A:A, Vöruskrá!F:F, "")), ""), IF(F1121 = "Réttur", IFERROR(_xlfn.SINGLE(_xlfn.XLOOKUP(G1121, Réttabanki!A:A, Réttabanki!AT:AT, "")), ""), "")))</f>
        <v/>
      </c>
      <c r="N1121" s="26" t="str">
        <f>IF(OR(F1121 = "", G1121 = ""), "", IF(F1121 = "Vara", IFERROR(_xlfn.SINGLE(_xlfn.XLOOKUP(G1121, Vöruskrá!A:A, Vöruskrá!G:G, "")), ""), IF(F1121 = "Réttur", IFERROR(_xlfn.SINGLE(_xlfn.XLOOKUP(G1121, Réttabanki!A:A, Réttabanki!AU:AU, "")), ""), "")))</f>
        <v/>
      </c>
      <c r="O1121" s="26" t="str">
        <f>IF(OR(F1121 = "", G1121 = "", I1121 = ""), "", IF(F1121 = "Vara", IFERROR(_xlfn.SINGLE(_xlfn.XLOOKUP(G1121, Vöruskrá!A:A, Vöruskrá!I:I, "")) * I1121 / 100, ""), IF(F1121 = "Réttur", IFERROR(_xlfn.SINGLE(_xlfn.XLOOKUP(G1121, Réttabanki!A:A, Réttabanki!AV:AV, "")) * I1121 / 100, ""), "")))</f>
        <v/>
      </c>
      <c r="P1121" s="26" t="str">
        <f>IF(OR(F1121 = "", G1121 = "", I1121 = ""), "", IF(F1121 = "Vara", IFERROR(_xlfn.SINGLE(_xlfn.XLOOKUP(G1121, Vöruskrá!A:A, Vöruskrá!J:J, "")) * I1121 / 100, ""), IF(F1121 = "Réttur", IFERROR(_xlfn.SINGLE(_xlfn.XLOOKUP(G1121, Réttabanki!A:A, Réttabanki!AW:AW, "")) * I1121 / 100, ""), "")))</f>
        <v/>
      </c>
      <c r="Q1121" s="26" t="str">
        <f>IF(OR(F1121 = "", G1121 = "", I1121 = ""), "", IF(F1121 = "Vara", IFERROR(_xlfn.SINGLE(_xlfn.XLOOKUP(G1121, Vöruskrá!A:A, Vöruskrá!N:N, "")) * I1121 / 100, ""), IF(F1121 = "Réttur", IFERROR(_xlfn.SINGLE(_xlfn.XLOOKUP(G1121, Réttabanki!A:A, Réttabanki!BB:BB, "")) * I1121 / 100, ""), "")))</f>
        <v/>
      </c>
    </row>
    <row r="1122" spans="2:17">
      <c r="B1122" s="33" t="str">
        <f>IF(A1122&lt;&gt;"",CHOOSE(WEEKDAY(A1122,2),"Mánudagur","Þriðjudagur","Miðvikudagur","Fimmtudagur","Föstudagur","Laugardagur","Sunnudagur"),IF(B1121&lt;&gt;"",B1121,""))</f>
        <v>Fimmtudagur</v>
      </c>
      <c r="C1122" s="33">
        <f>IF(A1122&lt;&gt;"",WEEKNUM(A1122,21),IF(C1121&lt;&gt;"",C1121,""))</f>
        <v>27</v>
      </c>
      <c r="D1122" s="34"/>
      <c r="E1122" s="34"/>
      <c r="F1122" s="34"/>
      <c r="G1122" s="34"/>
      <c r="H1122" s="34"/>
      <c r="I1122" s="35"/>
      <c r="J1122" s="35"/>
      <c r="K1122" s="36"/>
      <c r="L1122" s="26" t="str">
        <f>IF(OR(F1122 = "", G1122 = ""), "", IF(F1122 = "Vara", IFERROR(_xlfn.SINGLE(_xlfn.XLOOKUP(G1122, Vöruskrá!A:A, Vöruskrá!E:E, "")), ""), IF(F1122 = "Réttur", IFERROR(_xlfn.SINGLE(_xlfn.XLOOKUP(G1122, Réttabanki!A:A, Réttabanki!AS:AS, "")), ""), "")))</f>
        <v/>
      </c>
      <c r="M1122" s="26" t="str">
        <f>IF(OR(F1122 = "", G1122 = ""), "", IF(F1122 = "Vara", IFERROR(_xlfn.SINGLE(_xlfn.XLOOKUP(G1122, Vöruskrá!A:A, Vöruskrá!F:F, "")), ""), IF(F1122 = "Réttur", IFERROR(_xlfn.SINGLE(_xlfn.XLOOKUP(G1122, Réttabanki!A:A, Réttabanki!AT:AT, "")), ""), "")))</f>
        <v/>
      </c>
      <c r="N1122" s="26" t="str">
        <f>IF(OR(F1122 = "", G1122 = ""), "", IF(F1122 = "Vara", IFERROR(_xlfn.SINGLE(_xlfn.XLOOKUP(G1122, Vöruskrá!A:A, Vöruskrá!G:G, "")), ""), IF(F1122 = "Réttur", IFERROR(_xlfn.SINGLE(_xlfn.XLOOKUP(G1122, Réttabanki!A:A, Réttabanki!AU:AU, "")), ""), "")))</f>
        <v/>
      </c>
      <c r="O1122" s="26" t="str">
        <f>IF(OR(F1122 = "", G1122 = "", I1122 = ""), "", IF(F1122 = "Vara", IFERROR(_xlfn.SINGLE(_xlfn.XLOOKUP(G1122, Vöruskrá!A:A, Vöruskrá!I:I, "")) * I1122 / 100, ""), IF(F1122 = "Réttur", IFERROR(_xlfn.SINGLE(_xlfn.XLOOKUP(G1122, Réttabanki!A:A, Réttabanki!AV:AV, "")) * I1122 / 100, ""), "")))</f>
        <v/>
      </c>
      <c r="P1122" s="26" t="str">
        <f>IF(OR(F1122 = "", G1122 = "", I1122 = ""), "", IF(F1122 = "Vara", IFERROR(_xlfn.SINGLE(_xlfn.XLOOKUP(G1122, Vöruskrá!A:A, Vöruskrá!J:J, "")) * I1122 / 100, ""), IF(F1122 = "Réttur", IFERROR(_xlfn.SINGLE(_xlfn.XLOOKUP(G1122, Réttabanki!A:A, Réttabanki!AW:AW, "")) * I1122 / 100, ""), "")))</f>
        <v/>
      </c>
      <c r="Q1122" s="26" t="str">
        <f>IF(OR(F1122 = "", G1122 = "", I1122 = ""), "", IF(F1122 = "Vara", IFERROR(_xlfn.SINGLE(_xlfn.XLOOKUP(G1122, Vöruskrá!A:A, Vöruskrá!N:N, "")) * I1122 / 100, ""), IF(F1122 = "Réttur", IFERROR(_xlfn.SINGLE(_xlfn.XLOOKUP(G1122, Réttabanki!A:A, Réttabanki!BB:BB, "")) * I1122 / 100, ""), "")))</f>
        <v/>
      </c>
    </row>
    <row r="1123" spans="2:17">
      <c r="B1123" s="33" t="str">
        <f>IF(A1123&lt;&gt;"",CHOOSE(WEEKDAY(A1123,2),"Mánudagur","Þriðjudagur","Miðvikudagur","Fimmtudagur","Föstudagur","Laugardagur","Sunnudagur"),IF(B1122&lt;&gt;"",B1122,""))</f>
        <v>Fimmtudagur</v>
      </c>
      <c r="C1123" s="33">
        <f>IF(A1123&lt;&gt;"",WEEKNUM(A1123,21),IF(C1122&lt;&gt;"",C1122,""))</f>
        <v>27</v>
      </c>
      <c r="D1123" s="34"/>
      <c r="E1123" s="34"/>
      <c r="F1123" s="34"/>
      <c r="G1123" s="34"/>
      <c r="H1123" s="34"/>
      <c r="I1123" s="35"/>
      <c r="J1123" s="35"/>
      <c r="K1123" s="36"/>
      <c r="L1123" s="26" t="str">
        <f>IF(OR(F1123 = "", G1123 = ""), "", IF(F1123 = "Vara", IFERROR(_xlfn.SINGLE(_xlfn.XLOOKUP(G1123, Vöruskrá!A:A, Vöruskrá!E:E, "")), ""), IF(F1123 = "Réttur", IFERROR(_xlfn.SINGLE(_xlfn.XLOOKUP(G1123, Réttabanki!A:A, Réttabanki!AS:AS, "")), ""), "")))</f>
        <v/>
      </c>
      <c r="M1123" s="26" t="str">
        <f>IF(OR(F1123 = "", G1123 = ""), "", IF(F1123 = "Vara", IFERROR(_xlfn.SINGLE(_xlfn.XLOOKUP(G1123, Vöruskrá!A:A, Vöruskrá!F:F, "")), ""), IF(F1123 = "Réttur", IFERROR(_xlfn.SINGLE(_xlfn.XLOOKUP(G1123, Réttabanki!A:A, Réttabanki!AT:AT, "")), ""), "")))</f>
        <v/>
      </c>
      <c r="N1123" s="26" t="str">
        <f>IF(OR(F1123 = "", G1123 = ""), "", IF(F1123 = "Vara", IFERROR(_xlfn.SINGLE(_xlfn.XLOOKUP(G1123, Vöruskrá!A:A, Vöruskrá!G:G, "")), ""), IF(F1123 = "Réttur", IFERROR(_xlfn.SINGLE(_xlfn.XLOOKUP(G1123, Réttabanki!A:A, Réttabanki!AU:AU, "")), ""), "")))</f>
        <v/>
      </c>
      <c r="O1123" s="26" t="str">
        <f>IF(OR(F1123 = "", G1123 = "", I1123 = ""), "", IF(F1123 = "Vara", IFERROR(_xlfn.SINGLE(_xlfn.XLOOKUP(G1123, Vöruskrá!A:A, Vöruskrá!I:I, "")) * I1123 / 100, ""), IF(F1123 = "Réttur", IFERROR(_xlfn.SINGLE(_xlfn.XLOOKUP(G1123, Réttabanki!A:A, Réttabanki!AV:AV, "")) * I1123 / 100, ""), "")))</f>
        <v/>
      </c>
      <c r="P1123" s="26" t="str">
        <f>IF(OR(F1123 = "", G1123 = "", I1123 = ""), "", IF(F1123 = "Vara", IFERROR(_xlfn.SINGLE(_xlfn.XLOOKUP(G1123, Vöruskrá!A:A, Vöruskrá!J:J, "")) * I1123 / 100, ""), IF(F1123 = "Réttur", IFERROR(_xlfn.SINGLE(_xlfn.XLOOKUP(G1123, Réttabanki!A:A, Réttabanki!AW:AW, "")) * I1123 / 100, ""), "")))</f>
        <v/>
      </c>
      <c r="Q1123" s="26" t="str">
        <f>IF(OR(F1123 = "", G1123 = "", I1123 = ""), "", IF(F1123 = "Vara", IFERROR(_xlfn.SINGLE(_xlfn.XLOOKUP(G1123, Vöruskrá!A:A, Vöruskrá!N:N, "")) * I1123 / 100, ""), IF(F1123 = "Réttur", IFERROR(_xlfn.SINGLE(_xlfn.XLOOKUP(G1123, Réttabanki!A:A, Réttabanki!BB:BB, "")) * I1123 / 100, ""), "")))</f>
        <v/>
      </c>
    </row>
    <row r="1124" spans="2:17">
      <c r="B1124" s="33" t="str">
        <f>IF(A1124&lt;&gt;"",CHOOSE(WEEKDAY(A1124,2),"Mánudagur","Þriðjudagur","Miðvikudagur","Fimmtudagur","Föstudagur","Laugardagur","Sunnudagur"),IF(B1123&lt;&gt;"",B1123,""))</f>
        <v>Fimmtudagur</v>
      </c>
      <c r="C1124" s="33">
        <f>IF(A1124&lt;&gt;"",WEEKNUM(A1124,21),IF(C1123&lt;&gt;"",C1123,""))</f>
        <v>27</v>
      </c>
      <c r="D1124" s="34"/>
      <c r="E1124" s="34"/>
      <c r="F1124" s="34"/>
      <c r="G1124" s="34"/>
      <c r="H1124" s="34"/>
      <c r="I1124" s="35"/>
      <c r="J1124" s="35"/>
      <c r="K1124" s="36"/>
      <c r="L1124" s="26" t="str">
        <f>IF(OR(F1124 = "", G1124 = ""), "", IF(F1124 = "Vara", IFERROR(_xlfn.SINGLE(_xlfn.XLOOKUP(G1124, Vöruskrá!A:A, Vöruskrá!E:E, "")), ""), IF(F1124 = "Réttur", IFERROR(_xlfn.SINGLE(_xlfn.XLOOKUP(G1124, Réttabanki!A:A, Réttabanki!AS:AS, "")), ""), "")))</f>
        <v/>
      </c>
      <c r="M1124" s="26" t="str">
        <f>IF(OR(F1124 = "", G1124 = ""), "", IF(F1124 = "Vara", IFERROR(_xlfn.SINGLE(_xlfn.XLOOKUP(G1124, Vöruskrá!A:A, Vöruskrá!F:F, "")), ""), IF(F1124 = "Réttur", IFERROR(_xlfn.SINGLE(_xlfn.XLOOKUP(G1124, Réttabanki!A:A, Réttabanki!AT:AT, "")), ""), "")))</f>
        <v/>
      </c>
      <c r="N1124" s="26" t="str">
        <f>IF(OR(F1124 = "", G1124 = ""), "", IF(F1124 = "Vara", IFERROR(_xlfn.SINGLE(_xlfn.XLOOKUP(G1124, Vöruskrá!A:A, Vöruskrá!G:G, "")), ""), IF(F1124 = "Réttur", IFERROR(_xlfn.SINGLE(_xlfn.XLOOKUP(G1124, Réttabanki!A:A, Réttabanki!AU:AU, "")), ""), "")))</f>
        <v/>
      </c>
      <c r="O1124" s="26" t="str">
        <f>IF(OR(F1124 = "", G1124 = "", I1124 = ""), "", IF(F1124 = "Vara", IFERROR(_xlfn.SINGLE(_xlfn.XLOOKUP(G1124, Vöruskrá!A:A, Vöruskrá!I:I, "")) * I1124 / 100, ""), IF(F1124 = "Réttur", IFERROR(_xlfn.SINGLE(_xlfn.XLOOKUP(G1124, Réttabanki!A:A, Réttabanki!AV:AV, "")) * I1124 / 100, ""), "")))</f>
        <v/>
      </c>
      <c r="P1124" s="26" t="str">
        <f>IF(OR(F1124 = "", G1124 = "", I1124 = ""), "", IF(F1124 = "Vara", IFERROR(_xlfn.SINGLE(_xlfn.XLOOKUP(G1124, Vöruskrá!A:A, Vöruskrá!J:J, "")) * I1124 / 100, ""), IF(F1124 = "Réttur", IFERROR(_xlfn.SINGLE(_xlfn.XLOOKUP(G1124, Réttabanki!A:A, Réttabanki!AW:AW, "")) * I1124 / 100, ""), "")))</f>
        <v/>
      </c>
      <c r="Q1124" s="26" t="str">
        <f>IF(OR(F1124 = "", G1124 = "", I1124 = ""), "", IF(F1124 = "Vara", IFERROR(_xlfn.SINGLE(_xlfn.XLOOKUP(G1124, Vöruskrá!A:A, Vöruskrá!N:N, "")) * I1124 / 100, ""), IF(F1124 = "Réttur", IFERROR(_xlfn.SINGLE(_xlfn.XLOOKUP(G1124, Réttabanki!A:A, Réttabanki!BB:BB, "")) * I1124 / 100, ""), "")))</f>
        <v/>
      </c>
    </row>
    <row r="1125" spans="2:17">
      <c r="B1125" s="33" t="str">
        <f>IF(A1125&lt;&gt;"",CHOOSE(WEEKDAY(A1125,2),"Mánudagur","Þriðjudagur","Miðvikudagur","Fimmtudagur","Föstudagur","Laugardagur","Sunnudagur"),IF(B1124&lt;&gt;"",B1124,""))</f>
        <v>Fimmtudagur</v>
      </c>
      <c r="C1125" s="33">
        <f>IF(A1125&lt;&gt;"",WEEKNUM(A1125,21),IF(C1124&lt;&gt;"",C1124,""))</f>
        <v>27</v>
      </c>
      <c r="D1125" s="34"/>
      <c r="E1125" s="34"/>
      <c r="F1125" s="34"/>
      <c r="G1125" s="34"/>
      <c r="H1125" s="34"/>
      <c r="I1125" s="35"/>
      <c r="J1125" s="35"/>
      <c r="K1125" s="36"/>
      <c r="L1125" s="26" t="str">
        <f>IF(OR(F1125 = "", G1125 = ""), "", IF(F1125 = "Vara", IFERROR(_xlfn.SINGLE(_xlfn.XLOOKUP(G1125, Vöruskrá!A:A, Vöruskrá!E:E, "")), ""), IF(F1125 = "Réttur", IFERROR(_xlfn.SINGLE(_xlfn.XLOOKUP(G1125, Réttabanki!A:A, Réttabanki!AS:AS, "")), ""), "")))</f>
        <v/>
      </c>
      <c r="M1125" s="26" t="str">
        <f>IF(OR(F1125 = "", G1125 = ""), "", IF(F1125 = "Vara", IFERROR(_xlfn.SINGLE(_xlfn.XLOOKUP(G1125, Vöruskrá!A:A, Vöruskrá!F:F, "")), ""), IF(F1125 = "Réttur", IFERROR(_xlfn.SINGLE(_xlfn.XLOOKUP(G1125, Réttabanki!A:A, Réttabanki!AT:AT, "")), ""), "")))</f>
        <v/>
      </c>
      <c r="N1125" s="26" t="str">
        <f>IF(OR(F1125 = "", G1125 = ""), "", IF(F1125 = "Vara", IFERROR(_xlfn.SINGLE(_xlfn.XLOOKUP(G1125, Vöruskrá!A:A, Vöruskrá!G:G, "")), ""), IF(F1125 = "Réttur", IFERROR(_xlfn.SINGLE(_xlfn.XLOOKUP(G1125, Réttabanki!A:A, Réttabanki!AU:AU, "")), ""), "")))</f>
        <v/>
      </c>
      <c r="O1125" s="26" t="str">
        <f>IF(OR(F1125 = "", G1125 = "", I1125 = ""), "", IF(F1125 = "Vara", IFERROR(_xlfn.SINGLE(_xlfn.XLOOKUP(G1125, Vöruskrá!A:A, Vöruskrá!I:I, "")) * I1125 / 100, ""), IF(F1125 = "Réttur", IFERROR(_xlfn.SINGLE(_xlfn.XLOOKUP(G1125, Réttabanki!A:A, Réttabanki!AV:AV, "")) * I1125 / 100, ""), "")))</f>
        <v/>
      </c>
      <c r="P1125" s="26" t="str">
        <f>IF(OR(F1125 = "", G1125 = "", I1125 = ""), "", IF(F1125 = "Vara", IFERROR(_xlfn.SINGLE(_xlfn.XLOOKUP(G1125, Vöruskrá!A:A, Vöruskrá!J:J, "")) * I1125 / 100, ""), IF(F1125 = "Réttur", IFERROR(_xlfn.SINGLE(_xlfn.XLOOKUP(G1125, Réttabanki!A:A, Réttabanki!AW:AW, "")) * I1125 / 100, ""), "")))</f>
        <v/>
      </c>
      <c r="Q1125" s="26" t="str">
        <f>IF(OR(F1125 = "", G1125 = "", I1125 = ""), "", IF(F1125 = "Vara", IFERROR(_xlfn.SINGLE(_xlfn.XLOOKUP(G1125, Vöruskrá!A:A, Vöruskrá!N:N, "")) * I1125 / 100, ""), IF(F1125 = "Réttur", IFERROR(_xlfn.SINGLE(_xlfn.XLOOKUP(G1125, Réttabanki!A:A, Réttabanki!BB:BB, "")) * I1125 / 100, ""), "")))</f>
        <v/>
      </c>
    </row>
    <row r="1126" spans="2:17">
      <c r="B1126" s="33" t="str">
        <f>IF(A1126&lt;&gt;"",CHOOSE(WEEKDAY(A1126,2),"Mánudagur","Þriðjudagur","Miðvikudagur","Fimmtudagur","Föstudagur","Laugardagur","Sunnudagur"),IF(B1125&lt;&gt;"",B1125,""))</f>
        <v>Fimmtudagur</v>
      </c>
      <c r="C1126" s="33">
        <f>IF(A1126&lt;&gt;"",WEEKNUM(A1126,21),IF(C1125&lt;&gt;"",C1125,""))</f>
        <v>27</v>
      </c>
      <c r="D1126" s="34"/>
      <c r="E1126" s="34"/>
      <c r="F1126" s="34"/>
      <c r="G1126" s="34"/>
      <c r="H1126" s="34"/>
      <c r="I1126" s="35"/>
      <c r="J1126" s="35"/>
      <c r="K1126" s="36"/>
      <c r="L1126" s="26" t="str">
        <f>IF(OR(F1126 = "", G1126 = ""), "", IF(F1126 = "Vara", IFERROR(_xlfn.SINGLE(_xlfn.XLOOKUP(G1126, Vöruskrá!A:A, Vöruskrá!E:E, "")), ""), IF(F1126 = "Réttur", IFERROR(_xlfn.SINGLE(_xlfn.XLOOKUP(G1126, Réttabanki!A:A, Réttabanki!AS:AS, "")), ""), "")))</f>
        <v/>
      </c>
      <c r="M1126" s="26" t="str">
        <f>IF(OR(F1126 = "", G1126 = ""), "", IF(F1126 = "Vara", IFERROR(_xlfn.SINGLE(_xlfn.XLOOKUP(G1126, Vöruskrá!A:A, Vöruskrá!F:F, "")), ""), IF(F1126 = "Réttur", IFERROR(_xlfn.SINGLE(_xlfn.XLOOKUP(G1126, Réttabanki!A:A, Réttabanki!AT:AT, "")), ""), "")))</f>
        <v/>
      </c>
      <c r="N1126" s="26" t="str">
        <f>IF(OR(F1126 = "", G1126 = ""), "", IF(F1126 = "Vara", IFERROR(_xlfn.SINGLE(_xlfn.XLOOKUP(G1126, Vöruskrá!A:A, Vöruskrá!G:G, "")), ""), IF(F1126 = "Réttur", IFERROR(_xlfn.SINGLE(_xlfn.XLOOKUP(G1126, Réttabanki!A:A, Réttabanki!AU:AU, "")), ""), "")))</f>
        <v/>
      </c>
      <c r="O1126" s="26" t="str">
        <f>IF(OR(F1126 = "", G1126 = "", I1126 = ""), "", IF(F1126 = "Vara", IFERROR(_xlfn.SINGLE(_xlfn.XLOOKUP(G1126, Vöruskrá!A:A, Vöruskrá!I:I, "")) * I1126 / 100, ""), IF(F1126 = "Réttur", IFERROR(_xlfn.SINGLE(_xlfn.XLOOKUP(G1126, Réttabanki!A:A, Réttabanki!AV:AV, "")) * I1126 / 100, ""), "")))</f>
        <v/>
      </c>
      <c r="P1126" s="26" t="str">
        <f>IF(OR(F1126 = "", G1126 = "", I1126 = ""), "", IF(F1126 = "Vara", IFERROR(_xlfn.SINGLE(_xlfn.XLOOKUP(G1126, Vöruskrá!A:A, Vöruskrá!J:J, "")) * I1126 / 100, ""), IF(F1126 = "Réttur", IFERROR(_xlfn.SINGLE(_xlfn.XLOOKUP(G1126, Réttabanki!A:A, Réttabanki!AW:AW, "")) * I1126 / 100, ""), "")))</f>
        <v/>
      </c>
      <c r="Q1126" s="26" t="str">
        <f>IF(OR(F1126 = "", G1126 = "", I1126 = ""), "", IF(F1126 = "Vara", IFERROR(_xlfn.SINGLE(_xlfn.XLOOKUP(G1126, Vöruskrá!A:A, Vöruskrá!N:N, "")) * I1126 / 100, ""), IF(F1126 = "Réttur", IFERROR(_xlfn.SINGLE(_xlfn.XLOOKUP(G1126, Réttabanki!A:A, Réttabanki!BB:BB, "")) * I1126 / 100, ""), "")))</f>
        <v/>
      </c>
    </row>
    <row r="1127" spans="2:17">
      <c r="B1127" s="33" t="str">
        <f>IF(A1127&lt;&gt;"",CHOOSE(WEEKDAY(A1127,2),"Mánudagur","Þriðjudagur","Miðvikudagur","Fimmtudagur","Föstudagur","Laugardagur","Sunnudagur"),IF(B1126&lt;&gt;"",B1126,""))</f>
        <v>Fimmtudagur</v>
      </c>
      <c r="C1127" s="33">
        <f>IF(A1127&lt;&gt;"",WEEKNUM(A1127,21),IF(C1126&lt;&gt;"",C1126,""))</f>
        <v>27</v>
      </c>
      <c r="D1127" s="34"/>
      <c r="E1127" s="34"/>
      <c r="F1127" s="34"/>
      <c r="G1127" s="34"/>
      <c r="H1127" s="34"/>
      <c r="I1127" s="35"/>
      <c r="J1127" s="35"/>
      <c r="K1127" s="36"/>
      <c r="L1127" s="26" t="str">
        <f>IF(OR(F1127 = "", G1127 = ""), "", IF(F1127 = "Vara", IFERROR(_xlfn.SINGLE(_xlfn.XLOOKUP(G1127, Vöruskrá!A:A, Vöruskrá!E:E, "")), ""), IF(F1127 = "Réttur", IFERROR(_xlfn.SINGLE(_xlfn.XLOOKUP(G1127, Réttabanki!A:A, Réttabanki!AS:AS, "")), ""), "")))</f>
        <v/>
      </c>
      <c r="M1127" s="26" t="str">
        <f>IF(OR(F1127 = "", G1127 = ""), "", IF(F1127 = "Vara", IFERROR(_xlfn.SINGLE(_xlfn.XLOOKUP(G1127, Vöruskrá!A:A, Vöruskrá!F:F, "")), ""), IF(F1127 = "Réttur", IFERROR(_xlfn.SINGLE(_xlfn.XLOOKUP(G1127, Réttabanki!A:A, Réttabanki!AT:AT, "")), ""), "")))</f>
        <v/>
      </c>
      <c r="N1127" s="26" t="str">
        <f>IF(OR(F1127 = "", G1127 = ""), "", IF(F1127 = "Vara", IFERROR(_xlfn.SINGLE(_xlfn.XLOOKUP(G1127, Vöruskrá!A:A, Vöruskrá!G:G, "")), ""), IF(F1127 = "Réttur", IFERROR(_xlfn.SINGLE(_xlfn.XLOOKUP(G1127, Réttabanki!A:A, Réttabanki!AU:AU, "")), ""), "")))</f>
        <v/>
      </c>
      <c r="O1127" s="26" t="str">
        <f>IF(OR(F1127 = "", G1127 = "", I1127 = ""), "", IF(F1127 = "Vara", IFERROR(_xlfn.SINGLE(_xlfn.XLOOKUP(G1127, Vöruskrá!A:A, Vöruskrá!I:I, "")) * I1127 / 100, ""), IF(F1127 = "Réttur", IFERROR(_xlfn.SINGLE(_xlfn.XLOOKUP(G1127, Réttabanki!A:A, Réttabanki!AV:AV, "")) * I1127 / 100, ""), "")))</f>
        <v/>
      </c>
      <c r="P1127" s="26" t="str">
        <f>IF(OR(F1127 = "", G1127 = "", I1127 = ""), "", IF(F1127 = "Vara", IFERROR(_xlfn.SINGLE(_xlfn.XLOOKUP(G1127, Vöruskrá!A:A, Vöruskrá!J:J, "")) * I1127 / 100, ""), IF(F1127 = "Réttur", IFERROR(_xlfn.SINGLE(_xlfn.XLOOKUP(G1127, Réttabanki!A:A, Réttabanki!AW:AW, "")) * I1127 / 100, ""), "")))</f>
        <v/>
      </c>
      <c r="Q1127" s="26" t="str">
        <f>IF(OR(F1127 = "", G1127 = "", I1127 = ""), "", IF(F1127 = "Vara", IFERROR(_xlfn.SINGLE(_xlfn.XLOOKUP(G1127, Vöruskrá!A:A, Vöruskrá!N:N, "")) * I1127 / 100, ""), IF(F1127 = "Réttur", IFERROR(_xlfn.SINGLE(_xlfn.XLOOKUP(G1127, Réttabanki!A:A, Réttabanki!BB:BB, "")) * I1127 / 100, ""), "")))</f>
        <v/>
      </c>
    </row>
    <row r="1128" spans="2:17">
      <c r="B1128" s="33" t="str">
        <f>IF(A1128&lt;&gt;"",CHOOSE(WEEKDAY(A1128,2),"Mánudagur","Þriðjudagur","Miðvikudagur","Fimmtudagur","Föstudagur","Laugardagur","Sunnudagur"),IF(B1127&lt;&gt;"",B1127,""))</f>
        <v>Fimmtudagur</v>
      </c>
      <c r="C1128" s="33">
        <f>IF(A1128&lt;&gt;"",WEEKNUM(A1128,21),IF(C1127&lt;&gt;"",C1127,""))</f>
        <v>27</v>
      </c>
      <c r="D1128" s="34"/>
      <c r="E1128" s="34"/>
      <c r="F1128" s="34"/>
      <c r="G1128" s="34"/>
      <c r="H1128" s="34"/>
      <c r="I1128" s="35"/>
      <c r="J1128" s="35"/>
      <c r="K1128" s="36"/>
      <c r="L1128" s="26" t="str">
        <f>IF(OR(F1128 = "", G1128 = ""), "", IF(F1128 = "Vara", IFERROR(_xlfn.SINGLE(_xlfn.XLOOKUP(G1128, Vöruskrá!A:A, Vöruskrá!E:E, "")), ""), IF(F1128 = "Réttur", IFERROR(_xlfn.SINGLE(_xlfn.XLOOKUP(G1128, Réttabanki!A:A, Réttabanki!AS:AS, "")), ""), "")))</f>
        <v/>
      </c>
      <c r="M1128" s="26" t="str">
        <f>IF(OR(F1128 = "", G1128 = ""), "", IF(F1128 = "Vara", IFERROR(_xlfn.SINGLE(_xlfn.XLOOKUP(G1128, Vöruskrá!A:A, Vöruskrá!F:F, "")), ""), IF(F1128 = "Réttur", IFERROR(_xlfn.SINGLE(_xlfn.XLOOKUP(G1128, Réttabanki!A:A, Réttabanki!AT:AT, "")), ""), "")))</f>
        <v/>
      </c>
      <c r="N1128" s="26" t="str">
        <f>IF(OR(F1128 = "", G1128 = ""), "", IF(F1128 = "Vara", IFERROR(_xlfn.SINGLE(_xlfn.XLOOKUP(G1128, Vöruskrá!A:A, Vöruskrá!G:G, "")), ""), IF(F1128 = "Réttur", IFERROR(_xlfn.SINGLE(_xlfn.XLOOKUP(G1128, Réttabanki!A:A, Réttabanki!AU:AU, "")), ""), "")))</f>
        <v/>
      </c>
      <c r="O1128" s="26" t="str">
        <f>IF(OR(F1128 = "", G1128 = "", I1128 = ""), "", IF(F1128 = "Vara", IFERROR(_xlfn.SINGLE(_xlfn.XLOOKUP(G1128, Vöruskrá!A:A, Vöruskrá!I:I, "")) * I1128 / 100, ""), IF(F1128 = "Réttur", IFERROR(_xlfn.SINGLE(_xlfn.XLOOKUP(G1128, Réttabanki!A:A, Réttabanki!AV:AV, "")) * I1128 / 100, ""), "")))</f>
        <v/>
      </c>
      <c r="P1128" s="26" t="str">
        <f>IF(OR(F1128 = "", G1128 = "", I1128 = ""), "", IF(F1128 = "Vara", IFERROR(_xlfn.SINGLE(_xlfn.XLOOKUP(G1128, Vöruskrá!A:A, Vöruskrá!J:J, "")) * I1128 / 100, ""), IF(F1128 = "Réttur", IFERROR(_xlfn.SINGLE(_xlfn.XLOOKUP(G1128, Réttabanki!A:A, Réttabanki!AW:AW, "")) * I1128 / 100, ""), "")))</f>
        <v/>
      </c>
      <c r="Q1128" s="26" t="str">
        <f>IF(OR(F1128 = "", G1128 = "", I1128 = ""), "", IF(F1128 = "Vara", IFERROR(_xlfn.SINGLE(_xlfn.XLOOKUP(G1128, Vöruskrá!A:A, Vöruskrá!N:N, "")) * I1128 / 100, ""), IF(F1128 = "Réttur", IFERROR(_xlfn.SINGLE(_xlfn.XLOOKUP(G1128, Réttabanki!A:A, Réttabanki!BB:BB, "")) * I1128 / 100, ""), "")))</f>
        <v/>
      </c>
    </row>
    <row r="1129" spans="2:17">
      <c r="B1129" s="33" t="str">
        <f>IF(A1129&lt;&gt;"",CHOOSE(WEEKDAY(A1129,2),"Mánudagur","Þriðjudagur","Miðvikudagur","Fimmtudagur","Föstudagur","Laugardagur","Sunnudagur"),IF(B1128&lt;&gt;"",B1128,""))</f>
        <v>Fimmtudagur</v>
      </c>
      <c r="C1129" s="33">
        <f>IF(A1129&lt;&gt;"",WEEKNUM(A1129,21),IF(C1128&lt;&gt;"",C1128,""))</f>
        <v>27</v>
      </c>
      <c r="D1129" s="34"/>
      <c r="E1129" s="34"/>
      <c r="F1129" s="34"/>
      <c r="G1129" s="34"/>
      <c r="H1129" s="34"/>
      <c r="I1129" s="35"/>
      <c r="J1129" s="35"/>
      <c r="K1129" s="36"/>
      <c r="L1129" s="26" t="str">
        <f>IF(OR(F1129 = "", G1129 = ""), "", IF(F1129 = "Vara", IFERROR(_xlfn.SINGLE(_xlfn.XLOOKUP(G1129, Vöruskrá!A:A, Vöruskrá!E:E, "")), ""), IF(F1129 = "Réttur", IFERROR(_xlfn.SINGLE(_xlfn.XLOOKUP(G1129, Réttabanki!A:A, Réttabanki!AS:AS, "")), ""), "")))</f>
        <v/>
      </c>
      <c r="M1129" s="26" t="str">
        <f>IF(OR(F1129 = "", G1129 = ""), "", IF(F1129 = "Vara", IFERROR(_xlfn.SINGLE(_xlfn.XLOOKUP(G1129, Vöruskrá!A:A, Vöruskrá!F:F, "")), ""), IF(F1129 = "Réttur", IFERROR(_xlfn.SINGLE(_xlfn.XLOOKUP(G1129, Réttabanki!A:A, Réttabanki!AT:AT, "")), ""), "")))</f>
        <v/>
      </c>
      <c r="N1129" s="26" t="str">
        <f>IF(OR(F1129 = "", G1129 = ""), "", IF(F1129 = "Vara", IFERROR(_xlfn.SINGLE(_xlfn.XLOOKUP(G1129, Vöruskrá!A:A, Vöruskrá!G:G, "")), ""), IF(F1129 = "Réttur", IFERROR(_xlfn.SINGLE(_xlfn.XLOOKUP(G1129, Réttabanki!A:A, Réttabanki!AU:AU, "")), ""), "")))</f>
        <v/>
      </c>
      <c r="O1129" s="26" t="str">
        <f>IF(OR(F1129 = "", G1129 = "", I1129 = ""), "", IF(F1129 = "Vara", IFERROR(_xlfn.SINGLE(_xlfn.XLOOKUP(G1129, Vöruskrá!A:A, Vöruskrá!I:I, "")) * I1129 / 100, ""), IF(F1129 = "Réttur", IFERROR(_xlfn.SINGLE(_xlfn.XLOOKUP(G1129, Réttabanki!A:A, Réttabanki!AV:AV, "")) * I1129 / 100, ""), "")))</f>
        <v/>
      </c>
      <c r="P1129" s="26" t="str">
        <f>IF(OR(F1129 = "", G1129 = "", I1129 = ""), "", IF(F1129 = "Vara", IFERROR(_xlfn.SINGLE(_xlfn.XLOOKUP(G1129, Vöruskrá!A:A, Vöruskrá!J:J, "")) * I1129 / 100, ""), IF(F1129 = "Réttur", IFERROR(_xlfn.SINGLE(_xlfn.XLOOKUP(G1129, Réttabanki!A:A, Réttabanki!AW:AW, "")) * I1129 / 100, ""), "")))</f>
        <v/>
      </c>
      <c r="Q1129" s="26" t="str">
        <f>IF(OR(F1129 = "", G1129 = "", I1129 = ""), "", IF(F1129 = "Vara", IFERROR(_xlfn.SINGLE(_xlfn.XLOOKUP(G1129, Vöruskrá!A:A, Vöruskrá!N:N, "")) * I1129 / 100, ""), IF(F1129 = "Réttur", IFERROR(_xlfn.SINGLE(_xlfn.XLOOKUP(G1129, Réttabanki!A:A, Réttabanki!BB:BB, "")) * I1129 / 100, ""), "")))</f>
        <v/>
      </c>
    </row>
    <row r="1130" spans="2:17">
      <c r="B1130" s="33" t="str">
        <f>IF(A1130&lt;&gt;"",CHOOSE(WEEKDAY(A1130,2),"Mánudagur","Þriðjudagur","Miðvikudagur","Fimmtudagur","Föstudagur","Laugardagur","Sunnudagur"),IF(B1129&lt;&gt;"",B1129,""))</f>
        <v>Fimmtudagur</v>
      </c>
      <c r="C1130" s="33">
        <f>IF(A1130&lt;&gt;"",WEEKNUM(A1130,21),IF(C1129&lt;&gt;"",C1129,""))</f>
        <v>27</v>
      </c>
      <c r="D1130" s="34"/>
      <c r="E1130" s="34"/>
      <c r="F1130" s="34"/>
      <c r="G1130" s="34"/>
      <c r="H1130" s="34"/>
      <c r="I1130" s="35"/>
      <c r="J1130" s="35"/>
      <c r="K1130" s="36"/>
      <c r="L1130" s="26" t="str">
        <f>IF(OR(F1130 = "", G1130 = ""), "", IF(F1130 = "Vara", IFERROR(_xlfn.SINGLE(_xlfn.XLOOKUP(G1130, Vöruskrá!A:A, Vöruskrá!E:E, "")), ""), IF(F1130 = "Réttur", IFERROR(_xlfn.SINGLE(_xlfn.XLOOKUP(G1130, Réttabanki!A:A, Réttabanki!AS:AS, "")), ""), "")))</f>
        <v/>
      </c>
      <c r="M1130" s="26" t="str">
        <f>IF(OR(F1130 = "", G1130 = ""), "", IF(F1130 = "Vara", IFERROR(_xlfn.SINGLE(_xlfn.XLOOKUP(G1130, Vöruskrá!A:A, Vöruskrá!F:F, "")), ""), IF(F1130 = "Réttur", IFERROR(_xlfn.SINGLE(_xlfn.XLOOKUP(G1130, Réttabanki!A:A, Réttabanki!AT:AT, "")), ""), "")))</f>
        <v/>
      </c>
      <c r="N1130" s="26" t="str">
        <f>IF(OR(F1130 = "", G1130 = ""), "", IF(F1130 = "Vara", IFERROR(_xlfn.SINGLE(_xlfn.XLOOKUP(G1130, Vöruskrá!A:A, Vöruskrá!G:G, "")), ""), IF(F1130 = "Réttur", IFERROR(_xlfn.SINGLE(_xlfn.XLOOKUP(G1130, Réttabanki!A:A, Réttabanki!AU:AU, "")), ""), "")))</f>
        <v/>
      </c>
      <c r="O1130" s="26" t="str">
        <f>IF(OR(F1130 = "", G1130 = "", I1130 = ""), "", IF(F1130 = "Vara", IFERROR(_xlfn.SINGLE(_xlfn.XLOOKUP(G1130, Vöruskrá!A:A, Vöruskrá!I:I, "")) * I1130 / 100, ""), IF(F1130 = "Réttur", IFERROR(_xlfn.SINGLE(_xlfn.XLOOKUP(G1130, Réttabanki!A:A, Réttabanki!AV:AV, "")) * I1130 / 100, ""), "")))</f>
        <v/>
      </c>
      <c r="P1130" s="26" t="str">
        <f>IF(OR(F1130 = "", G1130 = "", I1130 = ""), "", IF(F1130 = "Vara", IFERROR(_xlfn.SINGLE(_xlfn.XLOOKUP(G1130, Vöruskrá!A:A, Vöruskrá!J:J, "")) * I1130 / 100, ""), IF(F1130 = "Réttur", IFERROR(_xlfn.SINGLE(_xlfn.XLOOKUP(G1130, Réttabanki!A:A, Réttabanki!AW:AW, "")) * I1130 / 100, ""), "")))</f>
        <v/>
      </c>
      <c r="Q1130" s="26" t="str">
        <f>IF(OR(F1130 = "", G1130 = "", I1130 = ""), "", IF(F1130 = "Vara", IFERROR(_xlfn.SINGLE(_xlfn.XLOOKUP(G1130, Vöruskrá!A:A, Vöruskrá!N:N, "")) * I1130 / 100, ""), IF(F1130 = "Réttur", IFERROR(_xlfn.SINGLE(_xlfn.XLOOKUP(G1130, Réttabanki!A:A, Réttabanki!BB:BB, "")) * I1130 / 100, ""), "")))</f>
        <v/>
      </c>
    </row>
    <row r="1131" spans="2:17">
      <c r="B1131" s="33" t="str">
        <f>IF(A1131&lt;&gt;"",CHOOSE(WEEKDAY(A1131,2),"Mánudagur","Þriðjudagur","Miðvikudagur","Fimmtudagur","Föstudagur","Laugardagur","Sunnudagur"),IF(B1130&lt;&gt;"",B1130,""))</f>
        <v>Fimmtudagur</v>
      </c>
      <c r="C1131" s="33">
        <f>IF(A1131&lt;&gt;"",WEEKNUM(A1131,21),IF(C1130&lt;&gt;"",C1130,""))</f>
        <v>27</v>
      </c>
      <c r="D1131" s="34"/>
      <c r="E1131" s="34"/>
      <c r="F1131" s="34"/>
      <c r="G1131" s="34"/>
      <c r="H1131" s="34"/>
      <c r="I1131" s="35"/>
      <c r="J1131" s="35"/>
      <c r="K1131" s="36"/>
      <c r="L1131" s="26" t="str">
        <f>IF(OR(F1131 = "", G1131 = ""), "", IF(F1131 = "Vara", IFERROR(_xlfn.SINGLE(_xlfn.XLOOKUP(G1131, Vöruskrá!A:A, Vöruskrá!E:E, "")), ""), IF(F1131 = "Réttur", IFERROR(_xlfn.SINGLE(_xlfn.XLOOKUP(G1131, Réttabanki!A:A, Réttabanki!AS:AS, "")), ""), "")))</f>
        <v/>
      </c>
      <c r="M1131" s="26" t="str">
        <f>IF(OR(F1131 = "", G1131 = ""), "", IF(F1131 = "Vara", IFERROR(_xlfn.SINGLE(_xlfn.XLOOKUP(G1131, Vöruskrá!A:A, Vöruskrá!F:F, "")), ""), IF(F1131 = "Réttur", IFERROR(_xlfn.SINGLE(_xlfn.XLOOKUP(G1131, Réttabanki!A:A, Réttabanki!AT:AT, "")), ""), "")))</f>
        <v/>
      </c>
      <c r="N1131" s="26" t="str">
        <f>IF(OR(F1131 = "", G1131 = ""), "", IF(F1131 = "Vara", IFERROR(_xlfn.SINGLE(_xlfn.XLOOKUP(G1131, Vöruskrá!A:A, Vöruskrá!G:G, "")), ""), IF(F1131 = "Réttur", IFERROR(_xlfn.SINGLE(_xlfn.XLOOKUP(G1131, Réttabanki!A:A, Réttabanki!AU:AU, "")), ""), "")))</f>
        <v/>
      </c>
      <c r="O1131" s="26" t="str">
        <f>IF(OR(F1131 = "", G1131 = "", I1131 = ""), "", IF(F1131 = "Vara", IFERROR(_xlfn.SINGLE(_xlfn.XLOOKUP(G1131, Vöruskrá!A:A, Vöruskrá!I:I, "")) * I1131 / 100, ""), IF(F1131 = "Réttur", IFERROR(_xlfn.SINGLE(_xlfn.XLOOKUP(G1131, Réttabanki!A:A, Réttabanki!AV:AV, "")) * I1131 / 100, ""), "")))</f>
        <v/>
      </c>
      <c r="P1131" s="26" t="str">
        <f>IF(OR(F1131 = "", G1131 = "", I1131 = ""), "", IF(F1131 = "Vara", IFERROR(_xlfn.SINGLE(_xlfn.XLOOKUP(G1131, Vöruskrá!A:A, Vöruskrá!J:J, "")) * I1131 / 100, ""), IF(F1131 = "Réttur", IFERROR(_xlfn.SINGLE(_xlfn.XLOOKUP(G1131, Réttabanki!A:A, Réttabanki!AW:AW, "")) * I1131 / 100, ""), "")))</f>
        <v/>
      </c>
      <c r="Q1131" s="26" t="str">
        <f>IF(OR(F1131 = "", G1131 = "", I1131 = ""), "", IF(F1131 = "Vara", IFERROR(_xlfn.SINGLE(_xlfn.XLOOKUP(G1131, Vöruskrá!A:A, Vöruskrá!N:N, "")) * I1131 / 100, ""), IF(F1131 = "Réttur", IFERROR(_xlfn.SINGLE(_xlfn.XLOOKUP(G1131, Réttabanki!A:A, Réttabanki!BB:BB, "")) * I1131 / 100, ""), "")))</f>
        <v/>
      </c>
    </row>
    <row r="1132" spans="2:17">
      <c r="B1132" s="33" t="str">
        <f>IF(A1132&lt;&gt;"",CHOOSE(WEEKDAY(A1132,2),"Mánudagur","Þriðjudagur","Miðvikudagur","Fimmtudagur","Föstudagur","Laugardagur","Sunnudagur"),IF(B1131&lt;&gt;"",B1131,""))</f>
        <v>Fimmtudagur</v>
      </c>
      <c r="C1132" s="33">
        <f>IF(A1132&lt;&gt;"",WEEKNUM(A1132,21),IF(C1131&lt;&gt;"",C1131,""))</f>
        <v>27</v>
      </c>
      <c r="D1132" s="34"/>
      <c r="E1132" s="34"/>
      <c r="F1132" s="34"/>
      <c r="G1132" s="34"/>
      <c r="H1132" s="34"/>
      <c r="I1132" s="35"/>
      <c r="J1132" s="35"/>
      <c r="K1132" s="36"/>
      <c r="L1132" s="26" t="str">
        <f>IF(OR(F1132 = "", G1132 = ""), "", IF(F1132 = "Vara", IFERROR(_xlfn.SINGLE(_xlfn.XLOOKUP(G1132, Vöruskrá!A:A, Vöruskrá!E:E, "")), ""), IF(F1132 = "Réttur", IFERROR(_xlfn.SINGLE(_xlfn.XLOOKUP(G1132, Réttabanki!A:A, Réttabanki!AS:AS, "")), ""), "")))</f>
        <v/>
      </c>
      <c r="M1132" s="26" t="str">
        <f>IF(OR(F1132 = "", G1132 = ""), "", IF(F1132 = "Vara", IFERROR(_xlfn.SINGLE(_xlfn.XLOOKUP(G1132, Vöruskrá!A:A, Vöruskrá!F:F, "")), ""), IF(F1132 = "Réttur", IFERROR(_xlfn.SINGLE(_xlfn.XLOOKUP(G1132, Réttabanki!A:A, Réttabanki!AT:AT, "")), ""), "")))</f>
        <v/>
      </c>
      <c r="N1132" s="26" t="str">
        <f>IF(OR(F1132 = "", G1132 = ""), "", IF(F1132 = "Vara", IFERROR(_xlfn.SINGLE(_xlfn.XLOOKUP(G1132, Vöruskrá!A:A, Vöruskrá!G:G, "")), ""), IF(F1132 = "Réttur", IFERROR(_xlfn.SINGLE(_xlfn.XLOOKUP(G1132, Réttabanki!A:A, Réttabanki!AU:AU, "")), ""), "")))</f>
        <v/>
      </c>
      <c r="O1132" s="26" t="str">
        <f>IF(OR(F1132 = "", G1132 = "", I1132 = ""), "", IF(F1132 = "Vara", IFERROR(_xlfn.SINGLE(_xlfn.XLOOKUP(G1132, Vöruskrá!A:A, Vöruskrá!I:I, "")) * I1132 / 100, ""), IF(F1132 = "Réttur", IFERROR(_xlfn.SINGLE(_xlfn.XLOOKUP(G1132, Réttabanki!A:A, Réttabanki!AV:AV, "")) * I1132 / 100, ""), "")))</f>
        <v/>
      </c>
      <c r="P1132" s="26" t="str">
        <f>IF(OR(F1132 = "", G1132 = "", I1132 = ""), "", IF(F1132 = "Vara", IFERROR(_xlfn.SINGLE(_xlfn.XLOOKUP(G1132, Vöruskrá!A:A, Vöruskrá!J:J, "")) * I1132 / 100, ""), IF(F1132 = "Réttur", IFERROR(_xlfn.SINGLE(_xlfn.XLOOKUP(G1132, Réttabanki!A:A, Réttabanki!AW:AW, "")) * I1132 / 100, ""), "")))</f>
        <v/>
      </c>
      <c r="Q1132" s="26" t="str">
        <f>IF(OR(F1132 = "", G1132 = "", I1132 = ""), "", IF(F1132 = "Vara", IFERROR(_xlfn.SINGLE(_xlfn.XLOOKUP(G1132, Vöruskrá!A:A, Vöruskrá!N:N, "")) * I1132 / 100, ""), IF(F1132 = "Réttur", IFERROR(_xlfn.SINGLE(_xlfn.XLOOKUP(G1132, Réttabanki!A:A, Réttabanki!BB:BB, "")) * I1132 / 100, ""), "")))</f>
        <v/>
      </c>
    </row>
    <row r="1133" spans="2:17">
      <c r="B1133" s="33" t="str">
        <f>IF(A1133&lt;&gt;"",CHOOSE(WEEKDAY(A1133,2),"Mánudagur","Þriðjudagur","Miðvikudagur","Fimmtudagur","Föstudagur","Laugardagur","Sunnudagur"),IF(B1132&lt;&gt;"",B1132,""))</f>
        <v>Fimmtudagur</v>
      </c>
      <c r="C1133" s="33">
        <f>IF(A1133&lt;&gt;"",WEEKNUM(A1133,21),IF(C1132&lt;&gt;"",C1132,""))</f>
        <v>27</v>
      </c>
      <c r="D1133" s="34"/>
      <c r="E1133" s="34"/>
      <c r="F1133" s="34"/>
      <c r="G1133" s="34"/>
      <c r="H1133" s="34"/>
      <c r="I1133" s="35"/>
      <c r="J1133" s="35"/>
      <c r="K1133" s="36"/>
      <c r="L1133" s="26" t="str">
        <f>IF(OR(F1133 = "", G1133 = ""), "", IF(F1133 = "Vara", IFERROR(_xlfn.SINGLE(_xlfn.XLOOKUP(G1133, Vöruskrá!A:A, Vöruskrá!E:E, "")), ""), IF(F1133 = "Réttur", IFERROR(_xlfn.SINGLE(_xlfn.XLOOKUP(G1133, Réttabanki!A:A, Réttabanki!AS:AS, "")), ""), "")))</f>
        <v/>
      </c>
      <c r="M1133" s="26" t="str">
        <f>IF(OR(F1133 = "", G1133 = ""), "", IF(F1133 = "Vara", IFERROR(_xlfn.SINGLE(_xlfn.XLOOKUP(G1133, Vöruskrá!A:A, Vöruskrá!F:F, "")), ""), IF(F1133 = "Réttur", IFERROR(_xlfn.SINGLE(_xlfn.XLOOKUP(G1133, Réttabanki!A:A, Réttabanki!AT:AT, "")), ""), "")))</f>
        <v/>
      </c>
      <c r="N1133" s="26" t="str">
        <f>IF(OR(F1133 = "", G1133 = ""), "", IF(F1133 = "Vara", IFERROR(_xlfn.SINGLE(_xlfn.XLOOKUP(G1133, Vöruskrá!A:A, Vöruskrá!G:G, "")), ""), IF(F1133 = "Réttur", IFERROR(_xlfn.SINGLE(_xlfn.XLOOKUP(G1133, Réttabanki!A:A, Réttabanki!AU:AU, "")), ""), "")))</f>
        <v/>
      </c>
      <c r="O1133" s="26" t="str">
        <f>IF(OR(F1133 = "", G1133 = "", I1133 = ""), "", IF(F1133 = "Vara", IFERROR(_xlfn.SINGLE(_xlfn.XLOOKUP(G1133, Vöruskrá!A:A, Vöruskrá!I:I, "")) * I1133 / 100, ""), IF(F1133 = "Réttur", IFERROR(_xlfn.SINGLE(_xlfn.XLOOKUP(G1133, Réttabanki!A:A, Réttabanki!AV:AV, "")) * I1133 / 100, ""), "")))</f>
        <v/>
      </c>
      <c r="P1133" s="26" t="str">
        <f>IF(OR(F1133 = "", G1133 = "", I1133 = ""), "", IF(F1133 = "Vara", IFERROR(_xlfn.SINGLE(_xlfn.XLOOKUP(G1133, Vöruskrá!A:A, Vöruskrá!J:J, "")) * I1133 / 100, ""), IF(F1133 = "Réttur", IFERROR(_xlfn.SINGLE(_xlfn.XLOOKUP(G1133, Réttabanki!A:A, Réttabanki!AW:AW, "")) * I1133 / 100, ""), "")))</f>
        <v/>
      </c>
      <c r="Q1133" s="26" t="str">
        <f>IF(OR(F1133 = "", G1133 = "", I1133 = ""), "", IF(F1133 = "Vara", IFERROR(_xlfn.SINGLE(_xlfn.XLOOKUP(G1133, Vöruskrá!A:A, Vöruskrá!N:N, "")) * I1133 / 100, ""), IF(F1133 = "Réttur", IFERROR(_xlfn.SINGLE(_xlfn.XLOOKUP(G1133, Réttabanki!A:A, Réttabanki!BB:BB, "")) * I1133 / 100, ""), "")))</f>
        <v/>
      </c>
    </row>
    <row r="1134" spans="2:17">
      <c r="B1134" s="33" t="str">
        <f>IF(A1134&lt;&gt;"",CHOOSE(WEEKDAY(A1134,2),"Mánudagur","Þriðjudagur","Miðvikudagur","Fimmtudagur","Föstudagur","Laugardagur","Sunnudagur"),IF(B1133&lt;&gt;"",B1133,""))</f>
        <v>Fimmtudagur</v>
      </c>
      <c r="C1134" s="33">
        <f>IF(A1134&lt;&gt;"",WEEKNUM(A1134,21),IF(C1133&lt;&gt;"",C1133,""))</f>
        <v>27</v>
      </c>
      <c r="D1134" s="34"/>
      <c r="E1134" s="34"/>
      <c r="F1134" s="34"/>
      <c r="G1134" s="34"/>
      <c r="H1134" s="34"/>
      <c r="I1134" s="35"/>
      <c r="J1134" s="35"/>
      <c r="K1134" s="36"/>
      <c r="L1134" s="26" t="str">
        <f>IF(OR(F1134 = "", G1134 = ""), "", IF(F1134 = "Vara", IFERROR(_xlfn.SINGLE(_xlfn.XLOOKUP(G1134, Vöruskrá!A:A, Vöruskrá!E:E, "")), ""), IF(F1134 = "Réttur", IFERROR(_xlfn.SINGLE(_xlfn.XLOOKUP(G1134, Réttabanki!A:A, Réttabanki!AS:AS, "")), ""), "")))</f>
        <v/>
      </c>
      <c r="M1134" s="26" t="str">
        <f>IF(OR(F1134 = "", G1134 = ""), "", IF(F1134 = "Vara", IFERROR(_xlfn.SINGLE(_xlfn.XLOOKUP(G1134, Vöruskrá!A:A, Vöruskrá!F:F, "")), ""), IF(F1134 = "Réttur", IFERROR(_xlfn.SINGLE(_xlfn.XLOOKUP(G1134, Réttabanki!A:A, Réttabanki!AT:AT, "")), ""), "")))</f>
        <v/>
      </c>
      <c r="N1134" s="26" t="str">
        <f>IF(OR(F1134 = "", G1134 = ""), "", IF(F1134 = "Vara", IFERROR(_xlfn.SINGLE(_xlfn.XLOOKUP(G1134, Vöruskrá!A:A, Vöruskrá!G:G, "")), ""), IF(F1134 = "Réttur", IFERROR(_xlfn.SINGLE(_xlfn.XLOOKUP(G1134, Réttabanki!A:A, Réttabanki!AU:AU, "")), ""), "")))</f>
        <v/>
      </c>
      <c r="O1134" s="26" t="str">
        <f>IF(OR(F1134 = "", G1134 = "", I1134 = ""), "", IF(F1134 = "Vara", IFERROR(_xlfn.SINGLE(_xlfn.XLOOKUP(G1134, Vöruskrá!A:A, Vöruskrá!I:I, "")) * I1134 / 100, ""), IF(F1134 = "Réttur", IFERROR(_xlfn.SINGLE(_xlfn.XLOOKUP(G1134, Réttabanki!A:A, Réttabanki!AV:AV, "")) * I1134 / 100, ""), "")))</f>
        <v/>
      </c>
      <c r="P1134" s="26" t="str">
        <f>IF(OR(F1134 = "", G1134 = "", I1134 = ""), "", IF(F1134 = "Vara", IFERROR(_xlfn.SINGLE(_xlfn.XLOOKUP(G1134, Vöruskrá!A:A, Vöruskrá!J:J, "")) * I1134 / 100, ""), IF(F1134 = "Réttur", IFERROR(_xlfn.SINGLE(_xlfn.XLOOKUP(G1134, Réttabanki!A:A, Réttabanki!AW:AW, "")) * I1134 / 100, ""), "")))</f>
        <v/>
      </c>
      <c r="Q1134" s="26" t="str">
        <f>IF(OR(F1134 = "", G1134 = "", I1134 = ""), "", IF(F1134 = "Vara", IFERROR(_xlfn.SINGLE(_xlfn.XLOOKUP(G1134, Vöruskrá!A:A, Vöruskrá!N:N, "")) * I1134 / 100, ""), IF(F1134 = "Réttur", IFERROR(_xlfn.SINGLE(_xlfn.XLOOKUP(G1134, Réttabanki!A:A, Réttabanki!BB:BB, "")) * I1134 / 100, ""), "")))</f>
        <v/>
      </c>
    </row>
    <row r="1135" spans="2:17">
      <c r="B1135" s="33" t="str">
        <f>IF(A1135&lt;&gt;"",CHOOSE(WEEKDAY(A1135,2),"Mánudagur","Þriðjudagur","Miðvikudagur","Fimmtudagur","Föstudagur","Laugardagur","Sunnudagur"),IF(B1134&lt;&gt;"",B1134,""))</f>
        <v>Fimmtudagur</v>
      </c>
      <c r="C1135" s="33">
        <f>IF(A1135&lt;&gt;"",WEEKNUM(A1135,21),IF(C1134&lt;&gt;"",C1134,""))</f>
        <v>27</v>
      </c>
      <c r="D1135" s="34"/>
      <c r="E1135" s="34"/>
      <c r="F1135" s="34"/>
      <c r="G1135" s="34"/>
      <c r="H1135" s="34"/>
      <c r="I1135" s="35"/>
      <c r="J1135" s="35"/>
      <c r="K1135" s="36"/>
      <c r="L1135" s="26" t="str">
        <f>IF(OR(F1135 = "", G1135 = ""), "", IF(F1135 = "Vara", IFERROR(_xlfn.SINGLE(_xlfn.XLOOKUP(G1135, Vöruskrá!A:A, Vöruskrá!E:E, "")), ""), IF(F1135 = "Réttur", IFERROR(_xlfn.SINGLE(_xlfn.XLOOKUP(G1135, Réttabanki!A:A, Réttabanki!AS:AS, "")), ""), "")))</f>
        <v/>
      </c>
      <c r="M1135" s="26" t="str">
        <f>IF(OR(F1135 = "", G1135 = ""), "", IF(F1135 = "Vara", IFERROR(_xlfn.SINGLE(_xlfn.XLOOKUP(G1135, Vöruskrá!A:A, Vöruskrá!F:F, "")), ""), IF(F1135 = "Réttur", IFERROR(_xlfn.SINGLE(_xlfn.XLOOKUP(G1135, Réttabanki!A:A, Réttabanki!AT:AT, "")), ""), "")))</f>
        <v/>
      </c>
      <c r="N1135" s="26" t="str">
        <f>IF(OR(F1135 = "", G1135 = ""), "", IF(F1135 = "Vara", IFERROR(_xlfn.SINGLE(_xlfn.XLOOKUP(G1135, Vöruskrá!A:A, Vöruskrá!G:G, "")), ""), IF(F1135 = "Réttur", IFERROR(_xlfn.SINGLE(_xlfn.XLOOKUP(G1135, Réttabanki!A:A, Réttabanki!AU:AU, "")), ""), "")))</f>
        <v/>
      </c>
      <c r="O1135" s="26" t="str">
        <f>IF(OR(F1135 = "", G1135 = "", I1135 = ""), "", IF(F1135 = "Vara", IFERROR(_xlfn.SINGLE(_xlfn.XLOOKUP(G1135, Vöruskrá!A:A, Vöruskrá!I:I, "")) * I1135 / 100, ""), IF(F1135 = "Réttur", IFERROR(_xlfn.SINGLE(_xlfn.XLOOKUP(G1135, Réttabanki!A:A, Réttabanki!AV:AV, "")) * I1135 / 100, ""), "")))</f>
        <v/>
      </c>
      <c r="P1135" s="26" t="str">
        <f>IF(OR(F1135 = "", G1135 = "", I1135 = ""), "", IF(F1135 = "Vara", IFERROR(_xlfn.SINGLE(_xlfn.XLOOKUP(G1135, Vöruskrá!A:A, Vöruskrá!J:J, "")) * I1135 / 100, ""), IF(F1135 = "Réttur", IFERROR(_xlfn.SINGLE(_xlfn.XLOOKUP(G1135, Réttabanki!A:A, Réttabanki!AW:AW, "")) * I1135 / 100, ""), "")))</f>
        <v/>
      </c>
      <c r="Q1135" s="26" t="str">
        <f>IF(OR(F1135 = "", G1135 = "", I1135 = ""), "", IF(F1135 = "Vara", IFERROR(_xlfn.SINGLE(_xlfn.XLOOKUP(G1135, Vöruskrá!A:A, Vöruskrá!N:N, "")) * I1135 / 100, ""), IF(F1135 = "Réttur", IFERROR(_xlfn.SINGLE(_xlfn.XLOOKUP(G1135, Réttabanki!A:A, Réttabanki!BB:BB, "")) * I1135 / 100, ""), "")))</f>
        <v/>
      </c>
    </row>
    <row r="1136" spans="2:17">
      <c r="B1136" s="33" t="str">
        <f>IF(A1136&lt;&gt;"",CHOOSE(WEEKDAY(A1136,2),"Mánudagur","Þriðjudagur","Miðvikudagur","Fimmtudagur","Föstudagur","Laugardagur","Sunnudagur"),IF(B1135&lt;&gt;"",B1135,""))</f>
        <v>Fimmtudagur</v>
      </c>
      <c r="C1136" s="33">
        <f>IF(A1136&lt;&gt;"",WEEKNUM(A1136,21),IF(C1135&lt;&gt;"",C1135,""))</f>
        <v>27</v>
      </c>
      <c r="D1136" s="34"/>
      <c r="E1136" s="34"/>
      <c r="F1136" s="34"/>
      <c r="G1136" s="34"/>
      <c r="H1136" s="34"/>
      <c r="I1136" s="35"/>
      <c r="J1136" s="35"/>
      <c r="K1136" s="36"/>
      <c r="L1136" s="26" t="str">
        <f>IF(OR(F1136 = "", G1136 = ""), "", IF(F1136 = "Vara", IFERROR(_xlfn.SINGLE(_xlfn.XLOOKUP(G1136, Vöruskrá!A:A, Vöruskrá!E:E, "")), ""), IF(F1136 = "Réttur", IFERROR(_xlfn.SINGLE(_xlfn.XLOOKUP(G1136, Réttabanki!A:A, Réttabanki!AS:AS, "")), ""), "")))</f>
        <v/>
      </c>
      <c r="M1136" s="26" t="str">
        <f>IF(OR(F1136 = "", G1136 = ""), "", IF(F1136 = "Vara", IFERROR(_xlfn.SINGLE(_xlfn.XLOOKUP(G1136, Vöruskrá!A:A, Vöruskrá!F:F, "")), ""), IF(F1136 = "Réttur", IFERROR(_xlfn.SINGLE(_xlfn.XLOOKUP(G1136, Réttabanki!A:A, Réttabanki!AT:AT, "")), ""), "")))</f>
        <v/>
      </c>
      <c r="N1136" s="26" t="str">
        <f>IF(OR(F1136 = "", G1136 = ""), "", IF(F1136 = "Vara", IFERROR(_xlfn.SINGLE(_xlfn.XLOOKUP(G1136, Vöruskrá!A:A, Vöruskrá!G:G, "")), ""), IF(F1136 = "Réttur", IFERROR(_xlfn.SINGLE(_xlfn.XLOOKUP(G1136, Réttabanki!A:A, Réttabanki!AU:AU, "")), ""), "")))</f>
        <v/>
      </c>
      <c r="O1136" s="26" t="str">
        <f>IF(OR(F1136 = "", G1136 = "", I1136 = ""), "", IF(F1136 = "Vara", IFERROR(_xlfn.SINGLE(_xlfn.XLOOKUP(G1136, Vöruskrá!A:A, Vöruskrá!I:I, "")) * I1136 / 100, ""), IF(F1136 = "Réttur", IFERROR(_xlfn.SINGLE(_xlfn.XLOOKUP(G1136, Réttabanki!A:A, Réttabanki!AV:AV, "")) * I1136 / 100, ""), "")))</f>
        <v/>
      </c>
      <c r="P1136" s="26" t="str">
        <f>IF(OR(F1136 = "", G1136 = "", I1136 = ""), "", IF(F1136 = "Vara", IFERROR(_xlfn.SINGLE(_xlfn.XLOOKUP(G1136, Vöruskrá!A:A, Vöruskrá!J:J, "")) * I1136 / 100, ""), IF(F1136 = "Réttur", IFERROR(_xlfn.SINGLE(_xlfn.XLOOKUP(G1136, Réttabanki!A:A, Réttabanki!AW:AW, "")) * I1136 / 100, ""), "")))</f>
        <v/>
      </c>
      <c r="Q1136" s="26" t="str">
        <f>IF(OR(F1136 = "", G1136 = "", I1136 = ""), "", IF(F1136 = "Vara", IFERROR(_xlfn.SINGLE(_xlfn.XLOOKUP(G1136, Vöruskrá!A:A, Vöruskrá!N:N, "")) * I1136 / 100, ""), IF(F1136 = "Réttur", IFERROR(_xlfn.SINGLE(_xlfn.XLOOKUP(G1136, Réttabanki!A:A, Réttabanki!BB:BB, "")) * I1136 / 100, ""), "")))</f>
        <v/>
      </c>
    </row>
    <row r="1137" spans="2:17">
      <c r="B1137" s="33" t="str">
        <f>IF(A1137&lt;&gt;"",CHOOSE(WEEKDAY(A1137,2),"Mánudagur","Þriðjudagur","Miðvikudagur","Fimmtudagur","Föstudagur","Laugardagur","Sunnudagur"),IF(B1136&lt;&gt;"",B1136,""))</f>
        <v>Fimmtudagur</v>
      </c>
      <c r="C1137" s="33">
        <f>IF(A1137&lt;&gt;"",WEEKNUM(A1137,21),IF(C1136&lt;&gt;"",C1136,""))</f>
        <v>27</v>
      </c>
      <c r="D1137" s="34"/>
      <c r="E1137" s="34"/>
      <c r="F1137" s="34"/>
      <c r="G1137" s="34"/>
      <c r="H1137" s="34"/>
      <c r="I1137" s="35"/>
      <c r="J1137" s="35"/>
      <c r="K1137" s="36"/>
      <c r="L1137" s="26" t="str">
        <f>IF(OR(F1137 = "", G1137 = ""), "", IF(F1137 = "Vara", IFERROR(_xlfn.SINGLE(_xlfn.XLOOKUP(G1137, Vöruskrá!A:A, Vöruskrá!E:E, "")), ""), IF(F1137 = "Réttur", IFERROR(_xlfn.SINGLE(_xlfn.XLOOKUP(G1137, Réttabanki!A:A, Réttabanki!AS:AS, "")), ""), "")))</f>
        <v/>
      </c>
      <c r="M1137" s="26" t="str">
        <f>IF(OR(F1137 = "", G1137 = ""), "", IF(F1137 = "Vara", IFERROR(_xlfn.SINGLE(_xlfn.XLOOKUP(G1137, Vöruskrá!A:A, Vöruskrá!F:F, "")), ""), IF(F1137 = "Réttur", IFERROR(_xlfn.SINGLE(_xlfn.XLOOKUP(G1137, Réttabanki!A:A, Réttabanki!AT:AT, "")), ""), "")))</f>
        <v/>
      </c>
      <c r="N1137" s="26" t="str">
        <f>IF(OR(F1137 = "", G1137 = ""), "", IF(F1137 = "Vara", IFERROR(_xlfn.SINGLE(_xlfn.XLOOKUP(G1137, Vöruskrá!A:A, Vöruskrá!G:G, "")), ""), IF(F1137 = "Réttur", IFERROR(_xlfn.SINGLE(_xlfn.XLOOKUP(G1137, Réttabanki!A:A, Réttabanki!AU:AU, "")), ""), "")))</f>
        <v/>
      </c>
      <c r="O1137" s="26" t="str">
        <f>IF(OR(F1137 = "", G1137 = "", I1137 = ""), "", IF(F1137 = "Vara", IFERROR(_xlfn.SINGLE(_xlfn.XLOOKUP(G1137, Vöruskrá!A:A, Vöruskrá!I:I, "")) * I1137 / 100, ""), IF(F1137 = "Réttur", IFERROR(_xlfn.SINGLE(_xlfn.XLOOKUP(G1137, Réttabanki!A:A, Réttabanki!AV:AV, "")) * I1137 / 100, ""), "")))</f>
        <v/>
      </c>
      <c r="P1137" s="26" t="str">
        <f>IF(OR(F1137 = "", G1137 = "", I1137 = ""), "", IF(F1137 = "Vara", IFERROR(_xlfn.SINGLE(_xlfn.XLOOKUP(G1137, Vöruskrá!A:A, Vöruskrá!J:J, "")) * I1137 / 100, ""), IF(F1137 = "Réttur", IFERROR(_xlfn.SINGLE(_xlfn.XLOOKUP(G1137, Réttabanki!A:A, Réttabanki!AW:AW, "")) * I1137 / 100, ""), "")))</f>
        <v/>
      </c>
      <c r="Q1137" s="26" t="str">
        <f>IF(OR(F1137 = "", G1137 = "", I1137 = ""), "", IF(F1137 = "Vara", IFERROR(_xlfn.SINGLE(_xlfn.XLOOKUP(G1137, Vöruskrá!A:A, Vöruskrá!N:N, "")) * I1137 / 100, ""), IF(F1137 = "Réttur", IFERROR(_xlfn.SINGLE(_xlfn.XLOOKUP(G1137, Réttabanki!A:A, Réttabanki!BB:BB, "")) * I1137 / 100, ""), "")))</f>
        <v/>
      </c>
    </row>
    <row r="1138" spans="2:17">
      <c r="B1138" s="33" t="str">
        <f>IF(A1138&lt;&gt;"",CHOOSE(WEEKDAY(A1138,2),"Mánudagur","Þriðjudagur","Miðvikudagur","Fimmtudagur","Föstudagur","Laugardagur","Sunnudagur"),IF(B1137&lt;&gt;"",B1137,""))</f>
        <v>Fimmtudagur</v>
      </c>
      <c r="C1138" s="33">
        <f>IF(A1138&lt;&gt;"",WEEKNUM(A1138,21),IF(C1137&lt;&gt;"",C1137,""))</f>
        <v>27</v>
      </c>
      <c r="D1138" s="34"/>
      <c r="E1138" s="34"/>
      <c r="F1138" s="34"/>
      <c r="G1138" s="34"/>
      <c r="H1138" s="34"/>
      <c r="I1138" s="35"/>
      <c r="J1138" s="35"/>
      <c r="K1138" s="36"/>
      <c r="L1138" s="26" t="str">
        <f>IF(OR(F1138 = "", G1138 = ""), "", IF(F1138 = "Vara", IFERROR(_xlfn.SINGLE(_xlfn.XLOOKUP(G1138, Vöruskrá!A:A, Vöruskrá!E:E, "")), ""), IF(F1138 = "Réttur", IFERROR(_xlfn.SINGLE(_xlfn.XLOOKUP(G1138, Réttabanki!A:A, Réttabanki!AS:AS, "")), ""), "")))</f>
        <v/>
      </c>
      <c r="M1138" s="26" t="str">
        <f>IF(OR(F1138 = "", G1138 = ""), "", IF(F1138 = "Vara", IFERROR(_xlfn.SINGLE(_xlfn.XLOOKUP(G1138, Vöruskrá!A:A, Vöruskrá!F:F, "")), ""), IF(F1138 = "Réttur", IFERROR(_xlfn.SINGLE(_xlfn.XLOOKUP(G1138, Réttabanki!A:A, Réttabanki!AT:AT, "")), ""), "")))</f>
        <v/>
      </c>
      <c r="N1138" s="26" t="str">
        <f>IF(OR(F1138 = "", G1138 = ""), "", IF(F1138 = "Vara", IFERROR(_xlfn.SINGLE(_xlfn.XLOOKUP(G1138, Vöruskrá!A:A, Vöruskrá!G:G, "")), ""), IF(F1138 = "Réttur", IFERROR(_xlfn.SINGLE(_xlfn.XLOOKUP(G1138, Réttabanki!A:A, Réttabanki!AU:AU, "")), ""), "")))</f>
        <v/>
      </c>
      <c r="O1138" s="26" t="str">
        <f>IF(OR(F1138 = "", G1138 = "", I1138 = ""), "", IF(F1138 = "Vara", IFERROR(_xlfn.SINGLE(_xlfn.XLOOKUP(G1138, Vöruskrá!A:A, Vöruskrá!I:I, "")) * I1138 / 100, ""), IF(F1138 = "Réttur", IFERROR(_xlfn.SINGLE(_xlfn.XLOOKUP(G1138, Réttabanki!A:A, Réttabanki!AV:AV, "")) * I1138 / 100, ""), "")))</f>
        <v/>
      </c>
      <c r="P1138" s="26" t="str">
        <f>IF(OR(F1138 = "", G1138 = "", I1138 = ""), "", IF(F1138 = "Vara", IFERROR(_xlfn.SINGLE(_xlfn.XLOOKUP(G1138, Vöruskrá!A:A, Vöruskrá!J:J, "")) * I1138 / 100, ""), IF(F1138 = "Réttur", IFERROR(_xlfn.SINGLE(_xlfn.XLOOKUP(G1138, Réttabanki!A:A, Réttabanki!AW:AW, "")) * I1138 / 100, ""), "")))</f>
        <v/>
      </c>
      <c r="Q1138" s="26" t="str">
        <f>IF(OR(F1138 = "", G1138 = "", I1138 = ""), "", IF(F1138 = "Vara", IFERROR(_xlfn.SINGLE(_xlfn.XLOOKUP(G1138, Vöruskrá!A:A, Vöruskrá!N:N, "")) * I1138 / 100, ""), IF(F1138 = "Réttur", IFERROR(_xlfn.SINGLE(_xlfn.XLOOKUP(G1138, Réttabanki!A:A, Réttabanki!BB:BB, "")) * I1138 / 100, ""), "")))</f>
        <v/>
      </c>
    </row>
    <row r="1139" spans="2:17">
      <c r="B1139" s="33" t="str">
        <f>IF(A1139&lt;&gt;"",CHOOSE(WEEKDAY(A1139,2),"Mánudagur","Þriðjudagur","Miðvikudagur","Fimmtudagur","Föstudagur","Laugardagur","Sunnudagur"),IF(B1138&lt;&gt;"",B1138,""))</f>
        <v>Fimmtudagur</v>
      </c>
      <c r="C1139" s="33">
        <f>IF(A1139&lt;&gt;"",WEEKNUM(A1139,21),IF(C1138&lt;&gt;"",C1138,""))</f>
        <v>27</v>
      </c>
      <c r="D1139" s="34"/>
      <c r="E1139" s="34"/>
      <c r="F1139" s="34"/>
      <c r="G1139" s="34"/>
      <c r="H1139" s="34"/>
      <c r="I1139" s="35"/>
      <c r="J1139" s="35"/>
      <c r="K1139" s="36"/>
      <c r="L1139" s="26" t="str">
        <f>IF(OR(F1139 = "", G1139 = ""), "", IF(F1139 = "Vara", IFERROR(_xlfn.SINGLE(_xlfn.XLOOKUP(G1139, Vöruskrá!A:A, Vöruskrá!E:E, "")), ""), IF(F1139 = "Réttur", IFERROR(_xlfn.SINGLE(_xlfn.XLOOKUP(G1139, Réttabanki!A:A, Réttabanki!AS:AS, "")), ""), "")))</f>
        <v/>
      </c>
      <c r="M1139" s="26" t="str">
        <f>IF(OR(F1139 = "", G1139 = ""), "", IF(F1139 = "Vara", IFERROR(_xlfn.SINGLE(_xlfn.XLOOKUP(G1139, Vöruskrá!A:A, Vöruskrá!F:F, "")), ""), IF(F1139 = "Réttur", IFERROR(_xlfn.SINGLE(_xlfn.XLOOKUP(G1139, Réttabanki!A:A, Réttabanki!AT:AT, "")), ""), "")))</f>
        <v/>
      </c>
      <c r="N1139" s="26" t="str">
        <f>IF(OR(F1139 = "", G1139 = ""), "", IF(F1139 = "Vara", IFERROR(_xlfn.SINGLE(_xlfn.XLOOKUP(G1139, Vöruskrá!A:A, Vöruskrá!G:G, "")), ""), IF(F1139 = "Réttur", IFERROR(_xlfn.SINGLE(_xlfn.XLOOKUP(G1139, Réttabanki!A:A, Réttabanki!AU:AU, "")), ""), "")))</f>
        <v/>
      </c>
      <c r="O1139" s="26" t="str">
        <f>IF(OR(F1139 = "", G1139 = "", I1139 = ""), "", IF(F1139 = "Vara", IFERROR(_xlfn.SINGLE(_xlfn.XLOOKUP(G1139, Vöruskrá!A:A, Vöruskrá!I:I, "")) * I1139 / 100, ""), IF(F1139 = "Réttur", IFERROR(_xlfn.SINGLE(_xlfn.XLOOKUP(G1139, Réttabanki!A:A, Réttabanki!AV:AV, "")) * I1139 / 100, ""), "")))</f>
        <v/>
      </c>
      <c r="P1139" s="26" t="str">
        <f>IF(OR(F1139 = "", G1139 = "", I1139 = ""), "", IF(F1139 = "Vara", IFERROR(_xlfn.SINGLE(_xlfn.XLOOKUP(G1139, Vöruskrá!A:A, Vöruskrá!J:J, "")) * I1139 / 100, ""), IF(F1139 = "Réttur", IFERROR(_xlfn.SINGLE(_xlfn.XLOOKUP(G1139, Réttabanki!A:A, Réttabanki!AW:AW, "")) * I1139 / 100, ""), "")))</f>
        <v/>
      </c>
      <c r="Q1139" s="26" t="str">
        <f>IF(OR(F1139 = "", G1139 = "", I1139 = ""), "", IF(F1139 = "Vara", IFERROR(_xlfn.SINGLE(_xlfn.XLOOKUP(G1139, Vöruskrá!A:A, Vöruskrá!N:N, "")) * I1139 / 100, ""), IF(F1139 = "Réttur", IFERROR(_xlfn.SINGLE(_xlfn.XLOOKUP(G1139, Réttabanki!A:A, Réttabanki!BB:BB, "")) * I1139 / 100, ""), "")))</f>
        <v/>
      </c>
    </row>
    <row r="1140" spans="2:17">
      <c r="B1140" s="33" t="str">
        <f>IF(A1140&lt;&gt;"",CHOOSE(WEEKDAY(A1140,2),"Mánudagur","Þriðjudagur","Miðvikudagur","Fimmtudagur","Föstudagur","Laugardagur","Sunnudagur"),IF(B1139&lt;&gt;"",B1139,""))</f>
        <v>Fimmtudagur</v>
      </c>
      <c r="C1140" s="33">
        <f>IF(A1140&lt;&gt;"",WEEKNUM(A1140,21),IF(C1139&lt;&gt;"",C1139,""))</f>
        <v>27</v>
      </c>
      <c r="D1140" s="34"/>
      <c r="E1140" s="34"/>
      <c r="F1140" s="34"/>
      <c r="G1140" s="34"/>
      <c r="H1140" s="34"/>
      <c r="I1140" s="35"/>
      <c r="J1140" s="35"/>
      <c r="K1140" s="36"/>
      <c r="L1140" s="26" t="str">
        <f>IF(OR(F1140 = "", G1140 = ""), "", IF(F1140 = "Vara", IFERROR(_xlfn.SINGLE(_xlfn.XLOOKUP(G1140, Vöruskrá!A:A, Vöruskrá!E:E, "")), ""), IF(F1140 = "Réttur", IFERROR(_xlfn.SINGLE(_xlfn.XLOOKUP(G1140, Réttabanki!A:A, Réttabanki!AS:AS, "")), ""), "")))</f>
        <v/>
      </c>
      <c r="M1140" s="26" t="str">
        <f>IF(OR(F1140 = "", G1140 = ""), "", IF(F1140 = "Vara", IFERROR(_xlfn.SINGLE(_xlfn.XLOOKUP(G1140, Vöruskrá!A:A, Vöruskrá!F:F, "")), ""), IF(F1140 = "Réttur", IFERROR(_xlfn.SINGLE(_xlfn.XLOOKUP(G1140, Réttabanki!A:A, Réttabanki!AT:AT, "")), ""), "")))</f>
        <v/>
      </c>
      <c r="N1140" s="26" t="str">
        <f>IF(OR(F1140 = "", G1140 = ""), "", IF(F1140 = "Vara", IFERROR(_xlfn.SINGLE(_xlfn.XLOOKUP(G1140, Vöruskrá!A:A, Vöruskrá!G:G, "")), ""), IF(F1140 = "Réttur", IFERROR(_xlfn.SINGLE(_xlfn.XLOOKUP(G1140, Réttabanki!A:A, Réttabanki!AU:AU, "")), ""), "")))</f>
        <v/>
      </c>
      <c r="O1140" s="26" t="str">
        <f>IF(OR(F1140 = "", G1140 = "", I1140 = ""), "", IF(F1140 = "Vara", IFERROR(_xlfn.SINGLE(_xlfn.XLOOKUP(G1140, Vöruskrá!A:A, Vöruskrá!I:I, "")) * I1140 / 100, ""), IF(F1140 = "Réttur", IFERROR(_xlfn.SINGLE(_xlfn.XLOOKUP(G1140, Réttabanki!A:A, Réttabanki!AV:AV, "")) * I1140 / 100, ""), "")))</f>
        <v/>
      </c>
      <c r="P1140" s="26" t="str">
        <f>IF(OR(F1140 = "", G1140 = "", I1140 = ""), "", IF(F1140 = "Vara", IFERROR(_xlfn.SINGLE(_xlfn.XLOOKUP(G1140, Vöruskrá!A:A, Vöruskrá!J:J, "")) * I1140 / 100, ""), IF(F1140 = "Réttur", IFERROR(_xlfn.SINGLE(_xlfn.XLOOKUP(G1140, Réttabanki!A:A, Réttabanki!AW:AW, "")) * I1140 / 100, ""), "")))</f>
        <v/>
      </c>
      <c r="Q1140" s="26" t="str">
        <f>IF(OR(F1140 = "", G1140 = "", I1140 = ""), "", IF(F1140 = "Vara", IFERROR(_xlfn.SINGLE(_xlfn.XLOOKUP(G1140, Vöruskrá!A:A, Vöruskrá!N:N, "")) * I1140 / 100, ""), IF(F1140 = "Réttur", IFERROR(_xlfn.SINGLE(_xlfn.XLOOKUP(G1140, Réttabanki!A:A, Réttabanki!BB:BB, "")) * I1140 / 100, ""), "")))</f>
        <v/>
      </c>
    </row>
    <row r="1141" spans="2:17">
      <c r="B1141" s="33" t="str">
        <f>IF(A1141&lt;&gt;"",CHOOSE(WEEKDAY(A1141,2),"Mánudagur","Þriðjudagur","Miðvikudagur","Fimmtudagur","Föstudagur","Laugardagur","Sunnudagur"),IF(B1140&lt;&gt;"",B1140,""))</f>
        <v>Fimmtudagur</v>
      </c>
      <c r="C1141" s="33">
        <f>IF(A1141&lt;&gt;"",WEEKNUM(A1141,21),IF(C1140&lt;&gt;"",C1140,""))</f>
        <v>27</v>
      </c>
      <c r="D1141" s="34"/>
      <c r="E1141" s="34"/>
      <c r="F1141" s="34"/>
      <c r="G1141" s="34"/>
      <c r="H1141" s="34"/>
      <c r="I1141" s="35"/>
      <c r="J1141" s="35"/>
      <c r="K1141" s="36"/>
      <c r="L1141" s="26" t="str">
        <f>IF(OR(F1141 = "", G1141 = ""), "", IF(F1141 = "Vara", IFERROR(_xlfn.SINGLE(_xlfn.XLOOKUP(G1141, Vöruskrá!A:A, Vöruskrá!E:E, "")), ""), IF(F1141 = "Réttur", IFERROR(_xlfn.SINGLE(_xlfn.XLOOKUP(G1141, Réttabanki!A:A, Réttabanki!AS:AS, "")), ""), "")))</f>
        <v/>
      </c>
      <c r="M1141" s="26" t="str">
        <f>IF(OR(F1141 = "", G1141 = ""), "", IF(F1141 = "Vara", IFERROR(_xlfn.SINGLE(_xlfn.XLOOKUP(G1141, Vöruskrá!A:A, Vöruskrá!F:F, "")), ""), IF(F1141 = "Réttur", IFERROR(_xlfn.SINGLE(_xlfn.XLOOKUP(G1141, Réttabanki!A:A, Réttabanki!AT:AT, "")), ""), "")))</f>
        <v/>
      </c>
      <c r="N1141" s="26" t="str">
        <f>IF(OR(F1141 = "", G1141 = ""), "", IF(F1141 = "Vara", IFERROR(_xlfn.SINGLE(_xlfn.XLOOKUP(G1141, Vöruskrá!A:A, Vöruskrá!G:G, "")), ""), IF(F1141 = "Réttur", IFERROR(_xlfn.SINGLE(_xlfn.XLOOKUP(G1141, Réttabanki!A:A, Réttabanki!AU:AU, "")), ""), "")))</f>
        <v/>
      </c>
      <c r="O1141" s="26" t="str">
        <f>IF(OR(F1141 = "", G1141 = "", I1141 = ""), "", IF(F1141 = "Vara", IFERROR(_xlfn.SINGLE(_xlfn.XLOOKUP(G1141, Vöruskrá!A:A, Vöruskrá!I:I, "")) * I1141 / 100, ""), IF(F1141 = "Réttur", IFERROR(_xlfn.SINGLE(_xlfn.XLOOKUP(G1141, Réttabanki!A:A, Réttabanki!AV:AV, "")) * I1141 / 100, ""), "")))</f>
        <v/>
      </c>
      <c r="P1141" s="26" t="str">
        <f>IF(OR(F1141 = "", G1141 = "", I1141 = ""), "", IF(F1141 = "Vara", IFERROR(_xlfn.SINGLE(_xlfn.XLOOKUP(G1141, Vöruskrá!A:A, Vöruskrá!J:J, "")) * I1141 / 100, ""), IF(F1141 = "Réttur", IFERROR(_xlfn.SINGLE(_xlfn.XLOOKUP(G1141, Réttabanki!A:A, Réttabanki!AW:AW, "")) * I1141 / 100, ""), "")))</f>
        <v/>
      </c>
      <c r="Q1141" s="26" t="str">
        <f>IF(OR(F1141 = "", G1141 = "", I1141 = ""), "", IF(F1141 = "Vara", IFERROR(_xlfn.SINGLE(_xlfn.XLOOKUP(G1141, Vöruskrá!A:A, Vöruskrá!N:N, "")) * I1141 / 100, ""), IF(F1141 = "Réttur", IFERROR(_xlfn.SINGLE(_xlfn.XLOOKUP(G1141, Réttabanki!A:A, Réttabanki!BB:BB, "")) * I1141 / 100, ""), "")))</f>
        <v/>
      </c>
    </row>
    <row r="1142" spans="2:17">
      <c r="B1142" s="33" t="str">
        <f>IF(A1142&lt;&gt;"",CHOOSE(WEEKDAY(A1142,2),"Mánudagur","Þriðjudagur","Miðvikudagur","Fimmtudagur","Föstudagur","Laugardagur","Sunnudagur"),IF(B1141&lt;&gt;"",B1141,""))</f>
        <v>Fimmtudagur</v>
      </c>
      <c r="C1142" s="33">
        <f>IF(A1142&lt;&gt;"",WEEKNUM(A1142,21),IF(C1141&lt;&gt;"",C1141,""))</f>
        <v>27</v>
      </c>
      <c r="D1142" s="34"/>
      <c r="E1142" s="34"/>
      <c r="F1142" s="34"/>
      <c r="G1142" s="34"/>
      <c r="H1142" s="34"/>
      <c r="I1142" s="35"/>
      <c r="J1142" s="35"/>
      <c r="K1142" s="36"/>
      <c r="L1142" s="26" t="str">
        <f>IF(OR(F1142 = "", G1142 = ""), "", IF(F1142 = "Vara", IFERROR(_xlfn.SINGLE(_xlfn.XLOOKUP(G1142, Vöruskrá!A:A, Vöruskrá!E:E, "")), ""), IF(F1142 = "Réttur", IFERROR(_xlfn.SINGLE(_xlfn.XLOOKUP(G1142, Réttabanki!A:A, Réttabanki!AS:AS, "")), ""), "")))</f>
        <v/>
      </c>
      <c r="M1142" s="26" t="str">
        <f>IF(OR(F1142 = "", G1142 = ""), "", IF(F1142 = "Vara", IFERROR(_xlfn.SINGLE(_xlfn.XLOOKUP(G1142, Vöruskrá!A:A, Vöruskrá!F:F, "")), ""), IF(F1142 = "Réttur", IFERROR(_xlfn.SINGLE(_xlfn.XLOOKUP(G1142, Réttabanki!A:A, Réttabanki!AT:AT, "")), ""), "")))</f>
        <v/>
      </c>
      <c r="N1142" s="26" t="str">
        <f>IF(OR(F1142 = "", G1142 = ""), "", IF(F1142 = "Vara", IFERROR(_xlfn.SINGLE(_xlfn.XLOOKUP(G1142, Vöruskrá!A:A, Vöruskrá!G:G, "")), ""), IF(F1142 = "Réttur", IFERROR(_xlfn.SINGLE(_xlfn.XLOOKUP(G1142, Réttabanki!A:A, Réttabanki!AU:AU, "")), ""), "")))</f>
        <v/>
      </c>
      <c r="O1142" s="26" t="str">
        <f>IF(OR(F1142 = "", G1142 = "", I1142 = ""), "", IF(F1142 = "Vara", IFERROR(_xlfn.SINGLE(_xlfn.XLOOKUP(G1142, Vöruskrá!A:A, Vöruskrá!I:I, "")) * I1142 / 100, ""), IF(F1142 = "Réttur", IFERROR(_xlfn.SINGLE(_xlfn.XLOOKUP(G1142, Réttabanki!A:A, Réttabanki!AV:AV, "")) * I1142 / 100, ""), "")))</f>
        <v/>
      </c>
      <c r="P1142" s="26" t="str">
        <f>IF(OR(F1142 = "", G1142 = "", I1142 = ""), "", IF(F1142 = "Vara", IFERROR(_xlfn.SINGLE(_xlfn.XLOOKUP(G1142, Vöruskrá!A:A, Vöruskrá!J:J, "")) * I1142 / 100, ""), IF(F1142 = "Réttur", IFERROR(_xlfn.SINGLE(_xlfn.XLOOKUP(G1142, Réttabanki!A:A, Réttabanki!AW:AW, "")) * I1142 / 100, ""), "")))</f>
        <v/>
      </c>
      <c r="Q1142" s="26" t="str">
        <f>IF(OR(F1142 = "", G1142 = "", I1142 = ""), "", IF(F1142 = "Vara", IFERROR(_xlfn.SINGLE(_xlfn.XLOOKUP(G1142, Vöruskrá!A:A, Vöruskrá!N:N, "")) * I1142 / 100, ""), IF(F1142 = "Réttur", IFERROR(_xlfn.SINGLE(_xlfn.XLOOKUP(G1142, Réttabanki!A:A, Réttabanki!BB:BB, "")) * I1142 / 100, ""), "")))</f>
        <v/>
      </c>
    </row>
    <row r="1143" spans="2:17">
      <c r="B1143" s="33" t="str">
        <f>IF(A1143&lt;&gt;"",CHOOSE(WEEKDAY(A1143,2),"Mánudagur","Þriðjudagur","Miðvikudagur","Fimmtudagur","Föstudagur","Laugardagur","Sunnudagur"),IF(B1142&lt;&gt;"",B1142,""))</f>
        <v>Fimmtudagur</v>
      </c>
      <c r="C1143" s="33">
        <f>IF(A1143&lt;&gt;"",WEEKNUM(A1143,21),IF(C1142&lt;&gt;"",C1142,""))</f>
        <v>27</v>
      </c>
      <c r="D1143" s="34"/>
      <c r="E1143" s="34"/>
      <c r="F1143" s="34"/>
      <c r="G1143" s="34"/>
      <c r="H1143" s="34"/>
      <c r="I1143" s="35"/>
      <c r="J1143" s="35"/>
      <c r="K1143" s="36"/>
      <c r="L1143" s="26" t="str">
        <f>IF(OR(F1143 = "", G1143 = ""), "", IF(F1143 = "Vara", IFERROR(_xlfn.SINGLE(_xlfn.XLOOKUP(G1143, Vöruskrá!A:A, Vöruskrá!E:E, "")), ""), IF(F1143 = "Réttur", IFERROR(_xlfn.SINGLE(_xlfn.XLOOKUP(G1143, Réttabanki!A:A, Réttabanki!AS:AS, "")), ""), "")))</f>
        <v/>
      </c>
      <c r="M1143" s="26" t="str">
        <f>IF(OR(F1143 = "", G1143 = ""), "", IF(F1143 = "Vara", IFERROR(_xlfn.SINGLE(_xlfn.XLOOKUP(G1143, Vöruskrá!A:A, Vöruskrá!F:F, "")), ""), IF(F1143 = "Réttur", IFERROR(_xlfn.SINGLE(_xlfn.XLOOKUP(G1143, Réttabanki!A:A, Réttabanki!AT:AT, "")), ""), "")))</f>
        <v/>
      </c>
      <c r="N1143" s="26" t="str">
        <f>IF(OR(F1143 = "", G1143 = ""), "", IF(F1143 = "Vara", IFERROR(_xlfn.SINGLE(_xlfn.XLOOKUP(G1143, Vöruskrá!A:A, Vöruskrá!G:G, "")), ""), IF(F1143 = "Réttur", IFERROR(_xlfn.SINGLE(_xlfn.XLOOKUP(G1143, Réttabanki!A:A, Réttabanki!AU:AU, "")), ""), "")))</f>
        <v/>
      </c>
      <c r="O1143" s="26" t="str">
        <f>IF(OR(F1143 = "", G1143 = "", I1143 = ""), "", IF(F1143 = "Vara", IFERROR(_xlfn.SINGLE(_xlfn.XLOOKUP(G1143, Vöruskrá!A:A, Vöruskrá!I:I, "")) * I1143 / 100, ""), IF(F1143 = "Réttur", IFERROR(_xlfn.SINGLE(_xlfn.XLOOKUP(G1143, Réttabanki!A:A, Réttabanki!AV:AV, "")) * I1143 / 100, ""), "")))</f>
        <v/>
      </c>
      <c r="P1143" s="26" t="str">
        <f>IF(OR(F1143 = "", G1143 = "", I1143 = ""), "", IF(F1143 = "Vara", IFERROR(_xlfn.SINGLE(_xlfn.XLOOKUP(G1143, Vöruskrá!A:A, Vöruskrá!J:J, "")) * I1143 / 100, ""), IF(F1143 = "Réttur", IFERROR(_xlfn.SINGLE(_xlfn.XLOOKUP(G1143, Réttabanki!A:A, Réttabanki!AW:AW, "")) * I1143 / 100, ""), "")))</f>
        <v/>
      </c>
      <c r="Q1143" s="26" t="str">
        <f>IF(OR(F1143 = "", G1143 = "", I1143 = ""), "", IF(F1143 = "Vara", IFERROR(_xlfn.SINGLE(_xlfn.XLOOKUP(G1143, Vöruskrá!A:A, Vöruskrá!N:N, "")) * I1143 / 100, ""), IF(F1143 = "Réttur", IFERROR(_xlfn.SINGLE(_xlfn.XLOOKUP(G1143, Réttabanki!A:A, Réttabanki!BB:BB, "")) * I1143 / 100, ""), "")))</f>
        <v/>
      </c>
    </row>
    <row r="1144" spans="2:17">
      <c r="B1144" s="33" t="str">
        <f>IF(A1144&lt;&gt;"",CHOOSE(WEEKDAY(A1144,2),"Mánudagur","Þriðjudagur","Miðvikudagur","Fimmtudagur","Föstudagur","Laugardagur","Sunnudagur"),IF(B1143&lt;&gt;"",B1143,""))</f>
        <v>Fimmtudagur</v>
      </c>
      <c r="C1144" s="33">
        <f>IF(A1144&lt;&gt;"",WEEKNUM(A1144,21),IF(C1143&lt;&gt;"",C1143,""))</f>
        <v>27</v>
      </c>
      <c r="D1144" s="34"/>
      <c r="E1144" s="34"/>
      <c r="F1144" s="34"/>
      <c r="G1144" s="34"/>
      <c r="H1144" s="34"/>
      <c r="I1144" s="35"/>
      <c r="J1144" s="35"/>
      <c r="K1144" s="36"/>
      <c r="L1144" s="26" t="str">
        <f>IF(OR(F1144 = "", G1144 = ""), "", IF(F1144 = "Vara", IFERROR(_xlfn.SINGLE(_xlfn.XLOOKUP(G1144, Vöruskrá!A:A, Vöruskrá!E:E, "")), ""), IF(F1144 = "Réttur", IFERROR(_xlfn.SINGLE(_xlfn.XLOOKUP(G1144, Réttabanki!A:A, Réttabanki!AS:AS, "")), ""), "")))</f>
        <v/>
      </c>
      <c r="M1144" s="26" t="str">
        <f>IF(OR(F1144 = "", G1144 = ""), "", IF(F1144 = "Vara", IFERROR(_xlfn.SINGLE(_xlfn.XLOOKUP(G1144, Vöruskrá!A:A, Vöruskrá!F:F, "")), ""), IF(F1144 = "Réttur", IFERROR(_xlfn.SINGLE(_xlfn.XLOOKUP(G1144, Réttabanki!A:A, Réttabanki!AT:AT, "")), ""), "")))</f>
        <v/>
      </c>
      <c r="N1144" s="26" t="str">
        <f>IF(OR(F1144 = "", G1144 = ""), "", IF(F1144 = "Vara", IFERROR(_xlfn.SINGLE(_xlfn.XLOOKUP(G1144, Vöruskrá!A:A, Vöruskrá!G:G, "")), ""), IF(F1144 = "Réttur", IFERROR(_xlfn.SINGLE(_xlfn.XLOOKUP(G1144, Réttabanki!A:A, Réttabanki!AU:AU, "")), ""), "")))</f>
        <v/>
      </c>
      <c r="O1144" s="26" t="str">
        <f>IF(OR(F1144 = "", G1144 = "", I1144 = ""), "", IF(F1144 = "Vara", IFERROR(_xlfn.SINGLE(_xlfn.XLOOKUP(G1144, Vöruskrá!A:A, Vöruskrá!I:I, "")) * I1144 / 100, ""), IF(F1144 = "Réttur", IFERROR(_xlfn.SINGLE(_xlfn.XLOOKUP(G1144, Réttabanki!A:A, Réttabanki!AV:AV, "")) * I1144 / 100, ""), "")))</f>
        <v/>
      </c>
      <c r="P1144" s="26" t="str">
        <f>IF(OR(F1144 = "", G1144 = "", I1144 = ""), "", IF(F1144 = "Vara", IFERROR(_xlfn.SINGLE(_xlfn.XLOOKUP(G1144, Vöruskrá!A:A, Vöruskrá!J:J, "")) * I1144 / 100, ""), IF(F1144 = "Réttur", IFERROR(_xlfn.SINGLE(_xlfn.XLOOKUP(G1144, Réttabanki!A:A, Réttabanki!AW:AW, "")) * I1144 / 100, ""), "")))</f>
        <v/>
      </c>
      <c r="Q1144" s="26" t="str">
        <f>IF(OR(F1144 = "", G1144 = "", I1144 = ""), "", IF(F1144 = "Vara", IFERROR(_xlfn.SINGLE(_xlfn.XLOOKUP(G1144, Vöruskrá!A:A, Vöruskrá!N:N, "")) * I1144 / 100, ""), IF(F1144 = "Réttur", IFERROR(_xlfn.SINGLE(_xlfn.XLOOKUP(G1144, Réttabanki!A:A, Réttabanki!BB:BB, "")) * I1144 / 100, ""), "")))</f>
        <v/>
      </c>
    </row>
    <row r="1145" spans="2:17">
      <c r="B1145" s="33" t="str">
        <f>IF(A1145&lt;&gt;"",CHOOSE(WEEKDAY(A1145,2),"Mánudagur","Þriðjudagur","Miðvikudagur","Fimmtudagur","Föstudagur","Laugardagur","Sunnudagur"),IF(B1144&lt;&gt;"",B1144,""))</f>
        <v>Fimmtudagur</v>
      </c>
      <c r="C1145" s="33">
        <f>IF(A1145&lt;&gt;"",WEEKNUM(A1145,21),IF(C1144&lt;&gt;"",C1144,""))</f>
        <v>27</v>
      </c>
      <c r="D1145" s="34"/>
      <c r="E1145" s="34"/>
      <c r="F1145" s="34"/>
      <c r="G1145" s="34"/>
      <c r="H1145" s="34"/>
      <c r="I1145" s="35"/>
      <c r="J1145" s="35"/>
      <c r="K1145" s="36"/>
      <c r="L1145" s="26" t="str">
        <f>IF(OR(F1145 = "", G1145 = ""), "", IF(F1145 = "Vara", IFERROR(_xlfn.SINGLE(_xlfn.XLOOKUP(G1145, Vöruskrá!A:A, Vöruskrá!E:E, "")), ""), IF(F1145 = "Réttur", IFERROR(_xlfn.SINGLE(_xlfn.XLOOKUP(G1145, Réttabanki!A:A, Réttabanki!AS:AS, "")), ""), "")))</f>
        <v/>
      </c>
      <c r="M1145" s="26" t="str">
        <f>IF(OR(F1145 = "", G1145 = ""), "", IF(F1145 = "Vara", IFERROR(_xlfn.SINGLE(_xlfn.XLOOKUP(G1145, Vöruskrá!A:A, Vöruskrá!F:F, "")), ""), IF(F1145 = "Réttur", IFERROR(_xlfn.SINGLE(_xlfn.XLOOKUP(G1145, Réttabanki!A:A, Réttabanki!AT:AT, "")), ""), "")))</f>
        <v/>
      </c>
      <c r="N1145" s="26" t="str">
        <f>IF(OR(F1145 = "", G1145 = ""), "", IF(F1145 = "Vara", IFERROR(_xlfn.SINGLE(_xlfn.XLOOKUP(G1145, Vöruskrá!A:A, Vöruskrá!G:G, "")), ""), IF(F1145 = "Réttur", IFERROR(_xlfn.SINGLE(_xlfn.XLOOKUP(G1145, Réttabanki!A:A, Réttabanki!AU:AU, "")), ""), "")))</f>
        <v/>
      </c>
      <c r="O1145" s="26" t="str">
        <f>IF(OR(F1145 = "", G1145 = "", I1145 = ""), "", IF(F1145 = "Vara", IFERROR(_xlfn.SINGLE(_xlfn.XLOOKUP(G1145, Vöruskrá!A:A, Vöruskrá!I:I, "")) * I1145 / 100, ""), IF(F1145 = "Réttur", IFERROR(_xlfn.SINGLE(_xlfn.XLOOKUP(G1145, Réttabanki!A:A, Réttabanki!AV:AV, "")) * I1145 / 100, ""), "")))</f>
        <v/>
      </c>
      <c r="P1145" s="26" t="str">
        <f>IF(OR(F1145 = "", G1145 = "", I1145 = ""), "", IF(F1145 = "Vara", IFERROR(_xlfn.SINGLE(_xlfn.XLOOKUP(G1145, Vöruskrá!A:A, Vöruskrá!J:J, "")) * I1145 / 100, ""), IF(F1145 = "Réttur", IFERROR(_xlfn.SINGLE(_xlfn.XLOOKUP(G1145, Réttabanki!A:A, Réttabanki!AW:AW, "")) * I1145 / 100, ""), "")))</f>
        <v/>
      </c>
      <c r="Q1145" s="26" t="str">
        <f>IF(OR(F1145 = "", G1145 = "", I1145 = ""), "", IF(F1145 = "Vara", IFERROR(_xlfn.SINGLE(_xlfn.XLOOKUP(G1145, Vöruskrá!A:A, Vöruskrá!N:N, "")) * I1145 / 100, ""), IF(F1145 = "Réttur", IFERROR(_xlfn.SINGLE(_xlfn.XLOOKUP(G1145, Réttabanki!A:A, Réttabanki!BB:BB, "")) * I1145 / 100, ""), "")))</f>
        <v/>
      </c>
    </row>
    <row r="1146" spans="2:17">
      <c r="B1146" s="33" t="str">
        <f>IF(A1146&lt;&gt;"",CHOOSE(WEEKDAY(A1146,2),"Mánudagur","Þriðjudagur","Miðvikudagur","Fimmtudagur","Föstudagur","Laugardagur","Sunnudagur"),IF(B1145&lt;&gt;"",B1145,""))</f>
        <v>Fimmtudagur</v>
      </c>
      <c r="C1146" s="33">
        <f>IF(A1146&lt;&gt;"",WEEKNUM(A1146,21),IF(C1145&lt;&gt;"",C1145,""))</f>
        <v>27</v>
      </c>
      <c r="D1146" s="34"/>
      <c r="E1146" s="34"/>
      <c r="F1146" s="34"/>
      <c r="G1146" s="34"/>
      <c r="H1146" s="34"/>
      <c r="I1146" s="35"/>
      <c r="J1146" s="35"/>
      <c r="K1146" s="36"/>
      <c r="L1146" s="26" t="str">
        <f>IF(OR(F1146 = "", G1146 = ""), "", IF(F1146 = "Vara", IFERROR(_xlfn.SINGLE(_xlfn.XLOOKUP(G1146, Vöruskrá!A:A, Vöruskrá!E:E, "")), ""), IF(F1146 = "Réttur", IFERROR(_xlfn.SINGLE(_xlfn.XLOOKUP(G1146, Réttabanki!A:A, Réttabanki!AS:AS, "")), ""), "")))</f>
        <v/>
      </c>
      <c r="M1146" s="26" t="str">
        <f>IF(OR(F1146 = "", G1146 = ""), "", IF(F1146 = "Vara", IFERROR(_xlfn.SINGLE(_xlfn.XLOOKUP(G1146, Vöruskrá!A:A, Vöruskrá!F:F, "")), ""), IF(F1146 = "Réttur", IFERROR(_xlfn.SINGLE(_xlfn.XLOOKUP(G1146, Réttabanki!A:A, Réttabanki!AT:AT, "")), ""), "")))</f>
        <v/>
      </c>
      <c r="N1146" s="26" t="str">
        <f>IF(OR(F1146 = "", G1146 = ""), "", IF(F1146 = "Vara", IFERROR(_xlfn.SINGLE(_xlfn.XLOOKUP(G1146, Vöruskrá!A:A, Vöruskrá!G:G, "")), ""), IF(F1146 = "Réttur", IFERROR(_xlfn.SINGLE(_xlfn.XLOOKUP(G1146, Réttabanki!A:A, Réttabanki!AU:AU, "")), ""), "")))</f>
        <v/>
      </c>
      <c r="O1146" s="26" t="str">
        <f>IF(OR(F1146 = "", G1146 = "", I1146 = ""), "", IF(F1146 = "Vara", IFERROR(_xlfn.SINGLE(_xlfn.XLOOKUP(G1146, Vöruskrá!A:A, Vöruskrá!I:I, "")) * I1146 / 100, ""), IF(F1146 = "Réttur", IFERROR(_xlfn.SINGLE(_xlfn.XLOOKUP(G1146, Réttabanki!A:A, Réttabanki!AV:AV, "")) * I1146 / 100, ""), "")))</f>
        <v/>
      </c>
      <c r="P1146" s="26" t="str">
        <f>IF(OR(F1146 = "", G1146 = "", I1146 = ""), "", IF(F1146 = "Vara", IFERROR(_xlfn.SINGLE(_xlfn.XLOOKUP(G1146, Vöruskrá!A:A, Vöruskrá!J:J, "")) * I1146 / 100, ""), IF(F1146 = "Réttur", IFERROR(_xlfn.SINGLE(_xlfn.XLOOKUP(G1146, Réttabanki!A:A, Réttabanki!AW:AW, "")) * I1146 / 100, ""), "")))</f>
        <v/>
      </c>
      <c r="Q1146" s="26" t="str">
        <f>IF(OR(F1146 = "", G1146 = "", I1146 = ""), "", IF(F1146 = "Vara", IFERROR(_xlfn.SINGLE(_xlfn.XLOOKUP(G1146, Vöruskrá!A:A, Vöruskrá!N:N, "")) * I1146 / 100, ""), IF(F1146 = "Réttur", IFERROR(_xlfn.SINGLE(_xlfn.XLOOKUP(G1146, Réttabanki!A:A, Réttabanki!BB:BB, "")) * I1146 / 100, ""), "")))</f>
        <v/>
      </c>
    </row>
    <row r="1147" spans="2:17">
      <c r="B1147" s="33" t="str">
        <f>IF(A1147&lt;&gt;"",CHOOSE(WEEKDAY(A1147,2),"Mánudagur","Þriðjudagur","Miðvikudagur","Fimmtudagur","Föstudagur","Laugardagur","Sunnudagur"),IF(B1146&lt;&gt;"",B1146,""))</f>
        <v>Fimmtudagur</v>
      </c>
      <c r="C1147" s="33">
        <f>IF(A1147&lt;&gt;"",WEEKNUM(A1147,21),IF(C1146&lt;&gt;"",C1146,""))</f>
        <v>27</v>
      </c>
      <c r="D1147" s="34"/>
      <c r="E1147" s="34"/>
      <c r="F1147" s="34"/>
      <c r="G1147" s="34"/>
      <c r="H1147" s="34"/>
      <c r="I1147" s="35"/>
      <c r="J1147" s="35"/>
      <c r="K1147" s="36"/>
      <c r="L1147" s="26" t="str">
        <f>IF(OR(F1147 = "", G1147 = ""), "", IF(F1147 = "Vara", IFERROR(_xlfn.SINGLE(_xlfn.XLOOKUP(G1147, Vöruskrá!A:A, Vöruskrá!E:E, "")), ""), IF(F1147 = "Réttur", IFERROR(_xlfn.SINGLE(_xlfn.XLOOKUP(G1147, Réttabanki!A:A, Réttabanki!AS:AS, "")), ""), "")))</f>
        <v/>
      </c>
      <c r="M1147" s="26" t="str">
        <f>IF(OR(F1147 = "", G1147 = ""), "", IF(F1147 = "Vara", IFERROR(_xlfn.SINGLE(_xlfn.XLOOKUP(G1147, Vöruskrá!A:A, Vöruskrá!F:F, "")), ""), IF(F1147 = "Réttur", IFERROR(_xlfn.SINGLE(_xlfn.XLOOKUP(G1147, Réttabanki!A:A, Réttabanki!AT:AT, "")), ""), "")))</f>
        <v/>
      </c>
      <c r="N1147" s="26" t="str">
        <f>IF(OR(F1147 = "", G1147 = ""), "", IF(F1147 = "Vara", IFERROR(_xlfn.SINGLE(_xlfn.XLOOKUP(G1147, Vöruskrá!A:A, Vöruskrá!G:G, "")), ""), IF(F1147 = "Réttur", IFERROR(_xlfn.SINGLE(_xlfn.XLOOKUP(G1147, Réttabanki!A:A, Réttabanki!AU:AU, "")), ""), "")))</f>
        <v/>
      </c>
      <c r="O1147" s="26" t="str">
        <f>IF(OR(F1147 = "", G1147 = "", I1147 = ""), "", IF(F1147 = "Vara", IFERROR(_xlfn.SINGLE(_xlfn.XLOOKUP(G1147, Vöruskrá!A:A, Vöruskrá!I:I, "")) * I1147 / 100, ""), IF(F1147 = "Réttur", IFERROR(_xlfn.SINGLE(_xlfn.XLOOKUP(G1147, Réttabanki!A:A, Réttabanki!AV:AV, "")) * I1147 / 100, ""), "")))</f>
        <v/>
      </c>
      <c r="P1147" s="26" t="str">
        <f>IF(OR(F1147 = "", G1147 = "", I1147 = ""), "", IF(F1147 = "Vara", IFERROR(_xlfn.SINGLE(_xlfn.XLOOKUP(G1147, Vöruskrá!A:A, Vöruskrá!J:J, "")) * I1147 / 100, ""), IF(F1147 = "Réttur", IFERROR(_xlfn.SINGLE(_xlfn.XLOOKUP(G1147, Réttabanki!A:A, Réttabanki!AW:AW, "")) * I1147 / 100, ""), "")))</f>
        <v/>
      </c>
      <c r="Q1147" s="26" t="str">
        <f>IF(OR(F1147 = "", G1147 = "", I1147 = ""), "", IF(F1147 = "Vara", IFERROR(_xlfn.SINGLE(_xlfn.XLOOKUP(G1147, Vöruskrá!A:A, Vöruskrá!N:N, "")) * I1147 / 100, ""), IF(F1147 = "Réttur", IFERROR(_xlfn.SINGLE(_xlfn.XLOOKUP(G1147, Réttabanki!A:A, Réttabanki!BB:BB, "")) * I1147 / 100, ""), "")))</f>
        <v/>
      </c>
    </row>
    <row r="1148" spans="2:17">
      <c r="B1148" s="33" t="str">
        <f>IF(A1148&lt;&gt;"",CHOOSE(WEEKDAY(A1148,2),"Mánudagur","Þriðjudagur","Miðvikudagur","Fimmtudagur","Föstudagur","Laugardagur","Sunnudagur"),IF(B1147&lt;&gt;"",B1147,""))</f>
        <v>Fimmtudagur</v>
      </c>
      <c r="C1148" s="33">
        <f>IF(A1148&lt;&gt;"",WEEKNUM(A1148,21),IF(C1147&lt;&gt;"",C1147,""))</f>
        <v>27</v>
      </c>
      <c r="D1148" s="34"/>
      <c r="E1148" s="34"/>
      <c r="F1148" s="34"/>
      <c r="G1148" s="34"/>
      <c r="H1148" s="34"/>
      <c r="I1148" s="35"/>
      <c r="J1148" s="35"/>
      <c r="K1148" s="36"/>
      <c r="L1148" s="26" t="str">
        <f>IF(OR(F1148 = "", G1148 = ""), "", IF(F1148 = "Vara", IFERROR(_xlfn.SINGLE(_xlfn.XLOOKUP(G1148, Vöruskrá!A:A, Vöruskrá!E:E, "")), ""), IF(F1148 = "Réttur", IFERROR(_xlfn.SINGLE(_xlfn.XLOOKUP(G1148, Réttabanki!A:A, Réttabanki!AS:AS, "")), ""), "")))</f>
        <v/>
      </c>
      <c r="M1148" s="26" t="str">
        <f>IF(OR(F1148 = "", G1148 = ""), "", IF(F1148 = "Vara", IFERROR(_xlfn.SINGLE(_xlfn.XLOOKUP(G1148, Vöruskrá!A:A, Vöruskrá!F:F, "")), ""), IF(F1148 = "Réttur", IFERROR(_xlfn.SINGLE(_xlfn.XLOOKUP(G1148, Réttabanki!A:A, Réttabanki!AT:AT, "")), ""), "")))</f>
        <v/>
      </c>
      <c r="N1148" s="26" t="str">
        <f>IF(OR(F1148 = "", G1148 = ""), "", IF(F1148 = "Vara", IFERROR(_xlfn.SINGLE(_xlfn.XLOOKUP(G1148, Vöruskrá!A:A, Vöruskrá!G:G, "")), ""), IF(F1148 = "Réttur", IFERROR(_xlfn.SINGLE(_xlfn.XLOOKUP(G1148, Réttabanki!A:A, Réttabanki!AU:AU, "")), ""), "")))</f>
        <v/>
      </c>
      <c r="O1148" s="26" t="str">
        <f>IF(OR(F1148 = "", G1148 = "", I1148 = ""), "", IF(F1148 = "Vara", IFERROR(_xlfn.SINGLE(_xlfn.XLOOKUP(G1148, Vöruskrá!A:A, Vöruskrá!I:I, "")) * I1148 / 100, ""), IF(F1148 = "Réttur", IFERROR(_xlfn.SINGLE(_xlfn.XLOOKUP(G1148, Réttabanki!A:A, Réttabanki!AV:AV, "")) * I1148 / 100, ""), "")))</f>
        <v/>
      </c>
      <c r="P1148" s="26" t="str">
        <f>IF(OR(F1148 = "", G1148 = "", I1148 = ""), "", IF(F1148 = "Vara", IFERROR(_xlfn.SINGLE(_xlfn.XLOOKUP(G1148, Vöruskrá!A:A, Vöruskrá!J:J, "")) * I1148 / 100, ""), IF(F1148 = "Réttur", IFERROR(_xlfn.SINGLE(_xlfn.XLOOKUP(G1148, Réttabanki!A:A, Réttabanki!AW:AW, "")) * I1148 / 100, ""), "")))</f>
        <v/>
      </c>
      <c r="Q1148" s="26" t="str">
        <f>IF(OR(F1148 = "", G1148 = "", I1148 = ""), "", IF(F1148 = "Vara", IFERROR(_xlfn.SINGLE(_xlfn.XLOOKUP(G1148, Vöruskrá!A:A, Vöruskrá!N:N, "")) * I1148 / 100, ""), IF(F1148 = "Réttur", IFERROR(_xlfn.SINGLE(_xlfn.XLOOKUP(G1148, Réttabanki!A:A, Réttabanki!BB:BB, "")) * I1148 / 100, ""), "")))</f>
        <v/>
      </c>
    </row>
    <row r="1149" spans="2:17">
      <c r="B1149" s="33" t="str">
        <f>IF(A1149&lt;&gt;"",CHOOSE(WEEKDAY(A1149,2),"Mánudagur","Þriðjudagur","Miðvikudagur","Fimmtudagur","Föstudagur","Laugardagur","Sunnudagur"),IF(B1148&lt;&gt;"",B1148,""))</f>
        <v>Fimmtudagur</v>
      </c>
      <c r="C1149" s="33">
        <f>IF(A1149&lt;&gt;"",WEEKNUM(A1149,21),IF(C1148&lt;&gt;"",C1148,""))</f>
        <v>27</v>
      </c>
      <c r="D1149" s="34"/>
      <c r="E1149" s="34"/>
      <c r="F1149" s="34"/>
      <c r="G1149" s="34"/>
      <c r="H1149" s="34"/>
      <c r="I1149" s="35"/>
      <c r="J1149" s="35"/>
      <c r="K1149" s="36"/>
      <c r="L1149" s="26" t="str">
        <f>IF(OR(F1149 = "", G1149 = ""), "", IF(F1149 = "Vara", IFERROR(_xlfn.SINGLE(_xlfn.XLOOKUP(G1149, Vöruskrá!A:A, Vöruskrá!E:E, "")), ""), IF(F1149 = "Réttur", IFERROR(_xlfn.SINGLE(_xlfn.XLOOKUP(G1149, Réttabanki!A:A, Réttabanki!AS:AS, "")), ""), "")))</f>
        <v/>
      </c>
      <c r="M1149" s="26" t="str">
        <f>IF(OR(F1149 = "", G1149 = ""), "", IF(F1149 = "Vara", IFERROR(_xlfn.SINGLE(_xlfn.XLOOKUP(G1149, Vöruskrá!A:A, Vöruskrá!F:F, "")), ""), IF(F1149 = "Réttur", IFERROR(_xlfn.SINGLE(_xlfn.XLOOKUP(G1149, Réttabanki!A:A, Réttabanki!AT:AT, "")), ""), "")))</f>
        <v/>
      </c>
      <c r="N1149" s="26" t="str">
        <f>IF(OR(F1149 = "", G1149 = ""), "", IF(F1149 = "Vara", IFERROR(_xlfn.SINGLE(_xlfn.XLOOKUP(G1149, Vöruskrá!A:A, Vöruskrá!G:G, "")), ""), IF(F1149 = "Réttur", IFERROR(_xlfn.SINGLE(_xlfn.XLOOKUP(G1149, Réttabanki!A:A, Réttabanki!AU:AU, "")), ""), "")))</f>
        <v/>
      </c>
      <c r="O1149" s="26" t="str">
        <f>IF(OR(F1149 = "", G1149 = "", I1149 = ""), "", IF(F1149 = "Vara", IFERROR(_xlfn.SINGLE(_xlfn.XLOOKUP(G1149, Vöruskrá!A:A, Vöruskrá!I:I, "")) * I1149 / 100, ""), IF(F1149 = "Réttur", IFERROR(_xlfn.SINGLE(_xlfn.XLOOKUP(G1149, Réttabanki!A:A, Réttabanki!AV:AV, "")) * I1149 / 100, ""), "")))</f>
        <v/>
      </c>
      <c r="P1149" s="26" t="str">
        <f>IF(OR(F1149 = "", G1149 = "", I1149 = ""), "", IF(F1149 = "Vara", IFERROR(_xlfn.SINGLE(_xlfn.XLOOKUP(G1149, Vöruskrá!A:A, Vöruskrá!J:J, "")) * I1149 / 100, ""), IF(F1149 = "Réttur", IFERROR(_xlfn.SINGLE(_xlfn.XLOOKUP(G1149, Réttabanki!A:A, Réttabanki!AW:AW, "")) * I1149 / 100, ""), "")))</f>
        <v/>
      </c>
      <c r="Q1149" s="26" t="str">
        <f>IF(OR(F1149 = "", G1149 = "", I1149 = ""), "", IF(F1149 = "Vara", IFERROR(_xlfn.SINGLE(_xlfn.XLOOKUP(G1149, Vöruskrá!A:A, Vöruskrá!N:N, "")) * I1149 / 100, ""), IF(F1149 = "Réttur", IFERROR(_xlfn.SINGLE(_xlfn.XLOOKUP(G1149, Réttabanki!A:A, Réttabanki!BB:BB, "")) * I1149 / 100, ""), "")))</f>
        <v/>
      </c>
    </row>
    <row r="1150" spans="2:17">
      <c r="B1150" s="33" t="str">
        <f>IF(A1150&lt;&gt;"",CHOOSE(WEEKDAY(A1150,2),"Mánudagur","Þriðjudagur","Miðvikudagur","Fimmtudagur","Föstudagur","Laugardagur","Sunnudagur"),IF(B1149&lt;&gt;"",B1149,""))</f>
        <v>Fimmtudagur</v>
      </c>
      <c r="C1150" s="33">
        <f>IF(A1150&lt;&gt;"",WEEKNUM(A1150,21),IF(C1149&lt;&gt;"",C1149,""))</f>
        <v>27</v>
      </c>
      <c r="D1150" s="34"/>
      <c r="E1150" s="34"/>
      <c r="F1150" s="34"/>
      <c r="G1150" s="34"/>
      <c r="H1150" s="34"/>
      <c r="I1150" s="35"/>
      <c r="J1150" s="35"/>
      <c r="K1150" s="36"/>
      <c r="L1150" s="26" t="str">
        <f>IF(OR(F1150 = "", G1150 = ""), "", IF(F1150 = "Vara", IFERROR(_xlfn.SINGLE(_xlfn.XLOOKUP(G1150, Vöruskrá!A:A, Vöruskrá!E:E, "")), ""), IF(F1150 = "Réttur", IFERROR(_xlfn.SINGLE(_xlfn.XLOOKUP(G1150, Réttabanki!A:A, Réttabanki!AS:AS, "")), ""), "")))</f>
        <v/>
      </c>
      <c r="M1150" s="26" t="str">
        <f>IF(OR(F1150 = "", G1150 = ""), "", IF(F1150 = "Vara", IFERROR(_xlfn.SINGLE(_xlfn.XLOOKUP(G1150, Vöruskrá!A:A, Vöruskrá!F:F, "")), ""), IF(F1150 = "Réttur", IFERROR(_xlfn.SINGLE(_xlfn.XLOOKUP(G1150, Réttabanki!A:A, Réttabanki!AT:AT, "")), ""), "")))</f>
        <v/>
      </c>
      <c r="N1150" s="26" t="str">
        <f>IF(OR(F1150 = "", G1150 = ""), "", IF(F1150 = "Vara", IFERROR(_xlfn.SINGLE(_xlfn.XLOOKUP(G1150, Vöruskrá!A:A, Vöruskrá!G:G, "")), ""), IF(F1150 = "Réttur", IFERROR(_xlfn.SINGLE(_xlfn.XLOOKUP(G1150, Réttabanki!A:A, Réttabanki!AU:AU, "")), ""), "")))</f>
        <v/>
      </c>
      <c r="O1150" s="26" t="str">
        <f>IF(OR(F1150 = "", G1150 = "", I1150 = ""), "", IF(F1150 = "Vara", IFERROR(_xlfn.SINGLE(_xlfn.XLOOKUP(G1150, Vöruskrá!A:A, Vöruskrá!I:I, "")) * I1150 / 100, ""), IF(F1150 = "Réttur", IFERROR(_xlfn.SINGLE(_xlfn.XLOOKUP(G1150, Réttabanki!A:A, Réttabanki!AV:AV, "")) * I1150 / 100, ""), "")))</f>
        <v/>
      </c>
      <c r="P1150" s="26" t="str">
        <f>IF(OR(F1150 = "", G1150 = "", I1150 = ""), "", IF(F1150 = "Vara", IFERROR(_xlfn.SINGLE(_xlfn.XLOOKUP(G1150, Vöruskrá!A:A, Vöruskrá!J:J, "")) * I1150 / 100, ""), IF(F1150 = "Réttur", IFERROR(_xlfn.SINGLE(_xlfn.XLOOKUP(G1150, Réttabanki!A:A, Réttabanki!AW:AW, "")) * I1150 / 100, ""), "")))</f>
        <v/>
      </c>
      <c r="Q1150" s="26" t="str">
        <f>IF(OR(F1150 = "", G1150 = "", I1150 = ""), "", IF(F1150 = "Vara", IFERROR(_xlfn.SINGLE(_xlfn.XLOOKUP(G1150, Vöruskrá!A:A, Vöruskrá!N:N, "")) * I1150 / 100, ""), IF(F1150 = "Réttur", IFERROR(_xlfn.SINGLE(_xlfn.XLOOKUP(G1150, Réttabanki!A:A, Réttabanki!BB:BB, "")) * I1150 / 100, ""), "")))</f>
        <v/>
      </c>
    </row>
    <row r="1151" spans="2:17">
      <c r="B1151" s="33" t="str">
        <f>IF(A1151&lt;&gt;"",CHOOSE(WEEKDAY(A1151,2),"Mánudagur","Þriðjudagur","Miðvikudagur","Fimmtudagur","Föstudagur","Laugardagur","Sunnudagur"),IF(B1150&lt;&gt;"",B1150,""))</f>
        <v>Fimmtudagur</v>
      </c>
      <c r="C1151" s="33">
        <f>IF(A1151&lt;&gt;"",WEEKNUM(A1151,21),IF(C1150&lt;&gt;"",C1150,""))</f>
        <v>27</v>
      </c>
      <c r="D1151" s="34"/>
      <c r="E1151" s="34"/>
      <c r="F1151" s="34"/>
      <c r="G1151" s="34"/>
      <c r="H1151" s="34"/>
      <c r="I1151" s="35"/>
      <c r="J1151" s="35"/>
      <c r="K1151" s="36"/>
      <c r="L1151" s="26" t="str">
        <f>IF(OR(F1151 = "", G1151 = ""), "", IF(F1151 = "Vara", IFERROR(_xlfn.SINGLE(_xlfn.XLOOKUP(G1151, Vöruskrá!A:A, Vöruskrá!E:E, "")), ""), IF(F1151 = "Réttur", IFERROR(_xlfn.SINGLE(_xlfn.XLOOKUP(G1151, Réttabanki!A:A, Réttabanki!AS:AS, "")), ""), "")))</f>
        <v/>
      </c>
      <c r="M1151" s="26" t="str">
        <f>IF(OR(F1151 = "", G1151 = ""), "", IF(F1151 = "Vara", IFERROR(_xlfn.SINGLE(_xlfn.XLOOKUP(G1151, Vöruskrá!A:A, Vöruskrá!F:F, "")), ""), IF(F1151 = "Réttur", IFERROR(_xlfn.SINGLE(_xlfn.XLOOKUP(G1151, Réttabanki!A:A, Réttabanki!AT:AT, "")), ""), "")))</f>
        <v/>
      </c>
      <c r="N1151" s="26" t="str">
        <f>IF(OR(F1151 = "", G1151 = ""), "", IF(F1151 = "Vara", IFERROR(_xlfn.SINGLE(_xlfn.XLOOKUP(G1151, Vöruskrá!A:A, Vöruskrá!G:G, "")), ""), IF(F1151 = "Réttur", IFERROR(_xlfn.SINGLE(_xlfn.XLOOKUP(G1151, Réttabanki!A:A, Réttabanki!AU:AU, "")), ""), "")))</f>
        <v/>
      </c>
      <c r="O1151" s="26" t="str">
        <f>IF(OR(F1151 = "", G1151 = "", I1151 = ""), "", IF(F1151 = "Vara", IFERROR(_xlfn.SINGLE(_xlfn.XLOOKUP(G1151, Vöruskrá!A:A, Vöruskrá!I:I, "")) * I1151 / 100, ""), IF(F1151 = "Réttur", IFERROR(_xlfn.SINGLE(_xlfn.XLOOKUP(G1151, Réttabanki!A:A, Réttabanki!AV:AV, "")) * I1151 / 100, ""), "")))</f>
        <v/>
      </c>
      <c r="P1151" s="26" t="str">
        <f>IF(OR(F1151 = "", G1151 = "", I1151 = ""), "", IF(F1151 = "Vara", IFERROR(_xlfn.SINGLE(_xlfn.XLOOKUP(G1151, Vöruskrá!A:A, Vöruskrá!J:J, "")) * I1151 / 100, ""), IF(F1151 = "Réttur", IFERROR(_xlfn.SINGLE(_xlfn.XLOOKUP(G1151, Réttabanki!A:A, Réttabanki!AW:AW, "")) * I1151 / 100, ""), "")))</f>
        <v/>
      </c>
      <c r="Q1151" s="26" t="str">
        <f>IF(OR(F1151 = "", G1151 = "", I1151 = ""), "", IF(F1151 = "Vara", IFERROR(_xlfn.SINGLE(_xlfn.XLOOKUP(G1151, Vöruskrá!A:A, Vöruskrá!N:N, "")) * I1151 / 100, ""), IF(F1151 = "Réttur", IFERROR(_xlfn.SINGLE(_xlfn.XLOOKUP(G1151, Réttabanki!A:A, Réttabanki!BB:BB, "")) * I1151 / 100, ""), "")))</f>
        <v/>
      </c>
    </row>
    <row r="1152" spans="2:17">
      <c r="B1152" s="33" t="str">
        <f>IF(A1152&lt;&gt;"",CHOOSE(WEEKDAY(A1152,2),"Mánudagur","Þriðjudagur","Miðvikudagur","Fimmtudagur","Föstudagur","Laugardagur","Sunnudagur"),IF(B1151&lt;&gt;"",B1151,""))</f>
        <v>Fimmtudagur</v>
      </c>
      <c r="C1152" s="33">
        <f>IF(A1152&lt;&gt;"",WEEKNUM(A1152,21),IF(C1151&lt;&gt;"",C1151,""))</f>
        <v>27</v>
      </c>
      <c r="D1152" s="34"/>
      <c r="E1152" s="34"/>
      <c r="F1152" s="34"/>
      <c r="G1152" s="34"/>
      <c r="H1152" s="34"/>
      <c r="I1152" s="35"/>
      <c r="J1152" s="35"/>
      <c r="K1152" s="36"/>
      <c r="L1152" s="26" t="str">
        <f>IF(OR(F1152 = "", G1152 = ""), "", IF(F1152 = "Vara", IFERROR(_xlfn.SINGLE(_xlfn.XLOOKUP(G1152, Vöruskrá!A:A, Vöruskrá!E:E, "")), ""), IF(F1152 = "Réttur", IFERROR(_xlfn.SINGLE(_xlfn.XLOOKUP(G1152, Réttabanki!A:A, Réttabanki!AS:AS, "")), ""), "")))</f>
        <v/>
      </c>
      <c r="M1152" s="26" t="str">
        <f>IF(OR(F1152 = "", G1152 = ""), "", IF(F1152 = "Vara", IFERROR(_xlfn.SINGLE(_xlfn.XLOOKUP(G1152, Vöruskrá!A:A, Vöruskrá!F:F, "")), ""), IF(F1152 = "Réttur", IFERROR(_xlfn.SINGLE(_xlfn.XLOOKUP(G1152, Réttabanki!A:A, Réttabanki!AT:AT, "")), ""), "")))</f>
        <v/>
      </c>
      <c r="N1152" s="26" t="str">
        <f>IF(OR(F1152 = "", G1152 = ""), "", IF(F1152 = "Vara", IFERROR(_xlfn.SINGLE(_xlfn.XLOOKUP(G1152, Vöruskrá!A:A, Vöruskrá!G:G, "")), ""), IF(F1152 = "Réttur", IFERROR(_xlfn.SINGLE(_xlfn.XLOOKUP(G1152, Réttabanki!A:A, Réttabanki!AU:AU, "")), ""), "")))</f>
        <v/>
      </c>
      <c r="O1152" s="26" t="str">
        <f>IF(OR(F1152 = "", G1152 = "", I1152 = ""), "", IF(F1152 = "Vara", IFERROR(_xlfn.SINGLE(_xlfn.XLOOKUP(G1152, Vöruskrá!A:A, Vöruskrá!I:I, "")) * I1152 / 100, ""), IF(F1152 = "Réttur", IFERROR(_xlfn.SINGLE(_xlfn.XLOOKUP(G1152, Réttabanki!A:A, Réttabanki!AV:AV, "")) * I1152 / 100, ""), "")))</f>
        <v/>
      </c>
      <c r="P1152" s="26" t="str">
        <f>IF(OR(F1152 = "", G1152 = "", I1152 = ""), "", IF(F1152 = "Vara", IFERROR(_xlfn.SINGLE(_xlfn.XLOOKUP(G1152, Vöruskrá!A:A, Vöruskrá!J:J, "")) * I1152 / 100, ""), IF(F1152 = "Réttur", IFERROR(_xlfn.SINGLE(_xlfn.XLOOKUP(G1152, Réttabanki!A:A, Réttabanki!AW:AW, "")) * I1152 / 100, ""), "")))</f>
        <v/>
      </c>
      <c r="Q1152" s="26" t="str">
        <f>IF(OR(F1152 = "", G1152 = "", I1152 = ""), "", IF(F1152 = "Vara", IFERROR(_xlfn.SINGLE(_xlfn.XLOOKUP(G1152, Vöruskrá!A:A, Vöruskrá!N:N, "")) * I1152 / 100, ""), IF(F1152 = "Réttur", IFERROR(_xlfn.SINGLE(_xlfn.XLOOKUP(G1152, Réttabanki!A:A, Réttabanki!BB:BB, "")) * I1152 / 100, ""), "")))</f>
        <v/>
      </c>
    </row>
    <row r="1153" spans="2:17">
      <c r="B1153" s="33" t="str">
        <f>IF(A1153&lt;&gt;"",CHOOSE(WEEKDAY(A1153,2),"Mánudagur","Þriðjudagur","Miðvikudagur","Fimmtudagur","Föstudagur","Laugardagur","Sunnudagur"),IF(B1152&lt;&gt;"",B1152,""))</f>
        <v>Fimmtudagur</v>
      </c>
      <c r="C1153" s="33">
        <f>IF(A1153&lt;&gt;"",WEEKNUM(A1153,21),IF(C1152&lt;&gt;"",C1152,""))</f>
        <v>27</v>
      </c>
      <c r="D1153" s="34"/>
      <c r="E1153" s="34"/>
      <c r="F1153" s="34"/>
      <c r="G1153" s="34"/>
      <c r="H1153" s="34"/>
      <c r="I1153" s="35"/>
      <c r="J1153" s="35"/>
      <c r="K1153" s="36"/>
      <c r="L1153" s="26" t="str">
        <f>IF(OR(F1153 = "", G1153 = ""), "", IF(F1153 = "Vara", IFERROR(_xlfn.SINGLE(_xlfn.XLOOKUP(G1153, Vöruskrá!A:A, Vöruskrá!E:E, "")), ""), IF(F1153 = "Réttur", IFERROR(_xlfn.SINGLE(_xlfn.XLOOKUP(G1153, Réttabanki!A:A, Réttabanki!AS:AS, "")), ""), "")))</f>
        <v/>
      </c>
      <c r="M1153" s="26" t="str">
        <f>IF(OR(F1153 = "", G1153 = ""), "", IF(F1153 = "Vara", IFERROR(_xlfn.SINGLE(_xlfn.XLOOKUP(G1153, Vöruskrá!A:A, Vöruskrá!F:F, "")), ""), IF(F1153 = "Réttur", IFERROR(_xlfn.SINGLE(_xlfn.XLOOKUP(G1153, Réttabanki!A:A, Réttabanki!AT:AT, "")), ""), "")))</f>
        <v/>
      </c>
      <c r="N1153" s="26" t="str">
        <f>IF(OR(F1153 = "", G1153 = ""), "", IF(F1153 = "Vara", IFERROR(_xlfn.SINGLE(_xlfn.XLOOKUP(G1153, Vöruskrá!A:A, Vöruskrá!G:G, "")), ""), IF(F1153 = "Réttur", IFERROR(_xlfn.SINGLE(_xlfn.XLOOKUP(G1153, Réttabanki!A:A, Réttabanki!AU:AU, "")), ""), "")))</f>
        <v/>
      </c>
      <c r="O1153" s="26" t="str">
        <f>IF(OR(F1153 = "", G1153 = "", I1153 = ""), "", IF(F1153 = "Vara", IFERROR(_xlfn.SINGLE(_xlfn.XLOOKUP(G1153, Vöruskrá!A:A, Vöruskrá!I:I, "")) * I1153 / 100, ""), IF(F1153 = "Réttur", IFERROR(_xlfn.SINGLE(_xlfn.XLOOKUP(G1153, Réttabanki!A:A, Réttabanki!AV:AV, "")) * I1153 / 100, ""), "")))</f>
        <v/>
      </c>
      <c r="P1153" s="26" t="str">
        <f>IF(OR(F1153 = "", G1153 = "", I1153 = ""), "", IF(F1153 = "Vara", IFERROR(_xlfn.SINGLE(_xlfn.XLOOKUP(G1153, Vöruskrá!A:A, Vöruskrá!J:J, "")) * I1153 / 100, ""), IF(F1153 = "Réttur", IFERROR(_xlfn.SINGLE(_xlfn.XLOOKUP(G1153, Réttabanki!A:A, Réttabanki!AW:AW, "")) * I1153 / 100, ""), "")))</f>
        <v/>
      </c>
      <c r="Q1153" s="26" t="str">
        <f>IF(OR(F1153 = "", G1153 = "", I1153 = ""), "", IF(F1153 = "Vara", IFERROR(_xlfn.SINGLE(_xlfn.XLOOKUP(G1153, Vöruskrá!A:A, Vöruskrá!N:N, "")) * I1153 / 100, ""), IF(F1153 = "Réttur", IFERROR(_xlfn.SINGLE(_xlfn.XLOOKUP(G1153, Réttabanki!A:A, Réttabanki!BB:BB, "")) * I1153 / 100, ""), "")))</f>
        <v/>
      </c>
    </row>
    <row r="1154" spans="2:17">
      <c r="B1154" s="33" t="str">
        <f>IF(A1154&lt;&gt;"",CHOOSE(WEEKDAY(A1154,2),"Mánudagur","Þriðjudagur","Miðvikudagur","Fimmtudagur","Föstudagur","Laugardagur","Sunnudagur"),IF(B1153&lt;&gt;"",B1153,""))</f>
        <v>Fimmtudagur</v>
      </c>
      <c r="C1154" s="33">
        <f>IF(A1154&lt;&gt;"",WEEKNUM(A1154,21),IF(C1153&lt;&gt;"",C1153,""))</f>
        <v>27</v>
      </c>
      <c r="D1154" s="34"/>
      <c r="E1154" s="34"/>
      <c r="F1154" s="34"/>
      <c r="G1154" s="34"/>
      <c r="H1154" s="34"/>
      <c r="I1154" s="35"/>
      <c r="J1154" s="35"/>
      <c r="K1154" s="36"/>
      <c r="L1154" s="26" t="str">
        <f>IF(OR(F1154 = "", G1154 = ""), "", IF(F1154 = "Vara", IFERROR(_xlfn.SINGLE(_xlfn.XLOOKUP(G1154, Vöruskrá!A:A, Vöruskrá!E:E, "")), ""), IF(F1154 = "Réttur", IFERROR(_xlfn.SINGLE(_xlfn.XLOOKUP(G1154, Réttabanki!A:A, Réttabanki!AS:AS, "")), ""), "")))</f>
        <v/>
      </c>
      <c r="M1154" s="26" t="str">
        <f>IF(OR(F1154 = "", G1154 = ""), "", IF(F1154 = "Vara", IFERROR(_xlfn.SINGLE(_xlfn.XLOOKUP(G1154, Vöruskrá!A:A, Vöruskrá!F:F, "")), ""), IF(F1154 = "Réttur", IFERROR(_xlfn.SINGLE(_xlfn.XLOOKUP(G1154, Réttabanki!A:A, Réttabanki!AT:AT, "")), ""), "")))</f>
        <v/>
      </c>
      <c r="N1154" s="26" t="str">
        <f>IF(OR(F1154 = "", G1154 = ""), "", IF(F1154 = "Vara", IFERROR(_xlfn.SINGLE(_xlfn.XLOOKUP(G1154, Vöruskrá!A:A, Vöruskrá!G:G, "")), ""), IF(F1154 = "Réttur", IFERROR(_xlfn.SINGLE(_xlfn.XLOOKUP(G1154, Réttabanki!A:A, Réttabanki!AU:AU, "")), ""), "")))</f>
        <v/>
      </c>
      <c r="O1154" s="26" t="str">
        <f>IF(OR(F1154 = "", G1154 = "", I1154 = ""), "", IF(F1154 = "Vara", IFERROR(_xlfn.SINGLE(_xlfn.XLOOKUP(G1154, Vöruskrá!A:A, Vöruskrá!I:I, "")) * I1154 / 100, ""), IF(F1154 = "Réttur", IFERROR(_xlfn.SINGLE(_xlfn.XLOOKUP(G1154, Réttabanki!A:A, Réttabanki!AV:AV, "")) * I1154 / 100, ""), "")))</f>
        <v/>
      </c>
      <c r="P1154" s="26" t="str">
        <f>IF(OR(F1154 = "", G1154 = "", I1154 = ""), "", IF(F1154 = "Vara", IFERROR(_xlfn.SINGLE(_xlfn.XLOOKUP(G1154, Vöruskrá!A:A, Vöruskrá!J:J, "")) * I1154 / 100, ""), IF(F1154 = "Réttur", IFERROR(_xlfn.SINGLE(_xlfn.XLOOKUP(G1154, Réttabanki!A:A, Réttabanki!AW:AW, "")) * I1154 / 100, ""), "")))</f>
        <v/>
      </c>
      <c r="Q1154" s="26" t="str">
        <f>IF(OR(F1154 = "", G1154 = "", I1154 = ""), "", IF(F1154 = "Vara", IFERROR(_xlfn.SINGLE(_xlfn.XLOOKUP(G1154, Vöruskrá!A:A, Vöruskrá!N:N, "")) * I1154 / 100, ""), IF(F1154 = "Réttur", IFERROR(_xlfn.SINGLE(_xlfn.XLOOKUP(G1154, Réttabanki!A:A, Réttabanki!BB:BB, "")) * I1154 / 100, ""), "")))</f>
        <v/>
      </c>
    </row>
    <row r="1155" spans="2:17">
      <c r="B1155" s="33" t="str">
        <f>IF(A1155&lt;&gt;"",CHOOSE(WEEKDAY(A1155,2),"Mánudagur","Þriðjudagur","Miðvikudagur","Fimmtudagur","Föstudagur","Laugardagur","Sunnudagur"),IF(B1154&lt;&gt;"",B1154,""))</f>
        <v>Fimmtudagur</v>
      </c>
      <c r="C1155" s="33">
        <f>IF(A1155&lt;&gt;"",WEEKNUM(A1155,21),IF(C1154&lt;&gt;"",C1154,""))</f>
        <v>27</v>
      </c>
      <c r="D1155" s="34"/>
      <c r="E1155" s="34"/>
      <c r="F1155" s="34"/>
      <c r="G1155" s="34"/>
      <c r="H1155" s="34"/>
      <c r="I1155" s="35"/>
      <c r="J1155" s="35"/>
      <c r="K1155" s="36"/>
      <c r="L1155" s="26" t="str">
        <f>IF(OR(F1155 = "", G1155 = ""), "", IF(F1155 = "Vara", IFERROR(_xlfn.SINGLE(_xlfn.XLOOKUP(G1155, Vöruskrá!A:A, Vöruskrá!E:E, "")), ""), IF(F1155 = "Réttur", IFERROR(_xlfn.SINGLE(_xlfn.XLOOKUP(G1155, Réttabanki!A:A, Réttabanki!AS:AS, "")), ""), "")))</f>
        <v/>
      </c>
      <c r="M1155" s="26" t="str">
        <f>IF(OR(F1155 = "", G1155 = ""), "", IF(F1155 = "Vara", IFERROR(_xlfn.SINGLE(_xlfn.XLOOKUP(G1155, Vöruskrá!A:A, Vöruskrá!F:F, "")), ""), IF(F1155 = "Réttur", IFERROR(_xlfn.SINGLE(_xlfn.XLOOKUP(G1155, Réttabanki!A:A, Réttabanki!AT:AT, "")), ""), "")))</f>
        <v/>
      </c>
      <c r="N1155" s="26" t="str">
        <f>IF(OR(F1155 = "", G1155 = ""), "", IF(F1155 = "Vara", IFERROR(_xlfn.SINGLE(_xlfn.XLOOKUP(G1155, Vöruskrá!A:A, Vöruskrá!G:G, "")), ""), IF(F1155 = "Réttur", IFERROR(_xlfn.SINGLE(_xlfn.XLOOKUP(G1155, Réttabanki!A:A, Réttabanki!AU:AU, "")), ""), "")))</f>
        <v/>
      </c>
      <c r="O1155" s="26" t="str">
        <f>IF(OR(F1155 = "", G1155 = "", I1155 = ""), "", IF(F1155 = "Vara", IFERROR(_xlfn.SINGLE(_xlfn.XLOOKUP(G1155, Vöruskrá!A:A, Vöruskrá!I:I, "")) * I1155 / 100, ""), IF(F1155 = "Réttur", IFERROR(_xlfn.SINGLE(_xlfn.XLOOKUP(G1155, Réttabanki!A:A, Réttabanki!AV:AV, "")) * I1155 / 100, ""), "")))</f>
        <v/>
      </c>
      <c r="P1155" s="26" t="str">
        <f>IF(OR(F1155 = "", G1155 = "", I1155 = ""), "", IF(F1155 = "Vara", IFERROR(_xlfn.SINGLE(_xlfn.XLOOKUP(G1155, Vöruskrá!A:A, Vöruskrá!J:J, "")) * I1155 / 100, ""), IF(F1155 = "Réttur", IFERROR(_xlfn.SINGLE(_xlfn.XLOOKUP(G1155, Réttabanki!A:A, Réttabanki!AW:AW, "")) * I1155 / 100, ""), "")))</f>
        <v/>
      </c>
      <c r="Q1155" s="26" t="str">
        <f>IF(OR(F1155 = "", G1155 = "", I1155 = ""), "", IF(F1155 = "Vara", IFERROR(_xlfn.SINGLE(_xlfn.XLOOKUP(G1155, Vöruskrá!A:A, Vöruskrá!N:N, "")) * I1155 / 100, ""), IF(F1155 = "Réttur", IFERROR(_xlfn.SINGLE(_xlfn.XLOOKUP(G1155, Réttabanki!A:A, Réttabanki!BB:BB, "")) * I1155 / 100, ""), "")))</f>
        <v/>
      </c>
    </row>
    <row r="1156" spans="2:17">
      <c r="B1156" s="33" t="str">
        <f>IF(A1156&lt;&gt;"",CHOOSE(WEEKDAY(A1156,2),"Mánudagur","Þriðjudagur","Miðvikudagur","Fimmtudagur","Föstudagur","Laugardagur","Sunnudagur"),IF(B1155&lt;&gt;"",B1155,""))</f>
        <v>Fimmtudagur</v>
      </c>
      <c r="C1156" s="33">
        <f>IF(A1156&lt;&gt;"",WEEKNUM(A1156,21),IF(C1155&lt;&gt;"",C1155,""))</f>
        <v>27</v>
      </c>
      <c r="D1156" s="34"/>
      <c r="E1156" s="34"/>
      <c r="F1156" s="34"/>
      <c r="G1156" s="34"/>
      <c r="H1156" s="34"/>
      <c r="I1156" s="35"/>
      <c r="J1156" s="35"/>
      <c r="K1156" s="36"/>
      <c r="L1156" s="26" t="str">
        <f>IF(OR(F1156 = "", G1156 = ""), "", IF(F1156 = "Vara", IFERROR(_xlfn.SINGLE(_xlfn.XLOOKUP(G1156, Vöruskrá!A:A, Vöruskrá!E:E, "")), ""), IF(F1156 = "Réttur", IFERROR(_xlfn.SINGLE(_xlfn.XLOOKUP(G1156, Réttabanki!A:A, Réttabanki!AS:AS, "")), ""), "")))</f>
        <v/>
      </c>
      <c r="M1156" s="26" t="str">
        <f>IF(OR(F1156 = "", G1156 = ""), "", IF(F1156 = "Vara", IFERROR(_xlfn.SINGLE(_xlfn.XLOOKUP(G1156, Vöruskrá!A:A, Vöruskrá!F:F, "")), ""), IF(F1156 = "Réttur", IFERROR(_xlfn.SINGLE(_xlfn.XLOOKUP(G1156, Réttabanki!A:A, Réttabanki!AT:AT, "")), ""), "")))</f>
        <v/>
      </c>
      <c r="N1156" s="26" t="str">
        <f>IF(OR(F1156 = "", G1156 = ""), "", IF(F1156 = "Vara", IFERROR(_xlfn.SINGLE(_xlfn.XLOOKUP(G1156, Vöruskrá!A:A, Vöruskrá!G:G, "")), ""), IF(F1156 = "Réttur", IFERROR(_xlfn.SINGLE(_xlfn.XLOOKUP(G1156, Réttabanki!A:A, Réttabanki!AU:AU, "")), ""), "")))</f>
        <v/>
      </c>
      <c r="O1156" s="26" t="str">
        <f>IF(OR(F1156 = "", G1156 = "", I1156 = ""), "", IF(F1156 = "Vara", IFERROR(_xlfn.SINGLE(_xlfn.XLOOKUP(G1156, Vöruskrá!A:A, Vöruskrá!I:I, "")) * I1156 / 100, ""), IF(F1156 = "Réttur", IFERROR(_xlfn.SINGLE(_xlfn.XLOOKUP(G1156, Réttabanki!A:A, Réttabanki!AV:AV, "")) * I1156 / 100, ""), "")))</f>
        <v/>
      </c>
      <c r="P1156" s="26" t="str">
        <f>IF(OR(F1156 = "", G1156 = "", I1156 = ""), "", IF(F1156 = "Vara", IFERROR(_xlfn.SINGLE(_xlfn.XLOOKUP(G1156, Vöruskrá!A:A, Vöruskrá!J:J, "")) * I1156 / 100, ""), IF(F1156 = "Réttur", IFERROR(_xlfn.SINGLE(_xlfn.XLOOKUP(G1156, Réttabanki!A:A, Réttabanki!AW:AW, "")) * I1156 / 100, ""), "")))</f>
        <v/>
      </c>
      <c r="Q1156" s="26" t="str">
        <f>IF(OR(F1156 = "", G1156 = "", I1156 = ""), "", IF(F1156 = "Vara", IFERROR(_xlfn.SINGLE(_xlfn.XLOOKUP(G1156, Vöruskrá!A:A, Vöruskrá!N:N, "")) * I1156 / 100, ""), IF(F1156 = "Réttur", IFERROR(_xlfn.SINGLE(_xlfn.XLOOKUP(G1156, Réttabanki!A:A, Réttabanki!BB:BB, "")) * I1156 / 100, ""), "")))</f>
        <v/>
      </c>
    </row>
    <row r="1157" spans="2:17">
      <c r="B1157" s="33" t="str">
        <f>IF(A1157&lt;&gt;"",CHOOSE(WEEKDAY(A1157,2),"Mánudagur","Þriðjudagur","Miðvikudagur","Fimmtudagur","Föstudagur","Laugardagur","Sunnudagur"),IF(B1156&lt;&gt;"",B1156,""))</f>
        <v>Fimmtudagur</v>
      </c>
      <c r="C1157" s="33">
        <f>IF(A1157&lt;&gt;"",WEEKNUM(A1157,21),IF(C1156&lt;&gt;"",C1156,""))</f>
        <v>27</v>
      </c>
      <c r="D1157" s="34"/>
      <c r="E1157" s="34"/>
      <c r="F1157" s="34"/>
      <c r="G1157" s="34"/>
      <c r="H1157" s="34"/>
      <c r="I1157" s="35"/>
      <c r="J1157" s="35"/>
      <c r="K1157" s="36"/>
      <c r="L1157" s="26" t="str">
        <f>IF(OR(F1157 = "", G1157 = ""), "", IF(F1157 = "Vara", IFERROR(_xlfn.SINGLE(_xlfn.XLOOKUP(G1157, Vöruskrá!A:A, Vöruskrá!E:E, "")), ""), IF(F1157 = "Réttur", IFERROR(_xlfn.SINGLE(_xlfn.XLOOKUP(G1157, Réttabanki!A:A, Réttabanki!AS:AS, "")), ""), "")))</f>
        <v/>
      </c>
      <c r="M1157" s="26" t="str">
        <f>IF(OR(F1157 = "", G1157 = ""), "", IF(F1157 = "Vara", IFERROR(_xlfn.SINGLE(_xlfn.XLOOKUP(G1157, Vöruskrá!A:A, Vöruskrá!F:F, "")), ""), IF(F1157 = "Réttur", IFERROR(_xlfn.SINGLE(_xlfn.XLOOKUP(G1157, Réttabanki!A:A, Réttabanki!AT:AT, "")), ""), "")))</f>
        <v/>
      </c>
      <c r="N1157" s="26" t="str">
        <f>IF(OR(F1157 = "", G1157 = ""), "", IF(F1157 = "Vara", IFERROR(_xlfn.SINGLE(_xlfn.XLOOKUP(G1157, Vöruskrá!A:A, Vöruskrá!G:G, "")), ""), IF(F1157 = "Réttur", IFERROR(_xlfn.SINGLE(_xlfn.XLOOKUP(G1157, Réttabanki!A:A, Réttabanki!AU:AU, "")), ""), "")))</f>
        <v/>
      </c>
      <c r="O1157" s="26" t="str">
        <f>IF(OR(F1157 = "", G1157 = "", I1157 = ""), "", IF(F1157 = "Vara", IFERROR(_xlfn.SINGLE(_xlfn.XLOOKUP(G1157, Vöruskrá!A:A, Vöruskrá!I:I, "")) * I1157 / 100, ""), IF(F1157 = "Réttur", IFERROR(_xlfn.SINGLE(_xlfn.XLOOKUP(G1157, Réttabanki!A:A, Réttabanki!AV:AV, "")) * I1157 / 100, ""), "")))</f>
        <v/>
      </c>
      <c r="P1157" s="26" t="str">
        <f>IF(OR(F1157 = "", G1157 = "", I1157 = ""), "", IF(F1157 = "Vara", IFERROR(_xlfn.SINGLE(_xlfn.XLOOKUP(G1157, Vöruskrá!A:A, Vöruskrá!J:J, "")) * I1157 / 100, ""), IF(F1157 = "Réttur", IFERROR(_xlfn.SINGLE(_xlfn.XLOOKUP(G1157, Réttabanki!A:A, Réttabanki!AW:AW, "")) * I1157 / 100, ""), "")))</f>
        <v/>
      </c>
      <c r="Q1157" s="26" t="str">
        <f>IF(OR(F1157 = "", G1157 = "", I1157 = ""), "", IF(F1157 = "Vara", IFERROR(_xlfn.SINGLE(_xlfn.XLOOKUP(G1157, Vöruskrá!A:A, Vöruskrá!N:N, "")) * I1157 / 100, ""), IF(F1157 = "Réttur", IFERROR(_xlfn.SINGLE(_xlfn.XLOOKUP(G1157, Réttabanki!A:A, Réttabanki!BB:BB, "")) * I1157 / 100, ""), "")))</f>
        <v/>
      </c>
    </row>
    <row r="1158" spans="2:17">
      <c r="B1158" s="33" t="str">
        <f>IF(A1158&lt;&gt;"",CHOOSE(WEEKDAY(A1158,2),"Mánudagur","Þriðjudagur","Miðvikudagur","Fimmtudagur","Föstudagur","Laugardagur","Sunnudagur"),IF(B1157&lt;&gt;"",B1157,""))</f>
        <v>Fimmtudagur</v>
      </c>
      <c r="C1158" s="33">
        <f>IF(A1158&lt;&gt;"",WEEKNUM(A1158,21),IF(C1157&lt;&gt;"",C1157,""))</f>
        <v>27</v>
      </c>
      <c r="D1158" s="34"/>
      <c r="E1158" s="34"/>
      <c r="F1158" s="34"/>
      <c r="G1158" s="34"/>
      <c r="H1158" s="34"/>
      <c r="I1158" s="35"/>
      <c r="J1158" s="35"/>
      <c r="K1158" s="36"/>
      <c r="L1158" s="26" t="str">
        <f>IF(OR(F1158 = "", G1158 = ""), "", IF(F1158 = "Vara", IFERROR(_xlfn.SINGLE(_xlfn.XLOOKUP(G1158, Vöruskrá!A:A, Vöruskrá!E:E, "")), ""), IF(F1158 = "Réttur", IFERROR(_xlfn.SINGLE(_xlfn.XLOOKUP(G1158, Réttabanki!A:A, Réttabanki!AS:AS, "")), ""), "")))</f>
        <v/>
      </c>
      <c r="M1158" s="26" t="str">
        <f>IF(OR(F1158 = "", G1158 = ""), "", IF(F1158 = "Vara", IFERROR(_xlfn.SINGLE(_xlfn.XLOOKUP(G1158, Vöruskrá!A:A, Vöruskrá!F:F, "")), ""), IF(F1158 = "Réttur", IFERROR(_xlfn.SINGLE(_xlfn.XLOOKUP(G1158, Réttabanki!A:A, Réttabanki!AT:AT, "")), ""), "")))</f>
        <v/>
      </c>
      <c r="N1158" s="26" t="str">
        <f>IF(OR(F1158 = "", G1158 = ""), "", IF(F1158 = "Vara", IFERROR(_xlfn.SINGLE(_xlfn.XLOOKUP(G1158, Vöruskrá!A:A, Vöruskrá!G:G, "")), ""), IF(F1158 = "Réttur", IFERROR(_xlfn.SINGLE(_xlfn.XLOOKUP(G1158, Réttabanki!A:A, Réttabanki!AU:AU, "")), ""), "")))</f>
        <v/>
      </c>
      <c r="O1158" s="26" t="str">
        <f>IF(OR(F1158 = "", G1158 = "", I1158 = ""), "", IF(F1158 = "Vara", IFERROR(_xlfn.SINGLE(_xlfn.XLOOKUP(G1158, Vöruskrá!A:A, Vöruskrá!I:I, "")) * I1158 / 100, ""), IF(F1158 = "Réttur", IFERROR(_xlfn.SINGLE(_xlfn.XLOOKUP(G1158, Réttabanki!A:A, Réttabanki!AV:AV, "")) * I1158 / 100, ""), "")))</f>
        <v/>
      </c>
      <c r="P1158" s="26" t="str">
        <f>IF(OR(F1158 = "", G1158 = "", I1158 = ""), "", IF(F1158 = "Vara", IFERROR(_xlfn.SINGLE(_xlfn.XLOOKUP(G1158, Vöruskrá!A:A, Vöruskrá!J:J, "")) * I1158 / 100, ""), IF(F1158 = "Réttur", IFERROR(_xlfn.SINGLE(_xlfn.XLOOKUP(G1158, Réttabanki!A:A, Réttabanki!AW:AW, "")) * I1158 / 100, ""), "")))</f>
        <v/>
      </c>
      <c r="Q1158" s="26" t="str">
        <f>IF(OR(F1158 = "", G1158 = "", I1158 = ""), "", IF(F1158 = "Vara", IFERROR(_xlfn.SINGLE(_xlfn.XLOOKUP(G1158, Vöruskrá!A:A, Vöruskrá!N:N, "")) * I1158 / 100, ""), IF(F1158 = "Réttur", IFERROR(_xlfn.SINGLE(_xlfn.XLOOKUP(G1158, Réttabanki!A:A, Réttabanki!BB:BB, "")) * I1158 / 100, ""), "")))</f>
        <v/>
      </c>
    </row>
    <row r="1159" spans="2:17">
      <c r="B1159" s="33" t="str">
        <f>IF(A1159&lt;&gt;"",CHOOSE(WEEKDAY(A1159,2),"Mánudagur","Þriðjudagur","Miðvikudagur","Fimmtudagur","Föstudagur","Laugardagur","Sunnudagur"),IF(B1158&lt;&gt;"",B1158,""))</f>
        <v>Fimmtudagur</v>
      </c>
      <c r="C1159" s="33">
        <f>IF(A1159&lt;&gt;"",WEEKNUM(A1159,21),IF(C1158&lt;&gt;"",C1158,""))</f>
        <v>27</v>
      </c>
      <c r="D1159" s="34"/>
      <c r="E1159" s="34"/>
      <c r="F1159" s="34"/>
      <c r="G1159" s="34"/>
      <c r="H1159" s="34"/>
      <c r="I1159" s="35"/>
      <c r="J1159" s="35"/>
      <c r="K1159" s="36"/>
      <c r="L1159" s="26" t="str">
        <f>IF(OR(F1159 = "", G1159 = ""), "", IF(F1159 = "Vara", IFERROR(_xlfn.SINGLE(_xlfn.XLOOKUP(G1159, Vöruskrá!A:A, Vöruskrá!E:E, "")), ""), IF(F1159 = "Réttur", IFERROR(_xlfn.SINGLE(_xlfn.XLOOKUP(G1159, Réttabanki!A:A, Réttabanki!AS:AS, "")), ""), "")))</f>
        <v/>
      </c>
      <c r="M1159" s="26" t="str">
        <f>IF(OR(F1159 = "", G1159 = ""), "", IF(F1159 = "Vara", IFERROR(_xlfn.SINGLE(_xlfn.XLOOKUP(G1159, Vöruskrá!A:A, Vöruskrá!F:F, "")), ""), IF(F1159 = "Réttur", IFERROR(_xlfn.SINGLE(_xlfn.XLOOKUP(G1159, Réttabanki!A:A, Réttabanki!AT:AT, "")), ""), "")))</f>
        <v/>
      </c>
      <c r="N1159" s="26" t="str">
        <f>IF(OR(F1159 = "", G1159 = ""), "", IF(F1159 = "Vara", IFERROR(_xlfn.SINGLE(_xlfn.XLOOKUP(G1159, Vöruskrá!A:A, Vöruskrá!G:G, "")), ""), IF(F1159 = "Réttur", IFERROR(_xlfn.SINGLE(_xlfn.XLOOKUP(G1159, Réttabanki!A:A, Réttabanki!AU:AU, "")), ""), "")))</f>
        <v/>
      </c>
      <c r="O1159" s="26" t="str">
        <f>IF(OR(F1159 = "", G1159 = "", I1159 = ""), "", IF(F1159 = "Vara", IFERROR(_xlfn.SINGLE(_xlfn.XLOOKUP(G1159, Vöruskrá!A:A, Vöruskrá!I:I, "")) * I1159 / 100, ""), IF(F1159 = "Réttur", IFERROR(_xlfn.SINGLE(_xlfn.XLOOKUP(G1159, Réttabanki!A:A, Réttabanki!AV:AV, "")) * I1159 / 100, ""), "")))</f>
        <v/>
      </c>
      <c r="P1159" s="26" t="str">
        <f>IF(OR(F1159 = "", G1159 = "", I1159 = ""), "", IF(F1159 = "Vara", IFERROR(_xlfn.SINGLE(_xlfn.XLOOKUP(G1159, Vöruskrá!A:A, Vöruskrá!J:J, "")) * I1159 / 100, ""), IF(F1159 = "Réttur", IFERROR(_xlfn.SINGLE(_xlfn.XLOOKUP(G1159, Réttabanki!A:A, Réttabanki!AW:AW, "")) * I1159 / 100, ""), "")))</f>
        <v/>
      </c>
      <c r="Q1159" s="26" t="str">
        <f>IF(OR(F1159 = "", G1159 = "", I1159 = ""), "", IF(F1159 = "Vara", IFERROR(_xlfn.SINGLE(_xlfn.XLOOKUP(G1159, Vöruskrá!A:A, Vöruskrá!N:N, "")) * I1159 / 100, ""), IF(F1159 = "Réttur", IFERROR(_xlfn.SINGLE(_xlfn.XLOOKUP(G1159, Réttabanki!A:A, Réttabanki!BB:BB, "")) * I1159 / 100, ""), "")))</f>
        <v/>
      </c>
    </row>
    <row r="1160" spans="2:17">
      <c r="B1160" s="33" t="str">
        <f>IF(A1160&lt;&gt;"",CHOOSE(WEEKDAY(A1160,2),"Mánudagur","Þriðjudagur","Miðvikudagur","Fimmtudagur","Föstudagur","Laugardagur","Sunnudagur"),IF(B1159&lt;&gt;"",B1159,""))</f>
        <v>Fimmtudagur</v>
      </c>
      <c r="C1160" s="33">
        <f>IF(A1160&lt;&gt;"",WEEKNUM(A1160,21),IF(C1159&lt;&gt;"",C1159,""))</f>
        <v>27</v>
      </c>
      <c r="D1160" s="34"/>
      <c r="E1160" s="34"/>
      <c r="F1160" s="34"/>
      <c r="G1160" s="34"/>
      <c r="H1160" s="34"/>
      <c r="I1160" s="35"/>
      <c r="J1160" s="35"/>
      <c r="K1160" s="36"/>
      <c r="L1160" s="26" t="str">
        <f>IF(OR(F1160 = "", G1160 = ""), "", IF(F1160 = "Vara", IFERROR(_xlfn.SINGLE(_xlfn.XLOOKUP(G1160, Vöruskrá!A:A, Vöruskrá!E:E, "")), ""), IF(F1160 = "Réttur", IFERROR(_xlfn.SINGLE(_xlfn.XLOOKUP(G1160, Réttabanki!A:A, Réttabanki!AS:AS, "")), ""), "")))</f>
        <v/>
      </c>
      <c r="M1160" s="26" t="str">
        <f>IF(OR(F1160 = "", G1160 = ""), "", IF(F1160 = "Vara", IFERROR(_xlfn.SINGLE(_xlfn.XLOOKUP(G1160, Vöruskrá!A:A, Vöruskrá!F:F, "")), ""), IF(F1160 = "Réttur", IFERROR(_xlfn.SINGLE(_xlfn.XLOOKUP(G1160, Réttabanki!A:A, Réttabanki!AT:AT, "")), ""), "")))</f>
        <v/>
      </c>
      <c r="N1160" s="26" t="str">
        <f>IF(OR(F1160 = "", G1160 = ""), "", IF(F1160 = "Vara", IFERROR(_xlfn.SINGLE(_xlfn.XLOOKUP(G1160, Vöruskrá!A:A, Vöruskrá!G:G, "")), ""), IF(F1160 = "Réttur", IFERROR(_xlfn.SINGLE(_xlfn.XLOOKUP(G1160, Réttabanki!A:A, Réttabanki!AU:AU, "")), ""), "")))</f>
        <v/>
      </c>
      <c r="O1160" s="26" t="str">
        <f>IF(OR(F1160 = "", G1160 = "", I1160 = ""), "", IF(F1160 = "Vara", IFERROR(_xlfn.SINGLE(_xlfn.XLOOKUP(G1160, Vöruskrá!A:A, Vöruskrá!I:I, "")) * I1160 / 100, ""), IF(F1160 = "Réttur", IFERROR(_xlfn.SINGLE(_xlfn.XLOOKUP(G1160, Réttabanki!A:A, Réttabanki!AV:AV, "")) * I1160 / 100, ""), "")))</f>
        <v/>
      </c>
      <c r="P1160" s="26" t="str">
        <f>IF(OR(F1160 = "", G1160 = "", I1160 = ""), "", IF(F1160 = "Vara", IFERROR(_xlfn.SINGLE(_xlfn.XLOOKUP(G1160, Vöruskrá!A:A, Vöruskrá!J:J, "")) * I1160 / 100, ""), IF(F1160 = "Réttur", IFERROR(_xlfn.SINGLE(_xlfn.XLOOKUP(G1160, Réttabanki!A:A, Réttabanki!AW:AW, "")) * I1160 / 100, ""), "")))</f>
        <v/>
      </c>
      <c r="Q1160" s="26" t="str">
        <f>IF(OR(F1160 = "", G1160 = "", I1160 = ""), "", IF(F1160 = "Vara", IFERROR(_xlfn.SINGLE(_xlfn.XLOOKUP(G1160, Vöruskrá!A:A, Vöruskrá!N:N, "")) * I1160 / 100, ""), IF(F1160 = "Réttur", IFERROR(_xlfn.SINGLE(_xlfn.XLOOKUP(G1160, Réttabanki!A:A, Réttabanki!BB:BB, "")) * I1160 / 100, ""), "")))</f>
        <v/>
      </c>
    </row>
    <row r="1161" spans="2:17">
      <c r="B1161" s="33" t="str">
        <f>IF(A1161&lt;&gt;"",CHOOSE(WEEKDAY(A1161,2),"Mánudagur","Þriðjudagur","Miðvikudagur","Fimmtudagur","Föstudagur","Laugardagur","Sunnudagur"),IF(B1160&lt;&gt;"",B1160,""))</f>
        <v>Fimmtudagur</v>
      </c>
      <c r="C1161" s="33">
        <f>IF(A1161&lt;&gt;"",WEEKNUM(A1161,21),IF(C1160&lt;&gt;"",C1160,""))</f>
        <v>27</v>
      </c>
      <c r="D1161" s="34"/>
      <c r="E1161" s="34"/>
      <c r="F1161" s="34"/>
      <c r="G1161" s="34"/>
      <c r="H1161" s="34"/>
      <c r="I1161" s="35"/>
      <c r="J1161" s="35"/>
      <c r="K1161" s="36"/>
      <c r="L1161" s="26" t="str">
        <f>IF(OR(F1161 = "", G1161 = ""), "", IF(F1161 = "Vara", IFERROR(_xlfn.SINGLE(_xlfn.XLOOKUP(G1161, Vöruskrá!A:A, Vöruskrá!E:E, "")), ""), IF(F1161 = "Réttur", IFERROR(_xlfn.SINGLE(_xlfn.XLOOKUP(G1161, Réttabanki!A:A, Réttabanki!AS:AS, "")), ""), "")))</f>
        <v/>
      </c>
      <c r="M1161" s="26" t="str">
        <f>IF(OR(F1161 = "", G1161 = ""), "", IF(F1161 = "Vara", IFERROR(_xlfn.SINGLE(_xlfn.XLOOKUP(G1161, Vöruskrá!A:A, Vöruskrá!F:F, "")), ""), IF(F1161 = "Réttur", IFERROR(_xlfn.SINGLE(_xlfn.XLOOKUP(G1161, Réttabanki!A:A, Réttabanki!AT:AT, "")), ""), "")))</f>
        <v/>
      </c>
      <c r="N1161" s="26" t="str">
        <f>IF(OR(F1161 = "", G1161 = ""), "", IF(F1161 = "Vara", IFERROR(_xlfn.SINGLE(_xlfn.XLOOKUP(G1161, Vöruskrá!A:A, Vöruskrá!G:G, "")), ""), IF(F1161 = "Réttur", IFERROR(_xlfn.SINGLE(_xlfn.XLOOKUP(G1161, Réttabanki!A:A, Réttabanki!AU:AU, "")), ""), "")))</f>
        <v/>
      </c>
      <c r="O1161" s="26" t="str">
        <f>IF(OR(F1161 = "", G1161 = "", I1161 = ""), "", IF(F1161 = "Vara", IFERROR(_xlfn.SINGLE(_xlfn.XLOOKUP(G1161, Vöruskrá!A:A, Vöruskrá!I:I, "")) * I1161 / 100, ""), IF(F1161 = "Réttur", IFERROR(_xlfn.SINGLE(_xlfn.XLOOKUP(G1161, Réttabanki!A:A, Réttabanki!AV:AV, "")) * I1161 / 100, ""), "")))</f>
        <v/>
      </c>
      <c r="P1161" s="26" t="str">
        <f>IF(OR(F1161 = "", G1161 = "", I1161 = ""), "", IF(F1161 = "Vara", IFERROR(_xlfn.SINGLE(_xlfn.XLOOKUP(G1161, Vöruskrá!A:A, Vöruskrá!J:J, "")) * I1161 / 100, ""), IF(F1161 = "Réttur", IFERROR(_xlfn.SINGLE(_xlfn.XLOOKUP(G1161, Réttabanki!A:A, Réttabanki!AW:AW, "")) * I1161 / 100, ""), "")))</f>
        <v/>
      </c>
      <c r="Q1161" s="26" t="str">
        <f>IF(OR(F1161 = "", G1161 = "", I1161 = ""), "", IF(F1161 = "Vara", IFERROR(_xlfn.SINGLE(_xlfn.XLOOKUP(G1161, Vöruskrá!A:A, Vöruskrá!N:N, "")) * I1161 / 100, ""), IF(F1161 = "Réttur", IFERROR(_xlfn.SINGLE(_xlfn.XLOOKUP(G1161, Réttabanki!A:A, Réttabanki!BB:BB, "")) * I1161 / 100, ""), "")))</f>
        <v/>
      </c>
    </row>
    <row r="1162" spans="2:17">
      <c r="B1162" s="33" t="str">
        <f>IF(A1162&lt;&gt;"",CHOOSE(WEEKDAY(A1162,2),"Mánudagur","Þriðjudagur","Miðvikudagur","Fimmtudagur","Föstudagur","Laugardagur","Sunnudagur"),IF(B1161&lt;&gt;"",B1161,""))</f>
        <v>Fimmtudagur</v>
      </c>
      <c r="C1162" s="33">
        <f>IF(A1162&lt;&gt;"",WEEKNUM(A1162,21),IF(C1161&lt;&gt;"",C1161,""))</f>
        <v>27</v>
      </c>
      <c r="D1162" s="34"/>
      <c r="E1162" s="34"/>
      <c r="F1162" s="34"/>
      <c r="G1162" s="34"/>
      <c r="H1162" s="34"/>
      <c r="I1162" s="35"/>
      <c r="J1162" s="35"/>
      <c r="K1162" s="36"/>
      <c r="L1162" s="26" t="str">
        <f>IF(OR(F1162 = "", G1162 = ""), "", IF(F1162 = "Vara", IFERROR(_xlfn.SINGLE(_xlfn.XLOOKUP(G1162, Vöruskrá!A:A, Vöruskrá!E:E, "")), ""), IF(F1162 = "Réttur", IFERROR(_xlfn.SINGLE(_xlfn.XLOOKUP(G1162, Réttabanki!A:A, Réttabanki!AS:AS, "")), ""), "")))</f>
        <v/>
      </c>
      <c r="M1162" s="26" t="str">
        <f>IF(OR(F1162 = "", G1162 = ""), "", IF(F1162 = "Vara", IFERROR(_xlfn.SINGLE(_xlfn.XLOOKUP(G1162, Vöruskrá!A:A, Vöruskrá!F:F, "")), ""), IF(F1162 = "Réttur", IFERROR(_xlfn.SINGLE(_xlfn.XLOOKUP(G1162, Réttabanki!A:A, Réttabanki!AT:AT, "")), ""), "")))</f>
        <v/>
      </c>
      <c r="N1162" s="26" t="str">
        <f>IF(OR(F1162 = "", G1162 = ""), "", IF(F1162 = "Vara", IFERROR(_xlfn.SINGLE(_xlfn.XLOOKUP(G1162, Vöruskrá!A:A, Vöruskrá!G:G, "")), ""), IF(F1162 = "Réttur", IFERROR(_xlfn.SINGLE(_xlfn.XLOOKUP(G1162, Réttabanki!A:A, Réttabanki!AU:AU, "")), ""), "")))</f>
        <v/>
      </c>
      <c r="O1162" s="26" t="str">
        <f>IF(OR(F1162 = "", G1162 = "", I1162 = ""), "", IF(F1162 = "Vara", IFERROR(_xlfn.SINGLE(_xlfn.XLOOKUP(G1162, Vöruskrá!A:A, Vöruskrá!I:I, "")) * I1162 / 100, ""), IF(F1162 = "Réttur", IFERROR(_xlfn.SINGLE(_xlfn.XLOOKUP(G1162, Réttabanki!A:A, Réttabanki!AV:AV, "")) * I1162 / 100, ""), "")))</f>
        <v/>
      </c>
      <c r="P1162" s="26" t="str">
        <f>IF(OR(F1162 = "", G1162 = "", I1162 = ""), "", IF(F1162 = "Vara", IFERROR(_xlfn.SINGLE(_xlfn.XLOOKUP(G1162, Vöruskrá!A:A, Vöruskrá!J:J, "")) * I1162 / 100, ""), IF(F1162 = "Réttur", IFERROR(_xlfn.SINGLE(_xlfn.XLOOKUP(G1162, Réttabanki!A:A, Réttabanki!AW:AW, "")) * I1162 / 100, ""), "")))</f>
        <v/>
      </c>
      <c r="Q1162" s="26" t="str">
        <f>IF(OR(F1162 = "", G1162 = "", I1162 = ""), "", IF(F1162 = "Vara", IFERROR(_xlfn.SINGLE(_xlfn.XLOOKUP(G1162, Vöruskrá!A:A, Vöruskrá!N:N, "")) * I1162 / 100, ""), IF(F1162 = "Réttur", IFERROR(_xlfn.SINGLE(_xlfn.XLOOKUP(G1162, Réttabanki!A:A, Réttabanki!BB:BB, "")) * I1162 / 100, ""), "")))</f>
        <v/>
      </c>
    </row>
    <row r="1163" spans="2:17">
      <c r="B1163" s="33" t="str">
        <f>IF(A1163&lt;&gt;"",CHOOSE(WEEKDAY(A1163,2),"Mánudagur","Þriðjudagur","Miðvikudagur","Fimmtudagur","Föstudagur","Laugardagur","Sunnudagur"),IF(B1162&lt;&gt;"",B1162,""))</f>
        <v>Fimmtudagur</v>
      </c>
      <c r="C1163" s="33">
        <f>IF(A1163&lt;&gt;"",WEEKNUM(A1163,21),IF(C1162&lt;&gt;"",C1162,""))</f>
        <v>27</v>
      </c>
      <c r="D1163" s="34"/>
      <c r="E1163" s="34"/>
      <c r="F1163" s="34"/>
      <c r="G1163" s="34"/>
      <c r="H1163" s="34"/>
      <c r="I1163" s="35"/>
      <c r="J1163" s="35"/>
      <c r="K1163" s="36"/>
      <c r="L1163" s="26" t="str">
        <f>IF(OR(F1163 = "", G1163 = ""), "", IF(F1163 = "Vara", IFERROR(_xlfn.SINGLE(_xlfn.XLOOKUP(G1163, Vöruskrá!A:A, Vöruskrá!E:E, "")), ""), IF(F1163 = "Réttur", IFERROR(_xlfn.SINGLE(_xlfn.XLOOKUP(G1163, Réttabanki!A:A, Réttabanki!AS:AS, "")), ""), "")))</f>
        <v/>
      </c>
      <c r="M1163" s="26" t="str">
        <f>IF(OR(F1163 = "", G1163 = ""), "", IF(F1163 = "Vara", IFERROR(_xlfn.SINGLE(_xlfn.XLOOKUP(G1163, Vöruskrá!A:A, Vöruskrá!F:F, "")), ""), IF(F1163 = "Réttur", IFERROR(_xlfn.SINGLE(_xlfn.XLOOKUP(G1163, Réttabanki!A:A, Réttabanki!AT:AT, "")), ""), "")))</f>
        <v/>
      </c>
      <c r="N1163" s="26" t="str">
        <f>IF(OR(F1163 = "", G1163 = ""), "", IF(F1163 = "Vara", IFERROR(_xlfn.SINGLE(_xlfn.XLOOKUP(G1163, Vöruskrá!A:A, Vöruskrá!G:G, "")), ""), IF(F1163 = "Réttur", IFERROR(_xlfn.SINGLE(_xlfn.XLOOKUP(G1163, Réttabanki!A:A, Réttabanki!AU:AU, "")), ""), "")))</f>
        <v/>
      </c>
      <c r="O1163" s="26" t="str">
        <f>IF(OR(F1163 = "", G1163 = "", I1163 = ""), "", IF(F1163 = "Vara", IFERROR(_xlfn.SINGLE(_xlfn.XLOOKUP(G1163, Vöruskrá!A:A, Vöruskrá!I:I, "")) * I1163 / 100, ""), IF(F1163 = "Réttur", IFERROR(_xlfn.SINGLE(_xlfn.XLOOKUP(G1163, Réttabanki!A:A, Réttabanki!AV:AV, "")) * I1163 / 100, ""), "")))</f>
        <v/>
      </c>
      <c r="P1163" s="26" t="str">
        <f>IF(OR(F1163 = "", G1163 = "", I1163 = ""), "", IF(F1163 = "Vara", IFERROR(_xlfn.SINGLE(_xlfn.XLOOKUP(G1163, Vöruskrá!A:A, Vöruskrá!J:J, "")) * I1163 / 100, ""), IF(F1163 = "Réttur", IFERROR(_xlfn.SINGLE(_xlfn.XLOOKUP(G1163, Réttabanki!A:A, Réttabanki!AW:AW, "")) * I1163 / 100, ""), "")))</f>
        <v/>
      </c>
      <c r="Q1163" s="26" t="str">
        <f>IF(OR(F1163 = "", G1163 = "", I1163 = ""), "", IF(F1163 = "Vara", IFERROR(_xlfn.SINGLE(_xlfn.XLOOKUP(G1163, Vöruskrá!A:A, Vöruskrá!N:N, "")) * I1163 / 100, ""), IF(F1163 = "Réttur", IFERROR(_xlfn.SINGLE(_xlfn.XLOOKUP(G1163, Réttabanki!A:A, Réttabanki!BB:BB, "")) * I1163 / 100, ""), "")))</f>
        <v/>
      </c>
    </row>
    <row r="1164" spans="2:17">
      <c r="B1164" s="33" t="str">
        <f>IF(A1164&lt;&gt;"",CHOOSE(WEEKDAY(A1164,2),"Mánudagur","Þriðjudagur","Miðvikudagur","Fimmtudagur","Föstudagur","Laugardagur","Sunnudagur"),IF(B1163&lt;&gt;"",B1163,""))</f>
        <v>Fimmtudagur</v>
      </c>
      <c r="C1164" s="33">
        <f>IF(A1164&lt;&gt;"",WEEKNUM(A1164,21),IF(C1163&lt;&gt;"",C1163,""))</f>
        <v>27</v>
      </c>
      <c r="D1164" s="34"/>
      <c r="E1164" s="34"/>
      <c r="F1164" s="34"/>
      <c r="G1164" s="34"/>
      <c r="H1164" s="34"/>
      <c r="I1164" s="35"/>
      <c r="J1164" s="35"/>
      <c r="K1164" s="36"/>
      <c r="L1164" s="26" t="str">
        <f>IF(OR(F1164 = "", G1164 = ""), "", IF(F1164 = "Vara", IFERROR(_xlfn.SINGLE(_xlfn.XLOOKUP(G1164, Vöruskrá!A:A, Vöruskrá!E:E, "")), ""), IF(F1164 = "Réttur", IFERROR(_xlfn.SINGLE(_xlfn.XLOOKUP(G1164, Réttabanki!A:A, Réttabanki!AS:AS, "")), ""), "")))</f>
        <v/>
      </c>
      <c r="M1164" s="26" t="str">
        <f>IF(OR(F1164 = "", G1164 = ""), "", IF(F1164 = "Vara", IFERROR(_xlfn.SINGLE(_xlfn.XLOOKUP(G1164, Vöruskrá!A:A, Vöruskrá!F:F, "")), ""), IF(F1164 = "Réttur", IFERROR(_xlfn.SINGLE(_xlfn.XLOOKUP(G1164, Réttabanki!A:A, Réttabanki!AT:AT, "")), ""), "")))</f>
        <v/>
      </c>
      <c r="N1164" s="26" t="str">
        <f>IF(OR(F1164 = "", G1164 = ""), "", IF(F1164 = "Vara", IFERROR(_xlfn.SINGLE(_xlfn.XLOOKUP(G1164, Vöruskrá!A:A, Vöruskrá!G:G, "")), ""), IF(F1164 = "Réttur", IFERROR(_xlfn.SINGLE(_xlfn.XLOOKUP(G1164, Réttabanki!A:A, Réttabanki!AU:AU, "")), ""), "")))</f>
        <v/>
      </c>
      <c r="O1164" s="26" t="str">
        <f>IF(OR(F1164 = "", G1164 = "", I1164 = ""), "", IF(F1164 = "Vara", IFERROR(_xlfn.SINGLE(_xlfn.XLOOKUP(G1164, Vöruskrá!A:A, Vöruskrá!I:I, "")) * I1164 / 100, ""), IF(F1164 = "Réttur", IFERROR(_xlfn.SINGLE(_xlfn.XLOOKUP(G1164, Réttabanki!A:A, Réttabanki!AV:AV, "")) * I1164 / 100, ""), "")))</f>
        <v/>
      </c>
      <c r="P1164" s="26" t="str">
        <f>IF(OR(F1164 = "", G1164 = "", I1164 = ""), "", IF(F1164 = "Vara", IFERROR(_xlfn.SINGLE(_xlfn.XLOOKUP(G1164, Vöruskrá!A:A, Vöruskrá!J:J, "")) * I1164 / 100, ""), IF(F1164 = "Réttur", IFERROR(_xlfn.SINGLE(_xlfn.XLOOKUP(G1164, Réttabanki!A:A, Réttabanki!AW:AW, "")) * I1164 / 100, ""), "")))</f>
        <v/>
      </c>
      <c r="Q1164" s="26" t="str">
        <f>IF(OR(F1164 = "", G1164 = "", I1164 = ""), "", IF(F1164 = "Vara", IFERROR(_xlfn.SINGLE(_xlfn.XLOOKUP(G1164, Vöruskrá!A:A, Vöruskrá!N:N, "")) * I1164 / 100, ""), IF(F1164 = "Réttur", IFERROR(_xlfn.SINGLE(_xlfn.XLOOKUP(G1164, Réttabanki!A:A, Réttabanki!BB:BB, "")) * I1164 / 100, ""), "")))</f>
        <v/>
      </c>
    </row>
    <row r="1165" spans="2:17">
      <c r="B1165" s="33" t="str">
        <f>IF(A1165&lt;&gt;"",CHOOSE(WEEKDAY(A1165,2),"Mánudagur","Þriðjudagur","Miðvikudagur","Fimmtudagur","Föstudagur","Laugardagur","Sunnudagur"),IF(B1164&lt;&gt;"",B1164,""))</f>
        <v>Fimmtudagur</v>
      </c>
      <c r="C1165" s="33">
        <f>IF(A1165&lt;&gt;"",WEEKNUM(A1165,21),IF(C1164&lt;&gt;"",C1164,""))</f>
        <v>27</v>
      </c>
      <c r="D1165" s="34"/>
      <c r="E1165" s="34"/>
      <c r="F1165" s="34"/>
      <c r="G1165" s="34"/>
      <c r="H1165" s="34"/>
      <c r="I1165" s="35"/>
      <c r="J1165" s="35"/>
      <c r="K1165" s="36"/>
      <c r="L1165" s="26" t="str">
        <f>IF(OR(F1165 = "", G1165 = ""), "", IF(F1165 = "Vara", IFERROR(_xlfn.SINGLE(_xlfn.XLOOKUP(G1165, Vöruskrá!A:A, Vöruskrá!E:E, "")), ""), IF(F1165 = "Réttur", IFERROR(_xlfn.SINGLE(_xlfn.XLOOKUP(G1165, Réttabanki!A:A, Réttabanki!AS:AS, "")), ""), "")))</f>
        <v/>
      </c>
      <c r="M1165" s="26" t="str">
        <f>IF(OR(F1165 = "", G1165 = ""), "", IF(F1165 = "Vara", IFERROR(_xlfn.SINGLE(_xlfn.XLOOKUP(G1165, Vöruskrá!A:A, Vöruskrá!F:F, "")), ""), IF(F1165 = "Réttur", IFERROR(_xlfn.SINGLE(_xlfn.XLOOKUP(G1165, Réttabanki!A:A, Réttabanki!AT:AT, "")), ""), "")))</f>
        <v/>
      </c>
      <c r="N1165" s="26" t="str">
        <f>IF(OR(F1165 = "", G1165 = ""), "", IF(F1165 = "Vara", IFERROR(_xlfn.SINGLE(_xlfn.XLOOKUP(G1165, Vöruskrá!A:A, Vöruskrá!G:G, "")), ""), IF(F1165 = "Réttur", IFERROR(_xlfn.SINGLE(_xlfn.XLOOKUP(G1165, Réttabanki!A:A, Réttabanki!AU:AU, "")), ""), "")))</f>
        <v/>
      </c>
      <c r="O1165" s="26" t="str">
        <f>IF(OR(F1165 = "", G1165 = "", I1165 = ""), "", IF(F1165 = "Vara", IFERROR(_xlfn.SINGLE(_xlfn.XLOOKUP(G1165, Vöruskrá!A:A, Vöruskrá!I:I, "")) * I1165 / 100, ""), IF(F1165 = "Réttur", IFERROR(_xlfn.SINGLE(_xlfn.XLOOKUP(G1165, Réttabanki!A:A, Réttabanki!AV:AV, "")) * I1165 / 100, ""), "")))</f>
        <v/>
      </c>
      <c r="P1165" s="26" t="str">
        <f>IF(OR(F1165 = "", G1165 = "", I1165 = ""), "", IF(F1165 = "Vara", IFERROR(_xlfn.SINGLE(_xlfn.XLOOKUP(G1165, Vöruskrá!A:A, Vöruskrá!J:J, "")) * I1165 / 100, ""), IF(F1165 = "Réttur", IFERROR(_xlfn.SINGLE(_xlfn.XLOOKUP(G1165, Réttabanki!A:A, Réttabanki!AW:AW, "")) * I1165 / 100, ""), "")))</f>
        <v/>
      </c>
      <c r="Q1165" s="26" t="str">
        <f>IF(OR(F1165 = "", G1165 = "", I1165 = ""), "", IF(F1165 = "Vara", IFERROR(_xlfn.SINGLE(_xlfn.XLOOKUP(G1165, Vöruskrá!A:A, Vöruskrá!N:N, "")) * I1165 / 100, ""), IF(F1165 = "Réttur", IFERROR(_xlfn.SINGLE(_xlfn.XLOOKUP(G1165, Réttabanki!A:A, Réttabanki!BB:BB, "")) * I1165 / 100, ""), "")))</f>
        <v/>
      </c>
    </row>
    <row r="1166" spans="2:17">
      <c r="B1166" s="33" t="str">
        <f>IF(A1166&lt;&gt;"",CHOOSE(WEEKDAY(A1166,2),"Mánudagur","Þriðjudagur","Miðvikudagur","Fimmtudagur","Föstudagur","Laugardagur","Sunnudagur"),IF(B1165&lt;&gt;"",B1165,""))</f>
        <v>Fimmtudagur</v>
      </c>
      <c r="C1166" s="33">
        <f>IF(A1166&lt;&gt;"",WEEKNUM(A1166,21),IF(C1165&lt;&gt;"",C1165,""))</f>
        <v>27</v>
      </c>
      <c r="D1166" s="34"/>
      <c r="E1166" s="34"/>
      <c r="F1166" s="34"/>
      <c r="G1166" s="34"/>
      <c r="H1166" s="34"/>
      <c r="I1166" s="35"/>
      <c r="J1166" s="35"/>
      <c r="K1166" s="36"/>
      <c r="L1166" s="26" t="str">
        <f>IF(OR(F1166 = "", G1166 = ""), "", IF(F1166 = "Vara", IFERROR(_xlfn.SINGLE(_xlfn.XLOOKUP(G1166, Vöruskrá!A:A, Vöruskrá!E:E, "")), ""), IF(F1166 = "Réttur", IFERROR(_xlfn.SINGLE(_xlfn.XLOOKUP(G1166, Réttabanki!A:A, Réttabanki!AS:AS, "")), ""), "")))</f>
        <v/>
      </c>
      <c r="M1166" s="26" t="str">
        <f>IF(OR(F1166 = "", G1166 = ""), "", IF(F1166 = "Vara", IFERROR(_xlfn.SINGLE(_xlfn.XLOOKUP(G1166, Vöruskrá!A:A, Vöruskrá!F:F, "")), ""), IF(F1166 = "Réttur", IFERROR(_xlfn.SINGLE(_xlfn.XLOOKUP(G1166, Réttabanki!A:A, Réttabanki!AT:AT, "")), ""), "")))</f>
        <v/>
      </c>
      <c r="N1166" s="26" t="str">
        <f>IF(OR(F1166 = "", G1166 = ""), "", IF(F1166 = "Vara", IFERROR(_xlfn.SINGLE(_xlfn.XLOOKUP(G1166, Vöruskrá!A:A, Vöruskrá!G:G, "")), ""), IF(F1166 = "Réttur", IFERROR(_xlfn.SINGLE(_xlfn.XLOOKUP(G1166, Réttabanki!A:A, Réttabanki!AU:AU, "")), ""), "")))</f>
        <v/>
      </c>
      <c r="O1166" s="26" t="str">
        <f>IF(OR(F1166 = "", G1166 = "", I1166 = ""), "", IF(F1166 = "Vara", IFERROR(_xlfn.SINGLE(_xlfn.XLOOKUP(G1166, Vöruskrá!A:A, Vöruskrá!I:I, "")) * I1166 / 100, ""), IF(F1166 = "Réttur", IFERROR(_xlfn.SINGLE(_xlfn.XLOOKUP(G1166, Réttabanki!A:A, Réttabanki!AV:AV, "")) * I1166 / 100, ""), "")))</f>
        <v/>
      </c>
      <c r="P1166" s="26" t="str">
        <f>IF(OR(F1166 = "", G1166 = "", I1166 = ""), "", IF(F1166 = "Vara", IFERROR(_xlfn.SINGLE(_xlfn.XLOOKUP(G1166, Vöruskrá!A:A, Vöruskrá!J:J, "")) * I1166 / 100, ""), IF(F1166 = "Réttur", IFERROR(_xlfn.SINGLE(_xlfn.XLOOKUP(G1166, Réttabanki!A:A, Réttabanki!AW:AW, "")) * I1166 / 100, ""), "")))</f>
        <v/>
      </c>
      <c r="Q1166" s="26" t="str">
        <f>IF(OR(F1166 = "", G1166 = "", I1166 = ""), "", IF(F1166 = "Vara", IFERROR(_xlfn.SINGLE(_xlfn.XLOOKUP(G1166, Vöruskrá!A:A, Vöruskrá!N:N, "")) * I1166 / 100, ""), IF(F1166 = "Réttur", IFERROR(_xlfn.SINGLE(_xlfn.XLOOKUP(G1166, Réttabanki!A:A, Réttabanki!BB:BB, "")) * I1166 / 100, ""), "")))</f>
        <v/>
      </c>
    </row>
    <row r="1167" spans="2:17">
      <c r="B1167" s="33" t="str">
        <f>IF(A1167&lt;&gt;"",CHOOSE(WEEKDAY(A1167,2),"Mánudagur","Þriðjudagur","Miðvikudagur","Fimmtudagur","Föstudagur","Laugardagur","Sunnudagur"),IF(B1166&lt;&gt;"",B1166,""))</f>
        <v>Fimmtudagur</v>
      </c>
      <c r="C1167" s="33">
        <f>IF(A1167&lt;&gt;"",WEEKNUM(A1167,21),IF(C1166&lt;&gt;"",C1166,""))</f>
        <v>27</v>
      </c>
      <c r="D1167" s="34"/>
      <c r="E1167" s="34"/>
      <c r="F1167" s="34"/>
      <c r="G1167" s="34"/>
      <c r="H1167" s="34"/>
      <c r="I1167" s="35"/>
      <c r="J1167" s="35"/>
      <c r="K1167" s="36"/>
      <c r="L1167" s="26" t="str">
        <f>IF(OR(F1167 = "", G1167 = ""), "", IF(F1167 = "Vara", IFERROR(_xlfn.SINGLE(_xlfn.XLOOKUP(G1167, Vöruskrá!A:A, Vöruskrá!E:E, "")), ""), IF(F1167 = "Réttur", IFERROR(_xlfn.SINGLE(_xlfn.XLOOKUP(G1167, Réttabanki!A:A, Réttabanki!AS:AS, "")), ""), "")))</f>
        <v/>
      </c>
      <c r="M1167" s="26" t="str">
        <f>IF(OR(F1167 = "", G1167 = ""), "", IF(F1167 = "Vara", IFERROR(_xlfn.SINGLE(_xlfn.XLOOKUP(G1167, Vöruskrá!A:A, Vöruskrá!F:F, "")), ""), IF(F1167 = "Réttur", IFERROR(_xlfn.SINGLE(_xlfn.XLOOKUP(G1167, Réttabanki!A:A, Réttabanki!AT:AT, "")), ""), "")))</f>
        <v/>
      </c>
      <c r="N1167" s="26" t="str">
        <f>IF(OR(F1167 = "", G1167 = ""), "", IF(F1167 = "Vara", IFERROR(_xlfn.SINGLE(_xlfn.XLOOKUP(G1167, Vöruskrá!A:A, Vöruskrá!G:G, "")), ""), IF(F1167 = "Réttur", IFERROR(_xlfn.SINGLE(_xlfn.XLOOKUP(G1167, Réttabanki!A:A, Réttabanki!AU:AU, "")), ""), "")))</f>
        <v/>
      </c>
      <c r="O1167" s="26" t="str">
        <f>IF(OR(F1167 = "", G1167 = "", I1167 = ""), "", IF(F1167 = "Vara", IFERROR(_xlfn.SINGLE(_xlfn.XLOOKUP(G1167, Vöruskrá!A:A, Vöruskrá!I:I, "")) * I1167 / 100, ""), IF(F1167 = "Réttur", IFERROR(_xlfn.SINGLE(_xlfn.XLOOKUP(G1167, Réttabanki!A:A, Réttabanki!AV:AV, "")) * I1167 / 100, ""), "")))</f>
        <v/>
      </c>
      <c r="P1167" s="26" t="str">
        <f>IF(OR(F1167 = "", G1167 = "", I1167 = ""), "", IF(F1167 = "Vara", IFERROR(_xlfn.SINGLE(_xlfn.XLOOKUP(G1167, Vöruskrá!A:A, Vöruskrá!J:J, "")) * I1167 / 100, ""), IF(F1167 = "Réttur", IFERROR(_xlfn.SINGLE(_xlfn.XLOOKUP(G1167, Réttabanki!A:A, Réttabanki!AW:AW, "")) * I1167 / 100, ""), "")))</f>
        <v/>
      </c>
      <c r="Q1167" s="26" t="str">
        <f>IF(OR(F1167 = "", G1167 = "", I1167 = ""), "", IF(F1167 = "Vara", IFERROR(_xlfn.SINGLE(_xlfn.XLOOKUP(G1167, Vöruskrá!A:A, Vöruskrá!N:N, "")) * I1167 / 100, ""), IF(F1167 = "Réttur", IFERROR(_xlfn.SINGLE(_xlfn.XLOOKUP(G1167, Réttabanki!A:A, Réttabanki!BB:BB, "")) * I1167 / 100, ""), "")))</f>
        <v/>
      </c>
    </row>
    <row r="1168" spans="2:17">
      <c r="B1168" s="33" t="str">
        <f>IF(A1168&lt;&gt;"",CHOOSE(WEEKDAY(A1168,2),"Mánudagur","Þriðjudagur","Miðvikudagur","Fimmtudagur","Föstudagur","Laugardagur","Sunnudagur"),IF(B1167&lt;&gt;"",B1167,""))</f>
        <v>Fimmtudagur</v>
      </c>
      <c r="C1168" s="33">
        <f>IF(A1168&lt;&gt;"",WEEKNUM(A1168,21),IF(C1167&lt;&gt;"",C1167,""))</f>
        <v>27</v>
      </c>
      <c r="D1168" s="34"/>
      <c r="E1168" s="34"/>
      <c r="F1168" s="34"/>
      <c r="G1168" s="34"/>
      <c r="H1168" s="34"/>
      <c r="I1168" s="35"/>
      <c r="J1168" s="35"/>
      <c r="K1168" s="36"/>
      <c r="L1168" s="26" t="str">
        <f>IF(OR(F1168 = "", G1168 = ""), "", IF(F1168 = "Vara", IFERROR(_xlfn.SINGLE(_xlfn.XLOOKUP(G1168, Vöruskrá!A:A, Vöruskrá!E:E, "")), ""), IF(F1168 = "Réttur", IFERROR(_xlfn.SINGLE(_xlfn.XLOOKUP(G1168, Réttabanki!A:A, Réttabanki!AS:AS, "")), ""), "")))</f>
        <v/>
      </c>
      <c r="M1168" s="26" t="str">
        <f>IF(OR(F1168 = "", G1168 = ""), "", IF(F1168 = "Vara", IFERROR(_xlfn.SINGLE(_xlfn.XLOOKUP(G1168, Vöruskrá!A:A, Vöruskrá!F:F, "")), ""), IF(F1168 = "Réttur", IFERROR(_xlfn.SINGLE(_xlfn.XLOOKUP(G1168, Réttabanki!A:A, Réttabanki!AT:AT, "")), ""), "")))</f>
        <v/>
      </c>
      <c r="N1168" s="26" t="str">
        <f>IF(OR(F1168 = "", G1168 = ""), "", IF(F1168 = "Vara", IFERROR(_xlfn.SINGLE(_xlfn.XLOOKUP(G1168, Vöruskrá!A:A, Vöruskrá!G:G, "")), ""), IF(F1168 = "Réttur", IFERROR(_xlfn.SINGLE(_xlfn.XLOOKUP(G1168, Réttabanki!A:A, Réttabanki!AU:AU, "")), ""), "")))</f>
        <v/>
      </c>
      <c r="O1168" s="26" t="str">
        <f>IF(OR(F1168 = "", G1168 = "", I1168 = ""), "", IF(F1168 = "Vara", IFERROR(_xlfn.SINGLE(_xlfn.XLOOKUP(G1168, Vöruskrá!A:A, Vöruskrá!I:I, "")) * I1168 / 100, ""), IF(F1168 = "Réttur", IFERROR(_xlfn.SINGLE(_xlfn.XLOOKUP(G1168, Réttabanki!A:A, Réttabanki!AV:AV, "")) * I1168 / 100, ""), "")))</f>
        <v/>
      </c>
      <c r="P1168" s="26" t="str">
        <f>IF(OR(F1168 = "", G1168 = "", I1168 = ""), "", IF(F1168 = "Vara", IFERROR(_xlfn.SINGLE(_xlfn.XLOOKUP(G1168, Vöruskrá!A:A, Vöruskrá!J:J, "")) * I1168 / 100, ""), IF(F1168 = "Réttur", IFERROR(_xlfn.SINGLE(_xlfn.XLOOKUP(G1168, Réttabanki!A:A, Réttabanki!AW:AW, "")) * I1168 / 100, ""), "")))</f>
        <v/>
      </c>
      <c r="Q1168" s="26" t="str">
        <f>IF(OR(F1168 = "", G1168 = "", I1168 = ""), "", IF(F1168 = "Vara", IFERROR(_xlfn.SINGLE(_xlfn.XLOOKUP(G1168, Vöruskrá!A:A, Vöruskrá!N:N, "")) * I1168 / 100, ""), IF(F1168 = "Réttur", IFERROR(_xlfn.SINGLE(_xlfn.XLOOKUP(G1168, Réttabanki!A:A, Réttabanki!BB:BB, "")) * I1168 / 100, ""), "")))</f>
        <v/>
      </c>
    </row>
    <row r="1169" spans="2:17">
      <c r="B1169" s="33" t="str">
        <f>IF(A1169&lt;&gt;"",CHOOSE(WEEKDAY(A1169,2),"Mánudagur","Þriðjudagur","Miðvikudagur","Fimmtudagur","Föstudagur","Laugardagur","Sunnudagur"),IF(B1168&lt;&gt;"",B1168,""))</f>
        <v>Fimmtudagur</v>
      </c>
      <c r="C1169" s="33">
        <f>IF(A1169&lt;&gt;"",WEEKNUM(A1169,21),IF(C1168&lt;&gt;"",C1168,""))</f>
        <v>27</v>
      </c>
      <c r="D1169" s="34"/>
      <c r="E1169" s="34"/>
      <c r="F1169" s="34"/>
      <c r="G1169" s="34"/>
      <c r="H1169" s="34"/>
      <c r="I1169" s="35"/>
      <c r="J1169" s="35"/>
      <c r="K1169" s="36"/>
      <c r="L1169" s="26" t="str">
        <f>IF(OR(F1169 = "", G1169 = ""), "", IF(F1169 = "Vara", IFERROR(_xlfn.SINGLE(_xlfn.XLOOKUP(G1169, Vöruskrá!A:A, Vöruskrá!E:E, "")), ""), IF(F1169 = "Réttur", IFERROR(_xlfn.SINGLE(_xlfn.XLOOKUP(G1169, Réttabanki!A:A, Réttabanki!AS:AS, "")), ""), "")))</f>
        <v/>
      </c>
      <c r="M1169" s="26" t="str">
        <f>IF(OR(F1169 = "", G1169 = ""), "", IF(F1169 = "Vara", IFERROR(_xlfn.SINGLE(_xlfn.XLOOKUP(G1169, Vöruskrá!A:A, Vöruskrá!F:F, "")), ""), IF(F1169 = "Réttur", IFERROR(_xlfn.SINGLE(_xlfn.XLOOKUP(G1169, Réttabanki!A:A, Réttabanki!AT:AT, "")), ""), "")))</f>
        <v/>
      </c>
      <c r="N1169" s="26" t="str">
        <f>IF(OR(F1169 = "", G1169 = ""), "", IF(F1169 = "Vara", IFERROR(_xlfn.SINGLE(_xlfn.XLOOKUP(G1169, Vöruskrá!A:A, Vöruskrá!G:G, "")), ""), IF(F1169 = "Réttur", IFERROR(_xlfn.SINGLE(_xlfn.XLOOKUP(G1169, Réttabanki!A:A, Réttabanki!AU:AU, "")), ""), "")))</f>
        <v/>
      </c>
      <c r="O1169" s="26" t="str">
        <f>IF(OR(F1169 = "", G1169 = "", I1169 = ""), "", IF(F1169 = "Vara", IFERROR(_xlfn.SINGLE(_xlfn.XLOOKUP(G1169, Vöruskrá!A:A, Vöruskrá!I:I, "")) * I1169 / 100, ""), IF(F1169 = "Réttur", IFERROR(_xlfn.SINGLE(_xlfn.XLOOKUP(G1169, Réttabanki!A:A, Réttabanki!AV:AV, "")) * I1169 / 100, ""), "")))</f>
        <v/>
      </c>
      <c r="P1169" s="26" t="str">
        <f>IF(OR(F1169 = "", G1169 = "", I1169 = ""), "", IF(F1169 = "Vara", IFERROR(_xlfn.SINGLE(_xlfn.XLOOKUP(G1169, Vöruskrá!A:A, Vöruskrá!J:J, "")) * I1169 / 100, ""), IF(F1169 = "Réttur", IFERROR(_xlfn.SINGLE(_xlfn.XLOOKUP(G1169, Réttabanki!A:A, Réttabanki!AW:AW, "")) * I1169 / 100, ""), "")))</f>
        <v/>
      </c>
      <c r="Q1169" s="26" t="str">
        <f>IF(OR(F1169 = "", G1169 = "", I1169 = ""), "", IF(F1169 = "Vara", IFERROR(_xlfn.SINGLE(_xlfn.XLOOKUP(G1169, Vöruskrá!A:A, Vöruskrá!N:N, "")) * I1169 / 100, ""), IF(F1169 = "Réttur", IFERROR(_xlfn.SINGLE(_xlfn.XLOOKUP(G1169, Réttabanki!A:A, Réttabanki!BB:BB, "")) * I1169 / 100, ""), "")))</f>
        <v/>
      </c>
    </row>
    <row r="1170" spans="2:17">
      <c r="B1170" s="33" t="str">
        <f>IF(A1170&lt;&gt;"",CHOOSE(WEEKDAY(A1170,2),"Mánudagur","Þriðjudagur","Miðvikudagur","Fimmtudagur","Föstudagur","Laugardagur","Sunnudagur"),IF(B1169&lt;&gt;"",B1169,""))</f>
        <v>Fimmtudagur</v>
      </c>
      <c r="C1170" s="33">
        <f>IF(A1170&lt;&gt;"",WEEKNUM(A1170,21),IF(C1169&lt;&gt;"",C1169,""))</f>
        <v>27</v>
      </c>
      <c r="D1170" s="34"/>
      <c r="E1170" s="34"/>
      <c r="F1170" s="34"/>
      <c r="G1170" s="34"/>
      <c r="H1170" s="34"/>
      <c r="I1170" s="35"/>
      <c r="J1170" s="35"/>
      <c r="K1170" s="36"/>
      <c r="L1170" s="26" t="str">
        <f>IF(OR(F1170 = "", G1170 = ""), "", IF(F1170 = "Vara", IFERROR(_xlfn.SINGLE(_xlfn.XLOOKUP(G1170, Vöruskrá!A:A, Vöruskrá!E:E, "")), ""), IF(F1170 = "Réttur", IFERROR(_xlfn.SINGLE(_xlfn.XLOOKUP(G1170, Réttabanki!A:A, Réttabanki!AS:AS, "")), ""), "")))</f>
        <v/>
      </c>
      <c r="M1170" s="26" t="str">
        <f>IF(OR(F1170 = "", G1170 = ""), "", IF(F1170 = "Vara", IFERROR(_xlfn.SINGLE(_xlfn.XLOOKUP(G1170, Vöruskrá!A:A, Vöruskrá!F:F, "")), ""), IF(F1170 = "Réttur", IFERROR(_xlfn.SINGLE(_xlfn.XLOOKUP(G1170, Réttabanki!A:A, Réttabanki!AT:AT, "")), ""), "")))</f>
        <v/>
      </c>
      <c r="N1170" s="26" t="str">
        <f>IF(OR(F1170 = "", G1170 = ""), "", IF(F1170 = "Vara", IFERROR(_xlfn.SINGLE(_xlfn.XLOOKUP(G1170, Vöruskrá!A:A, Vöruskrá!G:G, "")), ""), IF(F1170 = "Réttur", IFERROR(_xlfn.SINGLE(_xlfn.XLOOKUP(G1170, Réttabanki!A:A, Réttabanki!AU:AU, "")), ""), "")))</f>
        <v/>
      </c>
      <c r="O1170" s="26" t="str">
        <f>IF(OR(F1170 = "", G1170 = "", I1170 = ""), "", IF(F1170 = "Vara", IFERROR(_xlfn.SINGLE(_xlfn.XLOOKUP(G1170, Vöruskrá!A:A, Vöruskrá!I:I, "")) * I1170 / 100, ""), IF(F1170 = "Réttur", IFERROR(_xlfn.SINGLE(_xlfn.XLOOKUP(G1170, Réttabanki!A:A, Réttabanki!AV:AV, "")) * I1170 / 100, ""), "")))</f>
        <v/>
      </c>
      <c r="P1170" s="26" t="str">
        <f>IF(OR(F1170 = "", G1170 = "", I1170 = ""), "", IF(F1170 = "Vara", IFERROR(_xlfn.SINGLE(_xlfn.XLOOKUP(G1170, Vöruskrá!A:A, Vöruskrá!J:J, "")) * I1170 / 100, ""), IF(F1170 = "Réttur", IFERROR(_xlfn.SINGLE(_xlfn.XLOOKUP(G1170, Réttabanki!A:A, Réttabanki!AW:AW, "")) * I1170 / 100, ""), "")))</f>
        <v/>
      </c>
      <c r="Q1170" s="26" t="str">
        <f>IF(OR(F1170 = "", G1170 = "", I1170 = ""), "", IF(F1170 = "Vara", IFERROR(_xlfn.SINGLE(_xlfn.XLOOKUP(G1170, Vöruskrá!A:A, Vöruskrá!N:N, "")) * I1170 / 100, ""), IF(F1170 = "Réttur", IFERROR(_xlfn.SINGLE(_xlfn.XLOOKUP(G1170, Réttabanki!A:A, Réttabanki!BB:BB, "")) * I1170 / 100, ""), "")))</f>
        <v/>
      </c>
    </row>
    <row r="1171" spans="2:17">
      <c r="B1171" s="33" t="str">
        <f>IF(A1171&lt;&gt;"",CHOOSE(WEEKDAY(A1171,2),"Mánudagur","Þriðjudagur","Miðvikudagur","Fimmtudagur","Föstudagur","Laugardagur","Sunnudagur"),IF(B1170&lt;&gt;"",B1170,""))</f>
        <v>Fimmtudagur</v>
      </c>
      <c r="C1171" s="33">
        <f>IF(A1171&lt;&gt;"",WEEKNUM(A1171,21),IF(C1170&lt;&gt;"",C1170,""))</f>
        <v>27</v>
      </c>
      <c r="D1171" s="34"/>
      <c r="E1171" s="34"/>
      <c r="F1171" s="34"/>
      <c r="G1171" s="34"/>
      <c r="H1171" s="34"/>
      <c r="I1171" s="35"/>
      <c r="J1171" s="35"/>
      <c r="K1171" s="36"/>
      <c r="L1171" s="26" t="str">
        <f>IF(OR(F1171 = "", G1171 = ""), "", IF(F1171 = "Vara", IFERROR(_xlfn.SINGLE(_xlfn.XLOOKUP(G1171, Vöruskrá!A:A, Vöruskrá!E:E, "")), ""), IF(F1171 = "Réttur", IFERROR(_xlfn.SINGLE(_xlfn.XLOOKUP(G1171, Réttabanki!A:A, Réttabanki!AS:AS, "")), ""), "")))</f>
        <v/>
      </c>
      <c r="M1171" s="26" t="str">
        <f>IF(OR(F1171 = "", G1171 = ""), "", IF(F1171 = "Vara", IFERROR(_xlfn.SINGLE(_xlfn.XLOOKUP(G1171, Vöruskrá!A:A, Vöruskrá!F:F, "")), ""), IF(F1171 = "Réttur", IFERROR(_xlfn.SINGLE(_xlfn.XLOOKUP(G1171, Réttabanki!A:A, Réttabanki!AT:AT, "")), ""), "")))</f>
        <v/>
      </c>
      <c r="N1171" s="26" t="str">
        <f>IF(OR(F1171 = "", G1171 = ""), "", IF(F1171 = "Vara", IFERROR(_xlfn.SINGLE(_xlfn.XLOOKUP(G1171, Vöruskrá!A:A, Vöruskrá!G:G, "")), ""), IF(F1171 = "Réttur", IFERROR(_xlfn.SINGLE(_xlfn.XLOOKUP(G1171, Réttabanki!A:A, Réttabanki!AU:AU, "")), ""), "")))</f>
        <v/>
      </c>
      <c r="O1171" s="26" t="str">
        <f>IF(OR(F1171 = "", G1171 = "", I1171 = ""), "", IF(F1171 = "Vara", IFERROR(_xlfn.SINGLE(_xlfn.XLOOKUP(G1171, Vöruskrá!A:A, Vöruskrá!I:I, "")) * I1171 / 100, ""), IF(F1171 = "Réttur", IFERROR(_xlfn.SINGLE(_xlfn.XLOOKUP(G1171, Réttabanki!A:A, Réttabanki!AV:AV, "")) * I1171 / 100, ""), "")))</f>
        <v/>
      </c>
      <c r="P1171" s="26" t="str">
        <f>IF(OR(F1171 = "", G1171 = "", I1171 = ""), "", IF(F1171 = "Vara", IFERROR(_xlfn.SINGLE(_xlfn.XLOOKUP(G1171, Vöruskrá!A:A, Vöruskrá!J:J, "")) * I1171 / 100, ""), IF(F1171 = "Réttur", IFERROR(_xlfn.SINGLE(_xlfn.XLOOKUP(G1171, Réttabanki!A:A, Réttabanki!AW:AW, "")) * I1171 / 100, ""), "")))</f>
        <v/>
      </c>
      <c r="Q1171" s="26" t="str">
        <f>IF(OR(F1171 = "", G1171 = "", I1171 = ""), "", IF(F1171 = "Vara", IFERROR(_xlfn.SINGLE(_xlfn.XLOOKUP(G1171, Vöruskrá!A:A, Vöruskrá!N:N, "")) * I1171 / 100, ""), IF(F1171 = "Réttur", IFERROR(_xlfn.SINGLE(_xlfn.XLOOKUP(G1171, Réttabanki!A:A, Réttabanki!BB:BB, "")) * I1171 / 100, ""), "")))</f>
        <v/>
      </c>
    </row>
    <row r="1172" spans="2:17">
      <c r="B1172" s="33" t="str">
        <f>IF(A1172&lt;&gt;"",CHOOSE(WEEKDAY(A1172,2),"Mánudagur","Þriðjudagur","Miðvikudagur","Fimmtudagur","Föstudagur","Laugardagur","Sunnudagur"),IF(B1171&lt;&gt;"",B1171,""))</f>
        <v>Fimmtudagur</v>
      </c>
      <c r="C1172" s="33">
        <f>IF(A1172&lt;&gt;"",WEEKNUM(A1172,21),IF(C1171&lt;&gt;"",C1171,""))</f>
        <v>27</v>
      </c>
      <c r="D1172" s="34"/>
      <c r="E1172" s="34"/>
      <c r="F1172" s="34"/>
      <c r="G1172" s="34"/>
      <c r="H1172" s="34"/>
      <c r="I1172" s="35"/>
      <c r="J1172" s="35"/>
      <c r="K1172" s="36"/>
      <c r="L1172" s="26" t="str">
        <f>IF(OR(F1172 = "", G1172 = ""), "", IF(F1172 = "Vara", IFERROR(_xlfn.SINGLE(_xlfn.XLOOKUP(G1172, Vöruskrá!A:A, Vöruskrá!E:E, "")), ""), IF(F1172 = "Réttur", IFERROR(_xlfn.SINGLE(_xlfn.XLOOKUP(G1172, Réttabanki!A:A, Réttabanki!AS:AS, "")), ""), "")))</f>
        <v/>
      </c>
      <c r="M1172" s="26" t="str">
        <f>IF(OR(F1172 = "", G1172 = ""), "", IF(F1172 = "Vara", IFERROR(_xlfn.SINGLE(_xlfn.XLOOKUP(G1172, Vöruskrá!A:A, Vöruskrá!F:F, "")), ""), IF(F1172 = "Réttur", IFERROR(_xlfn.SINGLE(_xlfn.XLOOKUP(G1172, Réttabanki!A:A, Réttabanki!AT:AT, "")), ""), "")))</f>
        <v/>
      </c>
      <c r="N1172" s="26" t="str">
        <f>IF(OR(F1172 = "", G1172 = ""), "", IF(F1172 = "Vara", IFERROR(_xlfn.SINGLE(_xlfn.XLOOKUP(G1172, Vöruskrá!A:A, Vöruskrá!G:G, "")), ""), IF(F1172 = "Réttur", IFERROR(_xlfn.SINGLE(_xlfn.XLOOKUP(G1172, Réttabanki!A:A, Réttabanki!AU:AU, "")), ""), "")))</f>
        <v/>
      </c>
      <c r="O1172" s="26" t="str">
        <f>IF(OR(F1172 = "", G1172 = "", I1172 = ""), "", IF(F1172 = "Vara", IFERROR(_xlfn.SINGLE(_xlfn.XLOOKUP(G1172, Vöruskrá!A:A, Vöruskrá!I:I, "")) * I1172 / 100, ""), IF(F1172 = "Réttur", IFERROR(_xlfn.SINGLE(_xlfn.XLOOKUP(G1172, Réttabanki!A:A, Réttabanki!AV:AV, "")) * I1172 / 100, ""), "")))</f>
        <v/>
      </c>
      <c r="P1172" s="26" t="str">
        <f>IF(OR(F1172 = "", G1172 = "", I1172 = ""), "", IF(F1172 = "Vara", IFERROR(_xlfn.SINGLE(_xlfn.XLOOKUP(G1172, Vöruskrá!A:A, Vöruskrá!J:J, "")) * I1172 / 100, ""), IF(F1172 = "Réttur", IFERROR(_xlfn.SINGLE(_xlfn.XLOOKUP(G1172, Réttabanki!A:A, Réttabanki!AW:AW, "")) * I1172 / 100, ""), "")))</f>
        <v/>
      </c>
      <c r="Q1172" s="26" t="str">
        <f>IF(OR(F1172 = "", G1172 = "", I1172 = ""), "", IF(F1172 = "Vara", IFERROR(_xlfn.SINGLE(_xlfn.XLOOKUP(G1172, Vöruskrá!A:A, Vöruskrá!N:N, "")) * I1172 / 100, ""), IF(F1172 = "Réttur", IFERROR(_xlfn.SINGLE(_xlfn.XLOOKUP(G1172, Réttabanki!A:A, Réttabanki!BB:BB, "")) * I1172 / 100, ""), "")))</f>
        <v/>
      </c>
    </row>
    <row r="1173" spans="2:17">
      <c r="B1173" s="33" t="str">
        <f>IF(A1173&lt;&gt;"",CHOOSE(WEEKDAY(A1173,2),"Mánudagur","Þriðjudagur","Miðvikudagur","Fimmtudagur","Föstudagur","Laugardagur","Sunnudagur"),IF(B1172&lt;&gt;"",B1172,""))</f>
        <v>Fimmtudagur</v>
      </c>
      <c r="C1173" s="33">
        <f>IF(A1173&lt;&gt;"",WEEKNUM(A1173,21),IF(C1172&lt;&gt;"",C1172,""))</f>
        <v>27</v>
      </c>
      <c r="D1173" s="34"/>
      <c r="E1173" s="34"/>
      <c r="F1173" s="34"/>
      <c r="G1173" s="34"/>
      <c r="H1173" s="34"/>
      <c r="I1173" s="35"/>
      <c r="J1173" s="35"/>
      <c r="K1173" s="36"/>
      <c r="L1173" s="26" t="str">
        <f>IF(OR(F1173 = "", G1173 = ""), "", IF(F1173 = "Vara", IFERROR(_xlfn.SINGLE(_xlfn.XLOOKUP(G1173, Vöruskrá!A:A, Vöruskrá!E:E, "")), ""), IF(F1173 = "Réttur", IFERROR(_xlfn.SINGLE(_xlfn.XLOOKUP(G1173, Réttabanki!A:A, Réttabanki!AS:AS, "")), ""), "")))</f>
        <v/>
      </c>
      <c r="M1173" s="26" t="str">
        <f>IF(OR(F1173 = "", G1173 = ""), "", IF(F1173 = "Vara", IFERROR(_xlfn.SINGLE(_xlfn.XLOOKUP(G1173, Vöruskrá!A:A, Vöruskrá!F:F, "")), ""), IF(F1173 = "Réttur", IFERROR(_xlfn.SINGLE(_xlfn.XLOOKUP(G1173, Réttabanki!A:A, Réttabanki!AT:AT, "")), ""), "")))</f>
        <v/>
      </c>
      <c r="N1173" s="26" t="str">
        <f>IF(OR(F1173 = "", G1173 = ""), "", IF(F1173 = "Vara", IFERROR(_xlfn.SINGLE(_xlfn.XLOOKUP(G1173, Vöruskrá!A:A, Vöruskrá!G:G, "")), ""), IF(F1173 = "Réttur", IFERROR(_xlfn.SINGLE(_xlfn.XLOOKUP(G1173, Réttabanki!A:A, Réttabanki!AU:AU, "")), ""), "")))</f>
        <v/>
      </c>
      <c r="O1173" s="26" t="str">
        <f>IF(OR(F1173 = "", G1173 = "", I1173 = ""), "", IF(F1173 = "Vara", IFERROR(_xlfn.SINGLE(_xlfn.XLOOKUP(G1173, Vöruskrá!A:A, Vöruskrá!I:I, "")) * I1173 / 100, ""), IF(F1173 = "Réttur", IFERROR(_xlfn.SINGLE(_xlfn.XLOOKUP(G1173, Réttabanki!A:A, Réttabanki!AV:AV, "")) * I1173 / 100, ""), "")))</f>
        <v/>
      </c>
      <c r="P1173" s="26" t="str">
        <f>IF(OR(F1173 = "", G1173 = "", I1173 = ""), "", IF(F1173 = "Vara", IFERROR(_xlfn.SINGLE(_xlfn.XLOOKUP(G1173, Vöruskrá!A:A, Vöruskrá!J:J, "")) * I1173 / 100, ""), IF(F1173 = "Réttur", IFERROR(_xlfn.SINGLE(_xlfn.XLOOKUP(G1173, Réttabanki!A:A, Réttabanki!AW:AW, "")) * I1173 / 100, ""), "")))</f>
        <v/>
      </c>
      <c r="Q1173" s="26" t="str">
        <f>IF(OR(F1173 = "", G1173 = "", I1173 = ""), "", IF(F1173 = "Vara", IFERROR(_xlfn.SINGLE(_xlfn.XLOOKUP(G1173, Vöruskrá!A:A, Vöruskrá!N:N, "")) * I1173 / 100, ""), IF(F1173 = "Réttur", IFERROR(_xlfn.SINGLE(_xlfn.XLOOKUP(G1173, Réttabanki!A:A, Réttabanki!BB:BB, "")) * I1173 / 100, ""), "")))</f>
        <v/>
      </c>
    </row>
    <row r="1174" spans="2:17">
      <c r="B1174" s="33" t="str">
        <f>IF(A1174&lt;&gt;"",CHOOSE(WEEKDAY(A1174,2),"Mánudagur","Þriðjudagur","Miðvikudagur","Fimmtudagur","Föstudagur","Laugardagur","Sunnudagur"),IF(B1173&lt;&gt;"",B1173,""))</f>
        <v>Fimmtudagur</v>
      </c>
      <c r="C1174" s="33">
        <f>IF(A1174&lt;&gt;"",WEEKNUM(A1174,21),IF(C1173&lt;&gt;"",C1173,""))</f>
        <v>27</v>
      </c>
      <c r="D1174" s="34"/>
      <c r="E1174" s="34"/>
      <c r="F1174" s="34"/>
      <c r="G1174" s="34"/>
      <c r="H1174" s="34"/>
      <c r="I1174" s="35"/>
      <c r="J1174" s="35"/>
      <c r="K1174" s="36"/>
      <c r="L1174" s="26" t="str">
        <f>IF(OR(F1174 = "", G1174 = ""), "", IF(F1174 = "Vara", IFERROR(_xlfn.SINGLE(_xlfn.XLOOKUP(G1174, Vöruskrá!A:A, Vöruskrá!E:E, "")), ""), IF(F1174 = "Réttur", IFERROR(_xlfn.SINGLE(_xlfn.XLOOKUP(G1174, Réttabanki!A:A, Réttabanki!AS:AS, "")), ""), "")))</f>
        <v/>
      </c>
      <c r="M1174" s="26" t="str">
        <f>IF(OR(F1174 = "", G1174 = ""), "", IF(F1174 = "Vara", IFERROR(_xlfn.SINGLE(_xlfn.XLOOKUP(G1174, Vöruskrá!A:A, Vöruskrá!F:F, "")), ""), IF(F1174 = "Réttur", IFERROR(_xlfn.SINGLE(_xlfn.XLOOKUP(G1174, Réttabanki!A:A, Réttabanki!AT:AT, "")), ""), "")))</f>
        <v/>
      </c>
      <c r="N1174" s="26" t="str">
        <f>IF(OR(F1174 = "", G1174 = ""), "", IF(F1174 = "Vara", IFERROR(_xlfn.SINGLE(_xlfn.XLOOKUP(G1174, Vöruskrá!A:A, Vöruskrá!G:G, "")), ""), IF(F1174 = "Réttur", IFERROR(_xlfn.SINGLE(_xlfn.XLOOKUP(G1174, Réttabanki!A:A, Réttabanki!AU:AU, "")), ""), "")))</f>
        <v/>
      </c>
      <c r="O1174" s="26" t="str">
        <f>IF(OR(F1174 = "", G1174 = "", I1174 = ""), "", IF(F1174 = "Vara", IFERROR(_xlfn.SINGLE(_xlfn.XLOOKUP(G1174, Vöruskrá!A:A, Vöruskrá!I:I, "")) * I1174 / 100, ""), IF(F1174 = "Réttur", IFERROR(_xlfn.SINGLE(_xlfn.XLOOKUP(G1174, Réttabanki!A:A, Réttabanki!AV:AV, "")) * I1174 / 100, ""), "")))</f>
        <v/>
      </c>
      <c r="P1174" s="26" t="str">
        <f>IF(OR(F1174 = "", G1174 = "", I1174 = ""), "", IF(F1174 = "Vara", IFERROR(_xlfn.SINGLE(_xlfn.XLOOKUP(G1174, Vöruskrá!A:A, Vöruskrá!J:J, "")) * I1174 / 100, ""), IF(F1174 = "Réttur", IFERROR(_xlfn.SINGLE(_xlfn.XLOOKUP(G1174, Réttabanki!A:A, Réttabanki!AW:AW, "")) * I1174 / 100, ""), "")))</f>
        <v/>
      </c>
      <c r="Q1174" s="26" t="str">
        <f>IF(OR(F1174 = "", G1174 = "", I1174 = ""), "", IF(F1174 = "Vara", IFERROR(_xlfn.SINGLE(_xlfn.XLOOKUP(G1174, Vöruskrá!A:A, Vöruskrá!N:N, "")) * I1174 / 100, ""), IF(F1174 = "Réttur", IFERROR(_xlfn.SINGLE(_xlfn.XLOOKUP(G1174, Réttabanki!A:A, Réttabanki!BB:BB, "")) * I1174 / 100, ""), "")))</f>
        <v/>
      </c>
    </row>
    <row r="1175" spans="2:17">
      <c r="B1175" s="33" t="str">
        <f>IF(A1175&lt;&gt;"",CHOOSE(WEEKDAY(A1175,2),"Mánudagur","Þriðjudagur","Miðvikudagur","Fimmtudagur","Föstudagur","Laugardagur","Sunnudagur"),IF(B1174&lt;&gt;"",B1174,""))</f>
        <v>Fimmtudagur</v>
      </c>
      <c r="C1175" s="33">
        <f>IF(A1175&lt;&gt;"",WEEKNUM(A1175,21),IF(C1174&lt;&gt;"",C1174,""))</f>
        <v>27</v>
      </c>
      <c r="D1175" s="34"/>
      <c r="E1175" s="34"/>
      <c r="F1175" s="34"/>
      <c r="G1175" s="34"/>
      <c r="H1175" s="34"/>
      <c r="I1175" s="35"/>
      <c r="J1175" s="35"/>
      <c r="K1175" s="36"/>
      <c r="L1175" s="26" t="str">
        <f>IF(OR(F1175 = "", G1175 = ""), "", IF(F1175 = "Vara", IFERROR(_xlfn.SINGLE(_xlfn.XLOOKUP(G1175, Vöruskrá!A:A, Vöruskrá!E:E, "")), ""), IF(F1175 = "Réttur", IFERROR(_xlfn.SINGLE(_xlfn.XLOOKUP(G1175, Réttabanki!A:A, Réttabanki!AS:AS, "")), ""), "")))</f>
        <v/>
      </c>
      <c r="M1175" s="26" t="str">
        <f>IF(OR(F1175 = "", G1175 = ""), "", IF(F1175 = "Vara", IFERROR(_xlfn.SINGLE(_xlfn.XLOOKUP(G1175, Vöruskrá!A:A, Vöruskrá!F:F, "")), ""), IF(F1175 = "Réttur", IFERROR(_xlfn.SINGLE(_xlfn.XLOOKUP(G1175, Réttabanki!A:A, Réttabanki!AT:AT, "")), ""), "")))</f>
        <v/>
      </c>
      <c r="N1175" s="26" t="str">
        <f>IF(OR(F1175 = "", G1175 = ""), "", IF(F1175 = "Vara", IFERROR(_xlfn.SINGLE(_xlfn.XLOOKUP(G1175, Vöruskrá!A:A, Vöruskrá!G:G, "")), ""), IF(F1175 = "Réttur", IFERROR(_xlfn.SINGLE(_xlfn.XLOOKUP(G1175, Réttabanki!A:A, Réttabanki!AU:AU, "")), ""), "")))</f>
        <v/>
      </c>
      <c r="O1175" s="26" t="str">
        <f>IF(OR(F1175 = "", G1175 = "", I1175 = ""), "", IF(F1175 = "Vara", IFERROR(_xlfn.SINGLE(_xlfn.XLOOKUP(G1175, Vöruskrá!A:A, Vöruskrá!I:I, "")) * I1175 / 100, ""), IF(F1175 = "Réttur", IFERROR(_xlfn.SINGLE(_xlfn.XLOOKUP(G1175, Réttabanki!A:A, Réttabanki!AV:AV, "")) * I1175 / 100, ""), "")))</f>
        <v/>
      </c>
      <c r="P1175" s="26" t="str">
        <f>IF(OR(F1175 = "", G1175 = "", I1175 = ""), "", IF(F1175 = "Vara", IFERROR(_xlfn.SINGLE(_xlfn.XLOOKUP(G1175, Vöruskrá!A:A, Vöruskrá!J:J, "")) * I1175 / 100, ""), IF(F1175 = "Réttur", IFERROR(_xlfn.SINGLE(_xlfn.XLOOKUP(G1175, Réttabanki!A:A, Réttabanki!AW:AW, "")) * I1175 / 100, ""), "")))</f>
        <v/>
      </c>
      <c r="Q1175" s="26" t="str">
        <f>IF(OR(F1175 = "", G1175 = "", I1175 = ""), "", IF(F1175 = "Vara", IFERROR(_xlfn.SINGLE(_xlfn.XLOOKUP(G1175, Vöruskrá!A:A, Vöruskrá!N:N, "")) * I1175 / 100, ""), IF(F1175 = "Réttur", IFERROR(_xlfn.SINGLE(_xlfn.XLOOKUP(G1175, Réttabanki!A:A, Réttabanki!BB:BB, "")) * I1175 / 100, ""), "")))</f>
        <v/>
      </c>
    </row>
    <row r="1176" spans="2:17">
      <c r="B1176" s="33" t="str">
        <f>IF(A1176&lt;&gt;"",CHOOSE(WEEKDAY(A1176,2),"Mánudagur","Þriðjudagur","Miðvikudagur","Fimmtudagur","Föstudagur","Laugardagur","Sunnudagur"),IF(B1175&lt;&gt;"",B1175,""))</f>
        <v>Fimmtudagur</v>
      </c>
      <c r="C1176" s="33">
        <f>IF(A1176&lt;&gt;"",WEEKNUM(A1176,21),IF(C1175&lt;&gt;"",C1175,""))</f>
        <v>27</v>
      </c>
      <c r="D1176" s="34"/>
      <c r="E1176" s="34"/>
      <c r="F1176" s="34"/>
      <c r="G1176" s="34"/>
      <c r="H1176" s="34"/>
      <c r="I1176" s="35"/>
      <c r="J1176" s="35"/>
      <c r="K1176" s="36"/>
      <c r="L1176" s="26" t="str">
        <f>IF(OR(F1176 = "", G1176 = ""), "", IF(F1176 = "Vara", IFERROR(_xlfn.SINGLE(_xlfn.XLOOKUP(G1176, Vöruskrá!A:A, Vöruskrá!E:E, "")), ""), IF(F1176 = "Réttur", IFERROR(_xlfn.SINGLE(_xlfn.XLOOKUP(G1176, Réttabanki!A:A, Réttabanki!AS:AS, "")), ""), "")))</f>
        <v/>
      </c>
      <c r="M1176" s="26" t="str">
        <f>IF(OR(F1176 = "", G1176 = ""), "", IF(F1176 = "Vara", IFERROR(_xlfn.SINGLE(_xlfn.XLOOKUP(G1176, Vöruskrá!A:A, Vöruskrá!F:F, "")), ""), IF(F1176 = "Réttur", IFERROR(_xlfn.SINGLE(_xlfn.XLOOKUP(G1176, Réttabanki!A:A, Réttabanki!AT:AT, "")), ""), "")))</f>
        <v/>
      </c>
      <c r="N1176" s="26" t="str">
        <f>IF(OR(F1176 = "", G1176 = ""), "", IF(F1176 = "Vara", IFERROR(_xlfn.SINGLE(_xlfn.XLOOKUP(G1176, Vöruskrá!A:A, Vöruskrá!G:G, "")), ""), IF(F1176 = "Réttur", IFERROR(_xlfn.SINGLE(_xlfn.XLOOKUP(G1176, Réttabanki!A:A, Réttabanki!AU:AU, "")), ""), "")))</f>
        <v/>
      </c>
      <c r="O1176" s="26" t="str">
        <f>IF(OR(F1176 = "", G1176 = "", I1176 = ""), "", IF(F1176 = "Vara", IFERROR(_xlfn.SINGLE(_xlfn.XLOOKUP(G1176, Vöruskrá!A:A, Vöruskrá!I:I, "")) * I1176 / 100, ""), IF(F1176 = "Réttur", IFERROR(_xlfn.SINGLE(_xlfn.XLOOKUP(G1176, Réttabanki!A:A, Réttabanki!AV:AV, "")) * I1176 / 100, ""), "")))</f>
        <v/>
      </c>
      <c r="P1176" s="26" t="str">
        <f>IF(OR(F1176 = "", G1176 = "", I1176 = ""), "", IF(F1176 = "Vara", IFERROR(_xlfn.SINGLE(_xlfn.XLOOKUP(G1176, Vöruskrá!A:A, Vöruskrá!J:J, "")) * I1176 / 100, ""), IF(F1176 = "Réttur", IFERROR(_xlfn.SINGLE(_xlfn.XLOOKUP(G1176, Réttabanki!A:A, Réttabanki!AW:AW, "")) * I1176 / 100, ""), "")))</f>
        <v/>
      </c>
      <c r="Q1176" s="26" t="str">
        <f>IF(OR(F1176 = "", G1176 = "", I1176 = ""), "", IF(F1176 = "Vara", IFERROR(_xlfn.SINGLE(_xlfn.XLOOKUP(G1176, Vöruskrá!A:A, Vöruskrá!N:N, "")) * I1176 / 100, ""), IF(F1176 = "Réttur", IFERROR(_xlfn.SINGLE(_xlfn.XLOOKUP(G1176, Réttabanki!A:A, Réttabanki!BB:BB, "")) * I1176 / 100, ""), "")))</f>
        <v/>
      </c>
    </row>
    <row r="1177" spans="2:17">
      <c r="B1177" s="33" t="str">
        <f>IF(A1177&lt;&gt;"",CHOOSE(WEEKDAY(A1177,2),"Mánudagur","Þriðjudagur","Miðvikudagur","Fimmtudagur","Föstudagur","Laugardagur","Sunnudagur"),IF(B1176&lt;&gt;"",B1176,""))</f>
        <v>Fimmtudagur</v>
      </c>
      <c r="C1177" s="33">
        <f>IF(A1177&lt;&gt;"",WEEKNUM(A1177,21),IF(C1176&lt;&gt;"",C1176,""))</f>
        <v>27</v>
      </c>
      <c r="D1177" s="34"/>
      <c r="E1177" s="34"/>
      <c r="F1177" s="34"/>
      <c r="G1177" s="34"/>
      <c r="H1177" s="34"/>
      <c r="I1177" s="35"/>
      <c r="J1177" s="35"/>
      <c r="K1177" s="36"/>
      <c r="L1177" s="26" t="str">
        <f>IF(OR(F1177 = "", G1177 = ""), "", IF(F1177 = "Vara", IFERROR(_xlfn.SINGLE(_xlfn.XLOOKUP(G1177, Vöruskrá!A:A, Vöruskrá!E:E, "")), ""), IF(F1177 = "Réttur", IFERROR(_xlfn.SINGLE(_xlfn.XLOOKUP(G1177, Réttabanki!A:A, Réttabanki!AS:AS, "")), ""), "")))</f>
        <v/>
      </c>
      <c r="M1177" s="26" t="str">
        <f>IF(OR(F1177 = "", G1177 = ""), "", IF(F1177 = "Vara", IFERROR(_xlfn.SINGLE(_xlfn.XLOOKUP(G1177, Vöruskrá!A:A, Vöruskrá!F:F, "")), ""), IF(F1177 = "Réttur", IFERROR(_xlfn.SINGLE(_xlfn.XLOOKUP(G1177, Réttabanki!A:A, Réttabanki!AT:AT, "")), ""), "")))</f>
        <v/>
      </c>
      <c r="N1177" s="26" t="str">
        <f>IF(OR(F1177 = "", G1177 = ""), "", IF(F1177 = "Vara", IFERROR(_xlfn.SINGLE(_xlfn.XLOOKUP(G1177, Vöruskrá!A:A, Vöruskrá!G:G, "")), ""), IF(F1177 = "Réttur", IFERROR(_xlfn.SINGLE(_xlfn.XLOOKUP(G1177, Réttabanki!A:A, Réttabanki!AU:AU, "")), ""), "")))</f>
        <v/>
      </c>
      <c r="O1177" s="26" t="str">
        <f>IF(OR(F1177 = "", G1177 = "", I1177 = ""), "", IF(F1177 = "Vara", IFERROR(_xlfn.SINGLE(_xlfn.XLOOKUP(G1177, Vöruskrá!A:A, Vöruskrá!I:I, "")) * I1177 / 100, ""), IF(F1177 = "Réttur", IFERROR(_xlfn.SINGLE(_xlfn.XLOOKUP(G1177, Réttabanki!A:A, Réttabanki!AV:AV, "")) * I1177 / 100, ""), "")))</f>
        <v/>
      </c>
      <c r="P1177" s="26" t="str">
        <f>IF(OR(F1177 = "", G1177 = "", I1177 = ""), "", IF(F1177 = "Vara", IFERROR(_xlfn.SINGLE(_xlfn.XLOOKUP(G1177, Vöruskrá!A:A, Vöruskrá!J:J, "")) * I1177 / 100, ""), IF(F1177 = "Réttur", IFERROR(_xlfn.SINGLE(_xlfn.XLOOKUP(G1177, Réttabanki!A:A, Réttabanki!AW:AW, "")) * I1177 / 100, ""), "")))</f>
        <v/>
      </c>
      <c r="Q1177" s="26" t="str">
        <f>IF(OR(F1177 = "", G1177 = "", I1177 = ""), "", IF(F1177 = "Vara", IFERROR(_xlfn.SINGLE(_xlfn.XLOOKUP(G1177, Vöruskrá!A:A, Vöruskrá!N:N, "")) * I1177 / 100, ""), IF(F1177 = "Réttur", IFERROR(_xlfn.SINGLE(_xlfn.XLOOKUP(G1177, Réttabanki!A:A, Réttabanki!BB:BB, "")) * I1177 / 100, ""), "")))</f>
        <v/>
      </c>
    </row>
    <row r="1178" spans="2:17">
      <c r="B1178" s="33" t="str">
        <f>IF(A1178&lt;&gt;"",CHOOSE(WEEKDAY(A1178,2),"Mánudagur","Þriðjudagur","Miðvikudagur","Fimmtudagur","Föstudagur","Laugardagur","Sunnudagur"),IF(B1177&lt;&gt;"",B1177,""))</f>
        <v>Fimmtudagur</v>
      </c>
      <c r="C1178" s="33">
        <f>IF(A1178&lt;&gt;"",WEEKNUM(A1178,21),IF(C1177&lt;&gt;"",C1177,""))</f>
        <v>27</v>
      </c>
      <c r="D1178" s="34"/>
      <c r="E1178" s="34"/>
      <c r="F1178" s="34"/>
      <c r="G1178" s="34"/>
      <c r="H1178" s="34"/>
      <c r="I1178" s="35"/>
      <c r="J1178" s="35"/>
      <c r="K1178" s="36"/>
      <c r="L1178" s="26" t="str">
        <f>IF(OR(F1178 = "", G1178 = ""), "", IF(F1178 = "Vara", IFERROR(_xlfn.SINGLE(_xlfn.XLOOKUP(G1178, Vöruskrá!A:A, Vöruskrá!E:E, "")), ""), IF(F1178 = "Réttur", IFERROR(_xlfn.SINGLE(_xlfn.XLOOKUP(G1178, Réttabanki!A:A, Réttabanki!AS:AS, "")), ""), "")))</f>
        <v/>
      </c>
      <c r="M1178" s="26" t="str">
        <f>IF(OR(F1178 = "", G1178 = ""), "", IF(F1178 = "Vara", IFERROR(_xlfn.SINGLE(_xlfn.XLOOKUP(G1178, Vöruskrá!A:A, Vöruskrá!F:F, "")), ""), IF(F1178 = "Réttur", IFERROR(_xlfn.SINGLE(_xlfn.XLOOKUP(G1178, Réttabanki!A:A, Réttabanki!AT:AT, "")), ""), "")))</f>
        <v/>
      </c>
      <c r="N1178" s="26" t="str">
        <f>IF(OR(F1178 = "", G1178 = ""), "", IF(F1178 = "Vara", IFERROR(_xlfn.SINGLE(_xlfn.XLOOKUP(G1178, Vöruskrá!A:A, Vöruskrá!G:G, "")), ""), IF(F1178 = "Réttur", IFERROR(_xlfn.SINGLE(_xlfn.XLOOKUP(G1178, Réttabanki!A:A, Réttabanki!AU:AU, "")), ""), "")))</f>
        <v/>
      </c>
      <c r="O1178" s="26" t="str">
        <f>IF(OR(F1178 = "", G1178 = "", I1178 = ""), "", IF(F1178 = "Vara", IFERROR(_xlfn.SINGLE(_xlfn.XLOOKUP(G1178, Vöruskrá!A:A, Vöruskrá!I:I, "")) * I1178 / 100, ""), IF(F1178 = "Réttur", IFERROR(_xlfn.SINGLE(_xlfn.XLOOKUP(G1178, Réttabanki!A:A, Réttabanki!AV:AV, "")) * I1178 / 100, ""), "")))</f>
        <v/>
      </c>
      <c r="P1178" s="26" t="str">
        <f>IF(OR(F1178 = "", G1178 = "", I1178 = ""), "", IF(F1178 = "Vara", IFERROR(_xlfn.SINGLE(_xlfn.XLOOKUP(G1178, Vöruskrá!A:A, Vöruskrá!J:J, "")) * I1178 / 100, ""), IF(F1178 = "Réttur", IFERROR(_xlfn.SINGLE(_xlfn.XLOOKUP(G1178, Réttabanki!A:A, Réttabanki!AW:AW, "")) * I1178 / 100, ""), "")))</f>
        <v/>
      </c>
      <c r="Q1178" s="26" t="str">
        <f>IF(OR(F1178 = "", G1178 = "", I1178 = ""), "", IF(F1178 = "Vara", IFERROR(_xlfn.SINGLE(_xlfn.XLOOKUP(G1178, Vöruskrá!A:A, Vöruskrá!N:N, "")) * I1178 / 100, ""), IF(F1178 = "Réttur", IFERROR(_xlfn.SINGLE(_xlfn.XLOOKUP(G1178, Réttabanki!A:A, Réttabanki!BB:BB, "")) * I1178 / 100, ""), "")))</f>
        <v/>
      </c>
    </row>
    <row r="1179" spans="2:17">
      <c r="B1179" s="33" t="str">
        <f>IF(A1179&lt;&gt;"",CHOOSE(WEEKDAY(A1179,2),"Mánudagur","Þriðjudagur","Miðvikudagur","Fimmtudagur","Föstudagur","Laugardagur","Sunnudagur"),IF(B1178&lt;&gt;"",B1178,""))</f>
        <v>Fimmtudagur</v>
      </c>
      <c r="C1179" s="33">
        <f>IF(A1179&lt;&gt;"",WEEKNUM(A1179,21),IF(C1178&lt;&gt;"",C1178,""))</f>
        <v>27</v>
      </c>
      <c r="D1179" s="34"/>
      <c r="E1179" s="34"/>
      <c r="F1179" s="34"/>
      <c r="G1179" s="34"/>
      <c r="H1179" s="34"/>
      <c r="I1179" s="35"/>
      <c r="J1179" s="35"/>
      <c r="K1179" s="36"/>
      <c r="L1179" s="26" t="str">
        <f>IF(OR(F1179 = "", G1179 = ""), "", IF(F1179 = "Vara", IFERROR(_xlfn.SINGLE(_xlfn.XLOOKUP(G1179, Vöruskrá!A:A, Vöruskrá!E:E, "")), ""), IF(F1179 = "Réttur", IFERROR(_xlfn.SINGLE(_xlfn.XLOOKUP(G1179, Réttabanki!A:A, Réttabanki!AS:AS, "")), ""), "")))</f>
        <v/>
      </c>
      <c r="M1179" s="26" t="str">
        <f>IF(OR(F1179 = "", G1179 = ""), "", IF(F1179 = "Vara", IFERROR(_xlfn.SINGLE(_xlfn.XLOOKUP(G1179, Vöruskrá!A:A, Vöruskrá!F:F, "")), ""), IF(F1179 = "Réttur", IFERROR(_xlfn.SINGLE(_xlfn.XLOOKUP(G1179, Réttabanki!A:A, Réttabanki!AT:AT, "")), ""), "")))</f>
        <v/>
      </c>
      <c r="N1179" s="26" t="str">
        <f>IF(OR(F1179 = "", G1179 = ""), "", IF(F1179 = "Vara", IFERROR(_xlfn.SINGLE(_xlfn.XLOOKUP(G1179, Vöruskrá!A:A, Vöruskrá!G:G, "")), ""), IF(F1179 = "Réttur", IFERROR(_xlfn.SINGLE(_xlfn.XLOOKUP(G1179, Réttabanki!A:A, Réttabanki!AU:AU, "")), ""), "")))</f>
        <v/>
      </c>
      <c r="O1179" s="26" t="str">
        <f>IF(OR(F1179 = "", G1179 = "", I1179 = ""), "", IF(F1179 = "Vara", IFERROR(_xlfn.SINGLE(_xlfn.XLOOKUP(G1179, Vöruskrá!A:A, Vöruskrá!I:I, "")) * I1179 / 100, ""), IF(F1179 = "Réttur", IFERROR(_xlfn.SINGLE(_xlfn.XLOOKUP(G1179, Réttabanki!A:A, Réttabanki!AV:AV, "")) * I1179 / 100, ""), "")))</f>
        <v/>
      </c>
      <c r="P1179" s="26" t="str">
        <f>IF(OR(F1179 = "", G1179 = "", I1179 = ""), "", IF(F1179 = "Vara", IFERROR(_xlfn.SINGLE(_xlfn.XLOOKUP(G1179, Vöruskrá!A:A, Vöruskrá!J:J, "")) * I1179 / 100, ""), IF(F1179 = "Réttur", IFERROR(_xlfn.SINGLE(_xlfn.XLOOKUP(G1179, Réttabanki!A:A, Réttabanki!AW:AW, "")) * I1179 / 100, ""), "")))</f>
        <v/>
      </c>
      <c r="Q1179" s="26" t="str">
        <f>IF(OR(F1179 = "", G1179 = "", I1179 = ""), "", IF(F1179 = "Vara", IFERROR(_xlfn.SINGLE(_xlfn.XLOOKUP(G1179, Vöruskrá!A:A, Vöruskrá!N:N, "")) * I1179 / 100, ""), IF(F1179 = "Réttur", IFERROR(_xlfn.SINGLE(_xlfn.XLOOKUP(G1179, Réttabanki!A:A, Réttabanki!BB:BB, "")) * I1179 / 100, ""), "")))</f>
        <v/>
      </c>
    </row>
    <row r="1180" spans="2:17">
      <c r="B1180" s="33" t="str">
        <f>IF(A1180&lt;&gt;"",CHOOSE(WEEKDAY(A1180,2),"Mánudagur","Þriðjudagur","Miðvikudagur","Fimmtudagur","Föstudagur","Laugardagur","Sunnudagur"),IF(B1179&lt;&gt;"",B1179,""))</f>
        <v>Fimmtudagur</v>
      </c>
      <c r="C1180" s="33">
        <f>IF(A1180&lt;&gt;"",WEEKNUM(A1180,21),IF(C1179&lt;&gt;"",C1179,""))</f>
        <v>27</v>
      </c>
      <c r="D1180" s="34"/>
      <c r="E1180" s="34"/>
      <c r="F1180" s="34"/>
      <c r="G1180" s="34"/>
      <c r="H1180" s="34"/>
      <c r="I1180" s="35"/>
      <c r="J1180" s="35"/>
      <c r="K1180" s="36"/>
      <c r="L1180" s="26" t="str">
        <f>IF(OR(F1180 = "", G1180 = ""), "", IF(F1180 = "Vara", IFERROR(_xlfn.SINGLE(_xlfn.XLOOKUP(G1180, Vöruskrá!A:A, Vöruskrá!E:E, "")), ""), IF(F1180 = "Réttur", IFERROR(_xlfn.SINGLE(_xlfn.XLOOKUP(G1180, Réttabanki!A:A, Réttabanki!AS:AS, "")), ""), "")))</f>
        <v/>
      </c>
      <c r="M1180" s="26" t="str">
        <f>IF(OR(F1180 = "", G1180 = ""), "", IF(F1180 = "Vara", IFERROR(_xlfn.SINGLE(_xlfn.XLOOKUP(G1180, Vöruskrá!A:A, Vöruskrá!F:F, "")), ""), IF(F1180 = "Réttur", IFERROR(_xlfn.SINGLE(_xlfn.XLOOKUP(G1180, Réttabanki!A:A, Réttabanki!AT:AT, "")), ""), "")))</f>
        <v/>
      </c>
      <c r="N1180" s="26" t="str">
        <f>IF(OR(F1180 = "", G1180 = ""), "", IF(F1180 = "Vara", IFERROR(_xlfn.SINGLE(_xlfn.XLOOKUP(G1180, Vöruskrá!A:A, Vöruskrá!G:G, "")), ""), IF(F1180 = "Réttur", IFERROR(_xlfn.SINGLE(_xlfn.XLOOKUP(G1180, Réttabanki!A:A, Réttabanki!AU:AU, "")), ""), "")))</f>
        <v/>
      </c>
      <c r="O1180" s="26" t="str">
        <f>IF(OR(F1180 = "", G1180 = "", I1180 = ""), "", IF(F1180 = "Vara", IFERROR(_xlfn.SINGLE(_xlfn.XLOOKUP(G1180, Vöruskrá!A:A, Vöruskrá!I:I, "")) * I1180 / 100, ""), IF(F1180 = "Réttur", IFERROR(_xlfn.SINGLE(_xlfn.XLOOKUP(G1180, Réttabanki!A:A, Réttabanki!AV:AV, "")) * I1180 / 100, ""), "")))</f>
        <v/>
      </c>
      <c r="P1180" s="26" t="str">
        <f>IF(OR(F1180 = "", G1180 = "", I1180 = ""), "", IF(F1180 = "Vara", IFERROR(_xlfn.SINGLE(_xlfn.XLOOKUP(G1180, Vöruskrá!A:A, Vöruskrá!J:J, "")) * I1180 / 100, ""), IF(F1180 = "Réttur", IFERROR(_xlfn.SINGLE(_xlfn.XLOOKUP(G1180, Réttabanki!A:A, Réttabanki!AW:AW, "")) * I1180 / 100, ""), "")))</f>
        <v/>
      </c>
      <c r="Q1180" s="26" t="str">
        <f>IF(OR(F1180 = "", G1180 = "", I1180 = ""), "", IF(F1180 = "Vara", IFERROR(_xlfn.SINGLE(_xlfn.XLOOKUP(G1180, Vöruskrá!A:A, Vöruskrá!N:N, "")) * I1180 / 100, ""), IF(F1180 = "Réttur", IFERROR(_xlfn.SINGLE(_xlfn.XLOOKUP(G1180, Réttabanki!A:A, Réttabanki!BB:BB, "")) * I1180 / 100, ""), "")))</f>
        <v/>
      </c>
    </row>
    <row r="1181" spans="2:17">
      <c r="B1181" s="33" t="str">
        <f>IF(A1181&lt;&gt;"",CHOOSE(WEEKDAY(A1181,2),"Mánudagur","Þriðjudagur","Miðvikudagur","Fimmtudagur","Föstudagur","Laugardagur","Sunnudagur"),IF(B1180&lt;&gt;"",B1180,""))</f>
        <v>Fimmtudagur</v>
      </c>
      <c r="C1181" s="33">
        <f>IF(A1181&lt;&gt;"",WEEKNUM(A1181,21),IF(C1180&lt;&gt;"",C1180,""))</f>
        <v>27</v>
      </c>
      <c r="D1181" s="34"/>
      <c r="E1181" s="34"/>
      <c r="F1181" s="34"/>
      <c r="G1181" s="34"/>
      <c r="H1181" s="34"/>
      <c r="I1181" s="35"/>
      <c r="J1181" s="35"/>
      <c r="K1181" s="36"/>
      <c r="L1181" s="26" t="str">
        <f>IF(OR(F1181 = "", G1181 = ""), "", IF(F1181 = "Vara", IFERROR(_xlfn.SINGLE(_xlfn.XLOOKUP(G1181, Vöruskrá!A:A, Vöruskrá!E:E, "")), ""), IF(F1181 = "Réttur", IFERROR(_xlfn.SINGLE(_xlfn.XLOOKUP(G1181, Réttabanki!A:A, Réttabanki!AS:AS, "")), ""), "")))</f>
        <v/>
      </c>
      <c r="M1181" s="26" t="str">
        <f>IF(OR(F1181 = "", G1181 = ""), "", IF(F1181 = "Vara", IFERROR(_xlfn.SINGLE(_xlfn.XLOOKUP(G1181, Vöruskrá!A:A, Vöruskrá!F:F, "")), ""), IF(F1181 = "Réttur", IFERROR(_xlfn.SINGLE(_xlfn.XLOOKUP(G1181, Réttabanki!A:A, Réttabanki!AT:AT, "")), ""), "")))</f>
        <v/>
      </c>
      <c r="N1181" s="26" t="str">
        <f>IF(OR(F1181 = "", G1181 = ""), "", IF(F1181 = "Vara", IFERROR(_xlfn.SINGLE(_xlfn.XLOOKUP(G1181, Vöruskrá!A:A, Vöruskrá!G:G, "")), ""), IF(F1181 = "Réttur", IFERROR(_xlfn.SINGLE(_xlfn.XLOOKUP(G1181, Réttabanki!A:A, Réttabanki!AU:AU, "")), ""), "")))</f>
        <v/>
      </c>
      <c r="O1181" s="26" t="str">
        <f>IF(OR(F1181 = "", G1181 = "", I1181 = ""), "", IF(F1181 = "Vara", IFERROR(_xlfn.SINGLE(_xlfn.XLOOKUP(G1181, Vöruskrá!A:A, Vöruskrá!I:I, "")) * I1181 / 100, ""), IF(F1181 = "Réttur", IFERROR(_xlfn.SINGLE(_xlfn.XLOOKUP(G1181, Réttabanki!A:A, Réttabanki!AV:AV, "")) * I1181 / 100, ""), "")))</f>
        <v/>
      </c>
      <c r="P1181" s="26" t="str">
        <f>IF(OR(F1181 = "", G1181 = "", I1181 = ""), "", IF(F1181 = "Vara", IFERROR(_xlfn.SINGLE(_xlfn.XLOOKUP(G1181, Vöruskrá!A:A, Vöruskrá!J:J, "")) * I1181 / 100, ""), IF(F1181 = "Réttur", IFERROR(_xlfn.SINGLE(_xlfn.XLOOKUP(G1181, Réttabanki!A:A, Réttabanki!AW:AW, "")) * I1181 / 100, ""), "")))</f>
        <v/>
      </c>
      <c r="Q1181" s="26" t="str">
        <f>IF(OR(F1181 = "", G1181 = "", I1181 = ""), "", IF(F1181 = "Vara", IFERROR(_xlfn.SINGLE(_xlfn.XLOOKUP(G1181, Vöruskrá!A:A, Vöruskrá!N:N, "")) * I1181 / 100, ""), IF(F1181 = "Réttur", IFERROR(_xlfn.SINGLE(_xlfn.XLOOKUP(G1181, Réttabanki!A:A, Réttabanki!BB:BB, "")) * I1181 / 100, ""), "")))</f>
        <v/>
      </c>
    </row>
    <row r="1182" spans="2:17">
      <c r="B1182" s="33" t="str">
        <f>IF(A1182&lt;&gt;"",CHOOSE(WEEKDAY(A1182,2),"Mánudagur","Þriðjudagur","Miðvikudagur","Fimmtudagur","Föstudagur","Laugardagur","Sunnudagur"),IF(B1181&lt;&gt;"",B1181,""))</f>
        <v>Fimmtudagur</v>
      </c>
      <c r="C1182" s="33">
        <f>IF(A1182&lt;&gt;"",WEEKNUM(A1182,21),IF(C1181&lt;&gt;"",C1181,""))</f>
        <v>27</v>
      </c>
      <c r="D1182" s="34"/>
      <c r="E1182" s="34"/>
      <c r="F1182" s="34"/>
      <c r="G1182" s="34"/>
      <c r="H1182" s="34"/>
      <c r="I1182" s="35"/>
      <c r="J1182" s="35"/>
      <c r="K1182" s="36"/>
      <c r="L1182" s="26" t="str">
        <f>IF(OR(F1182 = "", G1182 = ""), "", IF(F1182 = "Vara", IFERROR(_xlfn.SINGLE(_xlfn.XLOOKUP(G1182, Vöruskrá!A:A, Vöruskrá!E:E, "")), ""), IF(F1182 = "Réttur", IFERROR(_xlfn.SINGLE(_xlfn.XLOOKUP(G1182, Réttabanki!A:A, Réttabanki!AS:AS, "")), ""), "")))</f>
        <v/>
      </c>
      <c r="M1182" s="26" t="str">
        <f>IF(OR(F1182 = "", G1182 = ""), "", IF(F1182 = "Vara", IFERROR(_xlfn.SINGLE(_xlfn.XLOOKUP(G1182, Vöruskrá!A:A, Vöruskrá!F:F, "")), ""), IF(F1182 = "Réttur", IFERROR(_xlfn.SINGLE(_xlfn.XLOOKUP(G1182, Réttabanki!A:A, Réttabanki!AT:AT, "")), ""), "")))</f>
        <v/>
      </c>
      <c r="N1182" s="26" t="str">
        <f>IF(OR(F1182 = "", G1182 = ""), "", IF(F1182 = "Vara", IFERROR(_xlfn.SINGLE(_xlfn.XLOOKUP(G1182, Vöruskrá!A:A, Vöruskrá!G:G, "")), ""), IF(F1182 = "Réttur", IFERROR(_xlfn.SINGLE(_xlfn.XLOOKUP(G1182, Réttabanki!A:A, Réttabanki!AU:AU, "")), ""), "")))</f>
        <v/>
      </c>
      <c r="O1182" s="26" t="str">
        <f>IF(OR(F1182 = "", G1182 = "", I1182 = ""), "", IF(F1182 = "Vara", IFERROR(_xlfn.SINGLE(_xlfn.XLOOKUP(G1182, Vöruskrá!A:A, Vöruskrá!I:I, "")) * I1182 / 100, ""), IF(F1182 = "Réttur", IFERROR(_xlfn.SINGLE(_xlfn.XLOOKUP(G1182, Réttabanki!A:A, Réttabanki!AV:AV, "")) * I1182 / 100, ""), "")))</f>
        <v/>
      </c>
      <c r="P1182" s="26" t="str">
        <f>IF(OR(F1182 = "", G1182 = "", I1182 = ""), "", IF(F1182 = "Vara", IFERROR(_xlfn.SINGLE(_xlfn.XLOOKUP(G1182, Vöruskrá!A:A, Vöruskrá!J:J, "")) * I1182 / 100, ""), IF(F1182 = "Réttur", IFERROR(_xlfn.SINGLE(_xlfn.XLOOKUP(G1182, Réttabanki!A:A, Réttabanki!AW:AW, "")) * I1182 / 100, ""), "")))</f>
        <v/>
      </c>
      <c r="Q1182" s="26" t="str">
        <f>IF(OR(F1182 = "", G1182 = "", I1182 = ""), "", IF(F1182 = "Vara", IFERROR(_xlfn.SINGLE(_xlfn.XLOOKUP(G1182, Vöruskrá!A:A, Vöruskrá!N:N, "")) * I1182 / 100, ""), IF(F1182 = "Réttur", IFERROR(_xlfn.SINGLE(_xlfn.XLOOKUP(G1182, Réttabanki!A:A, Réttabanki!BB:BB, "")) * I1182 / 100, ""), "")))</f>
        <v/>
      </c>
    </row>
    <row r="1183" spans="2:17">
      <c r="B1183" s="33" t="str">
        <f>IF(A1183&lt;&gt;"",CHOOSE(WEEKDAY(A1183,2),"Mánudagur","Þriðjudagur","Miðvikudagur","Fimmtudagur","Föstudagur","Laugardagur","Sunnudagur"),IF(B1182&lt;&gt;"",B1182,""))</f>
        <v>Fimmtudagur</v>
      </c>
      <c r="C1183" s="33">
        <f>IF(A1183&lt;&gt;"",WEEKNUM(A1183,21),IF(C1182&lt;&gt;"",C1182,""))</f>
        <v>27</v>
      </c>
      <c r="D1183" s="34"/>
      <c r="E1183" s="34"/>
      <c r="F1183" s="34"/>
      <c r="G1183" s="34"/>
      <c r="H1183" s="34"/>
      <c r="I1183" s="35"/>
      <c r="J1183" s="35"/>
      <c r="K1183" s="36"/>
      <c r="L1183" s="26" t="str">
        <f>IF(OR(F1183 = "", G1183 = ""), "", IF(F1183 = "Vara", IFERROR(_xlfn.SINGLE(_xlfn.XLOOKUP(G1183, Vöruskrá!A:A, Vöruskrá!E:E, "")), ""), IF(F1183 = "Réttur", IFERROR(_xlfn.SINGLE(_xlfn.XLOOKUP(G1183, Réttabanki!A:A, Réttabanki!AS:AS, "")), ""), "")))</f>
        <v/>
      </c>
      <c r="M1183" s="26" t="str">
        <f>IF(OR(F1183 = "", G1183 = ""), "", IF(F1183 = "Vara", IFERROR(_xlfn.SINGLE(_xlfn.XLOOKUP(G1183, Vöruskrá!A:A, Vöruskrá!F:F, "")), ""), IF(F1183 = "Réttur", IFERROR(_xlfn.SINGLE(_xlfn.XLOOKUP(G1183, Réttabanki!A:A, Réttabanki!AT:AT, "")), ""), "")))</f>
        <v/>
      </c>
      <c r="N1183" s="26" t="str">
        <f>IF(OR(F1183 = "", G1183 = ""), "", IF(F1183 = "Vara", IFERROR(_xlfn.SINGLE(_xlfn.XLOOKUP(G1183, Vöruskrá!A:A, Vöruskrá!G:G, "")), ""), IF(F1183 = "Réttur", IFERROR(_xlfn.SINGLE(_xlfn.XLOOKUP(G1183, Réttabanki!A:A, Réttabanki!AU:AU, "")), ""), "")))</f>
        <v/>
      </c>
      <c r="O1183" s="26" t="str">
        <f>IF(OR(F1183 = "", G1183 = "", I1183 = ""), "", IF(F1183 = "Vara", IFERROR(_xlfn.SINGLE(_xlfn.XLOOKUP(G1183, Vöruskrá!A:A, Vöruskrá!I:I, "")) * I1183 / 100, ""), IF(F1183 = "Réttur", IFERROR(_xlfn.SINGLE(_xlfn.XLOOKUP(G1183, Réttabanki!A:A, Réttabanki!AV:AV, "")) * I1183 / 100, ""), "")))</f>
        <v/>
      </c>
      <c r="P1183" s="26" t="str">
        <f>IF(OR(F1183 = "", G1183 = "", I1183 = ""), "", IF(F1183 = "Vara", IFERROR(_xlfn.SINGLE(_xlfn.XLOOKUP(G1183, Vöruskrá!A:A, Vöruskrá!J:J, "")) * I1183 / 100, ""), IF(F1183 = "Réttur", IFERROR(_xlfn.SINGLE(_xlfn.XLOOKUP(G1183, Réttabanki!A:A, Réttabanki!AW:AW, "")) * I1183 / 100, ""), "")))</f>
        <v/>
      </c>
      <c r="Q1183" s="26" t="str">
        <f>IF(OR(F1183 = "", G1183 = "", I1183 = ""), "", IF(F1183 = "Vara", IFERROR(_xlfn.SINGLE(_xlfn.XLOOKUP(G1183, Vöruskrá!A:A, Vöruskrá!N:N, "")) * I1183 / 100, ""), IF(F1183 = "Réttur", IFERROR(_xlfn.SINGLE(_xlfn.XLOOKUP(G1183, Réttabanki!A:A, Réttabanki!BB:BB, "")) * I1183 / 100, ""), "")))</f>
        <v/>
      </c>
    </row>
    <row r="1184" spans="2:17">
      <c r="B1184" s="33" t="str">
        <f>IF(A1184&lt;&gt;"",CHOOSE(WEEKDAY(A1184,2),"Mánudagur","Þriðjudagur","Miðvikudagur","Fimmtudagur","Föstudagur","Laugardagur","Sunnudagur"),IF(B1183&lt;&gt;"",B1183,""))</f>
        <v>Fimmtudagur</v>
      </c>
      <c r="C1184" s="33">
        <f>IF(A1184&lt;&gt;"",WEEKNUM(A1184,21),IF(C1183&lt;&gt;"",C1183,""))</f>
        <v>27</v>
      </c>
      <c r="D1184" s="34"/>
      <c r="E1184" s="34"/>
      <c r="F1184" s="34"/>
      <c r="G1184" s="34"/>
      <c r="H1184" s="34"/>
      <c r="I1184" s="35"/>
      <c r="J1184" s="35"/>
      <c r="K1184" s="36"/>
      <c r="L1184" s="26" t="str">
        <f>IF(OR(F1184 = "", G1184 = ""), "", IF(F1184 = "Vara", IFERROR(_xlfn.SINGLE(_xlfn.XLOOKUP(G1184, Vöruskrá!A:A, Vöruskrá!E:E, "")), ""), IF(F1184 = "Réttur", IFERROR(_xlfn.SINGLE(_xlfn.XLOOKUP(G1184, Réttabanki!A:A, Réttabanki!AS:AS, "")), ""), "")))</f>
        <v/>
      </c>
      <c r="M1184" s="26" t="str">
        <f>IF(OR(F1184 = "", G1184 = ""), "", IF(F1184 = "Vara", IFERROR(_xlfn.SINGLE(_xlfn.XLOOKUP(G1184, Vöruskrá!A:A, Vöruskrá!F:F, "")), ""), IF(F1184 = "Réttur", IFERROR(_xlfn.SINGLE(_xlfn.XLOOKUP(G1184, Réttabanki!A:A, Réttabanki!AT:AT, "")), ""), "")))</f>
        <v/>
      </c>
      <c r="N1184" s="26" t="str">
        <f>IF(OR(F1184 = "", G1184 = ""), "", IF(F1184 = "Vara", IFERROR(_xlfn.SINGLE(_xlfn.XLOOKUP(G1184, Vöruskrá!A:A, Vöruskrá!G:G, "")), ""), IF(F1184 = "Réttur", IFERROR(_xlfn.SINGLE(_xlfn.XLOOKUP(G1184, Réttabanki!A:A, Réttabanki!AU:AU, "")), ""), "")))</f>
        <v/>
      </c>
      <c r="O1184" s="26" t="str">
        <f>IF(OR(F1184 = "", G1184 = "", I1184 = ""), "", IF(F1184 = "Vara", IFERROR(_xlfn.SINGLE(_xlfn.XLOOKUP(G1184, Vöruskrá!A:A, Vöruskrá!I:I, "")) * I1184 / 100, ""), IF(F1184 = "Réttur", IFERROR(_xlfn.SINGLE(_xlfn.XLOOKUP(G1184, Réttabanki!A:A, Réttabanki!AV:AV, "")) * I1184 / 100, ""), "")))</f>
        <v/>
      </c>
      <c r="P1184" s="26" t="str">
        <f>IF(OR(F1184 = "", G1184 = "", I1184 = ""), "", IF(F1184 = "Vara", IFERROR(_xlfn.SINGLE(_xlfn.XLOOKUP(G1184, Vöruskrá!A:A, Vöruskrá!J:J, "")) * I1184 / 100, ""), IF(F1184 = "Réttur", IFERROR(_xlfn.SINGLE(_xlfn.XLOOKUP(G1184, Réttabanki!A:A, Réttabanki!AW:AW, "")) * I1184 / 100, ""), "")))</f>
        <v/>
      </c>
      <c r="Q1184" s="26" t="str">
        <f>IF(OR(F1184 = "", G1184 = "", I1184 = ""), "", IF(F1184 = "Vara", IFERROR(_xlfn.SINGLE(_xlfn.XLOOKUP(G1184, Vöruskrá!A:A, Vöruskrá!N:N, "")) * I1184 / 100, ""), IF(F1184 = "Réttur", IFERROR(_xlfn.SINGLE(_xlfn.XLOOKUP(G1184, Réttabanki!A:A, Réttabanki!BB:BB, "")) * I1184 / 100, ""), "")))</f>
        <v/>
      </c>
    </row>
    <row r="1185" spans="2:17">
      <c r="B1185" s="33" t="str">
        <f>IF(A1185&lt;&gt;"",CHOOSE(WEEKDAY(A1185,2),"Mánudagur","Þriðjudagur","Miðvikudagur","Fimmtudagur","Föstudagur","Laugardagur","Sunnudagur"),IF(B1184&lt;&gt;"",B1184,""))</f>
        <v>Fimmtudagur</v>
      </c>
      <c r="C1185" s="33">
        <f>IF(A1185&lt;&gt;"",WEEKNUM(A1185,21),IF(C1184&lt;&gt;"",C1184,""))</f>
        <v>27</v>
      </c>
      <c r="D1185" s="34"/>
      <c r="E1185" s="34"/>
      <c r="F1185" s="34"/>
      <c r="G1185" s="34"/>
      <c r="H1185" s="34"/>
      <c r="I1185" s="35"/>
      <c r="J1185" s="35"/>
      <c r="K1185" s="36"/>
      <c r="L1185" s="26" t="str">
        <f>IF(OR(F1185 = "", G1185 = ""), "", IF(F1185 = "Vara", IFERROR(_xlfn.SINGLE(_xlfn.XLOOKUP(G1185, Vöruskrá!A:A, Vöruskrá!E:E, "")), ""), IF(F1185 = "Réttur", IFERROR(_xlfn.SINGLE(_xlfn.XLOOKUP(G1185, Réttabanki!A:A, Réttabanki!AS:AS, "")), ""), "")))</f>
        <v/>
      </c>
      <c r="M1185" s="26" t="str">
        <f>IF(OR(F1185 = "", G1185 = ""), "", IF(F1185 = "Vara", IFERROR(_xlfn.SINGLE(_xlfn.XLOOKUP(G1185, Vöruskrá!A:A, Vöruskrá!F:F, "")), ""), IF(F1185 = "Réttur", IFERROR(_xlfn.SINGLE(_xlfn.XLOOKUP(G1185, Réttabanki!A:A, Réttabanki!AT:AT, "")), ""), "")))</f>
        <v/>
      </c>
      <c r="N1185" s="26" t="str">
        <f>IF(OR(F1185 = "", G1185 = ""), "", IF(F1185 = "Vara", IFERROR(_xlfn.SINGLE(_xlfn.XLOOKUP(G1185, Vöruskrá!A:A, Vöruskrá!G:G, "")), ""), IF(F1185 = "Réttur", IFERROR(_xlfn.SINGLE(_xlfn.XLOOKUP(G1185, Réttabanki!A:A, Réttabanki!AU:AU, "")), ""), "")))</f>
        <v/>
      </c>
      <c r="O1185" s="26" t="str">
        <f>IF(OR(F1185 = "", G1185 = "", I1185 = ""), "", IF(F1185 = "Vara", IFERROR(_xlfn.SINGLE(_xlfn.XLOOKUP(G1185, Vöruskrá!A:A, Vöruskrá!I:I, "")) * I1185 / 100, ""), IF(F1185 = "Réttur", IFERROR(_xlfn.SINGLE(_xlfn.XLOOKUP(G1185, Réttabanki!A:A, Réttabanki!AV:AV, "")) * I1185 / 100, ""), "")))</f>
        <v/>
      </c>
      <c r="P1185" s="26" t="str">
        <f>IF(OR(F1185 = "", G1185 = "", I1185 = ""), "", IF(F1185 = "Vara", IFERROR(_xlfn.SINGLE(_xlfn.XLOOKUP(G1185, Vöruskrá!A:A, Vöruskrá!J:J, "")) * I1185 / 100, ""), IF(F1185 = "Réttur", IFERROR(_xlfn.SINGLE(_xlfn.XLOOKUP(G1185, Réttabanki!A:A, Réttabanki!AW:AW, "")) * I1185 / 100, ""), "")))</f>
        <v/>
      </c>
      <c r="Q1185" s="26" t="str">
        <f>IF(OR(F1185 = "", G1185 = "", I1185 = ""), "", IF(F1185 = "Vara", IFERROR(_xlfn.SINGLE(_xlfn.XLOOKUP(G1185, Vöruskrá!A:A, Vöruskrá!N:N, "")) * I1185 / 100, ""), IF(F1185 = "Réttur", IFERROR(_xlfn.SINGLE(_xlfn.XLOOKUP(G1185, Réttabanki!A:A, Réttabanki!BB:BB, "")) * I1185 / 100, ""), "")))</f>
        <v/>
      </c>
    </row>
    <row r="1186" spans="2:17">
      <c r="B1186" s="33" t="str">
        <f>IF(A1186&lt;&gt;"",CHOOSE(WEEKDAY(A1186,2),"Mánudagur","Þriðjudagur","Miðvikudagur","Fimmtudagur","Föstudagur","Laugardagur","Sunnudagur"),IF(B1185&lt;&gt;"",B1185,""))</f>
        <v>Fimmtudagur</v>
      </c>
      <c r="C1186" s="33">
        <f>IF(A1186&lt;&gt;"",WEEKNUM(A1186,21),IF(C1185&lt;&gt;"",C1185,""))</f>
        <v>27</v>
      </c>
      <c r="D1186" s="34"/>
      <c r="E1186" s="34"/>
      <c r="F1186" s="34"/>
      <c r="G1186" s="34"/>
      <c r="H1186" s="34"/>
      <c r="I1186" s="35"/>
      <c r="J1186" s="35"/>
      <c r="K1186" s="36"/>
      <c r="L1186" s="26" t="str">
        <f>IF(OR(F1186 = "", G1186 = ""), "", IF(F1186 = "Vara", IFERROR(_xlfn.SINGLE(_xlfn.XLOOKUP(G1186, Vöruskrá!A:A, Vöruskrá!E:E, "")), ""), IF(F1186 = "Réttur", IFERROR(_xlfn.SINGLE(_xlfn.XLOOKUP(G1186, Réttabanki!A:A, Réttabanki!AS:AS, "")), ""), "")))</f>
        <v/>
      </c>
      <c r="M1186" s="26" t="str">
        <f>IF(OR(F1186 = "", G1186 = ""), "", IF(F1186 = "Vara", IFERROR(_xlfn.SINGLE(_xlfn.XLOOKUP(G1186, Vöruskrá!A:A, Vöruskrá!F:F, "")), ""), IF(F1186 = "Réttur", IFERROR(_xlfn.SINGLE(_xlfn.XLOOKUP(G1186, Réttabanki!A:A, Réttabanki!AT:AT, "")), ""), "")))</f>
        <v/>
      </c>
      <c r="N1186" s="26" t="str">
        <f>IF(OR(F1186 = "", G1186 = ""), "", IF(F1186 = "Vara", IFERROR(_xlfn.SINGLE(_xlfn.XLOOKUP(G1186, Vöruskrá!A:A, Vöruskrá!G:G, "")), ""), IF(F1186 = "Réttur", IFERROR(_xlfn.SINGLE(_xlfn.XLOOKUP(G1186, Réttabanki!A:A, Réttabanki!AU:AU, "")), ""), "")))</f>
        <v/>
      </c>
      <c r="O1186" s="26" t="str">
        <f>IF(OR(F1186 = "", G1186 = "", I1186 = ""), "", IF(F1186 = "Vara", IFERROR(_xlfn.SINGLE(_xlfn.XLOOKUP(G1186, Vöruskrá!A:A, Vöruskrá!I:I, "")) * I1186 / 100, ""), IF(F1186 = "Réttur", IFERROR(_xlfn.SINGLE(_xlfn.XLOOKUP(G1186, Réttabanki!A:A, Réttabanki!AV:AV, "")) * I1186 / 100, ""), "")))</f>
        <v/>
      </c>
      <c r="P1186" s="26" t="str">
        <f>IF(OR(F1186 = "", G1186 = "", I1186 = ""), "", IF(F1186 = "Vara", IFERROR(_xlfn.SINGLE(_xlfn.XLOOKUP(G1186, Vöruskrá!A:A, Vöruskrá!J:J, "")) * I1186 / 100, ""), IF(F1186 = "Réttur", IFERROR(_xlfn.SINGLE(_xlfn.XLOOKUP(G1186, Réttabanki!A:A, Réttabanki!AW:AW, "")) * I1186 / 100, ""), "")))</f>
        <v/>
      </c>
      <c r="Q1186" s="26" t="str">
        <f>IF(OR(F1186 = "", G1186 = "", I1186 = ""), "", IF(F1186 = "Vara", IFERROR(_xlfn.SINGLE(_xlfn.XLOOKUP(G1186, Vöruskrá!A:A, Vöruskrá!N:N, "")) * I1186 / 100, ""), IF(F1186 = "Réttur", IFERROR(_xlfn.SINGLE(_xlfn.XLOOKUP(G1186, Réttabanki!A:A, Réttabanki!BB:BB, "")) * I1186 / 100, ""), "")))</f>
        <v/>
      </c>
    </row>
    <row r="1187" spans="2:17">
      <c r="B1187" s="33" t="str">
        <f>IF(A1187&lt;&gt;"",CHOOSE(WEEKDAY(A1187,2),"Mánudagur","Þriðjudagur","Miðvikudagur","Fimmtudagur","Föstudagur","Laugardagur","Sunnudagur"),IF(B1186&lt;&gt;"",B1186,""))</f>
        <v>Fimmtudagur</v>
      </c>
      <c r="C1187" s="33">
        <f>IF(A1187&lt;&gt;"",WEEKNUM(A1187,21),IF(C1186&lt;&gt;"",C1186,""))</f>
        <v>27</v>
      </c>
      <c r="D1187" s="34"/>
      <c r="E1187" s="34"/>
      <c r="F1187" s="34"/>
      <c r="G1187" s="34"/>
      <c r="H1187" s="34"/>
      <c r="I1187" s="35"/>
      <c r="J1187" s="35"/>
      <c r="K1187" s="36"/>
      <c r="L1187" s="26" t="str">
        <f>IF(OR(F1187 = "", G1187 = ""), "", IF(F1187 = "Vara", IFERROR(_xlfn.SINGLE(_xlfn.XLOOKUP(G1187, Vöruskrá!A:A, Vöruskrá!E:E, "")), ""), IF(F1187 = "Réttur", IFERROR(_xlfn.SINGLE(_xlfn.XLOOKUP(G1187, Réttabanki!A:A, Réttabanki!AS:AS, "")), ""), "")))</f>
        <v/>
      </c>
      <c r="M1187" s="26" t="str">
        <f>IF(OR(F1187 = "", G1187 = ""), "", IF(F1187 = "Vara", IFERROR(_xlfn.SINGLE(_xlfn.XLOOKUP(G1187, Vöruskrá!A:A, Vöruskrá!F:F, "")), ""), IF(F1187 = "Réttur", IFERROR(_xlfn.SINGLE(_xlfn.XLOOKUP(G1187, Réttabanki!A:A, Réttabanki!AT:AT, "")), ""), "")))</f>
        <v/>
      </c>
      <c r="N1187" s="26" t="str">
        <f>IF(OR(F1187 = "", G1187 = ""), "", IF(F1187 = "Vara", IFERROR(_xlfn.SINGLE(_xlfn.XLOOKUP(G1187, Vöruskrá!A:A, Vöruskrá!G:G, "")), ""), IF(F1187 = "Réttur", IFERROR(_xlfn.SINGLE(_xlfn.XLOOKUP(G1187, Réttabanki!A:A, Réttabanki!AU:AU, "")), ""), "")))</f>
        <v/>
      </c>
      <c r="O1187" s="26" t="str">
        <f>IF(OR(F1187 = "", G1187 = "", I1187 = ""), "", IF(F1187 = "Vara", IFERROR(_xlfn.SINGLE(_xlfn.XLOOKUP(G1187, Vöruskrá!A:A, Vöruskrá!I:I, "")) * I1187 / 100, ""), IF(F1187 = "Réttur", IFERROR(_xlfn.SINGLE(_xlfn.XLOOKUP(G1187, Réttabanki!A:A, Réttabanki!AV:AV, "")) * I1187 / 100, ""), "")))</f>
        <v/>
      </c>
      <c r="P1187" s="26" t="str">
        <f>IF(OR(F1187 = "", G1187 = "", I1187 = ""), "", IF(F1187 = "Vara", IFERROR(_xlfn.SINGLE(_xlfn.XLOOKUP(G1187, Vöruskrá!A:A, Vöruskrá!J:J, "")) * I1187 / 100, ""), IF(F1187 = "Réttur", IFERROR(_xlfn.SINGLE(_xlfn.XLOOKUP(G1187, Réttabanki!A:A, Réttabanki!AW:AW, "")) * I1187 / 100, ""), "")))</f>
        <v/>
      </c>
      <c r="Q1187" s="26" t="str">
        <f>IF(OR(F1187 = "", G1187 = "", I1187 = ""), "", IF(F1187 = "Vara", IFERROR(_xlfn.SINGLE(_xlfn.XLOOKUP(G1187, Vöruskrá!A:A, Vöruskrá!N:N, "")) * I1187 / 100, ""), IF(F1187 = "Réttur", IFERROR(_xlfn.SINGLE(_xlfn.XLOOKUP(G1187, Réttabanki!A:A, Réttabanki!BB:BB, "")) * I1187 / 100, ""), "")))</f>
        <v/>
      </c>
    </row>
    <row r="1188" spans="2:17">
      <c r="B1188" s="33" t="str">
        <f>IF(A1188&lt;&gt;"",CHOOSE(WEEKDAY(A1188,2),"Mánudagur","Þriðjudagur","Miðvikudagur","Fimmtudagur","Föstudagur","Laugardagur","Sunnudagur"),IF(B1187&lt;&gt;"",B1187,""))</f>
        <v>Fimmtudagur</v>
      </c>
      <c r="C1188" s="33">
        <f>IF(A1188&lt;&gt;"",WEEKNUM(A1188,21),IF(C1187&lt;&gt;"",C1187,""))</f>
        <v>27</v>
      </c>
      <c r="D1188" s="34"/>
      <c r="E1188" s="34"/>
      <c r="F1188" s="34"/>
      <c r="G1188" s="34"/>
      <c r="H1188" s="34"/>
      <c r="I1188" s="35"/>
      <c r="J1188" s="35"/>
      <c r="K1188" s="36"/>
      <c r="L1188" s="26" t="str">
        <f>IF(OR(F1188 = "", G1188 = ""), "", IF(F1188 = "Vara", IFERROR(_xlfn.SINGLE(_xlfn.XLOOKUP(G1188, Vöruskrá!A:A, Vöruskrá!E:E, "")), ""), IF(F1188 = "Réttur", IFERROR(_xlfn.SINGLE(_xlfn.XLOOKUP(G1188, Réttabanki!A:A, Réttabanki!AS:AS, "")), ""), "")))</f>
        <v/>
      </c>
      <c r="M1188" s="26" t="str">
        <f>IF(OR(F1188 = "", G1188 = ""), "", IF(F1188 = "Vara", IFERROR(_xlfn.SINGLE(_xlfn.XLOOKUP(G1188, Vöruskrá!A:A, Vöruskrá!F:F, "")), ""), IF(F1188 = "Réttur", IFERROR(_xlfn.SINGLE(_xlfn.XLOOKUP(G1188, Réttabanki!A:A, Réttabanki!AT:AT, "")), ""), "")))</f>
        <v/>
      </c>
      <c r="N1188" s="26" t="str">
        <f>IF(OR(F1188 = "", G1188 = ""), "", IF(F1188 = "Vara", IFERROR(_xlfn.SINGLE(_xlfn.XLOOKUP(G1188, Vöruskrá!A:A, Vöruskrá!G:G, "")), ""), IF(F1188 = "Réttur", IFERROR(_xlfn.SINGLE(_xlfn.XLOOKUP(G1188, Réttabanki!A:A, Réttabanki!AU:AU, "")), ""), "")))</f>
        <v/>
      </c>
      <c r="O1188" s="26" t="str">
        <f>IF(OR(F1188 = "", G1188 = "", I1188 = ""), "", IF(F1188 = "Vara", IFERROR(_xlfn.SINGLE(_xlfn.XLOOKUP(G1188, Vöruskrá!A:A, Vöruskrá!I:I, "")) * I1188 / 100, ""), IF(F1188 = "Réttur", IFERROR(_xlfn.SINGLE(_xlfn.XLOOKUP(G1188, Réttabanki!A:A, Réttabanki!AV:AV, "")) * I1188 / 100, ""), "")))</f>
        <v/>
      </c>
      <c r="P1188" s="26" t="str">
        <f>IF(OR(F1188 = "", G1188 = "", I1188 = ""), "", IF(F1188 = "Vara", IFERROR(_xlfn.SINGLE(_xlfn.XLOOKUP(G1188, Vöruskrá!A:A, Vöruskrá!J:J, "")) * I1188 / 100, ""), IF(F1188 = "Réttur", IFERROR(_xlfn.SINGLE(_xlfn.XLOOKUP(G1188, Réttabanki!A:A, Réttabanki!AW:AW, "")) * I1188 / 100, ""), "")))</f>
        <v/>
      </c>
      <c r="Q1188" s="26" t="str">
        <f>IF(OR(F1188 = "", G1188 = "", I1188 = ""), "", IF(F1188 = "Vara", IFERROR(_xlfn.SINGLE(_xlfn.XLOOKUP(G1188, Vöruskrá!A:A, Vöruskrá!N:N, "")) * I1188 / 100, ""), IF(F1188 = "Réttur", IFERROR(_xlfn.SINGLE(_xlfn.XLOOKUP(G1188, Réttabanki!A:A, Réttabanki!BB:BB, "")) * I1188 / 100, ""), "")))</f>
        <v/>
      </c>
    </row>
    <row r="1189" spans="2:17">
      <c r="B1189" s="33" t="str">
        <f>IF(A1189&lt;&gt;"",CHOOSE(WEEKDAY(A1189,2),"Mánudagur","Þriðjudagur","Miðvikudagur","Fimmtudagur","Föstudagur","Laugardagur","Sunnudagur"),IF(B1188&lt;&gt;"",B1188,""))</f>
        <v>Fimmtudagur</v>
      </c>
      <c r="C1189" s="33">
        <f>IF(A1189&lt;&gt;"",WEEKNUM(A1189,21),IF(C1188&lt;&gt;"",C1188,""))</f>
        <v>27</v>
      </c>
      <c r="D1189" s="34"/>
      <c r="E1189" s="34"/>
      <c r="F1189" s="34"/>
      <c r="G1189" s="34"/>
      <c r="H1189" s="34"/>
      <c r="I1189" s="35"/>
      <c r="J1189" s="35"/>
      <c r="K1189" s="36"/>
      <c r="L1189" s="26" t="str">
        <f>IF(OR(F1189 = "", G1189 = ""), "", IF(F1189 = "Vara", IFERROR(_xlfn.SINGLE(_xlfn.XLOOKUP(G1189, Vöruskrá!A:A, Vöruskrá!E:E, "")), ""), IF(F1189 = "Réttur", IFERROR(_xlfn.SINGLE(_xlfn.XLOOKUP(G1189, Réttabanki!A:A, Réttabanki!AS:AS, "")), ""), "")))</f>
        <v/>
      </c>
      <c r="M1189" s="26" t="str">
        <f>IF(OR(F1189 = "", G1189 = ""), "", IF(F1189 = "Vara", IFERROR(_xlfn.SINGLE(_xlfn.XLOOKUP(G1189, Vöruskrá!A:A, Vöruskrá!F:F, "")), ""), IF(F1189 = "Réttur", IFERROR(_xlfn.SINGLE(_xlfn.XLOOKUP(G1189, Réttabanki!A:A, Réttabanki!AT:AT, "")), ""), "")))</f>
        <v/>
      </c>
      <c r="N1189" s="26" t="str">
        <f>IF(OR(F1189 = "", G1189 = ""), "", IF(F1189 = "Vara", IFERROR(_xlfn.SINGLE(_xlfn.XLOOKUP(G1189, Vöruskrá!A:A, Vöruskrá!G:G, "")), ""), IF(F1189 = "Réttur", IFERROR(_xlfn.SINGLE(_xlfn.XLOOKUP(G1189, Réttabanki!A:A, Réttabanki!AU:AU, "")), ""), "")))</f>
        <v/>
      </c>
      <c r="O1189" s="26" t="str">
        <f>IF(OR(F1189 = "", G1189 = "", I1189 = ""), "", IF(F1189 = "Vara", IFERROR(_xlfn.SINGLE(_xlfn.XLOOKUP(G1189, Vöruskrá!A:A, Vöruskrá!I:I, "")) * I1189 / 100, ""), IF(F1189 = "Réttur", IFERROR(_xlfn.SINGLE(_xlfn.XLOOKUP(G1189, Réttabanki!A:A, Réttabanki!AV:AV, "")) * I1189 / 100, ""), "")))</f>
        <v/>
      </c>
      <c r="P1189" s="26" t="str">
        <f>IF(OR(F1189 = "", G1189 = "", I1189 = ""), "", IF(F1189 = "Vara", IFERROR(_xlfn.SINGLE(_xlfn.XLOOKUP(G1189, Vöruskrá!A:A, Vöruskrá!J:J, "")) * I1189 / 100, ""), IF(F1189 = "Réttur", IFERROR(_xlfn.SINGLE(_xlfn.XLOOKUP(G1189, Réttabanki!A:A, Réttabanki!AW:AW, "")) * I1189 / 100, ""), "")))</f>
        <v/>
      </c>
      <c r="Q1189" s="26" t="str">
        <f>IF(OR(F1189 = "", G1189 = "", I1189 = ""), "", IF(F1189 = "Vara", IFERROR(_xlfn.SINGLE(_xlfn.XLOOKUP(G1189, Vöruskrá!A:A, Vöruskrá!N:N, "")) * I1189 / 100, ""), IF(F1189 = "Réttur", IFERROR(_xlfn.SINGLE(_xlfn.XLOOKUP(G1189, Réttabanki!A:A, Réttabanki!BB:BB, "")) * I1189 / 100, ""), "")))</f>
        <v/>
      </c>
    </row>
    <row r="1190" spans="2:17">
      <c r="B1190" s="33" t="str">
        <f>IF(A1190&lt;&gt;"",CHOOSE(WEEKDAY(A1190,2),"Mánudagur","Þriðjudagur","Miðvikudagur","Fimmtudagur","Föstudagur","Laugardagur","Sunnudagur"),IF(B1189&lt;&gt;"",B1189,""))</f>
        <v>Fimmtudagur</v>
      </c>
      <c r="C1190" s="33">
        <f>IF(A1190&lt;&gt;"",WEEKNUM(A1190,21),IF(C1189&lt;&gt;"",C1189,""))</f>
        <v>27</v>
      </c>
      <c r="D1190" s="34"/>
      <c r="E1190" s="34"/>
      <c r="F1190" s="34"/>
      <c r="G1190" s="34"/>
      <c r="H1190" s="34"/>
      <c r="I1190" s="35"/>
      <c r="J1190" s="35"/>
      <c r="K1190" s="36"/>
      <c r="L1190" s="26" t="str">
        <f>IF(OR(F1190 = "", G1190 = ""), "", IF(F1190 = "Vara", IFERROR(_xlfn.SINGLE(_xlfn.XLOOKUP(G1190, Vöruskrá!A:A, Vöruskrá!E:E, "")), ""), IF(F1190 = "Réttur", IFERROR(_xlfn.SINGLE(_xlfn.XLOOKUP(G1190, Réttabanki!A:A, Réttabanki!AS:AS, "")), ""), "")))</f>
        <v/>
      </c>
      <c r="M1190" s="26" t="str">
        <f>IF(OR(F1190 = "", G1190 = ""), "", IF(F1190 = "Vara", IFERROR(_xlfn.SINGLE(_xlfn.XLOOKUP(G1190, Vöruskrá!A:A, Vöruskrá!F:F, "")), ""), IF(F1190 = "Réttur", IFERROR(_xlfn.SINGLE(_xlfn.XLOOKUP(G1190, Réttabanki!A:A, Réttabanki!AT:AT, "")), ""), "")))</f>
        <v/>
      </c>
      <c r="N1190" s="26" t="str">
        <f>IF(OR(F1190 = "", G1190 = ""), "", IF(F1190 = "Vara", IFERROR(_xlfn.SINGLE(_xlfn.XLOOKUP(G1190, Vöruskrá!A:A, Vöruskrá!G:G, "")), ""), IF(F1190 = "Réttur", IFERROR(_xlfn.SINGLE(_xlfn.XLOOKUP(G1190, Réttabanki!A:A, Réttabanki!AU:AU, "")), ""), "")))</f>
        <v/>
      </c>
      <c r="O1190" s="26" t="str">
        <f>IF(OR(F1190 = "", G1190 = "", I1190 = ""), "", IF(F1190 = "Vara", IFERROR(_xlfn.SINGLE(_xlfn.XLOOKUP(G1190, Vöruskrá!A:A, Vöruskrá!I:I, "")) * I1190 / 100, ""), IF(F1190 = "Réttur", IFERROR(_xlfn.SINGLE(_xlfn.XLOOKUP(G1190, Réttabanki!A:A, Réttabanki!AV:AV, "")) * I1190 / 100, ""), "")))</f>
        <v/>
      </c>
      <c r="P1190" s="26" t="str">
        <f>IF(OR(F1190 = "", G1190 = "", I1190 = ""), "", IF(F1190 = "Vara", IFERROR(_xlfn.SINGLE(_xlfn.XLOOKUP(G1190, Vöruskrá!A:A, Vöruskrá!J:J, "")) * I1190 / 100, ""), IF(F1190 = "Réttur", IFERROR(_xlfn.SINGLE(_xlfn.XLOOKUP(G1190, Réttabanki!A:A, Réttabanki!AW:AW, "")) * I1190 / 100, ""), "")))</f>
        <v/>
      </c>
      <c r="Q1190" s="26" t="str">
        <f>IF(OR(F1190 = "", G1190 = "", I1190 = ""), "", IF(F1190 = "Vara", IFERROR(_xlfn.SINGLE(_xlfn.XLOOKUP(G1190, Vöruskrá!A:A, Vöruskrá!N:N, "")) * I1190 / 100, ""), IF(F1190 = "Réttur", IFERROR(_xlfn.SINGLE(_xlfn.XLOOKUP(G1190, Réttabanki!A:A, Réttabanki!BB:BB, "")) * I1190 / 100, ""), "")))</f>
        <v/>
      </c>
    </row>
    <row r="1191" spans="2:17">
      <c r="B1191" s="33" t="str">
        <f>IF(A1191&lt;&gt;"",CHOOSE(WEEKDAY(A1191,2),"Mánudagur","Þriðjudagur","Miðvikudagur","Fimmtudagur","Föstudagur","Laugardagur","Sunnudagur"),IF(B1190&lt;&gt;"",B1190,""))</f>
        <v>Fimmtudagur</v>
      </c>
      <c r="C1191" s="33">
        <f>IF(A1191&lt;&gt;"",WEEKNUM(A1191,21),IF(C1190&lt;&gt;"",C1190,""))</f>
        <v>27</v>
      </c>
      <c r="D1191" s="34"/>
      <c r="E1191" s="34"/>
      <c r="F1191" s="34"/>
      <c r="G1191" s="34"/>
      <c r="H1191" s="34"/>
      <c r="I1191" s="35"/>
      <c r="J1191" s="35"/>
      <c r="K1191" s="36"/>
      <c r="L1191" s="26" t="str">
        <f>IF(OR(F1191 = "", G1191 = ""), "", IF(F1191 = "Vara", IFERROR(_xlfn.SINGLE(_xlfn.XLOOKUP(G1191, Vöruskrá!A:A, Vöruskrá!E:E, "")), ""), IF(F1191 = "Réttur", IFERROR(_xlfn.SINGLE(_xlfn.XLOOKUP(G1191, Réttabanki!A:A, Réttabanki!AS:AS, "")), ""), "")))</f>
        <v/>
      </c>
      <c r="M1191" s="26" t="str">
        <f>IF(OR(F1191 = "", G1191 = ""), "", IF(F1191 = "Vara", IFERROR(_xlfn.SINGLE(_xlfn.XLOOKUP(G1191, Vöruskrá!A:A, Vöruskrá!F:F, "")), ""), IF(F1191 = "Réttur", IFERROR(_xlfn.SINGLE(_xlfn.XLOOKUP(G1191, Réttabanki!A:A, Réttabanki!AT:AT, "")), ""), "")))</f>
        <v/>
      </c>
      <c r="N1191" s="26" t="str">
        <f>IF(OR(F1191 = "", G1191 = ""), "", IF(F1191 = "Vara", IFERROR(_xlfn.SINGLE(_xlfn.XLOOKUP(G1191, Vöruskrá!A:A, Vöruskrá!G:G, "")), ""), IF(F1191 = "Réttur", IFERROR(_xlfn.SINGLE(_xlfn.XLOOKUP(G1191, Réttabanki!A:A, Réttabanki!AU:AU, "")), ""), "")))</f>
        <v/>
      </c>
      <c r="O1191" s="26" t="str">
        <f>IF(OR(F1191 = "", G1191 = "", I1191 = ""), "", IF(F1191 = "Vara", IFERROR(_xlfn.SINGLE(_xlfn.XLOOKUP(G1191, Vöruskrá!A:A, Vöruskrá!I:I, "")) * I1191 / 100, ""), IF(F1191 = "Réttur", IFERROR(_xlfn.SINGLE(_xlfn.XLOOKUP(G1191, Réttabanki!A:A, Réttabanki!AV:AV, "")) * I1191 / 100, ""), "")))</f>
        <v/>
      </c>
      <c r="P1191" s="26" t="str">
        <f>IF(OR(F1191 = "", G1191 = "", I1191 = ""), "", IF(F1191 = "Vara", IFERROR(_xlfn.SINGLE(_xlfn.XLOOKUP(G1191, Vöruskrá!A:A, Vöruskrá!J:J, "")) * I1191 / 100, ""), IF(F1191 = "Réttur", IFERROR(_xlfn.SINGLE(_xlfn.XLOOKUP(G1191, Réttabanki!A:A, Réttabanki!AW:AW, "")) * I1191 / 100, ""), "")))</f>
        <v/>
      </c>
      <c r="Q1191" s="26" t="str">
        <f>IF(OR(F1191 = "", G1191 = "", I1191 = ""), "", IF(F1191 = "Vara", IFERROR(_xlfn.SINGLE(_xlfn.XLOOKUP(G1191, Vöruskrá!A:A, Vöruskrá!N:N, "")) * I1191 / 100, ""), IF(F1191 = "Réttur", IFERROR(_xlfn.SINGLE(_xlfn.XLOOKUP(G1191, Réttabanki!A:A, Réttabanki!BB:BB, "")) * I1191 / 100, ""), "")))</f>
        <v/>
      </c>
    </row>
    <row r="1192" spans="2:17">
      <c r="B1192" s="33" t="str">
        <f>IF(A1192&lt;&gt;"",CHOOSE(WEEKDAY(A1192,2),"Mánudagur","Þriðjudagur","Miðvikudagur","Fimmtudagur","Föstudagur","Laugardagur","Sunnudagur"),IF(B1191&lt;&gt;"",B1191,""))</f>
        <v>Fimmtudagur</v>
      </c>
      <c r="C1192" s="33">
        <f>IF(A1192&lt;&gt;"",WEEKNUM(A1192,21),IF(C1191&lt;&gt;"",C1191,""))</f>
        <v>27</v>
      </c>
      <c r="D1192" s="34"/>
      <c r="E1192" s="34"/>
      <c r="F1192" s="34"/>
      <c r="G1192" s="34"/>
      <c r="H1192" s="34"/>
      <c r="I1192" s="35"/>
      <c r="J1192" s="35"/>
      <c r="K1192" s="36"/>
      <c r="L1192" s="26" t="str">
        <f>IF(OR(F1192 = "", G1192 = ""), "", IF(F1192 = "Vara", IFERROR(_xlfn.SINGLE(_xlfn.XLOOKUP(G1192, Vöruskrá!A:A, Vöruskrá!E:E, "")), ""), IF(F1192 = "Réttur", IFERROR(_xlfn.SINGLE(_xlfn.XLOOKUP(G1192, Réttabanki!A:A, Réttabanki!AS:AS, "")), ""), "")))</f>
        <v/>
      </c>
      <c r="M1192" s="26" t="str">
        <f>IF(OR(F1192 = "", G1192 = ""), "", IF(F1192 = "Vara", IFERROR(_xlfn.SINGLE(_xlfn.XLOOKUP(G1192, Vöruskrá!A:A, Vöruskrá!F:F, "")), ""), IF(F1192 = "Réttur", IFERROR(_xlfn.SINGLE(_xlfn.XLOOKUP(G1192, Réttabanki!A:A, Réttabanki!AT:AT, "")), ""), "")))</f>
        <v/>
      </c>
      <c r="N1192" s="26" t="str">
        <f>IF(OR(F1192 = "", G1192 = ""), "", IF(F1192 = "Vara", IFERROR(_xlfn.SINGLE(_xlfn.XLOOKUP(G1192, Vöruskrá!A:A, Vöruskrá!G:G, "")), ""), IF(F1192 = "Réttur", IFERROR(_xlfn.SINGLE(_xlfn.XLOOKUP(G1192, Réttabanki!A:A, Réttabanki!AU:AU, "")), ""), "")))</f>
        <v/>
      </c>
      <c r="O1192" s="26" t="str">
        <f>IF(OR(F1192 = "", G1192 = "", I1192 = ""), "", IF(F1192 = "Vara", IFERROR(_xlfn.SINGLE(_xlfn.XLOOKUP(G1192, Vöruskrá!A:A, Vöruskrá!I:I, "")) * I1192 / 100, ""), IF(F1192 = "Réttur", IFERROR(_xlfn.SINGLE(_xlfn.XLOOKUP(G1192, Réttabanki!A:A, Réttabanki!AV:AV, "")) * I1192 / 100, ""), "")))</f>
        <v/>
      </c>
      <c r="P1192" s="26" t="str">
        <f>IF(OR(F1192 = "", G1192 = "", I1192 = ""), "", IF(F1192 = "Vara", IFERROR(_xlfn.SINGLE(_xlfn.XLOOKUP(G1192, Vöruskrá!A:A, Vöruskrá!J:J, "")) * I1192 / 100, ""), IF(F1192 = "Réttur", IFERROR(_xlfn.SINGLE(_xlfn.XLOOKUP(G1192, Réttabanki!A:A, Réttabanki!AW:AW, "")) * I1192 / 100, ""), "")))</f>
        <v/>
      </c>
      <c r="Q1192" s="26" t="str">
        <f>IF(OR(F1192 = "", G1192 = "", I1192 = ""), "", IF(F1192 = "Vara", IFERROR(_xlfn.SINGLE(_xlfn.XLOOKUP(G1192, Vöruskrá!A:A, Vöruskrá!N:N, "")) * I1192 / 100, ""), IF(F1192 = "Réttur", IFERROR(_xlfn.SINGLE(_xlfn.XLOOKUP(G1192, Réttabanki!A:A, Réttabanki!BB:BB, "")) * I1192 / 100, ""), "")))</f>
        <v/>
      </c>
    </row>
    <row r="1193" spans="2:17">
      <c r="B1193" s="33" t="str">
        <f>IF(A1193&lt;&gt;"",CHOOSE(WEEKDAY(A1193,2),"Mánudagur","Þriðjudagur","Miðvikudagur","Fimmtudagur","Föstudagur","Laugardagur","Sunnudagur"),IF(B1192&lt;&gt;"",B1192,""))</f>
        <v>Fimmtudagur</v>
      </c>
      <c r="C1193" s="33">
        <f>IF(A1193&lt;&gt;"",WEEKNUM(A1193,21),IF(C1192&lt;&gt;"",C1192,""))</f>
        <v>27</v>
      </c>
      <c r="D1193" s="34"/>
      <c r="E1193" s="34"/>
      <c r="F1193" s="34"/>
      <c r="G1193" s="34"/>
      <c r="H1193" s="34"/>
      <c r="I1193" s="35"/>
      <c r="J1193" s="35"/>
      <c r="K1193" s="36"/>
      <c r="L1193" s="26" t="str">
        <f>IF(OR(F1193 = "", G1193 = ""), "", IF(F1193 = "Vara", IFERROR(_xlfn.SINGLE(_xlfn.XLOOKUP(G1193, Vöruskrá!A:A, Vöruskrá!E:E, "")), ""), IF(F1193 = "Réttur", IFERROR(_xlfn.SINGLE(_xlfn.XLOOKUP(G1193, Réttabanki!A:A, Réttabanki!AS:AS, "")), ""), "")))</f>
        <v/>
      </c>
      <c r="M1193" s="26" t="str">
        <f>IF(OR(F1193 = "", G1193 = ""), "", IF(F1193 = "Vara", IFERROR(_xlfn.SINGLE(_xlfn.XLOOKUP(G1193, Vöruskrá!A:A, Vöruskrá!F:F, "")), ""), IF(F1193 = "Réttur", IFERROR(_xlfn.SINGLE(_xlfn.XLOOKUP(G1193, Réttabanki!A:A, Réttabanki!AT:AT, "")), ""), "")))</f>
        <v/>
      </c>
      <c r="N1193" s="26" t="str">
        <f>IF(OR(F1193 = "", G1193 = ""), "", IF(F1193 = "Vara", IFERROR(_xlfn.SINGLE(_xlfn.XLOOKUP(G1193, Vöruskrá!A:A, Vöruskrá!G:G, "")), ""), IF(F1193 = "Réttur", IFERROR(_xlfn.SINGLE(_xlfn.XLOOKUP(G1193, Réttabanki!A:A, Réttabanki!AU:AU, "")), ""), "")))</f>
        <v/>
      </c>
      <c r="O1193" s="26" t="str">
        <f>IF(OR(F1193 = "", G1193 = "", I1193 = ""), "", IF(F1193 = "Vara", IFERROR(_xlfn.SINGLE(_xlfn.XLOOKUP(G1193, Vöruskrá!A:A, Vöruskrá!I:I, "")) * I1193 / 100, ""), IF(F1193 = "Réttur", IFERROR(_xlfn.SINGLE(_xlfn.XLOOKUP(G1193, Réttabanki!A:A, Réttabanki!AV:AV, "")) * I1193 / 100, ""), "")))</f>
        <v/>
      </c>
      <c r="P1193" s="26" t="str">
        <f>IF(OR(F1193 = "", G1193 = "", I1193 = ""), "", IF(F1193 = "Vara", IFERROR(_xlfn.SINGLE(_xlfn.XLOOKUP(G1193, Vöruskrá!A:A, Vöruskrá!J:J, "")) * I1193 / 100, ""), IF(F1193 = "Réttur", IFERROR(_xlfn.SINGLE(_xlfn.XLOOKUP(G1193, Réttabanki!A:A, Réttabanki!AW:AW, "")) * I1193 / 100, ""), "")))</f>
        <v/>
      </c>
      <c r="Q1193" s="26" t="str">
        <f>IF(OR(F1193 = "", G1193 = "", I1193 = ""), "", IF(F1193 = "Vara", IFERROR(_xlfn.SINGLE(_xlfn.XLOOKUP(G1193, Vöruskrá!A:A, Vöruskrá!N:N, "")) * I1193 / 100, ""), IF(F1193 = "Réttur", IFERROR(_xlfn.SINGLE(_xlfn.XLOOKUP(G1193, Réttabanki!A:A, Réttabanki!BB:BB, "")) * I1193 / 100, ""), "")))</f>
        <v/>
      </c>
    </row>
    <row r="1194" spans="2:17">
      <c r="B1194" s="33" t="str">
        <f>IF(A1194&lt;&gt;"",CHOOSE(WEEKDAY(A1194,2),"Mánudagur","Þriðjudagur","Miðvikudagur","Fimmtudagur","Föstudagur","Laugardagur","Sunnudagur"),IF(B1193&lt;&gt;"",B1193,""))</f>
        <v>Fimmtudagur</v>
      </c>
      <c r="C1194" s="33">
        <f>IF(A1194&lt;&gt;"",WEEKNUM(A1194,21),IF(C1193&lt;&gt;"",C1193,""))</f>
        <v>27</v>
      </c>
      <c r="D1194" s="34"/>
      <c r="E1194" s="34"/>
      <c r="F1194" s="34"/>
      <c r="G1194" s="34"/>
      <c r="H1194" s="34"/>
      <c r="I1194" s="35"/>
      <c r="J1194" s="35"/>
      <c r="K1194" s="36"/>
      <c r="L1194" s="26" t="str">
        <f>IF(OR(F1194 = "", G1194 = ""), "", IF(F1194 = "Vara", IFERROR(_xlfn.SINGLE(_xlfn.XLOOKUP(G1194, Vöruskrá!A:A, Vöruskrá!E:E, "")), ""), IF(F1194 = "Réttur", IFERROR(_xlfn.SINGLE(_xlfn.XLOOKUP(G1194, Réttabanki!A:A, Réttabanki!AS:AS, "")), ""), "")))</f>
        <v/>
      </c>
      <c r="M1194" s="26" t="str">
        <f>IF(OR(F1194 = "", G1194 = ""), "", IF(F1194 = "Vara", IFERROR(_xlfn.SINGLE(_xlfn.XLOOKUP(G1194, Vöruskrá!A:A, Vöruskrá!F:F, "")), ""), IF(F1194 = "Réttur", IFERROR(_xlfn.SINGLE(_xlfn.XLOOKUP(G1194, Réttabanki!A:A, Réttabanki!AT:AT, "")), ""), "")))</f>
        <v/>
      </c>
      <c r="N1194" s="26" t="str">
        <f>IF(OR(F1194 = "", G1194 = ""), "", IF(F1194 = "Vara", IFERROR(_xlfn.SINGLE(_xlfn.XLOOKUP(G1194, Vöruskrá!A:A, Vöruskrá!G:G, "")), ""), IF(F1194 = "Réttur", IFERROR(_xlfn.SINGLE(_xlfn.XLOOKUP(G1194, Réttabanki!A:A, Réttabanki!AU:AU, "")), ""), "")))</f>
        <v/>
      </c>
      <c r="O1194" s="26" t="str">
        <f>IF(OR(F1194 = "", G1194 = "", I1194 = ""), "", IF(F1194 = "Vara", IFERROR(_xlfn.SINGLE(_xlfn.XLOOKUP(G1194, Vöruskrá!A:A, Vöruskrá!I:I, "")) * I1194 / 100, ""), IF(F1194 = "Réttur", IFERROR(_xlfn.SINGLE(_xlfn.XLOOKUP(G1194, Réttabanki!A:A, Réttabanki!AV:AV, "")) * I1194 / 100, ""), "")))</f>
        <v/>
      </c>
      <c r="P1194" s="26" t="str">
        <f>IF(OR(F1194 = "", G1194 = "", I1194 = ""), "", IF(F1194 = "Vara", IFERROR(_xlfn.SINGLE(_xlfn.XLOOKUP(G1194, Vöruskrá!A:A, Vöruskrá!J:J, "")) * I1194 / 100, ""), IF(F1194 = "Réttur", IFERROR(_xlfn.SINGLE(_xlfn.XLOOKUP(G1194, Réttabanki!A:A, Réttabanki!AW:AW, "")) * I1194 / 100, ""), "")))</f>
        <v/>
      </c>
      <c r="Q1194" s="26" t="str">
        <f>IF(OR(F1194 = "", G1194 = "", I1194 = ""), "", IF(F1194 = "Vara", IFERROR(_xlfn.SINGLE(_xlfn.XLOOKUP(G1194, Vöruskrá!A:A, Vöruskrá!N:N, "")) * I1194 / 100, ""), IF(F1194 = "Réttur", IFERROR(_xlfn.SINGLE(_xlfn.XLOOKUP(G1194, Réttabanki!A:A, Réttabanki!BB:BB, "")) * I1194 / 100, ""), "")))</f>
        <v/>
      </c>
    </row>
    <row r="1195" spans="2:17">
      <c r="B1195" s="33" t="str">
        <f>IF(A1195&lt;&gt;"",CHOOSE(WEEKDAY(A1195,2),"Mánudagur","Þriðjudagur","Miðvikudagur","Fimmtudagur","Föstudagur","Laugardagur","Sunnudagur"),IF(B1194&lt;&gt;"",B1194,""))</f>
        <v>Fimmtudagur</v>
      </c>
      <c r="C1195" s="33">
        <f>IF(A1195&lt;&gt;"",WEEKNUM(A1195,21),IF(C1194&lt;&gt;"",C1194,""))</f>
        <v>27</v>
      </c>
      <c r="D1195" s="34"/>
      <c r="E1195" s="34"/>
      <c r="F1195" s="34"/>
      <c r="G1195" s="34"/>
      <c r="H1195" s="34"/>
      <c r="I1195" s="35"/>
      <c r="J1195" s="35"/>
      <c r="K1195" s="36"/>
      <c r="L1195" s="26" t="str">
        <f>IF(OR(F1195 = "", G1195 = ""), "", IF(F1195 = "Vara", IFERROR(_xlfn.SINGLE(_xlfn.XLOOKUP(G1195, Vöruskrá!A:A, Vöruskrá!E:E, "")), ""), IF(F1195 = "Réttur", IFERROR(_xlfn.SINGLE(_xlfn.XLOOKUP(G1195, Réttabanki!A:A, Réttabanki!AS:AS, "")), ""), "")))</f>
        <v/>
      </c>
      <c r="M1195" s="26" t="str">
        <f>IF(OR(F1195 = "", G1195 = ""), "", IF(F1195 = "Vara", IFERROR(_xlfn.SINGLE(_xlfn.XLOOKUP(G1195, Vöruskrá!A:A, Vöruskrá!F:F, "")), ""), IF(F1195 = "Réttur", IFERROR(_xlfn.SINGLE(_xlfn.XLOOKUP(G1195, Réttabanki!A:A, Réttabanki!AT:AT, "")), ""), "")))</f>
        <v/>
      </c>
      <c r="N1195" s="26" t="str">
        <f>IF(OR(F1195 = "", G1195 = ""), "", IF(F1195 = "Vara", IFERROR(_xlfn.SINGLE(_xlfn.XLOOKUP(G1195, Vöruskrá!A:A, Vöruskrá!G:G, "")), ""), IF(F1195 = "Réttur", IFERROR(_xlfn.SINGLE(_xlfn.XLOOKUP(G1195, Réttabanki!A:A, Réttabanki!AU:AU, "")), ""), "")))</f>
        <v/>
      </c>
      <c r="O1195" s="26" t="str">
        <f>IF(OR(F1195 = "", G1195 = "", I1195 = ""), "", IF(F1195 = "Vara", IFERROR(_xlfn.SINGLE(_xlfn.XLOOKUP(G1195, Vöruskrá!A:A, Vöruskrá!I:I, "")) * I1195 / 100, ""), IF(F1195 = "Réttur", IFERROR(_xlfn.SINGLE(_xlfn.XLOOKUP(G1195, Réttabanki!A:A, Réttabanki!AV:AV, "")) * I1195 / 100, ""), "")))</f>
        <v/>
      </c>
      <c r="P1195" s="26" t="str">
        <f>IF(OR(F1195 = "", G1195 = "", I1195 = ""), "", IF(F1195 = "Vara", IFERROR(_xlfn.SINGLE(_xlfn.XLOOKUP(G1195, Vöruskrá!A:A, Vöruskrá!J:J, "")) * I1195 / 100, ""), IF(F1195 = "Réttur", IFERROR(_xlfn.SINGLE(_xlfn.XLOOKUP(G1195, Réttabanki!A:A, Réttabanki!AW:AW, "")) * I1195 / 100, ""), "")))</f>
        <v/>
      </c>
      <c r="Q1195" s="26" t="str">
        <f>IF(OR(F1195 = "", G1195 = "", I1195 = ""), "", IF(F1195 = "Vara", IFERROR(_xlfn.SINGLE(_xlfn.XLOOKUP(G1195, Vöruskrá!A:A, Vöruskrá!N:N, "")) * I1195 / 100, ""), IF(F1195 = "Réttur", IFERROR(_xlfn.SINGLE(_xlfn.XLOOKUP(G1195, Réttabanki!A:A, Réttabanki!BB:BB, "")) * I1195 / 100, ""), "")))</f>
        <v/>
      </c>
    </row>
    <row r="1196" spans="2:17">
      <c r="B1196" s="33" t="str">
        <f>IF(A1196&lt;&gt;"",CHOOSE(WEEKDAY(A1196,2),"Mánudagur","Þriðjudagur","Miðvikudagur","Fimmtudagur","Föstudagur","Laugardagur","Sunnudagur"),IF(B1195&lt;&gt;"",B1195,""))</f>
        <v>Fimmtudagur</v>
      </c>
      <c r="C1196" s="33">
        <f>IF(A1196&lt;&gt;"",WEEKNUM(A1196,21),IF(C1195&lt;&gt;"",C1195,""))</f>
        <v>27</v>
      </c>
      <c r="D1196" s="34"/>
      <c r="E1196" s="34"/>
      <c r="F1196" s="34"/>
      <c r="G1196" s="34"/>
      <c r="H1196" s="34"/>
      <c r="I1196" s="35"/>
      <c r="J1196" s="35"/>
      <c r="K1196" s="36"/>
      <c r="L1196" s="26" t="str">
        <f>IF(OR(F1196 = "", G1196 = ""), "", IF(F1196 = "Vara", IFERROR(_xlfn.SINGLE(_xlfn.XLOOKUP(G1196, Vöruskrá!A:A, Vöruskrá!E:E, "")), ""), IF(F1196 = "Réttur", IFERROR(_xlfn.SINGLE(_xlfn.XLOOKUP(G1196, Réttabanki!A:A, Réttabanki!AS:AS, "")), ""), "")))</f>
        <v/>
      </c>
      <c r="M1196" s="26" t="str">
        <f>IF(OR(F1196 = "", G1196 = ""), "", IF(F1196 = "Vara", IFERROR(_xlfn.SINGLE(_xlfn.XLOOKUP(G1196, Vöruskrá!A:A, Vöruskrá!F:F, "")), ""), IF(F1196 = "Réttur", IFERROR(_xlfn.SINGLE(_xlfn.XLOOKUP(G1196, Réttabanki!A:A, Réttabanki!AT:AT, "")), ""), "")))</f>
        <v/>
      </c>
      <c r="N1196" s="26" t="str">
        <f>IF(OR(F1196 = "", G1196 = ""), "", IF(F1196 = "Vara", IFERROR(_xlfn.SINGLE(_xlfn.XLOOKUP(G1196, Vöruskrá!A:A, Vöruskrá!G:G, "")), ""), IF(F1196 = "Réttur", IFERROR(_xlfn.SINGLE(_xlfn.XLOOKUP(G1196, Réttabanki!A:A, Réttabanki!AU:AU, "")), ""), "")))</f>
        <v/>
      </c>
      <c r="O1196" s="26" t="str">
        <f>IF(OR(F1196 = "", G1196 = "", I1196 = ""), "", IF(F1196 = "Vara", IFERROR(_xlfn.SINGLE(_xlfn.XLOOKUP(G1196, Vöruskrá!A:A, Vöruskrá!I:I, "")) * I1196 / 100, ""), IF(F1196 = "Réttur", IFERROR(_xlfn.SINGLE(_xlfn.XLOOKUP(G1196, Réttabanki!A:A, Réttabanki!AV:AV, "")) * I1196 / 100, ""), "")))</f>
        <v/>
      </c>
      <c r="P1196" s="26" t="str">
        <f>IF(OR(F1196 = "", G1196 = "", I1196 = ""), "", IF(F1196 = "Vara", IFERROR(_xlfn.SINGLE(_xlfn.XLOOKUP(G1196, Vöruskrá!A:A, Vöruskrá!J:J, "")) * I1196 / 100, ""), IF(F1196 = "Réttur", IFERROR(_xlfn.SINGLE(_xlfn.XLOOKUP(G1196, Réttabanki!A:A, Réttabanki!AW:AW, "")) * I1196 / 100, ""), "")))</f>
        <v/>
      </c>
      <c r="Q1196" s="26" t="str">
        <f>IF(OR(F1196 = "", G1196 = "", I1196 = ""), "", IF(F1196 = "Vara", IFERROR(_xlfn.SINGLE(_xlfn.XLOOKUP(G1196, Vöruskrá!A:A, Vöruskrá!N:N, "")) * I1196 / 100, ""), IF(F1196 = "Réttur", IFERROR(_xlfn.SINGLE(_xlfn.XLOOKUP(G1196, Réttabanki!A:A, Réttabanki!BB:BB, "")) * I1196 / 100, ""), "")))</f>
        <v/>
      </c>
    </row>
    <row r="1197" spans="2:17">
      <c r="B1197" s="33" t="str">
        <f>IF(A1197&lt;&gt;"",CHOOSE(WEEKDAY(A1197,2),"Mánudagur","Þriðjudagur","Miðvikudagur","Fimmtudagur","Föstudagur","Laugardagur","Sunnudagur"),IF(B1196&lt;&gt;"",B1196,""))</f>
        <v>Fimmtudagur</v>
      </c>
      <c r="C1197" s="33">
        <f>IF(A1197&lt;&gt;"",WEEKNUM(A1197,21),IF(C1196&lt;&gt;"",C1196,""))</f>
        <v>27</v>
      </c>
      <c r="D1197" s="34"/>
      <c r="E1197" s="34"/>
      <c r="F1197" s="34"/>
      <c r="G1197" s="34"/>
      <c r="H1197" s="34"/>
      <c r="I1197" s="35"/>
      <c r="J1197" s="35"/>
      <c r="K1197" s="36"/>
      <c r="L1197" s="26" t="str">
        <f>IF(OR(F1197 = "", G1197 = ""), "", IF(F1197 = "Vara", IFERROR(_xlfn.SINGLE(_xlfn.XLOOKUP(G1197, Vöruskrá!A:A, Vöruskrá!E:E, "")), ""), IF(F1197 = "Réttur", IFERROR(_xlfn.SINGLE(_xlfn.XLOOKUP(G1197, Réttabanki!A:A, Réttabanki!AS:AS, "")), ""), "")))</f>
        <v/>
      </c>
      <c r="M1197" s="26" t="str">
        <f>IF(OR(F1197 = "", G1197 = ""), "", IF(F1197 = "Vara", IFERROR(_xlfn.SINGLE(_xlfn.XLOOKUP(G1197, Vöruskrá!A:A, Vöruskrá!F:F, "")), ""), IF(F1197 = "Réttur", IFERROR(_xlfn.SINGLE(_xlfn.XLOOKUP(G1197, Réttabanki!A:A, Réttabanki!AT:AT, "")), ""), "")))</f>
        <v/>
      </c>
      <c r="N1197" s="26" t="str">
        <f>IF(OR(F1197 = "", G1197 = ""), "", IF(F1197 = "Vara", IFERROR(_xlfn.SINGLE(_xlfn.XLOOKUP(G1197, Vöruskrá!A:A, Vöruskrá!G:G, "")), ""), IF(F1197 = "Réttur", IFERROR(_xlfn.SINGLE(_xlfn.XLOOKUP(G1197, Réttabanki!A:A, Réttabanki!AU:AU, "")), ""), "")))</f>
        <v/>
      </c>
      <c r="O1197" s="26" t="str">
        <f>IF(OR(F1197 = "", G1197 = "", I1197 = ""), "", IF(F1197 = "Vara", IFERROR(_xlfn.SINGLE(_xlfn.XLOOKUP(G1197, Vöruskrá!A:A, Vöruskrá!I:I, "")) * I1197 / 100, ""), IF(F1197 = "Réttur", IFERROR(_xlfn.SINGLE(_xlfn.XLOOKUP(G1197, Réttabanki!A:A, Réttabanki!AV:AV, "")) * I1197 / 100, ""), "")))</f>
        <v/>
      </c>
      <c r="P1197" s="26" t="str">
        <f>IF(OR(F1197 = "", G1197 = "", I1197 = ""), "", IF(F1197 = "Vara", IFERROR(_xlfn.SINGLE(_xlfn.XLOOKUP(G1197, Vöruskrá!A:A, Vöruskrá!J:J, "")) * I1197 / 100, ""), IF(F1197 = "Réttur", IFERROR(_xlfn.SINGLE(_xlfn.XLOOKUP(G1197, Réttabanki!A:A, Réttabanki!AW:AW, "")) * I1197 / 100, ""), "")))</f>
        <v/>
      </c>
      <c r="Q1197" s="26" t="str">
        <f>IF(OR(F1197 = "", G1197 = "", I1197 = ""), "", IF(F1197 = "Vara", IFERROR(_xlfn.SINGLE(_xlfn.XLOOKUP(G1197, Vöruskrá!A:A, Vöruskrá!N:N, "")) * I1197 / 100, ""), IF(F1197 = "Réttur", IFERROR(_xlfn.SINGLE(_xlfn.XLOOKUP(G1197, Réttabanki!A:A, Réttabanki!BB:BB, "")) * I1197 / 100, ""), "")))</f>
        <v/>
      </c>
    </row>
    <row r="1198" spans="2:17">
      <c r="B1198" s="33" t="str">
        <f>IF(A1198&lt;&gt;"",CHOOSE(WEEKDAY(A1198,2),"Mánudagur","Þriðjudagur","Miðvikudagur","Fimmtudagur","Föstudagur","Laugardagur","Sunnudagur"),IF(B1197&lt;&gt;"",B1197,""))</f>
        <v>Fimmtudagur</v>
      </c>
      <c r="C1198" s="33">
        <f>IF(A1198&lt;&gt;"",WEEKNUM(A1198,21),IF(C1197&lt;&gt;"",C1197,""))</f>
        <v>27</v>
      </c>
      <c r="D1198" s="34"/>
      <c r="E1198" s="34"/>
      <c r="F1198" s="34"/>
      <c r="G1198" s="34"/>
      <c r="H1198" s="34"/>
      <c r="I1198" s="35"/>
      <c r="J1198" s="35"/>
      <c r="K1198" s="36"/>
      <c r="L1198" s="26" t="str">
        <f>IF(OR(F1198 = "", G1198 = ""), "", IF(F1198 = "Vara", IFERROR(_xlfn.SINGLE(_xlfn.XLOOKUP(G1198, Vöruskrá!A:A, Vöruskrá!E:E, "")), ""), IF(F1198 = "Réttur", IFERROR(_xlfn.SINGLE(_xlfn.XLOOKUP(G1198, Réttabanki!A:A, Réttabanki!AS:AS, "")), ""), "")))</f>
        <v/>
      </c>
      <c r="M1198" s="26" t="str">
        <f>IF(OR(F1198 = "", G1198 = ""), "", IF(F1198 = "Vara", IFERROR(_xlfn.SINGLE(_xlfn.XLOOKUP(G1198, Vöruskrá!A:A, Vöruskrá!F:F, "")), ""), IF(F1198 = "Réttur", IFERROR(_xlfn.SINGLE(_xlfn.XLOOKUP(G1198, Réttabanki!A:A, Réttabanki!AT:AT, "")), ""), "")))</f>
        <v/>
      </c>
      <c r="N1198" s="26" t="str">
        <f>IF(OR(F1198 = "", G1198 = ""), "", IF(F1198 = "Vara", IFERROR(_xlfn.SINGLE(_xlfn.XLOOKUP(G1198, Vöruskrá!A:A, Vöruskrá!G:G, "")), ""), IF(F1198 = "Réttur", IFERROR(_xlfn.SINGLE(_xlfn.XLOOKUP(G1198, Réttabanki!A:A, Réttabanki!AU:AU, "")), ""), "")))</f>
        <v/>
      </c>
      <c r="O1198" s="26" t="str">
        <f>IF(OR(F1198 = "", G1198 = "", I1198 = ""), "", IF(F1198 = "Vara", IFERROR(_xlfn.SINGLE(_xlfn.XLOOKUP(G1198, Vöruskrá!A:A, Vöruskrá!I:I, "")) * I1198 / 100, ""), IF(F1198 = "Réttur", IFERROR(_xlfn.SINGLE(_xlfn.XLOOKUP(G1198, Réttabanki!A:A, Réttabanki!AV:AV, "")) * I1198 / 100, ""), "")))</f>
        <v/>
      </c>
      <c r="P1198" s="26" t="str">
        <f>IF(OR(F1198 = "", G1198 = "", I1198 = ""), "", IF(F1198 = "Vara", IFERROR(_xlfn.SINGLE(_xlfn.XLOOKUP(G1198, Vöruskrá!A:A, Vöruskrá!J:J, "")) * I1198 / 100, ""), IF(F1198 = "Réttur", IFERROR(_xlfn.SINGLE(_xlfn.XLOOKUP(G1198, Réttabanki!A:A, Réttabanki!AW:AW, "")) * I1198 / 100, ""), "")))</f>
        <v/>
      </c>
      <c r="Q1198" s="26" t="str">
        <f>IF(OR(F1198 = "", G1198 = "", I1198 = ""), "", IF(F1198 = "Vara", IFERROR(_xlfn.SINGLE(_xlfn.XLOOKUP(G1198, Vöruskrá!A:A, Vöruskrá!N:N, "")) * I1198 / 100, ""), IF(F1198 = "Réttur", IFERROR(_xlfn.SINGLE(_xlfn.XLOOKUP(G1198, Réttabanki!A:A, Réttabanki!BB:BB, "")) * I1198 / 100, ""), "")))</f>
        <v/>
      </c>
    </row>
    <row r="1199" spans="2:17">
      <c r="B1199" s="33" t="str">
        <f>IF(A1199&lt;&gt;"",CHOOSE(WEEKDAY(A1199,2),"Mánudagur","Þriðjudagur","Miðvikudagur","Fimmtudagur","Föstudagur","Laugardagur","Sunnudagur"),IF(B1198&lt;&gt;"",B1198,""))</f>
        <v>Fimmtudagur</v>
      </c>
      <c r="C1199" s="33">
        <f>IF(A1199&lt;&gt;"",WEEKNUM(A1199,21),IF(C1198&lt;&gt;"",C1198,""))</f>
        <v>27</v>
      </c>
      <c r="D1199" s="34"/>
      <c r="E1199" s="34"/>
      <c r="F1199" s="34"/>
      <c r="G1199" s="34"/>
      <c r="H1199" s="34"/>
      <c r="I1199" s="35"/>
      <c r="J1199" s="35"/>
      <c r="K1199" s="36"/>
      <c r="L1199" s="26" t="str">
        <f>IF(OR(F1199 = "", G1199 = ""), "", IF(F1199 = "Vara", IFERROR(_xlfn.SINGLE(_xlfn.XLOOKUP(G1199, Vöruskrá!A:A, Vöruskrá!E:E, "")), ""), IF(F1199 = "Réttur", IFERROR(_xlfn.SINGLE(_xlfn.XLOOKUP(G1199, Réttabanki!A:A, Réttabanki!AS:AS, "")), ""), "")))</f>
        <v/>
      </c>
      <c r="M1199" s="26" t="str">
        <f>IF(OR(F1199 = "", G1199 = ""), "", IF(F1199 = "Vara", IFERROR(_xlfn.SINGLE(_xlfn.XLOOKUP(G1199, Vöruskrá!A:A, Vöruskrá!F:F, "")), ""), IF(F1199 = "Réttur", IFERROR(_xlfn.SINGLE(_xlfn.XLOOKUP(G1199, Réttabanki!A:A, Réttabanki!AT:AT, "")), ""), "")))</f>
        <v/>
      </c>
      <c r="N1199" s="26" t="str">
        <f>IF(OR(F1199 = "", G1199 = ""), "", IF(F1199 = "Vara", IFERROR(_xlfn.SINGLE(_xlfn.XLOOKUP(G1199, Vöruskrá!A:A, Vöruskrá!G:G, "")), ""), IF(F1199 = "Réttur", IFERROR(_xlfn.SINGLE(_xlfn.XLOOKUP(G1199, Réttabanki!A:A, Réttabanki!AU:AU, "")), ""), "")))</f>
        <v/>
      </c>
      <c r="O1199" s="26" t="str">
        <f>IF(OR(F1199 = "", G1199 = "", I1199 = ""), "", IF(F1199 = "Vara", IFERROR(_xlfn.SINGLE(_xlfn.XLOOKUP(G1199, Vöruskrá!A:A, Vöruskrá!I:I, "")) * I1199 / 100, ""), IF(F1199 = "Réttur", IFERROR(_xlfn.SINGLE(_xlfn.XLOOKUP(G1199, Réttabanki!A:A, Réttabanki!AV:AV, "")) * I1199 / 100, ""), "")))</f>
        <v/>
      </c>
      <c r="P1199" s="26" t="str">
        <f>IF(OR(F1199 = "", G1199 = "", I1199 = ""), "", IF(F1199 = "Vara", IFERROR(_xlfn.SINGLE(_xlfn.XLOOKUP(G1199, Vöruskrá!A:A, Vöruskrá!J:J, "")) * I1199 / 100, ""), IF(F1199 = "Réttur", IFERROR(_xlfn.SINGLE(_xlfn.XLOOKUP(G1199, Réttabanki!A:A, Réttabanki!AW:AW, "")) * I1199 / 100, ""), "")))</f>
        <v/>
      </c>
      <c r="Q1199" s="26" t="str">
        <f>IF(OR(F1199 = "", G1199 = "", I1199 = ""), "", IF(F1199 = "Vara", IFERROR(_xlfn.SINGLE(_xlfn.XLOOKUP(G1199, Vöruskrá!A:A, Vöruskrá!N:N, "")) * I1199 / 100, ""), IF(F1199 = "Réttur", IFERROR(_xlfn.SINGLE(_xlfn.XLOOKUP(G1199, Réttabanki!A:A, Réttabanki!BB:BB, "")) * I1199 / 100, ""), "")))</f>
        <v/>
      </c>
    </row>
    <row r="1200" spans="2:17">
      <c r="B1200" s="33" t="str">
        <f>IF(A1200&lt;&gt;"",CHOOSE(WEEKDAY(A1200,2),"Mánudagur","Þriðjudagur","Miðvikudagur","Fimmtudagur","Föstudagur","Laugardagur","Sunnudagur"),IF(B1199&lt;&gt;"",B1199,""))</f>
        <v>Fimmtudagur</v>
      </c>
      <c r="C1200" s="33">
        <f>IF(A1200&lt;&gt;"",WEEKNUM(A1200,21),IF(C1199&lt;&gt;"",C1199,""))</f>
        <v>27</v>
      </c>
      <c r="D1200" s="34"/>
      <c r="E1200" s="34"/>
      <c r="F1200" s="34"/>
      <c r="G1200" s="34"/>
      <c r="H1200" s="34"/>
      <c r="I1200" s="35"/>
      <c r="J1200" s="35"/>
      <c r="K1200" s="36"/>
      <c r="L1200" s="26" t="str">
        <f>IF(OR(F1200 = "", G1200 = ""), "", IF(F1200 = "Vara", IFERROR(_xlfn.SINGLE(_xlfn.XLOOKUP(G1200, Vöruskrá!A:A, Vöruskrá!E:E, "")), ""), IF(F1200 = "Réttur", IFERROR(_xlfn.SINGLE(_xlfn.XLOOKUP(G1200, Réttabanki!A:A, Réttabanki!AS:AS, "")), ""), "")))</f>
        <v/>
      </c>
      <c r="M1200" s="26" t="str">
        <f>IF(OR(F1200 = "", G1200 = ""), "", IF(F1200 = "Vara", IFERROR(_xlfn.SINGLE(_xlfn.XLOOKUP(G1200, Vöruskrá!A:A, Vöruskrá!F:F, "")), ""), IF(F1200 = "Réttur", IFERROR(_xlfn.SINGLE(_xlfn.XLOOKUP(G1200, Réttabanki!A:A, Réttabanki!AT:AT, "")), ""), "")))</f>
        <v/>
      </c>
      <c r="N1200" s="26" t="str">
        <f>IF(OR(F1200 = "", G1200 = ""), "", IF(F1200 = "Vara", IFERROR(_xlfn.SINGLE(_xlfn.XLOOKUP(G1200, Vöruskrá!A:A, Vöruskrá!G:G, "")), ""), IF(F1200 = "Réttur", IFERROR(_xlfn.SINGLE(_xlfn.XLOOKUP(G1200, Réttabanki!A:A, Réttabanki!AU:AU, "")), ""), "")))</f>
        <v/>
      </c>
      <c r="O1200" s="26" t="str">
        <f>IF(OR(F1200 = "", G1200 = "", I1200 = ""), "", IF(F1200 = "Vara", IFERROR(_xlfn.SINGLE(_xlfn.XLOOKUP(G1200, Vöruskrá!A:A, Vöruskrá!I:I, "")) * I1200 / 100, ""), IF(F1200 = "Réttur", IFERROR(_xlfn.SINGLE(_xlfn.XLOOKUP(G1200, Réttabanki!A:A, Réttabanki!AV:AV, "")) * I1200 / 100, ""), "")))</f>
        <v/>
      </c>
      <c r="P1200" s="26" t="str">
        <f>IF(OR(F1200 = "", G1200 = "", I1200 = ""), "", IF(F1200 = "Vara", IFERROR(_xlfn.SINGLE(_xlfn.XLOOKUP(G1200, Vöruskrá!A:A, Vöruskrá!J:J, "")) * I1200 / 100, ""), IF(F1200 = "Réttur", IFERROR(_xlfn.SINGLE(_xlfn.XLOOKUP(G1200, Réttabanki!A:A, Réttabanki!AW:AW, "")) * I1200 / 100, ""), "")))</f>
        <v/>
      </c>
      <c r="Q1200" s="26" t="str">
        <f>IF(OR(F1200 = "", G1200 = "", I1200 = ""), "", IF(F1200 = "Vara", IFERROR(_xlfn.SINGLE(_xlfn.XLOOKUP(G1200, Vöruskrá!A:A, Vöruskrá!N:N, "")) * I1200 / 100, ""), IF(F1200 = "Réttur", IFERROR(_xlfn.SINGLE(_xlfn.XLOOKUP(G1200, Réttabanki!A:A, Réttabanki!BB:BB, "")) * I1200 / 100, ""), "")))</f>
        <v/>
      </c>
    </row>
    <row r="1201" spans="2:17">
      <c r="B1201" s="33" t="str">
        <f>IF(A1201&lt;&gt;"",CHOOSE(WEEKDAY(A1201,2),"Mánudagur","Þriðjudagur","Miðvikudagur","Fimmtudagur","Föstudagur","Laugardagur","Sunnudagur"),IF(B1200&lt;&gt;"",B1200,""))</f>
        <v>Fimmtudagur</v>
      </c>
      <c r="C1201" s="33">
        <f>IF(A1201&lt;&gt;"",WEEKNUM(A1201,21),IF(C1200&lt;&gt;"",C1200,""))</f>
        <v>27</v>
      </c>
      <c r="D1201" s="34"/>
      <c r="E1201" s="34"/>
      <c r="F1201" s="34"/>
      <c r="G1201" s="34"/>
      <c r="H1201" s="34"/>
      <c r="I1201" s="35"/>
      <c r="J1201" s="35"/>
      <c r="K1201" s="36"/>
      <c r="L1201" s="26" t="str">
        <f>IF(OR(F1201 = "", G1201 = ""), "", IF(F1201 = "Vara", IFERROR(_xlfn.SINGLE(_xlfn.XLOOKUP(G1201, Vöruskrá!A:A, Vöruskrá!E:E, "")), ""), IF(F1201 = "Réttur", IFERROR(_xlfn.SINGLE(_xlfn.XLOOKUP(G1201, Réttabanki!A:A, Réttabanki!AS:AS, "")), ""), "")))</f>
        <v/>
      </c>
      <c r="M1201" s="26" t="str">
        <f>IF(OR(F1201 = "", G1201 = ""), "", IF(F1201 = "Vara", IFERROR(_xlfn.SINGLE(_xlfn.XLOOKUP(G1201, Vöruskrá!A:A, Vöruskrá!F:F, "")), ""), IF(F1201 = "Réttur", IFERROR(_xlfn.SINGLE(_xlfn.XLOOKUP(G1201, Réttabanki!A:A, Réttabanki!AT:AT, "")), ""), "")))</f>
        <v/>
      </c>
      <c r="N1201" s="26" t="str">
        <f>IF(OR(F1201 = "", G1201 = ""), "", IF(F1201 = "Vara", IFERROR(_xlfn.SINGLE(_xlfn.XLOOKUP(G1201, Vöruskrá!A:A, Vöruskrá!G:G, "")), ""), IF(F1201 = "Réttur", IFERROR(_xlfn.SINGLE(_xlfn.XLOOKUP(G1201, Réttabanki!A:A, Réttabanki!AU:AU, "")), ""), "")))</f>
        <v/>
      </c>
      <c r="O1201" s="26" t="str">
        <f>IF(OR(F1201 = "", G1201 = "", I1201 = ""), "", IF(F1201 = "Vara", IFERROR(_xlfn.SINGLE(_xlfn.XLOOKUP(G1201, Vöruskrá!A:A, Vöruskrá!I:I, "")) * I1201 / 100, ""), IF(F1201 = "Réttur", IFERROR(_xlfn.SINGLE(_xlfn.XLOOKUP(G1201, Réttabanki!A:A, Réttabanki!AV:AV, "")) * I1201 / 100, ""), "")))</f>
        <v/>
      </c>
      <c r="P1201" s="26" t="str">
        <f>IF(OR(F1201 = "", G1201 = "", I1201 = ""), "", IF(F1201 = "Vara", IFERROR(_xlfn.SINGLE(_xlfn.XLOOKUP(G1201, Vöruskrá!A:A, Vöruskrá!J:J, "")) * I1201 / 100, ""), IF(F1201 = "Réttur", IFERROR(_xlfn.SINGLE(_xlfn.XLOOKUP(G1201, Réttabanki!A:A, Réttabanki!AW:AW, "")) * I1201 / 100, ""), "")))</f>
        <v/>
      </c>
      <c r="Q1201" s="26" t="str">
        <f>IF(OR(F1201 = "", G1201 = "", I1201 = ""), "", IF(F1201 = "Vara", IFERROR(_xlfn.SINGLE(_xlfn.XLOOKUP(G1201, Vöruskrá!A:A, Vöruskrá!N:N, "")) * I1201 / 100, ""), IF(F1201 = "Réttur", IFERROR(_xlfn.SINGLE(_xlfn.XLOOKUP(G1201, Réttabanki!A:A, Réttabanki!BB:BB, "")) * I1201 / 100, ""), "")))</f>
        <v/>
      </c>
    </row>
    <row r="1202" spans="2:17">
      <c r="B1202" s="33" t="str">
        <f>IF(A1202&lt;&gt;"",CHOOSE(WEEKDAY(A1202,2),"Mánudagur","Þriðjudagur","Miðvikudagur","Fimmtudagur","Föstudagur","Laugardagur","Sunnudagur"),IF(B1201&lt;&gt;"",B1201,""))</f>
        <v>Fimmtudagur</v>
      </c>
      <c r="C1202" s="33">
        <f>IF(A1202&lt;&gt;"",WEEKNUM(A1202,21),IF(C1201&lt;&gt;"",C1201,""))</f>
        <v>27</v>
      </c>
      <c r="D1202" s="34"/>
      <c r="E1202" s="34"/>
      <c r="F1202" s="34"/>
      <c r="G1202" s="34"/>
      <c r="H1202" s="34"/>
      <c r="I1202" s="35"/>
      <c r="J1202" s="35"/>
      <c r="K1202" s="36"/>
      <c r="L1202" s="26" t="str">
        <f>IF(OR(F1202 = "", G1202 = ""), "", IF(F1202 = "Vara", IFERROR(_xlfn.SINGLE(_xlfn.XLOOKUP(G1202, Vöruskrá!A:A, Vöruskrá!E:E, "")), ""), IF(F1202 = "Réttur", IFERROR(_xlfn.SINGLE(_xlfn.XLOOKUP(G1202, Réttabanki!A:A, Réttabanki!AS:AS, "")), ""), "")))</f>
        <v/>
      </c>
      <c r="M1202" s="26" t="str">
        <f>IF(OR(F1202 = "", G1202 = ""), "", IF(F1202 = "Vara", IFERROR(_xlfn.SINGLE(_xlfn.XLOOKUP(G1202, Vöruskrá!A:A, Vöruskrá!F:F, "")), ""), IF(F1202 = "Réttur", IFERROR(_xlfn.SINGLE(_xlfn.XLOOKUP(G1202, Réttabanki!A:A, Réttabanki!AT:AT, "")), ""), "")))</f>
        <v/>
      </c>
      <c r="N1202" s="26" t="str">
        <f>IF(OR(F1202 = "", G1202 = ""), "", IF(F1202 = "Vara", IFERROR(_xlfn.SINGLE(_xlfn.XLOOKUP(G1202, Vöruskrá!A:A, Vöruskrá!G:G, "")), ""), IF(F1202 = "Réttur", IFERROR(_xlfn.SINGLE(_xlfn.XLOOKUP(G1202, Réttabanki!A:A, Réttabanki!AU:AU, "")), ""), "")))</f>
        <v/>
      </c>
      <c r="O1202" s="26" t="str">
        <f>IF(OR(F1202 = "", G1202 = "", I1202 = ""), "", IF(F1202 = "Vara", IFERROR(_xlfn.SINGLE(_xlfn.XLOOKUP(G1202, Vöruskrá!A:A, Vöruskrá!I:I, "")) * I1202 / 100, ""), IF(F1202 = "Réttur", IFERROR(_xlfn.SINGLE(_xlfn.XLOOKUP(G1202, Réttabanki!A:A, Réttabanki!AV:AV, "")) * I1202 / 100, ""), "")))</f>
        <v/>
      </c>
      <c r="P1202" s="26" t="str">
        <f>IF(OR(F1202 = "", G1202 = "", I1202 = ""), "", IF(F1202 = "Vara", IFERROR(_xlfn.SINGLE(_xlfn.XLOOKUP(G1202, Vöruskrá!A:A, Vöruskrá!J:J, "")) * I1202 / 100, ""), IF(F1202 = "Réttur", IFERROR(_xlfn.SINGLE(_xlfn.XLOOKUP(G1202, Réttabanki!A:A, Réttabanki!AW:AW, "")) * I1202 / 100, ""), "")))</f>
        <v/>
      </c>
      <c r="Q1202" s="26" t="str">
        <f>IF(OR(F1202 = "", G1202 = "", I1202 = ""), "", IF(F1202 = "Vara", IFERROR(_xlfn.SINGLE(_xlfn.XLOOKUP(G1202, Vöruskrá!A:A, Vöruskrá!N:N, "")) * I1202 / 100, ""), IF(F1202 = "Réttur", IFERROR(_xlfn.SINGLE(_xlfn.XLOOKUP(G1202, Réttabanki!A:A, Réttabanki!BB:BB, "")) * I1202 / 100, ""), "")))</f>
        <v/>
      </c>
    </row>
    <row r="1203" spans="2:17">
      <c r="B1203" s="33" t="str">
        <f>IF(A1203&lt;&gt;"",CHOOSE(WEEKDAY(A1203,2),"Mánudagur","Þriðjudagur","Miðvikudagur","Fimmtudagur","Föstudagur","Laugardagur","Sunnudagur"),IF(B1202&lt;&gt;"",B1202,""))</f>
        <v>Fimmtudagur</v>
      </c>
      <c r="C1203" s="33">
        <f>IF(A1203&lt;&gt;"",WEEKNUM(A1203,21),IF(C1202&lt;&gt;"",C1202,""))</f>
        <v>27</v>
      </c>
      <c r="D1203" s="34"/>
      <c r="E1203" s="34"/>
      <c r="F1203" s="34"/>
      <c r="G1203" s="34"/>
      <c r="H1203" s="34"/>
      <c r="I1203" s="35"/>
      <c r="J1203" s="35"/>
      <c r="K1203" s="36"/>
      <c r="L1203" s="26" t="str">
        <f>IF(OR(F1203 = "", G1203 = ""), "", IF(F1203 = "Vara", IFERROR(_xlfn.SINGLE(_xlfn.XLOOKUP(G1203, Vöruskrá!A:A, Vöruskrá!E:E, "")), ""), IF(F1203 = "Réttur", IFERROR(_xlfn.SINGLE(_xlfn.XLOOKUP(G1203, Réttabanki!A:A, Réttabanki!AS:AS, "")), ""), "")))</f>
        <v/>
      </c>
      <c r="M1203" s="26" t="str">
        <f>IF(OR(F1203 = "", G1203 = ""), "", IF(F1203 = "Vara", IFERROR(_xlfn.SINGLE(_xlfn.XLOOKUP(G1203, Vöruskrá!A:A, Vöruskrá!F:F, "")), ""), IF(F1203 = "Réttur", IFERROR(_xlfn.SINGLE(_xlfn.XLOOKUP(G1203, Réttabanki!A:A, Réttabanki!AT:AT, "")), ""), "")))</f>
        <v/>
      </c>
      <c r="N1203" s="26" t="str">
        <f>IF(OR(F1203 = "", G1203 = ""), "", IF(F1203 = "Vara", IFERROR(_xlfn.SINGLE(_xlfn.XLOOKUP(G1203, Vöruskrá!A:A, Vöruskrá!G:G, "")), ""), IF(F1203 = "Réttur", IFERROR(_xlfn.SINGLE(_xlfn.XLOOKUP(G1203, Réttabanki!A:A, Réttabanki!AU:AU, "")), ""), "")))</f>
        <v/>
      </c>
      <c r="O1203" s="26" t="str">
        <f>IF(OR(F1203 = "", G1203 = "", I1203 = ""), "", IF(F1203 = "Vara", IFERROR(_xlfn.SINGLE(_xlfn.XLOOKUP(G1203, Vöruskrá!A:A, Vöruskrá!I:I, "")) * I1203 / 100, ""), IF(F1203 = "Réttur", IFERROR(_xlfn.SINGLE(_xlfn.XLOOKUP(G1203, Réttabanki!A:A, Réttabanki!AV:AV, "")) * I1203 / 100, ""), "")))</f>
        <v/>
      </c>
      <c r="P1203" s="26" t="str">
        <f>IF(OR(F1203 = "", G1203 = "", I1203 = ""), "", IF(F1203 = "Vara", IFERROR(_xlfn.SINGLE(_xlfn.XLOOKUP(G1203, Vöruskrá!A:A, Vöruskrá!J:J, "")) * I1203 / 100, ""), IF(F1203 = "Réttur", IFERROR(_xlfn.SINGLE(_xlfn.XLOOKUP(G1203, Réttabanki!A:A, Réttabanki!AW:AW, "")) * I1203 / 100, ""), "")))</f>
        <v/>
      </c>
      <c r="Q1203" s="26" t="str">
        <f>IF(OR(F1203 = "", G1203 = "", I1203 = ""), "", IF(F1203 = "Vara", IFERROR(_xlfn.SINGLE(_xlfn.XLOOKUP(G1203, Vöruskrá!A:A, Vöruskrá!N:N, "")) * I1203 / 100, ""), IF(F1203 = "Réttur", IFERROR(_xlfn.SINGLE(_xlfn.XLOOKUP(G1203, Réttabanki!A:A, Réttabanki!BB:BB, "")) * I1203 / 100, ""), "")))</f>
        <v/>
      </c>
    </row>
    <row r="1204" spans="2:17">
      <c r="B1204" s="33" t="str">
        <f>IF(A1204&lt;&gt;"",CHOOSE(WEEKDAY(A1204,2),"Mánudagur","Þriðjudagur","Miðvikudagur","Fimmtudagur","Föstudagur","Laugardagur","Sunnudagur"),IF(B1203&lt;&gt;"",B1203,""))</f>
        <v>Fimmtudagur</v>
      </c>
      <c r="C1204" s="33">
        <f>IF(A1204&lt;&gt;"",WEEKNUM(A1204,21),IF(C1203&lt;&gt;"",C1203,""))</f>
        <v>27</v>
      </c>
      <c r="D1204" s="34"/>
      <c r="E1204" s="34"/>
      <c r="F1204" s="34"/>
      <c r="G1204" s="34"/>
      <c r="H1204" s="34"/>
      <c r="I1204" s="35"/>
      <c r="J1204" s="35"/>
      <c r="K1204" s="36"/>
      <c r="L1204" s="26" t="str">
        <f>IF(OR(F1204 = "", G1204 = ""), "", IF(F1204 = "Vara", IFERROR(_xlfn.SINGLE(_xlfn.XLOOKUP(G1204, Vöruskrá!A:A, Vöruskrá!E:E, "")), ""), IF(F1204 = "Réttur", IFERROR(_xlfn.SINGLE(_xlfn.XLOOKUP(G1204, Réttabanki!A:A, Réttabanki!AS:AS, "")), ""), "")))</f>
        <v/>
      </c>
      <c r="M1204" s="26" t="str">
        <f>IF(OR(F1204 = "", G1204 = ""), "", IF(F1204 = "Vara", IFERROR(_xlfn.SINGLE(_xlfn.XLOOKUP(G1204, Vöruskrá!A:A, Vöruskrá!F:F, "")), ""), IF(F1204 = "Réttur", IFERROR(_xlfn.SINGLE(_xlfn.XLOOKUP(G1204, Réttabanki!A:A, Réttabanki!AT:AT, "")), ""), "")))</f>
        <v/>
      </c>
      <c r="N1204" s="26" t="str">
        <f>IF(OR(F1204 = "", G1204 = ""), "", IF(F1204 = "Vara", IFERROR(_xlfn.SINGLE(_xlfn.XLOOKUP(G1204, Vöruskrá!A:A, Vöruskrá!G:G, "")), ""), IF(F1204 = "Réttur", IFERROR(_xlfn.SINGLE(_xlfn.XLOOKUP(G1204, Réttabanki!A:A, Réttabanki!AU:AU, "")), ""), "")))</f>
        <v/>
      </c>
      <c r="O1204" s="26" t="str">
        <f>IF(OR(F1204 = "", G1204 = "", I1204 = ""), "", IF(F1204 = "Vara", IFERROR(_xlfn.SINGLE(_xlfn.XLOOKUP(G1204, Vöruskrá!A:A, Vöruskrá!I:I, "")) * I1204 / 100, ""), IF(F1204 = "Réttur", IFERROR(_xlfn.SINGLE(_xlfn.XLOOKUP(G1204, Réttabanki!A:A, Réttabanki!AV:AV, "")) * I1204 / 100, ""), "")))</f>
        <v/>
      </c>
      <c r="P1204" s="26" t="str">
        <f>IF(OR(F1204 = "", G1204 = "", I1204 = ""), "", IF(F1204 = "Vara", IFERROR(_xlfn.SINGLE(_xlfn.XLOOKUP(G1204, Vöruskrá!A:A, Vöruskrá!J:J, "")) * I1204 / 100, ""), IF(F1204 = "Réttur", IFERROR(_xlfn.SINGLE(_xlfn.XLOOKUP(G1204, Réttabanki!A:A, Réttabanki!AW:AW, "")) * I1204 / 100, ""), "")))</f>
        <v/>
      </c>
      <c r="Q1204" s="26" t="str">
        <f>IF(OR(F1204 = "", G1204 = "", I1204 = ""), "", IF(F1204 = "Vara", IFERROR(_xlfn.SINGLE(_xlfn.XLOOKUP(G1204, Vöruskrá!A:A, Vöruskrá!N:N, "")) * I1204 / 100, ""), IF(F1204 = "Réttur", IFERROR(_xlfn.SINGLE(_xlfn.XLOOKUP(G1204, Réttabanki!A:A, Réttabanki!BB:BB, "")) * I1204 / 100, ""), "")))</f>
        <v/>
      </c>
    </row>
    <row r="1205" spans="2:17">
      <c r="B1205" s="33" t="str">
        <f>IF(A1205&lt;&gt;"",CHOOSE(WEEKDAY(A1205,2),"Mánudagur","Þriðjudagur","Miðvikudagur","Fimmtudagur","Föstudagur","Laugardagur","Sunnudagur"),IF(B1204&lt;&gt;"",B1204,""))</f>
        <v>Fimmtudagur</v>
      </c>
      <c r="C1205" s="33">
        <f>IF(A1205&lt;&gt;"",WEEKNUM(A1205,21),IF(C1204&lt;&gt;"",C1204,""))</f>
        <v>27</v>
      </c>
      <c r="D1205" s="34"/>
      <c r="E1205" s="34"/>
      <c r="F1205" s="34"/>
      <c r="G1205" s="34"/>
      <c r="H1205" s="34"/>
      <c r="I1205" s="35"/>
      <c r="J1205" s="35"/>
      <c r="K1205" s="36"/>
      <c r="L1205" s="26" t="str">
        <f>IF(OR(F1205 = "", G1205 = ""), "", IF(F1205 = "Vara", IFERROR(_xlfn.SINGLE(_xlfn.XLOOKUP(G1205, Vöruskrá!A:A, Vöruskrá!E:E, "")), ""), IF(F1205 = "Réttur", IFERROR(_xlfn.SINGLE(_xlfn.XLOOKUP(G1205, Réttabanki!A:A, Réttabanki!AS:AS, "")), ""), "")))</f>
        <v/>
      </c>
      <c r="M1205" s="26" t="str">
        <f>IF(OR(F1205 = "", G1205 = ""), "", IF(F1205 = "Vara", IFERROR(_xlfn.SINGLE(_xlfn.XLOOKUP(G1205, Vöruskrá!A:A, Vöruskrá!F:F, "")), ""), IF(F1205 = "Réttur", IFERROR(_xlfn.SINGLE(_xlfn.XLOOKUP(G1205, Réttabanki!A:A, Réttabanki!AT:AT, "")), ""), "")))</f>
        <v/>
      </c>
      <c r="N1205" s="26" t="str">
        <f>IF(OR(F1205 = "", G1205 = ""), "", IF(F1205 = "Vara", IFERROR(_xlfn.SINGLE(_xlfn.XLOOKUP(G1205, Vöruskrá!A:A, Vöruskrá!G:G, "")), ""), IF(F1205 = "Réttur", IFERROR(_xlfn.SINGLE(_xlfn.XLOOKUP(G1205, Réttabanki!A:A, Réttabanki!AU:AU, "")), ""), "")))</f>
        <v/>
      </c>
      <c r="O1205" s="26" t="str">
        <f>IF(OR(F1205 = "", G1205 = "", I1205 = ""), "", IF(F1205 = "Vara", IFERROR(_xlfn.SINGLE(_xlfn.XLOOKUP(G1205, Vöruskrá!A:A, Vöruskrá!I:I, "")) * I1205 / 100, ""), IF(F1205 = "Réttur", IFERROR(_xlfn.SINGLE(_xlfn.XLOOKUP(G1205, Réttabanki!A:A, Réttabanki!AV:AV, "")) * I1205 / 100, ""), "")))</f>
        <v/>
      </c>
      <c r="P1205" s="26" t="str">
        <f>IF(OR(F1205 = "", G1205 = "", I1205 = ""), "", IF(F1205 = "Vara", IFERROR(_xlfn.SINGLE(_xlfn.XLOOKUP(G1205, Vöruskrá!A:A, Vöruskrá!J:J, "")) * I1205 / 100, ""), IF(F1205 = "Réttur", IFERROR(_xlfn.SINGLE(_xlfn.XLOOKUP(G1205, Réttabanki!A:A, Réttabanki!AW:AW, "")) * I1205 / 100, ""), "")))</f>
        <v/>
      </c>
      <c r="Q1205" s="26" t="str">
        <f>IF(OR(F1205 = "", G1205 = "", I1205 = ""), "", IF(F1205 = "Vara", IFERROR(_xlfn.SINGLE(_xlfn.XLOOKUP(G1205, Vöruskrá!A:A, Vöruskrá!N:N, "")) * I1205 / 100, ""), IF(F1205 = "Réttur", IFERROR(_xlfn.SINGLE(_xlfn.XLOOKUP(G1205, Réttabanki!A:A, Réttabanki!BB:BB, "")) * I1205 / 100, ""), "")))</f>
        <v/>
      </c>
    </row>
    <row r="1206" spans="2:17">
      <c r="B1206" s="33" t="str">
        <f>IF(A1206&lt;&gt;"",CHOOSE(WEEKDAY(A1206,2),"Mánudagur","Þriðjudagur","Miðvikudagur","Fimmtudagur","Föstudagur","Laugardagur","Sunnudagur"),IF(B1205&lt;&gt;"",B1205,""))</f>
        <v>Fimmtudagur</v>
      </c>
      <c r="C1206" s="33">
        <f>IF(A1206&lt;&gt;"",WEEKNUM(A1206,21),IF(C1205&lt;&gt;"",C1205,""))</f>
        <v>27</v>
      </c>
      <c r="D1206" s="34"/>
      <c r="E1206" s="34"/>
      <c r="F1206" s="34"/>
      <c r="G1206" s="34"/>
      <c r="H1206" s="34"/>
      <c r="I1206" s="35"/>
      <c r="J1206" s="35"/>
      <c r="K1206" s="36"/>
      <c r="L1206" s="26" t="str">
        <f>IF(OR(F1206 = "", G1206 = ""), "", IF(F1206 = "Vara", IFERROR(_xlfn.SINGLE(_xlfn.XLOOKUP(G1206, Vöruskrá!A:A, Vöruskrá!E:E, "")), ""), IF(F1206 = "Réttur", IFERROR(_xlfn.SINGLE(_xlfn.XLOOKUP(G1206, Réttabanki!A:A, Réttabanki!AS:AS, "")), ""), "")))</f>
        <v/>
      </c>
      <c r="M1206" s="26" t="str">
        <f>IF(OR(F1206 = "", G1206 = ""), "", IF(F1206 = "Vara", IFERROR(_xlfn.SINGLE(_xlfn.XLOOKUP(G1206, Vöruskrá!A:A, Vöruskrá!F:F, "")), ""), IF(F1206 = "Réttur", IFERROR(_xlfn.SINGLE(_xlfn.XLOOKUP(G1206, Réttabanki!A:A, Réttabanki!AT:AT, "")), ""), "")))</f>
        <v/>
      </c>
      <c r="N1206" s="26" t="str">
        <f>IF(OR(F1206 = "", G1206 = ""), "", IF(F1206 = "Vara", IFERROR(_xlfn.SINGLE(_xlfn.XLOOKUP(G1206, Vöruskrá!A:A, Vöruskrá!G:G, "")), ""), IF(F1206 = "Réttur", IFERROR(_xlfn.SINGLE(_xlfn.XLOOKUP(G1206, Réttabanki!A:A, Réttabanki!AU:AU, "")), ""), "")))</f>
        <v/>
      </c>
      <c r="O1206" s="26" t="str">
        <f>IF(OR(F1206 = "", G1206 = "", I1206 = ""), "", IF(F1206 = "Vara", IFERROR(_xlfn.SINGLE(_xlfn.XLOOKUP(G1206, Vöruskrá!A:A, Vöruskrá!I:I, "")) * I1206 / 100, ""), IF(F1206 = "Réttur", IFERROR(_xlfn.SINGLE(_xlfn.XLOOKUP(G1206, Réttabanki!A:A, Réttabanki!AV:AV, "")) * I1206 / 100, ""), "")))</f>
        <v/>
      </c>
      <c r="P1206" s="26" t="str">
        <f>IF(OR(F1206 = "", G1206 = "", I1206 = ""), "", IF(F1206 = "Vara", IFERROR(_xlfn.SINGLE(_xlfn.XLOOKUP(G1206, Vöruskrá!A:A, Vöruskrá!J:J, "")) * I1206 / 100, ""), IF(F1206 = "Réttur", IFERROR(_xlfn.SINGLE(_xlfn.XLOOKUP(G1206, Réttabanki!A:A, Réttabanki!AW:AW, "")) * I1206 / 100, ""), "")))</f>
        <v/>
      </c>
      <c r="Q1206" s="26" t="str">
        <f>IF(OR(F1206 = "", G1206 = "", I1206 = ""), "", IF(F1206 = "Vara", IFERROR(_xlfn.SINGLE(_xlfn.XLOOKUP(G1206, Vöruskrá!A:A, Vöruskrá!N:N, "")) * I1206 / 100, ""), IF(F1206 = "Réttur", IFERROR(_xlfn.SINGLE(_xlfn.XLOOKUP(G1206, Réttabanki!A:A, Réttabanki!BB:BB, "")) * I1206 / 100, ""), "")))</f>
        <v/>
      </c>
    </row>
    <row r="1207" spans="2:17">
      <c r="B1207" s="33" t="str">
        <f>IF(A1207&lt;&gt;"",CHOOSE(WEEKDAY(A1207,2),"Mánudagur","Þriðjudagur","Miðvikudagur","Fimmtudagur","Föstudagur","Laugardagur","Sunnudagur"),IF(B1206&lt;&gt;"",B1206,""))</f>
        <v>Fimmtudagur</v>
      </c>
      <c r="C1207" s="33">
        <f>IF(A1207&lt;&gt;"",WEEKNUM(A1207,21),IF(C1206&lt;&gt;"",C1206,""))</f>
        <v>27</v>
      </c>
      <c r="D1207" s="34"/>
      <c r="E1207" s="34"/>
      <c r="F1207" s="34"/>
      <c r="G1207" s="34"/>
      <c r="H1207" s="34"/>
      <c r="I1207" s="35"/>
      <c r="J1207" s="35"/>
      <c r="K1207" s="36"/>
      <c r="L1207" s="26" t="str">
        <f>IF(OR(F1207 = "", G1207 = ""), "", IF(F1207 = "Vara", IFERROR(_xlfn.SINGLE(_xlfn.XLOOKUP(G1207, Vöruskrá!A:A, Vöruskrá!E:E, "")), ""), IF(F1207 = "Réttur", IFERROR(_xlfn.SINGLE(_xlfn.XLOOKUP(G1207, Réttabanki!A:A, Réttabanki!AS:AS, "")), ""), "")))</f>
        <v/>
      </c>
      <c r="M1207" s="26" t="str">
        <f>IF(OR(F1207 = "", G1207 = ""), "", IF(F1207 = "Vara", IFERROR(_xlfn.SINGLE(_xlfn.XLOOKUP(G1207, Vöruskrá!A:A, Vöruskrá!F:F, "")), ""), IF(F1207 = "Réttur", IFERROR(_xlfn.SINGLE(_xlfn.XLOOKUP(G1207, Réttabanki!A:A, Réttabanki!AT:AT, "")), ""), "")))</f>
        <v/>
      </c>
      <c r="N1207" s="26" t="str">
        <f>IF(OR(F1207 = "", G1207 = ""), "", IF(F1207 = "Vara", IFERROR(_xlfn.SINGLE(_xlfn.XLOOKUP(G1207, Vöruskrá!A:A, Vöruskrá!G:G, "")), ""), IF(F1207 = "Réttur", IFERROR(_xlfn.SINGLE(_xlfn.XLOOKUP(G1207, Réttabanki!A:A, Réttabanki!AU:AU, "")), ""), "")))</f>
        <v/>
      </c>
      <c r="O1207" s="26" t="str">
        <f>IF(OR(F1207 = "", G1207 = "", I1207 = ""), "", IF(F1207 = "Vara", IFERROR(_xlfn.SINGLE(_xlfn.XLOOKUP(G1207, Vöruskrá!A:A, Vöruskrá!I:I, "")) * I1207 / 100, ""), IF(F1207 = "Réttur", IFERROR(_xlfn.SINGLE(_xlfn.XLOOKUP(G1207, Réttabanki!A:A, Réttabanki!AV:AV, "")) * I1207 / 100, ""), "")))</f>
        <v/>
      </c>
      <c r="P1207" s="26" t="str">
        <f>IF(OR(F1207 = "", G1207 = "", I1207 = ""), "", IF(F1207 = "Vara", IFERROR(_xlfn.SINGLE(_xlfn.XLOOKUP(G1207, Vöruskrá!A:A, Vöruskrá!J:J, "")) * I1207 / 100, ""), IF(F1207 = "Réttur", IFERROR(_xlfn.SINGLE(_xlfn.XLOOKUP(G1207, Réttabanki!A:A, Réttabanki!AW:AW, "")) * I1207 / 100, ""), "")))</f>
        <v/>
      </c>
      <c r="Q1207" s="26" t="str">
        <f>IF(OR(F1207 = "", G1207 = "", I1207 = ""), "", IF(F1207 = "Vara", IFERROR(_xlfn.SINGLE(_xlfn.XLOOKUP(G1207, Vöruskrá!A:A, Vöruskrá!N:N, "")) * I1207 / 100, ""), IF(F1207 = "Réttur", IFERROR(_xlfn.SINGLE(_xlfn.XLOOKUP(G1207, Réttabanki!A:A, Réttabanki!BB:BB, "")) * I1207 / 100, ""), "")))</f>
        <v/>
      </c>
    </row>
    <row r="1208" spans="2:17">
      <c r="B1208" s="33" t="str">
        <f>IF(A1208&lt;&gt;"",CHOOSE(WEEKDAY(A1208,2),"Mánudagur","Þriðjudagur","Miðvikudagur","Fimmtudagur","Föstudagur","Laugardagur","Sunnudagur"),IF(B1207&lt;&gt;"",B1207,""))</f>
        <v>Fimmtudagur</v>
      </c>
      <c r="C1208" s="33">
        <f>IF(A1208&lt;&gt;"",WEEKNUM(A1208,21),IF(C1207&lt;&gt;"",C1207,""))</f>
        <v>27</v>
      </c>
      <c r="D1208" s="34"/>
      <c r="E1208" s="34"/>
      <c r="F1208" s="34"/>
      <c r="G1208" s="34"/>
      <c r="H1208" s="34"/>
      <c r="I1208" s="35"/>
      <c r="J1208" s="35"/>
      <c r="K1208" s="36"/>
      <c r="L1208" s="26" t="str">
        <f>IF(OR(F1208 = "", G1208 = ""), "", IF(F1208 = "Vara", IFERROR(_xlfn.SINGLE(_xlfn.XLOOKUP(G1208, Vöruskrá!A:A, Vöruskrá!E:E, "")), ""), IF(F1208 = "Réttur", IFERROR(_xlfn.SINGLE(_xlfn.XLOOKUP(G1208, Réttabanki!A:A, Réttabanki!AS:AS, "")), ""), "")))</f>
        <v/>
      </c>
      <c r="M1208" s="26" t="str">
        <f>IF(OR(F1208 = "", G1208 = ""), "", IF(F1208 = "Vara", IFERROR(_xlfn.SINGLE(_xlfn.XLOOKUP(G1208, Vöruskrá!A:A, Vöruskrá!F:F, "")), ""), IF(F1208 = "Réttur", IFERROR(_xlfn.SINGLE(_xlfn.XLOOKUP(G1208, Réttabanki!A:A, Réttabanki!AT:AT, "")), ""), "")))</f>
        <v/>
      </c>
      <c r="N1208" s="26" t="str">
        <f>IF(OR(F1208 = "", G1208 = ""), "", IF(F1208 = "Vara", IFERROR(_xlfn.SINGLE(_xlfn.XLOOKUP(G1208, Vöruskrá!A:A, Vöruskrá!G:G, "")), ""), IF(F1208 = "Réttur", IFERROR(_xlfn.SINGLE(_xlfn.XLOOKUP(G1208, Réttabanki!A:A, Réttabanki!AU:AU, "")), ""), "")))</f>
        <v/>
      </c>
      <c r="O1208" s="26" t="str">
        <f>IF(OR(F1208 = "", G1208 = "", I1208 = ""), "", IF(F1208 = "Vara", IFERROR(_xlfn.SINGLE(_xlfn.XLOOKUP(G1208, Vöruskrá!A:A, Vöruskrá!I:I, "")) * I1208 / 100, ""), IF(F1208 = "Réttur", IFERROR(_xlfn.SINGLE(_xlfn.XLOOKUP(G1208, Réttabanki!A:A, Réttabanki!AV:AV, "")) * I1208 / 100, ""), "")))</f>
        <v/>
      </c>
      <c r="P1208" s="26" t="str">
        <f>IF(OR(F1208 = "", G1208 = "", I1208 = ""), "", IF(F1208 = "Vara", IFERROR(_xlfn.SINGLE(_xlfn.XLOOKUP(G1208, Vöruskrá!A:A, Vöruskrá!J:J, "")) * I1208 / 100, ""), IF(F1208 = "Réttur", IFERROR(_xlfn.SINGLE(_xlfn.XLOOKUP(G1208, Réttabanki!A:A, Réttabanki!AW:AW, "")) * I1208 / 100, ""), "")))</f>
        <v/>
      </c>
      <c r="Q1208" s="26" t="str">
        <f>IF(OR(F1208 = "", G1208 = "", I1208 = ""), "", IF(F1208 = "Vara", IFERROR(_xlfn.SINGLE(_xlfn.XLOOKUP(G1208, Vöruskrá!A:A, Vöruskrá!N:N, "")) * I1208 / 100, ""), IF(F1208 = "Réttur", IFERROR(_xlfn.SINGLE(_xlfn.XLOOKUP(G1208, Réttabanki!A:A, Réttabanki!BB:BB, "")) * I1208 / 100, ""), "")))</f>
        <v/>
      </c>
    </row>
    <row r="1209" spans="2:17">
      <c r="B1209" s="33" t="str">
        <f>IF(A1209&lt;&gt;"",CHOOSE(WEEKDAY(A1209,2),"Mánudagur","Þriðjudagur","Miðvikudagur","Fimmtudagur","Föstudagur","Laugardagur","Sunnudagur"),IF(B1208&lt;&gt;"",B1208,""))</f>
        <v>Fimmtudagur</v>
      </c>
      <c r="C1209" s="33">
        <f>IF(A1209&lt;&gt;"",WEEKNUM(A1209,21),IF(C1208&lt;&gt;"",C1208,""))</f>
        <v>27</v>
      </c>
      <c r="D1209" s="34"/>
      <c r="E1209" s="34"/>
      <c r="F1209" s="34"/>
      <c r="G1209" s="34"/>
      <c r="H1209" s="34"/>
      <c r="I1209" s="35"/>
      <c r="J1209" s="35"/>
      <c r="K1209" s="36"/>
      <c r="L1209" s="26" t="str">
        <f>IF(OR(F1209 = "", G1209 = ""), "", IF(F1209 = "Vara", IFERROR(_xlfn.SINGLE(_xlfn.XLOOKUP(G1209, Vöruskrá!A:A, Vöruskrá!E:E, "")), ""), IF(F1209 = "Réttur", IFERROR(_xlfn.SINGLE(_xlfn.XLOOKUP(G1209, Réttabanki!A:A, Réttabanki!AS:AS, "")), ""), "")))</f>
        <v/>
      </c>
      <c r="M1209" s="26" t="str">
        <f>IF(OR(F1209 = "", G1209 = ""), "", IF(F1209 = "Vara", IFERROR(_xlfn.SINGLE(_xlfn.XLOOKUP(G1209, Vöruskrá!A:A, Vöruskrá!F:F, "")), ""), IF(F1209 = "Réttur", IFERROR(_xlfn.SINGLE(_xlfn.XLOOKUP(G1209, Réttabanki!A:A, Réttabanki!AT:AT, "")), ""), "")))</f>
        <v/>
      </c>
      <c r="N1209" s="26" t="str">
        <f>IF(OR(F1209 = "", G1209 = ""), "", IF(F1209 = "Vara", IFERROR(_xlfn.SINGLE(_xlfn.XLOOKUP(G1209, Vöruskrá!A:A, Vöruskrá!G:G, "")), ""), IF(F1209 = "Réttur", IFERROR(_xlfn.SINGLE(_xlfn.XLOOKUP(G1209, Réttabanki!A:A, Réttabanki!AU:AU, "")), ""), "")))</f>
        <v/>
      </c>
      <c r="O1209" s="26" t="str">
        <f>IF(OR(F1209 = "", G1209 = "", I1209 = ""), "", IF(F1209 = "Vara", IFERROR(_xlfn.SINGLE(_xlfn.XLOOKUP(G1209, Vöruskrá!A:A, Vöruskrá!I:I, "")) * I1209 / 100, ""), IF(F1209 = "Réttur", IFERROR(_xlfn.SINGLE(_xlfn.XLOOKUP(G1209, Réttabanki!A:A, Réttabanki!AV:AV, "")) * I1209 / 100, ""), "")))</f>
        <v/>
      </c>
      <c r="P1209" s="26" t="str">
        <f>IF(OR(F1209 = "", G1209 = "", I1209 = ""), "", IF(F1209 = "Vara", IFERROR(_xlfn.SINGLE(_xlfn.XLOOKUP(G1209, Vöruskrá!A:A, Vöruskrá!J:J, "")) * I1209 / 100, ""), IF(F1209 = "Réttur", IFERROR(_xlfn.SINGLE(_xlfn.XLOOKUP(G1209, Réttabanki!A:A, Réttabanki!AW:AW, "")) * I1209 / 100, ""), "")))</f>
        <v/>
      </c>
      <c r="Q1209" s="26" t="str">
        <f>IF(OR(F1209 = "", G1209 = "", I1209 = ""), "", IF(F1209 = "Vara", IFERROR(_xlfn.SINGLE(_xlfn.XLOOKUP(G1209, Vöruskrá!A:A, Vöruskrá!N:N, "")) * I1209 / 100, ""), IF(F1209 = "Réttur", IFERROR(_xlfn.SINGLE(_xlfn.XLOOKUP(G1209, Réttabanki!A:A, Réttabanki!BB:BB, "")) * I1209 / 100, ""), "")))</f>
        <v/>
      </c>
    </row>
    <row r="1210" spans="2:17">
      <c r="B1210" s="33" t="str">
        <f>IF(A1210&lt;&gt;"",CHOOSE(WEEKDAY(A1210,2),"Mánudagur","Þriðjudagur","Miðvikudagur","Fimmtudagur","Föstudagur","Laugardagur","Sunnudagur"),IF(B1209&lt;&gt;"",B1209,""))</f>
        <v>Fimmtudagur</v>
      </c>
      <c r="C1210" s="33">
        <f>IF(A1210&lt;&gt;"",WEEKNUM(A1210,21),IF(C1209&lt;&gt;"",C1209,""))</f>
        <v>27</v>
      </c>
      <c r="D1210" s="34"/>
      <c r="E1210" s="34"/>
      <c r="F1210" s="34"/>
      <c r="G1210" s="34"/>
      <c r="H1210" s="34"/>
      <c r="I1210" s="35"/>
      <c r="J1210" s="35"/>
      <c r="K1210" s="36"/>
      <c r="L1210" s="26" t="str">
        <f>IF(OR(F1210 = "", G1210 = ""), "", IF(F1210 = "Vara", IFERROR(_xlfn.SINGLE(_xlfn.XLOOKUP(G1210, Vöruskrá!A:A, Vöruskrá!E:E, "")), ""), IF(F1210 = "Réttur", IFERROR(_xlfn.SINGLE(_xlfn.XLOOKUP(G1210, Réttabanki!A:A, Réttabanki!AS:AS, "")), ""), "")))</f>
        <v/>
      </c>
      <c r="M1210" s="26" t="str">
        <f>IF(OR(F1210 = "", G1210 = ""), "", IF(F1210 = "Vara", IFERROR(_xlfn.SINGLE(_xlfn.XLOOKUP(G1210, Vöruskrá!A:A, Vöruskrá!F:F, "")), ""), IF(F1210 = "Réttur", IFERROR(_xlfn.SINGLE(_xlfn.XLOOKUP(G1210, Réttabanki!A:A, Réttabanki!AT:AT, "")), ""), "")))</f>
        <v/>
      </c>
      <c r="N1210" s="26" t="str">
        <f>IF(OR(F1210 = "", G1210 = ""), "", IF(F1210 = "Vara", IFERROR(_xlfn.SINGLE(_xlfn.XLOOKUP(G1210, Vöruskrá!A:A, Vöruskrá!G:G, "")), ""), IF(F1210 = "Réttur", IFERROR(_xlfn.SINGLE(_xlfn.XLOOKUP(G1210, Réttabanki!A:A, Réttabanki!AU:AU, "")), ""), "")))</f>
        <v/>
      </c>
      <c r="O1210" s="26" t="str">
        <f>IF(OR(F1210 = "", G1210 = "", I1210 = ""), "", IF(F1210 = "Vara", IFERROR(_xlfn.SINGLE(_xlfn.XLOOKUP(G1210, Vöruskrá!A:A, Vöruskrá!I:I, "")) * I1210 / 100, ""), IF(F1210 = "Réttur", IFERROR(_xlfn.SINGLE(_xlfn.XLOOKUP(G1210, Réttabanki!A:A, Réttabanki!AV:AV, "")) * I1210 / 100, ""), "")))</f>
        <v/>
      </c>
      <c r="P1210" s="26" t="str">
        <f>IF(OR(F1210 = "", G1210 = "", I1210 = ""), "", IF(F1210 = "Vara", IFERROR(_xlfn.SINGLE(_xlfn.XLOOKUP(G1210, Vöruskrá!A:A, Vöruskrá!J:J, "")) * I1210 / 100, ""), IF(F1210 = "Réttur", IFERROR(_xlfn.SINGLE(_xlfn.XLOOKUP(G1210, Réttabanki!A:A, Réttabanki!AW:AW, "")) * I1210 / 100, ""), "")))</f>
        <v/>
      </c>
      <c r="Q1210" s="26" t="str">
        <f>IF(OR(F1210 = "", G1210 = "", I1210 = ""), "", IF(F1210 = "Vara", IFERROR(_xlfn.SINGLE(_xlfn.XLOOKUP(G1210, Vöruskrá!A:A, Vöruskrá!N:N, "")) * I1210 / 100, ""), IF(F1210 = "Réttur", IFERROR(_xlfn.SINGLE(_xlfn.XLOOKUP(G1210, Réttabanki!A:A, Réttabanki!BB:BB, "")) * I1210 / 100, ""), "")))</f>
        <v/>
      </c>
    </row>
    <row r="1211" spans="2:17">
      <c r="B1211" s="33" t="str">
        <f>IF(A1211&lt;&gt;"",CHOOSE(WEEKDAY(A1211,2),"Mánudagur","Þriðjudagur","Miðvikudagur","Fimmtudagur","Föstudagur","Laugardagur","Sunnudagur"),IF(B1210&lt;&gt;"",B1210,""))</f>
        <v>Fimmtudagur</v>
      </c>
      <c r="C1211" s="33">
        <f>IF(A1211&lt;&gt;"",WEEKNUM(A1211,21),IF(C1210&lt;&gt;"",C1210,""))</f>
        <v>27</v>
      </c>
      <c r="D1211" s="34"/>
      <c r="E1211" s="34"/>
      <c r="F1211" s="34"/>
      <c r="G1211" s="34"/>
      <c r="H1211" s="34"/>
      <c r="I1211" s="35"/>
      <c r="J1211" s="35"/>
      <c r="K1211" s="36"/>
      <c r="L1211" s="26" t="str">
        <f>IF(OR(F1211 = "", G1211 = ""), "", IF(F1211 = "Vara", IFERROR(_xlfn.SINGLE(_xlfn.XLOOKUP(G1211, Vöruskrá!A:A, Vöruskrá!E:E, "")), ""), IF(F1211 = "Réttur", IFERROR(_xlfn.SINGLE(_xlfn.XLOOKUP(G1211, Réttabanki!A:A, Réttabanki!AS:AS, "")), ""), "")))</f>
        <v/>
      </c>
      <c r="M1211" s="26" t="str">
        <f>IF(OR(F1211 = "", G1211 = ""), "", IF(F1211 = "Vara", IFERROR(_xlfn.SINGLE(_xlfn.XLOOKUP(G1211, Vöruskrá!A:A, Vöruskrá!F:F, "")), ""), IF(F1211 = "Réttur", IFERROR(_xlfn.SINGLE(_xlfn.XLOOKUP(G1211, Réttabanki!A:A, Réttabanki!AT:AT, "")), ""), "")))</f>
        <v/>
      </c>
      <c r="N1211" s="26" t="str">
        <f>IF(OR(F1211 = "", G1211 = ""), "", IF(F1211 = "Vara", IFERROR(_xlfn.SINGLE(_xlfn.XLOOKUP(G1211, Vöruskrá!A:A, Vöruskrá!G:G, "")), ""), IF(F1211 = "Réttur", IFERROR(_xlfn.SINGLE(_xlfn.XLOOKUP(G1211, Réttabanki!A:A, Réttabanki!AU:AU, "")), ""), "")))</f>
        <v/>
      </c>
      <c r="O1211" s="26" t="str">
        <f>IF(OR(F1211 = "", G1211 = "", I1211 = ""), "", IF(F1211 = "Vara", IFERROR(_xlfn.SINGLE(_xlfn.XLOOKUP(G1211, Vöruskrá!A:A, Vöruskrá!I:I, "")) * I1211 / 100, ""), IF(F1211 = "Réttur", IFERROR(_xlfn.SINGLE(_xlfn.XLOOKUP(G1211, Réttabanki!A:A, Réttabanki!AV:AV, "")) * I1211 / 100, ""), "")))</f>
        <v/>
      </c>
      <c r="P1211" s="26" t="str">
        <f>IF(OR(F1211 = "", G1211 = "", I1211 = ""), "", IF(F1211 = "Vara", IFERROR(_xlfn.SINGLE(_xlfn.XLOOKUP(G1211, Vöruskrá!A:A, Vöruskrá!J:J, "")) * I1211 / 100, ""), IF(F1211 = "Réttur", IFERROR(_xlfn.SINGLE(_xlfn.XLOOKUP(G1211, Réttabanki!A:A, Réttabanki!AW:AW, "")) * I1211 / 100, ""), "")))</f>
        <v/>
      </c>
      <c r="Q1211" s="26" t="str">
        <f>IF(OR(F1211 = "", G1211 = "", I1211 = ""), "", IF(F1211 = "Vara", IFERROR(_xlfn.SINGLE(_xlfn.XLOOKUP(G1211, Vöruskrá!A:A, Vöruskrá!N:N, "")) * I1211 / 100, ""), IF(F1211 = "Réttur", IFERROR(_xlfn.SINGLE(_xlfn.XLOOKUP(G1211, Réttabanki!A:A, Réttabanki!BB:BB, "")) * I1211 / 100, ""), "")))</f>
        <v/>
      </c>
    </row>
    <row r="1212" spans="2:17">
      <c r="B1212" s="33" t="str">
        <f>IF(A1212&lt;&gt;"",CHOOSE(WEEKDAY(A1212,2),"Mánudagur","Þriðjudagur","Miðvikudagur","Fimmtudagur","Föstudagur","Laugardagur","Sunnudagur"),IF(B1211&lt;&gt;"",B1211,""))</f>
        <v>Fimmtudagur</v>
      </c>
      <c r="C1212" s="33">
        <f>IF(A1212&lt;&gt;"",WEEKNUM(A1212,21),IF(C1211&lt;&gt;"",C1211,""))</f>
        <v>27</v>
      </c>
      <c r="D1212" s="34"/>
      <c r="E1212" s="34"/>
      <c r="F1212" s="34"/>
      <c r="G1212" s="34"/>
      <c r="H1212" s="34"/>
      <c r="I1212" s="35"/>
      <c r="J1212" s="35"/>
      <c r="K1212" s="36"/>
      <c r="L1212" s="26" t="str">
        <f>IF(OR(F1212 = "", G1212 = ""), "", IF(F1212 = "Vara", IFERROR(_xlfn.SINGLE(_xlfn.XLOOKUP(G1212, Vöruskrá!A:A, Vöruskrá!E:E, "")), ""), IF(F1212 = "Réttur", IFERROR(_xlfn.SINGLE(_xlfn.XLOOKUP(G1212, Réttabanki!A:A, Réttabanki!AS:AS, "")), ""), "")))</f>
        <v/>
      </c>
      <c r="M1212" s="26" t="str">
        <f>IF(OR(F1212 = "", G1212 = ""), "", IF(F1212 = "Vara", IFERROR(_xlfn.SINGLE(_xlfn.XLOOKUP(G1212, Vöruskrá!A:A, Vöruskrá!F:F, "")), ""), IF(F1212 = "Réttur", IFERROR(_xlfn.SINGLE(_xlfn.XLOOKUP(G1212, Réttabanki!A:A, Réttabanki!AT:AT, "")), ""), "")))</f>
        <v/>
      </c>
      <c r="N1212" s="26" t="str">
        <f>IF(OR(F1212 = "", G1212 = ""), "", IF(F1212 = "Vara", IFERROR(_xlfn.SINGLE(_xlfn.XLOOKUP(G1212, Vöruskrá!A:A, Vöruskrá!G:G, "")), ""), IF(F1212 = "Réttur", IFERROR(_xlfn.SINGLE(_xlfn.XLOOKUP(G1212, Réttabanki!A:A, Réttabanki!AU:AU, "")), ""), "")))</f>
        <v/>
      </c>
      <c r="O1212" s="26" t="str">
        <f>IF(OR(F1212 = "", G1212 = "", I1212 = ""), "", IF(F1212 = "Vara", IFERROR(_xlfn.SINGLE(_xlfn.XLOOKUP(G1212, Vöruskrá!A:A, Vöruskrá!I:I, "")) * I1212 / 100, ""), IF(F1212 = "Réttur", IFERROR(_xlfn.SINGLE(_xlfn.XLOOKUP(G1212, Réttabanki!A:A, Réttabanki!AV:AV, "")) * I1212 / 100, ""), "")))</f>
        <v/>
      </c>
      <c r="P1212" s="26" t="str">
        <f>IF(OR(F1212 = "", G1212 = "", I1212 = ""), "", IF(F1212 = "Vara", IFERROR(_xlfn.SINGLE(_xlfn.XLOOKUP(G1212, Vöruskrá!A:A, Vöruskrá!J:J, "")) * I1212 / 100, ""), IF(F1212 = "Réttur", IFERROR(_xlfn.SINGLE(_xlfn.XLOOKUP(G1212, Réttabanki!A:A, Réttabanki!AW:AW, "")) * I1212 / 100, ""), "")))</f>
        <v/>
      </c>
      <c r="Q1212" s="26" t="str">
        <f>IF(OR(F1212 = "", G1212 = "", I1212 = ""), "", IF(F1212 = "Vara", IFERROR(_xlfn.SINGLE(_xlfn.XLOOKUP(G1212, Vöruskrá!A:A, Vöruskrá!N:N, "")) * I1212 / 100, ""), IF(F1212 = "Réttur", IFERROR(_xlfn.SINGLE(_xlfn.XLOOKUP(G1212, Réttabanki!A:A, Réttabanki!BB:BB, "")) * I1212 / 100, ""), "")))</f>
        <v/>
      </c>
    </row>
    <row r="1213" spans="2:17">
      <c r="B1213" s="33" t="str">
        <f>IF(A1213&lt;&gt;"",CHOOSE(WEEKDAY(A1213,2),"Mánudagur","Þriðjudagur","Miðvikudagur","Fimmtudagur","Föstudagur","Laugardagur","Sunnudagur"),IF(B1212&lt;&gt;"",B1212,""))</f>
        <v>Fimmtudagur</v>
      </c>
      <c r="C1213" s="33">
        <f>IF(A1213&lt;&gt;"",WEEKNUM(A1213,21),IF(C1212&lt;&gt;"",C1212,""))</f>
        <v>27</v>
      </c>
      <c r="D1213" s="34"/>
      <c r="E1213" s="34"/>
      <c r="F1213" s="34"/>
      <c r="G1213" s="34"/>
      <c r="H1213" s="34"/>
      <c r="I1213" s="35"/>
      <c r="J1213" s="35"/>
      <c r="K1213" s="36"/>
      <c r="L1213" s="26" t="str">
        <f>IF(OR(F1213 = "", G1213 = ""), "", IF(F1213 = "Vara", IFERROR(_xlfn.SINGLE(_xlfn.XLOOKUP(G1213, Vöruskrá!A:A, Vöruskrá!E:E, "")), ""), IF(F1213 = "Réttur", IFERROR(_xlfn.SINGLE(_xlfn.XLOOKUP(G1213, Réttabanki!A:A, Réttabanki!AS:AS, "")), ""), "")))</f>
        <v/>
      </c>
      <c r="M1213" s="26" t="str">
        <f>IF(OR(F1213 = "", G1213 = ""), "", IF(F1213 = "Vara", IFERROR(_xlfn.SINGLE(_xlfn.XLOOKUP(G1213, Vöruskrá!A:A, Vöruskrá!F:F, "")), ""), IF(F1213 = "Réttur", IFERROR(_xlfn.SINGLE(_xlfn.XLOOKUP(G1213, Réttabanki!A:A, Réttabanki!AT:AT, "")), ""), "")))</f>
        <v/>
      </c>
      <c r="N1213" s="26" t="str">
        <f>IF(OR(F1213 = "", G1213 = ""), "", IF(F1213 = "Vara", IFERROR(_xlfn.SINGLE(_xlfn.XLOOKUP(G1213, Vöruskrá!A:A, Vöruskrá!G:G, "")), ""), IF(F1213 = "Réttur", IFERROR(_xlfn.SINGLE(_xlfn.XLOOKUP(G1213, Réttabanki!A:A, Réttabanki!AU:AU, "")), ""), "")))</f>
        <v/>
      </c>
      <c r="O1213" s="26" t="str">
        <f>IF(OR(F1213 = "", G1213 = "", I1213 = ""), "", IF(F1213 = "Vara", IFERROR(_xlfn.SINGLE(_xlfn.XLOOKUP(G1213, Vöruskrá!A:A, Vöruskrá!I:I, "")) * I1213 / 100, ""), IF(F1213 = "Réttur", IFERROR(_xlfn.SINGLE(_xlfn.XLOOKUP(G1213, Réttabanki!A:A, Réttabanki!AV:AV, "")) * I1213 / 100, ""), "")))</f>
        <v/>
      </c>
      <c r="P1213" s="26" t="str">
        <f>IF(OR(F1213 = "", G1213 = "", I1213 = ""), "", IF(F1213 = "Vara", IFERROR(_xlfn.SINGLE(_xlfn.XLOOKUP(G1213, Vöruskrá!A:A, Vöruskrá!J:J, "")) * I1213 / 100, ""), IF(F1213 = "Réttur", IFERROR(_xlfn.SINGLE(_xlfn.XLOOKUP(G1213, Réttabanki!A:A, Réttabanki!AW:AW, "")) * I1213 / 100, ""), "")))</f>
        <v/>
      </c>
      <c r="Q1213" s="26" t="str">
        <f>IF(OR(F1213 = "", G1213 = "", I1213 = ""), "", IF(F1213 = "Vara", IFERROR(_xlfn.SINGLE(_xlfn.XLOOKUP(G1213, Vöruskrá!A:A, Vöruskrá!N:N, "")) * I1213 / 100, ""), IF(F1213 = "Réttur", IFERROR(_xlfn.SINGLE(_xlfn.XLOOKUP(G1213, Réttabanki!A:A, Réttabanki!BB:BB, "")) * I1213 / 100, ""), "")))</f>
        <v/>
      </c>
    </row>
    <row r="1214" spans="2:17">
      <c r="B1214" s="33" t="str">
        <f>IF(A1214&lt;&gt;"",CHOOSE(WEEKDAY(A1214,2),"Mánudagur","Þriðjudagur","Miðvikudagur","Fimmtudagur","Föstudagur","Laugardagur","Sunnudagur"),IF(B1213&lt;&gt;"",B1213,""))</f>
        <v>Fimmtudagur</v>
      </c>
      <c r="C1214" s="33">
        <f>IF(A1214&lt;&gt;"",WEEKNUM(A1214,21),IF(C1213&lt;&gt;"",C1213,""))</f>
        <v>27</v>
      </c>
      <c r="D1214" s="34"/>
      <c r="E1214" s="34"/>
      <c r="F1214" s="34"/>
      <c r="G1214" s="34"/>
      <c r="H1214" s="34"/>
      <c r="I1214" s="35"/>
      <c r="J1214" s="35"/>
      <c r="K1214" s="36"/>
      <c r="L1214" s="26" t="str">
        <f>IF(OR(F1214 = "", G1214 = ""), "", IF(F1214 = "Vara", IFERROR(_xlfn.SINGLE(_xlfn.XLOOKUP(G1214, Vöruskrá!A:A, Vöruskrá!E:E, "")), ""), IF(F1214 = "Réttur", IFERROR(_xlfn.SINGLE(_xlfn.XLOOKUP(G1214, Réttabanki!A:A, Réttabanki!AS:AS, "")), ""), "")))</f>
        <v/>
      </c>
      <c r="M1214" s="26" t="str">
        <f>IF(OR(F1214 = "", G1214 = ""), "", IF(F1214 = "Vara", IFERROR(_xlfn.SINGLE(_xlfn.XLOOKUP(G1214, Vöruskrá!A:A, Vöruskrá!F:F, "")), ""), IF(F1214 = "Réttur", IFERROR(_xlfn.SINGLE(_xlfn.XLOOKUP(G1214, Réttabanki!A:A, Réttabanki!AT:AT, "")), ""), "")))</f>
        <v/>
      </c>
      <c r="N1214" s="26" t="str">
        <f>IF(OR(F1214 = "", G1214 = ""), "", IF(F1214 = "Vara", IFERROR(_xlfn.SINGLE(_xlfn.XLOOKUP(G1214, Vöruskrá!A:A, Vöruskrá!G:G, "")), ""), IF(F1214 = "Réttur", IFERROR(_xlfn.SINGLE(_xlfn.XLOOKUP(G1214, Réttabanki!A:A, Réttabanki!AU:AU, "")), ""), "")))</f>
        <v/>
      </c>
      <c r="O1214" s="26" t="str">
        <f>IF(OR(F1214 = "", G1214 = "", I1214 = ""), "", IF(F1214 = "Vara", IFERROR(_xlfn.SINGLE(_xlfn.XLOOKUP(G1214, Vöruskrá!A:A, Vöruskrá!I:I, "")) * I1214 / 100, ""), IF(F1214 = "Réttur", IFERROR(_xlfn.SINGLE(_xlfn.XLOOKUP(G1214, Réttabanki!A:A, Réttabanki!AV:AV, "")) * I1214 / 100, ""), "")))</f>
        <v/>
      </c>
      <c r="P1214" s="26" t="str">
        <f>IF(OR(F1214 = "", G1214 = "", I1214 = ""), "", IF(F1214 = "Vara", IFERROR(_xlfn.SINGLE(_xlfn.XLOOKUP(G1214, Vöruskrá!A:A, Vöruskrá!J:J, "")) * I1214 / 100, ""), IF(F1214 = "Réttur", IFERROR(_xlfn.SINGLE(_xlfn.XLOOKUP(G1214, Réttabanki!A:A, Réttabanki!AW:AW, "")) * I1214 / 100, ""), "")))</f>
        <v/>
      </c>
      <c r="Q1214" s="26" t="str">
        <f>IF(OR(F1214 = "", G1214 = "", I1214 = ""), "", IF(F1214 = "Vara", IFERROR(_xlfn.SINGLE(_xlfn.XLOOKUP(G1214, Vöruskrá!A:A, Vöruskrá!N:N, "")) * I1214 / 100, ""), IF(F1214 = "Réttur", IFERROR(_xlfn.SINGLE(_xlfn.XLOOKUP(G1214, Réttabanki!A:A, Réttabanki!BB:BB, "")) * I1214 / 100, ""), "")))</f>
        <v/>
      </c>
    </row>
    <row r="1215" spans="2:17">
      <c r="B1215" s="33" t="str">
        <f>IF(A1215&lt;&gt;"",CHOOSE(WEEKDAY(A1215,2),"Mánudagur","Þriðjudagur","Miðvikudagur","Fimmtudagur","Föstudagur","Laugardagur","Sunnudagur"),IF(B1214&lt;&gt;"",B1214,""))</f>
        <v>Fimmtudagur</v>
      </c>
      <c r="C1215" s="33">
        <f>IF(A1215&lt;&gt;"",WEEKNUM(A1215,21),IF(C1214&lt;&gt;"",C1214,""))</f>
        <v>27</v>
      </c>
      <c r="D1215" s="34"/>
      <c r="E1215" s="34"/>
      <c r="F1215" s="34"/>
      <c r="G1215" s="34"/>
      <c r="H1215" s="34"/>
      <c r="I1215" s="35"/>
      <c r="J1215" s="35"/>
      <c r="K1215" s="36"/>
      <c r="L1215" s="26" t="str">
        <f>IF(OR(F1215 = "", G1215 = ""), "", IF(F1215 = "Vara", IFERROR(_xlfn.SINGLE(_xlfn.XLOOKUP(G1215, Vöruskrá!A:A, Vöruskrá!E:E, "")), ""), IF(F1215 = "Réttur", IFERROR(_xlfn.SINGLE(_xlfn.XLOOKUP(G1215, Réttabanki!A:A, Réttabanki!AS:AS, "")), ""), "")))</f>
        <v/>
      </c>
      <c r="M1215" s="26" t="str">
        <f>IF(OR(F1215 = "", G1215 = ""), "", IF(F1215 = "Vara", IFERROR(_xlfn.SINGLE(_xlfn.XLOOKUP(G1215, Vöruskrá!A:A, Vöruskrá!F:F, "")), ""), IF(F1215 = "Réttur", IFERROR(_xlfn.SINGLE(_xlfn.XLOOKUP(G1215, Réttabanki!A:A, Réttabanki!AT:AT, "")), ""), "")))</f>
        <v/>
      </c>
      <c r="N1215" s="26" t="str">
        <f>IF(OR(F1215 = "", G1215 = ""), "", IF(F1215 = "Vara", IFERROR(_xlfn.SINGLE(_xlfn.XLOOKUP(G1215, Vöruskrá!A:A, Vöruskrá!G:G, "")), ""), IF(F1215 = "Réttur", IFERROR(_xlfn.SINGLE(_xlfn.XLOOKUP(G1215, Réttabanki!A:A, Réttabanki!AU:AU, "")), ""), "")))</f>
        <v/>
      </c>
      <c r="O1215" s="26" t="str">
        <f>IF(OR(F1215 = "", G1215 = "", I1215 = ""), "", IF(F1215 = "Vara", IFERROR(_xlfn.SINGLE(_xlfn.XLOOKUP(G1215, Vöruskrá!A:A, Vöruskrá!I:I, "")) * I1215 / 100, ""), IF(F1215 = "Réttur", IFERROR(_xlfn.SINGLE(_xlfn.XLOOKUP(G1215, Réttabanki!A:A, Réttabanki!AV:AV, "")) * I1215 / 100, ""), "")))</f>
        <v/>
      </c>
      <c r="P1215" s="26" t="str">
        <f>IF(OR(F1215 = "", G1215 = "", I1215 = ""), "", IF(F1215 = "Vara", IFERROR(_xlfn.SINGLE(_xlfn.XLOOKUP(G1215, Vöruskrá!A:A, Vöruskrá!J:J, "")) * I1215 / 100, ""), IF(F1215 = "Réttur", IFERROR(_xlfn.SINGLE(_xlfn.XLOOKUP(G1215, Réttabanki!A:A, Réttabanki!AW:AW, "")) * I1215 / 100, ""), "")))</f>
        <v/>
      </c>
      <c r="Q1215" s="26" t="str">
        <f>IF(OR(F1215 = "", G1215 = "", I1215 = ""), "", IF(F1215 = "Vara", IFERROR(_xlfn.SINGLE(_xlfn.XLOOKUP(G1215, Vöruskrá!A:A, Vöruskrá!N:N, "")) * I1215 / 100, ""), IF(F1215 = "Réttur", IFERROR(_xlfn.SINGLE(_xlfn.XLOOKUP(G1215, Réttabanki!A:A, Réttabanki!BB:BB, "")) * I1215 / 100, ""), "")))</f>
        <v/>
      </c>
    </row>
    <row r="1216" spans="2:17">
      <c r="B1216" s="33" t="str">
        <f>IF(A1216&lt;&gt;"",CHOOSE(WEEKDAY(A1216,2),"Mánudagur","Þriðjudagur","Miðvikudagur","Fimmtudagur","Föstudagur","Laugardagur","Sunnudagur"),IF(B1215&lt;&gt;"",B1215,""))</f>
        <v>Fimmtudagur</v>
      </c>
      <c r="C1216" s="33">
        <f>IF(A1216&lt;&gt;"",WEEKNUM(A1216,21),IF(C1215&lt;&gt;"",C1215,""))</f>
        <v>27</v>
      </c>
      <c r="D1216" s="34"/>
      <c r="E1216" s="34"/>
      <c r="F1216" s="34"/>
      <c r="G1216" s="34"/>
      <c r="H1216" s="34"/>
      <c r="I1216" s="35"/>
      <c r="J1216" s="35"/>
      <c r="K1216" s="36"/>
      <c r="L1216" s="26" t="str">
        <f>IF(OR(F1216 = "", G1216 = ""), "", IF(F1216 = "Vara", IFERROR(_xlfn.SINGLE(_xlfn.XLOOKUP(G1216, Vöruskrá!A:A, Vöruskrá!E:E, "")), ""), IF(F1216 = "Réttur", IFERROR(_xlfn.SINGLE(_xlfn.XLOOKUP(G1216, Réttabanki!A:A, Réttabanki!AS:AS, "")), ""), "")))</f>
        <v/>
      </c>
      <c r="M1216" s="26" t="str">
        <f>IF(OR(F1216 = "", G1216 = ""), "", IF(F1216 = "Vara", IFERROR(_xlfn.SINGLE(_xlfn.XLOOKUP(G1216, Vöruskrá!A:A, Vöruskrá!F:F, "")), ""), IF(F1216 = "Réttur", IFERROR(_xlfn.SINGLE(_xlfn.XLOOKUP(G1216, Réttabanki!A:A, Réttabanki!AT:AT, "")), ""), "")))</f>
        <v/>
      </c>
      <c r="N1216" s="26" t="str">
        <f>IF(OR(F1216 = "", G1216 = ""), "", IF(F1216 = "Vara", IFERROR(_xlfn.SINGLE(_xlfn.XLOOKUP(G1216, Vöruskrá!A:A, Vöruskrá!G:G, "")), ""), IF(F1216 = "Réttur", IFERROR(_xlfn.SINGLE(_xlfn.XLOOKUP(G1216, Réttabanki!A:A, Réttabanki!AU:AU, "")), ""), "")))</f>
        <v/>
      </c>
      <c r="O1216" s="26" t="str">
        <f>IF(OR(F1216 = "", G1216 = "", I1216 = ""), "", IF(F1216 = "Vara", IFERROR(_xlfn.SINGLE(_xlfn.XLOOKUP(G1216, Vöruskrá!A:A, Vöruskrá!I:I, "")) * I1216 / 100, ""), IF(F1216 = "Réttur", IFERROR(_xlfn.SINGLE(_xlfn.XLOOKUP(G1216, Réttabanki!A:A, Réttabanki!AV:AV, "")) * I1216 / 100, ""), "")))</f>
        <v/>
      </c>
      <c r="P1216" s="26" t="str">
        <f>IF(OR(F1216 = "", G1216 = "", I1216 = ""), "", IF(F1216 = "Vara", IFERROR(_xlfn.SINGLE(_xlfn.XLOOKUP(G1216, Vöruskrá!A:A, Vöruskrá!J:J, "")) * I1216 / 100, ""), IF(F1216 = "Réttur", IFERROR(_xlfn.SINGLE(_xlfn.XLOOKUP(G1216, Réttabanki!A:A, Réttabanki!AW:AW, "")) * I1216 / 100, ""), "")))</f>
        <v/>
      </c>
      <c r="Q1216" s="26" t="str">
        <f>IF(OR(F1216 = "", G1216 = "", I1216 = ""), "", IF(F1216 = "Vara", IFERROR(_xlfn.SINGLE(_xlfn.XLOOKUP(G1216, Vöruskrá!A:A, Vöruskrá!N:N, "")) * I1216 / 100, ""), IF(F1216 = "Réttur", IFERROR(_xlfn.SINGLE(_xlfn.XLOOKUP(G1216, Réttabanki!A:A, Réttabanki!BB:BB, "")) * I1216 / 100, ""), "")))</f>
        <v/>
      </c>
    </row>
    <row r="1217" spans="2:17">
      <c r="B1217" s="33" t="str">
        <f>IF(A1217&lt;&gt;"",CHOOSE(WEEKDAY(A1217,2),"Mánudagur","Þriðjudagur","Miðvikudagur","Fimmtudagur","Föstudagur","Laugardagur","Sunnudagur"),IF(B1216&lt;&gt;"",B1216,""))</f>
        <v>Fimmtudagur</v>
      </c>
      <c r="C1217" s="33">
        <f>IF(A1217&lt;&gt;"",WEEKNUM(A1217,21),IF(C1216&lt;&gt;"",C1216,""))</f>
        <v>27</v>
      </c>
      <c r="D1217" s="34"/>
      <c r="E1217" s="34"/>
      <c r="F1217" s="34"/>
      <c r="G1217" s="34"/>
      <c r="H1217" s="34"/>
      <c r="I1217" s="35"/>
      <c r="J1217" s="35"/>
      <c r="K1217" s="36"/>
      <c r="L1217" s="26" t="str">
        <f>IF(OR(F1217 = "", G1217 = ""), "", IF(F1217 = "Vara", IFERROR(_xlfn.SINGLE(_xlfn.XLOOKUP(G1217, Vöruskrá!A:A, Vöruskrá!E:E, "")), ""), IF(F1217 = "Réttur", IFERROR(_xlfn.SINGLE(_xlfn.XLOOKUP(G1217, Réttabanki!A:A, Réttabanki!AS:AS, "")), ""), "")))</f>
        <v/>
      </c>
      <c r="M1217" s="26" t="str">
        <f>IF(OR(F1217 = "", G1217 = ""), "", IF(F1217 = "Vara", IFERROR(_xlfn.SINGLE(_xlfn.XLOOKUP(G1217, Vöruskrá!A:A, Vöruskrá!F:F, "")), ""), IF(F1217 = "Réttur", IFERROR(_xlfn.SINGLE(_xlfn.XLOOKUP(G1217, Réttabanki!A:A, Réttabanki!AT:AT, "")), ""), "")))</f>
        <v/>
      </c>
      <c r="N1217" s="26" t="str">
        <f>IF(OR(F1217 = "", G1217 = ""), "", IF(F1217 = "Vara", IFERROR(_xlfn.SINGLE(_xlfn.XLOOKUP(G1217, Vöruskrá!A:A, Vöruskrá!G:G, "")), ""), IF(F1217 = "Réttur", IFERROR(_xlfn.SINGLE(_xlfn.XLOOKUP(G1217, Réttabanki!A:A, Réttabanki!AU:AU, "")), ""), "")))</f>
        <v/>
      </c>
      <c r="O1217" s="26" t="str">
        <f>IF(OR(F1217 = "", G1217 = "", I1217 = ""), "", IF(F1217 = "Vara", IFERROR(_xlfn.SINGLE(_xlfn.XLOOKUP(G1217, Vöruskrá!A:A, Vöruskrá!I:I, "")) * I1217 / 100, ""), IF(F1217 = "Réttur", IFERROR(_xlfn.SINGLE(_xlfn.XLOOKUP(G1217, Réttabanki!A:A, Réttabanki!AV:AV, "")) * I1217 / 100, ""), "")))</f>
        <v/>
      </c>
      <c r="P1217" s="26" t="str">
        <f>IF(OR(F1217 = "", G1217 = "", I1217 = ""), "", IF(F1217 = "Vara", IFERROR(_xlfn.SINGLE(_xlfn.XLOOKUP(G1217, Vöruskrá!A:A, Vöruskrá!J:J, "")) * I1217 / 100, ""), IF(F1217 = "Réttur", IFERROR(_xlfn.SINGLE(_xlfn.XLOOKUP(G1217, Réttabanki!A:A, Réttabanki!AW:AW, "")) * I1217 / 100, ""), "")))</f>
        <v/>
      </c>
      <c r="Q1217" s="26" t="str">
        <f>IF(OR(F1217 = "", G1217 = "", I1217 = ""), "", IF(F1217 = "Vara", IFERROR(_xlfn.SINGLE(_xlfn.XLOOKUP(G1217, Vöruskrá!A:A, Vöruskrá!N:N, "")) * I1217 / 100, ""), IF(F1217 = "Réttur", IFERROR(_xlfn.SINGLE(_xlfn.XLOOKUP(G1217, Réttabanki!A:A, Réttabanki!BB:BB, "")) * I1217 / 100, ""), "")))</f>
        <v/>
      </c>
    </row>
    <row r="1218" spans="2:17">
      <c r="B1218" s="33" t="str">
        <f>IF(A1218&lt;&gt;"",CHOOSE(WEEKDAY(A1218,2),"Mánudagur","Þriðjudagur","Miðvikudagur","Fimmtudagur","Föstudagur","Laugardagur","Sunnudagur"),IF(B1217&lt;&gt;"",B1217,""))</f>
        <v>Fimmtudagur</v>
      </c>
      <c r="C1218" s="33">
        <f>IF(A1218&lt;&gt;"",WEEKNUM(A1218,21),IF(C1217&lt;&gt;"",C1217,""))</f>
        <v>27</v>
      </c>
      <c r="D1218" s="34"/>
      <c r="E1218" s="34"/>
      <c r="F1218" s="34"/>
      <c r="G1218" s="34"/>
      <c r="H1218" s="34"/>
      <c r="I1218" s="35"/>
      <c r="J1218" s="35"/>
      <c r="K1218" s="36"/>
      <c r="L1218" s="26" t="str">
        <f>IF(OR(F1218 = "", G1218 = ""), "", IF(F1218 = "Vara", IFERROR(_xlfn.SINGLE(_xlfn.XLOOKUP(G1218, Vöruskrá!A:A, Vöruskrá!E:E, "")), ""), IF(F1218 = "Réttur", IFERROR(_xlfn.SINGLE(_xlfn.XLOOKUP(G1218, Réttabanki!A:A, Réttabanki!AS:AS, "")), ""), "")))</f>
        <v/>
      </c>
      <c r="M1218" s="26" t="str">
        <f>IF(OR(F1218 = "", G1218 = ""), "", IF(F1218 = "Vara", IFERROR(_xlfn.SINGLE(_xlfn.XLOOKUP(G1218, Vöruskrá!A:A, Vöruskrá!F:F, "")), ""), IF(F1218 = "Réttur", IFERROR(_xlfn.SINGLE(_xlfn.XLOOKUP(G1218, Réttabanki!A:A, Réttabanki!AT:AT, "")), ""), "")))</f>
        <v/>
      </c>
      <c r="N1218" s="26" t="str">
        <f>IF(OR(F1218 = "", G1218 = ""), "", IF(F1218 = "Vara", IFERROR(_xlfn.SINGLE(_xlfn.XLOOKUP(G1218, Vöruskrá!A:A, Vöruskrá!G:G, "")), ""), IF(F1218 = "Réttur", IFERROR(_xlfn.SINGLE(_xlfn.XLOOKUP(G1218, Réttabanki!A:A, Réttabanki!AU:AU, "")), ""), "")))</f>
        <v/>
      </c>
      <c r="O1218" s="26" t="str">
        <f>IF(OR(F1218 = "", G1218 = "", I1218 = ""), "", IF(F1218 = "Vara", IFERROR(_xlfn.SINGLE(_xlfn.XLOOKUP(G1218, Vöruskrá!A:A, Vöruskrá!I:I, "")) * I1218 / 100, ""), IF(F1218 = "Réttur", IFERROR(_xlfn.SINGLE(_xlfn.XLOOKUP(G1218, Réttabanki!A:A, Réttabanki!AV:AV, "")) * I1218 / 100, ""), "")))</f>
        <v/>
      </c>
      <c r="P1218" s="26" t="str">
        <f>IF(OR(F1218 = "", G1218 = "", I1218 = ""), "", IF(F1218 = "Vara", IFERROR(_xlfn.SINGLE(_xlfn.XLOOKUP(G1218, Vöruskrá!A:A, Vöruskrá!J:J, "")) * I1218 / 100, ""), IF(F1218 = "Réttur", IFERROR(_xlfn.SINGLE(_xlfn.XLOOKUP(G1218, Réttabanki!A:A, Réttabanki!AW:AW, "")) * I1218 / 100, ""), "")))</f>
        <v/>
      </c>
      <c r="Q1218" s="26" t="str">
        <f>IF(OR(F1218 = "", G1218 = "", I1218 = ""), "", IF(F1218 = "Vara", IFERROR(_xlfn.SINGLE(_xlfn.XLOOKUP(G1218, Vöruskrá!A:A, Vöruskrá!N:N, "")) * I1218 / 100, ""), IF(F1218 = "Réttur", IFERROR(_xlfn.SINGLE(_xlfn.XLOOKUP(G1218, Réttabanki!A:A, Réttabanki!BB:BB, "")) * I1218 / 100, ""), "")))</f>
        <v/>
      </c>
    </row>
    <row r="1219" spans="2:17">
      <c r="B1219" s="33" t="str">
        <f>IF(A1219&lt;&gt;"",CHOOSE(WEEKDAY(A1219,2),"Mánudagur","Þriðjudagur","Miðvikudagur","Fimmtudagur","Föstudagur","Laugardagur","Sunnudagur"),IF(B1218&lt;&gt;"",B1218,""))</f>
        <v>Fimmtudagur</v>
      </c>
      <c r="C1219" s="33">
        <f>IF(A1219&lt;&gt;"",WEEKNUM(A1219,21),IF(C1218&lt;&gt;"",C1218,""))</f>
        <v>27</v>
      </c>
      <c r="D1219" s="34"/>
      <c r="E1219" s="34"/>
      <c r="F1219" s="34"/>
      <c r="G1219" s="34"/>
      <c r="H1219" s="34"/>
      <c r="I1219" s="35"/>
      <c r="J1219" s="35"/>
      <c r="K1219" s="36"/>
      <c r="L1219" s="26" t="str">
        <f>IF(OR(F1219 = "", G1219 = ""), "", IF(F1219 = "Vara", IFERROR(_xlfn.SINGLE(_xlfn.XLOOKUP(G1219, Vöruskrá!A:A, Vöruskrá!E:E, "")), ""), IF(F1219 = "Réttur", IFERROR(_xlfn.SINGLE(_xlfn.XLOOKUP(G1219, Réttabanki!A:A, Réttabanki!AS:AS, "")), ""), "")))</f>
        <v/>
      </c>
      <c r="M1219" s="26" t="str">
        <f>IF(OR(F1219 = "", G1219 = ""), "", IF(F1219 = "Vara", IFERROR(_xlfn.SINGLE(_xlfn.XLOOKUP(G1219, Vöruskrá!A:A, Vöruskrá!F:F, "")), ""), IF(F1219 = "Réttur", IFERROR(_xlfn.SINGLE(_xlfn.XLOOKUP(G1219, Réttabanki!A:A, Réttabanki!AT:AT, "")), ""), "")))</f>
        <v/>
      </c>
      <c r="N1219" s="26" t="str">
        <f>IF(OR(F1219 = "", G1219 = ""), "", IF(F1219 = "Vara", IFERROR(_xlfn.SINGLE(_xlfn.XLOOKUP(G1219, Vöruskrá!A:A, Vöruskrá!G:G, "")), ""), IF(F1219 = "Réttur", IFERROR(_xlfn.SINGLE(_xlfn.XLOOKUP(G1219, Réttabanki!A:A, Réttabanki!AU:AU, "")), ""), "")))</f>
        <v/>
      </c>
      <c r="O1219" s="26" t="str">
        <f>IF(OR(F1219 = "", G1219 = "", I1219 = ""), "", IF(F1219 = "Vara", IFERROR(_xlfn.SINGLE(_xlfn.XLOOKUP(G1219, Vöruskrá!A:A, Vöruskrá!I:I, "")) * I1219 / 100, ""), IF(F1219 = "Réttur", IFERROR(_xlfn.SINGLE(_xlfn.XLOOKUP(G1219, Réttabanki!A:A, Réttabanki!AV:AV, "")) * I1219 / 100, ""), "")))</f>
        <v/>
      </c>
      <c r="P1219" s="26" t="str">
        <f>IF(OR(F1219 = "", G1219 = "", I1219 = ""), "", IF(F1219 = "Vara", IFERROR(_xlfn.SINGLE(_xlfn.XLOOKUP(G1219, Vöruskrá!A:A, Vöruskrá!J:J, "")) * I1219 / 100, ""), IF(F1219 = "Réttur", IFERROR(_xlfn.SINGLE(_xlfn.XLOOKUP(G1219, Réttabanki!A:A, Réttabanki!AW:AW, "")) * I1219 / 100, ""), "")))</f>
        <v/>
      </c>
      <c r="Q1219" s="26" t="str">
        <f>IF(OR(F1219 = "", G1219 = "", I1219 = ""), "", IF(F1219 = "Vara", IFERROR(_xlfn.SINGLE(_xlfn.XLOOKUP(G1219, Vöruskrá!A:A, Vöruskrá!N:N, "")) * I1219 / 100, ""), IF(F1219 = "Réttur", IFERROR(_xlfn.SINGLE(_xlfn.XLOOKUP(G1219, Réttabanki!A:A, Réttabanki!BB:BB, "")) * I1219 / 100, ""), "")))</f>
        <v/>
      </c>
    </row>
    <row r="1220" spans="2:17">
      <c r="B1220" s="33" t="str">
        <f>IF(A1220&lt;&gt;"",CHOOSE(WEEKDAY(A1220,2),"Mánudagur","Þriðjudagur","Miðvikudagur","Fimmtudagur","Föstudagur","Laugardagur","Sunnudagur"),IF(B1219&lt;&gt;"",B1219,""))</f>
        <v>Fimmtudagur</v>
      </c>
      <c r="C1220" s="33">
        <f>IF(A1220&lt;&gt;"",WEEKNUM(A1220,21),IF(C1219&lt;&gt;"",C1219,""))</f>
        <v>27</v>
      </c>
      <c r="D1220" s="34"/>
      <c r="E1220" s="34"/>
      <c r="F1220" s="34"/>
      <c r="G1220" s="34"/>
      <c r="H1220" s="34"/>
      <c r="I1220" s="35"/>
      <c r="J1220" s="35"/>
      <c r="K1220" s="36"/>
      <c r="L1220" s="26" t="str">
        <f>IF(OR(F1220 = "", G1220 = ""), "", IF(F1220 = "Vara", IFERROR(_xlfn.SINGLE(_xlfn.XLOOKUP(G1220, Vöruskrá!A:A, Vöruskrá!E:E, "")), ""), IF(F1220 = "Réttur", IFERROR(_xlfn.SINGLE(_xlfn.XLOOKUP(G1220, Réttabanki!A:A, Réttabanki!AS:AS, "")), ""), "")))</f>
        <v/>
      </c>
      <c r="M1220" s="26" t="str">
        <f>IF(OR(F1220 = "", G1220 = ""), "", IF(F1220 = "Vara", IFERROR(_xlfn.SINGLE(_xlfn.XLOOKUP(G1220, Vöruskrá!A:A, Vöruskrá!F:F, "")), ""), IF(F1220 = "Réttur", IFERROR(_xlfn.SINGLE(_xlfn.XLOOKUP(G1220, Réttabanki!A:A, Réttabanki!AT:AT, "")), ""), "")))</f>
        <v/>
      </c>
      <c r="N1220" s="26" t="str">
        <f>IF(OR(F1220 = "", G1220 = ""), "", IF(F1220 = "Vara", IFERROR(_xlfn.SINGLE(_xlfn.XLOOKUP(G1220, Vöruskrá!A:A, Vöruskrá!G:G, "")), ""), IF(F1220 = "Réttur", IFERROR(_xlfn.SINGLE(_xlfn.XLOOKUP(G1220, Réttabanki!A:A, Réttabanki!AU:AU, "")), ""), "")))</f>
        <v/>
      </c>
      <c r="O1220" s="26" t="str">
        <f>IF(OR(F1220 = "", G1220 = "", I1220 = ""), "", IF(F1220 = "Vara", IFERROR(_xlfn.SINGLE(_xlfn.XLOOKUP(G1220, Vöruskrá!A:A, Vöruskrá!I:I, "")) * I1220 / 100, ""), IF(F1220 = "Réttur", IFERROR(_xlfn.SINGLE(_xlfn.XLOOKUP(G1220, Réttabanki!A:A, Réttabanki!AV:AV, "")) * I1220 / 100, ""), "")))</f>
        <v/>
      </c>
      <c r="P1220" s="26" t="str">
        <f>IF(OR(F1220 = "", G1220 = "", I1220 = ""), "", IF(F1220 = "Vara", IFERROR(_xlfn.SINGLE(_xlfn.XLOOKUP(G1220, Vöruskrá!A:A, Vöruskrá!J:J, "")) * I1220 / 100, ""), IF(F1220 = "Réttur", IFERROR(_xlfn.SINGLE(_xlfn.XLOOKUP(G1220, Réttabanki!A:A, Réttabanki!AW:AW, "")) * I1220 / 100, ""), "")))</f>
        <v/>
      </c>
      <c r="Q1220" s="26" t="str">
        <f>IF(OR(F1220 = "", G1220 = "", I1220 = ""), "", IF(F1220 = "Vara", IFERROR(_xlfn.SINGLE(_xlfn.XLOOKUP(G1220, Vöruskrá!A:A, Vöruskrá!N:N, "")) * I1220 / 100, ""), IF(F1220 = "Réttur", IFERROR(_xlfn.SINGLE(_xlfn.XLOOKUP(G1220, Réttabanki!A:A, Réttabanki!BB:BB, "")) * I1220 / 100, ""), "")))</f>
        <v/>
      </c>
    </row>
    <row r="1221" spans="2:17">
      <c r="B1221" s="33" t="str">
        <f>IF(A1221&lt;&gt;"",CHOOSE(WEEKDAY(A1221,2),"Mánudagur","Þriðjudagur","Miðvikudagur","Fimmtudagur","Föstudagur","Laugardagur","Sunnudagur"),IF(B1220&lt;&gt;"",B1220,""))</f>
        <v>Fimmtudagur</v>
      </c>
      <c r="C1221" s="33">
        <f>IF(A1221&lt;&gt;"",WEEKNUM(A1221,21),IF(C1220&lt;&gt;"",C1220,""))</f>
        <v>27</v>
      </c>
      <c r="D1221" s="34"/>
      <c r="E1221" s="34"/>
      <c r="F1221" s="34"/>
      <c r="G1221" s="34"/>
      <c r="H1221" s="34"/>
      <c r="I1221" s="35"/>
      <c r="J1221" s="35"/>
      <c r="K1221" s="36"/>
      <c r="L1221" s="26" t="str">
        <f>IF(OR(F1221 = "", G1221 = ""), "", IF(F1221 = "Vara", IFERROR(_xlfn.SINGLE(_xlfn.XLOOKUP(G1221, Vöruskrá!A:A, Vöruskrá!E:E, "")), ""), IF(F1221 = "Réttur", IFERROR(_xlfn.SINGLE(_xlfn.XLOOKUP(G1221, Réttabanki!A:A, Réttabanki!AS:AS, "")), ""), "")))</f>
        <v/>
      </c>
      <c r="M1221" s="26" t="str">
        <f>IF(OR(F1221 = "", G1221 = ""), "", IF(F1221 = "Vara", IFERROR(_xlfn.SINGLE(_xlfn.XLOOKUP(G1221, Vöruskrá!A:A, Vöruskrá!F:F, "")), ""), IF(F1221 = "Réttur", IFERROR(_xlfn.SINGLE(_xlfn.XLOOKUP(G1221, Réttabanki!A:A, Réttabanki!AT:AT, "")), ""), "")))</f>
        <v/>
      </c>
      <c r="N1221" s="26" t="str">
        <f>IF(OR(F1221 = "", G1221 = ""), "", IF(F1221 = "Vara", IFERROR(_xlfn.SINGLE(_xlfn.XLOOKUP(G1221, Vöruskrá!A:A, Vöruskrá!G:G, "")), ""), IF(F1221 = "Réttur", IFERROR(_xlfn.SINGLE(_xlfn.XLOOKUP(G1221, Réttabanki!A:A, Réttabanki!AU:AU, "")), ""), "")))</f>
        <v/>
      </c>
      <c r="O1221" s="26" t="str">
        <f>IF(OR(F1221 = "", G1221 = "", I1221 = ""), "", IF(F1221 = "Vara", IFERROR(_xlfn.SINGLE(_xlfn.XLOOKUP(G1221, Vöruskrá!A:A, Vöruskrá!I:I, "")) * I1221 / 100, ""), IF(F1221 = "Réttur", IFERROR(_xlfn.SINGLE(_xlfn.XLOOKUP(G1221, Réttabanki!A:A, Réttabanki!AV:AV, "")) * I1221 / 100, ""), "")))</f>
        <v/>
      </c>
      <c r="P1221" s="26" t="str">
        <f>IF(OR(F1221 = "", G1221 = "", I1221 = ""), "", IF(F1221 = "Vara", IFERROR(_xlfn.SINGLE(_xlfn.XLOOKUP(G1221, Vöruskrá!A:A, Vöruskrá!J:J, "")) * I1221 / 100, ""), IF(F1221 = "Réttur", IFERROR(_xlfn.SINGLE(_xlfn.XLOOKUP(G1221, Réttabanki!A:A, Réttabanki!AW:AW, "")) * I1221 / 100, ""), "")))</f>
        <v/>
      </c>
      <c r="Q1221" s="26" t="str">
        <f>IF(OR(F1221 = "", G1221 = "", I1221 = ""), "", IF(F1221 = "Vara", IFERROR(_xlfn.SINGLE(_xlfn.XLOOKUP(G1221, Vöruskrá!A:A, Vöruskrá!N:N, "")) * I1221 / 100, ""), IF(F1221 = "Réttur", IFERROR(_xlfn.SINGLE(_xlfn.XLOOKUP(G1221, Réttabanki!A:A, Réttabanki!BB:BB, "")) * I1221 / 100, ""), "")))</f>
        <v/>
      </c>
    </row>
    <row r="1222" spans="2:17">
      <c r="B1222" s="33" t="str">
        <f>IF(A1222&lt;&gt;"",CHOOSE(WEEKDAY(A1222,2),"Mánudagur","Þriðjudagur","Miðvikudagur","Fimmtudagur","Föstudagur","Laugardagur","Sunnudagur"),IF(B1221&lt;&gt;"",B1221,""))</f>
        <v>Fimmtudagur</v>
      </c>
      <c r="C1222" s="33">
        <f>IF(A1222&lt;&gt;"",WEEKNUM(A1222,21),IF(C1221&lt;&gt;"",C1221,""))</f>
        <v>27</v>
      </c>
      <c r="D1222" s="34"/>
      <c r="E1222" s="34"/>
      <c r="F1222" s="34"/>
      <c r="G1222" s="34"/>
      <c r="H1222" s="34"/>
      <c r="I1222" s="35"/>
      <c r="J1222" s="35"/>
      <c r="K1222" s="36"/>
      <c r="L1222" s="26" t="str">
        <f>IF(OR(F1222 = "", G1222 = ""), "", IF(F1222 = "Vara", IFERROR(_xlfn.SINGLE(_xlfn.XLOOKUP(G1222, Vöruskrá!A:A, Vöruskrá!E:E, "")), ""), IF(F1222 = "Réttur", IFERROR(_xlfn.SINGLE(_xlfn.XLOOKUP(G1222, Réttabanki!A:A, Réttabanki!AS:AS, "")), ""), "")))</f>
        <v/>
      </c>
      <c r="M1222" s="26" t="str">
        <f>IF(OR(F1222 = "", G1222 = ""), "", IF(F1222 = "Vara", IFERROR(_xlfn.SINGLE(_xlfn.XLOOKUP(G1222, Vöruskrá!A:A, Vöruskrá!F:F, "")), ""), IF(F1222 = "Réttur", IFERROR(_xlfn.SINGLE(_xlfn.XLOOKUP(G1222, Réttabanki!A:A, Réttabanki!AT:AT, "")), ""), "")))</f>
        <v/>
      </c>
      <c r="N1222" s="26" t="str">
        <f>IF(OR(F1222 = "", G1222 = ""), "", IF(F1222 = "Vara", IFERROR(_xlfn.SINGLE(_xlfn.XLOOKUP(G1222, Vöruskrá!A:A, Vöruskrá!G:G, "")), ""), IF(F1222 = "Réttur", IFERROR(_xlfn.SINGLE(_xlfn.XLOOKUP(G1222, Réttabanki!A:A, Réttabanki!AU:AU, "")), ""), "")))</f>
        <v/>
      </c>
      <c r="O1222" s="26" t="str">
        <f>IF(OR(F1222 = "", G1222 = "", I1222 = ""), "", IF(F1222 = "Vara", IFERROR(_xlfn.SINGLE(_xlfn.XLOOKUP(G1222, Vöruskrá!A:A, Vöruskrá!I:I, "")) * I1222 / 100, ""), IF(F1222 = "Réttur", IFERROR(_xlfn.SINGLE(_xlfn.XLOOKUP(G1222, Réttabanki!A:A, Réttabanki!AV:AV, "")) * I1222 / 100, ""), "")))</f>
        <v/>
      </c>
      <c r="P1222" s="26" t="str">
        <f>IF(OR(F1222 = "", G1222 = "", I1222 = ""), "", IF(F1222 = "Vara", IFERROR(_xlfn.SINGLE(_xlfn.XLOOKUP(G1222, Vöruskrá!A:A, Vöruskrá!J:J, "")) * I1222 / 100, ""), IF(F1222 = "Réttur", IFERROR(_xlfn.SINGLE(_xlfn.XLOOKUP(G1222, Réttabanki!A:A, Réttabanki!AW:AW, "")) * I1222 / 100, ""), "")))</f>
        <v/>
      </c>
      <c r="Q1222" s="26" t="str">
        <f>IF(OR(F1222 = "", G1222 = "", I1222 = ""), "", IF(F1222 = "Vara", IFERROR(_xlfn.SINGLE(_xlfn.XLOOKUP(G1222, Vöruskrá!A:A, Vöruskrá!N:N, "")) * I1222 / 100, ""), IF(F1222 = "Réttur", IFERROR(_xlfn.SINGLE(_xlfn.XLOOKUP(G1222, Réttabanki!A:A, Réttabanki!BB:BB, "")) * I1222 / 100, ""), "")))</f>
        <v/>
      </c>
    </row>
    <row r="1223" spans="2:17">
      <c r="B1223" s="33" t="str">
        <f>IF(A1223&lt;&gt;"",CHOOSE(WEEKDAY(A1223,2),"Mánudagur","Þriðjudagur","Miðvikudagur","Fimmtudagur","Föstudagur","Laugardagur","Sunnudagur"),IF(B1222&lt;&gt;"",B1222,""))</f>
        <v>Fimmtudagur</v>
      </c>
      <c r="C1223" s="33">
        <f>IF(A1223&lt;&gt;"",WEEKNUM(A1223,21),IF(C1222&lt;&gt;"",C1222,""))</f>
        <v>27</v>
      </c>
      <c r="D1223" s="34"/>
      <c r="E1223" s="34"/>
      <c r="F1223" s="34"/>
      <c r="G1223" s="34"/>
      <c r="H1223" s="34"/>
      <c r="I1223" s="35"/>
      <c r="J1223" s="35"/>
      <c r="K1223" s="36"/>
      <c r="L1223" s="26" t="str">
        <f>IF(OR(F1223 = "", G1223 = ""), "", IF(F1223 = "Vara", IFERROR(_xlfn.SINGLE(_xlfn.XLOOKUP(G1223, Vöruskrá!A:A, Vöruskrá!E:E, "")), ""), IF(F1223 = "Réttur", IFERROR(_xlfn.SINGLE(_xlfn.XLOOKUP(G1223, Réttabanki!A:A, Réttabanki!AS:AS, "")), ""), "")))</f>
        <v/>
      </c>
      <c r="M1223" s="26" t="str">
        <f>IF(OR(F1223 = "", G1223 = ""), "", IF(F1223 = "Vara", IFERROR(_xlfn.SINGLE(_xlfn.XLOOKUP(G1223, Vöruskrá!A:A, Vöruskrá!F:F, "")), ""), IF(F1223 = "Réttur", IFERROR(_xlfn.SINGLE(_xlfn.XLOOKUP(G1223, Réttabanki!A:A, Réttabanki!AT:AT, "")), ""), "")))</f>
        <v/>
      </c>
      <c r="N1223" s="26" t="str">
        <f>IF(OR(F1223 = "", G1223 = ""), "", IF(F1223 = "Vara", IFERROR(_xlfn.SINGLE(_xlfn.XLOOKUP(G1223, Vöruskrá!A:A, Vöruskrá!G:G, "")), ""), IF(F1223 = "Réttur", IFERROR(_xlfn.SINGLE(_xlfn.XLOOKUP(G1223, Réttabanki!A:A, Réttabanki!AU:AU, "")), ""), "")))</f>
        <v/>
      </c>
      <c r="O1223" s="26" t="str">
        <f>IF(OR(F1223 = "", G1223 = "", I1223 = ""), "", IF(F1223 = "Vara", IFERROR(_xlfn.SINGLE(_xlfn.XLOOKUP(G1223, Vöruskrá!A:A, Vöruskrá!I:I, "")) * I1223 / 100, ""), IF(F1223 = "Réttur", IFERROR(_xlfn.SINGLE(_xlfn.XLOOKUP(G1223, Réttabanki!A:A, Réttabanki!AV:AV, "")) * I1223 / 100, ""), "")))</f>
        <v/>
      </c>
      <c r="P1223" s="26" t="str">
        <f>IF(OR(F1223 = "", G1223 = "", I1223 = ""), "", IF(F1223 = "Vara", IFERROR(_xlfn.SINGLE(_xlfn.XLOOKUP(G1223, Vöruskrá!A:A, Vöruskrá!J:J, "")) * I1223 / 100, ""), IF(F1223 = "Réttur", IFERROR(_xlfn.SINGLE(_xlfn.XLOOKUP(G1223, Réttabanki!A:A, Réttabanki!AW:AW, "")) * I1223 / 100, ""), "")))</f>
        <v/>
      </c>
      <c r="Q1223" s="26" t="str">
        <f>IF(OR(F1223 = "", G1223 = "", I1223 = ""), "", IF(F1223 = "Vara", IFERROR(_xlfn.SINGLE(_xlfn.XLOOKUP(G1223, Vöruskrá!A:A, Vöruskrá!N:N, "")) * I1223 / 100, ""), IF(F1223 = "Réttur", IFERROR(_xlfn.SINGLE(_xlfn.XLOOKUP(G1223, Réttabanki!A:A, Réttabanki!BB:BB, "")) * I1223 / 100, ""), "")))</f>
        <v/>
      </c>
    </row>
    <row r="1224" spans="2:17">
      <c r="B1224" s="33" t="str">
        <f>IF(A1224&lt;&gt;"",CHOOSE(WEEKDAY(A1224,2),"Mánudagur","Þriðjudagur","Miðvikudagur","Fimmtudagur","Föstudagur","Laugardagur","Sunnudagur"),IF(B1223&lt;&gt;"",B1223,""))</f>
        <v>Fimmtudagur</v>
      </c>
      <c r="C1224" s="33">
        <f>IF(A1224&lt;&gt;"",WEEKNUM(A1224,21),IF(C1223&lt;&gt;"",C1223,""))</f>
        <v>27</v>
      </c>
      <c r="D1224" s="34"/>
      <c r="E1224" s="34"/>
      <c r="F1224" s="34"/>
      <c r="G1224" s="34"/>
      <c r="H1224" s="34"/>
      <c r="I1224" s="35"/>
      <c r="J1224" s="35"/>
      <c r="K1224" s="36"/>
      <c r="L1224" s="26" t="str">
        <f>IF(OR(F1224 = "", G1224 = ""), "", IF(F1224 = "Vara", IFERROR(_xlfn.SINGLE(_xlfn.XLOOKUP(G1224, Vöruskrá!A:A, Vöruskrá!E:E, "")), ""), IF(F1224 = "Réttur", IFERROR(_xlfn.SINGLE(_xlfn.XLOOKUP(G1224, Réttabanki!A:A, Réttabanki!AS:AS, "")), ""), "")))</f>
        <v/>
      </c>
      <c r="M1224" s="26" t="str">
        <f>IF(OR(F1224 = "", G1224 = ""), "", IF(F1224 = "Vara", IFERROR(_xlfn.SINGLE(_xlfn.XLOOKUP(G1224, Vöruskrá!A:A, Vöruskrá!F:F, "")), ""), IF(F1224 = "Réttur", IFERROR(_xlfn.SINGLE(_xlfn.XLOOKUP(G1224, Réttabanki!A:A, Réttabanki!AT:AT, "")), ""), "")))</f>
        <v/>
      </c>
      <c r="N1224" s="26" t="str">
        <f>IF(OR(F1224 = "", G1224 = ""), "", IF(F1224 = "Vara", IFERROR(_xlfn.SINGLE(_xlfn.XLOOKUP(G1224, Vöruskrá!A:A, Vöruskrá!G:G, "")), ""), IF(F1224 = "Réttur", IFERROR(_xlfn.SINGLE(_xlfn.XLOOKUP(G1224, Réttabanki!A:A, Réttabanki!AU:AU, "")), ""), "")))</f>
        <v/>
      </c>
      <c r="O1224" s="26" t="str">
        <f>IF(OR(F1224 = "", G1224 = "", I1224 = ""), "", IF(F1224 = "Vara", IFERROR(_xlfn.SINGLE(_xlfn.XLOOKUP(G1224, Vöruskrá!A:A, Vöruskrá!I:I, "")) * I1224 / 100, ""), IF(F1224 = "Réttur", IFERROR(_xlfn.SINGLE(_xlfn.XLOOKUP(G1224, Réttabanki!A:A, Réttabanki!AV:AV, "")) * I1224 / 100, ""), "")))</f>
        <v/>
      </c>
      <c r="P1224" s="26" t="str">
        <f>IF(OR(F1224 = "", G1224 = "", I1224 = ""), "", IF(F1224 = "Vara", IFERROR(_xlfn.SINGLE(_xlfn.XLOOKUP(G1224, Vöruskrá!A:A, Vöruskrá!J:J, "")) * I1224 / 100, ""), IF(F1224 = "Réttur", IFERROR(_xlfn.SINGLE(_xlfn.XLOOKUP(G1224, Réttabanki!A:A, Réttabanki!AW:AW, "")) * I1224 / 100, ""), "")))</f>
        <v/>
      </c>
      <c r="Q1224" s="26" t="str">
        <f>IF(OR(F1224 = "", G1224 = "", I1224 = ""), "", IF(F1224 = "Vara", IFERROR(_xlfn.SINGLE(_xlfn.XLOOKUP(G1224, Vöruskrá!A:A, Vöruskrá!N:N, "")) * I1224 / 100, ""), IF(F1224 = "Réttur", IFERROR(_xlfn.SINGLE(_xlfn.XLOOKUP(G1224, Réttabanki!A:A, Réttabanki!BB:BB, "")) * I1224 / 100, ""), "")))</f>
        <v/>
      </c>
    </row>
    <row r="1225" spans="2:17">
      <c r="B1225" s="33" t="str">
        <f>IF(A1225&lt;&gt;"",CHOOSE(WEEKDAY(A1225,2),"Mánudagur","Þriðjudagur","Miðvikudagur","Fimmtudagur","Föstudagur","Laugardagur","Sunnudagur"),IF(B1224&lt;&gt;"",B1224,""))</f>
        <v>Fimmtudagur</v>
      </c>
      <c r="C1225" s="33">
        <f>IF(A1225&lt;&gt;"",WEEKNUM(A1225,21),IF(C1224&lt;&gt;"",C1224,""))</f>
        <v>27</v>
      </c>
      <c r="D1225" s="34"/>
      <c r="E1225" s="34"/>
      <c r="F1225" s="34"/>
      <c r="G1225" s="34"/>
      <c r="H1225" s="34"/>
      <c r="I1225" s="35"/>
      <c r="J1225" s="35"/>
      <c r="K1225" s="36"/>
      <c r="L1225" s="26" t="str">
        <f>IF(OR(F1225 = "", G1225 = ""), "", IF(F1225 = "Vara", IFERROR(_xlfn.SINGLE(_xlfn.XLOOKUP(G1225, Vöruskrá!A:A, Vöruskrá!E:E, "")), ""), IF(F1225 = "Réttur", IFERROR(_xlfn.SINGLE(_xlfn.XLOOKUP(G1225, Réttabanki!A:A, Réttabanki!AS:AS, "")), ""), "")))</f>
        <v/>
      </c>
      <c r="M1225" s="26" t="str">
        <f>IF(OR(F1225 = "", G1225 = ""), "", IF(F1225 = "Vara", IFERROR(_xlfn.SINGLE(_xlfn.XLOOKUP(G1225, Vöruskrá!A:A, Vöruskrá!F:F, "")), ""), IF(F1225 = "Réttur", IFERROR(_xlfn.SINGLE(_xlfn.XLOOKUP(G1225, Réttabanki!A:A, Réttabanki!AT:AT, "")), ""), "")))</f>
        <v/>
      </c>
      <c r="N1225" s="26" t="str">
        <f>IF(OR(F1225 = "", G1225 = ""), "", IF(F1225 = "Vara", IFERROR(_xlfn.SINGLE(_xlfn.XLOOKUP(G1225, Vöruskrá!A:A, Vöruskrá!G:G, "")), ""), IF(F1225 = "Réttur", IFERROR(_xlfn.SINGLE(_xlfn.XLOOKUP(G1225, Réttabanki!A:A, Réttabanki!AU:AU, "")), ""), "")))</f>
        <v/>
      </c>
      <c r="O1225" s="26" t="str">
        <f>IF(OR(F1225 = "", G1225 = "", I1225 = ""), "", IF(F1225 = "Vara", IFERROR(_xlfn.SINGLE(_xlfn.XLOOKUP(G1225, Vöruskrá!A:A, Vöruskrá!I:I, "")) * I1225 / 100, ""), IF(F1225 = "Réttur", IFERROR(_xlfn.SINGLE(_xlfn.XLOOKUP(G1225, Réttabanki!A:A, Réttabanki!AV:AV, "")) * I1225 / 100, ""), "")))</f>
        <v/>
      </c>
      <c r="P1225" s="26" t="str">
        <f>IF(OR(F1225 = "", G1225 = "", I1225 = ""), "", IF(F1225 = "Vara", IFERROR(_xlfn.SINGLE(_xlfn.XLOOKUP(G1225, Vöruskrá!A:A, Vöruskrá!J:J, "")) * I1225 / 100, ""), IF(F1225 = "Réttur", IFERROR(_xlfn.SINGLE(_xlfn.XLOOKUP(G1225, Réttabanki!A:A, Réttabanki!AW:AW, "")) * I1225 / 100, ""), "")))</f>
        <v/>
      </c>
      <c r="Q1225" s="26" t="str">
        <f>IF(OR(F1225 = "", G1225 = "", I1225 = ""), "", IF(F1225 = "Vara", IFERROR(_xlfn.SINGLE(_xlfn.XLOOKUP(G1225, Vöruskrá!A:A, Vöruskrá!N:N, "")) * I1225 / 100, ""), IF(F1225 = "Réttur", IFERROR(_xlfn.SINGLE(_xlfn.XLOOKUP(G1225, Réttabanki!A:A, Réttabanki!BB:BB, "")) * I1225 / 100, ""), "")))</f>
        <v/>
      </c>
    </row>
    <row r="1226" spans="2:17">
      <c r="B1226" s="33" t="str">
        <f>IF(A1226&lt;&gt;"",CHOOSE(WEEKDAY(A1226,2),"Mánudagur","Þriðjudagur","Miðvikudagur","Fimmtudagur","Föstudagur","Laugardagur","Sunnudagur"),IF(B1225&lt;&gt;"",B1225,""))</f>
        <v>Fimmtudagur</v>
      </c>
      <c r="C1226" s="33">
        <f>IF(A1226&lt;&gt;"",WEEKNUM(A1226,21),IF(C1225&lt;&gt;"",C1225,""))</f>
        <v>27</v>
      </c>
      <c r="D1226" s="34"/>
      <c r="E1226" s="34"/>
      <c r="F1226" s="34"/>
      <c r="G1226" s="34"/>
      <c r="H1226" s="34"/>
      <c r="I1226" s="35"/>
      <c r="J1226" s="35"/>
      <c r="K1226" s="36"/>
      <c r="L1226" s="26" t="str">
        <f>IF(OR(F1226 = "", G1226 = ""), "", IF(F1226 = "Vara", IFERROR(_xlfn.SINGLE(_xlfn.XLOOKUP(G1226, Vöruskrá!A:A, Vöruskrá!E:E, "")), ""), IF(F1226 = "Réttur", IFERROR(_xlfn.SINGLE(_xlfn.XLOOKUP(G1226, Réttabanki!A:A, Réttabanki!AS:AS, "")), ""), "")))</f>
        <v/>
      </c>
      <c r="M1226" s="26" t="str">
        <f>IF(OR(F1226 = "", G1226 = ""), "", IF(F1226 = "Vara", IFERROR(_xlfn.SINGLE(_xlfn.XLOOKUP(G1226, Vöruskrá!A:A, Vöruskrá!F:F, "")), ""), IF(F1226 = "Réttur", IFERROR(_xlfn.SINGLE(_xlfn.XLOOKUP(G1226, Réttabanki!A:A, Réttabanki!AT:AT, "")), ""), "")))</f>
        <v/>
      </c>
      <c r="N1226" s="26" t="str">
        <f>IF(OR(F1226 = "", G1226 = ""), "", IF(F1226 = "Vara", IFERROR(_xlfn.SINGLE(_xlfn.XLOOKUP(G1226, Vöruskrá!A:A, Vöruskrá!G:G, "")), ""), IF(F1226 = "Réttur", IFERROR(_xlfn.SINGLE(_xlfn.XLOOKUP(G1226, Réttabanki!A:A, Réttabanki!AU:AU, "")), ""), "")))</f>
        <v/>
      </c>
      <c r="O1226" s="26" t="str">
        <f>IF(OR(F1226 = "", G1226 = "", I1226 = ""), "", IF(F1226 = "Vara", IFERROR(_xlfn.SINGLE(_xlfn.XLOOKUP(G1226, Vöruskrá!A:A, Vöruskrá!I:I, "")) * I1226 / 100, ""), IF(F1226 = "Réttur", IFERROR(_xlfn.SINGLE(_xlfn.XLOOKUP(G1226, Réttabanki!A:A, Réttabanki!AV:AV, "")) * I1226 / 100, ""), "")))</f>
        <v/>
      </c>
      <c r="P1226" s="26" t="str">
        <f>IF(OR(F1226 = "", G1226 = "", I1226 = ""), "", IF(F1226 = "Vara", IFERROR(_xlfn.SINGLE(_xlfn.XLOOKUP(G1226, Vöruskrá!A:A, Vöruskrá!J:J, "")) * I1226 / 100, ""), IF(F1226 = "Réttur", IFERROR(_xlfn.SINGLE(_xlfn.XLOOKUP(G1226, Réttabanki!A:A, Réttabanki!AW:AW, "")) * I1226 / 100, ""), "")))</f>
        <v/>
      </c>
      <c r="Q1226" s="26" t="str">
        <f>IF(OR(F1226 = "", G1226 = "", I1226 = ""), "", IF(F1226 = "Vara", IFERROR(_xlfn.SINGLE(_xlfn.XLOOKUP(G1226, Vöruskrá!A:A, Vöruskrá!N:N, "")) * I1226 / 100, ""), IF(F1226 = "Réttur", IFERROR(_xlfn.SINGLE(_xlfn.XLOOKUP(G1226, Réttabanki!A:A, Réttabanki!BB:BB, "")) * I1226 / 100, ""), "")))</f>
        <v/>
      </c>
    </row>
    <row r="1227" spans="2:17">
      <c r="B1227" s="33" t="str">
        <f>IF(A1227&lt;&gt;"",CHOOSE(WEEKDAY(A1227,2),"Mánudagur","Þriðjudagur","Miðvikudagur","Fimmtudagur","Föstudagur","Laugardagur","Sunnudagur"),IF(B1226&lt;&gt;"",B1226,""))</f>
        <v>Fimmtudagur</v>
      </c>
      <c r="C1227" s="33">
        <f>IF(A1227&lt;&gt;"",WEEKNUM(A1227,21),IF(C1226&lt;&gt;"",C1226,""))</f>
        <v>27</v>
      </c>
      <c r="D1227" s="34"/>
      <c r="E1227" s="34"/>
      <c r="F1227" s="34"/>
      <c r="G1227" s="34"/>
      <c r="H1227" s="34"/>
      <c r="I1227" s="35"/>
      <c r="J1227" s="35"/>
      <c r="K1227" s="36"/>
      <c r="L1227" s="26" t="str">
        <f>IF(OR(F1227 = "", G1227 = ""), "", IF(F1227 = "Vara", IFERROR(_xlfn.SINGLE(_xlfn.XLOOKUP(G1227, Vöruskrá!A:A, Vöruskrá!E:E, "")), ""), IF(F1227 = "Réttur", IFERROR(_xlfn.SINGLE(_xlfn.XLOOKUP(G1227, Réttabanki!A:A, Réttabanki!AS:AS, "")), ""), "")))</f>
        <v/>
      </c>
      <c r="M1227" s="26" t="str">
        <f>IF(OR(F1227 = "", G1227 = ""), "", IF(F1227 = "Vara", IFERROR(_xlfn.SINGLE(_xlfn.XLOOKUP(G1227, Vöruskrá!A:A, Vöruskrá!F:F, "")), ""), IF(F1227 = "Réttur", IFERROR(_xlfn.SINGLE(_xlfn.XLOOKUP(G1227, Réttabanki!A:A, Réttabanki!AT:AT, "")), ""), "")))</f>
        <v/>
      </c>
      <c r="N1227" s="26" t="str">
        <f>IF(OR(F1227 = "", G1227 = ""), "", IF(F1227 = "Vara", IFERROR(_xlfn.SINGLE(_xlfn.XLOOKUP(G1227, Vöruskrá!A:A, Vöruskrá!G:G, "")), ""), IF(F1227 = "Réttur", IFERROR(_xlfn.SINGLE(_xlfn.XLOOKUP(G1227, Réttabanki!A:A, Réttabanki!AU:AU, "")), ""), "")))</f>
        <v/>
      </c>
      <c r="O1227" s="26" t="str">
        <f>IF(OR(F1227 = "", G1227 = "", I1227 = ""), "", IF(F1227 = "Vara", IFERROR(_xlfn.SINGLE(_xlfn.XLOOKUP(G1227, Vöruskrá!A:A, Vöruskrá!I:I, "")) * I1227 / 100, ""), IF(F1227 = "Réttur", IFERROR(_xlfn.SINGLE(_xlfn.XLOOKUP(G1227, Réttabanki!A:A, Réttabanki!AV:AV, "")) * I1227 / 100, ""), "")))</f>
        <v/>
      </c>
      <c r="P1227" s="26" t="str">
        <f>IF(OR(F1227 = "", G1227 = "", I1227 = ""), "", IF(F1227 = "Vara", IFERROR(_xlfn.SINGLE(_xlfn.XLOOKUP(G1227, Vöruskrá!A:A, Vöruskrá!J:J, "")) * I1227 / 100, ""), IF(F1227 = "Réttur", IFERROR(_xlfn.SINGLE(_xlfn.XLOOKUP(G1227, Réttabanki!A:A, Réttabanki!AW:AW, "")) * I1227 / 100, ""), "")))</f>
        <v/>
      </c>
      <c r="Q1227" s="26" t="str">
        <f>IF(OR(F1227 = "", G1227 = "", I1227 = ""), "", IF(F1227 = "Vara", IFERROR(_xlfn.SINGLE(_xlfn.XLOOKUP(G1227, Vöruskrá!A:A, Vöruskrá!N:N, "")) * I1227 / 100, ""), IF(F1227 = "Réttur", IFERROR(_xlfn.SINGLE(_xlfn.XLOOKUP(G1227, Réttabanki!A:A, Réttabanki!BB:BB, "")) * I1227 / 100, ""), "")))</f>
        <v/>
      </c>
    </row>
    <row r="1228" spans="2:17">
      <c r="B1228" s="33" t="str">
        <f>IF(A1228&lt;&gt;"",CHOOSE(WEEKDAY(A1228,2),"Mánudagur","Þriðjudagur","Miðvikudagur","Fimmtudagur","Föstudagur","Laugardagur","Sunnudagur"),IF(B1227&lt;&gt;"",B1227,""))</f>
        <v>Fimmtudagur</v>
      </c>
      <c r="C1228" s="33">
        <f>IF(A1228&lt;&gt;"",WEEKNUM(A1228,21),IF(C1227&lt;&gt;"",C1227,""))</f>
        <v>27</v>
      </c>
      <c r="D1228" s="34"/>
      <c r="E1228" s="34"/>
      <c r="F1228" s="34"/>
      <c r="G1228" s="34"/>
      <c r="H1228" s="34"/>
      <c r="I1228" s="35"/>
      <c r="J1228" s="35"/>
      <c r="K1228" s="36"/>
      <c r="L1228" s="26" t="str">
        <f>IF(OR(F1228 = "", G1228 = ""), "", IF(F1228 = "Vara", IFERROR(_xlfn.SINGLE(_xlfn.XLOOKUP(G1228, Vöruskrá!A:A, Vöruskrá!E:E, "")), ""), IF(F1228 = "Réttur", IFERROR(_xlfn.SINGLE(_xlfn.XLOOKUP(G1228, Réttabanki!A:A, Réttabanki!AS:AS, "")), ""), "")))</f>
        <v/>
      </c>
      <c r="M1228" s="26" t="str">
        <f>IF(OR(F1228 = "", G1228 = ""), "", IF(F1228 = "Vara", IFERROR(_xlfn.SINGLE(_xlfn.XLOOKUP(G1228, Vöruskrá!A:A, Vöruskrá!F:F, "")), ""), IF(F1228 = "Réttur", IFERROR(_xlfn.SINGLE(_xlfn.XLOOKUP(G1228, Réttabanki!A:A, Réttabanki!AT:AT, "")), ""), "")))</f>
        <v/>
      </c>
      <c r="N1228" s="26" t="str">
        <f>IF(OR(F1228 = "", G1228 = ""), "", IF(F1228 = "Vara", IFERROR(_xlfn.SINGLE(_xlfn.XLOOKUP(G1228, Vöruskrá!A:A, Vöruskrá!G:G, "")), ""), IF(F1228 = "Réttur", IFERROR(_xlfn.SINGLE(_xlfn.XLOOKUP(G1228, Réttabanki!A:A, Réttabanki!AU:AU, "")), ""), "")))</f>
        <v/>
      </c>
      <c r="O1228" s="26" t="str">
        <f>IF(OR(F1228 = "", G1228 = "", I1228 = ""), "", IF(F1228 = "Vara", IFERROR(_xlfn.SINGLE(_xlfn.XLOOKUP(G1228, Vöruskrá!A:A, Vöruskrá!I:I, "")) * I1228 / 100, ""), IF(F1228 = "Réttur", IFERROR(_xlfn.SINGLE(_xlfn.XLOOKUP(G1228, Réttabanki!A:A, Réttabanki!AV:AV, "")) * I1228 / 100, ""), "")))</f>
        <v/>
      </c>
      <c r="P1228" s="26" t="str">
        <f>IF(OR(F1228 = "", G1228 = "", I1228 = ""), "", IF(F1228 = "Vara", IFERROR(_xlfn.SINGLE(_xlfn.XLOOKUP(G1228, Vöruskrá!A:A, Vöruskrá!J:J, "")) * I1228 / 100, ""), IF(F1228 = "Réttur", IFERROR(_xlfn.SINGLE(_xlfn.XLOOKUP(G1228, Réttabanki!A:A, Réttabanki!AW:AW, "")) * I1228 / 100, ""), "")))</f>
        <v/>
      </c>
      <c r="Q1228" s="26" t="str">
        <f>IF(OR(F1228 = "", G1228 = "", I1228 = ""), "", IF(F1228 = "Vara", IFERROR(_xlfn.SINGLE(_xlfn.XLOOKUP(G1228, Vöruskrá!A:A, Vöruskrá!N:N, "")) * I1228 / 100, ""), IF(F1228 = "Réttur", IFERROR(_xlfn.SINGLE(_xlfn.XLOOKUP(G1228, Réttabanki!A:A, Réttabanki!BB:BB, "")) * I1228 / 100, ""), "")))</f>
        <v/>
      </c>
    </row>
    <row r="1229" spans="2:17">
      <c r="B1229" s="33" t="str">
        <f>IF(A1229&lt;&gt;"",CHOOSE(WEEKDAY(A1229,2),"Mánudagur","Þriðjudagur","Miðvikudagur","Fimmtudagur","Föstudagur","Laugardagur","Sunnudagur"),IF(B1228&lt;&gt;"",B1228,""))</f>
        <v>Fimmtudagur</v>
      </c>
      <c r="C1229" s="33">
        <f>IF(A1229&lt;&gt;"",WEEKNUM(A1229,21),IF(C1228&lt;&gt;"",C1228,""))</f>
        <v>27</v>
      </c>
      <c r="D1229" s="34"/>
      <c r="E1229" s="34"/>
      <c r="F1229" s="34"/>
      <c r="G1229" s="34"/>
      <c r="H1229" s="34"/>
      <c r="I1229" s="35"/>
      <c r="J1229" s="35"/>
      <c r="K1229" s="36"/>
      <c r="L1229" s="26" t="str">
        <f>IF(OR(F1229 = "", G1229 = ""), "", IF(F1229 = "Vara", IFERROR(_xlfn.SINGLE(_xlfn.XLOOKUP(G1229, Vöruskrá!A:A, Vöruskrá!E:E, "")), ""), IF(F1229 = "Réttur", IFERROR(_xlfn.SINGLE(_xlfn.XLOOKUP(G1229, Réttabanki!A:A, Réttabanki!AS:AS, "")), ""), "")))</f>
        <v/>
      </c>
      <c r="M1229" s="26" t="str">
        <f>IF(OR(F1229 = "", G1229 = ""), "", IF(F1229 = "Vara", IFERROR(_xlfn.SINGLE(_xlfn.XLOOKUP(G1229, Vöruskrá!A:A, Vöruskrá!F:F, "")), ""), IF(F1229 = "Réttur", IFERROR(_xlfn.SINGLE(_xlfn.XLOOKUP(G1229, Réttabanki!A:A, Réttabanki!AT:AT, "")), ""), "")))</f>
        <v/>
      </c>
      <c r="N1229" s="26" t="str">
        <f>IF(OR(F1229 = "", G1229 = ""), "", IF(F1229 = "Vara", IFERROR(_xlfn.SINGLE(_xlfn.XLOOKUP(G1229, Vöruskrá!A:A, Vöruskrá!G:G, "")), ""), IF(F1229 = "Réttur", IFERROR(_xlfn.SINGLE(_xlfn.XLOOKUP(G1229, Réttabanki!A:A, Réttabanki!AU:AU, "")), ""), "")))</f>
        <v/>
      </c>
      <c r="O1229" s="26" t="str">
        <f>IF(OR(F1229 = "", G1229 = "", I1229 = ""), "", IF(F1229 = "Vara", IFERROR(_xlfn.SINGLE(_xlfn.XLOOKUP(G1229, Vöruskrá!A:A, Vöruskrá!I:I, "")) * I1229 / 100, ""), IF(F1229 = "Réttur", IFERROR(_xlfn.SINGLE(_xlfn.XLOOKUP(G1229, Réttabanki!A:A, Réttabanki!AV:AV, "")) * I1229 / 100, ""), "")))</f>
        <v/>
      </c>
      <c r="P1229" s="26" t="str">
        <f>IF(OR(F1229 = "", G1229 = "", I1229 = ""), "", IF(F1229 = "Vara", IFERROR(_xlfn.SINGLE(_xlfn.XLOOKUP(G1229, Vöruskrá!A:A, Vöruskrá!J:J, "")) * I1229 / 100, ""), IF(F1229 = "Réttur", IFERROR(_xlfn.SINGLE(_xlfn.XLOOKUP(G1229, Réttabanki!A:A, Réttabanki!AW:AW, "")) * I1229 / 100, ""), "")))</f>
        <v/>
      </c>
      <c r="Q1229" s="26" t="str">
        <f>IF(OR(F1229 = "", G1229 = "", I1229 = ""), "", IF(F1229 = "Vara", IFERROR(_xlfn.SINGLE(_xlfn.XLOOKUP(G1229, Vöruskrá!A:A, Vöruskrá!N:N, "")) * I1229 / 100, ""), IF(F1229 = "Réttur", IFERROR(_xlfn.SINGLE(_xlfn.XLOOKUP(G1229, Réttabanki!A:A, Réttabanki!BB:BB, "")) * I1229 / 100, ""), "")))</f>
        <v/>
      </c>
    </row>
    <row r="1230" spans="2:17">
      <c r="B1230" s="33" t="str">
        <f>IF(A1230&lt;&gt;"",CHOOSE(WEEKDAY(A1230,2),"Mánudagur","Þriðjudagur","Miðvikudagur","Fimmtudagur","Föstudagur","Laugardagur","Sunnudagur"),IF(B1229&lt;&gt;"",B1229,""))</f>
        <v>Fimmtudagur</v>
      </c>
      <c r="C1230" s="33">
        <f>IF(A1230&lt;&gt;"",WEEKNUM(A1230,21),IF(C1229&lt;&gt;"",C1229,""))</f>
        <v>27</v>
      </c>
      <c r="D1230" s="34"/>
      <c r="E1230" s="34"/>
      <c r="F1230" s="34"/>
      <c r="G1230" s="34"/>
      <c r="H1230" s="34"/>
      <c r="I1230" s="35"/>
      <c r="J1230" s="35"/>
      <c r="K1230" s="36"/>
      <c r="L1230" s="26" t="str">
        <f>IF(OR(F1230 = "", G1230 = ""), "", IF(F1230 = "Vara", IFERROR(_xlfn.SINGLE(_xlfn.XLOOKUP(G1230, Vöruskrá!A:A, Vöruskrá!E:E, "")), ""), IF(F1230 = "Réttur", IFERROR(_xlfn.SINGLE(_xlfn.XLOOKUP(G1230, Réttabanki!A:A, Réttabanki!AS:AS, "")), ""), "")))</f>
        <v/>
      </c>
      <c r="M1230" s="26" t="str">
        <f>IF(OR(F1230 = "", G1230 = ""), "", IF(F1230 = "Vara", IFERROR(_xlfn.SINGLE(_xlfn.XLOOKUP(G1230, Vöruskrá!A:A, Vöruskrá!F:F, "")), ""), IF(F1230 = "Réttur", IFERROR(_xlfn.SINGLE(_xlfn.XLOOKUP(G1230, Réttabanki!A:A, Réttabanki!AT:AT, "")), ""), "")))</f>
        <v/>
      </c>
      <c r="N1230" s="26" t="str">
        <f>IF(OR(F1230 = "", G1230 = ""), "", IF(F1230 = "Vara", IFERROR(_xlfn.SINGLE(_xlfn.XLOOKUP(G1230, Vöruskrá!A:A, Vöruskrá!G:G, "")), ""), IF(F1230 = "Réttur", IFERROR(_xlfn.SINGLE(_xlfn.XLOOKUP(G1230, Réttabanki!A:A, Réttabanki!AU:AU, "")), ""), "")))</f>
        <v/>
      </c>
      <c r="O1230" s="26" t="str">
        <f>IF(OR(F1230 = "", G1230 = "", I1230 = ""), "", IF(F1230 = "Vara", IFERROR(_xlfn.SINGLE(_xlfn.XLOOKUP(G1230, Vöruskrá!A:A, Vöruskrá!I:I, "")) * I1230 / 100, ""), IF(F1230 = "Réttur", IFERROR(_xlfn.SINGLE(_xlfn.XLOOKUP(G1230, Réttabanki!A:A, Réttabanki!AV:AV, "")) * I1230 / 100, ""), "")))</f>
        <v/>
      </c>
      <c r="P1230" s="26" t="str">
        <f>IF(OR(F1230 = "", G1230 = "", I1230 = ""), "", IF(F1230 = "Vara", IFERROR(_xlfn.SINGLE(_xlfn.XLOOKUP(G1230, Vöruskrá!A:A, Vöruskrá!J:J, "")) * I1230 / 100, ""), IF(F1230 = "Réttur", IFERROR(_xlfn.SINGLE(_xlfn.XLOOKUP(G1230, Réttabanki!A:A, Réttabanki!AW:AW, "")) * I1230 / 100, ""), "")))</f>
        <v/>
      </c>
      <c r="Q1230" s="26" t="str">
        <f>IF(OR(F1230 = "", G1230 = "", I1230 = ""), "", IF(F1230 = "Vara", IFERROR(_xlfn.SINGLE(_xlfn.XLOOKUP(G1230, Vöruskrá!A:A, Vöruskrá!N:N, "")) * I1230 / 100, ""), IF(F1230 = "Réttur", IFERROR(_xlfn.SINGLE(_xlfn.XLOOKUP(G1230, Réttabanki!A:A, Réttabanki!BB:BB, "")) * I1230 / 100, ""), "")))</f>
        <v/>
      </c>
    </row>
    <row r="1231" spans="2:17">
      <c r="B1231" s="33" t="str">
        <f>IF(A1231&lt;&gt;"",CHOOSE(WEEKDAY(A1231,2),"Mánudagur","Þriðjudagur","Miðvikudagur","Fimmtudagur","Föstudagur","Laugardagur","Sunnudagur"),IF(B1230&lt;&gt;"",B1230,""))</f>
        <v>Fimmtudagur</v>
      </c>
      <c r="C1231" s="33">
        <f>IF(A1231&lt;&gt;"",WEEKNUM(A1231,21),IF(C1230&lt;&gt;"",C1230,""))</f>
        <v>27</v>
      </c>
      <c r="D1231" s="34"/>
      <c r="E1231" s="34"/>
      <c r="F1231" s="34"/>
      <c r="G1231" s="34"/>
      <c r="H1231" s="34"/>
      <c r="I1231" s="35"/>
      <c r="J1231" s="35"/>
      <c r="K1231" s="36"/>
      <c r="L1231" s="26" t="str">
        <f>IF(OR(F1231 = "", G1231 = ""), "", IF(F1231 = "Vara", IFERROR(_xlfn.SINGLE(_xlfn.XLOOKUP(G1231, Vöruskrá!A:A, Vöruskrá!E:E, "")), ""), IF(F1231 = "Réttur", IFERROR(_xlfn.SINGLE(_xlfn.XLOOKUP(G1231, Réttabanki!A:A, Réttabanki!AS:AS, "")), ""), "")))</f>
        <v/>
      </c>
      <c r="M1231" s="26" t="str">
        <f>IF(OR(F1231 = "", G1231 = ""), "", IF(F1231 = "Vara", IFERROR(_xlfn.SINGLE(_xlfn.XLOOKUP(G1231, Vöruskrá!A:A, Vöruskrá!F:F, "")), ""), IF(F1231 = "Réttur", IFERROR(_xlfn.SINGLE(_xlfn.XLOOKUP(G1231, Réttabanki!A:A, Réttabanki!AT:AT, "")), ""), "")))</f>
        <v/>
      </c>
      <c r="N1231" s="26" t="str">
        <f>IF(OR(F1231 = "", G1231 = ""), "", IF(F1231 = "Vara", IFERROR(_xlfn.SINGLE(_xlfn.XLOOKUP(G1231, Vöruskrá!A:A, Vöruskrá!G:G, "")), ""), IF(F1231 = "Réttur", IFERROR(_xlfn.SINGLE(_xlfn.XLOOKUP(G1231, Réttabanki!A:A, Réttabanki!AU:AU, "")), ""), "")))</f>
        <v/>
      </c>
      <c r="O1231" s="26" t="str">
        <f>IF(OR(F1231 = "", G1231 = "", I1231 = ""), "", IF(F1231 = "Vara", IFERROR(_xlfn.SINGLE(_xlfn.XLOOKUP(G1231, Vöruskrá!A:A, Vöruskrá!I:I, "")) * I1231 / 100, ""), IF(F1231 = "Réttur", IFERROR(_xlfn.SINGLE(_xlfn.XLOOKUP(G1231, Réttabanki!A:A, Réttabanki!AV:AV, "")) * I1231 / 100, ""), "")))</f>
        <v/>
      </c>
      <c r="P1231" s="26" t="str">
        <f>IF(OR(F1231 = "", G1231 = "", I1231 = ""), "", IF(F1231 = "Vara", IFERROR(_xlfn.SINGLE(_xlfn.XLOOKUP(G1231, Vöruskrá!A:A, Vöruskrá!J:J, "")) * I1231 / 100, ""), IF(F1231 = "Réttur", IFERROR(_xlfn.SINGLE(_xlfn.XLOOKUP(G1231, Réttabanki!A:A, Réttabanki!AW:AW, "")) * I1231 / 100, ""), "")))</f>
        <v/>
      </c>
      <c r="Q1231" s="26" t="str">
        <f>IF(OR(F1231 = "", G1231 = "", I1231 = ""), "", IF(F1231 = "Vara", IFERROR(_xlfn.SINGLE(_xlfn.XLOOKUP(G1231, Vöruskrá!A:A, Vöruskrá!N:N, "")) * I1231 / 100, ""), IF(F1231 = "Réttur", IFERROR(_xlfn.SINGLE(_xlfn.XLOOKUP(G1231, Réttabanki!A:A, Réttabanki!BB:BB, "")) * I1231 / 100, ""), "")))</f>
        <v/>
      </c>
    </row>
    <row r="1232" spans="2:17">
      <c r="B1232" s="33" t="str">
        <f>IF(A1232&lt;&gt;"",CHOOSE(WEEKDAY(A1232,2),"Mánudagur","Þriðjudagur","Miðvikudagur","Fimmtudagur","Föstudagur","Laugardagur","Sunnudagur"),IF(B1231&lt;&gt;"",B1231,""))</f>
        <v>Fimmtudagur</v>
      </c>
      <c r="C1232" s="33">
        <f>IF(A1232&lt;&gt;"",WEEKNUM(A1232,21),IF(C1231&lt;&gt;"",C1231,""))</f>
        <v>27</v>
      </c>
      <c r="D1232" s="34"/>
      <c r="E1232" s="34"/>
      <c r="F1232" s="34"/>
      <c r="G1232" s="34"/>
      <c r="H1232" s="34"/>
      <c r="I1232" s="35"/>
      <c r="J1232" s="35"/>
      <c r="K1232" s="36"/>
      <c r="L1232" s="26" t="str">
        <f>IF(OR(F1232 = "", G1232 = ""), "", IF(F1232 = "Vara", IFERROR(_xlfn.SINGLE(_xlfn.XLOOKUP(G1232, Vöruskrá!A:A, Vöruskrá!E:E, "")), ""), IF(F1232 = "Réttur", IFERROR(_xlfn.SINGLE(_xlfn.XLOOKUP(G1232, Réttabanki!A:A, Réttabanki!AS:AS, "")), ""), "")))</f>
        <v/>
      </c>
      <c r="M1232" s="26" t="str">
        <f>IF(OR(F1232 = "", G1232 = ""), "", IF(F1232 = "Vara", IFERROR(_xlfn.SINGLE(_xlfn.XLOOKUP(G1232, Vöruskrá!A:A, Vöruskrá!F:F, "")), ""), IF(F1232 = "Réttur", IFERROR(_xlfn.SINGLE(_xlfn.XLOOKUP(G1232, Réttabanki!A:A, Réttabanki!AT:AT, "")), ""), "")))</f>
        <v/>
      </c>
      <c r="N1232" s="26" t="str">
        <f>IF(OR(F1232 = "", G1232 = ""), "", IF(F1232 = "Vara", IFERROR(_xlfn.SINGLE(_xlfn.XLOOKUP(G1232, Vöruskrá!A:A, Vöruskrá!G:G, "")), ""), IF(F1232 = "Réttur", IFERROR(_xlfn.SINGLE(_xlfn.XLOOKUP(G1232, Réttabanki!A:A, Réttabanki!AU:AU, "")), ""), "")))</f>
        <v/>
      </c>
      <c r="O1232" s="26" t="str">
        <f>IF(OR(F1232 = "", G1232 = "", I1232 = ""), "", IF(F1232 = "Vara", IFERROR(_xlfn.SINGLE(_xlfn.XLOOKUP(G1232, Vöruskrá!A:A, Vöruskrá!I:I, "")) * I1232 / 100, ""), IF(F1232 = "Réttur", IFERROR(_xlfn.SINGLE(_xlfn.XLOOKUP(G1232, Réttabanki!A:A, Réttabanki!AV:AV, "")) * I1232 / 100, ""), "")))</f>
        <v/>
      </c>
      <c r="P1232" s="26" t="str">
        <f>IF(OR(F1232 = "", G1232 = "", I1232 = ""), "", IF(F1232 = "Vara", IFERROR(_xlfn.SINGLE(_xlfn.XLOOKUP(G1232, Vöruskrá!A:A, Vöruskrá!J:J, "")) * I1232 / 100, ""), IF(F1232 = "Réttur", IFERROR(_xlfn.SINGLE(_xlfn.XLOOKUP(G1232, Réttabanki!A:A, Réttabanki!AW:AW, "")) * I1232 / 100, ""), "")))</f>
        <v/>
      </c>
      <c r="Q1232" s="26" t="str">
        <f>IF(OR(F1232 = "", G1232 = "", I1232 = ""), "", IF(F1232 = "Vara", IFERROR(_xlfn.SINGLE(_xlfn.XLOOKUP(G1232, Vöruskrá!A:A, Vöruskrá!N:N, "")) * I1232 / 100, ""), IF(F1232 = "Réttur", IFERROR(_xlfn.SINGLE(_xlfn.XLOOKUP(G1232, Réttabanki!A:A, Réttabanki!BB:BB, "")) * I1232 / 100, ""), "")))</f>
        <v/>
      </c>
    </row>
    <row r="1233" spans="2:17">
      <c r="B1233" s="33" t="str">
        <f>IF(A1233&lt;&gt;"",CHOOSE(WEEKDAY(A1233,2),"Mánudagur","Þriðjudagur","Miðvikudagur","Fimmtudagur","Föstudagur","Laugardagur","Sunnudagur"),IF(B1232&lt;&gt;"",B1232,""))</f>
        <v>Fimmtudagur</v>
      </c>
      <c r="C1233" s="33">
        <f>IF(A1233&lt;&gt;"",WEEKNUM(A1233,21),IF(C1232&lt;&gt;"",C1232,""))</f>
        <v>27</v>
      </c>
      <c r="D1233" s="34"/>
      <c r="E1233" s="34"/>
      <c r="F1233" s="34"/>
      <c r="G1233" s="34"/>
      <c r="H1233" s="34"/>
      <c r="I1233" s="35"/>
      <c r="J1233" s="35"/>
      <c r="K1233" s="36"/>
      <c r="L1233" s="26" t="str">
        <f>IF(OR(F1233 = "", G1233 = ""), "", IF(F1233 = "Vara", IFERROR(_xlfn.SINGLE(_xlfn.XLOOKUP(G1233, Vöruskrá!A:A, Vöruskrá!E:E, "")), ""), IF(F1233 = "Réttur", IFERROR(_xlfn.SINGLE(_xlfn.XLOOKUP(G1233, Réttabanki!A:A, Réttabanki!AS:AS, "")), ""), "")))</f>
        <v/>
      </c>
      <c r="M1233" s="26" t="str">
        <f>IF(OR(F1233 = "", G1233 = ""), "", IF(F1233 = "Vara", IFERROR(_xlfn.SINGLE(_xlfn.XLOOKUP(G1233, Vöruskrá!A:A, Vöruskrá!F:F, "")), ""), IF(F1233 = "Réttur", IFERROR(_xlfn.SINGLE(_xlfn.XLOOKUP(G1233, Réttabanki!A:A, Réttabanki!AT:AT, "")), ""), "")))</f>
        <v/>
      </c>
      <c r="N1233" s="26" t="str">
        <f>IF(OR(F1233 = "", G1233 = ""), "", IF(F1233 = "Vara", IFERROR(_xlfn.SINGLE(_xlfn.XLOOKUP(G1233, Vöruskrá!A:A, Vöruskrá!G:G, "")), ""), IF(F1233 = "Réttur", IFERROR(_xlfn.SINGLE(_xlfn.XLOOKUP(G1233, Réttabanki!A:A, Réttabanki!AU:AU, "")), ""), "")))</f>
        <v/>
      </c>
      <c r="O1233" s="26" t="str">
        <f>IF(OR(F1233 = "", G1233 = "", I1233 = ""), "", IF(F1233 = "Vara", IFERROR(_xlfn.SINGLE(_xlfn.XLOOKUP(G1233, Vöruskrá!A:A, Vöruskrá!I:I, "")) * I1233 / 100, ""), IF(F1233 = "Réttur", IFERROR(_xlfn.SINGLE(_xlfn.XLOOKUP(G1233, Réttabanki!A:A, Réttabanki!AV:AV, "")) * I1233 / 100, ""), "")))</f>
        <v/>
      </c>
      <c r="P1233" s="26" t="str">
        <f>IF(OR(F1233 = "", G1233 = "", I1233 = ""), "", IF(F1233 = "Vara", IFERROR(_xlfn.SINGLE(_xlfn.XLOOKUP(G1233, Vöruskrá!A:A, Vöruskrá!J:J, "")) * I1233 / 100, ""), IF(F1233 = "Réttur", IFERROR(_xlfn.SINGLE(_xlfn.XLOOKUP(G1233, Réttabanki!A:A, Réttabanki!AW:AW, "")) * I1233 / 100, ""), "")))</f>
        <v/>
      </c>
      <c r="Q1233" s="26" t="str">
        <f>IF(OR(F1233 = "", G1233 = "", I1233 = ""), "", IF(F1233 = "Vara", IFERROR(_xlfn.SINGLE(_xlfn.XLOOKUP(G1233, Vöruskrá!A:A, Vöruskrá!N:N, "")) * I1233 / 100, ""), IF(F1233 = "Réttur", IFERROR(_xlfn.SINGLE(_xlfn.XLOOKUP(G1233, Réttabanki!A:A, Réttabanki!BB:BB, "")) * I1233 / 100, ""), "")))</f>
        <v/>
      </c>
    </row>
    <row r="1234" spans="2:17">
      <c r="B1234" s="33" t="str">
        <f>IF(A1234&lt;&gt;"",CHOOSE(WEEKDAY(A1234,2),"Mánudagur","Þriðjudagur","Miðvikudagur","Fimmtudagur","Föstudagur","Laugardagur","Sunnudagur"),IF(B1233&lt;&gt;"",B1233,""))</f>
        <v>Fimmtudagur</v>
      </c>
      <c r="C1234" s="33">
        <f>IF(A1234&lt;&gt;"",WEEKNUM(A1234,21),IF(C1233&lt;&gt;"",C1233,""))</f>
        <v>27</v>
      </c>
      <c r="D1234" s="34"/>
      <c r="E1234" s="34"/>
      <c r="F1234" s="34"/>
      <c r="G1234" s="34"/>
      <c r="H1234" s="34"/>
      <c r="I1234" s="35"/>
      <c r="J1234" s="35"/>
      <c r="K1234" s="36"/>
      <c r="L1234" s="26" t="str">
        <f>IF(OR(F1234 = "", G1234 = ""), "", IF(F1234 = "Vara", IFERROR(_xlfn.SINGLE(_xlfn.XLOOKUP(G1234, Vöruskrá!A:A, Vöruskrá!E:E, "")), ""), IF(F1234 = "Réttur", IFERROR(_xlfn.SINGLE(_xlfn.XLOOKUP(G1234, Réttabanki!A:A, Réttabanki!AS:AS, "")), ""), "")))</f>
        <v/>
      </c>
      <c r="M1234" s="26" t="str">
        <f>IF(OR(F1234 = "", G1234 = ""), "", IF(F1234 = "Vara", IFERROR(_xlfn.SINGLE(_xlfn.XLOOKUP(G1234, Vöruskrá!A:A, Vöruskrá!F:F, "")), ""), IF(F1234 = "Réttur", IFERROR(_xlfn.SINGLE(_xlfn.XLOOKUP(G1234, Réttabanki!A:A, Réttabanki!AT:AT, "")), ""), "")))</f>
        <v/>
      </c>
      <c r="N1234" s="26" t="str">
        <f>IF(OR(F1234 = "", G1234 = ""), "", IF(F1234 = "Vara", IFERROR(_xlfn.SINGLE(_xlfn.XLOOKUP(G1234, Vöruskrá!A:A, Vöruskrá!G:G, "")), ""), IF(F1234 = "Réttur", IFERROR(_xlfn.SINGLE(_xlfn.XLOOKUP(G1234, Réttabanki!A:A, Réttabanki!AU:AU, "")), ""), "")))</f>
        <v/>
      </c>
      <c r="O1234" s="26" t="str">
        <f>IF(OR(F1234 = "", G1234 = "", I1234 = ""), "", IF(F1234 = "Vara", IFERROR(_xlfn.SINGLE(_xlfn.XLOOKUP(G1234, Vöruskrá!A:A, Vöruskrá!I:I, "")) * I1234 / 100, ""), IF(F1234 = "Réttur", IFERROR(_xlfn.SINGLE(_xlfn.XLOOKUP(G1234, Réttabanki!A:A, Réttabanki!AV:AV, "")) * I1234 / 100, ""), "")))</f>
        <v/>
      </c>
      <c r="P1234" s="26" t="str">
        <f>IF(OR(F1234 = "", G1234 = "", I1234 = ""), "", IF(F1234 = "Vara", IFERROR(_xlfn.SINGLE(_xlfn.XLOOKUP(G1234, Vöruskrá!A:A, Vöruskrá!J:J, "")) * I1234 / 100, ""), IF(F1234 = "Réttur", IFERROR(_xlfn.SINGLE(_xlfn.XLOOKUP(G1234, Réttabanki!A:A, Réttabanki!AW:AW, "")) * I1234 / 100, ""), "")))</f>
        <v/>
      </c>
      <c r="Q1234" s="26" t="str">
        <f>IF(OR(F1234 = "", G1234 = "", I1234 = ""), "", IF(F1234 = "Vara", IFERROR(_xlfn.SINGLE(_xlfn.XLOOKUP(G1234, Vöruskrá!A:A, Vöruskrá!N:N, "")) * I1234 / 100, ""), IF(F1234 = "Réttur", IFERROR(_xlfn.SINGLE(_xlfn.XLOOKUP(G1234, Réttabanki!A:A, Réttabanki!BB:BB, "")) * I1234 / 100, ""), "")))</f>
        <v/>
      </c>
    </row>
    <row r="1235" spans="2:17">
      <c r="B1235" s="33" t="str">
        <f>IF(A1235&lt;&gt;"",CHOOSE(WEEKDAY(A1235,2),"Mánudagur","Þriðjudagur","Miðvikudagur","Fimmtudagur","Föstudagur","Laugardagur","Sunnudagur"),IF(B1234&lt;&gt;"",B1234,""))</f>
        <v>Fimmtudagur</v>
      </c>
      <c r="C1235" s="33">
        <f>IF(A1235&lt;&gt;"",WEEKNUM(A1235,21),IF(C1234&lt;&gt;"",C1234,""))</f>
        <v>27</v>
      </c>
      <c r="D1235" s="34"/>
      <c r="E1235" s="34"/>
      <c r="F1235" s="34"/>
      <c r="G1235" s="34"/>
      <c r="H1235" s="34"/>
      <c r="I1235" s="35"/>
      <c r="J1235" s="35"/>
      <c r="K1235" s="36"/>
      <c r="L1235" s="26" t="str">
        <f>IF(OR(F1235 = "", G1235 = ""), "", IF(F1235 = "Vara", IFERROR(_xlfn.SINGLE(_xlfn.XLOOKUP(G1235, Vöruskrá!A:A, Vöruskrá!E:E, "")), ""), IF(F1235 = "Réttur", IFERROR(_xlfn.SINGLE(_xlfn.XLOOKUP(G1235, Réttabanki!A:A, Réttabanki!AS:AS, "")), ""), "")))</f>
        <v/>
      </c>
      <c r="M1235" s="26" t="str">
        <f>IF(OR(F1235 = "", G1235 = ""), "", IF(F1235 = "Vara", IFERROR(_xlfn.SINGLE(_xlfn.XLOOKUP(G1235, Vöruskrá!A:A, Vöruskrá!F:F, "")), ""), IF(F1235 = "Réttur", IFERROR(_xlfn.SINGLE(_xlfn.XLOOKUP(G1235, Réttabanki!A:A, Réttabanki!AT:AT, "")), ""), "")))</f>
        <v/>
      </c>
      <c r="N1235" s="26" t="str">
        <f>IF(OR(F1235 = "", G1235 = ""), "", IF(F1235 = "Vara", IFERROR(_xlfn.SINGLE(_xlfn.XLOOKUP(G1235, Vöruskrá!A:A, Vöruskrá!G:G, "")), ""), IF(F1235 = "Réttur", IFERROR(_xlfn.SINGLE(_xlfn.XLOOKUP(G1235, Réttabanki!A:A, Réttabanki!AU:AU, "")), ""), "")))</f>
        <v/>
      </c>
      <c r="O1235" s="26" t="str">
        <f>IF(OR(F1235 = "", G1235 = "", I1235 = ""), "", IF(F1235 = "Vara", IFERROR(_xlfn.SINGLE(_xlfn.XLOOKUP(G1235, Vöruskrá!A:A, Vöruskrá!I:I, "")) * I1235 / 100, ""), IF(F1235 = "Réttur", IFERROR(_xlfn.SINGLE(_xlfn.XLOOKUP(G1235, Réttabanki!A:A, Réttabanki!AV:AV, "")) * I1235 / 100, ""), "")))</f>
        <v/>
      </c>
      <c r="P1235" s="26" t="str">
        <f>IF(OR(F1235 = "", G1235 = "", I1235 = ""), "", IF(F1235 = "Vara", IFERROR(_xlfn.SINGLE(_xlfn.XLOOKUP(G1235, Vöruskrá!A:A, Vöruskrá!J:J, "")) * I1235 / 100, ""), IF(F1235 = "Réttur", IFERROR(_xlfn.SINGLE(_xlfn.XLOOKUP(G1235, Réttabanki!A:A, Réttabanki!AW:AW, "")) * I1235 / 100, ""), "")))</f>
        <v/>
      </c>
      <c r="Q1235" s="26" t="str">
        <f>IF(OR(F1235 = "", G1235 = "", I1235 = ""), "", IF(F1235 = "Vara", IFERROR(_xlfn.SINGLE(_xlfn.XLOOKUP(G1235, Vöruskrá!A:A, Vöruskrá!N:N, "")) * I1235 / 100, ""), IF(F1235 = "Réttur", IFERROR(_xlfn.SINGLE(_xlfn.XLOOKUP(G1235, Réttabanki!A:A, Réttabanki!BB:BB, "")) * I1235 / 100, ""), "")))</f>
        <v/>
      </c>
    </row>
    <row r="1236" spans="2:17">
      <c r="B1236" s="33" t="str">
        <f>IF(A1236&lt;&gt;"",CHOOSE(WEEKDAY(A1236,2),"Mánudagur","Þriðjudagur","Miðvikudagur","Fimmtudagur","Föstudagur","Laugardagur","Sunnudagur"),IF(B1235&lt;&gt;"",B1235,""))</f>
        <v>Fimmtudagur</v>
      </c>
      <c r="C1236" s="33">
        <f>IF(A1236&lt;&gt;"",WEEKNUM(A1236,21),IF(C1235&lt;&gt;"",C1235,""))</f>
        <v>27</v>
      </c>
      <c r="D1236" s="34"/>
      <c r="E1236" s="34"/>
      <c r="F1236" s="34"/>
      <c r="G1236" s="34"/>
      <c r="H1236" s="34"/>
      <c r="I1236" s="35"/>
      <c r="J1236" s="35"/>
      <c r="K1236" s="36"/>
      <c r="L1236" s="26" t="str">
        <f>IF(OR(F1236 = "", G1236 = ""), "", IF(F1236 = "Vara", IFERROR(_xlfn.SINGLE(_xlfn.XLOOKUP(G1236, Vöruskrá!A:A, Vöruskrá!E:E, "")), ""), IF(F1236 = "Réttur", IFERROR(_xlfn.SINGLE(_xlfn.XLOOKUP(G1236, Réttabanki!A:A, Réttabanki!AS:AS, "")), ""), "")))</f>
        <v/>
      </c>
      <c r="M1236" s="26" t="str">
        <f>IF(OR(F1236 = "", G1236 = ""), "", IF(F1236 = "Vara", IFERROR(_xlfn.SINGLE(_xlfn.XLOOKUP(G1236, Vöruskrá!A:A, Vöruskrá!F:F, "")), ""), IF(F1236 = "Réttur", IFERROR(_xlfn.SINGLE(_xlfn.XLOOKUP(G1236, Réttabanki!A:A, Réttabanki!AT:AT, "")), ""), "")))</f>
        <v/>
      </c>
      <c r="N1236" s="26" t="str">
        <f>IF(OR(F1236 = "", G1236 = ""), "", IF(F1236 = "Vara", IFERROR(_xlfn.SINGLE(_xlfn.XLOOKUP(G1236, Vöruskrá!A:A, Vöruskrá!G:G, "")), ""), IF(F1236 = "Réttur", IFERROR(_xlfn.SINGLE(_xlfn.XLOOKUP(G1236, Réttabanki!A:A, Réttabanki!AU:AU, "")), ""), "")))</f>
        <v/>
      </c>
      <c r="O1236" s="26" t="str">
        <f>IF(OR(F1236 = "", G1236 = "", I1236 = ""), "", IF(F1236 = "Vara", IFERROR(_xlfn.SINGLE(_xlfn.XLOOKUP(G1236, Vöruskrá!A:A, Vöruskrá!I:I, "")) * I1236 / 100, ""), IF(F1236 = "Réttur", IFERROR(_xlfn.SINGLE(_xlfn.XLOOKUP(G1236, Réttabanki!A:A, Réttabanki!AV:AV, "")) * I1236 / 100, ""), "")))</f>
        <v/>
      </c>
      <c r="P1236" s="26" t="str">
        <f>IF(OR(F1236 = "", G1236 = "", I1236 = ""), "", IF(F1236 = "Vara", IFERROR(_xlfn.SINGLE(_xlfn.XLOOKUP(G1236, Vöruskrá!A:A, Vöruskrá!J:J, "")) * I1236 / 100, ""), IF(F1236 = "Réttur", IFERROR(_xlfn.SINGLE(_xlfn.XLOOKUP(G1236, Réttabanki!A:A, Réttabanki!AW:AW, "")) * I1236 / 100, ""), "")))</f>
        <v/>
      </c>
      <c r="Q1236" s="26" t="str">
        <f>IF(OR(F1236 = "", G1236 = "", I1236 = ""), "", IF(F1236 = "Vara", IFERROR(_xlfn.SINGLE(_xlfn.XLOOKUP(G1236, Vöruskrá!A:A, Vöruskrá!N:N, "")) * I1236 / 100, ""), IF(F1236 = "Réttur", IFERROR(_xlfn.SINGLE(_xlfn.XLOOKUP(G1236, Réttabanki!A:A, Réttabanki!BB:BB, "")) * I1236 / 100, ""), "")))</f>
        <v/>
      </c>
    </row>
    <row r="1237" spans="2:17">
      <c r="B1237" s="33" t="str">
        <f>IF(A1237&lt;&gt;"",CHOOSE(WEEKDAY(A1237,2),"Mánudagur","Þriðjudagur","Miðvikudagur","Fimmtudagur","Föstudagur","Laugardagur","Sunnudagur"),IF(B1236&lt;&gt;"",B1236,""))</f>
        <v>Fimmtudagur</v>
      </c>
      <c r="C1237" s="33">
        <f>IF(A1237&lt;&gt;"",WEEKNUM(A1237,21),IF(C1236&lt;&gt;"",C1236,""))</f>
        <v>27</v>
      </c>
      <c r="D1237" s="34"/>
      <c r="E1237" s="34"/>
      <c r="F1237" s="34"/>
      <c r="G1237" s="34"/>
      <c r="H1237" s="34"/>
      <c r="I1237" s="35"/>
      <c r="J1237" s="35"/>
      <c r="K1237" s="36"/>
      <c r="L1237" s="26" t="str">
        <f>IF(OR(F1237 = "", G1237 = ""), "", IF(F1237 = "Vara", IFERROR(_xlfn.SINGLE(_xlfn.XLOOKUP(G1237, Vöruskrá!A:A, Vöruskrá!E:E, "")), ""), IF(F1237 = "Réttur", IFERROR(_xlfn.SINGLE(_xlfn.XLOOKUP(G1237, Réttabanki!A:A, Réttabanki!AS:AS, "")), ""), "")))</f>
        <v/>
      </c>
      <c r="M1237" s="26" t="str">
        <f>IF(OR(F1237 = "", G1237 = ""), "", IF(F1237 = "Vara", IFERROR(_xlfn.SINGLE(_xlfn.XLOOKUP(G1237, Vöruskrá!A:A, Vöruskrá!F:F, "")), ""), IF(F1237 = "Réttur", IFERROR(_xlfn.SINGLE(_xlfn.XLOOKUP(G1237, Réttabanki!A:A, Réttabanki!AT:AT, "")), ""), "")))</f>
        <v/>
      </c>
      <c r="N1237" s="26" t="str">
        <f>IF(OR(F1237 = "", G1237 = ""), "", IF(F1237 = "Vara", IFERROR(_xlfn.SINGLE(_xlfn.XLOOKUP(G1237, Vöruskrá!A:A, Vöruskrá!G:G, "")), ""), IF(F1237 = "Réttur", IFERROR(_xlfn.SINGLE(_xlfn.XLOOKUP(G1237, Réttabanki!A:A, Réttabanki!AU:AU, "")), ""), "")))</f>
        <v/>
      </c>
      <c r="O1237" s="26" t="str">
        <f>IF(OR(F1237 = "", G1237 = "", I1237 = ""), "", IF(F1237 = "Vara", IFERROR(_xlfn.SINGLE(_xlfn.XLOOKUP(G1237, Vöruskrá!A:A, Vöruskrá!I:I, "")) * I1237 / 100, ""), IF(F1237 = "Réttur", IFERROR(_xlfn.SINGLE(_xlfn.XLOOKUP(G1237, Réttabanki!A:A, Réttabanki!AV:AV, "")) * I1237 / 100, ""), "")))</f>
        <v/>
      </c>
      <c r="P1237" s="26" t="str">
        <f>IF(OR(F1237 = "", G1237 = "", I1237 = ""), "", IF(F1237 = "Vara", IFERROR(_xlfn.SINGLE(_xlfn.XLOOKUP(G1237, Vöruskrá!A:A, Vöruskrá!J:J, "")) * I1237 / 100, ""), IF(F1237 = "Réttur", IFERROR(_xlfn.SINGLE(_xlfn.XLOOKUP(G1237, Réttabanki!A:A, Réttabanki!AW:AW, "")) * I1237 / 100, ""), "")))</f>
        <v/>
      </c>
      <c r="Q1237" s="26" t="str">
        <f>IF(OR(F1237 = "", G1237 = "", I1237 = ""), "", IF(F1237 = "Vara", IFERROR(_xlfn.SINGLE(_xlfn.XLOOKUP(G1237, Vöruskrá!A:A, Vöruskrá!N:N, "")) * I1237 / 100, ""), IF(F1237 = "Réttur", IFERROR(_xlfn.SINGLE(_xlfn.XLOOKUP(G1237, Réttabanki!A:A, Réttabanki!BB:BB, "")) * I1237 / 100, ""), "")))</f>
        <v/>
      </c>
    </row>
    <row r="1238" spans="2:17">
      <c r="B1238" s="33" t="str">
        <f>IF(A1238&lt;&gt;"",CHOOSE(WEEKDAY(A1238,2),"Mánudagur","Þriðjudagur","Miðvikudagur","Fimmtudagur","Föstudagur","Laugardagur","Sunnudagur"),IF(B1237&lt;&gt;"",B1237,""))</f>
        <v>Fimmtudagur</v>
      </c>
      <c r="C1238" s="33">
        <f>IF(A1238&lt;&gt;"",WEEKNUM(A1238,21),IF(C1237&lt;&gt;"",C1237,""))</f>
        <v>27</v>
      </c>
      <c r="D1238" s="34"/>
      <c r="E1238" s="34"/>
      <c r="F1238" s="34"/>
      <c r="G1238" s="34"/>
      <c r="H1238" s="34"/>
      <c r="I1238" s="35"/>
      <c r="J1238" s="35"/>
      <c r="K1238" s="36"/>
      <c r="L1238" s="26" t="str">
        <f>IF(OR(F1238 = "", G1238 = ""), "", IF(F1238 = "Vara", IFERROR(_xlfn.SINGLE(_xlfn.XLOOKUP(G1238, Vöruskrá!A:A, Vöruskrá!E:E, "")), ""), IF(F1238 = "Réttur", IFERROR(_xlfn.SINGLE(_xlfn.XLOOKUP(G1238, Réttabanki!A:A, Réttabanki!AS:AS, "")), ""), "")))</f>
        <v/>
      </c>
      <c r="M1238" s="26" t="str">
        <f>IF(OR(F1238 = "", G1238 = ""), "", IF(F1238 = "Vara", IFERROR(_xlfn.SINGLE(_xlfn.XLOOKUP(G1238, Vöruskrá!A:A, Vöruskrá!F:F, "")), ""), IF(F1238 = "Réttur", IFERROR(_xlfn.SINGLE(_xlfn.XLOOKUP(G1238, Réttabanki!A:A, Réttabanki!AT:AT, "")), ""), "")))</f>
        <v/>
      </c>
      <c r="N1238" s="26" t="str">
        <f>IF(OR(F1238 = "", G1238 = ""), "", IF(F1238 = "Vara", IFERROR(_xlfn.SINGLE(_xlfn.XLOOKUP(G1238, Vöruskrá!A:A, Vöruskrá!G:G, "")), ""), IF(F1238 = "Réttur", IFERROR(_xlfn.SINGLE(_xlfn.XLOOKUP(G1238, Réttabanki!A:A, Réttabanki!AU:AU, "")), ""), "")))</f>
        <v/>
      </c>
      <c r="O1238" s="26" t="str">
        <f>IF(OR(F1238 = "", G1238 = "", I1238 = ""), "", IF(F1238 = "Vara", IFERROR(_xlfn.SINGLE(_xlfn.XLOOKUP(G1238, Vöruskrá!A:A, Vöruskrá!I:I, "")) * I1238 / 100, ""), IF(F1238 = "Réttur", IFERROR(_xlfn.SINGLE(_xlfn.XLOOKUP(G1238, Réttabanki!A:A, Réttabanki!AV:AV, "")) * I1238 / 100, ""), "")))</f>
        <v/>
      </c>
      <c r="P1238" s="26" t="str">
        <f>IF(OR(F1238 = "", G1238 = "", I1238 = ""), "", IF(F1238 = "Vara", IFERROR(_xlfn.SINGLE(_xlfn.XLOOKUP(G1238, Vöruskrá!A:A, Vöruskrá!J:J, "")) * I1238 / 100, ""), IF(F1238 = "Réttur", IFERROR(_xlfn.SINGLE(_xlfn.XLOOKUP(G1238, Réttabanki!A:A, Réttabanki!AW:AW, "")) * I1238 / 100, ""), "")))</f>
        <v/>
      </c>
      <c r="Q1238" s="26" t="str">
        <f>IF(OR(F1238 = "", G1238 = "", I1238 = ""), "", IF(F1238 = "Vara", IFERROR(_xlfn.SINGLE(_xlfn.XLOOKUP(G1238, Vöruskrá!A:A, Vöruskrá!N:N, "")) * I1238 / 100, ""), IF(F1238 = "Réttur", IFERROR(_xlfn.SINGLE(_xlfn.XLOOKUP(G1238, Réttabanki!A:A, Réttabanki!BB:BB, "")) * I1238 / 100, ""), "")))</f>
        <v/>
      </c>
    </row>
    <row r="1239" spans="2:17">
      <c r="B1239" s="33" t="str">
        <f>IF(A1239&lt;&gt;"",CHOOSE(WEEKDAY(A1239,2),"Mánudagur","Þriðjudagur","Miðvikudagur","Fimmtudagur","Föstudagur","Laugardagur","Sunnudagur"),IF(B1238&lt;&gt;"",B1238,""))</f>
        <v>Fimmtudagur</v>
      </c>
      <c r="C1239" s="33">
        <f>IF(A1239&lt;&gt;"",WEEKNUM(A1239,21),IF(C1238&lt;&gt;"",C1238,""))</f>
        <v>27</v>
      </c>
      <c r="D1239" s="34"/>
      <c r="E1239" s="34"/>
      <c r="F1239" s="34"/>
      <c r="G1239" s="34"/>
      <c r="H1239" s="34"/>
      <c r="I1239" s="35"/>
      <c r="J1239" s="35"/>
      <c r="K1239" s="36"/>
      <c r="L1239" s="26" t="str">
        <f>IF(OR(F1239 = "", G1239 = ""), "", IF(F1239 = "Vara", IFERROR(_xlfn.SINGLE(_xlfn.XLOOKUP(G1239, Vöruskrá!A:A, Vöruskrá!E:E, "")), ""), IF(F1239 = "Réttur", IFERROR(_xlfn.SINGLE(_xlfn.XLOOKUP(G1239, Réttabanki!A:A, Réttabanki!AS:AS, "")), ""), "")))</f>
        <v/>
      </c>
      <c r="M1239" s="26" t="str">
        <f>IF(OR(F1239 = "", G1239 = ""), "", IF(F1239 = "Vara", IFERROR(_xlfn.SINGLE(_xlfn.XLOOKUP(G1239, Vöruskrá!A:A, Vöruskrá!F:F, "")), ""), IF(F1239 = "Réttur", IFERROR(_xlfn.SINGLE(_xlfn.XLOOKUP(G1239, Réttabanki!A:A, Réttabanki!AT:AT, "")), ""), "")))</f>
        <v/>
      </c>
      <c r="N1239" s="26" t="str">
        <f>IF(OR(F1239 = "", G1239 = ""), "", IF(F1239 = "Vara", IFERROR(_xlfn.SINGLE(_xlfn.XLOOKUP(G1239, Vöruskrá!A:A, Vöruskrá!G:G, "")), ""), IF(F1239 = "Réttur", IFERROR(_xlfn.SINGLE(_xlfn.XLOOKUP(G1239, Réttabanki!A:A, Réttabanki!AU:AU, "")), ""), "")))</f>
        <v/>
      </c>
      <c r="O1239" s="26" t="str">
        <f>IF(OR(F1239 = "", G1239 = "", I1239 = ""), "", IF(F1239 = "Vara", IFERROR(_xlfn.SINGLE(_xlfn.XLOOKUP(G1239, Vöruskrá!A:A, Vöruskrá!I:I, "")) * I1239 / 100, ""), IF(F1239 = "Réttur", IFERROR(_xlfn.SINGLE(_xlfn.XLOOKUP(G1239, Réttabanki!A:A, Réttabanki!AV:AV, "")) * I1239 / 100, ""), "")))</f>
        <v/>
      </c>
      <c r="P1239" s="26" t="str">
        <f>IF(OR(F1239 = "", G1239 = "", I1239 = ""), "", IF(F1239 = "Vara", IFERROR(_xlfn.SINGLE(_xlfn.XLOOKUP(G1239, Vöruskrá!A:A, Vöruskrá!J:J, "")) * I1239 / 100, ""), IF(F1239 = "Réttur", IFERROR(_xlfn.SINGLE(_xlfn.XLOOKUP(G1239, Réttabanki!A:A, Réttabanki!AW:AW, "")) * I1239 / 100, ""), "")))</f>
        <v/>
      </c>
      <c r="Q1239" s="26" t="str">
        <f>IF(OR(F1239 = "", G1239 = "", I1239 = ""), "", IF(F1239 = "Vara", IFERROR(_xlfn.SINGLE(_xlfn.XLOOKUP(G1239, Vöruskrá!A:A, Vöruskrá!N:N, "")) * I1239 / 100, ""), IF(F1239 = "Réttur", IFERROR(_xlfn.SINGLE(_xlfn.XLOOKUP(G1239, Réttabanki!A:A, Réttabanki!BB:BB, "")) * I1239 / 100, ""), "")))</f>
        <v/>
      </c>
    </row>
    <row r="1240" spans="2:17">
      <c r="B1240" s="33" t="str">
        <f>IF(A1240&lt;&gt;"",CHOOSE(WEEKDAY(A1240,2),"Mánudagur","Þriðjudagur","Miðvikudagur","Fimmtudagur","Föstudagur","Laugardagur","Sunnudagur"),IF(B1239&lt;&gt;"",B1239,""))</f>
        <v>Fimmtudagur</v>
      </c>
      <c r="C1240" s="33">
        <f>IF(A1240&lt;&gt;"",WEEKNUM(A1240,21),IF(C1239&lt;&gt;"",C1239,""))</f>
        <v>27</v>
      </c>
      <c r="D1240" s="34"/>
      <c r="E1240" s="34"/>
      <c r="F1240" s="34"/>
      <c r="G1240" s="34"/>
      <c r="H1240" s="34"/>
      <c r="I1240" s="35"/>
      <c r="J1240" s="35"/>
      <c r="K1240" s="36"/>
      <c r="L1240" s="26" t="str">
        <f>IF(OR(F1240 = "", G1240 = ""), "", IF(F1240 = "Vara", IFERROR(_xlfn.SINGLE(_xlfn.XLOOKUP(G1240, Vöruskrá!A:A, Vöruskrá!E:E, "")), ""), IF(F1240 = "Réttur", IFERROR(_xlfn.SINGLE(_xlfn.XLOOKUP(G1240, Réttabanki!A:A, Réttabanki!AS:AS, "")), ""), "")))</f>
        <v/>
      </c>
      <c r="M1240" s="26" t="str">
        <f>IF(OR(F1240 = "", G1240 = ""), "", IF(F1240 = "Vara", IFERROR(_xlfn.SINGLE(_xlfn.XLOOKUP(G1240, Vöruskrá!A:A, Vöruskrá!F:F, "")), ""), IF(F1240 = "Réttur", IFERROR(_xlfn.SINGLE(_xlfn.XLOOKUP(G1240, Réttabanki!A:A, Réttabanki!AT:AT, "")), ""), "")))</f>
        <v/>
      </c>
      <c r="N1240" s="26" t="str">
        <f>IF(OR(F1240 = "", G1240 = ""), "", IF(F1240 = "Vara", IFERROR(_xlfn.SINGLE(_xlfn.XLOOKUP(G1240, Vöruskrá!A:A, Vöruskrá!G:G, "")), ""), IF(F1240 = "Réttur", IFERROR(_xlfn.SINGLE(_xlfn.XLOOKUP(G1240, Réttabanki!A:A, Réttabanki!AU:AU, "")), ""), "")))</f>
        <v/>
      </c>
      <c r="O1240" s="26" t="str">
        <f>IF(OR(F1240 = "", G1240 = "", I1240 = ""), "", IF(F1240 = "Vara", IFERROR(_xlfn.SINGLE(_xlfn.XLOOKUP(G1240, Vöruskrá!A:A, Vöruskrá!I:I, "")) * I1240 / 100, ""), IF(F1240 = "Réttur", IFERROR(_xlfn.SINGLE(_xlfn.XLOOKUP(G1240, Réttabanki!A:A, Réttabanki!AV:AV, "")) * I1240 / 100, ""), "")))</f>
        <v/>
      </c>
      <c r="P1240" s="26" t="str">
        <f>IF(OR(F1240 = "", G1240 = "", I1240 = ""), "", IF(F1240 = "Vara", IFERROR(_xlfn.SINGLE(_xlfn.XLOOKUP(G1240, Vöruskrá!A:A, Vöruskrá!J:J, "")) * I1240 / 100, ""), IF(F1240 = "Réttur", IFERROR(_xlfn.SINGLE(_xlfn.XLOOKUP(G1240, Réttabanki!A:A, Réttabanki!AW:AW, "")) * I1240 / 100, ""), "")))</f>
        <v/>
      </c>
      <c r="Q1240" s="26" t="str">
        <f>IF(OR(F1240 = "", G1240 = "", I1240 = ""), "", IF(F1240 = "Vara", IFERROR(_xlfn.SINGLE(_xlfn.XLOOKUP(G1240, Vöruskrá!A:A, Vöruskrá!N:N, "")) * I1240 / 100, ""), IF(F1240 = "Réttur", IFERROR(_xlfn.SINGLE(_xlfn.XLOOKUP(G1240, Réttabanki!A:A, Réttabanki!BB:BB, "")) * I1240 / 100, ""), "")))</f>
        <v/>
      </c>
    </row>
    <row r="1241" spans="2:17">
      <c r="B1241" s="33" t="str">
        <f>IF(A1241&lt;&gt;"",CHOOSE(WEEKDAY(A1241,2),"Mánudagur","Þriðjudagur","Miðvikudagur","Fimmtudagur","Föstudagur","Laugardagur","Sunnudagur"),IF(B1240&lt;&gt;"",B1240,""))</f>
        <v>Fimmtudagur</v>
      </c>
      <c r="C1241" s="33">
        <f>IF(A1241&lt;&gt;"",WEEKNUM(A1241,21),IF(C1240&lt;&gt;"",C1240,""))</f>
        <v>27</v>
      </c>
      <c r="D1241" s="34"/>
      <c r="E1241" s="34"/>
      <c r="F1241" s="34"/>
      <c r="G1241" s="34"/>
      <c r="H1241" s="34"/>
      <c r="I1241" s="35"/>
      <c r="J1241" s="35"/>
      <c r="K1241" s="36"/>
      <c r="L1241" s="26" t="str">
        <f>IF(OR(F1241 = "", G1241 = ""), "", IF(F1241 = "Vara", IFERROR(_xlfn.SINGLE(_xlfn.XLOOKUP(G1241, Vöruskrá!A:A, Vöruskrá!E:E, "")), ""), IF(F1241 = "Réttur", IFERROR(_xlfn.SINGLE(_xlfn.XLOOKUP(G1241, Réttabanki!A:A, Réttabanki!AS:AS, "")), ""), "")))</f>
        <v/>
      </c>
      <c r="M1241" s="26" t="str">
        <f>IF(OR(F1241 = "", G1241 = ""), "", IF(F1241 = "Vara", IFERROR(_xlfn.SINGLE(_xlfn.XLOOKUP(G1241, Vöruskrá!A:A, Vöruskrá!F:F, "")), ""), IF(F1241 = "Réttur", IFERROR(_xlfn.SINGLE(_xlfn.XLOOKUP(G1241, Réttabanki!A:A, Réttabanki!AT:AT, "")), ""), "")))</f>
        <v/>
      </c>
      <c r="N1241" s="26" t="str">
        <f>IF(OR(F1241 = "", G1241 = ""), "", IF(F1241 = "Vara", IFERROR(_xlfn.SINGLE(_xlfn.XLOOKUP(G1241, Vöruskrá!A:A, Vöruskrá!G:G, "")), ""), IF(F1241 = "Réttur", IFERROR(_xlfn.SINGLE(_xlfn.XLOOKUP(G1241, Réttabanki!A:A, Réttabanki!AU:AU, "")), ""), "")))</f>
        <v/>
      </c>
      <c r="O1241" s="26" t="str">
        <f>IF(OR(F1241 = "", G1241 = "", I1241 = ""), "", IF(F1241 = "Vara", IFERROR(_xlfn.SINGLE(_xlfn.XLOOKUP(G1241, Vöruskrá!A:A, Vöruskrá!I:I, "")) * I1241 / 100, ""), IF(F1241 = "Réttur", IFERROR(_xlfn.SINGLE(_xlfn.XLOOKUP(G1241, Réttabanki!A:A, Réttabanki!AV:AV, "")) * I1241 / 100, ""), "")))</f>
        <v/>
      </c>
      <c r="P1241" s="26" t="str">
        <f>IF(OR(F1241 = "", G1241 = "", I1241 = ""), "", IF(F1241 = "Vara", IFERROR(_xlfn.SINGLE(_xlfn.XLOOKUP(G1241, Vöruskrá!A:A, Vöruskrá!J:J, "")) * I1241 / 100, ""), IF(F1241 = "Réttur", IFERROR(_xlfn.SINGLE(_xlfn.XLOOKUP(G1241, Réttabanki!A:A, Réttabanki!AW:AW, "")) * I1241 / 100, ""), "")))</f>
        <v/>
      </c>
      <c r="Q1241" s="26" t="str">
        <f>IF(OR(F1241 = "", G1241 = "", I1241 = ""), "", IF(F1241 = "Vara", IFERROR(_xlfn.SINGLE(_xlfn.XLOOKUP(G1241, Vöruskrá!A:A, Vöruskrá!N:N, "")) * I1241 / 100, ""), IF(F1241 = "Réttur", IFERROR(_xlfn.SINGLE(_xlfn.XLOOKUP(G1241, Réttabanki!A:A, Réttabanki!BB:BB, "")) * I1241 / 100, ""), "")))</f>
        <v/>
      </c>
    </row>
    <row r="1242" spans="2:17">
      <c r="B1242" s="33" t="str">
        <f>IF(A1242&lt;&gt;"",CHOOSE(WEEKDAY(A1242,2),"Mánudagur","Þriðjudagur","Miðvikudagur","Fimmtudagur","Föstudagur","Laugardagur","Sunnudagur"),IF(B1241&lt;&gt;"",B1241,""))</f>
        <v>Fimmtudagur</v>
      </c>
      <c r="C1242" s="33">
        <f>IF(A1242&lt;&gt;"",WEEKNUM(A1242,21),IF(C1241&lt;&gt;"",C1241,""))</f>
        <v>27</v>
      </c>
      <c r="D1242" s="34"/>
      <c r="E1242" s="34"/>
      <c r="F1242" s="34"/>
      <c r="G1242" s="34"/>
      <c r="H1242" s="34"/>
      <c r="I1242" s="35"/>
      <c r="J1242" s="35"/>
      <c r="K1242" s="36"/>
      <c r="L1242" s="26" t="str">
        <f>IF(OR(F1242 = "", G1242 = ""), "", IF(F1242 = "Vara", IFERROR(_xlfn.SINGLE(_xlfn.XLOOKUP(G1242, Vöruskrá!A:A, Vöruskrá!E:E, "")), ""), IF(F1242 = "Réttur", IFERROR(_xlfn.SINGLE(_xlfn.XLOOKUP(G1242, Réttabanki!A:A, Réttabanki!AS:AS, "")), ""), "")))</f>
        <v/>
      </c>
      <c r="M1242" s="26" t="str">
        <f>IF(OR(F1242 = "", G1242 = ""), "", IF(F1242 = "Vara", IFERROR(_xlfn.SINGLE(_xlfn.XLOOKUP(G1242, Vöruskrá!A:A, Vöruskrá!F:F, "")), ""), IF(F1242 = "Réttur", IFERROR(_xlfn.SINGLE(_xlfn.XLOOKUP(G1242, Réttabanki!A:A, Réttabanki!AT:AT, "")), ""), "")))</f>
        <v/>
      </c>
      <c r="N1242" s="26" t="str">
        <f>IF(OR(F1242 = "", G1242 = ""), "", IF(F1242 = "Vara", IFERROR(_xlfn.SINGLE(_xlfn.XLOOKUP(G1242, Vöruskrá!A:A, Vöruskrá!G:G, "")), ""), IF(F1242 = "Réttur", IFERROR(_xlfn.SINGLE(_xlfn.XLOOKUP(G1242, Réttabanki!A:A, Réttabanki!AU:AU, "")), ""), "")))</f>
        <v/>
      </c>
      <c r="O1242" s="26" t="str">
        <f>IF(OR(F1242 = "", G1242 = "", I1242 = ""), "", IF(F1242 = "Vara", IFERROR(_xlfn.SINGLE(_xlfn.XLOOKUP(G1242, Vöruskrá!A:A, Vöruskrá!I:I, "")) * I1242 / 100, ""), IF(F1242 = "Réttur", IFERROR(_xlfn.SINGLE(_xlfn.XLOOKUP(G1242, Réttabanki!A:A, Réttabanki!AV:AV, "")) * I1242 / 100, ""), "")))</f>
        <v/>
      </c>
      <c r="P1242" s="26" t="str">
        <f>IF(OR(F1242 = "", G1242 = "", I1242 = ""), "", IF(F1242 = "Vara", IFERROR(_xlfn.SINGLE(_xlfn.XLOOKUP(G1242, Vöruskrá!A:A, Vöruskrá!J:J, "")) * I1242 / 100, ""), IF(F1242 = "Réttur", IFERROR(_xlfn.SINGLE(_xlfn.XLOOKUP(G1242, Réttabanki!A:A, Réttabanki!AW:AW, "")) * I1242 / 100, ""), "")))</f>
        <v/>
      </c>
      <c r="Q1242" s="26" t="str">
        <f>IF(OR(F1242 = "", G1242 = "", I1242 = ""), "", IF(F1242 = "Vara", IFERROR(_xlfn.SINGLE(_xlfn.XLOOKUP(G1242, Vöruskrá!A:A, Vöruskrá!N:N, "")) * I1242 / 100, ""), IF(F1242 = "Réttur", IFERROR(_xlfn.SINGLE(_xlfn.XLOOKUP(G1242, Réttabanki!A:A, Réttabanki!BB:BB, "")) * I1242 / 100, ""), "")))</f>
        <v/>
      </c>
    </row>
    <row r="1243" spans="2:17">
      <c r="B1243" s="33" t="str">
        <f>IF(A1243&lt;&gt;"",CHOOSE(WEEKDAY(A1243,2),"Mánudagur","Þriðjudagur","Miðvikudagur","Fimmtudagur","Föstudagur","Laugardagur","Sunnudagur"),IF(B1242&lt;&gt;"",B1242,""))</f>
        <v>Fimmtudagur</v>
      </c>
      <c r="C1243" s="33">
        <f>IF(A1243&lt;&gt;"",WEEKNUM(A1243,21),IF(C1242&lt;&gt;"",C1242,""))</f>
        <v>27</v>
      </c>
      <c r="D1243" s="34"/>
      <c r="E1243" s="34"/>
      <c r="F1243" s="34"/>
      <c r="G1243" s="34"/>
      <c r="H1243" s="34"/>
      <c r="I1243" s="35"/>
      <c r="J1243" s="35"/>
      <c r="K1243" s="36"/>
      <c r="L1243" s="26" t="str">
        <f>IF(OR(F1243 = "", G1243 = ""), "", IF(F1243 = "Vara", IFERROR(_xlfn.SINGLE(_xlfn.XLOOKUP(G1243, Vöruskrá!A:A, Vöruskrá!E:E, "")), ""), IF(F1243 = "Réttur", IFERROR(_xlfn.SINGLE(_xlfn.XLOOKUP(G1243, Réttabanki!A:A, Réttabanki!AS:AS, "")), ""), "")))</f>
        <v/>
      </c>
      <c r="M1243" s="26" t="str">
        <f>IF(OR(F1243 = "", G1243 = ""), "", IF(F1243 = "Vara", IFERROR(_xlfn.SINGLE(_xlfn.XLOOKUP(G1243, Vöruskrá!A:A, Vöruskrá!F:F, "")), ""), IF(F1243 = "Réttur", IFERROR(_xlfn.SINGLE(_xlfn.XLOOKUP(G1243, Réttabanki!A:A, Réttabanki!AT:AT, "")), ""), "")))</f>
        <v/>
      </c>
      <c r="N1243" s="26" t="str">
        <f>IF(OR(F1243 = "", G1243 = ""), "", IF(F1243 = "Vara", IFERROR(_xlfn.SINGLE(_xlfn.XLOOKUP(G1243, Vöruskrá!A:A, Vöruskrá!G:G, "")), ""), IF(F1243 = "Réttur", IFERROR(_xlfn.SINGLE(_xlfn.XLOOKUP(G1243, Réttabanki!A:A, Réttabanki!AU:AU, "")), ""), "")))</f>
        <v/>
      </c>
      <c r="O1243" s="26" t="str">
        <f>IF(OR(F1243 = "", G1243 = "", I1243 = ""), "", IF(F1243 = "Vara", IFERROR(_xlfn.SINGLE(_xlfn.XLOOKUP(G1243, Vöruskrá!A:A, Vöruskrá!I:I, "")) * I1243 / 100, ""), IF(F1243 = "Réttur", IFERROR(_xlfn.SINGLE(_xlfn.XLOOKUP(G1243, Réttabanki!A:A, Réttabanki!AV:AV, "")) * I1243 / 100, ""), "")))</f>
        <v/>
      </c>
      <c r="P1243" s="26" t="str">
        <f>IF(OR(F1243 = "", G1243 = "", I1243 = ""), "", IF(F1243 = "Vara", IFERROR(_xlfn.SINGLE(_xlfn.XLOOKUP(G1243, Vöruskrá!A:A, Vöruskrá!J:J, "")) * I1243 / 100, ""), IF(F1243 = "Réttur", IFERROR(_xlfn.SINGLE(_xlfn.XLOOKUP(G1243, Réttabanki!A:A, Réttabanki!AW:AW, "")) * I1243 / 100, ""), "")))</f>
        <v/>
      </c>
      <c r="Q1243" s="26" t="str">
        <f>IF(OR(F1243 = "", G1243 = "", I1243 = ""), "", IF(F1243 = "Vara", IFERROR(_xlfn.SINGLE(_xlfn.XLOOKUP(G1243, Vöruskrá!A:A, Vöruskrá!N:N, "")) * I1243 / 100, ""), IF(F1243 = "Réttur", IFERROR(_xlfn.SINGLE(_xlfn.XLOOKUP(G1243, Réttabanki!A:A, Réttabanki!BB:BB, "")) * I1243 / 100, ""), "")))</f>
        <v/>
      </c>
    </row>
    <row r="1244" spans="2:17">
      <c r="B1244" s="33" t="str">
        <f>IF(A1244&lt;&gt;"",CHOOSE(WEEKDAY(A1244,2),"Mánudagur","Þriðjudagur","Miðvikudagur","Fimmtudagur","Föstudagur","Laugardagur","Sunnudagur"),IF(B1243&lt;&gt;"",B1243,""))</f>
        <v>Fimmtudagur</v>
      </c>
      <c r="C1244" s="33">
        <f>IF(A1244&lt;&gt;"",WEEKNUM(A1244,21),IF(C1243&lt;&gt;"",C1243,""))</f>
        <v>27</v>
      </c>
      <c r="D1244" s="34"/>
      <c r="E1244" s="34"/>
      <c r="F1244" s="34"/>
      <c r="G1244" s="34"/>
      <c r="H1244" s="34"/>
      <c r="I1244" s="35"/>
      <c r="J1244" s="35"/>
      <c r="K1244" s="36"/>
      <c r="L1244" s="26" t="str">
        <f>IF(OR(F1244 = "", G1244 = ""), "", IF(F1244 = "Vara", IFERROR(_xlfn.SINGLE(_xlfn.XLOOKUP(G1244, Vöruskrá!A:A, Vöruskrá!E:E, "")), ""), IF(F1244 = "Réttur", IFERROR(_xlfn.SINGLE(_xlfn.XLOOKUP(G1244, Réttabanki!A:A, Réttabanki!AS:AS, "")), ""), "")))</f>
        <v/>
      </c>
      <c r="M1244" s="26" t="str">
        <f>IF(OR(F1244 = "", G1244 = ""), "", IF(F1244 = "Vara", IFERROR(_xlfn.SINGLE(_xlfn.XLOOKUP(G1244, Vöruskrá!A:A, Vöruskrá!F:F, "")), ""), IF(F1244 = "Réttur", IFERROR(_xlfn.SINGLE(_xlfn.XLOOKUP(G1244, Réttabanki!A:A, Réttabanki!AT:AT, "")), ""), "")))</f>
        <v/>
      </c>
      <c r="N1244" s="26" t="str">
        <f>IF(OR(F1244 = "", G1244 = ""), "", IF(F1244 = "Vara", IFERROR(_xlfn.SINGLE(_xlfn.XLOOKUP(G1244, Vöruskrá!A:A, Vöruskrá!G:G, "")), ""), IF(F1244 = "Réttur", IFERROR(_xlfn.SINGLE(_xlfn.XLOOKUP(G1244, Réttabanki!A:A, Réttabanki!AU:AU, "")), ""), "")))</f>
        <v/>
      </c>
      <c r="O1244" s="26" t="str">
        <f>IF(OR(F1244 = "", G1244 = "", I1244 = ""), "", IF(F1244 = "Vara", IFERROR(_xlfn.SINGLE(_xlfn.XLOOKUP(G1244, Vöruskrá!A:A, Vöruskrá!I:I, "")) * I1244 / 100, ""), IF(F1244 = "Réttur", IFERROR(_xlfn.SINGLE(_xlfn.XLOOKUP(G1244, Réttabanki!A:A, Réttabanki!AV:AV, "")) * I1244 / 100, ""), "")))</f>
        <v/>
      </c>
      <c r="P1244" s="26" t="str">
        <f>IF(OR(F1244 = "", G1244 = "", I1244 = ""), "", IF(F1244 = "Vara", IFERROR(_xlfn.SINGLE(_xlfn.XLOOKUP(G1244, Vöruskrá!A:A, Vöruskrá!J:J, "")) * I1244 / 100, ""), IF(F1244 = "Réttur", IFERROR(_xlfn.SINGLE(_xlfn.XLOOKUP(G1244, Réttabanki!A:A, Réttabanki!AW:AW, "")) * I1244 / 100, ""), "")))</f>
        <v/>
      </c>
      <c r="Q1244" s="26" t="str">
        <f>IF(OR(F1244 = "", G1244 = "", I1244 = ""), "", IF(F1244 = "Vara", IFERROR(_xlfn.SINGLE(_xlfn.XLOOKUP(G1244, Vöruskrá!A:A, Vöruskrá!N:N, "")) * I1244 / 100, ""), IF(F1244 = "Réttur", IFERROR(_xlfn.SINGLE(_xlfn.XLOOKUP(G1244, Réttabanki!A:A, Réttabanki!BB:BB, "")) * I1244 / 100, ""), "")))</f>
        <v/>
      </c>
    </row>
    <row r="1245" spans="2:17">
      <c r="B1245" s="33" t="str">
        <f>IF(A1245&lt;&gt;"",CHOOSE(WEEKDAY(A1245,2),"Mánudagur","Þriðjudagur","Miðvikudagur","Fimmtudagur","Föstudagur","Laugardagur","Sunnudagur"),IF(B1244&lt;&gt;"",B1244,""))</f>
        <v>Fimmtudagur</v>
      </c>
      <c r="C1245" s="33">
        <f>IF(A1245&lt;&gt;"",WEEKNUM(A1245,21),IF(C1244&lt;&gt;"",C1244,""))</f>
        <v>27</v>
      </c>
      <c r="D1245" s="34"/>
      <c r="E1245" s="34"/>
      <c r="F1245" s="34"/>
      <c r="G1245" s="34"/>
      <c r="H1245" s="34"/>
      <c r="I1245" s="35"/>
      <c r="J1245" s="35"/>
      <c r="K1245" s="36"/>
      <c r="L1245" s="26" t="str">
        <f>IF(OR(F1245 = "", G1245 = ""), "", IF(F1245 = "Vara", IFERROR(_xlfn.SINGLE(_xlfn.XLOOKUP(G1245, Vöruskrá!A:A, Vöruskrá!E:E, "")), ""), IF(F1245 = "Réttur", IFERROR(_xlfn.SINGLE(_xlfn.XLOOKUP(G1245, Réttabanki!A:A, Réttabanki!AS:AS, "")), ""), "")))</f>
        <v/>
      </c>
      <c r="M1245" s="26" t="str">
        <f>IF(OR(F1245 = "", G1245 = ""), "", IF(F1245 = "Vara", IFERROR(_xlfn.SINGLE(_xlfn.XLOOKUP(G1245, Vöruskrá!A:A, Vöruskrá!F:F, "")), ""), IF(F1245 = "Réttur", IFERROR(_xlfn.SINGLE(_xlfn.XLOOKUP(G1245, Réttabanki!A:A, Réttabanki!AT:AT, "")), ""), "")))</f>
        <v/>
      </c>
      <c r="N1245" s="26" t="str">
        <f>IF(OR(F1245 = "", G1245 = ""), "", IF(F1245 = "Vara", IFERROR(_xlfn.SINGLE(_xlfn.XLOOKUP(G1245, Vöruskrá!A:A, Vöruskrá!G:G, "")), ""), IF(F1245 = "Réttur", IFERROR(_xlfn.SINGLE(_xlfn.XLOOKUP(G1245, Réttabanki!A:A, Réttabanki!AU:AU, "")), ""), "")))</f>
        <v/>
      </c>
      <c r="O1245" s="26" t="str">
        <f>IF(OR(F1245 = "", G1245 = "", I1245 = ""), "", IF(F1245 = "Vara", IFERROR(_xlfn.SINGLE(_xlfn.XLOOKUP(G1245, Vöruskrá!A:A, Vöruskrá!I:I, "")) * I1245 / 100, ""), IF(F1245 = "Réttur", IFERROR(_xlfn.SINGLE(_xlfn.XLOOKUP(G1245, Réttabanki!A:A, Réttabanki!AV:AV, "")) * I1245 / 100, ""), "")))</f>
        <v/>
      </c>
      <c r="P1245" s="26" t="str">
        <f>IF(OR(F1245 = "", G1245 = "", I1245 = ""), "", IF(F1245 = "Vara", IFERROR(_xlfn.SINGLE(_xlfn.XLOOKUP(G1245, Vöruskrá!A:A, Vöruskrá!J:J, "")) * I1245 / 100, ""), IF(F1245 = "Réttur", IFERROR(_xlfn.SINGLE(_xlfn.XLOOKUP(G1245, Réttabanki!A:A, Réttabanki!AW:AW, "")) * I1245 / 100, ""), "")))</f>
        <v/>
      </c>
      <c r="Q1245" s="26" t="str">
        <f>IF(OR(F1245 = "", G1245 = "", I1245 = ""), "", IF(F1245 = "Vara", IFERROR(_xlfn.SINGLE(_xlfn.XLOOKUP(G1245, Vöruskrá!A:A, Vöruskrá!N:N, "")) * I1245 / 100, ""), IF(F1245 = "Réttur", IFERROR(_xlfn.SINGLE(_xlfn.XLOOKUP(G1245, Réttabanki!A:A, Réttabanki!BB:BB, "")) * I1245 / 100, ""), "")))</f>
        <v/>
      </c>
    </row>
    <row r="1246" spans="2:17">
      <c r="B1246" s="33" t="str">
        <f>IF(A1246&lt;&gt;"",CHOOSE(WEEKDAY(A1246,2),"Mánudagur","Þriðjudagur","Miðvikudagur","Fimmtudagur","Föstudagur","Laugardagur","Sunnudagur"),IF(B1245&lt;&gt;"",B1245,""))</f>
        <v>Fimmtudagur</v>
      </c>
      <c r="C1246" s="33">
        <f>IF(A1246&lt;&gt;"",WEEKNUM(A1246,21),IF(C1245&lt;&gt;"",C1245,""))</f>
        <v>27</v>
      </c>
      <c r="D1246" s="34"/>
      <c r="E1246" s="34"/>
      <c r="F1246" s="34"/>
      <c r="G1246" s="34"/>
      <c r="H1246" s="34"/>
      <c r="I1246" s="35"/>
      <c r="J1246" s="35"/>
      <c r="K1246" s="36"/>
      <c r="L1246" s="26" t="str">
        <f>IF(OR(F1246 = "", G1246 = ""), "", IF(F1246 = "Vara", IFERROR(_xlfn.SINGLE(_xlfn.XLOOKUP(G1246, Vöruskrá!A:A, Vöruskrá!E:E, "")), ""), IF(F1246 = "Réttur", IFERROR(_xlfn.SINGLE(_xlfn.XLOOKUP(G1246, Réttabanki!A:A, Réttabanki!AS:AS, "")), ""), "")))</f>
        <v/>
      </c>
      <c r="M1246" s="26" t="str">
        <f>IF(OR(F1246 = "", G1246 = ""), "", IF(F1246 = "Vara", IFERROR(_xlfn.SINGLE(_xlfn.XLOOKUP(G1246, Vöruskrá!A:A, Vöruskrá!F:F, "")), ""), IF(F1246 = "Réttur", IFERROR(_xlfn.SINGLE(_xlfn.XLOOKUP(G1246, Réttabanki!A:A, Réttabanki!AT:AT, "")), ""), "")))</f>
        <v/>
      </c>
      <c r="N1246" s="26" t="str">
        <f>IF(OR(F1246 = "", G1246 = ""), "", IF(F1246 = "Vara", IFERROR(_xlfn.SINGLE(_xlfn.XLOOKUP(G1246, Vöruskrá!A:A, Vöruskrá!G:G, "")), ""), IF(F1246 = "Réttur", IFERROR(_xlfn.SINGLE(_xlfn.XLOOKUP(G1246, Réttabanki!A:A, Réttabanki!AU:AU, "")), ""), "")))</f>
        <v/>
      </c>
      <c r="O1246" s="26" t="str">
        <f>IF(OR(F1246 = "", G1246 = "", I1246 = ""), "", IF(F1246 = "Vara", IFERROR(_xlfn.SINGLE(_xlfn.XLOOKUP(G1246, Vöruskrá!A:A, Vöruskrá!I:I, "")) * I1246 / 100, ""), IF(F1246 = "Réttur", IFERROR(_xlfn.SINGLE(_xlfn.XLOOKUP(G1246, Réttabanki!A:A, Réttabanki!AV:AV, "")) * I1246 / 100, ""), "")))</f>
        <v/>
      </c>
      <c r="P1246" s="26" t="str">
        <f>IF(OR(F1246 = "", G1246 = "", I1246 = ""), "", IF(F1246 = "Vara", IFERROR(_xlfn.SINGLE(_xlfn.XLOOKUP(G1246, Vöruskrá!A:A, Vöruskrá!J:J, "")) * I1246 / 100, ""), IF(F1246 = "Réttur", IFERROR(_xlfn.SINGLE(_xlfn.XLOOKUP(G1246, Réttabanki!A:A, Réttabanki!AW:AW, "")) * I1246 / 100, ""), "")))</f>
        <v/>
      </c>
      <c r="Q1246" s="26" t="str">
        <f>IF(OR(F1246 = "", G1246 = "", I1246 = ""), "", IF(F1246 = "Vara", IFERROR(_xlfn.SINGLE(_xlfn.XLOOKUP(G1246, Vöruskrá!A:A, Vöruskrá!N:N, "")) * I1246 / 100, ""), IF(F1246 = "Réttur", IFERROR(_xlfn.SINGLE(_xlfn.XLOOKUP(G1246, Réttabanki!A:A, Réttabanki!BB:BB, "")) * I1246 / 100, ""), "")))</f>
        <v/>
      </c>
    </row>
    <row r="1247" spans="2:17">
      <c r="B1247" s="33" t="str">
        <f>IF(A1247&lt;&gt;"",CHOOSE(WEEKDAY(A1247,2),"Mánudagur","Þriðjudagur","Miðvikudagur","Fimmtudagur","Föstudagur","Laugardagur","Sunnudagur"),IF(B1246&lt;&gt;"",B1246,""))</f>
        <v>Fimmtudagur</v>
      </c>
      <c r="C1247" s="33">
        <f>IF(A1247&lt;&gt;"",WEEKNUM(A1247,21),IF(C1246&lt;&gt;"",C1246,""))</f>
        <v>27</v>
      </c>
      <c r="D1247" s="34"/>
      <c r="E1247" s="34"/>
      <c r="F1247" s="34"/>
      <c r="G1247" s="34"/>
      <c r="H1247" s="34"/>
      <c r="I1247" s="35"/>
      <c r="J1247" s="35"/>
      <c r="K1247" s="36"/>
      <c r="L1247" s="26" t="str">
        <f>IF(OR(F1247 = "", G1247 = ""), "", IF(F1247 = "Vara", IFERROR(_xlfn.SINGLE(_xlfn.XLOOKUP(G1247, Vöruskrá!A:A, Vöruskrá!E:E, "")), ""), IF(F1247 = "Réttur", IFERROR(_xlfn.SINGLE(_xlfn.XLOOKUP(G1247, Réttabanki!A:A, Réttabanki!AS:AS, "")), ""), "")))</f>
        <v/>
      </c>
      <c r="M1247" s="26" t="str">
        <f>IF(OR(F1247 = "", G1247 = ""), "", IF(F1247 = "Vara", IFERROR(_xlfn.SINGLE(_xlfn.XLOOKUP(G1247, Vöruskrá!A:A, Vöruskrá!F:F, "")), ""), IF(F1247 = "Réttur", IFERROR(_xlfn.SINGLE(_xlfn.XLOOKUP(G1247, Réttabanki!A:A, Réttabanki!AT:AT, "")), ""), "")))</f>
        <v/>
      </c>
      <c r="N1247" s="26" t="str">
        <f>IF(OR(F1247 = "", G1247 = ""), "", IF(F1247 = "Vara", IFERROR(_xlfn.SINGLE(_xlfn.XLOOKUP(G1247, Vöruskrá!A:A, Vöruskrá!G:G, "")), ""), IF(F1247 = "Réttur", IFERROR(_xlfn.SINGLE(_xlfn.XLOOKUP(G1247, Réttabanki!A:A, Réttabanki!AU:AU, "")), ""), "")))</f>
        <v/>
      </c>
      <c r="O1247" s="26" t="str">
        <f>IF(OR(F1247 = "", G1247 = "", I1247 = ""), "", IF(F1247 = "Vara", IFERROR(_xlfn.SINGLE(_xlfn.XLOOKUP(G1247, Vöruskrá!A:A, Vöruskrá!I:I, "")) * I1247 / 100, ""), IF(F1247 = "Réttur", IFERROR(_xlfn.SINGLE(_xlfn.XLOOKUP(G1247, Réttabanki!A:A, Réttabanki!AV:AV, "")) * I1247 / 100, ""), "")))</f>
        <v/>
      </c>
      <c r="P1247" s="26" t="str">
        <f>IF(OR(F1247 = "", G1247 = "", I1247 = ""), "", IF(F1247 = "Vara", IFERROR(_xlfn.SINGLE(_xlfn.XLOOKUP(G1247, Vöruskrá!A:A, Vöruskrá!J:J, "")) * I1247 / 100, ""), IF(F1247 = "Réttur", IFERROR(_xlfn.SINGLE(_xlfn.XLOOKUP(G1247, Réttabanki!A:A, Réttabanki!AW:AW, "")) * I1247 / 100, ""), "")))</f>
        <v/>
      </c>
      <c r="Q1247" s="26" t="str">
        <f>IF(OR(F1247 = "", G1247 = "", I1247 = ""), "", IF(F1247 = "Vara", IFERROR(_xlfn.SINGLE(_xlfn.XLOOKUP(G1247, Vöruskrá!A:A, Vöruskrá!N:N, "")) * I1247 / 100, ""), IF(F1247 = "Réttur", IFERROR(_xlfn.SINGLE(_xlfn.XLOOKUP(G1247, Réttabanki!A:A, Réttabanki!BB:BB, "")) * I1247 / 100, ""), "")))</f>
        <v/>
      </c>
    </row>
    <row r="1248" spans="2:17">
      <c r="B1248" s="33" t="str">
        <f>IF(A1248&lt;&gt;"",CHOOSE(WEEKDAY(A1248,2),"Mánudagur","Þriðjudagur","Miðvikudagur","Fimmtudagur","Föstudagur","Laugardagur","Sunnudagur"),IF(B1247&lt;&gt;"",B1247,""))</f>
        <v>Fimmtudagur</v>
      </c>
      <c r="C1248" s="33">
        <f>IF(A1248&lt;&gt;"",WEEKNUM(A1248,21),IF(C1247&lt;&gt;"",C1247,""))</f>
        <v>27</v>
      </c>
      <c r="D1248" s="34"/>
      <c r="E1248" s="34"/>
      <c r="F1248" s="34"/>
      <c r="G1248" s="34"/>
      <c r="H1248" s="34"/>
      <c r="I1248" s="35"/>
      <c r="J1248" s="35"/>
      <c r="K1248" s="36"/>
      <c r="L1248" s="26" t="str">
        <f>IF(OR(F1248 = "", G1248 = ""), "", IF(F1248 = "Vara", IFERROR(_xlfn.SINGLE(_xlfn.XLOOKUP(G1248, Vöruskrá!A:A, Vöruskrá!E:E, "")), ""), IF(F1248 = "Réttur", IFERROR(_xlfn.SINGLE(_xlfn.XLOOKUP(G1248, Réttabanki!A:A, Réttabanki!AS:AS, "")), ""), "")))</f>
        <v/>
      </c>
      <c r="M1248" s="26" t="str">
        <f>IF(OR(F1248 = "", G1248 = ""), "", IF(F1248 = "Vara", IFERROR(_xlfn.SINGLE(_xlfn.XLOOKUP(G1248, Vöruskrá!A:A, Vöruskrá!F:F, "")), ""), IF(F1248 = "Réttur", IFERROR(_xlfn.SINGLE(_xlfn.XLOOKUP(G1248, Réttabanki!A:A, Réttabanki!AT:AT, "")), ""), "")))</f>
        <v/>
      </c>
      <c r="N1248" s="26" t="str">
        <f>IF(OR(F1248 = "", G1248 = ""), "", IF(F1248 = "Vara", IFERROR(_xlfn.SINGLE(_xlfn.XLOOKUP(G1248, Vöruskrá!A:A, Vöruskrá!G:G, "")), ""), IF(F1248 = "Réttur", IFERROR(_xlfn.SINGLE(_xlfn.XLOOKUP(G1248, Réttabanki!A:A, Réttabanki!AU:AU, "")), ""), "")))</f>
        <v/>
      </c>
      <c r="O1248" s="26" t="str">
        <f>IF(OR(F1248 = "", G1248 = "", I1248 = ""), "", IF(F1248 = "Vara", IFERROR(_xlfn.SINGLE(_xlfn.XLOOKUP(G1248, Vöruskrá!A:A, Vöruskrá!I:I, "")) * I1248 / 100, ""), IF(F1248 = "Réttur", IFERROR(_xlfn.SINGLE(_xlfn.XLOOKUP(G1248, Réttabanki!A:A, Réttabanki!AV:AV, "")) * I1248 / 100, ""), "")))</f>
        <v/>
      </c>
      <c r="P1248" s="26" t="str">
        <f>IF(OR(F1248 = "", G1248 = "", I1248 = ""), "", IF(F1248 = "Vara", IFERROR(_xlfn.SINGLE(_xlfn.XLOOKUP(G1248, Vöruskrá!A:A, Vöruskrá!J:J, "")) * I1248 / 100, ""), IF(F1248 = "Réttur", IFERROR(_xlfn.SINGLE(_xlfn.XLOOKUP(G1248, Réttabanki!A:A, Réttabanki!AW:AW, "")) * I1248 / 100, ""), "")))</f>
        <v/>
      </c>
      <c r="Q1248" s="26" t="str">
        <f>IF(OR(F1248 = "", G1248 = "", I1248 = ""), "", IF(F1248 = "Vara", IFERROR(_xlfn.SINGLE(_xlfn.XLOOKUP(G1248, Vöruskrá!A:A, Vöruskrá!N:N, "")) * I1248 / 100, ""), IF(F1248 = "Réttur", IFERROR(_xlfn.SINGLE(_xlfn.XLOOKUP(G1248, Réttabanki!A:A, Réttabanki!BB:BB, "")) * I1248 / 100, ""), "")))</f>
        <v/>
      </c>
    </row>
    <row r="1249" spans="2:17">
      <c r="B1249" s="33" t="str">
        <f>IF(A1249&lt;&gt;"",CHOOSE(WEEKDAY(A1249,2),"Mánudagur","Þriðjudagur","Miðvikudagur","Fimmtudagur","Föstudagur","Laugardagur","Sunnudagur"),IF(B1248&lt;&gt;"",B1248,""))</f>
        <v>Fimmtudagur</v>
      </c>
      <c r="C1249" s="33">
        <f>IF(A1249&lt;&gt;"",WEEKNUM(A1249,21),IF(C1248&lt;&gt;"",C1248,""))</f>
        <v>27</v>
      </c>
      <c r="D1249" s="34"/>
      <c r="E1249" s="34"/>
      <c r="F1249" s="34"/>
      <c r="G1249" s="34"/>
      <c r="H1249" s="34"/>
      <c r="I1249" s="35"/>
      <c r="J1249" s="35"/>
      <c r="K1249" s="36"/>
      <c r="L1249" s="26" t="str">
        <f>IF(OR(F1249 = "", G1249 = ""), "", IF(F1249 = "Vara", IFERROR(_xlfn.SINGLE(_xlfn.XLOOKUP(G1249, Vöruskrá!A:A, Vöruskrá!E:E, "")), ""), IF(F1249 = "Réttur", IFERROR(_xlfn.SINGLE(_xlfn.XLOOKUP(G1249, Réttabanki!A:A, Réttabanki!AS:AS, "")), ""), "")))</f>
        <v/>
      </c>
      <c r="M1249" s="26" t="str">
        <f>IF(OR(F1249 = "", G1249 = ""), "", IF(F1249 = "Vara", IFERROR(_xlfn.SINGLE(_xlfn.XLOOKUP(G1249, Vöruskrá!A:A, Vöruskrá!F:F, "")), ""), IF(F1249 = "Réttur", IFERROR(_xlfn.SINGLE(_xlfn.XLOOKUP(G1249, Réttabanki!A:A, Réttabanki!AT:AT, "")), ""), "")))</f>
        <v/>
      </c>
      <c r="N1249" s="26" t="str">
        <f>IF(OR(F1249 = "", G1249 = ""), "", IF(F1249 = "Vara", IFERROR(_xlfn.SINGLE(_xlfn.XLOOKUP(G1249, Vöruskrá!A:A, Vöruskrá!G:G, "")), ""), IF(F1249 = "Réttur", IFERROR(_xlfn.SINGLE(_xlfn.XLOOKUP(G1249, Réttabanki!A:A, Réttabanki!AU:AU, "")), ""), "")))</f>
        <v/>
      </c>
      <c r="O1249" s="26" t="str">
        <f>IF(OR(F1249 = "", G1249 = "", I1249 = ""), "", IF(F1249 = "Vara", IFERROR(_xlfn.SINGLE(_xlfn.XLOOKUP(G1249, Vöruskrá!A:A, Vöruskrá!I:I, "")) * I1249 / 100, ""), IF(F1249 = "Réttur", IFERROR(_xlfn.SINGLE(_xlfn.XLOOKUP(G1249, Réttabanki!A:A, Réttabanki!AV:AV, "")) * I1249 / 100, ""), "")))</f>
        <v/>
      </c>
      <c r="P1249" s="26" t="str">
        <f>IF(OR(F1249 = "", G1249 = "", I1249 = ""), "", IF(F1249 = "Vara", IFERROR(_xlfn.SINGLE(_xlfn.XLOOKUP(G1249, Vöruskrá!A:A, Vöruskrá!J:J, "")) * I1249 / 100, ""), IF(F1249 = "Réttur", IFERROR(_xlfn.SINGLE(_xlfn.XLOOKUP(G1249, Réttabanki!A:A, Réttabanki!AW:AW, "")) * I1249 / 100, ""), "")))</f>
        <v/>
      </c>
      <c r="Q1249" s="26" t="str">
        <f>IF(OR(F1249 = "", G1249 = "", I1249 = ""), "", IF(F1249 = "Vara", IFERROR(_xlfn.SINGLE(_xlfn.XLOOKUP(G1249, Vöruskrá!A:A, Vöruskrá!N:N, "")) * I1249 / 100, ""), IF(F1249 = "Réttur", IFERROR(_xlfn.SINGLE(_xlfn.XLOOKUP(G1249, Réttabanki!A:A, Réttabanki!BB:BB, "")) * I1249 / 100, ""), "")))</f>
        <v/>
      </c>
    </row>
    <row r="1250" spans="2:17">
      <c r="B1250" s="33" t="str">
        <f>IF(A1250&lt;&gt;"",CHOOSE(WEEKDAY(A1250,2),"Mánudagur","Þriðjudagur","Miðvikudagur","Fimmtudagur","Föstudagur","Laugardagur","Sunnudagur"),IF(B1249&lt;&gt;"",B1249,""))</f>
        <v>Fimmtudagur</v>
      </c>
      <c r="C1250" s="33">
        <f>IF(A1250&lt;&gt;"",WEEKNUM(A1250,21),IF(C1249&lt;&gt;"",C1249,""))</f>
        <v>27</v>
      </c>
      <c r="D1250" s="34"/>
      <c r="E1250" s="34"/>
      <c r="F1250" s="34"/>
      <c r="G1250" s="34"/>
      <c r="H1250" s="34"/>
      <c r="I1250" s="35"/>
      <c r="J1250" s="35"/>
      <c r="K1250" s="36"/>
      <c r="L1250" s="26" t="str">
        <f>IF(OR(F1250 = "", G1250 = ""), "", IF(F1250 = "Vara", IFERROR(_xlfn.SINGLE(_xlfn.XLOOKUP(G1250, Vöruskrá!A:A, Vöruskrá!E:E, "")), ""), IF(F1250 = "Réttur", IFERROR(_xlfn.SINGLE(_xlfn.XLOOKUP(G1250, Réttabanki!A:A, Réttabanki!AS:AS, "")), ""), "")))</f>
        <v/>
      </c>
      <c r="M1250" s="26" t="str">
        <f>IF(OR(F1250 = "", G1250 = ""), "", IF(F1250 = "Vara", IFERROR(_xlfn.SINGLE(_xlfn.XLOOKUP(G1250, Vöruskrá!A:A, Vöruskrá!F:F, "")), ""), IF(F1250 = "Réttur", IFERROR(_xlfn.SINGLE(_xlfn.XLOOKUP(G1250, Réttabanki!A:A, Réttabanki!AT:AT, "")), ""), "")))</f>
        <v/>
      </c>
      <c r="N1250" s="26" t="str">
        <f>IF(OR(F1250 = "", G1250 = ""), "", IF(F1250 = "Vara", IFERROR(_xlfn.SINGLE(_xlfn.XLOOKUP(G1250, Vöruskrá!A:A, Vöruskrá!G:G, "")), ""), IF(F1250 = "Réttur", IFERROR(_xlfn.SINGLE(_xlfn.XLOOKUP(G1250, Réttabanki!A:A, Réttabanki!AU:AU, "")), ""), "")))</f>
        <v/>
      </c>
      <c r="O1250" s="26" t="str">
        <f>IF(OR(F1250 = "", G1250 = "", I1250 = ""), "", IF(F1250 = "Vara", IFERROR(_xlfn.SINGLE(_xlfn.XLOOKUP(G1250, Vöruskrá!A:A, Vöruskrá!I:I, "")) * I1250 / 100, ""), IF(F1250 = "Réttur", IFERROR(_xlfn.SINGLE(_xlfn.XLOOKUP(G1250, Réttabanki!A:A, Réttabanki!AV:AV, "")) * I1250 / 100, ""), "")))</f>
        <v/>
      </c>
      <c r="P1250" s="26" t="str">
        <f>IF(OR(F1250 = "", G1250 = "", I1250 = ""), "", IF(F1250 = "Vara", IFERROR(_xlfn.SINGLE(_xlfn.XLOOKUP(G1250, Vöruskrá!A:A, Vöruskrá!J:J, "")) * I1250 / 100, ""), IF(F1250 = "Réttur", IFERROR(_xlfn.SINGLE(_xlfn.XLOOKUP(G1250, Réttabanki!A:A, Réttabanki!AW:AW, "")) * I1250 / 100, ""), "")))</f>
        <v/>
      </c>
      <c r="Q1250" s="26" t="str">
        <f>IF(OR(F1250 = "", G1250 = "", I1250 = ""), "", IF(F1250 = "Vara", IFERROR(_xlfn.SINGLE(_xlfn.XLOOKUP(G1250, Vöruskrá!A:A, Vöruskrá!N:N, "")) * I1250 / 100, ""), IF(F1250 = "Réttur", IFERROR(_xlfn.SINGLE(_xlfn.XLOOKUP(G1250, Réttabanki!A:A, Réttabanki!BB:BB, "")) * I1250 / 100, ""), "")))</f>
        <v/>
      </c>
    </row>
    <row r="1251" spans="2:17">
      <c r="B1251" s="33" t="str">
        <f>IF(A1251&lt;&gt;"",CHOOSE(WEEKDAY(A1251,2),"Mánudagur","Þriðjudagur","Miðvikudagur","Fimmtudagur","Föstudagur","Laugardagur","Sunnudagur"),IF(B1250&lt;&gt;"",B1250,""))</f>
        <v>Fimmtudagur</v>
      </c>
      <c r="C1251" s="33">
        <f>IF(A1251&lt;&gt;"",WEEKNUM(A1251,21),IF(C1250&lt;&gt;"",C1250,""))</f>
        <v>27</v>
      </c>
      <c r="D1251" s="34"/>
      <c r="E1251" s="34"/>
      <c r="F1251" s="34"/>
      <c r="G1251" s="34"/>
      <c r="H1251" s="34"/>
      <c r="I1251" s="35"/>
      <c r="J1251" s="35"/>
      <c r="K1251" s="36"/>
      <c r="L1251" s="26" t="str">
        <f>IF(OR(F1251 = "", G1251 = ""), "", IF(F1251 = "Vara", IFERROR(_xlfn.SINGLE(_xlfn.XLOOKUP(G1251, Vöruskrá!A:A, Vöruskrá!E:E, "")), ""), IF(F1251 = "Réttur", IFERROR(_xlfn.SINGLE(_xlfn.XLOOKUP(G1251, Réttabanki!A:A, Réttabanki!AS:AS, "")), ""), "")))</f>
        <v/>
      </c>
      <c r="M1251" s="26" t="str">
        <f>IF(OR(F1251 = "", G1251 = ""), "", IF(F1251 = "Vara", IFERROR(_xlfn.SINGLE(_xlfn.XLOOKUP(G1251, Vöruskrá!A:A, Vöruskrá!F:F, "")), ""), IF(F1251 = "Réttur", IFERROR(_xlfn.SINGLE(_xlfn.XLOOKUP(G1251, Réttabanki!A:A, Réttabanki!AT:AT, "")), ""), "")))</f>
        <v/>
      </c>
      <c r="N1251" s="26" t="str">
        <f>IF(OR(F1251 = "", G1251 = ""), "", IF(F1251 = "Vara", IFERROR(_xlfn.SINGLE(_xlfn.XLOOKUP(G1251, Vöruskrá!A:A, Vöruskrá!G:G, "")), ""), IF(F1251 = "Réttur", IFERROR(_xlfn.SINGLE(_xlfn.XLOOKUP(G1251, Réttabanki!A:A, Réttabanki!AU:AU, "")), ""), "")))</f>
        <v/>
      </c>
      <c r="O1251" s="26" t="str">
        <f>IF(OR(F1251 = "", G1251 = "", I1251 = ""), "", IF(F1251 = "Vara", IFERROR(_xlfn.SINGLE(_xlfn.XLOOKUP(G1251, Vöruskrá!A:A, Vöruskrá!I:I, "")) * I1251 / 100, ""), IF(F1251 = "Réttur", IFERROR(_xlfn.SINGLE(_xlfn.XLOOKUP(G1251, Réttabanki!A:A, Réttabanki!AV:AV, "")) * I1251 / 100, ""), "")))</f>
        <v/>
      </c>
      <c r="P1251" s="26" t="str">
        <f>IF(OR(F1251 = "", G1251 = "", I1251 = ""), "", IF(F1251 = "Vara", IFERROR(_xlfn.SINGLE(_xlfn.XLOOKUP(G1251, Vöruskrá!A:A, Vöruskrá!J:J, "")) * I1251 / 100, ""), IF(F1251 = "Réttur", IFERROR(_xlfn.SINGLE(_xlfn.XLOOKUP(G1251, Réttabanki!A:A, Réttabanki!AW:AW, "")) * I1251 / 100, ""), "")))</f>
        <v/>
      </c>
      <c r="Q1251" s="26" t="str">
        <f>IF(OR(F1251 = "", G1251 = "", I1251 = ""), "", IF(F1251 = "Vara", IFERROR(_xlfn.SINGLE(_xlfn.XLOOKUP(G1251, Vöruskrá!A:A, Vöruskrá!N:N, "")) * I1251 / 100, ""), IF(F1251 = "Réttur", IFERROR(_xlfn.SINGLE(_xlfn.XLOOKUP(G1251, Réttabanki!A:A, Réttabanki!BB:BB, "")) * I1251 / 100, ""), "")))</f>
        <v/>
      </c>
    </row>
    <row r="1252" spans="2:17">
      <c r="B1252" s="33" t="str">
        <f>IF(A1252&lt;&gt;"",CHOOSE(WEEKDAY(A1252,2),"Mánudagur","Þriðjudagur","Miðvikudagur","Fimmtudagur","Föstudagur","Laugardagur","Sunnudagur"),IF(B1251&lt;&gt;"",B1251,""))</f>
        <v>Fimmtudagur</v>
      </c>
      <c r="C1252" s="33">
        <f>IF(A1252&lt;&gt;"",WEEKNUM(A1252,21),IF(C1251&lt;&gt;"",C1251,""))</f>
        <v>27</v>
      </c>
      <c r="D1252" s="34"/>
      <c r="E1252" s="34"/>
      <c r="F1252" s="34"/>
      <c r="G1252" s="34"/>
      <c r="H1252" s="34"/>
      <c r="I1252" s="35"/>
      <c r="J1252" s="35"/>
      <c r="K1252" s="36"/>
      <c r="L1252" s="26" t="str">
        <f>IF(OR(F1252 = "", G1252 = ""), "", IF(F1252 = "Vara", IFERROR(_xlfn.SINGLE(_xlfn.XLOOKUP(G1252, Vöruskrá!A:A, Vöruskrá!E:E, "")), ""), IF(F1252 = "Réttur", IFERROR(_xlfn.SINGLE(_xlfn.XLOOKUP(G1252, Réttabanki!A:A, Réttabanki!AS:AS, "")), ""), "")))</f>
        <v/>
      </c>
      <c r="M1252" s="26" t="str">
        <f>IF(OR(F1252 = "", G1252 = ""), "", IF(F1252 = "Vara", IFERROR(_xlfn.SINGLE(_xlfn.XLOOKUP(G1252, Vöruskrá!A:A, Vöruskrá!F:F, "")), ""), IF(F1252 = "Réttur", IFERROR(_xlfn.SINGLE(_xlfn.XLOOKUP(G1252, Réttabanki!A:A, Réttabanki!AT:AT, "")), ""), "")))</f>
        <v/>
      </c>
      <c r="N1252" s="26" t="str">
        <f>IF(OR(F1252 = "", G1252 = ""), "", IF(F1252 = "Vara", IFERROR(_xlfn.SINGLE(_xlfn.XLOOKUP(G1252, Vöruskrá!A:A, Vöruskrá!G:G, "")), ""), IF(F1252 = "Réttur", IFERROR(_xlfn.SINGLE(_xlfn.XLOOKUP(G1252, Réttabanki!A:A, Réttabanki!AU:AU, "")), ""), "")))</f>
        <v/>
      </c>
      <c r="O1252" s="26" t="str">
        <f>IF(OR(F1252 = "", G1252 = "", I1252 = ""), "", IF(F1252 = "Vara", IFERROR(_xlfn.SINGLE(_xlfn.XLOOKUP(G1252, Vöruskrá!A:A, Vöruskrá!I:I, "")) * I1252 / 100, ""), IF(F1252 = "Réttur", IFERROR(_xlfn.SINGLE(_xlfn.XLOOKUP(G1252, Réttabanki!A:A, Réttabanki!AV:AV, "")) * I1252 / 100, ""), "")))</f>
        <v/>
      </c>
      <c r="P1252" s="26" t="str">
        <f>IF(OR(F1252 = "", G1252 = "", I1252 = ""), "", IF(F1252 = "Vara", IFERROR(_xlfn.SINGLE(_xlfn.XLOOKUP(G1252, Vöruskrá!A:A, Vöruskrá!J:J, "")) * I1252 / 100, ""), IF(F1252 = "Réttur", IFERROR(_xlfn.SINGLE(_xlfn.XLOOKUP(G1252, Réttabanki!A:A, Réttabanki!AW:AW, "")) * I1252 / 100, ""), "")))</f>
        <v/>
      </c>
      <c r="Q1252" s="26" t="str">
        <f>IF(OR(F1252 = "", G1252 = "", I1252 = ""), "", IF(F1252 = "Vara", IFERROR(_xlfn.SINGLE(_xlfn.XLOOKUP(G1252, Vöruskrá!A:A, Vöruskrá!N:N, "")) * I1252 / 100, ""), IF(F1252 = "Réttur", IFERROR(_xlfn.SINGLE(_xlfn.XLOOKUP(G1252, Réttabanki!A:A, Réttabanki!BB:BB, "")) * I1252 / 100, ""), "")))</f>
        <v/>
      </c>
    </row>
    <row r="1253" spans="2:17">
      <c r="B1253" s="33" t="str">
        <f>IF(A1253&lt;&gt;"",CHOOSE(WEEKDAY(A1253,2),"Mánudagur","Þriðjudagur","Miðvikudagur","Fimmtudagur","Föstudagur","Laugardagur","Sunnudagur"),IF(B1252&lt;&gt;"",B1252,""))</f>
        <v>Fimmtudagur</v>
      </c>
      <c r="C1253" s="33">
        <f>IF(A1253&lt;&gt;"",WEEKNUM(A1253,21),IF(C1252&lt;&gt;"",C1252,""))</f>
        <v>27</v>
      </c>
      <c r="D1253" s="34"/>
      <c r="E1253" s="34"/>
      <c r="F1253" s="34"/>
      <c r="G1253" s="34"/>
      <c r="H1253" s="34"/>
      <c r="I1253" s="35"/>
      <c r="J1253" s="35"/>
      <c r="K1253" s="36"/>
      <c r="L1253" s="26" t="str">
        <f>IF(OR(F1253 = "", G1253 = ""), "", IF(F1253 = "Vara", IFERROR(_xlfn.SINGLE(_xlfn.XLOOKUP(G1253, Vöruskrá!A:A, Vöruskrá!E:E, "")), ""), IF(F1253 = "Réttur", IFERROR(_xlfn.SINGLE(_xlfn.XLOOKUP(G1253, Réttabanki!A:A, Réttabanki!AS:AS, "")), ""), "")))</f>
        <v/>
      </c>
      <c r="M1253" s="26" t="str">
        <f>IF(OR(F1253 = "", G1253 = ""), "", IF(F1253 = "Vara", IFERROR(_xlfn.SINGLE(_xlfn.XLOOKUP(G1253, Vöruskrá!A:A, Vöruskrá!F:F, "")), ""), IF(F1253 = "Réttur", IFERROR(_xlfn.SINGLE(_xlfn.XLOOKUP(G1253, Réttabanki!A:A, Réttabanki!AT:AT, "")), ""), "")))</f>
        <v/>
      </c>
      <c r="N1253" s="26" t="str">
        <f>IF(OR(F1253 = "", G1253 = ""), "", IF(F1253 = "Vara", IFERROR(_xlfn.SINGLE(_xlfn.XLOOKUP(G1253, Vöruskrá!A:A, Vöruskrá!G:G, "")), ""), IF(F1253 = "Réttur", IFERROR(_xlfn.SINGLE(_xlfn.XLOOKUP(G1253, Réttabanki!A:A, Réttabanki!AU:AU, "")), ""), "")))</f>
        <v/>
      </c>
      <c r="O1253" s="26" t="str">
        <f>IF(OR(F1253 = "", G1253 = "", I1253 = ""), "", IF(F1253 = "Vara", IFERROR(_xlfn.SINGLE(_xlfn.XLOOKUP(G1253, Vöruskrá!A:A, Vöruskrá!I:I, "")) * I1253 / 100, ""), IF(F1253 = "Réttur", IFERROR(_xlfn.SINGLE(_xlfn.XLOOKUP(G1253, Réttabanki!A:A, Réttabanki!AV:AV, "")) * I1253 / 100, ""), "")))</f>
        <v/>
      </c>
      <c r="P1253" s="26" t="str">
        <f>IF(OR(F1253 = "", G1253 = "", I1253 = ""), "", IF(F1253 = "Vara", IFERROR(_xlfn.SINGLE(_xlfn.XLOOKUP(G1253, Vöruskrá!A:A, Vöruskrá!J:J, "")) * I1253 / 100, ""), IF(F1253 = "Réttur", IFERROR(_xlfn.SINGLE(_xlfn.XLOOKUP(G1253, Réttabanki!A:A, Réttabanki!AW:AW, "")) * I1253 / 100, ""), "")))</f>
        <v/>
      </c>
      <c r="Q1253" s="26" t="str">
        <f>IF(OR(F1253 = "", G1253 = "", I1253 = ""), "", IF(F1253 = "Vara", IFERROR(_xlfn.SINGLE(_xlfn.XLOOKUP(G1253, Vöruskrá!A:A, Vöruskrá!N:N, "")) * I1253 / 100, ""), IF(F1253 = "Réttur", IFERROR(_xlfn.SINGLE(_xlfn.XLOOKUP(G1253, Réttabanki!A:A, Réttabanki!BB:BB, "")) * I1253 / 100, ""), "")))</f>
        <v/>
      </c>
    </row>
    <row r="1254" spans="2:17">
      <c r="B1254" s="33" t="str">
        <f>IF(A1254&lt;&gt;"",CHOOSE(WEEKDAY(A1254,2),"Mánudagur","Þriðjudagur","Miðvikudagur","Fimmtudagur","Föstudagur","Laugardagur","Sunnudagur"),IF(B1253&lt;&gt;"",B1253,""))</f>
        <v>Fimmtudagur</v>
      </c>
      <c r="C1254" s="33">
        <f>IF(A1254&lt;&gt;"",WEEKNUM(A1254,21),IF(C1253&lt;&gt;"",C1253,""))</f>
        <v>27</v>
      </c>
      <c r="D1254" s="34"/>
      <c r="E1254" s="34"/>
      <c r="F1254" s="34"/>
      <c r="G1254" s="34"/>
      <c r="H1254" s="34"/>
      <c r="I1254" s="35"/>
      <c r="J1254" s="35"/>
      <c r="K1254" s="36"/>
      <c r="L1254" s="26" t="str">
        <f>IF(OR(F1254 = "", G1254 = ""), "", IF(F1254 = "Vara", IFERROR(_xlfn.SINGLE(_xlfn.XLOOKUP(G1254, Vöruskrá!A:A, Vöruskrá!E:E, "")), ""), IF(F1254 = "Réttur", IFERROR(_xlfn.SINGLE(_xlfn.XLOOKUP(G1254, Réttabanki!A:A, Réttabanki!AS:AS, "")), ""), "")))</f>
        <v/>
      </c>
      <c r="M1254" s="26" t="str">
        <f>IF(OR(F1254 = "", G1254 = ""), "", IF(F1254 = "Vara", IFERROR(_xlfn.SINGLE(_xlfn.XLOOKUP(G1254, Vöruskrá!A:A, Vöruskrá!F:F, "")), ""), IF(F1254 = "Réttur", IFERROR(_xlfn.SINGLE(_xlfn.XLOOKUP(G1254, Réttabanki!A:A, Réttabanki!AT:AT, "")), ""), "")))</f>
        <v/>
      </c>
      <c r="N1254" s="26" t="str">
        <f>IF(OR(F1254 = "", G1254 = ""), "", IF(F1254 = "Vara", IFERROR(_xlfn.SINGLE(_xlfn.XLOOKUP(G1254, Vöruskrá!A:A, Vöruskrá!G:G, "")), ""), IF(F1254 = "Réttur", IFERROR(_xlfn.SINGLE(_xlfn.XLOOKUP(G1254, Réttabanki!A:A, Réttabanki!AU:AU, "")), ""), "")))</f>
        <v/>
      </c>
      <c r="O1254" s="26" t="str">
        <f>IF(OR(F1254 = "", G1254 = "", I1254 = ""), "", IF(F1254 = "Vara", IFERROR(_xlfn.SINGLE(_xlfn.XLOOKUP(G1254, Vöruskrá!A:A, Vöruskrá!I:I, "")) * I1254 / 100, ""), IF(F1254 = "Réttur", IFERROR(_xlfn.SINGLE(_xlfn.XLOOKUP(G1254, Réttabanki!A:A, Réttabanki!AV:AV, "")) * I1254 / 100, ""), "")))</f>
        <v/>
      </c>
      <c r="P1254" s="26" t="str">
        <f>IF(OR(F1254 = "", G1254 = "", I1254 = ""), "", IF(F1254 = "Vara", IFERROR(_xlfn.SINGLE(_xlfn.XLOOKUP(G1254, Vöruskrá!A:A, Vöruskrá!J:J, "")) * I1254 / 100, ""), IF(F1254 = "Réttur", IFERROR(_xlfn.SINGLE(_xlfn.XLOOKUP(G1254, Réttabanki!A:A, Réttabanki!AW:AW, "")) * I1254 / 100, ""), "")))</f>
        <v/>
      </c>
      <c r="Q1254" s="26" t="str">
        <f>IF(OR(F1254 = "", G1254 = "", I1254 = ""), "", IF(F1254 = "Vara", IFERROR(_xlfn.SINGLE(_xlfn.XLOOKUP(G1254, Vöruskrá!A:A, Vöruskrá!N:N, "")) * I1254 / 100, ""), IF(F1254 = "Réttur", IFERROR(_xlfn.SINGLE(_xlfn.XLOOKUP(G1254, Réttabanki!A:A, Réttabanki!BB:BB, "")) * I1254 / 100, ""), "")))</f>
        <v/>
      </c>
    </row>
    <row r="1255" spans="2:17">
      <c r="B1255" s="33" t="str">
        <f>IF(A1255&lt;&gt;"",CHOOSE(WEEKDAY(A1255,2),"Mánudagur","Þriðjudagur","Miðvikudagur","Fimmtudagur","Föstudagur","Laugardagur","Sunnudagur"),IF(B1254&lt;&gt;"",B1254,""))</f>
        <v>Fimmtudagur</v>
      </c>
      <c r="C1255" s="33">
        <f>IF(A1255&lt;&gt;"",WEEKNUM(A1255,21),IF(C1254&lt;&gt;"",C1254,""))</f>
        <v>27</v>
      </c>
      <c r="D1255" s="34"/>
      <c r="E1255" s="34"/>
      <c r="F1255" s="34"/>
      <c r="G1255" s="34"/>
      <c r="H1255" s="34"/>
      <c r="I1255" s="35"/>
      <c r="J1255" s="35"/>
      <c r="K1255" s="36"/>
      <c r="L1255" s="26" t="str">
        <f>IF(OR(F1255 = "", G1255 = ""), "", IF(F1255 = "Vara", IFERROR(_xlfn.SINGLE(_xlfn.XLOOKUP(G1255, Vöruskrá!A:A, Vöruskrá!E:E, "")), ""), IF(F1255 = "Réttur", IFERROR(_xlfn.SINGLE(_xlfn.XLOOKUP(G1255, Réttabanki!A:A, Réttabanki!AS:AS, "")), ""), "")))</f>
        <v/>
      </c>
      <c r="M1255" s="26" t="str">
        <f>IF(OR(F1255 = "", G1255 = ""), "", IF(F1255 = "Vara", IFERROR(_xlfn.SINGLE(_xlfn.XLOOKUP(G1255, Vöruskrá!A:A, Vöruskrá!F:F, "")), ""), IF(F1255 = "Réttur", IFERROR(_xlfn.SINGLE(_xlfn.XLOOKUP(G1255, Réttabanki!A:A, Réttabanki!AT:AT, "")), ""), "")))</f>
        <v/>
      </c>
      <c r="N1255" s="26" t="str">
        <f>IF(OR(F1255 = "", G1255 = ""), "", IF(F1255 = "Vara", IFERROR(_xlfn.SINGLE(_xlfn.XLOOKUP(G1255, Vöruskrá!A:A, Vöruskrá!G:G, "")), ""), IF(F1255 = "Réttur", IFERROR(_xlfn.SINGLE(_xlfn.XLOOKUP(G1255, Réttabanki!A:A, Réttabanki!AU:AU, "")), ""), "")))</f>
        <v/>
      </c>
      <c r="O1255" s="26" t="str">
        <f>IF(OR(F1255 = "", G1255 = "", I1255 = ""), "", IF(F1255 = "Vara", IFERROR(_xlfn.SINGLE(_xlfn.XLOOKUP(G1255, Vöruskrá!A:A, Vöruskrá!I:I, "")) * I1255 / 100, ""), IF(F1255 = "Réttur", IFERROR(_xlfn.SINGLE(_xlfn.XLOOKUP(G1255, Réttabanki!A:A, Réttabanki!AV:AV, "")) * I1255 / 100, ""), "")))</f>
        <v/>
      </c>
      <c r="P1255" s="26" t="str">
        <f>IF(OR(F1255 = "", G1255 = "", I1255 = ""), "", IF(F1255 = "Vara", IFERROR(_xlfn.SINGLE(_xlfn.XLOOKUP(G1255, Vöruskrá!A:A, Vöruskrá!J:J, "")) * I1255 / 100, ""), IF(F1255 = "Réttur", IFERROR(_xlfn.SINGLE(_xlfn.XLOOKUP(G1255, Réttabanki!A:A, Réttabanki!AW:AW, "")) * I1255 / 100, ""), "")))</f>
        <v/>
      </c>
      <c r="Q1255" s="26" t="str">
        <f>IF(OR(F1255 = "", G1255 = "", I1255 = ""), "", IF(F1255 = "Vara", IFERROR(_xlfn.SINGLE(_xlfn.XLOOKUP(G1255, Vöruskrá!A:A, Vöruskrá!N:N, "")) * I1255 / 100, ""), IF(F1255 = "Réttur", IFERROR(_xlfn.SINGLE(_xlfn.XLOOKUP(G1255, Réttabanki!A:A, Réttabanki!BB:BB, "")) * I1255 / 100, ""), "")))</f>
        <v/>
      </c>
    </row>
    <row r="1256" spans="2:17">
      <c r="B1256" s="33" t="str">
        <f>IF(A1256&lt;&gt;"",CHOOSE(WEEKDAY(A1256,2),"Mánudagur","Þriðjudagur","Miðvikudagur","Fimmtudagur","Föstudagur","Laugardagur","Sunnudagur"),IF(B1255&lt;&gt;"",B1255,""))</f>
        <v>Fimmtudagur</v>
      </c>
      <c r="C1256" s="33">
        <f>IF(A1256&lt;&gt;"",WEEKNUM(A1256,21),IF(C1255&lt;&gt;"",C1255,""))</f>
        <v>27</v>
      </c>
      <c r="D1256" s="34"/>
      <c r="E1256" s="34"/>
      <c r="F1256" s="34"/>
      <c r="G1256" s="34"/>
      <c r="H1256" s="34"/>
      <c r="I1256" s="35"/>
      <c r="J1256" s="35"/>
      <c r="K1256" s="36"/>
      <c r="L1256" s="26" t="str">
        <f>IF(OR(F1256 = "", G1256 = ""), "", IF(F1256 = "Vara", IFERROR(_xlfn.SINGLE(_xlfn.XLOOKUP(G1256, Vöruskrá!A:A, Vöruskrá!E:E, "")), ""), IF(F1256 = "Réttur", IFERROR(_xlfn.SINGLE(_xlfn.XLOOKUP(G1256, Réttabanki!A:A, Réttabanki!AS:AS, "")), ""), "")))</f>
        <v/>
      </c>
      <c r="M1256" s="26" t="str">
        <f>IF(OR(F1256 = "", G1256 = ""), "", IF(F1256 = "Vara", IFERROR(_xlfn.SINGLE(_xlfn.XLOOKUP(G1256, Vöruskrá!A:A, Vöruskrá!F:F, "")), ""), IF(F1256 = "Réttur", IFERROR(_xlfn.SINGLE(_xlfn.XLOOKUP(G1256, Réttabanki!A:A, Réttabanki!AT:AT, "")), ""), "")))</f>
        <v/>
      </c>
      <c r="N1256" s="26" t="str">
        <f>IF(OR(F1256 = "", G1256 = ""), "", IF(F1256 = "Vara", IFERROR(_xlfn.SINGLE(_xlfn.XLOOKUP(G1256, Vöruskrá!A:A, Vöruskrá!G:G, "")), ""), IF(F1256 = "Réttur", IFERROR(_xlfn.SINGLE(_xlfn.XLOOKUP(G1256, Réttabanki!A:A, Réttabanki!AU:AU, "")), ""), "")))</f>
        <v/>
      </c>
      <c r="O1256" s="26" t="str">
        <f>IF(OR(F1256 = "", G1256 = "", I1256 = ""), "", IF(F1256 = "Vara", IFERROR(_xlfn.SINGLE(_xlfn.XLOOKUP(G1256, Vöruskrá!A:A, Vöruskrá!I:I, "")) * I1256 / 100, ""), IF(F1256 = "Réttur", IFERROR(_xlfn.SINGLE(_xlfn.XLOOKUP(G1256, Réttabanki!A:A, Réttabanki!AV:AV, "")) * I1256 / 100, ""), "")))</f>
        <v/>
      </c>
      <c r="P1256" s="26" t="str">
        <f>IF(OR(F1256 = "", G1256 = "", I1256 = ""), "", IF(F1256 = "Vara", IFERROR(_xlfn.SINGLE(_xlfn.XLOOKUP(G1256, Vöruskrá!A:A, Vöruskrá!J:J, "")) * I1256 / 100, ""), IF(F1256 = "Réttur", IFERROR(_xlfn.SINGLE(_xlfn.XLOOKUP(G1256, Réttabanki!A:A, Réttabanki!AW:AW, "")) * I1256 / 100, ""), "")))</f>
        <v/>
      </c>
      <c r="Q1256" s="26" t="str">
        <f>IF(OR(F1256 = "", G1256 = "", I1256 = ""), "", IF(F1256 = "Vara", IFERROR(_xlfn.SINGLE(_xlfn.XLOOKUP(G1256, Vöruskrá!A:A, Vöruskrá!N:N, "")) * I1256 / 100, ""), IF(F1256 = "Réttur", IFERROR(_xlfn.SINGLE(_xlfn.XLOOKUP(G1256, Réttabanki!A:A, Réttabanki!BB:BB, "")) * I1256 / 100, ""), "")))</f>
        <v/>
      </c>
    </row>
    <row r="1257" spans="2:17">
      <c r="B1257" s="33" t="str">
        <f>IF(A1257&lt;&gt;"",CHOOSE(WEEKDAY(A1257,2),"Mánudagur","Þriðjudagur","Miðvikudagur","Fimmtudagur","Föstudagur","Laugardagur","Sunnudagur"),IF(B1256&lt;&gt;"",B1256,""))</f>
        <v>Fimmtudagur</v>
      </c>
      <c r="C1257" s="33">
        <f>IF(A1257&lt;&gt;"",WEEKNUM(A1257,21),IF(C1256&lt;&gt;"",C1256,""))</f>
        <v>27</v>
      </c>
      <c r="D1257" s="34"/>
      <c r="E1257" s="34"/>
      <c r="F1257" s="34"/>
      <c r="G1257" s="34"/>
      <c r="H1257" s="34"/>
      <c r="I1257" s="35"/>
      <c r="J1257" s="35"/>
      <c r="K1257" s="36"/>
      <c r="L1257" s="26" t="str">
        <f>IF(OR(F1257 = "", G1257 = ""), "", IF(F1257 = "Vara", IFERROR(_xlfn.SINGLE(_xlfn.XLOOKUP(G1257, Vöruskrá!A:A, Vöruskrá!E:E, "")), ""), IF(F1257 = "Réttur", IFERROR(_xlfn.SINGLE(_xlfn.XLOOKUP(G1257, Réttabanki!A:A, Réttabanki!AS:AS, "")), ""), "")))</f>
        <v/>
      </c>
      <c r="M1257" s="26" t="str">
        <f>IF(OR(F1257 = "", G1257 = ""), "", IF(F1257 = "Vara", IFERROR(_xlfn.SINGLE(_xlfn.XLOOKUP(G1257, Vöruskrá!A:A, Vöruskrá!F:F, "")), ""), IF(F1257 = "Réttur", IFERROR(_xlfn.SINGLE(_xlfn.XLOOKUP(G1257, Réttabanki!A:A, Réttabanki!AT:AT, "")), ""), "")))</f>
        <v/>
      </c>
      <c r="N1257" s="26" t="str">
        <f>IF(OR(F1257 = "", G1257 = ""), "", IF(F1257 = "Vara", IFERROR(_xlfn.SINGLE(_xlfn.XLOOKUP(G1257, Vöruskrá!A:A, Vöruskrá!G:G, "")), ""), IF(F1257 = "Réttur", IFERROR(_xlfn.SINGLE(_xlfn.XLOOKUP(G1257, Réttabanki!A:A, Réttabanki!AU:AU, "")), ""), "")))</f>
        <v/>
      </c>
      <c r="O1257" s="26" t="str">
        <f>IF(OR(F1257 = "", G1257 = "", I1257 = ""), "", IF(F1257 = "Vara", IFERROR(_xlfn.SINGLE(_xlfn.XLOOKUP(G1257, Vöruskrá!A:A, Vöruskrá!I:I, "")) * I1257 / 100, ""), IF(F1257 = "Réttur", IFERROR(_xlfn.SINGLE(_xlfn.XLOOKUP(G1257, Réttabanki!A:A, Réttabanki!AV:AV, "")) * I1257 / 100, ""), "")))</f>
        <v/>
      </c>
      <c r="P1257" s="26" t="str">
        <f>IF(OR(F1257 = "", G1257 = "", I1257 = ""), "", IF(F1257 = "Vara", IFERROR(_xlfn.SINGLE(_xlfn.XLOOKUP(G1257, Vöruskrá!A:A, Vöruskrá!J:J, "")) * I1257 / 100, ""), IF(F1257 = "Réttur", IFERROR(_xlfn.SINGLE(_xlfn.XLOOKUP(G1257, Réttabanki!A:A, Réttabanki!AW:AW, "")) * I1257 / 100, ""), "")))</f>
        <v/>
      </c>
      <c r="Q1257" s="26" t="str">
        <f>IF(OR(F1257 = "", G1257 = "", I1257 = ""), "", IF(F1257 = "Vara", IFERROR(_xlfn.SINGLE(_xlfn.XLOOKUP(G1257, Vöruskrá!A:A, Vöruskrá!N:N, "")) * I1257 / 100, ""), IF(F1257 = "Réttur", IFERROR(_xlfn.SINGLE(_xlfn.XLOOKUP(G1257, Réttabanki!A:A, Réttabanki!BB:BB, "")) * I1257 / 100, ""), "")))</f>
        <v/>
      </c>
    </row>
    <row r="1258" spans="2:17">
      <c r="B1258" s="33" t="str">
        <f>IF(A1258&lt;&gt;"",CHOOSE(WEEKDAY(A1258,2),"Mánudagur","Þriðjudagur","Miðvikudagur","Fimmtudagur","Föstudagur","Laugardagur","Sunnudagur"),IF(B1257&lt;&gt;"",B1257,""))</f>
        <v>Fimmtudagur</v>
      </c>
      <c r="C1258" s="33">
        <f>IF(A1258&lt;&gt;"",WEEKNUM(A1258,21),IF(C1257&lt;&gt;"",C1257,""))</f>
        <v>27</v>
      </c>
      <c r="D1258" s="34"/>
      <c r="E1258" s="34"/>
      <c r="F1258" s="34"/>
      <c r="G1258" s="34"/>
      <c r="H1258" s="34"/>
      <c r="I1258" s="35"/>
      <c r="J1258" s="35"/>
      <c r="K1258" s="36"/>
      <c r="L1258" s="26" t="str">
        <f>IF(OR(F1258 = "", G1258 = ""), "", IF(F1258 = "Vara", IFERROR(_xlfn.SINGLE(_xlfn.XLOOKUP(G1258, Vöruskrá!A:A, Vöruskrá!E:E, "")), ""), IF(F1258 = "Réttur", IFERROR(_xlfn.SINGLE(_xlfn.XLOOKUP(G1258, Réttabanki!A:A, Réttabanki!AS:AS, "")), ""), "")))</f>
        <v/>
      </c>
      <c r="M1258" s="26" t="str">
        <f>IF(OR(F1258 = "", G1258 = ""), "", IF(F1258 = "Vara", IFERROR(_xlfn.SINGLE(_xlfn.XLOOKUP(G1258, Vöruskrá!A:A, Vöruskrá!F:F, "")), ""), IF(F1258 = "Réttur", IFERROR(_xlfn.SINGLE(_xlfn.XLOOKUP(G1258, Réttabanki!A:A, Réttabanki!AT:AT, "")), ""), "")))</f>
        <v/>
      </c>
      <c r="N1258" s="26" t="str">
        <f>IF(OR(F1258 = "", G1258 = ""), "", IF(F1258 = "Vara", IFERROR(_xlfn.SINGLE(_xlfn.XLOOKUP(G1258, Vöruskrá!A:A, Vöruskrá!G:G, "")), ""), IF(F1258 = "Réttur", IFERROR(_xlfn.SINGLE(_xlfn.XLOOKUP(G1258, Réttabanki!A:A, Réttabanki!AU:AU, "")), ""), "")))</f>
        <v/>
      </c>
      <c r="O1258" s="26" t="str">
        <f>IF(OR(F1258 = "", G1258 = "", I1258 = ""), "", IF(F1258 = "Vara", IFERROR(_xlfn.SINGLE(_xlfn.XLOOKUP(G1258, Vöruskrá!A:A, Vöruskrá!I:I, "")) * I1258 / 100, ""), IF(F1258 = "Réttur", IFERROR(_xlfn.SINGLE(_xlfn.XLOOKUP(G1258, Réttabanki!A:A, Réttabanki!AV:AV, "")) * I1258 / 100, ""), "")))</f>
        <v/>
      </c>
      <c r="P1258" s="26" t="str">
        <f>IF(OR(F1258 = "", G1258 = "", I1258 = ""), "", IF(F1258 = "Vara", IFERROR(_xlfn.SINGLE(_xlfn.XLOOKUP(G1258, Vöruskrá!A:A, Vöruskrá!J:J, "")) * I1258 / 100, ""), IF(F1258 = "Réttur", IFERROR(_xlfn.SINGLE(_xlfn.XLOOKUP(G1258, Réttabanki!A:A, Réttabanki!AW:AW, "")) * I1258 / 100, ""), "")))</f>
        <v/>
      </c>
      <c r="Q1258" s="26" t="str">
        <f>IF(OR(F1258 = "", G1258 = "", I1258 = ""), "", IF(F1258 = "Vara", IFERROR(_xlfn.SINGLE(_xlfn.XLOOKUP(G1258, Vöruskrá!A:A, Vöruskrá!N:N, "")) * I1258 / 100, ""), IF(F1258 = "Réttur", IFERROR(_xlfn.SINGLE(_xlfn.XLOOKUP(G1258, Réttabanki!A:A, Réttabanki!BB:BB, "")) * I1258 / 100, ""), "")))</f>
        <v/>
      </c>
    </row>
    <row r="1259" spans="2:17">
      <c r="B1259" s="33" t="str">
        <f>IF(A1259&lt;&gt;"",CHOOSE(WEEKDAY(A1259,2),"Mánudagur","Þriðjudagur","Miðvikudagur","Fimmtudagur","Föstudagur","Laugardagur","Sunnudagur"),IF(B1258&lt;&gt;"",B1258,""))</f>
        <v>Fimmtudagur</v>
      </c>
      <c r="C1259" s="33">
        <f>IF(A1259&lt;&gt;"",WEEKNUM(A1259,21),IF(C1258&lt;&gt;"",C1258,""))</f>
        <v>27</v>
      </c>
      <c r="D1259" s="34"/>
      <c r="E1259" s="34"/>
      <c r="F1259" s="34"/>
      <c r="G1259" s="34"/>
      <c r="H1259" s="34"/>
      <c r="I1259" s="35"/>
      <c r="J1259" s="35"/>
      <c r="K1259" s="36"/>
      <c r="L1259" s="26" t="str">
        <f>IF(OR(F1259 = "", G1259 = ""), "", IF(F1259 = "Vara", IFERROR(_xlfn.SINGLE(_xlfn.XLOOKUP(G1259, Vöruskrá!A:A, Vöruskrá!E:E, "")), ""), IF(F1259 = "Réttur", IFERROR(_xlfn.SINGLE(_xlfn.XLOOKUP(G1259, Réttabanki!A:A, Réttabanki!AS:AS, "")), ""), "")))</f>
        <v/>
      </c>
      <c r="M1259" s="26" t="str">
        <f>IF(OR(F1259 = "", G1259 = ""), "", IF(F1259 = "Vara", IFERROR(_xlfn.SINGLE(_xlfn.XLOOKUP(G1259, Vöruskrá!A:A, Vöruskrá!F:F, "")), ""), IF(F1259 = "Réttur", IFERROR(_xlfn.SINGLE(_xlfn.XLOOKUP(G1259, Réttabanki!A:A, Réttabanki!AT:AT, "")), ""), "")))</f>
        <v/>
      </c>
      <c r="N1259" s="26" t="str">
        <f>IF(OR(F1259 = "", G1259 = ""), "", IF(F1259 = "Vara", IFERROR(_xlfn.SINGLE(_xlfn.XLOOKUP(G1259, Vöruskrá!A:A, Vöruskrá!G:G, "")), ""), IF(F1259 = "Réttur", IFERROR(_xlfn.SINGLE(_xlfn.XLOOKUP(G1259, Réttabanki!A:A, Réttabanki!AU:AU, "")), ""), "")))</f>
        <v/>
      </c>
      <c r="O1259" s="26" t="str">
        <f>IF(OR(F1259 = "", G1259 = "", I1259 = ""), "", IF(F1259 = "Vara", IFERROR(_xlfn.SINGLE(_xlfn.XLOOKUP(G1259, Vöruskrá!A:A, Vöruskrá!I:I, "")) * I1259 / 100, ""), IF(F1259 = "Réttur", IFERROR(_xlfn.SINGLE(_xlfn.XLOOKUP(G1259, Réttabanki!A:A, Réttabanki!AV:AV, "")) * I1259 / 100, ""), "")))</f>
        <v/>
      </c>
      <c r="P1259" s="26" t="str">
        <f>IF(OR(F1259 = "", G1259 = "", I1259 = ""), "", IF(F1259 = "Vara", IFERROR(_xlfn.SINGLE(_xlfn.XLOOKUP(G1259, Vöruskrá!A:A, Vöruskrá!J:J, "")) * I1259 / 100, ""), IF(F1259 = "Réttur", IFERROR(_xlfn.SINGLE(_xlfn.XLOOKUP(G1259, Réttabanki!A:A, Réttabanki!AW:AW, "")) * I1259 / 100, ""), "")))</f>
        <v/>
      </c>
      <c r="Q1259" s="26" t="str">
        <f>IF(OR(F1259 = "", G1259 = "", I1259 = ""), "", IF(F1259 = "Vara", IFERROR(_xlfn.SINGLE(_xlfn.XLOOKUP(G1259, Vöruskrá!A:A, Vöruskrá!N:N, "")) * I1259 / 100, ""), IF(F1259 = "Réttur", IFERROR(_xlfn.SINGLE(_xlfn.XLOOKUP(G1259, Réttabanki!A:A, Réttabanki!BB:BB, "")) * I1259 / 100, ""), "")))</f>
        <v/>
      </c>
    </row>
    <row r="1260" spans="2:17">
      <c r="B1260" s="33" t="str">
        <f>IF(A1260&lt;&gt;"",CHOOSE(WEEKDAY(A1260,2),"Mánudagur","Þriðjudagur","Miðvikudagur","Fimmtudagur","Föstudagur","Laugardagur","Sunnudagur"),IF(B1259&lt;&gt;"",B1259,""))</f>
        <v>Fimmtudagur</v>
      </c>
      <c r="C1260" s="33">
        <f>IF(A1260&lt;&gt;"",WEEKNUM(A1260,21),IF(C1259&lt;&gt;"",C1259,""))</f>
        <v>27</v>
      </c>
      <c r="D1260" s="34"/>
      <c r="E1260" s="34"/>
      <c r="F1260" s="34"/>
      <c r="G1260" s="34"/>
      <c r="H1260" s="34"/>
      <c r="I1260" s="35"/>
      <c r="J1260" s="35"/>
      <c r="K1260" s="36"/>
      <c r="L1260" s="26" t="str">
        <f>IF(OR(F1260 = "", G1260 = ""), "", IF(F1260 = "Vara", IFERROR(_xlfn.SINGLE(_xlfn.XLOOKUP(G1260, Vöruskrá!A:A, Vöruskrá!E:E, "")), ""), IF(F1260 = "Réttur", IFERROR(_xlfn.SINGLE(_xlfn.XLOOKUP(G1260, Réttabanki!A:A, Réttabanki!AS:AS, "")), ""), "")))</f>
        <v/>
      </c>
      <c r="M1260" s="26" t="str">
        <f>IF(OR(F1260 = "", G1260 = ""), "", IF(F1260 = "Vara", IFERROR(_xlfn.SINGLE(_xlfn.XLOOKUP(G1260, Vöruskrá!A:A, Vöruskrá!F:F, "")), ""), IF(F1260 = "Réttur", IFERROR(_xlfn.SINGLE(_xlfn.XLOOKUP(G1260, Réttabanki!A:A, Réttabanki!AT:AT, "")), ""), "")))</f>
        <v/>
      </c>
      <c r="N1260" s="26" t="str">
        <f>IF(OR(F1260 = "", G1260 = ""), "", IF(F1260 = "Vara", IFERROR(_xlfn.SINGLE(_xlfn.XLOOKUP(G1260, Vöruskrá!A:A, Vöruskrá!G:G, "")), ""), IF(F1260 = "Réttur", IFERROR(_xlfn.SINGLE(_xlfn.XLOOKUP(G1260, Réttabanki!A:A, Réttabanki!AU:AU, "")), ""), "")))</f>
        <v/>
      </c>
      <c r="O1260" s="26" t="str">
        <f>IF(OR(F1260 = "", G1260 = "", I1260 = ""), "", IF(F1260 = "Vara", IFERROR(_xlfn.SINGLE(_xlfn.XLOOKUP(G1260, Vöruskrá!A:A, Vöruskrá!I:I, "")) * I1260 / 100, ""), IF(F1260 = "Réttur", IFERROR(_xlfn.SINGLE(_xlfn.XLOOKUP(G1260, Réttabanki!A:A, Réttabanki!AV:AV, "")) * I1260 / 100, ""), "")))</f>
        <v/>
      </c>
      <c r="P1260" s="26" t="str">
        <f>IF(OR(F1260 = "", G1260 = "", I1260 = ""), "", IF(F1260 = "Vara", IFERROR(_xlfn.SINGLE(_xlfn.XLOOKUP(G1260, Vöruskrá!A:A, Vöruskrá!J:J, "")) * I1260 / 100, ""), IF(F1260 = "Réttur", IFERROR(_xlfn.SINGLE(_xlfn.XLOOKUP(G1260, Réttabanki!A:A, Réttabanki!AW:AW, "")) * I1260 / 100, ""), "")))</f>
        <v/>
      </c>
      <c r="Q1260" s="26" t="str">
        <f>IF(OR(F1260 = "", G1260 = "", I1260 = ""), "", IF(F1260 = "Vara", IFERROR(_xlfn.SINGLE(_xlfn.XLOOKUP(G1260, Vöruskrá!A:A, Vöruskrá!N:N, "")) * I1260 / 100, ""), IF(F1260 = "Réttur", IFERROR(_xlfn.SINGLE(_xlfn.XLOOKUP(G1260, Réttabanki!A:A, Réttabanki!BB:BB, "")) * I1260 / 100, ""), "")))</f>
        <v/>
      </c>
    </row>
    <row r="1261" spans="2:17">
      <c r="B1261" s="33" t="str">
        <f>IF(A1261&lt;&gt;"",CHOOSE(WEEKDAY(A1261,2),"Mánudagur","Þriðjudagur","Miðvikudagur","Fimmtudagur","Föstudagur","Laugardagur","Sunnudagur"),IF(B1260&lt;&gt;"",B1260,""))</f>
        <v>Fimmtudagur</v>
      </c>
      <c r="C1261" s="33">
        <f>IF(A1261&lt;&gt;"",WEEKNUM(A1261,21),IF(C1260&lt;&gt;"",C1260,""))</f>
        <v>27</v>
      </c>
      <c r="D1261" s="34"/>
      <c r="E1261" s="34"/>
      <c r="F1261" s="34"/>
      <c r="G1261" s="34"/>
      <c r="H1261" s="34"/>
      <c r="I1261" s="35"/>
      <c r="J1261" s="35"/>
      <c r="K1261" s="36"/>
      <c r="L1261" s="26" t="str">
        <f>IF(OR(F1261 = "", G1261 = ""), "", IF(F1261 = "Vara", IFERROR(_xlfn.SINGLE(_xlfn.XLOOKUP(G1261, Vöruskrá!A:A, Vöruskrá!E:E, "")), ""), IF(F1261 = "Réttur", IFERROR(_xlfn.SINGLE(_xlfn.XLOOKUP(G1261, Réttabanki!A:A, Réttabanki!AS:AS, "")), ""), "")))</f>
        <v/>
      </c>
      <c r="M1261" s="26" t="str">
        <f>IF(OR(F1261 = "", G1261 = ""), "", IF(F1261 = "Vara", IFERROR(_xlfn.SINGLE(_xlfn.XLOOKUP(G1261, Vöruskrá!A:A, Vöruskrá!F:F, "")), ""), IF(F1261 = "Réttur", IFERROR(_xlfn.SINGLE(_xlfn.XLOOKUP(G1261, Réttabanki!A:A, Réttabanki!AT:AT, "")), ""), "")))</f>
        <v/>
      </c>
      <c r="N1261" s="26" t="str">
        <f>IF(OR(F1261 = "", G1261 = ""), "", IF(F1261 = "Vara", IFERROR(_xlfn.SINGLE(_xlfn.XLOOKUP(G1261, Vöruskrá!A:A, Vöruskrá!G:G, "")), ""), IF(F1261 = "Réttur", IFERROR(_xlfn.SINGLE(_xlfn.XLOOKUP(G1261, Réttabanki!A:A, Réttabanki!AU:AU, "")), ""), "")))</f>
        <v/>
      </c>
      <c r="O1261" s="26" t="str">
        <f>IF(OR(F1261 = "", G1261 = "", I1261 = ""), "", IF(F1261 = "Vara", IFERROR(_xlfn.SINGLE(_xlfn.XLOOKUP(G1261, Vöruskrá!A:A, Vöruskrá!I:I, "")) * I1261 / 100, ""), IF(F1261 = "Réttur", IFERROR(_xlfn.SINGLE(_xlfn.XLOOKUP(G1261, Réttabanki!A:A, Réttabanki!AV:AV, "")) * I1261 / 100, ""), "")))</f>
        <v/>
      </c>
      <c r="P1261" s="26" t="str">
        <f>IF(OR(F1261 = "", G1261 = "", I1261 = ""), "", IF(F1261 = "Vara", IFERROR(_xlfn.SINGLE(_xlfn.XLOOKUP(G1261, Vöruskrá!A:A, Vöruskrá!J:J, "")) * I1261 / 100, ""), IF(F1261 = "Réttur", IFERROR(_xlfn.SINGLE(_xlfn.XLOOKUP(G1261, Réttabanki!A:A, Réttabanki!AW:AW, "")) * I1261 / 100, ""), "")))</f>
        <v/>
      </c>
      <c r="Q1261" s="26" t="str">
        <f>IF(OR(F1261 = "", G1261 = "", I1261 = ""), "", IF(F1261 = "Vara", IFERROR(_xlfn.SINGLE(_xlfn.XLOOKUP(G1261, Vöruskrá!A:A, Vöruskrá!N:N, "")) * I1261 / 100, ""), IF(F1261 = "Réttur", IFERROR(_xlfn.SINGLE(_xlfn.XLOOKUP(G1261, Réttabanki!A:A, Réttabanki!BB:BB, "")) * I1261 / 100, ""), "")))</f>
        <v/>
      </c>
    </row>
    <row r="1262" spans="2:17">
      <c r="B1262" s="33" t="str">
        <f>IF(A1262&lt;&gt;"",CHOOSE(WEEKDAY(A1262,2),"Mánudagur","Þriðjudagur","Miðvikudagur","Fimmtudagur","Föstudagur","Laugardagur","Sunnudagur"),IF(B1261&lt;&gt;"",B1261,""))</f>
        <v>Fimmtudagur</v>
      </c>
      <c r="C1262" s="33">
        <f>IF(A1262&lt;&gt;"",WEEKNUM(A1262,21),IF(C1261&lt;&gt;"",C1261,""))</f>
        <v>27</v>
      </c>
      <c r="D1262" s="34"/>
      <c r="E1262" s="34"/>
      <c r="F1262" s="34"/>
      <c r="G1262" s="34"/>
      <c r="H1262" s="34"/>
      <c r="I1262" s="35"/>
      <c r="J1262" s="35"/>
      <c r="K1262" s="36"/>
      <c r="L1262" s="26" t="str">
        <f>IF(OR(F1262 = "", G1262 = ""), "", IF(F1262 = "Vara", IFERROR(_xlfn.SINGLE(_xlfn.XLOOKUP(G1262, Vöruskrá!A:A, Vöruskrá!E:E, "")), ""), IF(F1262 = "Réttur", IFERROR(_xlfn.SINGLE(_xlfn.XLOOKUP(G1262, Réttabanki!A:A, Réttabanki!AS:AS, "")), ""), "")))</f>
        <v/>
      </c>
      <c r="M1262" s="26" t="str">
        <f>IF(OR(F1262 = "", G1262 = ""), "", IF(F1262 = "Vara", IFERROR(_xlfn.SINGLE(_xlfn.XLOOKUP(G1262, Vöruskrá!A:A, Vöruskrá!F:F, "")), ""), IF(F1262 = "Réttur", IFERROR(_xlfn.SINGLE(_xlfn.XLOOKUP(G1262, Réttabanki!A:A, Réttabanki!AT:AT, "")), ""), "")))</f>
        <v/>
      </c>
      <c r="N1262" s="26" t="str">
        <f>IF(OR(F1262 = "", G1262 = ""), "", IF(F1262 = "Vara", IFERROR(_xlfn.SINGLE(_xlfn.XLOOKUP(G1262, Vöruskrá!A:A, Vöruskrá!G:G, "")), ""), IF(F1262 = "Réttur", IFERROR(_xlfn.SINGLE(_xlfn.XLOOKUP(G1262, Réttabanki!A:A, Réttabanki!AU:AU, "")), ""), "")))</f>
        <v/>
      </c>
      <c r="O1262" s="26" t="str">
        <f>IF(OR(F1262 = "", G1262 = "", I1262 = ""), "", IF(F1262 = "Vara", IFERROR(_xlfn.SINGLE(_xlfn.XLOOKUP(G1262, Vöruskrá!A:A, Vöruskrá!I:I, "")) * I1262 / 100, ""), IF(F1262 = "Réttur", IFERROR(_xlfn.SINGLE(_xlfn.XLOOKUP(G1262, Réttabanki!A:A, Réttabanki!AV:AV, "")) * I1262 / 100, ""), "")))</f>
        <v/>
      </c>
      <c r="P1262" s="26" t="str">
        <f>IF(OR(F1262 = "", G1262 = "", I1262 = ""), "", IF(F1262 = "Vara", IFERROR(_xlfn.SINGLE(_xlfn.XLOOKUP(G1262, Vöruskrá!A:A, Vöruskrá!J:J, "")) * I1262 / 100, ""), IF(F1262 = "Réttur", IFERROR(_xlfn.SINGLE(_xlfn.XLOOKUP(G1262, Réttabanki!A:A, Réttabanki!AW:AW, "")) * I1262 / 100, ""), "")))</f>
        <v/>
      </c>
      <c r="Q1262" s="26" t="str">
        <f>IF(OR(F1262 = "", G1262 = "", I1262 = ""), "", IF(F1262 = "Vara", IFERROR(_xlfn.SINGLE(_xlfn.XLOOKUP(G1262, Vöruskrá!A:A, Vöruskrá!N:N, "")) * I1262 / 100, ""), IF(F1262 = "Réttur", IFERROR(_xlfn.SINGLE(_xlfn.XLOOKUP(G1262, Réttabanki!A:A, Réttabanki!BB:BB, "")) * I1262 / 100, ""), "")))</f>
        <v/>
      </c>
    </row>
    <row r="1263" spans="2:17">
      <c r="B1263" s="33" t="str">
        <f>IF(A1263&lt;&gt;"",CHOOSE(WEEKDAY(A1263,2),"Mánudagur","Þriðjudagur","Miðvikudagur","Fimmtudagur","Föstudagur","Laugardagur","Sunnudagur"),IF(B1262&lt;&gt;"",B1262,""))</f>
        <v>Fimmtudagur</v>
      </c>
      <c r="C1263" s="33">
        <f>IF(A1263&lt;&gt;"",WEEKNUM(A1263,21),IF(C1262&lt;&gt;"",C1262,""))</f>
        <v>27</v>
      </c>
      <c r="D1263" s="34"/>
      <c r="E1263" s="34"/>
      <c r="F1263" s="34"/>
      <c r="G1263" s="34"/>
      <c r="H1263" s="34"/>
      <c r="I1263" s="35"/>
      <c r="J1263" s="35"/>
      <c r="K1263" s="36"/>
      <c r="L1263" s="26" t="str">
        <f>IF(OR(F1263 = "", G1263 = ""), "", IF(F1263 = "Vara", IFERROR(_xlfn.SINGLE(_xlfn.XLOOKUP(G1263, Vöruskrá!A:A, Vöruskrá!E:E, "")), ""), IF(F1263 = "Réttur", IFERROR(_xlfn.SINGLE(_xlfn.XLOOKUP(G1263, Réttabanki!A:A, Réttabanki!AS:AS, "")), ""), "")))</f>
        <v/>
      </c>
      <c r="M1263" s="26" t="str">
        <f>IF(OR(F1263 = "", G1263 = ""), "", IF(F1263 = "Vara", IFERROR(_xlfn.SINGLE(_xlfn.XLOOKUP(G1263, Vöruskrá!A:A, Vöruskrá!F:F, "")), ""), IF(F1263 = "Réttur", IFERROR(_xlfn.SINGLE(_xlfn.XLOOKUP(G1263, Réttabanki!A:A, Réttabanki!AT:AT, "")), ""), "")))</f>
        <v/>
      </c>
      <c r="N1263" s="26" t="str">
        <f>IF(OR(F1263 = "", G1263 = ""), "", IF(F1263 = "Vara", IFERROR(_xlfn.SINGLE(_xlfn.XLOOKUP(G1263, Vöruskrá!A:A, Vöruskrá!G:G, "")), ""), IF(F1263 = "Réttur", IFERROR(_xlfn.SINGLE(_xlfn.XLOOKUP(G1263, Réttabanki!A:A, Réttabanki!AU:AU, "")), ""), "")))</f>
        <v/>
      </c>
      <c r="O1263" s="26" t="str">
        <f>IF(OR(F1263 = "", G1263 = "", I1263 = ""), "", IF(F1263 = "Vara", IFERROR(_xlfn.SINGLE(_xlfn.XLOOKUP(G1263, Vöruskrá!A:A, Vöruskrá!I:I, "")) * I1263 / 100, ""), IF(F1263 = "Réttur", IFERROR(_xlfn.SINGLE(_xlfn.XLOOKUP(G1263, Réttabanki!A:A, Réttabanki!AV:AV, "")) * I1263 / 100, ""), "")))</f>
        <v/>
      </c>
      <c r="P1263" s="26" t="str">
        <f>IF(OR(F1263 = "", G1263 = "", I1263 = ""), "", IF(F1263 = "Vara", IFERROR(_xlfn.SINGLE(_xlfn.XLOOKUP(G1263, Vöruskrá!A:A, Vöruskrá!J:J, "")) * I1263 / 100, ""), IF(F1263 = "Réttur", IFERROR(_xlfn.SINGLE(_xlfn.XLOOKUP(G1263, Réttabanki!A:A, Réttabanki!AW:AW, "")) * I1263 / 100, ""), "")))</f>
        <v/>
      </c>
      <c r="Q1263" s="26" t="str">
        <f>IF(OR(F1263 = "", G1263 = "", I1263 = ""), "", IF(F1263 = "Vara", IFERROR(_xlfn.SINGLE(_xlfn.XLOOKUP(G1263, Vöruskrá!A:A, Vöruskrá!N:N, "")) * I1263 / 100, ""), IF(F1263 = "Réttur", IFERROR(_xlfn.SINGLE(_xlfn.XLOOKUP(G1263, Réttabanki!A:A, Réttabanki!BB:BB, "")) * I1263 / 100, ""), "")))</f>
        <v/>
      </c>
    </row>
    <row r="1264" spans="2:17">
      <c r="B1264" s="33" t="str">
        <f>IF(A1264&lt;&gt;"",CHOOSE(WEEKDAY(A1264,2),"Mánudagur","Þriðjudagur","Miðvikudagur","Fimmtudagur","Föstudagur","Laugardagur","Sunnudagur"),IF(B1263&lt;&gt;"",B1263,""))</f>
        <v>Fimmtudagur</v>
      </c>
      <c r="C1264" s="33">
        <f>IF(A1264&lt;&gt;"",WEEKNUM(A1264,21),IF(C1263&lt;&gt;"",C1263,""))</f>
        <v>27</v>
      </c>
      <c r="D1264" s="34"/>
      <c r="E1264" s="34"/>
      <c r="F1264" s="34"/>
      <c r="G1264" s="34"/>
      <c r="H1264" s="34"/>
      <c r="I1264" s="35"/>
      <c r="J1264" s="35"/>
      <c r="K1264" s="36"/>
      <c r="L1264" s="26" t="str">
        <f>IF(OR(F1264 = "", G1264 = ""), "", IF(F1264 = "Vara", IFERROR(_xlfn.SINGLE(_xlfn.XLOOKUP(G1264, Vöruskrá!A:A, Vöruskrá!E:E, "")), ""), IF(F1264 = "Réttur", IFERROR(_xlfn.SINGLE(_xlfn.XLOOKUP(G1264, Réttabanki!A:A, Réttabanki!AS:AS, "")), ""), "")))</f>
        <v/>
      </c>
      <c r="M1264" s="26" t="str">
        <f>IF(OR(F1264 = "", G1264 = ""), "", IF(F1264 = "Vara", IFERROR(_xlfn.SINGLE(_xlfn.XLOOKUP(G1264, Vöruskrá!A:A, Vöruskrá!F:F, "")), ""), IF(F1264 = "Réttur", IFERROR(_xlfn.SINGLE(_xlfn.XLOOKUP(G1264, Réttabanki!A:A, Réttabanki!AT:AT, "")), ""), "")))</f>
        <v/>
      </c>
      <c r="N1264" s="26" t="str">
        <f>IF(OR(F1264 = "", G1264 = ""), "", IF(F1264 = "Vara", IFERROR(_xlfn.SINGLE(_xlfn.XLOOKUP(G1264, Vöruskrá!A:A, Vöruskrá!G:G, "")), ""), IF(F1264 = "Réttur", IFERROR(_xlfn.SINGLE(_xlfn.XLOOKUP(G1264, Réttabanki!A:A, Réttabanki!AU:AU, "")), ""), "")))</f>
        <v/>
      </c>
      <c r="O1264" s="26" t="str">
        <f>IF(OR(F1264 = "", G1264 = "", I1264 = ""), "", IF(F1264 = "Vara", IFERROR(_xlfn.SINGLE(_xlfn.XLOOKUP(G1264, Vöruskrá!A:A, Vöruskrá!I:I, "")) * I1264 / 100, ""), IF(F1264 = "Réttur", IFERROR(_xlfn.SINGLE(_xlfn.XLOOKUP(G1264, Réttabanki!A:A, Réttabanki!AV:AV, "")) * I1264 / 100, ""), "")))</f>
        <v/>
      </c>
      <c r="P1264" s="26" t="str">
        <f>IF(OR(F1264 = "", G1264 = "", I1264 = ""), "", IF(F1264 = "Vara", IFERROR(_xlfn.SINGLE(_xlfn.XLOOKUP(G1264, Vöruskrá!A:A, Vöruskrá!J:J, "")) * I1264 / 100, ""), IF(F1264 = "Réttur", IFERROR(_xlfn.SINGLE(_xlfn.XLOOKUP(G1264, Réttabanki!A:A, Réttabanki!AW:AW, "")) * I1264 / 100, ""), "")))</f>
        <v/>
      </c>
      <c r="Q1264" s="26" t="str">
        <f>IF(OR(F1264 = "", G1264 = "", I1264 = ""), "", IF(F1264 = "Vara", IFERROR(_xlfn.SINGLE(_xlfn.XLOOKUP(G1264, Vöruskrá!A:A, Vöruskrá!N:N, "")) * I1264 / 100, ""), IF(F1264 = "Réttur", IFERROR(_xlfn.SINGLE(_xlfn.XLOOKUP(G1264, Réttabanki!A:A, Réttabanki!BB:BB, "")) * I1264 / 100, ""), "")))</f>
        <v/>
      </c>
    </row>
    <row r="1265" spans="2:17">
      <c r="B1265" s="33" t="str">
        <f>IF(A1265&lt;&gt;"",CHOOSE(WEEKDAY(A1265,2),"Mánudagur","Þriðjudagur","Miðvikudagur","Fimmtudagur","Föstudagur","Laugardagur","Sunnudagur"),IF(B1264&lt;&gt;"",B1264,""))</f>
        <v>Fimmtudagur</v>
      </c>
      <c r="C1265" s="33">
        <f>IF(A1265&lt;&gt;"",WEEKNUM(A1265,21),IF(C1264&lt;&gt;"",C1264,""))</f>
        <v>27</v>
      </c>
      <c r="D1265" s="34"/>
      <c r="E1265" s="34"/>
      <c r="F1265" s="34"/>
      <c r="G1265" s="34"/>
      <c r="H1265" s="34"/>
      <c r="I1265" s="35"/>
      <c r="J1265" s="35"/>
      <c r="K1265" s="36"/>
      <c r="L1265" s="26" t="str">
        <f>IF(OR(F1265 = "", G1265 = ""), "", IF(F1265 = "Vara", IFERROR(_xlfn.SINGLE(_xlfn.XLOOKUP(G1265, Vöruskrá!A:A, Vöruskrá!E:E, "")), ""), IF(F1265 = "Réttur", IFERROR(_xlfn.SINGLE(_xlfn.XLOOKUP(G1265, Réttabanki!A:A, Réttabanki!AS:AS, "")), ""), "")))</f>
        <v/>
      </c>
      <c r="M1265" s="26" t="str">
        <f>IF(OR(F1265 = "", G1265 = ""), "", IF(F1265 = "Vara", IFERROR(_xlfn.SINGLE(_xlfn.XLOOKUP(G1265, Vöruskrá!A:A, Vöruskrá!F:F, "")), ""), IF(F1265 = "Réttur", IFERROR(_xlfn.SINGLE(_xlfn.XLOOKUP(G1265, Réttabanki!A:A, Réttabanki!AT:AT, "")), ""), "")))</f>
        <v/>
      </c>
      <c r="N1265" s="26" t="str">
        <f>IF(OR(F1265 = "", G1265 = ""), "", IF(F1265 = "Vara", IFERROR(_xlfn.SINGLE(_xlfn.XLOOKUP(G1265, Vöruskrá!A:A, Vöruskrá!G:G, "")), ""), IF(F1265 = "Réttur", IFERROR(_xlfn.SINGLE(_xlfn.XLOOKUP(G1265, Réttabanki!A:A, Réttabanki!AU:AU, "")), ""), "")))</f>
        <v/>
      </c>
      <c r="O1265" s="26" t="str">
        <f>IF(OR(F1265 = "", G1265 = "", I1265 = ""), "", IF(F1265 = "Vara", IFERROR(_xlfn.SINGLE(_xlfn.XLOOKUP(G1265, Vöruskrá!A:A, Vöruskrá!I:I, "")) * I1265 / 100, ""), IF(F1265 = "Réttur", IFERROR(_xlfn.SINGLE(_xlfn.XLOOKUP(G1265, Réttabanki!A:A, Réttabanki!AV:AV, "")) * I1265 / 100, ""), "")))</f>
        <v/>
      </c>
      <c r="P1265" s="26" t="str">
        <f>IF(OR(F1265 = "", G1265 = "", I1265 = ""), "", IF(F1265 = "Vara", IFERROR(_xlfn.SINGLE(_xlfn.XLOOKUP(G1265, Vöruskrá!A:A, Vöruskrá!J:J, "")) * I1265 / 100, ""), IF(F1265 = "Réttur", IFERROR(_xlfn.SINGLE(_xlfn.XLOOKUP(G1265, Réttabanki!A:A, Réttabanki!AW:AW, "")) * I1265 / 100, ""), "")))</f>
        <v/>
      </c>
      <c r="Q1265" s="26" t="str">
        <f>IF(OR(F1265 = "", G1265 = "", I1265 = ""), "", IF(F1265 = "Vara", IFERROR(_xlfn.SINGLE(_xlfn.XLOOKUP(G1265, Vöruskrá!A:A, Vöruskrá!N:N, "")) * I1265 / 100, ""), IF(F1265 = "Réttur", IFERROR(_xlfn.SINGLE(_xlfn.XLOOKUP(G1265, Réttabanki!A:A, Réttabanki!BB:BB, "")) * I1265 / 100, ""), "")))</f>
        <v/>
      </c>
    </row>
    <row r="1266" spans="2:17">
      <c r="B1266" s="33" t="str">
        <f>IF(A1266&lt;&gt;"",CHOOSE(WEEKDAY(A1266,2),"Mánudagur","Þriðjudagur","Miðvikudagur","Fimmtudagur","Föstudagur","Laugardagur","Sunnudagur"),IF(B1265&lt;&gt;"",B1265,""))</f>
        <v>Fimmtudagur</v>
      </c>
      <c r="C1266" s="33">
        <f>IF(A1266&lt;&gt;"",WEEKNUM(A1266,21),IF(C1265&lt;&gt;"",C1265,""))</f>
        <v>27</v>
      </c>
      <c r="D1266" s="34"/>
      <c r="E1266" s="34"/>
      <c r="F1266" s="34"/>
      <c r="G1266" s="34"/>
      <c r="H1266" s="34"/>
      <c r="I1266" s="35"/>
      <c r="J1266" s="35"/>
      <c r="K1266" s="36"/>
      <c r="L1266" s="26" t="str">
        <f>IF(OR(F1266 = "", G1266 = ""), "", IF(F1266 = "Vara", IFERROR(_xlfn.SINGLE(_xlfn.XLOOKUP(G1266, Vöruskrá!A:A, Vöruskrá!E:E, "")), ""), IF(F1266 = "Réttur", IFERROR(_xlfn.SINGLE(_xlfn.XLOOKUP(G1266, Réttabanki!A:A, Réttabanki!AS:AS, "")), ""), "")))</f>
        <v/>
      </c>
      <c r="M1266" s="26" t="str">
        <f>IF(OR(F1266 = "", G1266 = ""), "", IF(F1266 = "Vara", IFERROR(_xlfn.SINGLE(_xlfn.XLOOKUP(G1266, Vöruskrá!A:A, Vöruskrá!F:F, "")), ""), IF(F1266 = "Réttur", IFERROR(_xlfn.SINGLE(_xlfn.XLOOKUP(G1266, Réttabanki!A:A, Réttabanki!AT:AT, "")), ""), "")))</f>
        <v/>
      </c>
      <c r="N1266" s="26" t="str">
        <f>IF(OR(F1266 = "", G1266 = ""), "", IF(F1266 = "Vara", IFERROR(_xlfn.SINGLE(_xlfn.XLOOKUP(G1266, Vöruskrá!A:A, Vöruskrá!G:G, "")), ""), IF(F1266 = "Réttur", IFERROR(_xlfn.SINGLE(_xlfn.XLOOKUP(G1266, Réttabanki!A:A, Réttabanki!AU:AU, "")), ""), "")))</f>
        <v/>
      </c>
      <c r="O1266" s="26" t="str">
        <f>IF(OR(F1266 = "", G1266 = "", I1266 = ""), "", IF(F1266 = "Vara", IFERROR(_xlfn.SINGLE(_xlfn.XLOOKUP(G1266, Vöruskrá!A:A, Vöruskrá!I:I, "")) * I1266 / 100, ""), IF(F1266 = "Réttur", IFERROR(_xlfn.SINGLE(_xlfn.XLOOKUP(G1266, Réttabanki!A:A, Réttabanki!AV:AV, "")) * I1266 / 100, ""), "")))</f>
        <v/>
      </c>
      <c r="P1266" s="26" t="str">
        <f>IF(OR(F1266 = "", G1266 = "", I1266 = ""), "", IF(F1266 = "Vara", IFERROR(_xlfn.SINGLE(_xlfn.XLOOKUP(G1266, Vöruskrá!A:A, Vöruskrá!J:J, "")) * I1266 / 100, ""), IF(F1266 = "Réttur", IFERROR(_xlfn.SINGLE(_xlfn.XLOOKUP(G1266, Réttabanki!A:A, Réttabanki!AW:AW, "")) * I1266 / 100, ""), "")))</f>
        <v/>
      </c>
      <c r="Q1266" s="26" t="str">
        <f>IF(OR(F1266 = "", G1266 = "", I1266 = ""), "", IF(F1266 = "Vara", IFERROR(_xlfn.SINGLE(_xlfn.XLOOKUP(G1266, Vöruskrá!A:A, Vöruskrá!N:N, "")) * I1266 / 100, ""), IF(F1266 = "Réttur", IFERROR(_xlfn.SINGLE(_xlfn.XLOOKUP(G1266, Réttabanki!A:A, Réttabanki!BB:BB, "")) * I1266 / 100, ""), "")))</f>
        <v/>
      </c>
    </row>
    <row r="1267" spans="2:17">
      <c r="B1267" s="33" t="str">
        <f>IF(A1267&lt;&gt;"",CHOOSE(WEEKDAY(A1267,2),"Mánudagur","Þriðjudagur","Miðvikudagur","Fimmtudagur","Föstudagur","Laugardagur","Sunnudagur"),IF(B1266&lt;&gt;"",B1266,""))</f>
        <v>Fimmtudagur</v>
      </c>
      <c r="C1267" s="33">
        <f>IF(A1267&lt;&gt;"",WEEKNUM(A1267,21),IF(C1266&lt;&gt;"",C1266,""))</f>
        <v>27</v>
      </c>
      <c r="D1267" s="34"/>
      <c r="E1267" s="34"/>
      <c r="F1267" s="34"/>
      <c r="G1267" s="34"/>
      <c r="H1267" s="34"/>
      <c r="I1267" s="35"/>
      <c r="J1267" s="35"/>
      <c r="K1267" s="36"/>
      <c r="L1267" s="26" t="str">
        <f>IF(OR(F1267 = "", G1267 = ""), "", IF(F1267 = "Vara", IFERROR(_xlfn.SINGLE(_xlfn.XLOOKUP(G1267, Vöruskrá!A:A, Vöruskrá!E:E, "")), ""), IF(F1267 = "Réttur", IFERROR(_xlfn.SINGLE(_xlfn.XLOOKUP(G1267, Réttabanki!A:A, Réttabanki!AS:AS, "")), ""), "")))</f>
        <v/>
      </c>
      <c r="M1267" s="26" t="str">
        <f>IF(OR(F1267 = "", G1267 = ""), "", IF(F1267 = "Vara", IFERROR(_xlfn.SINGLE(_xlfn.XLOOKUP(G1267, Vöruskrá!A:A, Vöruskrá!F:F, "")), ""), IF(F1267 = "Réttur", IFERROR(_xlfn.SINGLE(_xlfn.XLOOKUP(G1267, Réttabanki!A:A, Réttabanki!AT:AT, "")), ""), "")))</f>
        <v/>
      </c>
      <c r="N1267" s="26" t="str">
        <f>IF(OR(F1267 = "", G1267 = ""), "", IF(F1267 = "Vara", IFERROR(_xlfn.SINGLE(_xlfn.XLOOKUP(G1267, Vöruskrá!A:A, Vöruskrá!G:G, "")), ""), IF(F1267 = "Réttur", IFERROR(_xlfn.SINGLE(_xlfn.XLOOKUP(G1267, Réttabanki!A:A, Réttabanki!AU:AU, "")), ""), "")))</f>
        <v/>
      </c>
      <c r="O1267" s="26" t="str">
        <f>IF(OR(F1267 = "", G1267 = "", I1267 = ""), "", IF(F1267 = "Vara", IFERROR(_xlfn.SINGLE(_xlfn.XLOOKUP(G1267, Vöruskrá!A:A, Vöruskrá!I:I, "")) * I1267 / 100, ""), IF(F1267 = "Réttur", IFERROR(_xlfn.SINGLE(_xlfn.XLOOKUP(G1267, Réttabanki!A:A, Réttabanki!AV:AV, "")) * I1267 / 100, ""), "")))</f>
        <v/>
      </c>
      <c r="P1267" s="26" t="str">
        <f>IF(OR(F1267 = "", G1267 = "", I1267 = ""), "", IF(F1267 = "Vara", IFERROR(_xlfn.SINGLE(_xlfn.XLOOKUP(G1267, Vöruskrá!A:A, Vöruskrá!J:J, "")) * I1267 / 100, ""), IF(F1267 = "Réttur", IFERROR(_xlfn.SINGLE(_xlfn.XLOOKUP(G1267, Réttabanki!A:A, Réttabanki!AW:AW, "")) * I1267 / 100, ""), "")))</f>
        <v/>
      </c>
      <c r="Q1267" s="26" t="str">
        <f>IF(OR(F1267 = "", G1267 = "", I1267 = ""), "", IF(F1267 = "Vara", IFERROR(_xlfn.SINGLE(_xlfn.XLOOKUP(G1267, Vöruskrá!A:A, Vöruskrá!N:N, "")) * I1267 / 100, ""), IF(F1267 = "Réttur", IFERROR(_xlfn.SINGLE(_xlfn.XLOOKUP(G1267, Réttabanki!A:A, Réttabanki!BB:BB, "")) * I1267 / 100, ""), "")))</f>
        <v/>
      </c>
    </row>
    <row r="1268" spans="2:17">
      <c r="B1268" s="33" t="str">
        <f>IF(A1268&lt;&gt;"",CHOOSE(WEEKDAY(A1268,2),"Mánudagur","Þriðjudagur","Miðvikudagur","Fimmtudagur","Föstudagur","Laugardagur","Sunnudagur"),IF(B1267&lt;&gt;"",B1267,""))</f>
        <v>Fimmtudagur</v>
      </c>
      <c r="C1268" s="33">
        <f>IF(A1268&lt;&gt;"",WEEKNUM(A1268,21),IF(C1267&lt;&gt;"",C1267,""))</f>
        <v>27</v>
      </c>
      <c r="D1268" s="34"/>
      <c r="E1268" s="34"/>
      <c r="F1268" s="34"/>
      <c r="G1268" s="34"/>
      <c r="H1268" s="34"/>
      <c r="I1268" s="35"/>
      <c r="J1268" s="35"/>
      <c r="K1268" s="36"/>
      <c r="L1268" s="26" t="str">
        <f>IF(OR(F1268 = "", G1268 = ""), "", IF(F1268 = "Vara", IFERROR(_xlfn.SINGLE(_xlfn.XLOOKUP(G1268, Vöruskrá!A:A, Vöruskrá!E:E, "")), ""), IF(F1268 = "Réttur", IFERROR(_xlfn.SINGLE(_xlfn.XLOOKUP(G1268, Réttabanki!A:A, Réttabanki!AS:AS, "")), ""), "")))</f>
        <v/>
      </c>
      <c r="M1268" s="26" t="str">
        <f>IF(OR(F1268 = "", G1268 = ""), "", IF(F1268 = "Vara", IFERROR(_xlfn.SINGLE(_xlfn.XLOOKUP(G1268, Vöruskrá!A:A, Vöruskrá!F:F, "")), ""), IF(F1268 = "Réttur", IFERROR(_xlfn.SINGLE(_xlfn.XLOOKUP(G1268, Réttabanki!A:A, Réttabanki!AT:AT, "")), ""), "")))</f>
        <v/>
      </c>
      <c r="N1268" s="26" t="str">
        <f>IF(OR(F1268 = "", G1268 = ""), "", IF(F1268 = "Vara", IFERROR(_xlfn.SINGLE(_xlfn.XLOOKUP(G1268, Vöruskrá!A:A, Vöruskrá!G:G, "")), ""), IF(F1268 = "Réttur", IFERROR(_xlfn.SINGLE(_xlfn.XLOOKUP(G1268, Réttabanki!A:A, Réttabanki!AU:AU, "")), ""), "")))</f>
        <v/>
      </c>
      <c r="O1268" s="26" t="str">
        <f>IF(OR(F1268 = "", G1268 = "", I1268 = ""), "", IF(F1268 = "Vara", IFERROR(_xlfn.SINGLE(_xlfn.XLOOKUP(G1268, Vöruskrá!A:A, Vöruskrá!I:I, "")) * I1268 / 100, ""), IF(F1268 = "Réttur", IFERROR(_xlfn.SINGLE(_xlfn.XLOOKUP(G1268, Réttabanki!A:A, Réttabanki!AV:AV, "")) * I1268 / 100, ""), "")))</f>
        <v/>
      </c>
      <c r="P1268" s="26" t="str">
        <f>IF(OR(F1268 = "", G1268 = "", I1268 = ""), "", IF(F1268 = "Vara", IFERROR(_xlfn.SINGLE(_xlfn.XLOOKUP(G1268, Vöruskrá!A:A, Vöruskrá!J:J, "")) * I1268 / 100, ""), IF(F1268 = "Réttur", IFERROR(_xlfn.SINGLE(_xlfn.XLOOKUP(G1268, Réttabanki!A:A, Réttabanki!AW:AW, "")) * I1268 / 100, ""), "")))</f>
        <v/>
      </c>
      <c r="Q1268" s="26" t="str">
        <f>IF(OR(F1268 = "", G1268 = "", I1268 = ""), "", IF(F1268 = "Vara", IFERROR(_xlfn.SINGLE(_xlfn.XLOOKUP(G1268, Vöruskrá!A:A, Vöruskrá!N:N, "")) * I1268 / 100, ""), IF(F1268 = "Réttur", IFERROR(_xlfn.SINGLE(_xlfn.XLOOKUP(G1268, Réttabanki!A:A, Réttabanki!BB:BB, "")) * I1268 / 100, ""), "")))</f>
        <v/>
      </c>
    </row>
    <row r="1269" spans="2:17">
      <c r="B1269" s="33" t="str">
        <f>IF(A1269&lt;&gt;"",CHOOSE(WEEKDAY(A1269,2),"Mánudagur","Þriðjudagur","Miðvikudagur","Fimmtudagur","Föstudagur","Laugardagur","Sunnudagur"),IF(B1268&lt;&gt;"",B1268,""))</f>
        <v>Fimmtudagur</v>
      </c>
      <c r="C1269" s="33">
        <f>IF(A1269&lt;&gt;"",WEEKNUM(A1269,21),IF(C1268&lt;&gt;"",C1268,""))</f>
        <v>27</v>
      </c>
      <c r="D1269" s="34"/>
      <c r="E1269" s="34"/>
      <c r="F1269" s="34"/>
      <c r="G1269" s="34"/>
      <c r="H1269" s="34"/>
      <c r="I1269" s="35"/>
      <c r="J1269" s="35"/>
      <c r="K1269" s="36"/>
      <c r="L1269" s="26" t="str">
        <f>IF(OR(F1269 = "", G1269 = ""), "", IF(F1269 = "Vara", IFERROR(_xlfn.SINGLE(_xlfn.XLOOKUP(G1269, Vöruskrá!A:A, Vöruskrá!E:E, "")), ""), IF(F1269 = "Réttur", IFERROR(_xlfn.SINGLE(_xlfn.XLOOKUP(G1269, Réttabanki!A:A, Réttabanki!AS:AS, "")), ""), "")))</f>
        <v/>
      </c>
      <c r="M1269" s="26" t="str">
        <f>IF(OR(F1269 = "", G1269 = ""), "", IF(F1269 = "Vara", IFERROR(_xlfn.SINGLE(_xlfn.XLOOKUP(G1269, Vöruskrá!A:A, Vöruskrá!F:F, "")), ""), IF(F1269 = "Réttur", IFERROR(_xlfn.SINGLE(_xlfn.XLOOKUP(G1269, Réttabanki!A:A, Réttabanki!AT:AT, "")), ""), "")))</f>
        <v/>
      </c>
      <c r="N1269" s="26" t="str">
        <f>IF(OR(F1269 = "", G1269 = ""), "", IF(F1269 = "Vara", IFERROR(_xlfn.SINGLE(_xlfn.XLOOKUP(G1269, Vöruskrá!A:A, Vöruskrá!G:G, "")), ""), IF(F1269 = "Réttur", IFERROR(_xlfn.SINGLE(_xlfn.XLOOKUP(G1269, Réttabanki!A:A, Réttabanki!AU:AU, "")), ""), "")))</f>
        <v/>
      </c>
      <c r="O1269" s="26" t="str">
        <f>IF(OR(F1269 = "", G1269 = "", I1269 = ""), "", IF(F1269 = "Vara", IFERROR(_xlfn.SINGLE(_xlfn.XLOOKUP(G1269, Vöruskrá!A:A, Vöruskrá!I:I, "")) * I1269 / 100, ""), IF(F1269 = "Réttur", IFERROR(_xlfn.SINGLE(_xlfn.XLOOKUP(G1269, Réttabanki!A:A, Réttabanki!AV:AV, "")) * I1269 / 100, ""), "")))</f>
        <v/>
      </c>
      <c r="P1269" s="26" t="str">
        <f>IF(OR(F1269 = "", G1269 = "", I1269 = ""), "", IF(F1269 = "Vara", IFERROR(_xlfn.SINGLE(_xlfn.XLOOKUP(G1269, Vöruskrá!A:A, Vöruskrá!J:J, "")) * I1269 / 100, ""), IF(F1269 = "Réttur", IFERROR(_xlfn.SINGLE(_xlfn.XLOOKUP(G1269, Réttabanki!A:A, Réttabanki!AW:AW, "")) * I1269 / 100, ""), "")))</f>
        <v/>
      </c>
      <c r="Q1269" s="26" t="str">
        <f>IF(OR(F1269 = "", G1269 = "", I1269 = ""), "", IF(F1269 = "Vara", IFERROR(_xlfn.SINGLE(_xlfn.XLOOKUP(G1269, Vöruskrá!A:A, Vöruskrá!N:N, "")) * I1269 / 100, ""), IF(F1269 = "Réttur", IFERROR(_xlfn.SINGLE(_xlfn.XLOOKUP(G1269, Réttabanki!A:A, Réttabanki!BB:BB, "")) * I1269 / 100, ""), "")))</f>
        <v/>
      </c>
    </row>
    <row r="1270" spans="2:17">
      <c r="B1270" s="33" t="str">
        <f>IF(A1270&lt;&gt;"",CHOOSE(WEEKDAY(A1270,2),"Mánudagur","Þriðjudagur","Miðvikudagur","Fimmtudagur","Föstudagur","Laugardagur","Sunnudagur"),IF(B1269&lt;&gt;"",B1269,""))</f>
        <v>Fimmtudagur</v>
      </c>
      <c r="C1270" s="33">
        <f>IF(A1270&lt;&gt;"",WEEKNUM(A1270,21),IF(C1269&lt;&gt;"",C1269,""))</f>
        <v>27</v>
      </c>
      <c r="D1270" s="34"/>
      <c r="E1270" s="34"/>
      <c r="F1270" s="34"/>
      <c r="G1270" s="34"/>
      <c r="H1270" s="34"/>
      <c r="I1270" s="35"/>
      <c r="J1270" s="35"/>
      <c r="K1270" s="36"/>
      <c r="L1270" s="26" t="str">
        <f>IF(OR(F1270 = "", G1270 = ""), "", IF(F1270 = "Vara", IFERROR(_xlfn.SINGLE(_xlfn.XLOOKUP(G1270, Vöruskrá!A:A, Vöruskrá!E:E, "")), ""), IF(F1270 = "Réttur", IFERROR(_xlfn.SINGLE(_xlfn.XLOOKUP(G1270, Réttabanki!A:A, Réttabanki!AS:AS, "")), ""), "")))</f>
        <v/>
      </c>
      <c r="M1270" s="26" t="str">
        <f>IF(OR(F1270 = "", G1270 = ""), "", IF(F1270 = "Vara", IFERROR(_xlfn.SINGLE(_xlfn.XLOOKUP(G1270, Vöruskrá!A:A, Vöruskrá!F:F, "")), ""), IF(F1270 = "Réttur", IFERROR(_xlfn.SINGLE(_xlfn.XLOOKUP(G1270, Réttabanki!A:A, Réttabanki!AT:AT, "")), ""), "")))</f>
        <v/>
      </c>
      <c r="N1270" s="26" t="str">
        <f>IF(OR(F1270 = "", G1270 = ""), "", IF(F1270 = "Vara", IFERROR(_xlfn.SINGLE(_xlfn.XLOOKUP(G1270, Vöruskrá!A:A, Vöruskrá!G:G, "")), ""), IF(F1270 = "Réttur", IFERROR(_xlfn.SINGLE(_xlfn.XLOOKUP(G1270, Réttabanki!A:A, Réttabanki!AU:AU, "")), ""), "")))</f>
        <v/>
      </c>
      <c r="O1270" s="26" t="str">
        <f>IF(OR(F1270 = "", G1270 = "", I1270 = ""), "", IF(F1270 = "Vara", IFERROR(_xlfn.SINGLE(_xlfn.XLOOKUP(G1270, Vöruskrá!A:A, Vöruskrá!I:I, "")) * I1270 / 100, ""), IF(F1270 = "Réttur", IFERROR(_xlfn.SINGLE(_xlfn.XLOOKUP(G1270, Réttabanki!A:A, Réttabanki!AV:AV, "")) * I1270 / 100, ""), "")))</f>
        <v/>
      </c>
      <c r="P1270" s="26" t="str">
        <f>IF(OR(F1270 = "", G1270 = "", I1270 = ""), "", IF(F1270 = "Vara", IFERROR(_xlfn.SINGLE(_xlfn.XLOOKUP(G1270, Vöruskrá!A:A, Vöruskrá!J:J, "")) * I1270 / 100, ""), IF(F1270 = "Réttur", IFERROR(_xlfn.SINGLE(_xlfn.XLOOKUP(G1270, Réttabanki!A:A, Réttabanki!AW:AW, "")) * I1270 / 100, ""), "")))</f>
        <v/>
      </c>
      <c r="Q1270" s="26" t="str">
        <f>IF(OR(F1270 = "", G1270 = "", I1270 = ""), "", IF(F1270 = "Vara", IFERROR(_xlfn.SINGLE(_xlfn.XLOOKUP(G1270, Vöruskrá!A:A, Vöruskrá!N:N, "")) * I1270 / 100, ""), IF(F1270 = "Réttur", IFERROR(_xlfn.SINGLE(_xlfn.XLOOKUP(G1270, Réttabanki!A:A, Réttabanki!BB:BB, "")) * I1270 / 100, ""), "")))</f>
        <v/>
      </c>
    </row>
    <row r="1271" spans="2:17">
      <c r="B1271" s="33" t="str">
        <f>IF(A1271&lt;&gt;"",CHOOSE(WEEKDAY(A1271,2),"Mánudagur","Þriðjudagur","Miðvikudagur","Fimmtudagur","Föstudagur","Laugardagur","Sunnudagur"),IF(B1270&lt;&gt;"",B1270,""))</f>
        <v>Fimmtudagur</v>
      </c>
      <c r="C1271" s="33">
        <f>IF(A1271&lt;&gt;"",WEEKNUM(A1271,21),IF(C1270&lt;&gt;"",C1270,""))</f>
        <v>27</v>
      </c>
      <c r="D1271" s="34"/>
      <c r="E1271" s="34"/>
      <c r="F1271" s="34"/>
      <c r="G1271" s="34"/>
      <c r="H1271" s="34"/>
      <c r="I1271" s="35"/>
      <c r="J1271" s="35"/>
      <c r="K1271" s="36"/>
      <c r="L1271" s="26" t="str">
        <f>IF(OR(F1271 = "", G1271 = ""), "", IF(F1271 = "Vara", IFERROR(_xlfn.SINGLE(_xlfn.XLOOKUP(G1271, Vöruskrá!A:A, Vöruskrá!E:E, "")), ""), IF(F1271 = "Réttur", IFERROR(_xlfn.SINGLE(_xlfn.XLOOKUP(G1271, Réttabanki!A:A, Réttabanki!AS:AS, "")), ""), "")))</f>
        <v/>
      </c>
      <c r="M1271" s="26" t="str">
        <f>IF(OR(F1271 = "", G1271 = ""), "", IF(F1271 = "Vara", IFERROR(_xlfn.SINGLE(_xlfn.XLOOKUP(G1271, Vöruskrá!A:A, Vöruskrá!F:F, "")), ""), IF(F1271 = "Réttur", IFERROR(_xlfn.SINGLE(_xlfn.XLOOKUP(G1271, Réttabanki!A:A, Réttabanki!AT:AT, "")), ""), "")))</f>
        <v/>
      </c>
      <c r="N1271" s="26" t="str">
        <f>IF(OR(F1271 = "", G1271 = ""), "", IF(F1271 = "Vara", IFERROR(_xlfn.SINGLE(_xlfn.XLOOKUP(G1271, Vöruskrá!A:A, Vöruskrá!G:G, "")), ""), IF(F1271 = "Réttur", IFERROR(_xlfn.SINGLE(_xlfn.XLOOKUP(G1271, Réttabanki!A:A, Réttabanki!AU:AU, "")), ""), "")))</f>
        <v/>
      </c>
      <c r="O1271" s="26" t="str">
        <f>IF(OR(F1271 = "", G1271 = "", I1271 = ""), "", IF(F1271 = "Vara", IFERROR(_xlfn.SINGLE(_xlfn.XLOOKUP(G1271, Vöruskrá!A:A, Vöruskrá!I:I, "")) * I1271 / 100, ""), IF(F1271 = "Réttur", IFERROR(_xlfn.SINGLE(_xlfn.XLOOKUP(G1271, Réttabanki!A:A, Réttabanki!AV:AV, "")) * I1271 / 100, ""), "")))</f>
        <v/>
      </c>
      <c r="P1271" s="26" t="str">
        <f>IF(OR(F1271 = "", G1271 = "", I1271 = ""), "", IF(F1271 = "Vara", IFERROR(_xlfn.SINGLE(_xlfn.XLOOKUP(G1271, Vöruskrá!A:A, Vöruskrá!J:J, "")) * I1271 / 100, ""), IF(F1271 = "Réttur", IFERROR(_xlfn.SINGLE(_xlfn.XLOOKUP(G1271, Réttabanki!A:A, Réttabanki!AW:AW, "")) * I1271 / 100, ""), "")))</f>
        <v/>
      </c>
      <c r="Q1271" s="26" t="str">
        <f>IF(OR(F1271 = "", G1271 = "", I1271 = ""), "", IF(F1271 = "Vara", IFERROR(_xlfn.SINGLE(_xlfn.XLOOKUP(G1271, Vöruskrá!A:A, Vöruskrá!N:N, "")) * I1271 / 100, ""), IF(F1271 = "Réttur", IFERROR(_xlfn.SINGLE(_xlfn.XLOOKUP(G1271, Réttabanki!A:A, Réttabanki!BB:BB, "")) * I1271 / 100, ""), "")))</f>
        <v/>
      </c>
    </row>
    <row r="1272" spans="2:17">
      <c r="B1272" s="33" t="str">
        <f>IF(A1272&lt;&gt;"",CHOOSE(WEEKDAY(A1272,2),"Mánudagur","Þriðjudagur","Miðvikudagur","Fimmtudagur","Föstudagur","Laugardagur","Sunnudagur"),IF(B1271&lt;&gt;"",B1271,""))</f>
        <v>Fimmtudagur</v>
      </c>
      <c r="C1272" s="33">
        <f>IF(A1272&lt;&gt;"",WEEKNUM(A1272,21),IF(C1271&lt;&gt;"",C1271,""))</f>
        <v>27</v>
      </c>
      <c r="D1272" s="34"/>
      <c r="E1272" s="34"/>
      <c r="F1272" s="34"/>
      <c r="G1272" s="34"/>
      <c r="H1272" s="34"/>
      <c r="I1272" s="35"/>
      <c r="J1272" s="35"/>
      <c r="K1272" s="36"/>
      <c r="L1272" s="26" t="str">
        <f>IF(OR(F1272 = "", G1272 = ""), "", IF(F1272 = "Vara", IFERROR(_xlfn.SINGLE(_xlfn.XLOOKUP(G1272, Vöruskrá!A:A, Vöruskrá!E:E, "")), ""), IF(F1272 = "Réttur", IFERROR(_xlfn.SINGLE(_xlfn.XLOOKUP(G1272, Réttabanki!A:A, Réttabanki!AS:AS, "")), ""), "")))</f>
        <v/>
      </c>
      <c r="M1272" s="26" t="str">
        <f>IF(OR(F1272 = "", G1272 = ""), "", IF(F1272 = "Vara", IFERROR(_xlfn.SINGLE(_xlfn.XLOOKUP(G1272, Vöruskrá!A:A, Vöruskrá!F:F, "")), ""), IF(F1272 = "Réttur", IFERROR(_xlfn.SINGLE(_xlfn.XLOOKUP(G1272, Réttabanki!A:A, Réttabanki!AT:AT, "")), ""), "")))</f>
        <v/>
      </c>
      <c r="N1272" s="26" t="str">
        <f>IF(OR(F1272 = "", G1272 = ""), "", IF(F1272 = "Vara", IFERROR(_xlfn.SINGLE(_xlfn.XLOOKUP(G1272, Vöruskrá!A:A, Vöruskrá!G:G, "")), ""), IF(F1272 = "Réttur", IFERROR(_xlfn.SINGLE(_xlfn.XLOOKUP(G1272, Réttabanki!A:A, Réttabanki!AU:AU, "")), ""), "")))</f>
        <v/>
      </c>
      <c r="O1272" s="26" t="str">
        <f>IF(OR(F1272 = "", G1272 = "", I1272 = ""), "", IF(F1272 = "Vara", IFERROR(_xlfn.SINGLE(_xlfn.XLOOKUP(G1272, Vöruskrá!A:A, Vöruskrá!I:I, "")) * I1272 / 100, ""), IF(F1272 = "Réttur", IFERROR(_xlfn.SINGLE(_xlfn.XLOOKUP(G1272, Réttabanki!A:A, Réttabanki!AV:AV, "")) * I1272 / 100, ""), "")))</f>
        <v/>
      </c>
      <c r="P1272" s="26" t="str">
        <f>IF(OR(F1272 = "", G1272 = "", I1272 = ""), "", IF(F1272 = "Vara", IFERROR(_xlfn.SINGLE(_xlfn.XLOOKUP(G1272, Vöruskrá!A:A, Vöruskrá!J:J, "")) * I1272 / 100, ""), IF(F1272 = "Réttur", IFERROR(_xlfn.SINGLE(_xlfn.XLOOKUP(G1272, Réttabanki!A:A, Réttabanki!AW:AW, "")) * I1272 / 100, ""), "")))</f>
        <v/>
      </c>
      <c r="Q1272" s="26" t="str">
        <f>IF(OR(F1272 = "", G1272 = "", I1272 = ""), "", IF(F1272 = "Vara", IFERROR(_xlfn.SINGLE(_xlfn.XLOOKUP(G1272, Vöruskrá!A:A, Vöruskrá!N:N, "")) * I1272 / 100, ""), IF(F1272 = "Réttur", IFERROR(_xlfn.SINGLE(_xlfn.XLOOKUP(G1272, Réttabanki!A:A, Réttabanki!BB:BB, "")) * I1272 / 100, ""), "")))</f>
        <v/>
      </c>
    </row>
    <row r="1273" spans="2:17">
      <c r="B1273" s="33" t="str">
        <f>IF(A1273&lt;&gt;"",CHOOSE(WEEKDAY(A1273,2),"Mánudagur","Þriðjudagur","Miðvikudagur","Fimmtudagur","Föstudagur","Laugardagur","Sunnudagur"),IF(B1272&lt;&gt;"",B1272,""))</f>
        <v>Fimmtudagur</v>
      </c>
      <c r="C1273" s="33">
        <f>IF(A1273&lt;&gt;"",WEEKNUM(A1273,21),IF(C1272&lt;&gt;"",C1272,""))</f>
        <v>27</v>
      </c>
      <c r="D1273" s="34"/>
      <c r="E1273" s="34"/>
      <c r="F1273" s="34"/>
      <c r="G1273" s="34"/>
      <c r="H1273" s="34"/>
      <c r="I1273" s="35"/>
      <c r="J1273" s="35"/>
      <c r="K1273" s="36"/>
      <c r="L1273" s="26" t="str">
        <f>IF(OR(F1273 = "", G1273 = ""), "", IF(F1273 = "Vara", IFERROR(_xlfn.SINGLE(_xlfn.XLOOKUP(G1273, Vöruskrá!A:A, Vöruskrá!E:E, "")), ""), IF(F1273 = "Réttur", IFERROR(_xlfn.SINGLE(_xlfn.XLOOKUP(G1273, Réttabanki!A:A, Réttabanki!AS:AS, "")), ""), "")))</f>
        <v/>
      </c>
      <c r="M1273" s="26" t="str">
        <f>IF(OR(F1273 = "", G1273 = ""), "", IF(F1273 = "Vara", IFERROR(_xlfn.SINGLE(_xlfn.XLOOKUP(G1273, Vöruskrá!A:A, Vöruskrá!F:F, "")), ""), IF(F1273 = "Réttur", IFERROR(_xlfn.SINGLE(_xlfn.XLOOKUP(G1273, Réttabanki!A:A, Réttabanki!AT:AT, "")), ""), "")))</f>
        <v/>
      </c>
      <c r="N1273" s="26" t="str">
        <f>IF(OR(F1273 = "", G1273 = ""), "", IF(F1273 = "Vara", IFERROR(_xlfn.SINGLE(_xlfn.XLOOKUP(G1273, Vöruskrá!A:A, Vöruskrá!G:G, "")), ""), IF(F1273 = "Réttur", IFERROR(_xlfn.SINGLE(_xlfn.XLOOKUP(G1273, Réttabanki!A:A, Réttabanki!AU:AU, "")), ""), "")))</f>
        <v/>
      </c>
      <c r="O1273" s="26" t="str">
        <f>IF(OR(F1273 = "", G1273 = "", I1273 = ""), "", IF(F1273 = "Vara", IFERROR(_xlfn.SINGLE(_xlfn.XLOOKUP(G1273, Vöruskrá!A:A, Vöruskrá!I:I, "")) * I1273 / 100, ""), IF(F1273 = "Réttur", IFERROR(_xlfn.SINGLE(_xlfn.XLOOKUP(G1273, Réttabanki!A:A, Réttabanki!AV:AV, "")) * I1273 / 100, ""), "")))</f>
        <v/>
      </c>
      <c r="P1273" s="26" t="str">
        <f>IF(OR(F1273 = "", G1273 = "", I1273 = ""), "", IF(F1273 = "Vara", IFERROR(_xlfn.SINGLE(_xlfn.XLOOKUP(G1273, Vöruskrá!A:A, Vöruskrá!J:J, "")) * I1273 / 100, ""), IF(F1273 = "Réttur", IFERROR(_xlfn.SINGLE(_xlfn.XLOOKUP(G1273, Réttabanki!A:A, Réttabanki!AW:AW, "")) * I1273 / 100, ""), "")))</f>
        <v/>
      </c>
      <c r="Q1273" s="26" t="str">
        <f>IF(OR(F1273 = "", G1273 = "", I1273 = ""), "", IF(F1273 = "Vara", IFERROR(_xlfn.SINGLE(_xlfn.XLOOKUP(G1273, Vöruskrá!A:A, Vöruskrá!N:N, "")) * I1273 / 100, ""), IF(F1273 = "Réttur", IFERROR(_xlfn.SINGLE(_xlfn.XLOOKUP(G1273, Réttabanki!A:A, Réttabanki!BB:BB, "")) * I1273 / 100, ""), "")))</f>
        <v/>
      </c>
    </row>
    <row r="1274" spans="2:17">
      <c r="B1274" s="33" t="str">
        <f>IF(A1274&lt;&gt;"",CHOOSE(WEEKDAY(A1274,2),"Mánudagur","Þriðjudagur","Miðvikudagur","Fimmtudagur","Föstudagur","Laugardagur","Sunnudagur"),IF(B1273&lt;&gt;"",B1273,""))</f>
        <v>Fimmtudagur</v>
      </c>
      <c r="C1274" s="33">
        <f>IF(A1274&lt;&gt;"",WEEKNUM(A1274,21),IF(C1273&lt;&gt;"",C1273,""))</f>
        <v>27</v>
      </c>
      <c r="D1274" s="34"/>
      <c r="E1274" s="34"/>
      <c r="F1274" s="34"/>
      <c r="G1274" s="34"/>
      <c r="H1274" s="34"/>
      <c r="I1274" s="35"/>
      <c r="J1274" s="35"/>
      <c r="K1274" s="36"/>
      <c r="L1274" s="26" t="str">
        <f>IF(OR(F1274 = "", G1274 = ""), "", IF(F1274 = "Vara", IFERROR(_xlfn.SINGLE(_xlfn.XLOOKUP(G1274, Vöruskrá!A:A, Vöruskrá!E:E, "")), ""), IF(F1274 = "Réttur", IFERROR(_xlfn.SINGLE(_xlfn.XLOOKUP(G1274, Réttabanki!A:A, Réttabanki!AS:AS, "")), ""), "")))</f>
        <v/>
      </c>
      <c r="M1274" s="26" t="str">
        <f>IF(OR(F1274 = "", G1274 = ""), "", IF(F1274 = "Vara", IFERROR(_xlfn.SINGLE(_xlfn.XLOOKUP(G1274, Vöruskrá!A:A, Vöruskrá!F:F, "")), ""), IF(F1274 = "Réttur", IFERROR(_xlfn.SINGLE(_xlfn.XLOOKUP(G1274, Réttabanki!A:A, Réttabanki!AT:AT, "")), ""), "")))</f>
        <v/>
      </c>
      <c r="N1274" s="26" t="str">
        <f>IF(OR(F1274 = "", G1274 = ""), "", IF(F1274 = "Vara", IFERROR(_xlfn.SINGLE(_xlfn.XLOOKUP(G1274, Vöruskrá!A:A, Vöruskrá!G:G, "")), ""), IF(F1274 = "Réttur", IFERROR(_xlfn.SINGLE(_xlfn.XLOOKUP(G1274, Réttabanki!A:A, Réttabanki!AU:AU, "")), ""), "")))</f>
        <v/>
      </c>
      <c r="O1274" s="26" t="str">
        <f>IF(OR(F1274 = "", G1274 = "", I1274 = ""), "", IF(F1274 = "Vara", IFERROR(_xlfn.SINGLE(_xlfn.XLOOKUP(G1274, Vöruskrá!A:A, Vöruskrá!I:I, "")) * I1274 / 100, ""), IF(F1274 = "Réttur", IFERROR(_xlfn.SINGLE(_xlfn.XLOOKUP(G1274, Réttabanki!A:A, Réttabanki!AV:AV, "")) * I1274 / 100, ""), "")))</f>
        <v/>
      </c>
      <c r="P1274" s="26" t="str">
        <f>IF(OR(F1274 = "", G1274 = "", I1274 = ""), "", IF(F1274 = "Vara", IFERROR(_xlfn.SINGLE(_xlfn.XLOOKUP(G1274, Vöruskrá!A:A, Vöruskrá!J:J, "")) * I1274 / 100, ""), IF(F1274 = "Réttur", IFERROR(_xlfn.SINGLE(_xlfn.XLOOKUP(G1274, Réttabanki!A:A, Réttabanki!AW:AW, "")) * I1274 / 100, ""), "")))</f>
        <v/>
      </c>
      <c r="Q1274" s="26" t="str">
        <f>IF(OR(F1274 = "", G1274 = "", I1274 = ""), "", IF(F1274 = "Vara", IFERROR(_xlfn.SINGLE(_xlfn.XLOOKUP(G1274, Vöruskrá!A:A, Vöruskrá!N:N, "")) * I1274 / 100, ""), IF(F1274 = "Réttur", IFERROR(_xlfn.SINGLE(_xlfn.XLOOKUP(G1274, Réttabanki!A:A, Réttabanki!BB:BB, "")) * I1274 / 100, ""), "")))</f>
        <v/>
      </c>
    </row>
    <row r="1275" spans="2:17">
      <c r="B1275" s="33" t="str">
        <f>IF(A1275&lt;&gt;"",CHOOSE(WEEKDAY(A1275,2),"Mánudagur","Þriðjudagur","Miðvikudagur","Fimmtudagur","Föstudagur","Laugardagur","Sunnudagur"),IF(B1274&lt;&gt;"",B1274,""))</f>
        <v>Fimmtudagur</v>
      </c>
      <c r="C1275" s="33">
        <f>IF(A1275&lt;&gt;"",WEEKNUM(A1275,21),IF(C1274&lt;&gt;"",C1274,""))</f>
        <v>27</v>
      </c>
      <c r="D1275" s="34"/>
      <c r="E1275" s="34"/>
      <c r="F1275" s="34"/>
      <c r="G1275" s="34"/>
      <c r="H1275" s="34"/>
      <c r="I1275" s="35"/>
      <c r="J1275" s="35"/>
      <c r="K1275" s="36"/>
      <c r="L1275" s="26" t="str">
        <f>IF(OR(F1275 = "", G1275 = ""), "", IF(F1275 = "Vara", IFERROR(_xlfn.SINGLE(_xlfn.XLOOKUP(G1275, Vöruskrá!A:A, Vöruskrá!E:E, "")), ""), IF(F1275 = "Réttur", IFERROR(_xlfn.SINGLE(_xlfn.XLOOKUP(G1275, Réttabanki!A:A, Réttabanki!AS:AS, "")), ""), "")))</f>
        <v/>
      </c>
      <c r="M1275" s="26" t="str">
        <f>IF(OR(F1275 = "", G1275 = ""), "", IF(F1275 = "Vara", IFERROR(_xlfn.SINGLE(_xlfn.XLOOKUP(G1275, Vöruskrá!A:A, Vöruskrá!F:F, "")), ""), IF(F1275 = "Réttur", IFERROR(_xlfn.SINGLE(_xlfn.XLOOKUP(G1275, Réttabanki!A:A, Réttabanki!AT:AT, "")), ""), "")))</f>
        <v/>
      </c>
      <c r="N1275" s="26" t="str">
        <f>IF(OR(F1275 = "", G1275 = ""), "", IF(F1275 = "Vara", IFERROR(_xlfn.SINGLE(_xlfn.XLOOKUP(G1275, Vöruskrá!A:A, Vöruskrá!G:G, "")), ""), IF(F1275 = "Réttur", IFERROR(_xlfn.SINGLE(_xlfn.XLOOKUP(G1275, Réttabanki!A:A, Réttabanki!AU:AU, "")), ""), "")))</f>
        <v/>
      </c>
      <c r="O1275" s="26" t="str">
        <f>IF(OR(F1275 = "", G1275 = "", I1275 = ""), "", IF(F1275 = "Vara", IFERROR(_xlfn.SINGLE(_xlfn.XLOOKUP(G1275, Vöruskrá!A:A, Vöruskrá!I:I, "")) * I1275 / 100, ""), IF(F1275 = "Réttur", IFERROR(_xlfn.SINGLE(_xlfn.XLOOKUP(G1275, Réttabanki!A:A, Réttabanki!AV:AV, "")) * I1275 / 100, ""), "")))</f>
        <v/>
      </c>
      <c r="P1275" s="26" t="str">
        <f>IF(OR(F1275 = "", G1275 = "", I1275 = ""), "", IF(F1275 = "Vara", IFERROR(_xlfn.SINGLE(_xlfn.XLOOKUP(G1275, Vöruskrá!A:A, Vöruskrá!J:J, "")) * I1275 / 100, ""), IF(F1275 = "Réttur", IFERROR(_xlfn.SINGLE(_xlfn.XLOOKUP(G1275, Réttabanki!A:A, Réttabanki!AW:AW, "")) * I1275 / 100, ""), "")))</f>
        <v/>
      </c>
      <c r="Q1275" s="26" t="str">
        <f>IF(OR(F1275 = "", G1275 = "", I1275 = ""), "", IF(F1275 = "Vara", IFERROR(_xlfn.SINGLE(_xlfn.XLOOKUP(G1275, Vöruskrá!A:A, Vöruskrá!N:N, "")) * I1275 / 100, ""), IF(F1275 = "Réttur", IFERROR(_xlfn.SINGLE(_xlfn.XLOOKUP(G1275, Réttabanki!A:A, Réttabanki!BB:BB, "")) * I1275 / 100, ""), "")))</f>
        <v/>
      </c>
    </row>
    <row r="1276" spans="2:17">
      <c r="B1276" s="33" t="str">
        <f>IF(A1276&lt;&gt;"",CHOOSE(WEEKDAY(A1276,2),"Mánudagur","Þriðjudagur","Miðvikudagur","Fimmtudagur","Föstudagur","Laugardagur","Sunnudagur"),IF(B1275&lt;&gt;"",B1275,""))</f>
        <v>Fimmtudagur</v>
      </c>
      <c r="C1276" s="33">
        <f>IF(A1276&lt;&gt;"",WEEKNUM(A1276,21),IF(C1275&lt;&gt;"",C1275,""))</f>
        <v>27</v>
      </c>
      <c r="D1276" s="34"/>
      <c r="E1276" s="34"/>
      <c r="F1276" s="34"/>
      <c r="G1276" s="34"/>
      <c r="H1276" s="34"/>
      <c r="I1276" s="35"/>
      <c r="J1276" s="35"/>
      <c r="K1276" s="36"/>
      <c r="L1276" s="26" t="str">
        <f>IF(OR(F1276 = "", G1276 = ""), "", IF(F1276 = "Vara", IFERROR(_xlfn.SINGLE(_xlfn.XLOOKUP(G1276, Vöruskrá!A:A, Vöruskrá!E:E, "")), ""), IF(F1276 = "Réttur", IFERROR(_xlfn.SINGLE(_xlfn.XLOOKUP(G1276, Réttabanki!A:A, Réttabanki!AS:AS, "")), ""), "")))</f>
        <v/>
      </c>
      <c r="M1276" s="26" t="str">
        <f>IF(OR(F1276 = "", G1276 = ""), "", IF(F1276 = "Vara", IFERROR(_xlfn.SINGLE(_xlfn.XLOOKUP(G1276, Vöruskrá!A:A, Vöruskrá!F:F, "")), ""), IF(F1276 = "Réttur", IFERROR(_xlfn.SINGLE(_xlfn.XLOOKUP(G1276, Réttabanki!A:A, Réttabanki!AT:AT, "")), ""), "")))</f>
        <v/>
      </c>
      <c r="N1276" s="26" t="str">
        <f>IF(OR(F1276 = "", G1276 = ""), "", IF(F1276 = "Vara", IFERROR(_xlfn.SINGLE(_xlfn.XLOOKUP(G1276, Vöruskrá!A:A, Vöruskrá!G:G, "")), ""), IF(F1276 = "Réttur", IFERROR(_xlfn.SINGLE(_xlfn.XLOOKUP(G1276, Réttabanki!A:A, Réttabanki!AU:AU, "")), ""), "")))</f>
        <v/>
      </c>
      <c r="O1276" s="26" t="str">
        <f>IF(OR(F1276 = "", G1276 = "", I1276 = ""), "", IF(F1276 = "Vara", IFERROR(_xlfn.SINGLE(_xlfn.XLOOKUP(G1276, Vöruskrá!A:A, Vöruskrá!I:I, "")) * I1276 / 100, ""), IF(F1276 = "Réttur", IFERROR(_xlfn.SINGLE(_xlfn.XLOOKUP(G1276, Réttabanki!A:A, Réttabanki!AV:AV, "")) * I1276 / 100, ""), "")))</f>
        <v/>
      </c>
      <c r="P1276" s="26" t="str">
        <f>IF(OR(F1276 = "", G1276 = "", I1276 = ""), "", IF(F1276 = "Vara", IFERROR(_xlfn.SINGLE(_xlfn.XLOOKUP(G1276, Vöruskrá!A:A, Vöruskrá!J:J, "")) * I1276 / 100, ""), IF(F1276 = "Réttur", IFERROR(_xlfn.SINGLE(_xlfn.XLOOKUP(G1276, Réttabanki!A:A, Réttabanki!AW:AW, "")) * I1276 / 100, ""), "")))</f>
        <v/>
      </c>
      <c r="Q1276" s="26" t="str">
        <f>IF(OR(F1276 = "", G1276 = "", I1276 = ""), "", IF(F1276 = "Vara", IFERROR(_xlfn.SINGLE(_xlfn.XLOOKUP(G1276, Vöruskrá!A:A, Vöruskrá!N:N, "")) * I1276 / 100, ""), IF(F1276 = "Réttur", IFERROR(_xlfn.SINGLE(_xlfn.XLOOKUP(G1276, Réttabanki!A:A, Réttabanki!BB:BB, "")) * I1276 / 100, ""), "")))</f>
        <v/>
      </c>
    </row>
    <row r="1277" spans="2:17">
      <c r="B1277" s="33" t="str">
        <f>IF(A1277&lt;&gt;"",CHOOSE(WEEKDAY(A1277,2),"Mánudagur","Þriðjudagur","Miðvikudagur","Fimmtudagur","Föstudagur","Laugardagur","Sunnudagur"),IF(B1276&lt;&gt;"",B1276,""))</f>
        <v>Fimmtudagur</v>
      </c>
      <c r="C1277" s="33">
        <f>IF(A1277&lt;&gt;"",WEEKNUM(A1277,21),IF(C1276&lt;&gt;"",C1276,""))</f>
        <v>27</v>
      </c>
      <c r="D1277" s="34"/>
      <c r="E1277" s="34"/>
      <c r="F1277" s="34"/>
      <c r="G1277" s="34"/>
      <c r="H1277" s="34"/>
      <c r="I1277" s="35"/>
      <c r="J1277" s="35"/>
      <c r="K1277" s="36"/>
      <c r="L1277" s="26" t="str">
        <f>IF(OR(F1277 = "", G1277 = ""), "", IF(F1277 = "Vara", IFERROR(_xlfn.SINGLE(_xlfn.XLOOKUP(G1277, Vöruskrá!A:A, Vöruskrá!E:E, "")), ""), IF(F1277 = "Réttur", IFERROR(_xlfn.SINGLE(_xlfn.XLOOKUP(G1277, Réttabanki!A:A, Réttabanki!AS:AS, "")), ""), "")))</f>
        <v/>
      </c>
      <c r="M1277" s="26" t="str">
        <f>IF(OR(F1277 = "", G1277 = ""), "", IF(F1277 = "Vara", IFERROR(_xlfn.SINGLE(_xlfn.XLOOKUP(G1277, Vöruskrá!A:A, Vöruskrá!F:F, "")), ""), IF(F1277 = "Réttur", IFERROR(_xlfn.SINGLE(_xlfn.XLOOKUP(G1277, Réttabanki!A:A, Réttabanki!AT:AT, "")), ""), "")))</f>
        <v/>
      </c>
      <c r="N1277" s="26" t="str">
        <f>IF(OR(F1277 = "", G1277 = ""), "", IF(F1277 = "Vara", IFERROR(_xlfn.SINGLE(_xlfn.XLOOKUP(G1277, Vöruskrá!A:A, Vöruskrá!G:G, "")), ""), IF(F1277 = "Réttur", IFERROR(_xlfn.SINGLE(_xlfn.XLOOKUP(G1277, Réttabanki!A:A, Réttabanki!AU:AU, "")), ""), "")))</f>
        <v/>
      </c>
      <c r="O1277" s="26" t="str">
        <f>IF(OR(F1277 = "", G1277 = "", I1277 = ""), "", IF(F1277 = "Vara", IFERROR(_xlfn.SINGLE(_xlfn.XLOOKUP(G1277, Vöruskrá!A:A, Vöruskrá!I:I, "")) * I1277 / 100, ""), IF(F1277 = "Réttur", IFERROR(_xlfn.SINGLE(_xlfn.XLOOKUP(G1277, Réttabanki!A:A, Réttabanki!AV:AV, "")) * I1277 / 100, ""), "")))</f>
        <v/>
      </c>
      <c r="P1277" s="26" t="str">
        <f>IF(OR(F1277 = "", G1277 = "", I1277 = ""), "", IF(F1277 = "Vara", IFERROR(_xlfn.SINGLE(_xlfn.XLOOKUP(G1277, Vöruskrá!A:A, Vöruskrá!J:J, "")) * I1277 / 100, ""), IF(F1277 = "Réttur", IFERROR(_xlfn.SINGLE(_xlfn.XLOOKUP(G1277, Réttabanki!A:A, Réttabanki!AW:AW, "")) * I1277 / 100, ""), "")))</f>
        <v/>
      </c>
      <c r="Q1277" s="26" t="str">
        <f>IF(OR(F1277 = "", G1277 = "", I1277 = ""), "", IF(F1277 = "Vara", IFERROR(_xlfn.SINGLE(_xlfn.XLOOKUP(G1277, Vöruskrá!A:A, Vöruskrá!N:N, "")) * I1277 / 100, ""), IF(F1277 = "Réttur", IFERROR(_xlfn.SINGLE(_xlfn.XLOOKUP(G1277, Réttabanki!A:A, Réttabanki!BB:BB, "")) * I1277 / 100, ""), "")))</f>
        <v/>
      </c>
    </row>
    <row r="1278" spans="2:17">
      <c r="B1278" s="33" t="str">
        <f>IF(A1278&lt;&gt;"",CHOOSE(WEEKDAY(A1278,2),"Mánudagur","Þriðjudagur","Miðvikudagur","Fimmtudagur","Föstudagur","Laugardagur","Sunnudagur"),IF(B1277&lt;&gt;"",B1277,""))</f>
        <v>Fimmtudagur</v>
      </c>
      <c r="C1278" s="33">
        <f>IF(A1278&lt;&gt;"",WEEKNUM(A1278,21),IF(C1277&lt;&gt;"",C1277,""))</f>
        <v>27</v>
      </c>
      <c r="D1278" s="34"/>
      <c r="E1278" s="34"/>
      <c r="F1278" s="34"/>
      <c r="G1278" s="34"/>
      <c r="H1278" s="34"/>
      <c r="I1278" s="35"/>
      <c r="J1278" s="35"/>
      <c r="K1278" s="36"/>
      <c r="L1278" s="26" t="str">
        <f>IF(OR(F1278 = "", G1278 = ""), "", IF(F1278 = "Vara", IFERROR(_xlfn.SINGLE(_xlfn.XLOOKUP(G1278, Vöruskrá!A:A, Vöruskrá!E:E, "")), ""), IF(F1278 = "Réttur", IFERROR(_xlfn.SINGLE(_xlfn.XLOOKUP(G1278, Réttabanki!A:A, Réttabanki!AS:AS, "")), ""), "")))</f>
        <v/>
      </c>
      <c r="M1278" s="26" t="str">
        <f>IF(OR(F1278 = "", G1278 = ""), "", IF(F1278 = "Vara", IFERROR(_xlfn.SINGLE(_xlfn.XLOOKUP(G1278, Vöruskrá!A:A, Vöruskrá!F:F, "")), ""), IF(F1278 = "Réttur", IFERROR(_xlfn.SINGLE(_xlfn.XLOOKUP(G1278, Réttabanki!A:A, Réttabanki!AT:AT, "")), ""), "")))</f>
        <v/>
      </c>
      <c r="N1278" s="26" t="str">
        <f>IF(OR(F1278 = "", G1278 = ""), "", IF(F1278 = "Vara", IFERROR(_xlfn.SINGLE(_xlfn.XLOOKUP(G1278, Vöruskrá!A:A, Vöruskrá!G:G, "")), ""), IF(F1278 = "Réttur", IFERROR(_xlfn.SINGLE(_xlfn.XLOOKUP(G1278, Réttabanki!A:A, Réttabanki!AU:AU, "")), ""), "")))</f>
        <v/>
      </c>
      <c r="O1278" s="26" t="str">
        <f>IF(OR(F1278 = "", G1278 = "", I1278 = ""), "", IF(F1278 = "Vara", IFERROR(_xlfn.SINGLE(_xlfn.XLOOKUP(G1278, Vöruskrá!A:A, Vöruskrá!I:I, "")) * I1278 / 100, ""), IF(F1278 = "Réttur", IFERROR(_xlfn.SINGLE(_xlfn.XLOOKUP(G1278, Réttabanki!A:A, Réttabanki!AV:AV, "")) * I1278 / 100, ""), "")))</f>
        <v/>
      </c>
      <c r="P1278" s="26" t="str">
        <f>IF(OR(F1278 = "", G1278 = "", I1278 = ""), "", IF(F1278 = "Vara", IFERROR(_xlfn.SINGLE(_xlfn.XLOOKUP(G1278, Vöruskrá!A:A, Vöruskrá!J:J, "")) * I1278 / 100, ""), IF(F1278 = "Réttur", IFERROR(_xlfn.SINGLE(_xlfn.XLOOKUP(G1278, Réttabanki!A:A, Réttabanki!AW:AW, "")) * I1278 / 100, ""), "")))</f>
        <v/>
      </c>
      <c r="Q1278" s="26" t="str">
        <f>IF(OR(F1278 = "", G1278 = "", I1278 = ""), "", IF(F1278 = "Vara", IFERROR(_xlfn.SINGLE(_xlfn.XLOOKUP(G1278, Vöruskrá!A:A, Vöruskrá!N:N, "")) * I1278 / 100, ""), IF(F1278 = "Réttur", IFERROR(_xlfn.SINGLE(_xlfn.XLOOKUP(G1278, Réttabanki!A:A, Réttabanki!BB:BB, "")) * I1278 / 100, ""), "")))</f>
        <v/>
      </c>
    </row>
    <row r="1279" spans="2:17">
      <c r="B1279" s="33" t="str">
        <f>IF(A1279&lt;&gt;"",CHOOSE(WEEKDAY(A1279,2),"Mánudagur","Þriðjudagur","Miðvikudagur","Fimmtudagur","Föstudagur","Laugardagur","Sunnudagur"),IF(B1278&lt;&gt;"",B1278,""))</f>
        <v>Fimmtudagur</v>
      </c>
      <c r="C1279" s="33">
        <f>IF(A1279&lt;&gt;"",WEEKNUM(A1279,21),IF(C1278&lt;&gt;"",C1278,""))</f>
        <v>27</v>
      </c>
      <c r="D1279" s="34"/>
      <c r="E1279" s="34"/>
      <c r="F1279" s="34"/>
      <c r="G1279" s="34"/>
      <c r="H1279" s="34"/>
      <c r="I1279" s="35"/>
      <c r="J1279" s="35"/>
      <c r="K1279" s="36"/>
      <c r="L1279" s="26" t="str">
        <f>IF(OR(F1279 = "", G1279 = ""), "", IF(F1279 = "Vara", IFERROR(_xlfn.SINGLE(_xlfn.XLOOKUP(G1279, Vöruskrá!A:A, Vöruskrá!E:E, "")), ""), IF(F1279 = "Réttur", IFERROR(_xlfn.SINGLE(_xlfn.XLOOKUP(G1279, Réttabanki!A:A, Réttabanki!AS:AS, "")), ""), "")))</f>
        <v/>
      </c>
      <c r="M1279" s="26" t="str">
        <f>IF(OR(F1279 = "", G1279 = ""), "", IF(F1279 = "Vara", IFERROR(_xlfn.SINGLE(_xlfn.XLOOKUP(G1279, Vöruskrá!A:A, Vöruskrá!F:F, "")), ""), IF(F1279 = "Réttur", IFERROR(_xlfn.SINGLE(_xlfn.XLOOKUP(G1279, Réttabanki!A:A, Réttabanki!AT:AT, "")), ""), "")))</f>
        <v/>
      </c>
      <c r="N1279" s="26" t="str">
        <f>IF(OR(F1279 = "", G1279 = ""), "", IF(F1279 = "Vara", IFERROR(_xlfn.SINGLE(_xlfn.XLOOKUP(G1279, Vöruskrá!A:A, Vöruskrá!G:G, "")), ""), IF(F1279 = "Réttur", IFERROR(_xlfn.SINGLE(_xlfn.XLOOKUP(G1279, Réttabanki!A:A, Réttabanki!AU:AU, "")), ""), "")))</f>
        <v/>
      </c>
      <c r="O1279" s="26" t="str">
        <f>IF(OR(F1279 = "", G1279 = "", I1279 = ""), "", IF(F1279 = "Vara", IFERROR(_xlfn.SINGLE(_xlfn.XLOOKUP(G1279, Vöruskrá!A:A, Vöruskrá!I:I, "")) * I1279 / 100, ""), IF(F1279 = "Réttur", IFERROR(_xlfn.SINGLE(_xlfn.XLOOKUP(G1279, Réttabanki!A:A, Réttabanki!AV:AV, "")) * I1279 / 100, ""), "")))</f>
        <v/>
      </c>
      <c r="P1279" s="26" t="str">
        <f>IF(OR(F1279 = "", G1279 = "", I1279 = ""), "", IF(F1279 = "Vara", IFERROR(_xlfn.SINGLE(_xlfn.XLOOKUP(G1279, Vöruskrá!A:A, Vöruskrá!J:J, "")) * I1279 / 100, ""), IF(F1279 = "Réttur", IFERROR(_xlfn.SINGLE(_xlfn.XLOOKUP(G1279, Réttabanki!A:A, Réttabanki!AW:AW, "")) * I1279 / 100, ""), "")))</f>
        <v/>
      </c>
      <c r="Q1279" s="26" t="str">
        <f>IF(OR(F1279 = "", G1279 = "", I1279 = ""), "", IF(F1279 = "Vara", IFERROR(_xlfn.SINGLE(_xlfn.XLOOKUP(G1279, Vöruskrá!A:A, Vöruskrá!N:N, "")) * I1279 / 100, ""), IF(F1279 = "Réttur", IFERROR(_xlfn.SINGLE(_xlfn.XLOOKUP(G1279, Réttabanki!A:A, Réttabanki!BB:BB, "")) * I1279 / 100, ""), "")))</f>
        <v/>
      </c>
    </row>
    <row r="1280" spans="2:17">
      <c r="B1280" s="33" t="str">
        <f>IF(A1280&lt;&gt;"",CHOOSE(WEEKDAY(A1280,2),"Mánudagur","Þriðjudagur","Miðvikudagur","Fimmtudagur","Föstudagur","Laugardagur","Sunnudagur"),IF(B1279&lt;&gt;"",B1279,""))</f>
        <v>Fimmtudagur</v>
      </c>
      <c r="C1280" s="33">
        <f>IF(A1280&lt;&gt;"",WEEKNUM(A1280,21),IF(C1279&lt;&gt;"",C1279,""))</f>
        <v>27</v>
      </c>
      <c r="D1280" s="34"/>
      <c r="E1280" s="34"/>
      <c r="F1280" s="34"/>
      <c r="G1280" s="34"/>
      <c r="H1280" s="34"/>
      <c r="I1280" s="35"/>
      <c r="J1280" s="35"/>
      <c r="K1280" s="36"/>
      <c r="L1280" s="26" t="str">
        <f>IF(OR(F1280 = "", G1280 = ""), "", IF(F1280 = "Vara", IFERROR(_xlfn.SINGLE(_xlfn.XLOOKUP(G1280, Vöruskrá!A:A, Vöruskrá!E:E, "")), ""), IF(F1280 = "Réttur", IFERROR(_xlfn.SINGLE(_xlfn.XLOOKUP(G1280, Réttabanki!A:A, Réttabanki!AS:AS, "")), ""), "")))</f>
        <v/>
      </c>
      <c r="M1280" s="26" t="str">
        <f>IF(OR(F1280 = "", G1280 = ""), "", IF(F1280 = "Vara", IFERROR(_xlfn.SINGLE(_xlfn.XLOOKUP(G1280, Vöruskrá!A:A, Vöruskrá!F:F, "")), ""), IF(F1280 = "Réttur", IFERROR(_xlfn.SINGLE(_xlfn.XLOOKUP(G1280, Réttabanki!A:A, Réttabanki!AT:AT, "")), ""), "")))</f>
        <v/>
      </c>
      <c r="N1280" s="26" t="str">
        <f>IF(OR(F1280 = "", G1280 = ""), "", IF(F1280 = "Vara", IFERROR(_xlfn.SINGLE(_xlfn.XLOOKUP(G1280, Vöruskrá!A:A, Vöruskrá!G:G, "")), ""), IF(F1280 = "Réttur", IFERROR(_xlfn.SINGLE(_xlfn.XLOOKUP(G1280, Réttabanki!A:A, Réttabanki!AU:AU, "")), ""), "")))</f>
        <v/>
      </c>
      <c r="O1280" s="26" t="str">
        <f>IF(OR(F1280 = "", G1280 = "", I1280 = ""), "", IF(F1280 = "Vara", IFERROR(_xlfn.SINGLE(_xlfn.XLOOKUP(G1280, Vöruskrá!A:A, Vöruskrá!I:I, "")) * I1280 / 100, ""), IF(F1280 = "Réttur", IFERROR(_xlfn.SINGLE(_xlfn.XLOOKUP(G1280, Réttabanki!A:A, Réttabanki!AV:AV, "")) * I1280 / 100, ""), "")))</f>
        <v/>
      </c>
      <c r="P1280" s="26" t="str">
        <f>IF(OR(F1280 = "", G1280 = "", I1280 = ""), "", IF(F1280 = "Vara", IFERROR(_xlfn.SINGLE(_xlfn.XLOOKUP(G1280, Vöruskrá!A:A, Vöruskrá!J:J, "")) * I1280 / 100, ""), IF(F1280 = "Réttur", IFERROR(_xlfn.SINGLE(_xlfn.XLOOKUP(G1280, Réttabanki!A:A, Réttabanki!AW:AW, "")) * I1280 / 100, ""), "")))</f>
        <v/>
      </c>
      <c r="Q1280" s="26" t="str">
        <f>IF(OR(F1280 = "", G1280 = "", I1280 = ""), "", IF(F1280 = "Vara", IFERROR(_xlfn.SINGLE(_xlfn.XLOOKUP(G1280, Vöruskrá!A:A, Vöruskrá!N:N, "")) * I1280 / 100, ""), IF(F1280 = "Réttur", IFERROR(_xlfn.SINGLE(_xlfn.XLOOKUP(G1280, Réttabanki!A:A, Réttabanki!BB:BB, "")) * I1280 / 100, ""), "")))</f>
        <v/>
      </c>
    </row>
    <row r="1281" spans="2:17">
      <c r="B1281" s="33" t="str">
        <f>IF(A1281&lt;&gt;"",CHOOSE(WEEKDAY(A1281,2),"Mánudagur","Þriðjudagur","Miðvikudagur","Fimmtudagur","Föstudagur","Laugardagur","Sunnudagur"),IF(B1280&lt;&gt;"",B1280,""))</f>
        <v>Fimmtudagur</v>
      </c>
      <c r="C1281" s="33">
        <f>IF(A1281&lt;&gt;"",WEEKNUM(A1281,21),IF(C1280&lt;&gt;"",C1280,""))</f>
        <v>27</v>
      </c>
      <c r="D1281" s="34"/>
      <c r="E1281" s="34"/>
      <c r="F1281" s="34"/>
      <c r="G1281" s="34"/>
      <c r="H1281" s="34"/>
      <c r="I1281" s="35"/>
      <c r="J1281" s="35"/>
      <c r="K1281" s="36"/>
      <c r="L1281" s="26" t="str">
        <f>IF(OR(F1281 = "", G1281 = ""), "", IF(F1281 = "Vara", IFERROR(_xlfn.SINGLE(_xlfn.XLOOKUP(G1281, Vöruskrá!A:A, Vöruskrá!E:E, "")), ""), IF(F1281 = "Réttur", IFERROR(_xlfn.SINGLE(_xlfn.XLOOKUP(G1281, Réttabanki!A:A, Réttabanki!AS:AS, "")), ""), "")))</f>
        <v/>
      </c>
      <c r="M1281" s="26" t="str">
        <f>IF(OR(F1281 = "", G1281 = ""), "", IF(F1281 = "Vara", IFERROR(_xlfn.SINGLE(_xlfn.XLOOKUP(G1281, Vöruskrá!A:A, Vöruskrá!F:F, "")), ""), IF(F1281 = "Réttur", IFERROR(_xlfn.SINGLE(_xlfn.XLOOKUP(G1281, Réttabanki!A:A, Réttabanki!AT:AT, "")), ""), "")))</f>
        <v/>
      </c>
      <c r="N1281" s="26" t="str">
        <f>IF(OR(F1281 = "", G1281 = ""), "", IF(F1281 = "Vara", IFERROR(_xlfn.SINGLE(_xlfn.XLOOKUP(G1281, Vöruskrá!A:A, Vöruskrá!G:G, "")), ""), IF(F1281 = "Réttur", IFERROR(_xlfn.SINGLE(_xlfn.XLOOKUP(G1281, Réttabanki!A:A, Réttabanki!AU:AU, "")), ""), "")))</f>
        <v/>
      </c>
      <c r="O1281" s="26" t="str">
        <f>IF(OR(F1281 = "", G1281 = "", I1281 = ""), "", IF(F1281 = "Vara", IFERROR(_xlfn.SINGLE(_xlfn.XLOOKUP(G1281, Vöruskrá!A:A, Vöruskrá!I:I, "")) * I1281 / 100, ""), IF(F1281 = "Réttur", IFERROR(_xlfn.SINGLE(_xlfn.XLOOKUP(G1281, Réttabanki!A:A, Réttabanki!AV:AV, "")) * I1281 / 100, ""), "")))</f>
        <v/>
      </c>
      <c r="P1281" s="26" t="str">
        <f>IF(OR(F1281 = "", G1281 = "", I1281 = ""), "", IF(F1281 = "Vara", IFERROR(_xlfn.SINGLE(_xlfn.XLOOKUP(G1281, Vöruskrá!A:A, Vöruskrá!J:J, "")) * I1281 / 100, ""), IF(F1281 = "Réttur", IFERROR(_xlfn.SINGLE(_xlfn.XLOOKUP(G1281, Réttabanki!A:A, Réttabanki!AW:AW, "")) * I1281 / 100, ""), "")))</f>
        <v/>
      </c>
      <c r="Q1281" s="26" t="str">
        <f>IF(OR(F1281 = "", G1281 = "", I1281 = ""), "", IF(F1281 = "Vara", IFERROR(_xlfn.SINGLE(_xlfn.XLOOKUP(G1281, Vöruskrá!A:A, Vöruskrá!N:N, "")) * I1281 / 100, ""), IF(F1281 = "Réttur", IFERROR(_xlfn.SINGLE(_xlfn.XLOOKUP(G1281, Réttabanki!A:A, Réttabanki!BB:BB, "")) * I1281 / 100, ""), "")))</f>
        <v/>
      </c>
    </row>
    <row r="1282" spans="2:17">
      <c r="B1282" s="33" t="str">
        <f>IF(A1282&lt;&gt;"",CHOOSE(WEEKDAY(A1282,2),"Mánudagur","Þriðjudagur","Miðvikudagur","Fimmtudagur","Föstudagur","Laugardagur","Sunnudagur"),IF(B1281&lt;&gt;"",B1281,""))</f>
        <v>Fimmtudagur</v>
      </c>
      <c r="C1282" s="33">
        <f>IF(A1282&lt;&gt;"",WEEKNUM(A1282,21),IF(C1281&lt;&gt;"",C1281,""))</f>
        <v>27</v>
      </c>
      <c r="D1282" s="34"/>
      <c r="E1282" s="34"/>
      <c r="F1282" s="34"/>
      <c r="G1282" s="34"/>
      <c r="H1282" s="34"/>
      <c r="I1282" s="35"/>
      <c r="J1282" s="35"/>
      <c r="K1282" s="36"/>
      <c r="L1282" s="26" t="str">
        <f>IF(OR(F1282 = "", G1282 = ""), "", IF(F1282 = "Vara", IFERROR(_xlfn.SINGLE(_xlfn.XLOOKUP(G1282, Vöruskrá!A:A, Vöruskrá!E:E, "")), ""), IF(F1282 = "Réttur", IFERROR(_xlfn.SINGLE(_xlfn.XLOOKUP(G1282, Réttabanki!A:A, Réttabanki!AS:AS, "")), ""), "")))</f>
        <v/>
      </c>
      <c r="M1282" s="26" t="str">
        <f>IF(OR(F1282 = "", G1282 = ""), "", IF(F1282 = "Vara", IFERROR(_xlfn.SINGLE(_xlfn.XLOOKUP(G1282, Vöruskrá!A:A, Vöruskrá!F:F, "")), ""), IF(F1282 = "Réttur", IFERROR(_xlfn.SINGLE(_xlfn.XLOOKUP(G1282, Réttabanki!A:A, Réttabanki!AT:AT, "")), ""), "")))</f>
        <v/>
      </c>
      <c r="N1282" s="26" t="str">
        <f>IF(OR(F1282 = "", G1282 = ""), "", IF(F1282 = "Vara", IFERROR(_xlfn.SINGLE(_xlfn.XLOOKUP(G1282, Vöruskrá!A:A, Vöruskrá!G:G, "")), ""), IF(F1282 = "Réttur", IFERROR(_xlfn.SINGLE(_xlfn.XLOOKUP(G1282, Réttabanki!A:A, Réttabanki!AU:AU, "")), ""), "")))</f>
        <v/>
      </c>
      <c r="O1282" s="26" t="str">
        <f>IF(OR(F1282 = "", G1282 = "", I1282 = ""), "", IF(F1282 = "Vara", IFERROR(_xlfn.SINGLE(_xlfn.XLOOKUP(G1282, Vöruskrá!A:A, Vöruskrá!I:I, "")) * I1282 / 100, ""), IF(F1282 = "Réttur", IFERROR(_xlfn.SINGLE(_xlfn.XLOOKUP(G1282, Réttabanki!A:A, Réttabanki!AV:AV, "")) * I1282 / 100, ""), "")))</f>
        <v/>
      </c>
      <c r="P1282" s="26" t="str">
        <f>IF(OR(F1282 = "", G1282 = "", I1282 = ""), "", IF(F1282 = "Vara", IFERROR(_xlfn.SINGLE(_xlfn.XLOOKUP(G1282, Vöruskrá!A:A, Vöruskrá!J:J, "")) * I1282 / 100, ""), IF(F1282 = "Réttur", IFERROR(_xlfn.SINGLE(_xlfn.XLOOKUP(G1282, Réttabanki!A:A, Réttabanki!AW:AW, "")) * I1282 / 100, ""), "")))</f>
        <v/>
      </c>
      <c r="Q1282" s="26" t="str">
        <f>IF(OR(F1282 = "", G1282 = "", I1282 = ""), "", IF(F1282 = "Vara", IFERROR(_xlfn.SINGLE(_xlfn.XLOOKUP(G1282, Vöruskrá!A:A, Vöruskrá!N:N, "")) * I1282 / 100, ""), IF(F1282 = "Réttur", IFERROR(_xlfn.SINGLE(_xlfn.XLOOKUP(G1282, Réttabanki!A:A, Réttabanki!BB:BB, "")) * I1282 / 100, ""), "")))</f>
        <v/>
      </c>
    </row>
    <row r="1283" spans="2:17">
      <c r="B1283" s="33" t="str">
        <f>IF(A1283&lt;&gt;"",CHOOSE(WEEKDAY(A1283,2),"Mánudagur","Þriðjudagur","Miðvikudagur","Fimmtudagur","Föstudagur","Laugardagur","Sunnudagur"),IF(B1282&lt;&gt;"",B1282,""))</f>
        <v>Fimmtudagur</v>
      </c>
      <c r="C1283" s="33">
        <f>IF(A1283&lt;&gt;"",WEEKNUM(A1283,21),IF(C1282&lt;&gt;"",C1282,""))</f>
        <v>27</v>
      </c>
      <c r="D1283" s="34"/>
      <c r="E1283" s="34"/>
      <c r="F1283" s="34"/>
      <c r="G1283" s="34"/>
      <c r="H1283" s="34"/>
      <c r="I1283" s="35"/>
      <c r="J1283" s="35"/>
      <c r="K1283" s="36"/>
      <c r="L1283" s="26" t="str">
        <f>IF(OR(F1283 = "", G1283 = ""), "", IF(F1283 = "Vara", IFERROR(_xlfn.SINGLE(_xlfn.XLOOKUP(G1283, Vöruskrá!A:A, Vöruskrá!E:E, "")), ""), IF(F1283 = "Réttur", IFERROR(_xlfn.SINGLE(_xlfn.XLOOKUP(G1283, Réttabanki!A:A, Réttabanki!AS:AS, "")), ""), "")))</f>
        <v/>
      </c>
      <c r="M1283" s="26" t="str">
        <f>IF(OR(F1283 = "", G1283 = ""), "", IF(F1283 = "Vara", IFERROR(_xlfn.SINGLE(_xlfn.XLOOKUP(G1283, Vöruskrá!A:A, Vöruskrá!F:F, "")), ""), IF(F1283 = "Réttur", IFERROR(_xlfn.SINGLE(_xlfn.XLOOKUP(G1283, Réttabanki!A:A, Réttabanki!AT:AT, "")), ""), "")))</f>
        <v/>
      </c>
      <c r="N1283" s="26" t="str">
        <f>IF(OR(F1283 = "", G1283 = ""), "", IF(F1283 = "Vara", IFERROR(_xlfn.SINGLE(_xlfn.XLOOKUP(G1283, Vöruskrá!A:A, Vöruskrá!G:G, "")), ""), IF(F1283 = "Réttur", IFERROR(_xlfn.SINGLE(_xlfn.XLOOKUP(G1283, Réttabanki!A:A, Réttabanki!AU:AU, "")), ""), "")))</f>
        <v/>
      </c>
      <c r="O1283" s="26" t="str">
        <f>IF(OR(F1283 = "", G1283 = "", I1283 = ""), "", IF(F1283 = "Vara", IFERROR(_xlfn.SINGLE(_xlfn.XLOOKUP(G1283, Vöruskrá!A:A, Vöruskrá!I:I, "")) * I1283 / 100, ""), IF(F1283 = "Réttur", IFERROR(_xlfn.SINGLE(_xlfn.XLOOKUP(G1283, Réttabanki!A:A, Réttabanki!AV:AV, "")) * I1283 / 100, ""), "")))</f>
        <v/>
      </c>
      <c r="P1283" s="26" t="str">
        <f>IF(OR(F1283 = "", G1283 = "", I1283 = ""), "", IF(F1283 = "Vara", IFERROR(_xlfn.SINGLE(_xlfn.XLOOKUP(G1283, Vöruskrá!A:A, Vöruskrá!J:J, "")) * I1283 / 100, ""), IF(F1283 = "Réttur", IFERROR(_xlfn.SINGLE(_xlfn.XLOOKUP(G1283, Réttabanki!A:A, Réttabanki!AW:AW, "")) * I1283 / 100, ""), "")))</f>
        <v/>
      </c>
      <c r="Q1283" s="26" t="str">
        <f>IF(OR(F1283 = "", G1283 = "", I1283 = ""), "", IF(F1283 = "Vara", IFERROR(_xlfn.SINGLE(_xlfn.XLOOKUP(G1283, Vöruskrá!A:A, Vöruskrá!N:N, "")) * I1283 / 100, ""), IF(F1283 = "Réttur", IFERROR(_xlfn.SINGLE(_xlfn.XLOOKUP(G1283, Réttabanki!A:A, Réttabanki!BB:BB, "")) * I1283 / 100, ""), "")))</f>
        <v/>
      </c>
    </row>
    <row r="1284" spans="2:17">
      <c r="B1284" s="33" t="str">
        <f>IF(A1284&lt;&gt;"",CHOOSE(WEEKDAY(A1284,2),"Mánudagur","Þriðjudagur","Miðvikudagur","Fimmtudagur","Föstudagur","Laugardagur","Sunnudagur"),IF(B1283&lt;&gt;"",B1283,""))</f>
        <v>Fimmtudagur</v>
      </c>
      <c r="C1284" s="33">
        <f>IF(A1284&lt;&gt;"",WEEKNUM(A1284,21),IF(C1283&lt;&gt;"",C1283,""))</f>
        <v>27</v>
      </c>
      <c r="D1284" s="34"/>
      <c r="E1284" s="34"/>
      <c r="F1284" s="34"/>
      <c r="G1284" s="34"/>
      <c r="H1284" s="34"/>
      <c r="I1284" s="35"/>
      <c r="J1284" s="35"/>
      <c r="K1284" s="36"/>
      <c r="L1284" s="26" t="str">
        <f>IF(OR(F1284 = "", G1284 = ""), "", IF(F1284 = "Vara", IFERROR(_xlfn.SINGLE(_xlfn.XLOOKUP(G1284, Vöruskrá!A:A, Vöruskrá!E:E, "")), ""), IF(F1284 = "Réttur", IFERROR(_xlfn.SINGLE(_xlfn.XLOOKUP(G1284, Réttabanki!A:A, Réttabanki!AS:AS, "")), ""), "")))</f>
        <v/>
      </c>
      <c r="M1284" s="26" t="str">
        <f>IF(OR(F1284 = "", G1284 = ""), "", IF(F1284 = "Vara", IFERROR(_xlfn.SINGLE(_xlfn.XLOOKUP(G1284, Vöruskrá!A:A, Vöruskrá!F:F, "")), ""), IF(F1284 = "Réttur", IFERROR(_xlfn.SINGLE(_xlfn.XLOOKUP(G1284, Réttabanki!A:A, Réttabanki!AT:AT, "")), ""), "")))</f>
        <v/>
      </c>
      <c r="N1284" s="26" t="str">
        <f>IF(OR(F1284 = "", G1284 = ""), "", IF(F1284 = "Vara", IFERROR(_xlfn.SINGLE(_xlfn.XLOOKUP(G1284, Vöruskrá!A:A, Vöruskrá!G:G, "")), ""), IF(F1284 = "Réttur", IFERROR(_xlfn.SINGLE(_xlfn.XLOOKUP(G1284, Réttabanki!A:A, Réttabanki!AU:AU, "")), ""), "")))</f>
        <v/>
      </c>
      <c r="O1284" s="26" t="str">
        <f>IF(OR(F1284 = "", G1284 = "", I1284 = ""), "", IF(F1284 = "Vara", IFERROR(_xlfn.SINGLE(_xlfn.XLOOKUP(G1284, Vöruskrá!A:A, Vöruskrá!I:I, "")) * I1284 / 100, ""), IF(F1284 = "Réttur", IFERROR(_xlfn.SINGLE(_xlfn.XLOOKUP(G1284, Réttabanki!A:A, Réttabanki!AV:AV, "")) * I1284 / 100, ""), "")))</f>
        <v/>
      </c>
      <c r="P1284" s="26" t="str">
        <f>IF(OR(F1284 = "", G1284 = "", I1284 = ""), "", IF(F1284 = "Vara", IFERROR(_xlfn.SINGLE(_xlfn.XLOOKUP(G1284, Vöruskrá!A:A, Vöruskrá!J:J, "")) * I1284 / 100, ""), IF(F1284 = "Réttur", IFERROR(_xlfn.SINGLE(_xlfn.XLOOKUP(G1284, Réttabanki!A:A, Réttabanki!AW:AW, "")) * I1284 / 100, ""), "")))</f>
        <v/>
      </c>
      <c r="Q1284" s="26" t="str">
        <f>IF(OR(F1284 = "", G1284 = "", I1284 = ""), "", IF(F1284 = "Vara", IFERROR(_xlfn.SINGLE(_xlfn.XLOOKUP(G1284, Vöruskrá!A:A, Vöruskrá!N:N, "")) * I1284 / 100, ""), IF(F1284 = "Réttur", IFERROR(_xlfn.SINGLE(_xlfn.XLOOKUP(G1284, Réttabanki!A:A, Réttabanki!BB:BB, "")) * I1284 / 100, ""), "")))</f>
        <v/>
      </c>
    </row>
    <row r="1285" spans="2:17">
      <c r="B1285" s="33" t="str">
        <f>IF(A1285&lt;&gt;"",CHOOSE(WEEKDAY(A1285,2),"Mánudagur","Þriðjudagur","Miðvikudagur","Fimmtudagur","Föstudagur","Laugardagur","Sunnudagur"),IF(B1284&lt;&gt;"",B1284,""))</f>
        <v>Fimmtudagur</v>
      </c>
      <c r="C1285" s="33">
        <f>IF(A1285&lt;&gt;"",WEEKNUM(A1285,21),IF(C1284&lt;&gt;"",C1284,""))</f>
        <v>27</v>
      </c>
      <c r="D1285" s="34"/>
      <c r="E1285" s="34"/>
      <c r="F1285" s="34"/>
      <c r="G1285" s="34"/>
      <c r="H1285" s="34"/>
      <c r="I1285" s="35"/>
      <c r="J1285" s="35"/>
      <c r="K1285" s="36"/>
      <c r="L1285" s="26" t="str">
        <f>IF(OR(F1285 = "", G1285 = ""), "", IF(F1285 = "Vara", IFERROR(_xlfn.SINGLE(_xlfn.XLOOKUP(G1285, Vöruskrá!A:A, Vöruskrá!E:E, "")), ""), IF(F1285 = "Réttur", IFERROR(_xlfn.SINGLE(_xlfn.XLOOKUP(G1285, Réttabanki!A:A, Réttabanki!AS:AS, "")), ""), "")))</f>
        <v/>
      </c>
      <c r="M1285" s="26" t="str">
        <f>IF(OR(F1285 = "", G1285 = ""), "", IF(F1285 = "Vara", IFERROR(_xlfn.SINGLE(_xlfn.XLOOKUP(G1285, Vöruskrá!A:A, Vöruskrá!F:F, "")), ""), IF(F1285 = "Réttur", IFERROR(_xlfn.SINGLE(_xlfn.XLOOKUP(G1285, Réttabanki!A:A, Réttabanki!AT:AT, "")), ""), "")))</f>
        <v/>
      </c>
      <c r="N1285" s="26" t="str">
        <f>IF(OR(F1285 = "", G1285 = ""), "", IF(F1285 = "Vara", IFERROR(_xlfn.SINGLE(_xlfn.XLOOKUP(G1285, Vöruskrá!A:A, Vöruskrá!G:G, "")), ""), IF(F1285 = "Réttur", IFERROR(_xlfn.SINGLE(_xlfn.XLOOKUP(G1285, Réttabanki!A:A, Réttabanki!AU:AU, "")), ""), "")))</f>
        <v/>
      </c>
      <c r="O1285" s="26" t="str">
        <f>IF(OR(F1285 = "", G1285 = "", I1285 = ""), "", IF(F1285 = "Vara", IFERROR(_xlfn.SINGLE(_xlfn.XLOOKUP(G1285, Vöruskrá!A:A, Vöruskrá!I:I, "")) * I1285 / 100, ""), IF(F1285 = "Réttur", IFERROR(_xlfn.SINGLE(_xlfn.XLOOKUP(G1285, Réttabanki!A:A, Réttabanki!AV:AV, "")) * I1285 / 100, ""), "")))</f>
        <v/>
      </c>
      <c r="P1285" s="26" t="str">
        <f>IF(OR(F1285 = "", G1285 = "", I1285 = ""), "", IF(F1285 = "Vara", IFERROR(_xlfn.SINGLE(_xlfn.XLOOKUP(G1285, Vöruskrá!A:A, Vöruskrá!J:J, "")) * I1285 / 100, ""), IF(F1285 = "Réttur", IFERROR(_xlfn.SINGLE(_xlfn.XLOOKUP(G1285, Réttabanki!A:A, Réttabanki!AW:AW, "")) * I1285 / 100, ""), "")))</f>
        <v/>
      </c>
      <c r="Q1285" s="26" t="str">
        <f>IF(OR(F1285 = "", G1285 = "", I1285 = ""), "", IF(F1285 = "Vara", IFERROR(_xlfn.SINGLE(_xlfn.XLOOKUP(G1285, Vöruskrá!A:A, Vöruskrá!N:N, "")) * I1285 / 100, ""), IF(F1285 = "Réttur", IFERROR(_xlfn.SINGLE(_xlfn.XLOOKUP(G1285, Réttabanki!A:A, Réttabanki!BB:BB, "")) * I1285 / 100, ""), "")))</f>
        <v/>
      </c>
    </row>
    <row r="1286" spans="2:17">
      <c r="B1286" s="33" t="str">
        <f>IF(A1286&lt;&gt;"",CHOOSE(WEEKDAY(A1286,2),"Mánudagur","Þriðjudagur","Miðvikudagur","Fimmtudagur","Föstudagur","Laugardagur","Sunnudagur"),IF(B1285&lt;&gt;"",B1285,""))</f>
        <v>Fimmtudagur</v>
      </c>
      <c r="C1286" s="33">
        <f>IF(A1286&lt;&gt;"",WEEKNUM(A1286,21),IF(C1285&lt;&gt;"",C1285,""))</f>
        <v>27</v>
      </c>
      <c r="D1286" s="34"/>
      <c r="E1286" s="34"/>
      <c r="F1286" s="34"/>
      <c r="G1286" s="34"/>
      <c r="H1286" s="34"/>
      <c r="I1286" s="35"/>
      <c r="J1286" s="35"/>
      <c r="K1286" s="36"/>
      <c r="L1286" s="26" t="str">
        <f>IF(OR(F1286 = "", G1286 = ""), "", IF(F1286 = "Vara", IFERROR(_xlfn.SINGLE(_xlfn.XLOOKUP(G1286, Vöruskrá!A:A, Vöruskrá!E:E, "")), ""), IF(F1286 = "Réttur", IFERROR(_xlfn.SINGLE(_xlfn.XLOOKUP(G1286, Réttabanki!A:A, Réttabanki!AS:AS, "")), ""), "")))</f>
        <v/>
      </c>
      <c r="M1286" s="26" t="str">
        <f>IF(OR(F1286 = "", G1286 = ""), "", IF(F1286 = "Vara", IFERROR(_xlfn.SINGLE(_xlfn.XLOOKUP(G1286, Vöruskrá!A:A, Vöruskrá!F:F, "")), ""), IF(F1286 = "Réttur", IFERROR(_xlfn.SINGLE(_xlfn.XLOOKUP(G1286, Réttabanki!A:A, Réttabanki!AT:AT, "")), ""), "")))</f>
        <v/>
      </c>
      <c r="N1286" s="26" t="str">
        <f>IF(OR(F1286 = "", G1286 = ""), "", IF(F1286 = "Vara", IFERROR(_xlfn.SINGLE(_xlfn.XLOOKUP(G1286, Vöruskrá!A:A, Vöruskrá!G:G, "")), ""), IF(F1286 = "Réttur", IFERROR(_xlfn.SINGLE(_xlfn.XLOOKUP(G1286, Réttabanki!A:A, Réttabanki!AU:AU, "")), ""), "")))</f>
        <v/>
      </c>
      <c r="O1286" s="26" t="str">
        <f>IF(OR(F1286 = "", G1286 = "", I1286 = ""), "", IF(F1286 = "Vara", IFERROR(_xlfn.SINGLE(_xlfn.XLOOKUP(G1286, Vöruskrá!A:A, Vöruskrá!I:I, "")) * I1286 / 100, ""), IF(F1286 = "Réttur", IFERROR(_xlfn.SINGLE(_xlfn.XLOOKUP(G1286, Réttabanki!A:A, Réttabanki!AV:AV, "")) * I1286 / 100, ""), "")))</f>
        <v/>
      </c>
      <c r="P1286" s="26" t="str">
        <f>IF(OR(F1286 = "", G1286 = "", I1286 = ""), "", IF(F1286 = "Vara", IFERROR(_xlfn.SINGLE(_xlfn.XLOOKUP(G1286, Vöruskrá!A:A, Vöruskrá!J:J, "")) * I1286 / 100, ""), IF(F1286 = "Réttur", IFERROR(_xlfn.SINGLE(_xlfn.XLOOKUP(G1286, Réttabanki!A:A, Réttabanki!AW:AW, "")) * I1286 / 100, ""), "")))</f>
        <v/>
      </c>
      <c r="Q1286" s="26" t="str">
        <f>IF(OR(F1286 = "", G1286 = "", I1286 = ""), "", IF(F1286 = "Vara", IFERROR(_xlfn.SINGLE(_xlfn.XLOOKUP(G1286, Vöruskrá!A:A, Vöruskrá!N:N, "")) * I1286 / 100, ""), IF(F1286 = "Réttur", IFERROR(_xlfn.SINGLE(_xlfn.XLOOKUP(G1286, Réttabanki!A:A, Réttabanki!BB:BB, "")) * I1286 / 100, ""), "")))</f>
        <v/>
      </c>
    </row>
    <row r="1287" spans="2:17">
      <c r="B1287" s="33" t="str">
        <f>IF(A1287&lt;&gt;"",CHOOSE(WEEKDAY(A1287,2),"Mánudagur","Þriðjudagur","Miðvikudagur","Fimmtudagur","Föstudagur","Laugardagur","Sunnudagur"),IF(B1286&lt;&gt;"",B1286,""))</f>
        <v>Fimmtudagur</v>
      </c>
      <c r="C1287" s="33">
        <f>IF(A1287&lt;&gt;"",WEEKNUM(A1287,21),IF(C1286&lt;&gt;"",C1286,""))</f>
        <v>27</v>
      </c>
      <c r="D1287" s="34"/>
      <c r="E1287" s="34"/>
      <c r="F1287" s="34"/>
      <c r="G1287" s="34"/>
      <c r="H1287" s="34"/>
      <c r="I1287" s="35"/>
      <c r="J1287" s="35"/>
      <c r="K1287" s="36"/>
      <c r="L1287" s="26" t="str">
        <f>IF(OR(F1287 = "", G1287 = ""), "", IF(F1287 = "Vara", IFERROR(_xlfn.SINGLE(_xlfn.XLOOKUP(G1287, Vöruskrá!A:A, Vöruskrá!E:E, "")), ""), IF(F1287 = "Réttur", IFERROR(_xlfn.SINGLE(_xlfn.XLOOKUP(G1287, Réttabanki!A:A, Réttabanki!AS:AS, "")), ""), "")))</f>
        <v/>
      </c>
      <c r="M1287" s="26" t="str">
        <f>IF(OR(F1287 = "", G1287 = ""), "", IF(F1287 = "Vara", IFERROR(_xlfn.SINGLE(_xlfn.XLOOKUP(G1287, Vöruskrá!A:A, Vöruskrá!F:F, "")), ""), IF(F1287 = "Réttur", IFERROR(_xlfn.SINGLE(_xlfn.XLOOKUP(G1287, Réttabanki!A:A, Réttabanki!AT:AT, "")), ""), "")))</f>
        <v/>
      </c>
      <c r="N1287" s="26" t="str">
        <f>IF(OR(F1287 = "", G1287 = ""), "", IF(F1287 = "Vara", IFERROR(_xlfn.SINGLE(_xlfn.XLOOKUP(G1287, Vöruskrá!A:A, Vöruskrá!G:G, "")), ""), IF(F1287 = "Réttur", IFERROR(_xlfn.SINGLE(_xlfn.XLOOKUP(G1287, Réttabanki!A:A, Réttabanki!AU:AU, "")), ""), "")))</f>
        <v/>
      </c>
      <c r="O1287" s="26" t="str">
        <f>IF(OR(F1287 = "", G1287 = "", I1287 = ""), "", IF(F1287 = "Vara", IFERROR(_xlfn.SINGLE(_xlfn.XLOOKUP(G1287, Vöruskrá!A:A, Vöruskrá!I:I, "")) * I1287 / 100, ""), IF(F1287 = "Réttur", IFERROR(_xlfn.SINGLE(_xlfn.XLOOKUP(G1287, Réttabanki!A:A, Réttabanki!AV:AV, "")) * I1287 / 100, ""), "")))</f>
        <v/>
      </c>
      <c r="P1287" s="26" t="str">
        <f>IF(OR(F1287 = "", G1287 = "", I1287 = ""), "", IF(F1287 = "Vara", IFERROR(_xlfn.SINGLE(_xlfn.XLOOKUP(G1287, Vöruskrá!A:A, Vöruskrá!J:J, "")) * I1287 / 100, ""), IF(F1287 = "Réttur", IFERROR(_xlfn.SINGLE(_xlfn.XLOOKUP(G1287, Réttabanki!A:A, Réttabanki!AW:AW, "")) * I1287 / 100, ""), "")))</f>
        <v/>
      </c>
      <c r="Q1287" s="26" t="str">
        <f>IF(OR(F1287 = "", G1287 = "", I1287 = ""), "", IF(F1287 = "Vara", IFERROR(_xlfn.SINGLE(_xlfn.XLOOKUP(G1287, Vöruskrá!A:A, Vöruskrá!N:N, "")) * I1287 / 100, ""), IF(F1287 = "Réttur", IFERROR(_xlfn.SINGLE(_xlfn.XLOOKUP(G1287, Réttabanki!A:A, Réttabanki!BB:BB, "")) * I1287 / 100, ""), "")))</f>
        <v/>
      </c>
    </row>
    <row r="1288" spans="2:17">
      <c r="B1288" s="33" t="str">
        <f>IF(A1288&lt;&gt;"",CHOOSE(WEEKDAY(A1288,2),"Mánudagur","Þriðjudagur","Miðvikudagur","Fimmtudagur","Föstudagur","Laugardagur","Sunnudagur"),IF(B1287&lt;&gt;"",B1287,""))</f>
        <v>Fimmtudagur</v>
      </c>
      <c r="C1288" s="33">
        <f>IF(A1288&lt;&gt;"",WEEKNUM(A1288,21),IF(C1287&lt;&gt;"",C1287,""))</f>
        <v>27</v>
      </c>
      <c r="D1288" s="34"/>
      <c r="E1288" s="34"/>
      <c r="F1288" s="34"/>
      <c r="G1288" s="34"/>
      <c r="H1288" s="34"/>
      <c r="I1288" s="35"/>
      <c r="J1288" s="35"/>
      <c r="K1288" s="36"/>
      <c r="L1288" s="26" t="str">
        <f>IF(OR(F1288 = "", G1288 = ""), "", IF(F1288 = "Vara", IFERROR(_xlfn.SINGLE(_xlfn.XLOOKUP(G1288, Vöruskrá!A:A, Vöruskrá!E:E, "")), ""), IF(F1288 = "Réttur", IFERROR(_xlfn.SINGLE(_xlfn.XLOOKUP(G1288, Réttabanki!A:A, Réttabanki!AS:AS, "")), ""), "")))</f>
        <v/>
      </c>
      <c r="M1288" s="26" t="str">
        <f>IF(OR(F1288 = "", G1288 = ""), "", IF(F1288 = "Vara", IFERROR(_xlfn.SINGLE(_xlfn.XLOOKUP(G1288, Vöruskrá!A:A, Vöruskrá!F:F, "")), ""), IF(F1288 = "Réttur", IFERROR(_xlfn.SINGLE(_xlfn.XLOOKUP(G1288, Réttabanki!A:A, Réttabanki!AT:AT, "")), ""), "")))</f>
        <v/>
      </c>
      <c r="N1288" s="26" t="str">
        <f>IF(OR(F1288 = "", G1288 = ""), "", IF(F1288 = "Vara", IFERROR(_xlfn.SINGLE(_xlfn.XLOOKUP(G1288, Vöruskrá!A:A, Vöruskrá!G:G, "")), ""), IF(F1288 = "Réttur", IFERROR(_xlfn.SINGLE(_xlfn.XLOOKUP(G1288, Réttabanki!A:A, Réttabanki!AU:AU, "")), ""), "")))</f>
        <v/>
      </c>
      <c r="O1288" s="26" t="str">
        <f>IF(OR(F1288 = "", G1288 = "", I1288 = ""), "", IF(F1288 = "Vara", IFERROR(_xlfn.SINGLE(_xlfn.XLOOKUP(G1288, Vöruskrá!A:A, Vöruskrá!I:I, "")) * I1288 / 100, ""), IF(F1288 = "Réttur", IFERROR(_xlfn.SINGLE(_xlfn.XLOOKUP(G1288, Réttabanki!A:A, Réttabanki!AV:AV, "")) * I1288 / 100, ""), "")))</f>
        <v/>
      </c>
      <c r="P1288" s="26" t="str">
        <f>IF(OR(F1288 = "", G1288 = "", I1288 = ""), "", IF(F1288 = "Vara", IFERROR(_xlfn.SINGLE(_xlfn.XLOOKUP(G1288, Vöruskrá!A:A, Vöruskrá!J:J, "")) * I1288 / 100, ""), IF(F1288 = "Réttur", IFERROR(_xlfn.SINGLE(_xlfn.XLOOKUP(G1288, Réttabanki!A:A, Réttabanki!AW:AW, "")) * I1288 / 100, ""), "")))</f>
        <v/>
      </c>
      <c r="Q1288" s="26" t="str">
        <f>IF(OR(F1288 = "", G1288 = "", I1288 = ""), "", IF(F1288 = "Vara", IFERROR(_xlfn.SINGLE(_xlfn.XLOOKUP(G1288, Vöruskrá!A:A, Vöruskrá!N:N, "")) * I1288 / 100, ""), IF(F1288 = "Réttur", IFERROR(_xlfn.SINGLE(_xlfn.XLOOKUP(G1288, Réttabanki!A:A, Réttabanki!BB:BB, "")) * I1288 / 100, ""), "")))</f>
        <v/>
      </c>
    </row>
    <row r="1289" spans="2:17">
      <c r="B1289" s="33" t="str">
        <f>IF(A1289&lt;&gt;"",CHOOSE(WEEKDAY(A1289,2),"Mánudagur","Þriðjudagur","Miðvikudagur","Fimmtudagur","Föstudagur","Laugardagur","Sunnudagur"),IF(B1288&lt;&gt;"",B1288,""))</f>
        <v>Fimmtudagur</v>
      </c>
      <c r="C1289" s="33">
        <f>IF(A1289&lt;&gt;"",WEEKNUM(A1289,21),IF(C1288&lt;&gt;"",C1288,""))</f>
        <v>27</v>
      </c>
      <c r="D1289" s="34"/>
      <c r="E1289" s="34"/>
      <c r="F1289" s="34"/>
      <c r="G1289" s="34"/>
      <c r="H1289" s="34"/>
      <c r="I1289" s="35"/>
      <c r="J1289" s="35"/>
      <c r="K1289" s="36"/>
      <c r="L1289" s="26" t="str">
        <f>IF(OR(F1289 = "", G1289 = ""), "", IF(F1289 = "Vara", IFERROR(_xlfn.SINGLE(_xlfn.XLOOKUP(G1289, Vöruskrá!A:A, Vöruskrá!E:E, "")), ""), IF(F1289 = "Réttur", IFERROR(_xlfn.SINGLE(_xlfn.XLOOKUP(G1289, Réttabanki!A:A, Réttabanki!AS:AS, "")), ""), "")))</f>
        <v/>
      </c>
      <c r="M1289" s="26" t="str">
        <f>IF(OR(F1289 = "", G1289 = ""), "", IF(F1289 = "Vara", IFERROR(_xlfn.SINGLE(_xlfn.XLOOKUP(G1289, Vöruskrá!A:A, Vöruskrá!F:F, "")), ""), IF(F1289 = "Réttur", IFERROR(_xlfn.SINGLE(_xlfn.XLOOKUP(G1289, Réttabanki!A:A, Réttabanki!AT:AT, "")), ""), "")))</f>
        <v/>
      </c>
      <c r="N1289" s="26" t="str">
        <f>IF(OR(F1289 = "", G1289 = ""), "", IF(F1289 = "Vara", IFERROR(_xlfn.SINGLE(_xlfn.XLOOKUP(G1289, Vöruskrá!A:A, Vöruskrá!G:G, "")), ""), IF(F1289 = "Réttur", IFERROR(_xlfn.SINGLE(_xlfn.XLOOKUP(G1289, Réttabanki!A:A, Réttabanki!AU:AU, "")), ""), "")))</f>
        <v/>
      </c>
      <c r="O1289" s="26" t="str">
        <f>IF(OR(F1289 = "", G1289 = "", I1289 = ""), "", IF(F1289 = "Vara", IFERROR(_xlfn.SINGLE(_xlfn.XLOOKUP(G1289, Vöruskrá!A:A, Vöruskrá!I:I, "")) * I1289 / 100, ""), IF(F1289 = "Réttur", IFERROR(_xlfn.SINGLE(_xlfn.XLOOKUP(G1289, Réttabanki!A:A, Réttabanki!AV:AV, "")) * I1289 / 100, ""), "")))</f>
        <v/>
      </c>
      <c r="P1289" s="26" t="str">
        <f>IF(OR(F1289 = "", G1289 = "", I1289 = ""), "", IF(F1289 = "Vara", IFERROR(_xlfn.SINGLE(_xlfn.XLOOKUP(G1289, Vöruskrá!A:A, Vöruskrá!J:J, "")) * I1289 / 100, ""), IF(F1289 = "Réttur", IFERROR(_xlfn.SINGLE(_xlfn.XLOOKUP(G1289, Réttabanki!A:A, Réttabanki!AW:AW, "")) * I1289 / 100, ""), "")))</f>
        <v/>
      </c>
      <c r="Q1289" s="26" t="str">
        <f>IF(OR(F1289 = "", G1289 = "", I1289 = ""), "", IF(F1289 = "Vara", IFERROR(_xlfn.SINGLE(_xlfn.XLOOKUP(G1289, Vöruskrá!A:A, Vöruskrá!N:N, "")) * I1289 / 100, ""), IF(F1289 = "Réttur", IFERROR(_xlfn.SINGLE(_xlfn.XLOOKUP(G1289, Réttabanki!A:A, Réttabanki!BB:BB, "")) * I1289 / 100, ""), "")))</f>
        <v/>
      </c>
    </row>
    <row r="1290" spans="2:17">
      <c r="B1290" s="33" t="str">
        <f>IF(A1290&lt;&gt;"",CHOOSE(WEEKDAY(A1290,2),"Mánudagur","Þriðjudagur","Miðvikudagur","Fimmtudagur","Föstudagur","Laugardagur","Sunnudagur"),IF(B1289&lt;&gt;"",B1289,""))</f>
        <v>Fimmtudagur</v>
      </c>
      <c r="C1290" s="33">
        <f>IF(A1290&lt;&gt;"",WEEKNUM(A1290,21),IF(C1289&lt;&gt;"",C1289,""))</f>
        <v>27</v>
      </c>
      <c r="D1290" s="34"/>
      <c r="E1290" s="34"/>
      <c r="F1290" s="34"/>
      <c r="G1290" s="34"/>
      <c r="H1290" s="34"/>
      <c r="I1290" s="35"/>
      <c r="J1290" s="35"/>
      <c r="K1290" s="36"/>
      <c r="L1290" s="26" t="str">
        <f>IF(OR(F1290 = "", G1290 = ""), "", IF(F1290 = "Vara", IFERROR(_xlfn.SINGLE(_xlfn.XLOOKUP(G1290, Vöruskrá!A:A, Vöruskrá!E:E, "")), ""), IF(F1290 = "Réttur", IFERROR(_xlfn.SINGLE(_xlfn.XLOOKUP(G1290, Réttabanki!A:A, Réttabanki!AS:AS, "")), ""), "")))</f>
        <v/>
      </c>
      <c r="M1290" s="26" t="str">
        <f>IF(OR(F1290 = "", G1290 = ""), "", IF(F1290 = "Vara", IFERROR(_xlfn.SINGLE(_xlfn.XLOOKUP(G1290, Vöruskrá!A:A, Vöruskrá!F:F, "")), ""), IF(F1290 = "Réttur", IFERROR(_xlfn.SINGLE(_xlfn.XLOOKUP(G1290, Réttabanki!A:A, Réttabanki!AT:AT, "")), ""), "")))</f>
        <v/>
      </c>
      <c r="N1290" s="26" t="str">
        <f>IF(OR(F1290 = "", G1290 = ""), "", IF(F1290 = "Vara", IFERROR(_xlfn.SINGLE(_xlfn.XLOOKUP(G1290, Vöruskrá!A:A, Vöruskrá!G:G, "")), ""), IF(F1290 = "Réttur", IFERROR(_xlfn.SINGLE(_xlfn.XLOOKUP(G1290, Réttabanki!A:A, Réttabanki!AU:AU, "")), ""), "")))</f>
        <v/>
      </c>
      <c r="O1290" s="26" t="str">
        <f>IF(OR(F1290 = "", G1290 = "", I1290 = ""), "", IF(F1290 = "Vara", IFERROR(_xlfn.SINGLE(_xlfn.XLOOKUP(G1290, Vöruskrá!A:A, Vöruskrá!I:I, "")) * I1290 / 100, ""), IF(F1290 = "Réttur", IFERROR(_xlfn.SINGLE(_xlfn.XLOOKUP(G1290, Réttabanki!A:A, Réttabanki!AV:AV, "")) * I1290 / 100, ""), "")))</f>
        <v/>
      </c>
      <c r="P1290" s="26" t="str">
        <f>IF(OR(F1290 = "", G1290 = "", I1290 = ""), "", IF(F1290 = "Vara", IFERROR(_xlfn.SINGLE(_xlfn.XLOOKUP(G1290, Vöruskrá!A:A, Vöruskrá!J:J, "")) * I1290 / 100, ""), IF(F1290 = "Réttur", IFERROR(_xlfn.SINGLE(_xlfn.XLOOKUP(G1290, Réttabanki!A:A, Réttabanki!AW:AW, "")) * I1290 / 100, ""), "")))</f>
        <v/>
      </c>
      <c r="Q1290" s="26" t="str">
        <f>IF(OR(F1290 = "", G1290 = "", I1290 = ""), "", IF(F1290 = "Vara", IFERROR(_xlfn.SINGLE(_xlfn.XLOOKUP(G1290, Vöruskrá!A:A, Vöruskrá!N:N, "")) * I1290 / 100, ""), IF(F1290 = "Réttur", IFERROR(_xlfn.SINGLE(_xlfn.XLOOKUP(G1290, Réttabanki!A:A, Réttabanki!BB:BB, "")) * I1290 / 100, ""), "")))</f>
        <v/>
      </c>
    </row>
    <row r="1291" spans="2:17">
      <c r="B1291" s="33" t="str">
        <f>IF(A1291&lt;&gt;"",CHOOSE(WEEKDAY(A1291,2),"Mánudagur","Þriðjudagur","Miðvikudagur","Fimmtudagur","Föstudagur","Laugardagur","Sunnudagur"),IF(B1290&lt;&gt;"",B1290,""))</f>
        <v>Fimmtudagur</v>
      </c>
      <c r="C1291" s="33">
        <f>IF(A1291&lt;&gt;"",WEEKNUM(A1291,21),IF(C1290&lt;&gt;"",C1290,""))</f>
        <v>27</v>
      </c>
      <c r="D1291" s="34"/>
      <c r="E1291" s="34"/>
      <c r="F1291" s="34"/>
      <c r="G1291" s="34"/>
      <c r="H1291" s="34"/>
      <c r="I1291" s="35"/>
      <c r="J1291" s="35"/>
      <c r="K1291" s="36"/>
      <c r="L1291" s="26" t="str">
        <f>IF(OR(F1291 = "", G1291 = ""), "", IF(F1291 = "Vara", IFERROR(_xlfn.SINGLE(_xlfn.XLOOKUP(G1291, Vöruskrá!A:A, Vöruskrá!E:E, "")), ""), IF(F1291 = "Réttur", IFERROR(_xlfn.SINGLE(_xlfn.XLOOKUP(G1291, Réttabanki!A:A, Réttabanki!AS:AS, "")), ""), "")))</f>
        <v/>
      </c>
      <c r="M1291" s="26" t="str">
        <f>IF(OR(F1291 = "", G1291 = ""), "", IF(F1291 = "Vara", IFERROR(_xlfn.SINGLE(_xlfn.XLOOKUP(G1291, Vöruskrá!A:A, Vöruskrá!F:F, "")), ""), IF(F1291 = "Réttur", IFERROR(_xlfn.SINGLE(_xlfn.XLOOKUP(G1291, Réttabanki!A:A, Réttabanki!AT:AT, "")), ""), "")))</f>
        <v/>
      </c>
      <c r="N1291" s="26" t="str">
        <f>IF(OR(F1291 = "", G1291 = ""), "", IF(F1291 = "Vara", IFERROR(_xlfn.SINGLE(_xlfn.XLOOKUP(G1291, Vöruskrá!A:A, Vöruskrá!G:G, "")), ""), IF(F1291 = "Réttur", IFERROR(_xlfn.SINGLE(_xlfn.XLOOKUP(G1291, Réttabanki!A:A, Réttabanki!AU:AU, "")), ""), "")))</f>
        <v/>
      </c>
      <c r="O1291" s="26" t="str">
        <f>IF(OR(F1291 = "", G1291 = "", I1291 = ""), "", IF(F1291 = "Vara", IFERROR(_xlfn.SINGLE(_xlfn.XLOOKUP(G1291, Vöruskrá!A:A, Vöruskrá!I:I, "")) * I1291 / 100, ""), IF(F1291 = "Réttur", IFERROR(_xlfn.SINGLE(_xlfn.XLOOKUP(G1291, Réttabanki!A:A, Réttabanki!AV:AV, "")) * I1291 / 100, ""), "")))</f>
        <v/>
      </c>
      <c r="P1291" s="26" t="str">
        <f>IF(OR(F1291 = "", G1291 = "", I1291 = ""), "", IF(F1291 = "Vara", IFERROR(_xlfn.SINGLE(_xlfn.XLOOKUP(G1291, Vöruskrá!A:A, Vöruskrá!J:J, "")) * I1291 / 100, ""), IF(F1291 = "Réttur", IFERROR(_xlfn.SINGLE(_xlfn.XLOOKUP(G1291, Réttabanki!A:A, Réttabanki!AW:AW, "")) * I1291 / 100, ""), "")))</f>
        <v/>
      </c>
      <c r="Q1291" s="26" t="str">
        <f>IF(OR(F1291 = "", G1291 = "", I1291 = ""), "", IF(F1291 = "Vara", IFERROR(_xlfn.SINGLE(_xlfn.XLOOKUP(G1291, Vöruskrá!A:A, Vöruskrá!N:N, "")) * I1291 / 100, ""), IF(F1291 = "Réttur", IFERROR(_xlfn.SINGLE(_xlfn.XLOOKUP(G1291, Réttabanki!A:A, Réttabanki!BB:BB, "")) * I1291 / 100, ""), "")))</f>
        <v/>
      </c>
    </row>
    <row r="1292" spans="2:17">
      <c r="B1292" s="33" t="str">
        <f>IF(A1292&lt;&gt;"",CHOOSE(WEEKDAY(A1292,2),"Mánudagur","Þriðjudagur","Miðvikudagur","Fimmtudagur","Föstudagur","Laugardagur","Sunnudagur"),IF(B1291&lt;&gt;"",B1291,""))</f>
        <v>Fimmtudagur</v>
      </c>
      <c r="C1292" s="33">
        <f>IF(A1292&lt;&gt;"",WEEKNUM(A1292,21),IF(C1291&lt;&gt;"",C1291,""))</f>
        <v>27</v>
      </c>
      <c r="D1292" s="34"/>
      <c r="E1292" s="34"/>
      <c r="F1292" s="34"/>
      <c r="G1292" s="34"/>
      <c r="H1292" s="34"/>
      <c r="I1292" s="35"/>
      <c r="J1292" s="35"/>
      <c r="K1292" s="36"/>
      <c r="L1292" s="26" t="str">
        <f>IF(OR(F1292 = "", G1292 = ""), "", IF(F1292 = "Vara", IFERROR(_xlfn.SINGLE(_xlfn.XLOOKUP(G1292, Vöruskrá!A:A, Vöruskrá!E:E, "")), ""), IF(F1292 = "Réttur", IFERROR(_xlfn.SINGLE(_xlfn.XLOOKUP(G1292, Réttabanki!A:A, Réttabanki!AS:AS, "")), ""), "")))</f>
        <v/>
      </c>
      <c r="M1292" s="26" t="str">
        <f>IF(OR(F1292 = "", G1292 = ""), "", IF(F1292 = "Vara", IFERROR(_xlfn.SINGLE(_xlfn.XLOOKUP(G1292, Vöruskrá!A:A, Vöruskrá!F:F, "")), ""), IF(F1292 = "Réttur", IFERROR(_xlfn.SINGLE(_xlfn.XLOOKUP(G1292, Réttabanki!A:A, Réttabanki!AT:AT, "")), ""), "")))</f>
        <v/>
      </c>
      <c r="N1292" s="26" t="str">
        <f>IF(OR(F1292 = "", G1292 = ""), "", IF(F1292 = "Vara", IFERROR(_xlfn.SINGLE(_xlfn.XLOOKUP(G1292, Vöruskrá!A:A, Vöruskrá!G:G, "")), ""), IF(F1292 = "Réttur", IFERROR(_xlfn.SINGLE(_xlfn.XLOOKUP(G1292, Réttabanki!A:A, Réttabanki!AU:AU, "")), ""), "")))</f>
        <v/>
      </c>
      <c r="O1292" s="26" t="str">
        <f>IF(OR(F1292 = "", G1292 = "", I1292 = ""), "", IF(F1292 = "Vara", IFERROR(_xlfn.SINGLE(_xlfn.XLOOKUP(G1292, Vöruskrá!A:A, Vöruskrá!I:I, "")) * I1292 / 100, ""), IF(F1292 = "Réttur", IFERROR(_xlfn.SINGLE(_xlfn.XLOOKUP(G1292, Réttabanki!A:A, Réttabanki!AV:AV, "")) * I1292 / 100, ""), "")))</f>
        <v/>
      </c>
      <c r="P1292" s="26" t="str">
        <f>IF(OR(F1292 = "", G1292 = "", I1292 = ""), "", IF(F1292 = "Vara", IFERROR(_xlfn.SINGLE(_xlfn.XLOOKUP(G1292, Vöruskrá!A:A, Vöruskrá!J:J, "")) * I1292 / 100, ""), IF(F1292 = "Réttur", IFERROR(_xlfn.SINGLE(_xlfn.XLOOKUP(G1292, Réttabanki!A:A, Réttabanki!AW:AW, "")) * I1292 / 100, ""), "")))</f>
        <v/>
      </c>
      <c r="Q1292" s="26" t="str">
        <f>IF(OR(F1292 = "", G1292 = "", I1292 = ""), "", IF(F1292 = "Vara", IFERROR(_xlfn.SINGLE(_xlfn.XLOOKUP(G1292, Vöruskrá!A:A, Vöruskrá!N:N, "")) * I1292 / 100, ""), IF(F1292 = "Réttur", IFERROR(_xlfn.SINGLE(_xlfn.XLOOKUP(G1292, Réttabanki!A:A, Réttabanki!BB:BB, "")) * I1292 / 100, ""), "")))</f>
        <v/>
      </c>
    </row>
    <row r="1293" spans="2:17">
      <c r="B1293" s="33" t="str">
        <f>IF(A1293&lt;&gt;"",CHOOSE(WEEKDAY(A1293,2),"Mánudagur","Þriðjudagur","Miðvikudagur","Fimmtudagur","Föstudagur","Laugardagur","Sunnudagur"),IF(B1292&lt;&gt;"",B1292,""))</f>
        <v>Fimmtudagur</v>
      </c>
      <c r="C1293" s="33">
        <f>IF(A1293&lt;&gt;"",WEEKNUM(A1293,21),IF(C1292&lt;&gt;"",C1292,""))</f>
        <v>27</v>
      </c>
      <c r="D1293" s="34"/>
      <c r="E1293" s="34"/>
      <c r="F1293" s="34"/>
      <c r="G1293" s="34"/>
      <c r="H1293" s="34"/>
      <c r="I1293" s="35"/>
      <c r="J1293" s="35"/>
      <c r="K1293" s="36"/>
      <c r="L1293" s="26" t="str">
        <f>IF(OR(F1293 = "", G1293 = ""), "", IF(F1293 = "Vara", IFERROR(_xlfn.SINGLE(_xlfn.XLOOKUP(G1293, Vöruskrá!A:A, Vöruskrá!E:E, "")), ""), IF(F1293 = "Réttur", IFERROR(_xlfn.SINGLE(_xlfn.XLOOKUP(G1293, Réttabanki!A:A, Réttabanki!AS:AS, "")), ""), "")))</f>
        <v/>
      </c>
      <c r="M1293" s="26" t="str">
        <f>IF(OR(F1293 = "", G1293 = ""), "", IF(F1293 = "Vara", IFERROR(_xlfn.SINGLE(_xlfn.XLOOKUP(G1293, Vöruskrá!A:A, Vöruskrá!F:F, "")), ""), IF(F1293 = "Réttur", IFERROR(_xlfn.SINGLE(_xlfn.XLOOKUP(G1293, Réttabanki!A:A, Réttabanki!AT:AT, "")), ""), "")))</f>
        <v/>
      </c>
      <c r="N1293" s="26" t="str">
        <f>IF(OR(F1293 = "", G1293 = ""), "", IF(F1293 = "Vara", IFERROR(_xlfn.SINGLE(_xlfn.XLOOKUP(G1293, Vöruskrá!A:A, Vöruskrá!G:G, "")), ""), IF(F1293 = "Réttur", IFERROR(_xlfn.SINGLE(_xlfn.XLOOKUP(G1293, Réttabanki!A:A, Réttabanki!AU:AU, "")), ""), "")))</f>
        <v/>
      </c>
      <c r="O1293" s="26" t="str">
        <f>IF(OR(F1293 = "", G1293 = "", I1293 = ""), "", IF(F1293 = "Vara", IFERROR(_xlfn.SINGLE(_xlfn.XLOOKUP(G1293, Vöruskrá!A:A, Vöruskrá!I:I, "")) * I1293 / 100, ""), IF(F1293 = "Réttur", IFERROR(_xlfn.SINGLE(_xlfn.XLOOKUP(G1293, Réttabanki!A:A, Réttabanki!AV:AV, "")) * I1293 / 100, ""), "")))</f>
        <v/>
      </c>
      <c r="P1293" s="26" t="str">
        <f>IF(OR(F1293 = "", G1293 = "", I1293 = ""), "", IF(F1293 = "Vara", IFERROR(_xlfn.SINGLE(_xlfn.XLOOKUP(G1293, Vöruskrá!A:A, Vöruskrá!J:J, "")) * I1293 / 100, ""), IF(F1293 = "Réttur", IFERROR(_xlfn.SINGLE(_xlfn.XLOOKUP(G1293, Réttabanki!A:A, Réttabanki!AW:AW, "")) * I1293 / 100, ""), "")))</f>
        <v/>
      </c>
      <c r="Q1293" s="26" t="str">
        <f>IF(OR(F1293 = "", G1293 = "", I1293 = ""), "", IF(F1293 = "Vara", IFERROR(_xlfn.SINGLE(_xlfn.XLOOKUP(G1293, Vöruskrá!A:A, Vöruskrá!N:N, "")) * I1293 / 100, ""), IF(F1293 = "Réttur", IFERROR(_xlfn.SINGLE(_xlfn.XLOOKUP(G1293, Réttabanki!A:A, Réttabanki!BB:BB, "")) * I1293 / 100, ""), "")))</f>
        <v/>
      </c>
    </row>
    <row r="1294" spans="2:17">
      <c r="B1294" s="33" t="str">
        <f>IF(A1294&lt;&gt;"",CHOOSE(WEEKDAY(A1294,2),"Mánudagur","Þriðjudagur","Miðvikudagur","Fimmtudagur","Föstudagur","Laugardagur","Sunnudagur"),IF(B1293&lt;&gt;"",B1293,""))</f>
        <v>Fimmtudagur</v>
      </c>
      <c r="C1294" s="33">
        <f>IF(A1294&lt;&gt;"",WEEKNUM(A1294,21),IF(C1293&lt;&gt;"",C1293,""))</f>
        <v>27</v>
      </c>
      <c r="D1294" s="34"/>
      <c r="E1294" s="34"/>
      <c r="F1294" s="34"/>
      <c r="G1294" s="34"/>
      <c r="H1294" s="34"/>
      <c r="I1294" s="35"/>
      <c r="J1294" s="35"/>
      <c r="K1294" s="36"/>
      <c r="L1294" s="26" t="str">
        <f>IF(OR(F1294 = "", G1294 = ""), "", IF(F1294 = "Vara", IFERROR(_xlfn.SINGLE(_xlfn.XLOOKUP(G1294, Vöruskrá!A:A, Vöruskrá!E:E, "")), ""), IF(F1294 = "Réttur", IFERROR(_xlfn.SINGLE(_xlfn.XLOOKUP(G1294, Réttabanki!A:A, Réttabanki!AS:AS, "")), ""), "")))</f>
        <v/>
      </c>
      <c r="M1294" s="26" t="str">
        <f>IF(OR(F1294 = "", G1294 = ""), "", IF(F1294 = "Vara", IFERROR(_xlfn.SINGLE(_xlfn.XLOOKUP(G1294, Vöruskrá!A:A, Vöruskrá!F:F, "")), ""), IF(F1294 = "Réttur", IFERROR(_xlfn.SINGLE(_xlfn.XLOOKUP(G1294, Réttabanki!A:A, Réttabanki!AT:AT, "")), ""), "")))</f>
        <v/>
      </c>
      <c r="N1294" s="26" t="str">
        <f>IF(OR(F1294 = "", G1294 = ""), "", IF(F1294 = "Vara", IFERROR(_xlfn.SINGLE(_xlfn.XLOOKUP(G1294, Vöruskrá!A:A, Vöruskrá!G:G, "")), ""), IF(F1294 = "Réttur", IFERROR(_xlfn.SINGLE(_xlfn.XLOOKUP(G1294, Réttabanki!A:A, Réttabanki!AU:AU, "")), ""), "")))</f>
        <v/>
      </c>
      <c r="O1294" s="26" t="str">
        <f>IF(OR(F1294 = "", G1294 = "", I1294 = ""), "", IF(F1294 = "Vara", IFERROR(_xlfn.SINGLE(_xlfn.XLOOKUP(G1294, Vöruskrá!A:A, Vöruskrá!I:I, "")) * I1294 / 100, ""), IF(F1294 = "Réttur", IFERROR(_xlfn.SINGLE(_xlfn.XLOOKUP(G1294, Réttabanki!A:A, Réttabanki!AV:AV, "")) * I1294 / 100, ""), "")))</f>
        <v/>
      </c>
      <c r="P1294" s="26" t="str">
        <f>IF(OR(F1294 = "", G1294 = "", I1294 = ""), "", IF(F1294 = "Vara", IFERROR(_xlfn.SINGLE(_xlfn.XLOOKUP(G1294, Vöruskrá!A:A, Vöruskrá!J:J, "")) * I1294 / 100, ""), IF(F1294 = "Réttur", IFERROR(_xlfn.SINGLE(_xlfn.XLOOKUP(G1294, Réttabanki!A:A, Réttabanki!AW:AW, "")) * I1294 / 100, ""), "")))</f>
        <v/>
      </c>
      <c r="Q1294" s="26" t="str">
        <f>IF(OR(F1294 = "", G1294 = "", I1294 = ""), "", IF(F1294 = "Vara", IFERROR(_xlfn.SINGLE(_xlfn.XLOOKUP(G1294, Vöruskrá!A:A, Vöruskrá!N:N, "")) * I1294 / 100, ""), IF(F1294 = "Réttur", IFERROR(_xlfn.SINGLE(_xlfn.XLOOKUP(G1294, Réttabanki!A:A, Réttabanki!BB:BB, "")) * I1294 / 100, ""), "")))</f>
        <v/>
      </c>
    </row>
    <row r="1295" spans="2:17">
      <c r="B1295" s="33" t="str">
        <f>IF(A1295&lt;&gt;"",CHOOSE(WEEKDAY(A1295,2),"Mánudagur","Þriðjudagur","Miðvikudagur","Fimmtudagur","Föstudagur","Laugardagur","Sunnudagur"),IF(B1294&lt;&gt;"",B1294,""))</f>
        <v>Fimmtudagur</v>
      </c>
      <c r="C1295" s="33">
        <f>IF(A1295&lt;&gt;"",WEEKNUM(A1295,21),IF(C1294&lt;&gt;"",C1294,""))</f>
        <v>27</v>
      </c>
      <c r="D1295" s="34"/>
      <c r="E1295" s="34"/>
      <c r="F1295" s="34"/>
      <c r="G1295" s="34"/>
      <c r="H1295" s="34"/>
      <c r="I1295" s="35"/>
      <c r="J1295" s="35"/>
      <c r="K1295" s="36"/>
      <c r="L1295" s="26" t="str">
        <f>IF(OR(F1295 = "", G1295 = ""), "", IF(F1295 = "Vara", IFERROR(_xlfn.SINGLE(_xlfn.XLOOKUP(G1295, Vöruskrá!A:A, Vöruskrá!E:E, "")), ""), IF(F1295 = "Réttur", IFERROR(_xlfn.SINGLE(_xlfn.XLOOKUP(G1295, Réttabanki!A:A, Réttabanki!AS:AS, "")), ""), "")))</f>
        <v/>
      </c>
      <c r="M1295" s="26" t="str">
        <f>IF(OR(F1295 = "", G1295 = ""), "", IF(F1295 = "Vara", IFERROR(_xlfn.SINGLE(_xlfn.XLOOKUP(G1295, Vöruskrá!A:A, Vöruskrá!F:F, "")), ""), IF(F1295 = "Réttur", IFERROR(_xlfn.SINGLE(_xlfn.XLOOKUP(G1295, Réttabanki!A:A, Réttabanki!AT:AT, "")), ""), "")))</f>
        <v/>
      </c>
      <c r="N1295" s="26" t="str">
        <f>IF(OR(F1295 = "", G1295 = ""), "", IF(F1295 = "Vara", IFERROR(_xlfn.SINGLE(_xlfn.XLOOKUP(G1295, Vöruskrá!A:A, Vöruskrá!G:G, "")), ""), IF(F1295 = "Réttur", IFERROR(_xlfn.SINGLE(_xlfn.XLOOKUP(G1295, Réttabanki!A:A, Réttabanki!AU:AU, "")), ""), "")))</f>
        <v/>
      </c>
      <c r="O1295" s="26" t="str">
        <f>IF(OR(F1295 = "", G1295 = "", I1295 = ""), "", IF(F1295 = "Vara", IFERROR(_xlfn.SINGLE(_xlfn.XLOOKUP(G1295, Vöruskrá!A:A, Vöruskrá!I:I, "")) * I1295 / 100, ""), IF(F1295 = "Réttur", IFERROR(_xlfn.SINGLE(_xlfn.XLOOKUP(G1295, Réttabanki!A:A, Réttabanki!AV:AV, "")) * I1295 / 100, ""), "")))</f>
        <v/>
      </c>
      <c r="P1295" s="26" t="str">
        <f>IF(OR(F1295 = "", G1295 = "", I1295 = ""), "", IF(F1295 = "Vara", IFERROR(_xlfn.SINGLE(_xlfn.XLOOKUP(G1295, Vöruskrá!A:A, Vöruskrá!J:J, "")) * I1295 / 100, ""), IF(F1295 = "Réttur", IFERROR(_xlfn.SINGLE(_xlfn.XLOOKUP(G1295, Réttabanki!A:A, Réttabanki!AW:AW, "")) * I1295 / 100, ""), "")))</f>
        <v/>
      </c>
      <c r="Q1295" s="26" t="str">
        <f>IF(OR(F1295 = "", G1295 = "", I1295 = ""), "", IF(F1295 = "Vara", IFERROR(_xlfn.SINGLE(_xlfn.XLOOKUP(G1295, Vöruskrá!A:A, Vöruskrá!N:N, "")) * I1295 / 100, ""), IF(F1295 = "Réttur", IFERROR(_xlfn.SINGLE(_xlfn.XLOOKUP(G1295, Réttabanki!A:A, Réttabanki!BB:BB, "")) * I1295 / 100, ""), "")))</f>
        <v/>
      </c>
    </row>
    <row r="1296" spans="2:17">
      <c r="B1296" s="33" t="str">
        <f>IF(A1296&lt;&gt;"",CHOOSE(WEEKDAY(A1296,2),"Mánudagur","Þriðjudagur","Miðvikudagur","Fimmtudagur","Föstudagur","Laugardagur","Sunnudagur"),IF(B1295&lt;&gt;"",B1295,""))</f>
        <v>Fimmtudagur</v>
      </c>
      <c r="C1296" s="33">
        <f>IF(A1296&lt;&gt;"",WEEKNUM(A1296,21),IF(C1295&lt;&gt;"",C1295,""))</f>
        <v>27</v>
      </c>
      <c r="D1296" s="34"/>
      <c r="E1296" s="34"/>
      <c r="F1296" s="34"/>
      <c r="G1296" s="34"/>
      <c r="H1296" s="34"/>
      <c r="I1296" s="35"/>
      <c r="J1296" s="35"/>
      <c r="K1296" s="36"/>
      <c r="L1296" s="26" t="str">
        <f>IF(OR(F1296 = "", G1296 = ""), "", IF(F1296 = "Vara", IFERROR(_xlfn.SINGLE(_xlfn.XLOOKUP(G1296, Vöruskrá!A:A, Vöruskrá!E:E, "")), ""), IF(F1296 = "Réttur", IFERROR(_xlfn.SINGLE(_xlfn.XLOOKUP(G1296, Réttabanki!A:A, Réttabanki!AS:AS, "")), ""), "")))</f>
        <v/>
      </c>
      <c r="M1296" s="26" t="str">
        <f>IF(OR(F1296 = "", G1296 = ""), "", IF(F1296 = "Vara", IFERROR(_xlfn.SINGLE(_xlfn.XLOOKUP(G1296, Vöruskrá!A:A, Vöruskrá!F:F, "")), ""), IF(F1296 = "Réttur", IFERROR(_xlfn.SINGLE(_xlfn.XLOOKUP(G1296, Réttabanki!A:A, Réttabanki!AT:AT, "")), ""), "")))</f>
        <v/>
      </c>
      <c r="N1296" s="26" t="str">
        <f>IF(OR(F1296 = "", G1296 = ""), "", IF(F1296 = "Vara", IFERROR(_xlfn.SINGLE(_xlfn.XLOOKUP(G1296, Vöruskrá!A:A, Vöruskrá!G:G, "")), ""), IF(F1296 = "Réttur", IFERROR(_xlfn.SINGLE(_xlfn.XLOOKUP(G1296, Réttabanki!A:A, Réttabanki!AU:AU, "")), ""), "")))</f>
        <v/>
      </c>
      <c r="O1296" s="26" t="str">
        <f>IF(OR(F1296 = "", G1296 = "", I1296 = ""), "", IF(F1296 = "Vara", IFERROR(_xlfn.SINGLE(_xlfn.XLOOKUP(G1296, Vöruskrá!A:A, Vöruskrá!I:I, "")) * I1296 / 100, ""), IF(F1296 = "Réttur", IFERROR(_xlfn.SINGLE(_xlfn.XLOOKUP(G1296, Réttabanki!A:A, Réttabanki!AV:AV, "")) * I1296 / 100, ""), "")))</f>
        <v/>
      </c>
      <c r="P1296" s="26" t="str">
        <f>IF(OR(F1296 = "", G1296 = "", I1296 = ""), "", IF(F1296 = "Vara", IFERROR(_xlfn.SINGLE(_xlfn.XLOOKUP(G1296, Vöruskrá!A:A, Vöruskrá!J:J, "")) * I1296 / 100, ""), IF(F1296 = "Réttur", IFERROR(_xlfn.SINGLE(_xlfn.XLOOKUP(G1296, Réttabanki!A:A, Réttabanki!AW:AW, "")) * I1296 / 100, ""), "")))</f>
        <v/>
      </c>
      <c r="Q1296" s="26" t="str">
        <f>IF(OR(F1296 = "", G1296 = "", I1296 = ""), "", IF(F1296 = "Vara", IFERROR(_xlfn.SINGLE(_xlfn.XLOOKUP(G1296, Vöruskrá!A:A, Vöruskrá!N:N, "")) * I1296 / 100, ""), IF(F1296 = "Réttur", IFERROR(_xlfn.SINGLE(_xlfn.XLOOKUP(G1296, Réttabanki!A:A, Réttabanki!BB:BB, "")) * I1296 / 100, ""), "")))</f>
        <v/>
      </c>
    </row>
    <row r="1297" spans="2:17">
      <c r="B1297" s="33" t="str">
        <f>IF(A1297&lt;&gt;"",CHOOSE(WEEKDAY(A1297,2),"Mánudagur","Þriðjudagur","Miðvikudagur","Fimmtudagur","Föstudagur","Laugardagur","Sunnudagur"),IF(B1296&lt;&gt;"",B1296,""))</f>
        <v>Fimmtudagur</v>
      </c>
      <c r="C1297" s="33">
        <f>IF(A1297&lt;&gt;"",WEEKNUM(A1297,21),IF(C1296&lt;&gt;"",C1296,""))</f>
        <v>27</v>
      </c>
      <c r="D1297" s="34"/>
      <c r="E1297" s="34"/>
      <c r="F1297" s="34"/>
      <c r="G1297" s="34"/>
      <c r="H1297" s="34"/>
      <c r="I1297" s="35"/>
      <c r="J1297" s="35"/>
      <c r="K1297" s="36"/>
      <c r="L1297" s="26" t="str">
        <f>IF(OR(F1297 = "", G1297 = ""), "", IF(F1297 = "Vara", IFERROR(_xlfn.SINGLE(_xlfn.XLOOKUP(G1297, Vöruskrá!A:A, Vöruskrá!E:E, "")), ""), IF(F1297 = "Réttur", IFERROR(_xlfn.SINGLE(_xlfn.XLOOKUP(G1297, Réttabanki!A:A, Réttabanki!AS:AS, "")), ""), "")))</f>
        <v/>
      </c>
      <c r="M1297" s="26" t="str">
        <f>IF(OR(F1297 = "", G1297 = ""), "", IF(F1297 = "Vara", IFERROR(_xlfn.SINGLE(_xlfn.XLOOKUP(G1297, Vöruskrá!A:A, Vöruskrá!F:F, "")), ""), IF(F1297 = "Réttur", IFERROR(_xlfn.SINGLE(_xlfn.XLOOKUP(G1297, Réttabanki!A:A, Réttabanki!AT:AT, "")), ""), "")))</f>
        <v/>
      </c>
      <c r="N1297" s="26" t="str">
        <f>IF(OR(F1297 = "", G1297 = ""), "", IF(F1297 = "Vara", IFERROR(_xlfn.SINGLE(_xlfn.XLOOKUP(G1297, Vöruskrá!A:A, Vöruskrá!G:G, "")), ""), IF(F1297 = "Réttur", IFERROR(_xlfn.SINGLE(_xlfn.XLOOKUP(G1297, Réttabanki!A:A, Réttabanki!AU:AU, "")), ""), "")))</f>
        <v/>
      </c>
      <c r="O1297" s="26" t="str">
        <f>IF(OR(F1297 = "", G1297 = "", I1297 = ""), "", IF(F1297 = "Vara", IFERROR(_xlfn.SINGLE(_xlfn.XLOOKUP(G1297, Vöruskrá!A:A, Vöruskrá!I:I, "")) * I1297 / 100, ""), IF(F1297 = "Réttur", IFERROR(_xlfn.SINGLE(_xlfn.XLOOKUP(G1297, Réttabanki!A:A, Réttabanki!AV:AV, "")) * I1297 / 100, ""), "")))</f>
        <v/>
      </c>
      <c r="P1297" s="26" t="str">
        <f>IF(OR(F1297 = "", G1297 = "", I1297 = ""), "", IF(F1297 = "Vara", IFERROR(_xlfn.SINGLE(_xlfn.XLOOKUP(G1297, Vöruskrá!A:A, Vöruskrá!J:J, "")) * I1297 / 100, ""), IF(F1297 = "Réttur", IFERROR(_xlfn.SINGLE(_xlfn.XLOOKUP(G1297, Réttabanki!A:A, Réttabanki!AW:AW, "")) * I1297 / 100, ""), "")))</f>
        <v/>
      </c>
      <c r="Q1297" s="26" t="str">
        <f>IF(OR(F1297 = "", G1297 = "", I1297 = ""), "", IF(F1297 = "Vara", IFERROR(_xlfn.SINGLE(_xlfn.XLOOKUP(G1297, Vöruskrá!A:A, Vöruskrá!N:N, "")) * I1297 / 100, ""), IF(F1297 = "Réttur", IFERROR(_xlfn.SINGLE(_xlfn.XLOOKUP(G1297, Réttabanki!A:A, Réttabanki!BB:BB, "")) * I1297 / 100, ""), "")))</f>
        <v/>
      </c>
    </row>
    <row r="1298" spans="2:17">
      <c r="B1298" s="33" t="str">
        <f>IF(A1298&lt;&gt;"",CHOOSE(WEEKDAY(A1298,2),"Mánudagur","Þriðjudagur","Miðvikudagur","Fimmtudagur","Föstudagur","Laugardagur","Sunnudagur"),IF(B1297&lt;&gt;"",B1297,""))</f>
        <v>Fimmtudagur</v>
      </c>
      <c r="C1298" s="33">
        <f>IF(A1298&lt;&gt;"",WEEKNUM(A1298,21),IF(C1297&lt;&gt;"",C1297,""))</f>
        <v>27</v>
      </c>
      <c r="D1298" s="34"/>
      <c r="E1298" s="34"/>
      <c r="F1298" s="34"/>
      <c r="G1298" s="34"/>
      <c r="H1298" s="34"/>
      <c r="I1298" s="35"/>
      <c r="J1298" s="35"/>
      <c r="K1298" s="36"/>
      <c r="L1298" s="26" t="str">
        <f>IF(OR(F1298 = "", G1298 = ""), "", IF(F1298 = "Vara", IFERROR(_xlfn.SINGLE(_xlfn.XLOOKUP(G1298, Vöruskrá!A:A, Vöruskrá!E:E, "")), ""), IF(F1298 = "Réttur", IFERROR(_xlfn.SINGLE(_xlfn.XLOOKUP(G1298, Réttabanki!A:A, Réttabanki!AS:AS, "")), ""), "")))</f>
        <v/>
      </c>
      <c r="M1298" s="26" t="str">
        <f>IF(OR(F1298 = "", G1298 = ""), "", IF(F1298 = "Vara", IFERROR(_xlfn.SINGLE(_xlfn.XLOOKUP(G1298, Vöruskrá!A:A, Vöruskrá!F:F, "")), ""), IF(F1298 = "Réttur", IFERROR(_xlfn.SINGLE(_xlfn.XLOOKUP(G1298, Réttabanki!A:A, Réttabanki!AT:AT, "")), ""), "")))</f>
        <v/>
      </c>
      <c r="N1298" s="26" t="str">
        <f>IF(OR(F1298 = "", G1298 = ""), "", IF(F1298 = "Vara", IFERROR(_xlfn.SINGLE(_xlfn.XLOOKUP(G1298, Vöruskrá!A:A, Vöruskrá!G:G, "")), ""), IF(F1298 = "Réttur", IFERROR(_xlfn.SINGLE(_xlfn.XLOOKUP(G1298, Réttabanki!A:A, Réttabanki!AU:AU, "")), ""), "")))</f>
        <v/>
      </c>
      <c r="O1298" s="26" t="str">
        <f>IF(OR(F1298 = "", G1298 = "", I1298 = ""), "", IF(F1298 = "Vara", IFERROR(_xlfn.SINGLE(_xlfn.XLOOKUP(G1298, Vöruskrá!A:A, Vöruskrá!I:I, "")) * I1298 / 100, ""), IF(F1298 = "Réttur", IFERROR(_xlfn.SINGLE(_xlfn.XLOOKUP(G1298, Réttabanki!A:A, Réttabanki!AV:AV, "")) * I1298 / 100, ""), "")))</f>
        <v/>
      </c>
      <c r="P1298" s="26" t="str">
        <f>IF(OR(F1298 = "", G1298 = "", I1298 = ""), "", IF(F1298 = "Vara", IFERROR(_xlfn.SINGLE(_xlfn.XLOOKUP(G1298, Vöruskrá!A:A, Vöruskrá!J:J, "")) * I1298 / 100, ""), IF(F1298 = "Réttur", IFERROR(_xlfn.SINGLE(_xlfn.XLOOKUP(G1298, Réttabanki!A:A, Réttabanki!AW:AW, "")) * I1298 / 100, ""), "")))</f>
        <v/>
      </c>
      <c r="Q1298" s="26" t="str">
        <f>IF(OR(F1298 = "", G1298 = "", I1298 = ""), "", IF(F1298 = "Vara", IFERROR(_xlfn.SINGLE(_xlfn.XLOOKUP(G1298, Vöruskrá!A:A, Vöruskrá!N:N, "")) * I1298 / 100, ""), IF(F1298 = "Réttur", IFERROR(_xlfn.SINGLE(_xlfn.XLOOKUP(G1298, Réttabanki!A:A, Réttabanki!BB:BB, "")) * I1298 / 100, ""), "")))</f>
        <v/>
      </c>
    </row>
    <row r="1299" spans="2:17">
      <c r="B1299" s="33" t="str">
        <f>IF(A1299&lt;&gt;"",CHOOSE(WEEKDAY(A1299,2),"Mánudagur","Þriðjudagur","Miðvikudagur","Fimmtudagur","Föstudagur","Laugardagur","Sunnudagur"),IF(B1298&lt;&gt;"",B1298,""))</f>
        <v>Fimmtudagur</v>
      </c>
      <c r="C1299" s="33">
        <f>IF(A1299&lt;&gt;"",WEEKNUM(A1299,21),IF(C1298&lt;&gt;"",C1298,""))</f>
        <v>27</v>
      </c>
      <c r="D1299" s="34"/>
      <c r="E1299" s="34"/>
      <c r="F1299" s="34"/>
      <c r="G1299" s="34"/>
      <c r="H1299" s="34"/>
      <c r="I1299" s="35"/>
      <c r="J1299" s="35"/>
      <c r="K1299" s="36"/>
      <c r="L1299" s="26" t="str">
        <f>IF(OR(F1299 = "", G1299 = ""), "", IF(F1299 = "Vara", IFERROR(_xlfn.SINGLE(_xlfn.XLOOKUP(G1299, Vöruskrá!A:A, Vöruskrá!E:E, "")), ""), IF(F1299 = "Réttur", IFERROR(_xlfn.SINGLE(_xlfn.XLOOKUP(G1299, Réttabanki!A:A, Réttabanki!AS:AS, "")), ""), "")))</f>
        <v/>
      </c>
      <c r="M1299" s="26" t="str">
        <f>IF(OR(F1299 = "", G1299 = ""), "", IF(F1299 = "Vara", IFERROR(_xlfn.SINGLE(_xlfn.XLOOKUP(G1299, Vöruskrá!A:A, Vöruskrá!F:F, "")), ""), IF(F1299 = "Réttur", IFERROR(_xlfn.SINGLE(_xlfn.XLOOKUP(G1299, Réttabanki!A:A, Réttabanki!AT:AT, "")), ""), "")))</f>
        <v/>
      </c>
      <c r="N1299" s="26" t="str">
        <f>IF(OR(F1299 = "", G1299 = ""), "", IF(F1299 = "Vara", IFERROR(_xlfn.SINGLE(_xlfn.XLOOKUP(G1299, Vöruskrá!A:A, Vöruskrá!G:G, "")), ""), IF(F1299 = "Réttur", IFERROR(_xlfn.SINGLE(_xlfn.XLOOKUP(G1299, Réttabanki!A:A, Réttabanki!AU:AU, "")), ""), "")))</f>
        <v/>
      </c>
      <c r="O1299" s="26" t="str">
        <f>IF(OR(F1299 = "", G1299 = "", I1299 = ""), "", IF(F1299 = "Vara", IFERROR(_xlfn.SINGLE(_xlfn.XLOOKUP(G1299, Vöruskrá!A:A, Vöruskrá!I:I, "")) * I1299 / 100, ""), IF(F1299 = "Réttur", IFERROR(_xlfn.SINGLE(_xlfn.XLOOKUP(G1299, Réttabanki!A:A, Réttabanki!AV:AV, "")) * I1299 / 100, ""), "")))</f>
        <v/>
      </c>
      <c r="P1299" s="26" t="str">
        <f>IF(OR(F1299 = "", G1299 = "", I1299 = ""), "", IF(F1299 = "Vara", IFERROR(_xlfn.SINGLE(_xlfn.XLOOKUP(G1299, Vöruskrá!A:A, Vöruskrá!J:J, "")) * I1299 / 100, ""), IF(F1299 = "Réttur", IFERROR(_xlfn.SINGLE(_xlfn.XLOOKUP(G1299, Réttabanki!A:A, Réttabanki!AW:AW, "")) * I1299 / 100, ""), "")))</f>
        <v/>
      </c>
      <c r="Q1299" s="26" t="str">
        <f>IF(OR(F1299 = "", G1299 = "", I1299 = ""), "", IF(F1299 = "Vara", IFERROR(_xlfn.SINGLE(_xlfn.XLOOKUP(G1299, Vöruskrá!A:A, Vöruskrá!N:N, "")) * I1299 / 100, ""), IF(F1299 = "Réttur", IFERROR(_xlfn.SINGLE(_xlfn.XLOOKUP(G1299, Réttabanki!A:A, Réttabanki!BB:BB, "")) * I1299 / 100, ""), "")))</f>
        <v/>
      </c>
    </row>
    <row r="1300" spans="2:17">
      <c r="B1300" s="33" t="str">
        <f>IF(A1300&lt;&gt;"",CHOOSE(WEEKDAY(A1300,2),"Mánudagur","Þriðjudagur","Miðvikudagur","Fimmtudagur","Föstudagur","Laugardagur","Sunnudagur"),IF(B1299&lt;&gt;"",B1299,""))</f>
        <v>Fimmtudagur</v>
      </c>
      <c r="C1300" s="33">
        <f>IF(A1300&lt;&gt;"",WEEKNUM(A1300,21),IF(C1299&lt;&gt;"",C1299,""))</f>
        <v>27</v>
      </c>
      <c r="D1300" s="34"/>
      <c r="E1300" s="34"/>
      <c r="F1300" s="34"/>
      <c r="G1300" s="34"/>
      <c r="H1300" s="34"/>
      <c r="I1300" s="35"/>
      <c r="J1300" s="35"/>
      <c r="K1300" s="36"/>
      <c r="L1300" s="26" t="str">
        <f>IF(OR(F1300 = "", G1300 = ""), "", IF(F1300 = "Vara", IFERROR(_xlfn.SINGLE(_xlfn.XLOOKUP(G1300, Vöruskrá!A:A, Vöruskrá!E:E, "")), ""), IF(F1300 = "Réttur", IFERROR(_xlfn.SINGLE(_xlfn.XLOOKUP(G1300, Réttabanki!A:A, Réttabanki!AS:AS, "")), ""), "")))</f>
        <v/>
      </c>
      <c r="M1300" s="26" t="str">
        <f>IF(OR(F1300 = "", G1300 = ""), "", IF(F1300 = "Vara", IFERROR(_xlfn.SINGLE(_xlfn.XLOOKUP(G1300, Vöruskrá!A:A, Vöruskrá!F:F, "")), ""), IF(F1300 = "Réttur", IFERROR(_xlfn.SINGLE(_xlfn.XLOOKUP(G1300, Réttabanki!A:A, Réttabanki!AT:AT, "")), ""), "")))</f>
        <v/>
      </c>
      <c r="N1300" s="26" t="str">
        <f>IF(OR(F1300 = "", G1300 = ""), "", IF(F1300 = "Vara", IFERROR(_xlfn.SINGLE(_xlfn.XLOOKUP(G1300, Vöruskrá!A:A, Vöruskrá!G:G, "")), ""), IF(F1300 = "Réttur", IFERROR(_xlfn.SINGLE(_xlfn.XLOOKUP(G1300, Réttabanki!A:A, Réttabanki!AU:AU, "")), ""), "")))</f>
        <v/>
      </c>
      <c r="O1300" s="26" t="str">
        <f>IF(OR(F1300 = "", G1300 = "", I1300 = ""), "", IF(F1300 = "Vara", IFERROR(_xlfn.SINGLE(_xlfn.XLOOKUP(G1300, Vöruskrá!A:A, Vöruskrá!I:I, "")) * I1300 / 100, ""), IF(F1300 = "Réttur", IFERROR(_xlfn.SINGLE(_xlfn.XLOOKUP(G1300, Réttabanki!A:A, Réttabanki!AV:AV, "")) * I1300 / 100, ""), "")))</f>
        <v/>
      </c>
      <c r="P1300" s="26" t="str">
        <f>IF(OR(F1300 = "", G1300 = "", I1300 = ""), "", IF(F1300 = "Vara", IFERROR(_xlfn.SINGLE(_xlfn.XLOOKUP(G1300, Vöruskrá!A:A, Vöruskrá!J:J, "")) * I1300 / 100, ""), IF(F1300 = "Réttur", IFERROR(_xlfn.SINGLE(_xlfn.XLOOKUP(G1300, Réttabanki!A:A, Réttabanki!AW:AW, "")) * I1300 / 100, ""), "")))</f>
        <v/>
      </c>
      <c r="Q1300" s="26" t="str">
        <f>IF(OR(F1300 = "", G1300 = "", I1300 = ""), "", IF(F1300 = "Vara", IFERROR(_xlfn.SINGLE(_xlfn.XLOOKUP(G1300, Vöruskrá!A:A, Vöruskrá!N:N, "")) * I1300 / 100, ""), IF(F1300 = "Réttur", IFERROR(_xlfn.SINGLE(_xlfn.XLOOKUP(G1300, Réttabanki!A:A, Réttabanki!BB:BB, "")) * I1300 / 100, ""), "")))</f>
        <v/>
      </c>
    </row>
    <row r="1301" spans="2:17">
      <c r="B1301" s="33" t="str">
        <f>IF(A1301&lt;&gt;"",CHOOSE(WEEKDAY(A1301,2),"Mánudagur","Þriðjudagur","Miðvikudagur","Fimmtudagur","Föstudagur","Laugardagur","Sunnudagur"),IF(B1300&lt;&gt;"",B1300,""))</f>
        <v>Fimmtudagur</v>
      </c>
      <c r="C1301" s="33">
        <f>IF(A1301&lt;&gt;"",WEEKNUM(A1301,21),IF(C1300&lt;&gt;"",C1300,""))</f>
        <v>27</v>
      </c>
      <c r="D1301" s="34"/>
      <c r="E1301" s="34"/>
      <c r="F1301" s="34"/>
      <c r="G1301" s="34"/>
      <c r="H1301" s="34"/>
      <c r="I1301" s="35"/>
      <c r="J1301" s="35"/>
      <c r="K1301" s="36"/>
      <c r="L1301" s="26" t="str">
        <f>IF(OR(F1301 = "", G1301 = ""), "", IF(F1301 = "Vara", IFERROR(_xlfn.SINGLE(_xlfn.XLOOKUP(G1301, Vöruskrá!A:A, Vöruskrá!E:E, "")), ""), IF(F1301 = "Réttur", IFERROR(_xlfn.SINGLE(_xlfn.XLOOKUP(G1301, Réttabanki!A:A, Réttabanki!AS:AS, "")), ""), "")))</f>
        <v/>
      </c>
      <c r="M1301" s="26" t="str">
        <f>IF(OR(F1301 = "", G1301 = ""), "", IF(F1301 = "Vara", IFERROR(_xlfn.SINGLE(_xlfn.XLOOKUP(G1301, Vöruskrá!A:A, Vöruskrá!F:F, "")), ""), IF(F1301 = "Réttur", IFERROR(_xlfn.SINGLE(_xlfn.XLOOKUP(G1301, Réttabanki!A:A, Réttabanki!AT:AT, "")), ""), "")))</f>
        <v/>
      </c>
      <c r="N1301" s="26" t="str">
        <f>IF(OR(F1301 = "", G1301 = ""), "", IF(F1301 = "Vara", IFERROR(_xlfn.SINGLE(_xlfn.XLOOKUP(G1301, Vöruskrá!A:A, Vöruskrá!G:G, "")), ""), IF(F1301 = "Réttur", IFERROR(_xlfn.SINGLE(_xlfn.XLOOKUP(G1301, Réttabanki!A:A, Réttabanki!AU:AU, "")), ""), "")))</f>
        <v/>
      </c>
      <c r="O1301" s="26" t="str">
        <f>IF(OR(F1301 = "", G1301 = "", I1301 = ""), "", IF(F1301 = "Vara", IFERROR(_xlfn.SINGLE(_xlfn.XLOOKUP(G1301, Vöruskrá!A:A, Vöruskrá!I:I, "")) * I1301 / 100, ""), IF(F1301 = "Réttur", IFERROR(_xlfn.SINGLE(_xlfn.XLOOKUP(G1301, Réttabanki!A:A, Réttabanki!AV:AV, "")) * I1301 / 100, ""), "")))</f>
        <v/>
      </c>
      <c r="P1301" s="26" t="str">
        <f>IF(OR(F1301 = "", G1301 = "", I1301 = ""), "", IF(F1301 = "Vara", IFERROR(_xlfn.SINGLE(_xlfn.XLOOKUP(G1301, Vöruskrá!A:A, Vöruskrá!J:J, "")) * I1301 / 100, ""), IF(F1301 = "Réttur", IFERROR(_xlfn.SINGLE(_xlfn.XLOOKUP(G1301, Réttabanki!A:A, Réttabanki!AW:AW, "")) * I1301 / 100, ""), "")))</f>
        <v/>
      </c>
      <c r="Q1301" s="26" t="str">
        <f>IF(OR(F1301 = "", G1301 = "", I1301 = ""), "", IF(F1301 = "Vara", IFERROR(_xlfn.SINGLE(_xlfn.XLOOKUP(G1301, Vöruskrá!A:A, Vöruskrá!N:N, "")) * I1301 / 100, ""), IF(F1301 = "Réttur", IFERROR(_xlfn.SINGLE(_xlfn.XLOOKUP(G1301, Réttabanki!A:A, Réttabanki!BB:BB, "")) * I1301 / 100, ""), "")))</f>
        <v/>
      </c>
    </row>
    <row r="1302" spans="2:17">
      <c r="B1302" s="33" t="str">
        <f>IF(A1302&lt;&gt;"",CHOOSE(WEEKDAY(A1302,2),"Mánudagur","Þriðjudagur","Miðvikudagur","Fimmtudagur","Föstudagur","Laugardagur","Sunnudagur"),IF(B1301&lt;&gt;"",B1301,""))</f>
        <v>Fimmtudagur</v>
      </c>
      <c r="C1302" s="33">
        <f>IF(A1302&lt;&gt;"",WEEKNUM(A1302,21),IF(C1301&lt;&gt;"",C1301,""))</f>
        <v>27</v>
      </c>
      <c r="D1302" s="34"/>
      <c r="E1302" s="34"/>
      <c r="F1302" s="34"/>
      <c r="G1302" s="34"/>
      <c r="H1302" s="34"/>
      <c r="I1302" s="35"/>
      <c r="J1302" s="35"/>
      <c r="K1302" s="36"/>
      <c r="L1302" s="26" t="str">
        <f>IF(OR(F1302 = "", G1302 = ""), "", IF(F1302 = "Vara", IFERROR(_xlfn.SINGLE(_xlfn.XLOOKUP(G1302, Vöruskrá!A:A, Vöruskrá!E:E, "")), ""), IF(F1302 = "Réttur", IFERROR(_xlfn.SINGLE(_xlfn.XLOOKUP(G1302, Réttabanki!A:A, Réttabanki!AS:AS, "")), ""), "")))</f>
        <v/>
      </c>
      <c r="M1302" s="26" t="str">
        <f>IF(OR(F1302 = "", G1302 = ""), "", IF(F1302 = "Vara", IFERROR(_xlfn.SINGLE(_xlfn.XLOOKUP(G1302, Vöruskrá!A:A, Vöruskrá!F:F, "")), ""), IF(F1302 = "Réttur", IFERROR(_xlfn.SINGLE(_xlfn.XLOOKUP(G1302, Réttabanki!A:A, Réttabanki!AT:AT, "")), ""), "")))</f>
        <v/>
      </c>
      <c r="N1302" s="26" t="str">
        <f>IF(OR(F1302 = "", G1302 = ""), "", IF(F1302 = "Vara", IFERROR(_xlfn.SINGLE(_xlfn.XLOOKUP(G1302, Vöruskrá!A:A, Vöruskrá!G:G, "")), ""), IF(F1302 = "Réttur", IFERROR(_xlfn.SINGLE(_xlfn.XLOOKUP(G1302, Réttabanki!A:A, Réttabanki!AU:AU, "")), ""), "")))</f>
        <v/>
      </c>
      <c r="O1302" s="26" t="str">
        <f>IF(OR(F1302 = "", G1302 = "", I1302 = ""), "", IF(F1302 = "Vara", IFERROR(_xlfn.SINGLE(_xlfn.XLOOKUP(G1302, Vöruskrá!A:A, Vöruskrá!I:I, "")) * I1302 / 100, ""), IF(F1302 = "Réttur", IFERROR(_xlfn.SINGLE(_xlfn.XLOOKUP(G1302, Réttabanki!A:A, Réttabanki!AV:AV, "")) * I1302 / 100, ""), "")))</f>
        <v/>
      </c>
      <c r="P1302" s="26" t="str">
        <f>IF(OR(F1302 = "", G1302 = "", I1302 = ""), "", IF(F1302 = "Vara", IFERROR(_xlfn.SINGLE(_xlfn.XLOOKUP(G1302, Vöruskrá!A:A, Vöruskrá!J:J, "")) * I1302 / 100, ""), IF(F1302 = "Réttur", IFERROR(_xlfn.SINGLE(_xlfn.XLOOKUP(G1302, Réttabanki!A:A, Réttabanki!AW:AW, "")) * I1302 / 100, ""), "")))</f>
        <v/>
      </c>
      <c r="Q1302" s="26" t="str">
        <f>IF(OR(F1302 = "", G1302 = "", I1302 = ""), "", IF(F1302 = "Vara", IFERROR(_xlfn.SINGLE(_xlfn.XLOOKUP(G1302, Vöruskrá!A:A, Vöruskrá!N:N, "")) * I1302 / 100, ""), IF(F1302 = "Réttur", IFERROR(_xlfn.SINGLE(_xlfn.XLOOKUP(G1302, Réttabanki!A:A, Réttabanki!BB:BB, "")) * I1302 / 100, ""), "")))</f>
        <v/>
      </c>
    </row>
    <row r="1303" spans="2:17">
      <c r="B1303" s="33" t="str">
        <f>IF(A1303&lt;&gt;"",CHOOSE(WEEKDAY(A1303,2),"Mánudagur","Þriðjudagur","Miðvikudagur","Fimmtudagur","Föstudagur","Laugardagur","Sunnudagur"),IF(B1302&lt;&gt;"",B1302,""))</f>
        <v>Fimmtudagur</v>
      </c>
      <c r="C1303" s="33">
        <f>IF(A1303&lt;&gt;"",WEEKNUM(A1303,21),IF(C1302&lt;&gt;"",C1302,""))</f>
        <v>27</v>
      </c>
      <c r="D1303" s="34"/>
      <c r="E1303" s="34"/>
      <c r="F1303" s="34"/>
      <c r="G1303" s="34"/>
      <c r="H1303" s="34"/>
      <c r="I1303" s="35"/>
      <c r="J1303" s="35"/>
      <c r="K1303" s="36"/>
      <c r="L1303" s="26" t="str">
        <f>IF(OR(F1303 = "", G1303 = ""), "", IF(F1303 = "Vara", IFERROR(_xlfn.SINGLE(_xlfn.XLOOKUP(G1303, Vöruskrá!A:A, Vöruskrá!E:E, "")), ""), IF(F1303 = "Réttur", IFERROR(_xlfn.SINGLE(_xlfn.XLOOKUP(G1303, Réttabanki!A:A, Réttabanki!AS:AS, "")), ""), "")))</f>
        <v/>
      </c>
      <c r="M1303" s="26" t="str">
        <f>IF(OR(F1303 = "", G1303 = ""), "", IF(F1303 = "Vara", IFERROR(_xlfn.SINGLE(_xlfn.XLOOKUP(G1303, Vöruskrá!A:A, Vöruskrá!F:F, "")), ""), IF(F1303 = "Réttur", IFERROR(_xlfn.SINGLE(_xlfn.XLOOKUP(G1303, Réttabanki!A:A, Réttabanki!AT:AT, "")), ""), "")))</f>
        <v/>
      </c>
      <c r="N1303" s="26" t="str">
        <f>IF(OR(F1303 = "", G1303 = ""), "", IF(F1303 = "Vara", IFERROR(_xlfn.SINGLE(_xlfn.XLOOKUP(G1303, Vöruskrá!A:A, Vöruskrá!G:G, "")), ""), IF(F1303 = "Réttur", IFERROR(_xlfn.SINGLE(_xlfn.XLOOKUP(G1303, Réttabanki!A:A, Réttabanki!AU:AU, "")), ""), "")))</f>
        <v/>
      </c>
      <c r="O1303" s="26" t="str">
        <f>IF(OR(F1303 = "", G1303 = "", I1303 = ""), "", IF(F1303 = "Vara", IFERROR(_xlfn.SINGLE(_xlfn.XLOOKUP(G1303, Vöruskrá!A:A, Vöruskrá!I:I, "")) * I1303 / 100, ""), IF(F1303 = "Réttur", IFERROR(_xlfn.SINGLE(_xlfn.XLOOKUP(G1303, Réttabanki!A:A, Réttabanki!AV:AV, "")) * I1303 / 100, ""), "")))</f>
        <v/>
      </c>
      <c r="P1303" s="26" t="str">
        <f>IF(OR(F1303 = "", G1303 = "", I1303 = ""), "", IF(F1303 = "Vara", IFERROR(_xlfn.SINGLE(_xlfn.XLOOKUP(G1303, Vöruskrá!A:A, Vöruskrá!J:J, "")) * I1303 / 100, ""), IF(F1303 = "Réttur", IFERROR(_xlfn.SINGLE(_xlfn.XLOOKUP(G1303, Réttabanki!A:A, Réttabanki!AW:AW, "")) * I1303 / 100, ""), "")))</f>
        <v/>
      </c>
      <c r="Q1303" s="26" t="str">
        <f>IF(OR(F1303 = "", G1303 = "", I1303 = ""), "", IF(F1303 = "Vara", IFERROR(_xlfn.SINGLE(_xlfn.XLOOKUP(G1303, Vöruskrá!A:A, Vöruskrá!N:N, "")) * I1303 / 100, ""), IF(F1303 = "Réttur", IFERROR(_xlfn.SINGLE(_xlfn.XLOOKUP(G1303, Réttabanki!A:A, Réttabanki!BB:BB, "")) * I1303 / 100, ""), "")))</f>
        <v/>
      </c>
    </row>
    <row r="1304" spans="2:17">
      <c r="B1304" s="33" t="str">
        <f>IF(A1304&lt;&gt;"",CHOOSE(WEEKDAY(A1304,2),"Mánudagur","Þriðjudagur","Miðvikudagur","Fimmtudagur","Föstudagur","Laugardagur","Sunnudagur"),IF(B1303&lt;&gt;"",B1303,""))</f>
        <v>Fimmtudagur</v>
      </c>
      <c r="C1304" s="33">
        <f>IF(A1304&lt;&gt;"",WEEKNUM(A1304,21),IF(C1303&lt;&gt;"",C1303,""))</f>
        <v>27</v>
      </c>
      <c r="D1304" s="34"/>
      <c r="E1304" s="34"/>
      <c r="F1304" s="34"/>
      <c r="G1304" s="34"/>
      <c r="H1304" s="34"/>
      <c r="I1304" s="35"/>
      <c r="J1304" s="35"/>
      <c r="K1304" s="36"/>
      <c r="L1304" s="26" t="str">
        <f>IF(OR(F1304 = "", G1304 = ""), "", IF(F1304 = "Vara", IFERROR(_xlfn.SINGLE(_xlfn.XLOOKUP(G1304, Vöruskrá!A:A, Vöruskrá!E:E, "")), ""), IF(F1304 = "Réttur", IFERROR(_xlfn.SINGLE(_xlfn.XLOOKUP(G1304, Réttabanki!A:A, Réttabanki!AS:AS, "")), ""), "")))</f>
        <v/>
      </c>
      <c r="M1304" s="26" t="str">
        <f>IF(OR(F1304 = "", G1304 = ""), "", IF(F1304 = "Vara", IFERROR(_xlfn.SINGLE(_xlfn.XLOOKUP(G1304, Vöruskrá!A:A, Vöruskrá!F:F, "")), ""), IF(F1304 = "Réttur", IFERROR(_xlfn.SINGLE(_xlfn.XLOOKUP(G1304, Réttabanki!A:A, Réttabanki!AT:AT, "")), ""), "")))</f>
        <v/>
      </c>
      <c r="N1304" s="26" t="str">
        <f>IF(OR(F1304 = "", G1304 = ""), "", IF(F1304 = "Vara", IFERROR(_xlfn.SINGLE(_xlfn.XLOOKUP(G1304, Vöruskrá!A:A, Vöruskrá!G:G, "")), ""), IF(F1304 = "Réttur", IFERROR(_xlfn.SINGLE(_xlfn.XLOOKUP(G1304, Réttabanki!A:A, Réttabanki!AU:AU, "")), ""), "")))</f>
        <v/>
      </c>
      <c r="O1304" s="26" t="str">
        <f>IF(OR(F1304 = "", G1304 = "", I1304 = ""), "", IF(F1304 = "Vara", IFERROR(_xlfn.SINGLE(_xlfn.XLOOKUP(G1304, Vöruskrá!A:A, Vöruskrá!I:I, "")) * I1304 / 100, ""), IF(F1304 = "Réttur", IFERROR(_xlfn.SINGLE(_xlfn.XLOOKUP(G1304, Réttabanki!A:A, Réttabanki!AV:AV, "")) * I1304 / 100, ""), "")))</f>
        <v/>
      </c>
      <c r="P1304" s="26" t="str">
        <f>IF(OR(F1304 = "", G1304 = "", I1304 = ""), "", IF(F1304 = "Vara", IFERROR(_xlfn.SINGLE(_xlfn.XLOOKUP(G1304, Vöruskrá!A:A, Vöruskrá!J:J, "")) * I1304 / 100, ""), IF(F1304 = "Réttur", IFERROR(_xlfn.SINGLE(_xlfn.XLOOKUP(G1304, Réttabanki!A:A, Réttabanki!AW:AW, "")) * I1304 / 100, ""), "")))</f>
        <v/>
      </c>
      <c r="Q1304" s="26" t="str">
        <f>IF(OR(F1304 = "", G1304 = "", I1304 = ""), "", IF(F1304 = "Vara", IFERROR(_xlfn.SINGLE(_xlfn.XLOOKUP(G1304, Vöruskrá!A:A, Vöruskrá!N:N, "")) * I1304 / 100, ""), IF(F1304 = "Réttur", IFERROR(_xlfn.SINGLE(_xlfn.XLOOKUP(G1304, Réttabanki!A:A, Réttabanki!BB:BB, "")) * I1304 / 100, ""), "")))</f>
        <v/>
      </c>
    </row>
    <row r="1305" spans="2:17">
      <c r="B1305" s="33" t="str">
        <f>IF(A1305&lt;&gt;"",CHOOSE(WEEKDAY(A1305,2),"Mánudagur","Þriðjudagur","Miðvikudagur","Fimmtudagur","Föstudagur","Laugardagur","Sunnudagur"),IF(B1304&lt;&gt;"",B1304,""))</f>
        <v>Fimmtudagur</v>
      </c>
      <c r="C1305" s="33">
        <f>IF(A1305&lt;&gt;"",WEEKNUM(A1305,21),IF(C1304&lt;&gt;"",C1304,""))</f>
        <v>27</v>
      </c>
      <c r="D1305" s="34"/>
      <c r="E1305" s="34"/>
      <c r="F1305" s="34"/>
      <c r="G1305" s="34"/>
      <c r="H1305" s="34"/>
      <c r="I1305" s="35"/>
      <c r="J1305" s="35"/>
      <c r="K1305" s="36"/>
      <c r="L1305" s="26" t="str">
        <f>IF(OR(F1305 = "", G1305 = ""), "", IF(F1305 = "Vara", IFERROR(_xlfn.SINGLE(_xlfn.XLOOKUP(G1305, Vöruskrá!A:A, Vöruskrá!E:E, "")), ""), IF(F1305 = "Réttur", IFERROR(_xlfn.SINGLE(_xlfn.XLOOKUP(G1305, Réttabanki!A:A, Réttabanki!AS:AS, "")), ""), "")))</f>
        <v/>
      </c>
      <c r="M1305" s="26" t="str">
        <f>IF(OR(F1305 = "", G1305 = ""), "", IF(F1305 = "Vara", IFERROR(_xlfn.SINGLE(_xlfn.XLOOKUP(G1305, Vöruskrá!A:A, Vöruskrá!F:F, "")), ""), IF(F1305 = "Réttur", IFERROR(_xlfn.SINGLE(_xlfn.XLOOKUP(G1305, Réttabanki!A:A, Réttabanki!AT:AT, "")), ""), "")))</f>
        <v/>
      </c>
      <c r="N1305" s="26" t="str">
        <f>IF(OR(F1305 = "", G1305 = ""), "", IF(F1305 = "Vara", IFERROR(_xlfn.SINGLE(_xlfn.XLOOKUP(G1305, Vöruskrá!A:A, Vöruskrá!G:G, "")), ""), IF(F1305 = "Réttur", IFERROR(_xlfn.SINGLE(_xlfn.XLOOKUP(G1305, Réttabanki!A:A, Réttabanki!AU:AU, "")), ""), "")))</f>
        <v/>
      </c>
      <c r="O1305" s="26" t="str">
        <f>IF(OR(F1305 = "", G1305 = "", I1305 = ""), "", IF(F1305 = "Vara", IFERROR(_xlfn.SINGLE(_xlfn.XLOOKUP(G1305, Vöruskrá!A:A, Vöruskrá!I:I, "")) * I1305 / 100, ""), IF(F1305 = "Réttur", IFERROR(_xlfn.SINGLE(_xlfn.XLOOKUP(G1305, Réttabanki!A:A, Réttabanki!AV:AV, "")) * I1305 / 100, ""), "")))</f>
        <v/>
      </c>
      <c r="P1305" s="26" t="str">
        <f>IF(OR(F1305 = "", G1305 = "", I1305 = ""), "", IF(F1305 = "Vara", IFERROR(_xlfn.SINGLE(_xlfn.XLOOKUP(G1305, Vöruskrá!A:A, Vöruskrá!J:J, "")) * I1305 / 100, ""), IF(F1305 = "Réttur", IFERROR(_xlfn.SINGLE(_xlfn.XLOOKUP(G1305, Réttabanki!A:A, Réttabanki!AW:AW, "")) * I1305 / 100, ""), "")))</f>
        <v/>
      </c>
      <c r="Q1305" s="26" t="str">
        <f>IF(OR(F1305 = "", G1305 = "", I1305 = ""), "", IF(F1305 = "Vara", IFERROR(_xlfn.SINGLE(_xlfn.XLOOKUP(G1305, Vöruskrá!A:A, Vöruskrá!N:N, "")) * I1305 / 100, ""), IF(F1305 = "Réttur", IFERROR(_xlfn.SINGLE(_xlfn.XLOOKUP(G1305, Réttabanki!A:A, Réttabanki!BB:BB, "")) * I1305 / 100, ""), "")))</f>
        <v/>
      </c>
    </row>
    <row r="1306" spans="2:17">
      <c r="B1306" s="33" t="str">
        <f>IF(A1306&lt;&gt;"",CHOOSE(WEEKDAY(A1306,2),"Mánudagur","Þriðjudagur","Miðvikudagur","Fimmtudagur","Föstudagur","Laugardagur","Sunnudagur"),IF(B1305&lt;&gt;"",B1305,""))</f>
        <v>Fimmtudagur</v>
      </c>
      <c r="C1306" s="33">
        <f>IF(A1306&lt;&gt;"",WEEKNUM(A1306,21),IF(C1305&lt;&gt;"",C1305,""))</f>
        <v>27</v>
      </c>
      <c r="D1306" s="34"/>
      <c r="E1306" s="34"/>
      <c r="F1306" s="34"/>
      <c r="G1306" s="34"/>
      <c r="H1306" s="34"/>
      <c r="I1306" s="35"/>
      <c r="J1306" s="35"/>
      <c r="K1306" s="36"/>
      <c r="L1306" s="26" t="str">
        <f>IF(OR(F1306 = "", G1306 = ""), "", IF(F1306 = "Vara", IFERROR(_xlfn.SINGLE(_xlfn.XLOOKUP(G1306, Vöruskrá!A:A, Vöruskrá!E:E, "")), ""), IF(F1306 = "Réttur", IFERROR(_xlfn.SINGLE(_xlfn.XLOOKUP(G1306, Réttabanki!A:A, Réttabanki!AS:AS, "")), ""), "")))</f>
        <v/>
      </c>
      <c r="M1306" s="26" t="str">
        <f>IF(OR(F1306 = "", G1306 = ""), "", IF(F1306 = "Vara", IFERROR(_xlfn.SINGLE(_xlfn.XLOOKUP(G1306, Vöruskrá!A:A, Vöruskrá!F:F, "")), ""), IF(F1306 = "Réttur", IFERROR(_xlfn.SINGLE(_xlfn.XLOOKUP(G1306, Réttabanki!A:A, Réttabanki!AT:AT, "")), ""), "")))</f>
        <v/>
      </c>
      <c r="N1306" s="26" t="str">
        <f>IF(OR(F1306 = "", G1306 = ""), "", IF(F1306 = "Vara", IFERROR(_xlfn.SINGLE(_xlfn.XLOOKUP(G1306, Vöruskrá!A:A, Vöruskrá!G:G, "")), ""), IF(F1306 = "Réttur", IFERROR(_xlfn.SINGLE(_xlfn.XLOOKUP(G1306, Réttabanki!A:A, Réttabanki!AU:AU, "")), ""), "")))</f>
        <v/>
      </c>
      <c r="O1306" s="26" t="str">
        <f>IF(OR(F1306 = "", G1306 = "", I1306 = ""), "", IF(F1306 = "Vara", IFERROR(_xlfn.SINGLE(_xlfn.XLOOKUP(G1306, Vöruskrá!A:A, Vöruskrá!I:I, "")) * I1306 / 100, ""), IF(F1306 = "Réttur", IFERROR(_xlfn.SINGLE(_xlfn.XLOOKUP(G1306, Réttabanki!A:A, Réttabanki!AV:AV, "")) * I1306 / 100, ""), "")))</f>
        <v/>
      </c>
      <c r="P1306" s="26" t="str">
        <f>IF(OR(F1306 = "", G1306 = "", I1306 = ""), "", IF(F1306 = "Vara", IFERROR(_xlfn.SINGLE(_xlfn.XLOOKUP(G1306, Vöruskrá!A:A, Vöruskrá!J:J, "")) * I1306 / 100, ""), IF(F1306 = "Réttur", IFERROR(_xlfn.SINGLE(_xlfn.XLOOKUP(G1306, Réttabanki!A:A, Réttabanki!AW:AW, "")) * I1306 / 100, ""), "")))</f>
        <v/>
      </c>
      <c r="Q1306" s="26" t="str">
        <f>IF(OR(F1306 = "", G1306 = "", I1306 = ""), "", IF(F1306 = "Vara", IFERROR(_xlfn.SINGLE(_xlfn.XLOOKUP(G1306, Vöruskrá!A:A, Vöruskrá!N:N, "")) * I1306 / 100, ""), IF(F1306 = "Réttur", IFERROR(_xlfn.SINGLE(_xlfn.XLOOKUP(G1306, Réttabanki!A:A, Réttabanki!BB:BB, "")) * I1306 / 100, ""), "")))</f>
        <v/>
      </c>
    </row>
    <row r="1307" spans="2:17">
      <c r="B1307" s="33" t="str">
        <f>IF(A1307&lt;&gt;"",CHOOSE(WEEKDAY(A1307,2),"Mánudagur","Þriðjudagur","Miðvikudagur","Fimmtudagur","Föstudagur","Laugardagur","Sunnudagur"),IF(B1306&lt;&gt;"",B1306,""))</f>
        <v>Fimmtudagur</v>
      </c>
      <c r="C1307" s="33">
        <f>IF(A1307&lt;&gt;"",WEEKNUM(A1307,21),IF(C1306&lt;&gt;"",C1306,""))</f>
        <v>27</v>
      </c>
      <c r="D1307" s="34"/>
      <c r="E1307" s="34"/>
      <c r="F1307" s="34"/>
      <c r="G1307" s="34"/>
      <c r="H1307" s="34"/>
      <c r="I1307" s="35"/>
      <c r="J1307" s="35"/>
      <c r="K1307" s="36"/>
      <c r="L1307" s="26" t="str">
        <f>IF(OR(F1307 = "", G1307 = ""), "", IF(F1307 = "Vara", IFERROR(_xlfn.SINGLE(_xlfn.XLOOKUP(G1307, Vöruskrá!A:A, Vöruskrá!E:E, "")), ""), IF(F1307 = "Réttur", IFERROR(_xlfn.SINGLE(_xlfn.XLOOKUP(G1307, Réttabanki!A:A, Réttabanki!AS:AS, "")), ""), "")))</f>
        <v/>
      </c>
      <c r="M1307" s="26" t="str">
        <f>IF(OR(F1307 = "", G1307 = ""), "", IF(F1307 = "Vara", IFERROR(_xlfn.SINGLE(_xlfn.XLOOKUP(G1307, Vöruskrá!A:A, Vöruskrá!F:F, "")), ""), IF(F1307 = "Réttur", IFERROR(_xlfn.SINGLE(_xlfn.XLOOKUP(G1307, Réttabanki!A:A, Réttabanki!AT:AT, "")), ""), "")))</f>
        <v/>
      </c>
      <c r="N1307" s="26" t="str">
        <f>IF(OR(F1307 = "", G1307 = ""), "", IF(F1307 = "Vara", IFERROR(_xlfn.SINGLE(_xlfn.XLOOKUP(G1307, Vöruskrá!A:A, Vöruskrá!G:G, "")), ""), IF(F1307 = "Réttur", IFERROR(_xlfn.SINGLE(_xlfn.XLOOKUP(G1307, Réttabanki!A:A, Réttabanki!AU:AU, "")), ""), "")))</f>
        <v/>
      </c>
      <c r="O1307" s="26" t="str">
        <f>IF(OR(F1307 = "", G1307 = "", I1307 = ""), "", IF(F1307 = "Vara", IFERROR(_xlfn.SINGLE(_xlfn.XLOOKUP(G1307, Vöruskrá!A:A, Vöruskrá!I:I, "")) * I1307 / 100, ""), IF(F1307 = "Réttur", IFERROR(_xlfn.SINGLE(_xlfn.XLOOKUP(G1307, Réttabanki!A:A, Réttabanki!AV:AV, "")) * I1307 / 100, ""), "")))</f>
        <v/>
      </c>
      <c r="P1307" s="26" t="str">
        <f>IF(OR(F1307 = "", G1307 = "", I1307 = ""), "", IF(F1307 = "Vara", IFERROR(_xlfn.SINGLE(_xlfn.XLOOKUP(G1307, Vöruskrá!A:A, Vöruskrá!J:J, "")) * I1307 / 100, ""), IF(F1307 = "Réttur", IFERROR(_xlfn.SINGLE(_xlfn.XLOOKUP(G1307, Réttabanki!A:A, Réttabanki!AW:AW, "")) * I1307 / 100, ""), "")))</f>
        <v/>
      </c>
      <c r="Q1307" s="26" t="str">
        <f>IF(OR(F1307 = "", G1307 = "", I1307 = ""), "", IF(F1307 = "Vara", IFERROR(_xlfn.SINGLE(_xlfn.XLOOKUP(G1307, Vöruskrá!A:A, Vöruskrá!N:N, "")) * I1307 / 100, ""), IF(F1307 = "Réttur", IFERROR(_xlfn.SINGLE(_xlfn.XLOOKUP(G1307, Réttabanki!A:A, Réttabanki!BB:BB, "")) * I1307 / 100, ""), "")))</f>
        <v/>
      </c>
    </row>
    <row r="1308" spans="2:17">
      <c r="B1308" s="33" t="str">
        <f>IF(A1308&lt;&gt;"",CHOOSE(WEEKDAY(A1308,2),"Mánudagur","Þriðjudagur","Miðvikudagur","Fimmtudagur","Föstudagur","Laugardagur","Sunnudagur"),IF(B1307&lt;&gt;"",B1307,""))</f>
        <v>Fimmtudagur</v>
      </c>
      <c r="C1308" s="33">
        <f>IF(A1308&lt;&gt;"",WEEKNUM(A1308,21),IF(C1307&lt;&gt;"",C1307,""))</f>
        <v>27</v>
      </c>
      <c r="D1308" s="34"/>
      <c r="E1308" s="34"/>
      <c r="F1308" s="34"/>
      <c r="G1308" s="34"/>
      <c r="H1308" s="34"/>
      <c r="I1308" s="35"/>
      <c r="J1308" s="35"/>
      <c r="K1308" s="36"/>
      <c r="L1308" s="26" t="str">
        <f>IF(OR(F1308 = "", G1308 = ""), "", IF(F1308 = "Vara", IFERROR(_xlfn.SINGLE(_xlfn.XLOOKUP(G1308, Vöruskrá!A:A, Vöruskrá!E:E, "")), ""), IF(F1308 = "Réttur", IFERROR(_xlfn.SINGLE(_xlfn.XLOOKUP(G1308, Réttabanki!A:A, Réttabanki!AS:AS, "")), ""), "")))</f>
        <v/>
      </c>
      <c r="M1308" s="26" t="str">
        <f>IF(OR(F1308 = "", G1308 = ""), "", IF(F1308 = "Vara", IFERROR(_xlfn.SINGLE(_xlfn.XLOOKUP(G1308, Vöruskrá!A:A, Vöruskrá!F:F, "")), ""), IF(F1308 = "Réttur", IFERROR(_xlfn.SINGLE(_xlfn.XLOOKUP(G1308, Réttabanki!A:A, Réttabanki!AT:AT, "")), ""), "")))</f>
        <v/>
      </c>
      <c r="N1308" s="26" t="str">
        <f>IF(OR(F1308 = "", G1308 = ""), "", IF(F1308 = "Vara", IFERROR(_xlfn.SINGLE(_xlfn.XLOOKUP(G1308, Vöruskrá!A:A, Vöruskrá!G:G, "")), ""), IF(F1308 = "Réttur", IFERROR(_xlfn.SINGLE(_xlfn.XLOOKUP(G1308, Réttabanki!A:A, Réttabanki!AU:AU, "")), ""), "")))</f>
        <v/>
      </c>
      <c r="O1308" s="26" t="str">
        <f>IF(OR(F1308 = "", G1308 = "", I1308 = ""), "", IF(F1308 = "Vara", IFERROR(_xlfn.SINGLE(_xlfn.XLOOKUP(G1308, Vöruskrá!A:A, Vöruskrá!I:I, "")) * I1308 / 100, ""), IF(F1308 = "Réttur", IFERROR(_xlfn.SINGLE(_xlfn.XLOOKUP(G1308, Réttabanki!A:A, Réttabanki!AV:AV, "")) * I1308 / 100, ""), "")))</f>
        <v/>
      </c>
      <c r="P1308" s="26" t="str">
        <f>IF(OR(F1308 = "", G1308 = "", I1308 = ""), "", IF(F1308 = "Vara", IFERROR(_xlfn.SINGLE(_xlfn.XLOOKUP(G1308, Vöruskrá!A:A, Vöruskrá!J:J, "")) * I1308 / 100, ""), IF(F1308 = "Réttur", IFERROR(_xlfn.SINGLE(_xlfn.XLOOKUP(G1308, Réttabanki!A:A, Réttabanki!AW:AW, "")) * I1308 / 100, ""), "")))</f>
        <v/>
      </c>
      <c r="Q1308" s="26" t="str">
        <f>IF(OR(F1308 = "", G1308 = "", I1308 = ""), "", IF(F1308 = "Vara", IFERROR(_xlfn.SINGLE(_xlfn.XLOOKUP(G1308, Vöruskrá!A:A, Vöruskrá!N:N, "")) * I1308 / 100, ""), IF(F1308 = "Réttur", IFERROR(_xlfn.SINGLE(_xlfn.XLOOKUP(G1308, Réttabanki!A:A, Réttabanki!BB:BB, "")) * I1308 / 100, ""), "")))</f>
        <v/>
      </c>
    </row>
    <row r="1309" spans="2:17">
      <c r="B1309" s="33" t="str">
        <f>IF(A1309&lt;&gt;"",CHOOSE(WEEKDAY(A1309,2),"Mánudagur","Þriðjudagur","Miðvikudagur","Fimmtudagur","Föstudagur","Laugardagur","Sunnudagur"),IF(B1308&lt;&gt;"",B1308,""))</f>
        <v>Fimmtudagur</v>
      </c>
      <c r="C1309" s="33">
        <f>IF(A1309&lt;&gt;"",WEEKNUM(A1309,21),IF(C1308&lt;&gt;"",C1308,""))</f>
        <v>27</v>
      </c>
      <c r="D1309" s="34"/>
      <c r="E1309" s="34"/>
      <c r="F1309" s="34"/>
      <c r="G1309" s="34"/>
      <c r="H1309" s="34"/>
      <c r="I1309" s="35"/>
      <c r="J1309" s="35"/>
      <c r="K1309" s="36"/>
      <c r="L1309" s="26" t="str">
        <f>IF(OR(F1309 = "", G1309 = ""), "", IF(F1309 = "Vara", IFERROR(_xlfn.SINGLE(_xlfn.XLOOKUP(G1309, Vöruskrá!A:A, Vöruskrá!E:E, "")), ""), IF(F1309 = "Réttur", IFERROR(_xlfn.SINGLE(_xlfn.XLOOKUP(G1309, Réttabanki!A:A, Réttabanki!AS:AS, "")), ""), "")))</f>
        <v/>
      </c>
      <c r="M1309" s="26" t="str">
        <f>IF(OR(F1309 = "", G1309 = ""), "", IF(F1309 = "Vara", IFERROR(_xlfn.SINGLE(_xlfn.XLOOKUP(G1309, Vöruskrá!A:A, Vöruskrá!F:F, "")), ""), IF(F1309 = "Réttur", IFERROR(_xlfn.SINGLE(_xlfn.XLOOKUP(G1309, Réttabanki!A:A, Réttabanki!AT:AT, "")), ""), "")))</f>
        <v/>
      </c>
      <c r="N1309" s="26" t="str">
        <f>IF(OR(F1309 = "", G1309 = ""), "", IF(F1309 = "Vara", IFERROR(_xlfn.SINGLE(_xlfn.XLOOKUP(G1309, Vöruskrá!A:A, Vöruskrá!G:G, "")), ""), IF(F1309 = "Réttur", IFERROR(_xlfn.SINGLE(_xlfn.XLOOKUP(G1309, Réttabanki!A:A, Réttabanki!AU:AU, "")), ""), "")))</f>
        <v/>
      </c>
      <c r="O1309" s="26" t="str">
        <f>IF(OR(F1309 = "", G1309 = "", I1309 = ""), "", IF(F1309 = "Vara", IFERROR(_xlfn.SINGLE(_xlfn.XLOOKUP(G1309, Vöruskrá!A:A, Vöruskrá!I:I, "")) * I1309 / 100, ""), IF(F1309 = "Réttur", IFERROR(_xlfn.SINGLE(_xlfn.XLOOKUP(G1309, Réttabanki!A:A, Réttabanki!AV:AV, "")) * I1309 / 100, ""), "")))</f>
        <v/>
      </c>
      <c r="P1309" s="26" t="str">
        <f>IF(OR(F1309 = "", G1309 = "", I1309 = ""), "", IF(F1309 = "Vara", IFERROR(_xlfn.SINGLE(_xlfn.XLOOKUP(G1309, Vöruskrá!A:A, Vöruskrá!J:J, "")) * I1309 / 100, ""), IF(F1309 = "Réttur", IFERROR(_xlfn.SINGLE(_xlfn.XLOOKUP(G1309, Réttabanki!A:A, Réttabanki!AW:AW, "")) * I1309 / 100, ""), "")))</f>
        <v/>
      </c>
      <c r="Q1309" s="26" t="str">
        <f>IF(OR(F1309 = "", G1309 = "", I1309 = ""), "", IF(F1309 = "Vara", IFERROR(_xlfn.SINGLE(_xlfn.XLOOKUP(G1309, Vöruskrá!A:A, Vöruskrá!N:N, "")) * I1309 / 100, ""), IF(F1309 = "Réttur", IFERROR(_xlfn.SINGLE(_xlfn.XLOOKUP(G1309, Réttabanki!A:A, Réttabanki!BB:BB, "")) * I1309 / 100, ""), "")))</f>
        <v/>
      </c>
    </row>
    <row r="1310" spans="2:17">
      <c r="B1310" s="33" t="str">
        <f>IF(A1310&lt;&gt;"",CHOOSE(WEEKDAY(A1310,2),"Mánudagur","Þriðjudagur","Miðvikudagur","Fimmtudagur","Föstudagur","Laugardagur","Sunnudagur"),IF(B1309&lt;&gt;"",B1309,""))</f>
        <v>Fimmtudagur</v>
      </c>
      <c r="C1310" s="33">
        <f>IF(A1310&lt;&gt;"",WEEKNUM(A1310,21),IF(C1309&lt;&gt;"",C1309,""))</f>
        <v>27</v>
      </c>
      <c r="D1310" s="34"/>
      <c r="E1310" s="34"/>
      <c r="F1310" s="34"/>
      <c r="G1310" s="34"/>
      <c r="H1310" s="34"/>
      <c r="I1310" s="35"/>
      <c r="J1310" s="35"/>
      <c r="K1310" s="36"/>
      <c r="L1310" s="26" t="str">
        <f>IF(OR(F1310 = "", G1310 = ""), "", IF(F1310 = "Vara", IFERROR(_xlfn.SINGLE(_xlfn.XLOOKUP(G1310, Vöruskrá!A:A, Vöruskrá!E:E, "")), ""), IF(F1310 = "Réttur", IFERROR(_xlfn.SINGLE(_xlfn.XLOOKUP(G1310, Réttabanki!A:A, Réttabanki!AS:AS, "")), ""), "")))</f>
        <v/>
      </c>
      <c r="M1310" s="26" t="str">
        <f>IF(OR(F1310 = "", G1310 = ""), "", IF(F1310 = "Vara", IFERROR(_xlfn.SINGLE(_xlfn.XLOOKUP(G1310, Vöruskrá!A:A, Vöruskrá!F:F, "")), ""), IF(F1310 = "Réttur", IFERROR(_xlfn.SINGLE(_xlfn.XLOOKUP(G1310, Réttabanki!A:A, Réttabanki!AT:AT, "")), ""), "")))</f>
        <v/>
      </c>
      <c r="N1310" s="26" t="str">
        <f>IF(OR(F1310 = "", G1310 = ""), "", IF(F1310 = "Vara", IFERROR(_xlfn.SINGLE(_xlfn.XLOOKUP(G1310, Vöruskrá!A:A, Vöruskrá!G:G, "")), ""), IF(F1310 = "Réttur", IFERROR(_xlfn.SINGLE(_xlfn.XLOOKUP(G1310, Réttabanki!A:A, Réttabanki!AU:AU, "")), ""), "")))</f>
        <v/>
      </c>
      <c r="O1310" s="26" t="str">
        <f>IF(OR(F1310 = "", G1310 = "", I1310 = ""), "", IF(F1310 = "Vara", IFERROR(_xlfn.SINGLE(_xlfn.XLOOKUP(G1310, Vöruskrá!A:A, Vöruskrá!I:I, "")) * I1310 / 100, ""), IF(F1310 = "Réttur", IFERROR(_xlfn.SINGLE(_xlfn.XLOOKUP(G1310, Réttabanki!A:A, Réttabanki!AV:AV, "")) * I1310 / 100, ""), "")))</f>
        <v/>
      </c>
      <c r="P1310" s="26" t="str">
        <f>IF(OR(F1310 = "", G1310 = "", I1310 = ""), "", IF(F1310 = "Vara", IFERROR(_xlfn.SINGLE(_xlfn.XLOOKUP(G1310, Vöruskrá!A:A, Vöruskrá!J:J, "")) * I1310 / 100, ""), IF(F1310 = "Réttur", IFERROR(_xlfn.SINGLE(_xlfn.XLOOKUP(G1310, Réttabanki!A:A, Réttabanki!AW:AW, "")) * I1310 / 100, ""), "")))</f>
        <v/>
      </c>
      <c r="Q1310" s="26" t="str">
        <f>IF(OR(F1310 = "", G1310 = "", I1310 = ""), "", IF(F1310 = "Vara", IFERROR(_xlfn.SINGLE(_xlfn.XLOOKUP(G1310, Vöruskrá!A:A, Vöruskrá!N:N, "")) * I1310 / 100, ""), IF(F1310 = "Réttur", IFERROR(_xlfn.SINGLE(_xlfn.XLOOKUP(G1310, Réttabanki!A:A, Réttabanki!BB:BB, "")) * I1310 / 100, ""), "")))</f>
        <v/>
      </c>
    </row>
    <row r="1311" spans="2:17">
      <c r="B1311" s="33" t="str">
        <f>IF(A1311&lt;&gt;"",CHOOSE(WEEKDAY(A1311,2),"Mánudagur","Þriðjudagur","Miðvikudagur","Fimmtudagur","Föstudagur","Laugardagur","Sunnudagur"),IF(B1310&lt;&gt;"",B1310,""))</f>
        <v>Fimmtudagur</v>
      </c>
      <c r="C1311" s="33">
        <f>IF(A1311&lt;&gt;"",WEEKNUM(A1311,21),IF(C1310&lt;&gt;"",C1310,""))</f>
        <v>27</v>
      </c>
      <c r="D1311" s="34"/>
      <c r="E1311" s="34"/>
      <c r="F1311" s="34"/>
      <c r="G1311" s="34"/>
      <c r="H1311" s="34"/>
      <c r="I1311" s="35"/>
      <c r="J1311" s="35"/>
      <c r="K1311" s="36"/>
      <c r="L1311" s="26" t="str">
        <f>IF(OR(F1311 = "", G1311 = ""), "", IF(F1311 = "Vara", IFERROR(_xlfn.SINGLE(_xlfn.XLOOKUP(G1311, Vöruskrá!A:A, Vöruskrá!E:E, "")), ""), IF(F1311 = "Réttur", IFERROR(_xlfn.SINGLE(_xlfn.XLOOKUP(G1311, Réttabanki!A:A, Réttabanki!AS:AS, "")), ""), "")))</f>
        <v/>
      </c>
      <c r="M1311" s="26" t="str">
        <f>IF(OR(F1311 = "", G1311 = ""), "", IF(F1311 = "Vara", IFERROR(_xlfn.SINGLE(_xlfn.XLOOKUP(G1311, Vöruskrá!A:A, Vöruskrá!F:F, "")), ""), IF(F1311 = "Réttur", IFERROR(_xlfn.SINGLE(_xlfn.XLOOKUP(G1311, Réttabanki!A:A, Réttabanki!AT:AT, "")), ""), "")))</f>
        <v/>
      </c>
      <c r="N1311" s="26" t="str">
        <f>IF(OR(F1311 = "", G1311 = ""), "", IF(F1311 = "Vara", IFERROR(_xlfn.SINGLE(_xlfn.XLOOKUP(G1311, Vöruskrá!A:A, Vöruskrá!G:G, "")), ""), IF(F1311 = "Réttur", IFERROR(_xlfn.SINGLE(_xlfn.XLOOKUP(G1311, Réttabanki!A:A, Réttabanki!AU:AU, "")), ""), "")))</f>
        <v/>
      </c>
      <c r="O1311" s="26" t="str">
        <f>IF(OR(F1311 = "", G1311 = "", I1311 = ""), "", IF(F1311 = "Vara", IFERROR(_xlfn.SINGLE(_xlfn.XLOOKUP(G1311, Vöruskrá!A:A, Vöruskrá!I:I, "")) * I1311 / 100, ""), IF(F1311 = "Réttur", IFERROR(_xlfn.SINGLE(_xlfn.XLOOKUP(G1311, Réttabanki!A:A, Réttabanki!AV:AV, "")) * I1311 / 100, ""), "")))</f>
        <v/>
      </c>
      <c r="P1311" s="26" t="str">
        <f>IF(OR(F1311 = "", G1311 = "", I1311 = ""), "", IF(F1311 = "Vara", IFERROR(_xlfn.SINGLE(_xlfn.XLOOKUP(G1311, Vöruskrá!A:A, Vöruskrá!J:J, "")) * I1311 / 100, ""), IF(F1311 = "Réttur", IFERROR(_xlfn.SINGLE(_xlfn.XLOOKUP(G1311, Réttabanki!A:A, Réttabanki!AW:AW, "")) * I1311 / 100, ""), "")))</f>
        <v/>
      </c>
      <c r="Q1311" s="26" t="str">
        <f>IF(OR(F1311 = "", G1311 = "", I1311 = ""), "", IF(F1311 = "Vara", IFERROR(_xlfn.SINGLE(_xlfn.XLOOKUP(G1311, Vöruskrá!A:A, Vöruskrá!N:N, "")) * I1311 / 100, ""), IF(F1311 = "Réttur", IFERROR(_xlfn.SINGLE(_xlfn.XLOOKUP(G1311, Réttabanki!A:A, Réttabanki!BB:BB, "")) * I1311 / 100, ""), "")))</f>
        <v/>
      </c>
    </row>
    <row r="1312" spans="2:17">
      <c r="B1312" s="33" t="str">
        <f>IF(A1312&lt;&gt;"",CHOOSE(WEEKDAY(A1312,2),"Mánudagur","Þriðjudagur","Miðvikudagur","Fimmtudagur","Föstudagur","Laugardagur","Sunnudagur"),IF(B1311&lt;&gt;"",B1311,""))</f>
        <v>Fimmtudagur</v>
      </c>
      <c r="C1312" s="33">
        <f>IF(A1312&lt;&gt;"",WEEKNUM(A1312,21),IF(C1311&lt;&gt;"",C1311,""))</f>
        <v>27</v>
      </c>
      <c r="D1312" s="34"/>
      <c r="E1312" s="34"/>
      <c r="F1312" s="34"/>
      <c r="G1312" s="34"/>
      <c r="H1312" s="34"/>
      <c r="I1312" s="35"/>
      <c r="J1312" s="35"/>
      <c r="K1312" s="36"/>
      <c r="L1312" s="26" t="str">
        <f>IF(OR(F1312 = "", G1312 = ""), "", IF(F1312 = "Vara", IFERROR(_xlfn.SINGLE(_xlfn.XLOOKUP(G1312, Vöruskrá!A:A, Vöruskrá!E:E, "")), ""), IF(F1312 = "Réttur", IFERROR(_xlfn.SINGLE(_xlfn.XLOOKUP(G1312, Réttabanki!A:A, Réttabanki!AS:AS, "")), ""), "")))</f>
        <v/>
      </c>
      <c r="M1312" s="26" t="str">
        <f>IF(OR(F1312 = "", G1312 = ""), "", IF(F1312 = "Vara", IFERROR(_xlfn.SINGLE(_xlfn.XLOOKUP(G1312, Vöruskrá!A:A, Vöruskrá!F:F, "")), ""), IF(F1312 = "Réttur", IFERROR(_xlfn.SINGLE(_xlfn.XLOOKUP(G1312, Réttabanki!A:A, Réttabanki!AT:AT, "")), ""), "")))</f>
        <v/>
      </c>
      <c r="N1312" s="26" t="str">
        <f>IF(OR(F1312 = "", G1312 = ""), "", IF(F1312 = "Vara", IFERROR(_xlfn.SINGLE(_xlfn.XLOOKUP(G1312, Vöruskrá!A:A, Vöruskrá!G:G, "")), ""), IF(F1312 = "Réttur", IFERROR(_xlfn.SINGLE(_xlfn.XLOOKUP(G1312, Réttabanki!A:A, Réttabanki!AU:AU, "")), ""), "")))</f>
        <v/>
      </c>
      <c r="O1312" s="26" t="str">
        <f>IF(OR(F1312 = "", G1312 = "", I1312 = ""), "", IF(F1312 = "Vara", IFERROR(_xlfn.SINGLE(_xlfn.XLOOKUP(G1312, Vöruskrá!A:A, Vöruskrá!I:I, "")) * I1312 / 100, ""), IF(F1312 = "Réttur", IFERROR(_xlfn.SINGLE(_xlfn.XLOOKUP(G1312, Réttabanki!A:A, Réttabanki!AV:AV, "")) * I1312 / 100, ""), "")))</f>
        <v/>
      </c>
      <c r="P1312" s="26" t="str">
        <f>IF(OR(F1312 = "", G1312 = "", I1312 = ""), "", IF(F1312 = "Vara", IFERROR(_xlfn.SINGLE(_xlfn.XLOOKUP(G1312, Vöruskrá!A:A, Vöruskrá!J:J, "")) * I1312 / 100, ""), IF(F1312 = "Réttur", IFERROR(_xlfn.SINGLE(_xlfn.XLOOKUP(G1312, Réttabanki!A:A, Réttabanki!AW:AW, "")) * I1312 / 100, ""), "")))</f>
        <v/>
      </c>
      <c r="Q1312" s="26" t="str">
        <f>IF(OR(F1312 = "", G1312 = "", I1312 = ""), "", IF(F1312 = "Vara", IFERROR(_xlfn.SINGLE(_xlfn.XLOOKUP(G1312, Vöruskrá!A:A, Vöruskrá!N:N, "")) * I1312 / 100, ""), IF(F1312 = "Réttur", IFERROR(_xlfn.SINGLE(_xlfn.XLOOKUP(G1312, Réttabanki!A:A, Réttabanki!BB:BB, "")) * I1312 / 100, ""), "")))</f>
        <v/>
      </c>
    </row>
    <row r="1313" spans="2:17">
      <c r="B1313" s="33" t="str">
        <f>IF(A1313&lt;&gt;"",CHOOSE(WEEKDAY(A1313,2),"Mánudagur","Þriðjudagur","Miðvikudagur","Fimmtudagur","Föstudagur","Laugardagur","Sunnudagur"),IF(B1312&lt;&gt;"",B1312,""))</f>
        <v>Fimmtudagur</v>
      </c>
      <c r="C1313" s="33">
        <f>IF(A1313&lt;&gt;"",WEEKNUM(A1313,21),IF(C1312&lt;&gt;"",C1312,""))</f>
        <v>27</v>
      </c>
      <c r="D1313" s="34"/>
      <c r="E1313" s="34"/>
      <c r="F1313" s="34"/>
      <c r="G1313" s="34"/>
      <c r="H1313" s="34"/>
      <c r="I1313" s="35"/>
      <c r="J1313" s="35"/>
      <c r="K1313" s="36"/>
      <c r="L1313" s="26" t="str">
        <f>IF(OR(F1313 = "", G1313 = ""), "", IF(F1313 = "Vara", IFERROR(_xlfn.SINGLE(_xlfn.XLOOKUP(G1313, Vöruskrá!A:A, Vöruskrá!E:E, "")), ""), IF(F1313 = "Réttur", IFERROR(_xlfn.SINGLE(_xlfn.XLOOKUP(G1313, Réttabanki!A:A, Réttabanki!AS:AS, "")), ""), "")))</f>
        <v/>
      </c>
      <c r="M1313" s="26" t="str">
        <f>IF(OR(F1313 = "", G1313 = ""), "", IF(F1313 = "Vara", IFERROR(_xlfn.SINGLE(_xlfn.XLOOKUP(G1313, Vöruskrá!A:A, Vöruskrá!F:F, "")), ""), IF(F1313 = "Réttur", IFERROR(_xlfn.SINGLE(_xlfn.XLOOKUP(G1313, Réttabanki!A:A, Réttabanki!AT:AT, "")), ""), "")))</f>
        <v/>
      </c>
      <c r="N1313" s="26" t="str">
        <f>IF(OR(F1313 = "", G1313 = ""), "", IF(F1313 = "Vara", IFERROR(_xlfn.SINGLE(_xlfn.XLOOKUP(G1313, Vöruskrá!A:A, Vöruskrá!G:G, "")), ""), IF(F1313 = "Réttur", IFERROR(_xlfn.SINGLE(_xlfn.XLOOKUP(G1313, Réttabanki!A:A, Réttabanki!AU:AU, "")), ""), "")))</f>
        <v/>
      </c>
      <c r="O1313" s="26" t="str">
        <f>IF(OR(F1313 = "", G1313 = "", I1313 = ""), "", IF(F1313 = "Vara", IFERROR(_xlfn.SINGLE(_xlfn.XLOOKUP(G1313, Vöruskrá!A:A, Vöruskrá!I:I, "")) * I1313 / 100, ""), IF(F1313 = "Réttur", IFERROR(_xlfn.SINGLE(_xlfn.XLOOKUP(G1313, Réttabanki!A:A, Réttabanki!AV:AV, "")) * I1313 / 100, ""), "")))</f>
        <v/>
      </c>
      <c r="P1313" s="26" t="str">
        <f>IF(OR(F1313 = "", G1313 = "", I1313 = ""), "", IF(F1313 = "Vara", IFERROR(_xlfn.SINGLE(_xlfn.XLOOKUP(G1313, Vöruskrá!A:A, Vöruskrá!J:J, "")) * I1313 / 100, ""), IF(F1313 = "Réttur", IFERROR(_xlfn.SINGLE(_xlfn.XLOOKUP(G1313, Réttabanki!A:A, Réttabanki!AW:AW, "")) * I1313 / 100, ""), "")))</f>
        <v/>
      </c>
      <c r="Q1313" s="26" t="str">
        <f>IF(OR(F1313 = "", G1313 = "", I1313 = ""), "", IF(F1313 = "Vara", IFERROR(_xlfn.SINGLE(_xlfn.XLOOKUP(G1313, Vöruskrá!A:A, Vöruskrá!N:N, "")) * I1313 / 100, ""), IF(F1313 = "Réttur", IFERROR(_xlfn.SINGLE(_xlfn.XLOOKUP(G1313, Réttabanki!A:A, Réttabanki!BB:BB, "")) * I1313 / 100, ""), "")))</f>
        <v/>
      </c>
    </row>
    <row r="1314" spans="2:17">
      <c r="B1314" s="33" t="str">
        <f>IF(A1314&lt;&gt;"",CHOOSE(WEEKDAY(A1314,2),"Mánudagur","Þriðjudagur","Miðvikudagur","Fimmtudagur","Föstudagur","Laugardagur","Sunnudagur"),IF(B1313&lt;&gt;"",B1313,""))</f>
        <v>Fimmtudagur</v>
      </c>
      <c r="C1314" s="33">
        <f>IF(A1314&lt;&gt;"",WEEKNUM(A1314,21),IF(C1313&lt;&gt;"",C1313,""))</f>
        <v>27</v>
      </c>
      <c r="D1314" s="34"/>
      <c r="E1314" s="34"/>
      <c r="F1314" s="34"/>
      <c r="G1314" s="34"/>
      <c r="H1314" s="34"/>
      <c r="I1314" s="35"/>
      <c r="J1314" s="35"/>
      <c r="K1314" s="36"/>
      <c r="L1314" s="26" t="str">
        <f>IF(OR(F1314 = "", G1314 = ""), "", IF(F1314 = "Vara", IFERROR(_xlfn.SINGLE(_xlfn.XLOOKUP(G1314, Vöruskrá!A:A, Vöruskrá!E:E, "")), ""), IF(F1314 = "Réttur", IFERROR(_xlfn.SINGLE(_xlfn.XLOOKUP(G1314, Réttabanki!A:A, Réttabanki!AS:AS, "")), ""), "")))</f>
        <v/>
      </c>
      <c r="M1314" s="26" t="str">
        <f>IF(OR(F1314 = "", G1314 = ""), "", IF(F1314 = "Vara", IFERROR(_xlfn.SINGLE(_xlfn.XLOOKUP(G1314, Vöruskrá!A:A, Vöruskrá!F:F, "")), ""), IF(F1314 = "Réttur", IFERROR(_xlfn.SINGLE(_xlfn.XLOOKUP(G1314, Réttabanki!A:A, Réttabanki!AT:AT, "")), ""), "")))</f>
        <v/>
      </c>
      <c r="N1314" s="26" t="str">
        <f>IF(OR(F1314 = "", G1314 = ""), "", IF(F1314 = "Vara", IFERROR(_xlfn.SINGLE(_xlfn.XLOOKUP(G1314, Vöruskrá!A:A, Vöruskrá!G:G, "")), ""), IF(F1314 = "Réttur", IFERROR(_xlfn.SINGLE(_xlfn.XLOOKUP(G1314, Réttabanki!A:A, Réttabanki!AU:AU, "")), ""), "")))</f>
        <v/>
      </c>
      <c r="O1314" s="26" t="str">
        <f>IF(OR(F1314 = "", G1314 = "", I1314 = ""), "", IF(F1314 = "Vara", IFERROR(_xlfn.SINGLE(_xlfn.XLOOKUP(G1314, Vöruskrá!A:A, Vöruskrá!I:I, "")) * I1314 / 100, ""), IF(F1314 = "Réttur", IFERROR(_xlfn.SINGLE(_xlfn.XLOOKUP(G1314, Réttabanki!A:A, Réttabanki!AV:AV, "")) * I1314 / 100, ""), "")))</f>
        <v/>
      </c>
      <c r="P1314" s="26" t="str">
        <f>IF(OR(F1314 = "", G1314 = "", I1314 = ""), "", IF(F1314 = "Vara", IFERROR(_xlfn.SINGLE(_xlfn.XLOOKUP(G1314, Vöruskrá!A:A, Vöruskrá!J:J, "")) * I1314 / 100, ""), IF(F1314 = "Réttur", IFERROR(_xlfn.SINGLE(_xlfn.XLOOKUP(G1314, Réttabanki!A:A, Réttabanki!AW:AW, "")) * I1314 / 100, ""), "")))</f>
        <v/>
      </c>
      <c r="Q1314" s="26" t="str">
        <f>IF(OR(F1314 = "", G1314 = "", I1314 = ""), "", IF(F1314 = "Vara", IFERROR(_xlfn.SINGLE(_xlfn.XLOOKUP(G1314, Vöruskrá!A:A, Vöruskrá!N:N, "")) * I1314 / 100, ""), IF(F1314 = "Réttur", IFERROR(_xlfn.SINGLE(_xlfn.XLOOKUP(G1314, Réttabanki!A:A, Réttabanki!BB:BB, "")) * I1314 / 100, ""), "")))</f>
        <v/>
      </c>
    </row>
    <row r="1315" spans="2:17">
      <c r="B1315" s="33" t="str">
        <f>IF(A1315&lt;&gt;"",CHOOSE(WEEKDAY(A1315,2),"Mánudagur","Þriðjudagur","Miðvikudagur","Fimmtudagur","Föstudagur","Laugardagur","Sunnudagur"),IF(B1314&lt;&gt;"",B1314,""))</f>
        <v>Fimmtudagur</v>
      </c>
      <c r="C1315" s="33">
        <f>IF(A1315&lt;&gt;"",WEEKNUM(A1315,21),IF(C1314&lt;&gt;"",C1314,""))</f>
        <v>27</v>
      </c>
      <c r="D1315" s="34"/>
      <c r="E1315" s="34"/>
      <c r="F1315" s="34"/>
      <c r="G1315" s="34"/>
      <c r="H1315" s="34"/>
      <c r="I1315" s="35"/>
      <c r="J1315" s="35"/>
      <c r="K1315" s="36"/>
      <c r="L1315" s="26" t="str">
        <f>IF(OR(F1315 = "", G1315 = ""), "", IF(F1315 = "Vara", IFERROR(_xlfn.SINGLE(_xlfn.XLOOKUP(G1315, Vöruskrá!A:A, Vöruskrá!E:E, "")), ""), IF(F1315 = "Réttur", IFERROR(_xlfn.SINGLE(_xlfn.XLOOKUP(G1315, Réttabanki!A:A, Réttabanki!AS:AS, "")), ""), "")))</f>
        <v/>
      </c>
      <c r="M1315" s="26" t="str">
        <f>IF(OR(F1315 = "", G1315 = ""), "", IF(F1315 = "Vara", IFERROR(_xlfn.SINGLE(_xlfn.XLOOKUP(G1315, Vöruskrá!A:A, Vöruskrá!F:F, "")), ""), IF(F1315 = "Réttur", IFERROR(_xlfn.SINGLE(_xlfn.XLOOKUP(G1315, Réttabanki!A:A, Réttabanki!AT:AT, "")), ""), "")))</f>
        <v/>
      </c>
      <c r="N1315" s="26" t="str">
        <f>IF(OR(F1315 = "", G1315 = ""), "", IF(F1315 = "Vara", IFERROR(_xlfn.SINGLE(_xlfn.XLOOKUP(G1315, Vöruskrá!A:A, Vöruskrá!G:G, "")), ""), IF(F1315 = "Réttur", IFERROR(_xlfn.SINGLE(_xlfn.XLOOKUP(G1315, Réttabanki!A:A, Réttabanki!AU:AU, "")), ""), "")))</f>
        <v/>
      </c>
      <c r="O1315" s="26" t="str">
        <f>IF(OR(F1315 = "", G1315 = "", I1315 = ""), "", IF(F1315 = "Vara", IFERROR(_xlfn.SINGLE(_xlfn.XLOOKUP(G1315, Vöruskrá!A:A, Vöruskrá!I:I, "")) * I1315 / 100, ""), IF(F1315 = "Réttur", IFERROR(_xlfn.SINGLE(_xlfn.XLOOKUP(G1315, Réttabanki!A:A, Réttabanki!AV:AV, "")) * I1315 / 100, ""), "")))</f>
        <v/>
      </c>
      <c r="P1315" s="26" t="str">
        <f>IF(OR(F1315 = "", G1315 = "", I1315 = ""), "", IF(F1315 = "Vara", IFERROR(_xlfn.SINGLE(_xlfn.XLOOKUP(G1315, Vöruskrá!A:A, Vöruskrá!J:J, "")) * I1315 / 100, ""), IF(F1315 = "Réttur", IFERROR(_xlfn.SINGLE(_xlfn.XLOOKUP(G1315, Réttabanki!A:A, Réttabanki!AW:AW, "")) * I1315 / 100, ""), "")))</f>
        <v/>
      </c>
      <c r="Q1315" s="26" t="str">
        <f>IF(OR(F1315 = "", G1315 = "", I1315 = ""), "", IF(F1315 = "Vara", IFERROR(_xlfn.SINGLE(_xlfn.XLOOKUP(G1315, Vöruskrá!A:A, Vöruskrá!N:N, "")) * I1315 / 100, ""), IF(F1315 = "Réttur", IFERROR(_xlfn.SINGLE(_xlfn.XLOOKUP(G1315, Réttabanki!A:A, Réttabanki!BB:BB, "")) * I1315 / 100, ""), "")))</f>
        <v/>
      </c>
    </row>
    <row r="1316" spans="2:17">
      <c r="B1316" s="33" t="str">
        <f>IF(A1316&lt;&gt;"",CHOOSE(WEEKDAY(A1316,2),"Mánudagur","Þriðjudagur","Miðvikudagur","Fimmtudagur","Föstudagur","Laugardagur","Sunnudagur"),IF(B1315&lt;&gt;"",B1315,""))</f>
        <v>Fimmtudagur</v>
      </c>
      <c r="C1316" s="33">
        <f>IF(A1316&lt;&gt;"",WEEKNUM(A1316,21),IF(C1315&lt;&gt;"",C1315,""))</f>
        <v>27</v>
      </c>
      <c r="D1316" s="34"/>
      <c r="E1316" s="34"/>
      <c r="F1316" s="34"/>
      <c r="G1316" s="34"/>
      <c r="H1316" s="34"/>
      <c r="I1316" s="35"/>
      <c r="J1316" s="35"/>
      <c r="K1316" s="36"/>
      <c r="L1316" s="26" t="str">
        <f>IF(OR(F1316 = "", G1316 = ""), "", IF(F1316 = "Vara", IFERROR(_xlfn.SINGLE(_xlfn.XLOOKUP(G1316, Vöruskrá!A:A, Vöruskrá!E:E, "")), ""), IF(F1316 = "Réttur", IFERROR(_xlfn.SINGLE(_xlfn.XLOOKUP(G1316, Réttabanki!A:A, Réttabanki!AS:AS, "")), ""), "")))</f>
        <v/>
      </c>
      <c r="M1316" s="26" t="str">
        <f>IF(OR(F1316 = "", G1316 = ""), "", IF(F1316 = "Vara", IFERROR(_xlfn.SINGLE(_xlfn.XLOOKUP(G1316, Vöruskrá!A:A, Vöruskrá!F:F, "")), ""), IF(F1316 = "Réttur", IFERROR(_xlfn.SINGLE(_xlfn.XLOOKUP(G1316, Réttabanki!A:A, Réttabanki!AT:AT, "")), ""), "")))</f>
        <v/>
      </c>
      <c r="N1316" s="26" t="str">
        <f>IF(OR(F1316 = "", G1316 = ""), "", IF(F1316 = "Vara", IFERROR(_xlfn.SINGLE(_xlfn.XLOOKUP(G1316, Vöruskrá!A:A, Vöruskrá!G:G, "")), ""), IF(F1316 = "Réttur", IFERROR(_xlfn.SINGLE(_xlfn.XLOOKUP(G1316, Réttabanki!A:A, Réttabanki!AU:AU, "")), ""), "")))</f>
        <v/>
      </c>
      <c r="O1316" s="26" t="str">
        <f>IF(OR(F1316 = "", G1316 = "", I1316 = ""), "", IF(F1316 = "Vara", IFERROR(_xlfn.SINGLE(_xlfn.XLOOKUP(G1316, Vöruskrá!A:A, Vöruskrá!I:I, "")) * I1316 / 100, ""), IF(F1316 = "Réttur", IFERROR(_xlfn.SINGLE(_xlfn.XLOOKUP(G1316, Réttabanki!A:A, Réttabanki!AV:AV, "")) * I1316 / 100, ""), "")))</f>
        <v/>
      </c>
      <c r="P1316" s="26" t="str">
        <f>IF(OR(F1316 = "", G1316 = "", I1316 = ""), "", IF(F1316 = "Vara", IFERROR(_xlfn.SINGLE(_xlfn.XLOOKUP(G1316, Vöruskrá!A:A, Vöruskrá!J:J, "")) * I1316 / 100, ""), IF(F1316 = "Réttur", IFERROR(_xlfn.SINGLE(_xlfn.XLOOKUP(G1316, Réttabanki!A:A, Réttabanki!AW:AW, "")) * I1316 / 100, ""), "")))</f>
        <v/>
      </c>
      <c r="Q1316" s="26" t="str">
        <f>IF(OR(F1316 = "", G1316 = "", I1316 = ""), "", IF(F1316 = "Vara", IFERROR(_xlfn.SINGLE(_xlfn.XLOOKUP(G1316, Vöruskrá!A:A, Vöruskrá!N:N, "")) * I1316 / 100, ""), IF(F1316 = "Réttur", IFERROR(_xlfn.SINGLE(_xlfn.XLOOKUP(G1316, Réttabanki!A:A, Réttabanki!BB:BB, "")) * I1316 / 100, ""), "")))</f>
        <v/>
      </c>
    </row>
    <row r="1317" spans="2:17">
      <c r="B1317" s="33" t="str">
        <f>IF(A1317&lt;&gt;"",CHOOSE(WEEKDAY(A1317,2),"Mánudagur","Þriðjudagur","Miðvikudagur","Fimmtudagur","Föstudagur","Laugardagur","Sunnudagur"),IF(B1316&lt;&gt;"",B1316,""))</f>
        <v>Fimmtudagur</v>
      </c>
      <c r="C1317" s="33">
        <f>IF(A1317&lt;&gt;"",WEEKNUM(A1317,21),IF(C1316&lt;&gt;"",C1316,""))</f>
        <v>27</v>
      </c>
      <c r="D1317" s="34"/>
      <c r="E1317" s="34"/>
      <c r="F1317" s="34"/>
      <c r="G1317" s="34"/>
      <c r="H1317" s="34"/>
      <c r="I1317" s="35"/>
      <c r="J1317" s="35"/>
      <c r="K1317" s="36"/>
      <c r="L1317" s="26" t="str">
        <f>IF(OR(F1317 = "", G1317 = ""), "", IF(F1317 = "Vara", IFERROR(_xlfn.SINGLE(_xlfn.XLOOKUP(G1317, Vöruskrá!A:A, Vöruskrá!E:E, "")), ""), IF(F1317 = "Réttur", IFERROR(_xlfn.SINGLE(_xlfn.XLOOKUP(G1317, Réttabanki!A:A, Réttabanki!AS:AS, "")), ""), "")))</f>
        <v/>
      </c>
      <c r="M1317" s="26" t="str">
        <f>IF(OR(F1317 = "", G1317 = ""), "", IF(F1317 = "Vara", IFERROR(_xlfn.SINGLE(_xlfn.XLOOKUP(G1317, Vöruskrá!A:A, Vöruskrá!F:F, "")), ""), IF(F1317 = "Réttur", IFERROR(_xlfn.SINGLE(_xlfn.XLOOKUP(G1317, Réttabanki!A:A, Réttabanki!AT:AT, "")), ""), "")))</f>
        <v/>
      </c>
      <c r="N1317" s="26" t="str">
        <f>IF(OR(F1317 = "", G1317 = ""), "", IF(F1317 = "Vara", IFERROR(_xlfn.SINGLE(_xlfn.XLOOKUP(G1317, Vöruskrá!A:A, Vöruskrá!G:G, "")), ""), IF(F1317 = "Réttur", IFERROR(_xlfn.SINGLE(_xlfn.XLOOKUP(G1317, Réttabanki!A:A, Réttabanki!AU:AU, "")), ""), "")))</f>
        <v/>
      </c>
      <c r="O1317" s="26" t="str">
        <f>IF(OR(F1317 = "", G1317 = "", I1317 = ""), "", IF(F1317 = "Vara", IFERROR(_xlfn.SINGLE(_xlfn.XLOOKUP(G1317, Vöruskrá!A:A, Vöruskrá!I:I, "")) * I1317 / 100, ""), IF(F1317 = "Réttur", IFERROR(_xlfn.SINGLE(_xlfn.XLOOKUP(G1317, Réttabanki!A:A, Réttabanki!AV:AV, "")) * I1317 / 100, ""), "")))</f>
        <v/>
      </c>
      <c r="P1317" s="26" t="str">
        <f>IF(OR(F1317 = "", G1317 = "", I1317 = ""), "", IF(F1317 = "Vara", IFERROR(_xlfn.SINGLE(_xlfn.XLOOKUP(G1317, Vöruskrá!A:A, Vöruskrá!J:J, "")) * I1317 / 100, ""), IF(F1317 = "Réttur", IFERROR(_xlfn.SINGLE(_xlfn.XLOOKUP(G1317, Réttabanki!A:A, Réttabanki!AW:AW, "")) * I1317 / 100, ""), "")))</f>
        <v/>
      </c>
      <c r="Q1317" s="26" t="str">
        <f>IF(OR(F1317 = "", G1317 = "", I1317 = ""), "", IF(F1317 = "Vara", IFERROR(_xlfn.SINGLE(_xlfn.XLOOKUP(G1317, Vöruskrá!A:A, Vöruskrá!N:N, "")) * I1317 / 100, ""), IF(F1317 = "Réttur", IFERROR(_xlfn.SINGLE(_xlfn.XLOOKUP(G1317, Réttabanki!A:A, Réttabanki!BB:BB, "")) * I1317 / 100, ""), "")))</f>
        <v/>
      </c>
    </row>
    <row r="1318" spans="2:17">
      <c r="B1318" s="33" t="str">
        <f>IF(A1318&lt;&gt;"",CHOOSE(WEEKDAY(A1318,2),"Mánudagur","Þriðjudagur","Miðvikudagur","Fimmtudagur","Föstudagur","Laugardagur","Sunnudagur"),IF(B1317&lt;&gt;"",B1317,""))</f>
        <v>Fimmtudagur</v>
      </c>
      <c r="C1318" s="33">
        <f>IF(A1318&lt;&gt;"",WEEKNUM(A1318,21),IF(C1317&lt;&gt;"",C1317,""))</f>
        <v>27</v>
      </c>
      <c r="D1318" s="34"/>
      <c r="E1318" s="34"/>
      <c r="F1318" s="34"/>
      <c r="G1318" s="34"/>
      <c r="H1318" s="34"/>
      <c r="I1318" s="35"/>
      <c r="J1318" s="35"/>
      <c r="K1318" s="36"/>
      <c r="L1318" s="26" t="str">
        <f>IF(OR(F1318 = "", G1318 = ""), "", IF(F1318 = "Vara", IFERROR(_xlfn.SINGLE(_xlfn.XLOOKUP(G1318, Vöruskrá!A:A, Vöruskrá!E:E, "")), ""), IF(F1318 = "Réttur", IFERROR(_xlfn.SINGLE(_xlfn.XLOOKUP(G1318, Réttabanki!A:A, Réttabanki!AS:AS, "")), ""), "")))</f>
        <v/>
      </c>
      <c r="M1318" s="26" t="str">
        <f>IF(OR(F1318 = "", G1318 = ""), "", IF(F1318 = "Vara", IFERROR(_xlfn.SINGLE(_xlfn.XLOOKUP(G1318, Vöruskrá!A:A, Vöruskrá!F:F, "")), ""), IF(F1318 = "Réttur", IFERROR(_xlfn.SINGLE(_xlfn.XLOOKUP(G1318, Réttabanki!A:A, Réttabanki!AT:AT, "")), ""), "")))</f>
        <v/>
      </c>
      <c r="N1318" s="26" t="str">
        <f>IF(OR(F1318 = "", G1318 = ""), "", IF(F1318 = "Vara", IFERROR(_xlfn.SINGLE(_xlfn.XLOOKUP(G1318, Vöruskrá!A:A, Vöruskrá!G:G, "")), ""), IF(F1318 = "Réttur", IFERROR(_xlfn.SINGLE(_xlfn.XLOOKUP(G1318, Réttabanki!A:A, Réttabanki!AU:AU, "")), ""), "")))</f>
        <v/>
      </c>
      <c r="O1318" s="26" t="str">
        <f>IF(OR(F1318 = "", G1318 = "", I1318 = ""), "", IF(F1318 = "Vara", IFERROR(_xlfn.SINGLE(_xlfn.XLOOKUP(G1318, Vöruskrá!A:A, Vöruskrá!I:I, "")) * I1318 / 100, ""), IF(F1318 = "Réttur", IFERROR(_xlfn.SINGLE(_xlfn.XLOOKUP(G1318, Réttabanki!A:A, Réttabanki!AV:AV, "")) * I1318 / 100, ""), "")))</f>
        <v/>
      </c>
      <c r="P1318" s="26" t="str">
        <f>IF(OR(F1318 = "", G1318 = "", I1318 = ""), "", IF(F1318 = "Vara", IFERROR(_xlfn.SINGLE(_xlfn.XLOOKUP(G1318, Vöruskrá!A:A, Vöruskrá!J:J, "")) * I1318 / 100, ""), IF(F1318 = "Réttur", IFERROR(_xlfn.SINGLE(_xlfn.XLOOKUP(G1318, Réttabanki!A:A, Réttabanki!AW:AW, "")) * I1318 / 100, ""), "")))</f>
        <v/>
      </c>
      <c r="Q1318" s="26" t="str">
        <f>IF(OR(F1318 = "", G1318 = "", I1318 = ""), "", IF(F1318 = "Vara", IFERROR(_xlfn.SINGLE(_xlfn.XLOOKUP(G1318, Vöruskrá!A:A, Vöruskrá!N:N, "")) * I1318 / 100, ""), IF(F1318 = "Réttur", IFERROR(_xlfn.SINGLE(_xlfn.XLOOKUP(G1318, Réttabanki!A:A, Réttabanki!BB:BB, "")) * I1318 / 100, ""), "")))</f>
        <v/>
      </c>
    </row>
    <row r="1319" spans="2:17">
      <c r="B1319" s="33" t="str">
        <f>IF(A1319&lt;&gt;"",CHOOSE(WEEKDAY(A1319,2),"Mánudagur","Þriðjudagur","Miðvikudagur","Fimmtudagur","Föstudagur","Laugardagur","Sunnudagur"),IF(B1318&lt;&gt;"",B1318,""))</f>
        <v>Fimmtudagur</v>
      </c>
      <c r="C1319" s="33">
        <f>IF(A1319&lt;&gt;"",WEEKNUM(A1319,21),IF(C1318&lt;&gt;"",C1318,""))</f>
        <v>27</v>
      </c>
      <c r="D1319" s="34"/>
      <c r="E1319" s="34"/>
      <c r="F1319" s="34"/>
      <c r="G1319" s="34"/>
      <c r="H1319" s="34"/>
      <c r="I1319" s="35"/>
      <c r="J1319" s="35"/>
      <c r="K1319" s="36"/>
      <c r="L1319" s="26" t="str">
        <f>IF(OR(F1319 = "", G1319 = ""), "", IF(F1319 = "Vara", IFERROR(_xlfn.SINGLE(_xlfn.XLOOKUP(G1319, Vöruskrá!A:A, Vöruskrá!E:E, "")), ""), IF(F1319 = "Réttur", IFERROR(_xlfn.SINGLE(_xlfn.XLOOKUP(G1319, Réttabanki!A:A, Réttabanki!AS:AS, "")), ""), "")))</f>
        <v/>
      </c>
      <c r="M1319" s="26" t="str">
        <f>IF(OR(F1319 = "", G1319 = ""), "", IF(F1319 = "Vara", IFERROR(_xlfn.SINGLE(_xlfn.XLOOKUP(G1319, Vöruskrá!A:A, Vöruskrá!F:F, "")), ""), IF(F1319 = "Réttur", IFERROR(_xlfn.SINGLE(_xlfn.XLOOKUP(G1319, Réttabanki!A:A, Réttabanki!AT:AT, "")), ""), "")))</f>
        <v/>
      </c>
      <c r="N1319" s="26" t="str">
        <f>IF(OR(F1319 = "", G1319 = ""), "", IF(F1319 = "Vara", IFERROR(_xlfn.SINGLE(_xlfn.XLOOKUP(G1319, Vöruskrá!A:A, Vöruskrá!G:G, "")), ""), IF(F1319 = "Réttur", IFERROR(_xlfn.SINGLE(_xlfn.XLOOKUP(G1319, Réttabanki!A:A, Réttabanki!AU:AU, "")), ""), "")))</f>
        <v/>
      </c>
      <c r="O1319" s="26" t="str">
        <f>IF(OR(F1319 = "", G1319 = "", I1319 = ""), "", IF(F1319 = "Vara", IFERROR(_xlfn.SINGLE(_xlfn.XLOOKUP(G1319, Vöruskrá!A:A, Vöruskrá!I:I, "")) * I1319 / 100, ""), IF(F1319 = "Réttur", IFERROR(_xlfn.SINGLE(_xlfn.XLOOKUP(G1319, Réttabanki!A:A, Réttabanki!AV:AV, "")) * I1319 / 100, ""), "")))</f>
        <v/>
      </c>
      <c r="P1319" s="26" t="str">
        <f>IF(OR(F1319 = "", G1319 = "", I1319 = ""), "", IF(F1319 = "Vara", IFERROR(_xlfn.SINGLE(_xlfn.XLOOKUP(G1319, Vöruskrá!A:A, Vöruskrá!J:J, "")) * I1319 / 100, ""), IF(F1319 = "Réttur", IFERROR(_xlfn.SINGLE(_xlfn.XLOOKUP(G1319, Réttabanki!A:A, Réttabanki!AW:AW, "")) * I1319 / 100, ""), "")))</f>
        <v/>
      </c>
      <c r="Q1319" s="26" t="str">
        <f>IF(OR(F1319 = "", G1319 = "", I1319 = ""), "", IF(F1319 = "Vara", IFERROR(_xlfn.SINGLE(_xlfn.XLOOKUP(G1319, Vöruskrá!A:A, Vöruskrá!N:N, "")) * I1319 / 100, ""), IF(F1319 = "Réttur", IFERROR(_xlfn.SINGLE(_xlfn.XLOOKUP(G1319, Réttabanki!A:A, Réttabanki!BB:BB, "")) * I1319 / 100, ""), "")))</f>
        <v/>
      </c>
    </row>
    <row r="1320" spans="2:17">
      <c r="B1320" s="33" t="str">
        <f>IF(A1320&lt;&gt;"",CHOOSE(WEEKDAY(A1320,2),"Mánudagur","Þriðjudagur","Miðvikudagur","Fimmtudagur","Föstudagur","Laugardagur","Sunnudagur"),IF(B1319&lt;&gt;"",B1319,""))</f>
        <v>Fimmtudagur</v>
      </c>
      <c r="C1320" s="33">
        <f>IF(A1320&lt;&gt;"",WEEKNUM(A1320,21),IF(C1319&lt;&gt;"",C1319,""))</f>
        <v>27</v>
      </c>
      <c r="D1320" s="34"/>
      <c r="E1320" s="34"/>
      <c r="F1320" s="34"/>
      <c r="G1320" s="34"/>
      <c r="H1320" s="34"/>
      <c r="I1320" s="35"/>
      <c r="J1320" s="35"/>
      <c r="K1320" s="36"/>
      <c r="L1320" s="26" t="str">
        <f>IF(OR(F1320 = "", G1320 = ""), "", IF(F1320 = "Vara", IFERROR(_xlfn.SINGLE(_xlfn.XLOOKUP(G1320, Vöruskrá!A:A, Vöruskrá!E:E, "")), ""), IF(F1320 = "Réttur", IFERROR(_xlfn.SINGLE(_xlfn.XLOOKUP(G1320, Réttabanki!A:A, Réttabanki!AS:AS, "")), ""), "")))</f>
        <v/>
      </c>
      <c r="M1320" s="26" t="str">
        <f>IF(OR(F1320 = "", G1320 = ""), "", IF(F1320 = "Vara", IFERROR(_xlfn.SINGLE(_xlfn.XLOOKUP(G1320, Vöruskrá!A:A, Vöruskrá!F:F, "")), ""), IF(F1320 = "Réttur", IFERROR(_xlfn.SINGLE(_xlfn.XLOOKUP(G1320, Réttabanki!A:A, Réttabanki!AT:AT, "")), ""), "")))</f>
        <v/>
      </c>
      <c r="N1320" s="26" t="str">
        <f>IF(OR(F1320 = "", G1320 = ""), "", IF(F1320 = "Vara", IFERROR(_xlfn.SINGLE(_xlfn.XLOOKUP(G1320, Vöruskrá!A:A, Vöruskrá!G:G, "")), ""), IF(F1320 = "Réttur", IFERROR(_xlfn.SINGLE(_xlfn.XLOOKUP(G1320, Réttabanki!A:A, Réttabanki!AU:AU, "")), ""), "")))</f>
        <v/>
      </c>
      <c r="O1320" s="26" t="str">
        <f>IF(OR(F1320 = "", G1320 = "", I1320 = ""), "", IF(F1320 = "Vara", IFERROR(_xlfn.SINGLE(_xlfn.XLOOKUP(G1320, Vöruskrá!A:A, Vöruskrá!I:I, "")) * I1320 / 100, ""), IF(F1320 = "Réttur", IFERROR(_xlfn.SINGLE(_xlfn.XLOOKUP(G1320, Réttabanki!A:A, Réttabanki!AV:AV, "")) * I1320 / 100, ""), "")))</f>
        <v/>
      </c>
      <c r="P1320" s="26" t="str">
        <f>IF(OR(F1320 = "", G1320 = "", I1320 = ""), "", IF(F1320 = "Vara", IFERROR(_xlfn.SINGLE(_xlfn.XLOOKUP(G1320, Vöruskrá!A:A, Vöruskrá!J:J, "")) * I1320 / 100, ""), IF(F1320 = "Réttur", IFERROR(_xlfn.SINGLE(_xlfn.XLOOKUP(G1320, Réttabanki!A:A, Réttabanki!AW:AW, "")) * I1320 / 100, ""), "")))</f>
        <v/>
      </c>
      <c r="Q1320" s="26" t="str">
        <f>IF(OR(F1320 = "", G1320 = "", I1320 = ""), "", IF(F1320 = "Vara", IFERROR(_xlfn.SINGLE(_xlfn.XLOOKUP(G1320, Vöruskrá!A:A, Vöruskrá!N:N, "")) * I1320 / 100, ""), IF(F1320 = "Réttur", IFERROR(_xlfn.SINGLE(_xlfn.XLOOKUP(G1320, Réttabanki!A:A, Réttabanki!BB:BB, "")) * I1320 / 100, ""), "")))</f>
        <v/>
      </c>
    </row>
    <row r="1321" spans="2:17">
      <c r="B1321" s="33" t="str">
        <f>IF(A1321&lt;&gt;"",CHOOSE(WEEKDAY(A1321,2),"Mánudagur","Þriðjudagur","Miðvikudagur","Fimmtudagur","Föstudagur","Laugardagur","Sunnudagur"),IF(B1320&lt;&gt;"",B1320,""))</f>
        <v>Fimmtudagur</v>
      </c>
      <c r="C1321" s="33">
        <f>IF(A1321&lt;&gt;"",WEEKNUM(A1321,21),IF(C1320&lt;&gt;"",C1320,""))</f>
        <v>27</v>
      </c>
      <c r="D1321" s="34"/>
      <c r="E1321" s="34"/>
      <c r="F1321" s="34"/>
      <c r="G1321" s="34"/>
      <c r="H1321" s="34"/>
      <c r="I1321" s="35"/>
      <c r="J1321" s="35"/>
      <c r="K1321" s="36"/>
      <c r="L1321" s="26" t="str">
        <f>IF(OR(F1321 = "", G1321 = ""), "", IF(F1321 = "Vara", IFERROR(_xlfn.SINGLE(_xlfn.XLOOKUP(G1321, Vöruskrá!A:A, Vöruskrá!E:E, "")), ""), IF(F1321 = "Réttur", IFERROR(_xlfn.SINGLE(_xlfn.XLOOKUP(G1321, Réttabanki!A:A, Réttabanki!AS:AS, "")), ""), "")))</f>
        <v/>
      </c>
      <c r="M1321" s="26" t="str">
        <f>IF(OR(F1321 = "", G1321 = ""), "", IF(F1321 = "Vara", IFERROR(_xlfn.SINGLE(_xlfn.XLOOKUP(G1321, Vöruskrá!A:A, Vöruskrá!F:F, "")), ""), IF(F1321 = "Réttur", IFERROR(_xlfn.SINGLE(_xlfn.XLOOKUP(G1321, Réttabanki!A:A, Réttabanki!AT:AT, "")), ""), "")))</f>
        <v/>
      </c>
      <c r="N1321" s="26" t="str">
        <f>IF(OR(F1321 = "", G1321 = ""), "", IF(F1321 = "Vara", IFERROR(_xlfn.SINGLE(_xlfn.XLOOKUP(G1321, Vöruskrá!A:A, Vöruskrá!G:G, "")), ""), IF(F1321 = "Réttur", IFERROR(_xlfn.SINGLE(_xlfn.XLOOKUP(G1321, Réttabanki!A:A, Réttabanki!AU:AU, "")), ""), "")))</f>
        <v/>
      </c>
      <c r="O1321" s="26" t="str">
        <f>IF(OR(F1321 = "", G1321 = "", I1321 = ""), "", IF(F1321 = "Vara", IFERROR(_xlfn.SINGLE(_xlfn.XLOOKUP(G1321, Vöruskrá!A:A, Vöruskrá!I:I, "")) * I1321 / 100, ""), IF(F1321 = "Réttur", IFERROR(_xlfn.SINGLE(_xlfn.XLOOKUP(G1321, Réttabanki!A:A, Réttabanki!AV:AV, "")) * I1321 / 100, ""), "")))</f>
        <v/>
      </c>
      <c r="P1321" s="26" t="str">
        <f>IF(OR(F1321 = "", G1321 = "", I1321 = ""), "", IF(F1321 = "Vara", IFERROR(_xlfn.SINGLE(_xlfn.XLOOKUP(G1321, Vöruskrá!A:A, Vöruskrá!J:J, "")) * I1321 / 100, ""), IF(F1321 = "Réttur", IFERROR(_xlfn.SINGLE(_xlfn.XLOOKUP(G1321, Réttabanki!A:A, Réttabanki!AW:AW, "")) * I1321 / 100, ""), "")))</f>
        <v/>
      </c>
      <c r="Q1321" s="26" t="str">
        <f>IF(OR(F1321 = "", G1321 = "", I1321 = ""), "", IF(F1321 = "Vara", IFERROR(_xlfn.SINGLE(_xlfn.XLOOKUP(G1321, Vöruskrá!A:A, Vöruskrá!N:N, "")) * I1321 / 100, ""), IF(F1321 = "Réttur", IFERROR(_xlfn.SINGLE(_xlfn.XLOOKUP(G1321, Réttabanki!A:A, Réttabanki!BB:BB, "")) * I1321 / 100, ""), "")))</f>
        <v/>
      </c>
    </row>
    <row r="1322" spans="2:17">
      <c r="B1322" s="33" t="str">
        <f>IF(A1322&lt;&gt;"",CHOOSE(WEEKDAY(A1322,2),"Mánudagur","Þriðjudagur","Miðvikudagur","Fimmtudagur","Föstudagur","Laugardagur","Sunnudagur"),IF(B1321&lt;&gt;"",B1321,""))</f>
        <v>Fimmtudagur</v>
      </c>
      <c r="C1322" s="33">
        <f>IF(A1322&lt;&gt;"",WEEKNUM(A1322,21),IF(C1321&lt;&gt;"",C1321,""))</f>
        <v>27</v>
      </c>
      <c r="D1322" s="34"/>
      <c r="E1322" s="34"/>
      <c r="F1322" s="34"/>
      <c r="G1322" s="34"/>
      <c r="H1322" s="34"/>
      <c r="I1322" s="35"/>
      <c r="J1322" s="35"/>
      <c r="K1322" s="36"/>
      <c r="L1322" s="26" t="str">
        <f>IF(OR(F1322 = "", G1322 = ""), "", IF(F1322 = "Vara", IFERROR(_xlfn.SINGLE(_xlfn.XLOOKUP(G1322, Vöruskrá!A:A, Vöruskrá!E:E, "")), ""), IF(F1322 = "Réttur", IFERROR(_xlfn.SINGLE(_xlfn.XLOOKUP(G1322, Réttabanki!A:A, Réttabanki!AS:AS, "")), ""), "")))</f>
        <v/>
      </c>
      <c r="M1322" s="26" t="str">
        <f>IF(OR(F1322 = "", G1322 = ""), "", IF(F1322 = "Vara", IFERROR(_xlfn.SINGLE(_xlfn.XLOOKUP(G1322, Vöruskrá!A:A, Vöruskrá!F:F, "")), ""), IF(F1322 = "Réttur", IFERROR(_xlfn.SINGLE(_xlfn.XLOOKUP(G1322, Réttabanki!A:A, Réttabanki!AT:AT, "")), ""), "")))</f>
        <v/>
      </c>
      <c r="N1322" s="26" t="str">
        <f>IF(OR(F1322 = "", G1322 = ""), "", IF(F1322 = "Vara", IFERROR(_xlfn.SINGLE(_xlfn.XLOOKUP(G1322, Vöruskrá!A:A, Vöruskrá!G:G, "")), ""), IF(F1322 = "Réttur", IFERROR(_xlfn.SINGLE(_xlfn.XLOOKUP(G1322, Réttabanki!A:A, Réttabanki!AU:AU, "")), ""), "")))</f>
        <v/>
      </c>
      <c r="O1322" s="26" t="str">
        <f>IF(OR(F1322 = "", G1322 = "", I1322 = ""), "", IF(F1322 = "Vara", IFERROR(_xlfn.SINGLE(_xlfn.XLOOKUP(G1322, Vöruskrá!A:A, Vöruskrá!I:I, "")) * I1322 / 100, ""), IF(F1322 = "Réttur", IFERROR(_xlfn.SINGLE(_xlfn.XLOOKUP(G1322, Réttabanki!A:A, Réttabanki!AV:AV, "")) * I1322 / 100, ""), "")))</f>
        <v/>
      </c>
      <c r="P1322" s="26" t="str">
        <f>IF(OR(F1322 = "", G1322 = "", I1322 = ""), "", IF(F1322 = "Vara", IFERROR(_xlfn.SINGLE(_xlfn.XLOOKUP(G1322, Vöruskrá!A:A, Vöruskrá!J:J, "")) * I1322 / 100, ""), IF(F1322 = "Réttur", IFERROR(_xlfn.SINGLE(_xlfn.XLOOKUP(G1322, Réttabanki!A:A, Réttabanki!AW:AW, "")) * I1322 / 100, ""), "")))</f>
        <v/>
      </c>
      <c r="Q1322" s="26" t="str">
        <f>IF(OR(F1322 = "", G1322 = "", I1322 = ""), "", IF(F1322 = "Vara", IFERROR(_xlfn.SINGLE(_xlfn.XLOOKUP(G1322, Vöruskrá!A:A, Vöruskrá!N:N, "")) * I1322 / 100, ""), IF(F1322 = "Réttur", IFERROR(_xlfn.SINGLE(_xlfn.XLOOKUP(G1322, Réttabanki!A:A, Réttabanki!BB:BB, "")) * I1322 / 100, ""), "")))</f>
        <v/>
      </c>
    </row>
    <row r="1323" spans="2:17">
      <c r="B1323" s="33" t="str">
        <f>IF(A1323&lt;&gt;"",CHOOSE(WEEKDAY(A1323,2),"Mánudagur","Þriðjudagur","Miðvikudagur","Fimmtudagur","Föstudagur","Laugardagur","Sunnudagur"),IF(B1322&lt;&gt;"",B1322,""))</f>
        <v>Fimmtudagur</v>
      </c>
      <c r="C1323" s="33">
        <f>IF(A1323&lt;&gt;"",WEEKNUM(A1323,21),IF(C1322&lt;&gt;"",C1322,""))</f>
        <v>27</v>
      </c>
      <c r="D1323" s="34"/>
      <c r="E1323" s="34"/>
      <c r="F1323" s="34"/>
      <c r="G1323" s="34"/>
      <c r="H1323" s="34"/>
      <c r="I1323" s="35"/>
      <c r="J1323" s="35"/>
      <c r="K1323" s="36"/>
      <c r="L1323" s="26" t="str">
        <f>IF(OR(F1323 = "", G1323 = ""), "", IF(F1323 = "Vara", IFERROR(_xlfn.SINGLE(_xlfn.XLOOKUP(G1323, Vöruskrá!A:A, Vöruskrá!E:E, "")), ""), IF(F1323 = "Réttur", IFERROR(_xlfn.SINGLE(_xlfn.XLOOKUP(G1323, Réttabanki!A:A, Réttabanki!AS:AS, "")), ""), "")))</f>
        <v/>
      </c>
      <c r="M1323" s="26" t="str">
        <f>IF(OR(F1323 = "", G1323 = ""), "", IF(F1323 = "Vara", IFERROR(_xlfn.SINGLE(_xlfn.XLOOKUP(G1323, Vöruskrá!A:A, Vöruskrá!F:F, "")), ""), IF(F1323 = "Réttur", IFERROR(_xlfn.SINGLE(_xlfn.XLOOKUP(G1323, Réttabanki!A:A, Réttabanki!AT:AT, "")), ""), "")))</f>
        <v/>
      </c>
      <c r="N1323" s="26" t="str">
        <f>IF(OR(F1323 = "", G1323 = ""), "", IF(F1323 = "Vara", IFERROR(_xlfn.SINGLE(_xlfn.XLOOKUP(G1323, Vöruskrá!A:A, Vöruskrá!G:G, "")), ""), IF(F1323 = "Réttur", IFERROR(_xlfn.SINGLE(_xlfn.XLOOKUP(G1323, Réttabanki!A:A, Réttabanki!AU:AU, "")), ""), "")))</f>
        <v/>
      </c>
      <c r="O1323" s="26" t="str">
        <f>IF(OR(F1323 = "", G1323 = "", I1323 = ""), "", IF(F1323 = "Vara", IFERROR(_xlfn.SINGLE(_xlfn.XLOOKUP(G1323, Vöruskrá!A:A, Vöruskrá!I:I, "")) * I1323 / 100, ""), IF(F1323 = "Réttur", IFERROR(_xlfn.SINGLE(_xlfn.XLOOKUP(G1323, Réttabanki!A:A, Réttabanki!AV:AV, "")) * I1323 / 100, ""), "")))</f>
        <v/>
      </c>
      <c r="P1323" s="26" t="str">
        <f>IF(OR(F1323 = "", G1323 = "", I1323 = ""), "", IF(F1323 = "Vara", IFERROR(_xlfn.SINGLE(_xlfn.XLOOKUP(G1323, Vöruskrá!A:A, Vöruskrá!J:J, "")) * I1323 / 100, ""), IF(F1323 = "Réttur", IFERROR(_xlfn.SINGLE(_xlfn.XLOOKUP(G1323, Réttabanki!A:A, Réttabanki!AW:AW, "")) * I1323 / 100, ""), "")))</f>
        <v/>
      </c>
      <c r="Q1323" s="26" t="str">
        <f>IF(OR(F1323 = "", G1323 = "", I1323 = ""), "", IF(F1323 = "Vara", IFERROR(_xlfn.SINGLE(_xlfn.XLOOKUP(G1323, Vöruskrá!A:A, Vöruskrá!N:N, "")) * I1323 / 100, ""), IF(F1323 = "Réttur", IFERROR(_xlfn.SINGLE(_xlfn.XLOOKUP(G1323, Réttabanki!A:A, Réttabanki!BB:BB, "")) * I1323 / 100, ""), "")))</f>
        <v/>
      </c>
    </row>
    <row r="1324" spans="2:17">
      <c r="B1324" s="33" t="str">
        <f>IF(A1324&lt;&gt;"",CHOOSE(WEEKDAY(A1324,2),"Mánudagur","Þriðjudagur","Miðvikudagur","Fimmtudagur","Föstudagur","Laugardagur","Sunnudagur"),IF(B1323&lt;&gt;"",B1323,""))</f>
        <v>Fimmtudagur</v>
      </c>
      <c r="C1324" s="33">
        <f>IF(A1324&lt;&gt;"",WEEKNUM(A1324,21),IF(C1323&lt;&gt;"",C1323,""))</f>
        <v>27</v>
      </c>
      <c r="D1324" s="34"/>
      <c r="E1324" s="34"/>
      <c r="F1324" s="34"/>
      <c r="G1324" s="34"/>
      <c r="H1324" s="34"/>
      <c r="I1324" s="35"/>
      <c r="J1324" s="35"/>
      <c r="K1324" s="36"/>
      <c r="L1324" s="26" t="str">
        <f>IF(OR(F1324 = "", G1324 = ""), "", IF(F1324 = "Vara", IFERROR(_xlfn.SINGLE(_xlfn.XLOOKUP(G1324, Vöruskrá!A:A, Vöruskrá!E:E, "")), ""), IF(F1324 = "Réttur", IFERROR(_xlfn.SINGLE(_xlfn.XLOOKUP(G1324, Réttabanki!A:A, Réttabanki!AS:AS, "")), ""), "")))</f>
        <v/>
      </c>
      <c r="M1324" s="26" t="str">
        <f>IF(OR(F1324 = "", G1324 = ""), "", IF(F1324 = "Vara", IFERROR(_xlfn.SINGLE(_xlfn.XLOOKUP(G1324, Vöruskrá!A:A, Vöruskrá!F:F, "")), ""), IF(F1324 = "Réttur", IFERROR(_xlfn.SINGLE(_xlfn.XLOOKUP(G1324, Réttabanki!A:A, Réttabanki!AT:AT, "")), ""), "")))</f>
        <v/>
      </c>
      <c r="N1324" s="26" t="str">
        <f>IF(OR(F1324 = "", G1324 = ""), "", IF(F1324 = "Vara", IFERROR(_xlfn.SINGLE(_xlfn.XLOOKUP(G1324, Vöruskrá!A:A, Vöruskrá!G:G, "")), ""), IF(F1324 = "Réttur", IFERROR(_xlfn.SINGLE(_xlfn.XLOOKUP(G1324, Réttabanki!A:A, Réttabanki!AU:AU, "")), ""), "")))</f>
        <v/>
      </c>
      <c r="O1324" s="26" t="str">
        <f>IF(OR(F1324 = "", G1324 = "", I1324 = ""), "", IF(F1324 = "Vara", IFERROR(_xlfn.SINGLE(_xlfn.XLOOKUP(G1324, Vöruskrá!A:A, Vöruskrá!I:I, "")) * I1324 / 100, ""), IF(F1324 = "Réttur", IFERROR(_xlfn.SINGLE(_xlfn.XLOOKUP(G1324, Réttabanki!A:A, Réttabanki!AV:AV, "")) * I1324 / 100, ""), "")))</f>
        <v/>
      </c>
      <c r="P1324" s="26" t="str">
        <f>IF(OR(F1324 = "", G1324 = "", I1324 = ""), "", IF(F1324 = "Vara", IFERROR(_xlfn.SINGLE(_xlfn.XLOOKUP(G1324, Vöruskrá!A:A, Vöruskrá!J:J, "")) * I1324 / 100, ""), IF(F1324 = "Réttur", IFERROR(_xlfn.SINGLE(_xlfn.XLOOKUP(G1324, Réttabanki!A:A, Réttabanki!AW:AW, "")) * I1324 / 100, ""), "")))</f>
        <v/>
      </c>
      <c r="Q1324" s="26" t="str">
        <f>IF(OR(F1324 = "", G1324 = "", I1324 = ""), "", IF(F1324 = "Vara", IFERROR(_xlfn.SINGLE(_xlfn.XLOOKUP(G1324, Vöruskrá!A:A, Vöruskrá!N:N, "")) * I1324 / 100, ""), IF(F1324 = "Réttur", IFERROR(_xlfn.SINGLE(_xlfn.XLOOKUP(G1324, Réttabanki!A:A, Réttabanki!BB:BB, "")) * I1324 / 100, ""), "")))</f>
        <v/>
      </c>
    </row>
    <row r="1325" spans="2:17">
      <c r="B1325" s="33" t="str">
        <f>IF(A1325&lt;&gt;"",CHOOSE(WEEKDAY(A1325,2),"Mánudagur","Þriðjudagur","Miðvikudagur","Fimmtudagur","Föstudagur","Laugardagur","Sunnudagur"),IF(B1324&lt;&gt;"",B1324,""))</f>
        <v>Fimmtudagur</v>
      </c>
      <c r="C1325" s="33">
        <f>IF(A1325&lt;&gt;"",WEEKNUM(A1325,21),IF(C1324&lt;&gt;"",C1324,""))</f>
        <v>27</v>
      </c>
      <c r="D1325" s="34"/>
      <c r="E1325" s="34"/>
      <c r="F1325" s="34"/>
      <c r="G1325" s="34"/>
      <c r="H1325" s="34"/>
      <c r="I1325" s="35"/>
      <c r="J1325" s="35"/>
      <c r="K1325" s="36"/>
      <c r="L1325" s="26" t="str">
        <f>IF(OR(F1325 = "", G1325 = ""), "", IF(F1325 = "Vara", IFERROR(_xlfn.SINGLE(_xlfn.XLOOKUP(G1325, Vöruskrá!A:A, Vöruskrá!E:E, "")), ""), IF(F1325 = "Réttur", IFERROR(_xlfn.SINGLE(_xlfn.XLOOKUP(G1325, Réttabanki!A:A, Réttabanki!AS:AS, "")), ""), "")))</f>
        <v/>
      </c>
      <c r="M1325" s="26" t="str">
        <f>IF(OR(F1325 = "", G1325 = ""), "", IF(F1325 = "Vara", IFERROR(_xlfn.SINGLE(_xlfn.XLOOKUP(G1325, Vöruskrá!A:A, Vöruskrá!F:F, "")), ""), IF(F1325 = "Réttur", IFERROR(_xlfn.SINGLE(_xlfn.XLOOKUP(G1325, Réttabanki!A:A, Réttabanki!AT:AT, "")), ""), "")))</f>
        <v/>
      </c>
      <c r="N1325" s="26" t="str">
        <f>IF(OR(F1325 = "", G1325 = ""), "", IF(F1325 = "Vara", IFERROR(_xlfn.SINGLE(_xlfn.XLOOKUP(G1325, Vöruskrá!A:A, Vöruskrá!G:G, "")), ""), IF(F1325 = "Réttur", IFERROR(_xlfn.SINGLE(_xlfn.XLOOKUP(G1325, Réttabanki!A:A, Réttabanki!AU:AU, "")), ""), "")))</f>
        <v/>
      </c>
      <c r="O1325" s="26" t="str">
        <f>IF(OR(F1325 = "", G1325 = "", I1325 = ""), "", IF(F1325 = "Vara", IFERROR(_xlfn.SINGLE(_xlfn.XLOOKUP(G1325, Vöruskrá!A:A, Vöruskrá!I:I, "")) * I1325 / 100, ""), IF(F1325 = "Réttur", IFERROR(_xlfn.SINGLE(_xlfn.XLOOKUP(G1325, Réttabanki!A:A, Réttabanki!AV:AV, "")) * I1325 / 100, ""), "")))</f>
        <v/>
      </c>
      <c r="P1325" s="26" t="str">
        <f>IF(OR(F1325 = "", G1325 = "", I1325 = ""), "", IF(F1325 = "Vara", IFERROR(_xlfn.SINGLE(_xlfn.XLOOKUP(G1325, Vöruskrá!A:A, Vöruskrá!J:J, "")) * I1325 / 100, ""), IF(F1325 = "Réttur", IFERROR(_xlfn.SINGLE(_xlfn.XLOOKUP(G1325, Réttabanki!A:A, Réttabanki!AW:AW, "")) * I1325 / 100, ""), "")))</f>
        <v/>
      </c>
      <c r="Q1325" s="26" t="str">
        <f>IF(OR(F1325 = "", G1325 = "", I1325 = ""), "", IF(F1325 = "Vara", IFERROR(_xlfn.SINGLE(_xlfn.XLOOKUP(G1325, Vöruskrá!A:A, Vöruskrá!N:N, "")) * I1325 / 100, ""), IF(F1325 = "Réttur", IFERROR(_xlfn.SINGLE(_xlfn.XLOOKUP(G1325, Réttabanki!A:A, Réttabanki!BB:BB, "")) * I1325 / 100, ""), "")))</f>
        <v/>
      </c>
    </row>
    <row r="1326" spans="2:17">
      <c r="B1326" s="33" t="str">
        <f>IF(A1326&lt;&gt;"",CHOOSE(WEEKDAY(A1326,2),"Mánudagur","Þriðjudagur","Miðvikudagur","Fimmtudagur","Föstudagur","Laugardagur","Sunnudagur"),IF(B1325&lt;&gt;"",B1325,""))</f>
        <v>Fimmtudagur</v>
      </c>
      <c r="C1326" s="33">
        <f>IF(A1326&lt;&gt;"",WEEKNUM(A1326,21),IF(C1325&lt;&gt;"",C1325,""))</f>
        <v>27</v>
      </c>
      <c r="D1326" s="34"/>
      <c r="E1326" s="34"/>
      <c r="F1326" s="34"/>
      <c r="G1326" s="34"/>
      <c r="H1326" s="34"/>
      <c r="I1326" s="35"/>
      <c r="J1326" s="35"/>
      <c r="K1326" s="36"/>
      <c r="L1326" s="26" t="str">
        <f>IF(OR(F1326 = "", G1326 = ""), "", IF(F1326 = "Vara", IFERROR(_xlfn.SINGLE(_xlfn.XLOOKUP(G1326, Vöruskrá!A:A, Vöruskrá!E:E, "")), ""), IF(F1326 = "Réttur", IFERROR(_xlfn.SINGLE(_xlfn.XLOOKUP(G1326, Réttabanki!A:A, Réttabanki!AS:AS, "")), ""), "")))</f>
        <v/>
      </c>
      <c r="M1326" s="26" t="str">
        <f>IF(OR(F1326 = "", G1326 = ""), "", IF(F1326 = "Vara", IFERROR(_xlfn.SINGLE(_xlfn.XLOOKUP(G1326, Vöruskrá!A:A, Vöruskrá!F:F, "")), ""), IF(F1326 = "Réttur", IFERROR(_xlfn.SINGLE(_xlfn.XLOOKUP(G1326, Réttabanki!A:A, Réttabanki!AT:AT, "")), ""), "")))</f>
        <v/>
      </c>
      <c r="N1326" s="26" t="str">
        <f>IF(OR(F1326 = "", G1326 = ""), "", IF(F1326 = "Vara", IFERROR(_xlfn.SINGLE(_xlfn.XLOOKUP(G1326, Vöruskrá!A:A, Vöruskrá!G:G, "")), ""), IF(F1326 = "Réttur", IFERROR(_xlfn.SINGLE(_xlfn.XLOOKUP(G1326, Réttabanki!A:A, Réttabanki!AU:AU, "")), ""), "")))</f>
        <v/>
      </c>
      <c r="O1326" s="26" t="str">
        <f>IF(OR(F1326 = "", G1326 = "", I1326 = ""), "", IF(F1326 = "Vara", IFERROR(_xlfn.SINGLE(_xlfn.XLOOKUP(G1326, Vöruskrá!A:A, Vöruskrá!I:I, "")) * I1326 / 100, ""), IF(F1326 = "Réttur", IFERROR(_xlfn.SINGLE(_xlfn.XLOOKUP(G1326, Réttabanki!A:A, Réttabanki!AV:AV, "")) * I1326 / 100, ""), "")))</f>
        <v/>
      </c>
      <c r="P1326" s="26" t="str">
        <f>IF(OR(F1326 = "", G1326 = "", I1326 = ""), "", IF(F1326 = "Vara", IFERROR(_xlfn.SINGLE(_xlfn.XLOOKUP(G1326, Vöruskrá!A:A, Vöruskrá!J:J, "")) * I1326 / 100, ""), IF(F1326 = "Réttur", IFERROR(_xlfn.SINGLE(_xlfn.XLOOKUP(G1326, Réttabanki!A:A, Réttabanki!AW:AW, "")) * I1326 / 100, ""), "")))</f>
        <v/>
      </c>
      <c r="Q1326" s="26" t="str">
        <f>IF(OR(F1326 = "", G1326 = "", I1326 = ""), "", IF(F1326 = "Vara", IFERROR(_xlfn.SINGLE(_xlfn.XLOOKUP(G1326, Vöruskrá!A:A, Vöruskrá!N:N, "")) * I1326 / 100, ""), IF(F1326 = "Réttur", IFERROR(_xlfn.SINGLE(_xlfn.XLOOKUP(G1326, Réttabanki!A:A, Réttabanki!BB:BB, "")) * I1326 / 100, ""), "")))</f>
        <v/>
      </c>
    </row>
    <row r="1327" spans="2:17">
      <c r="B1327" s="33" t="str">
        <f>IF(A1327&lt;&gt;"",CHOOSE(WEEKDAY(A1327,2),"Mánudagur","Þriðjudagur","Miðvikudagur","Fimmtudagur","Föstudagur","Laugardagur","Sunnudagur"),IF(B1326&lt;&gt;"",B1326,""))</f>
        <v>Fimmtudagur</v>
      </c>
      <c r="C1327" s="33">
        <f>IF(A1327&lt;&gt;"",WEEKNUM(A1327,21),IF(C1326&lt;&gt;"",C1326,""))</f>
        <v>27</v>
      </c>
      <c r="D1327" s="34"/>
      <c r="E1327" s="34"/>
      <c r="F1327" s="34"/>
      <c r="G1327" s="34"/>
      <c r="H1327" s="34"/>
      <c r="I1327" s="35"/>
      <c r="J1327" s="35"/>
      <c r="K1327" s="36"/>
      <c r="L1327" s="26" t="str">
        <f>IF(OR(F1327 = "", G1327 = ""), "", IF(F1327 = "Vara", IFERROR(_xlfn.SINGLE(_xlfn.XLOOKUP(G1327, Vöruskrá!A:A, Vöruskrá!E:E, "")), ""), IF(F1327 = "Réttur", IFERROR(_xlfn.SINGLE(_xlfn.XLOOKUP(G1327, Réttabanki!A:A, Réttabanki!AS:AS, "")), ""), "")))</f>
        <v/>
      </c>
      <c r="M1327" s="26" t="str">
        <f>IF(OR(F1327 = "", G1327 = ""), "", IF(F1327 = "Vara", IFERROR(_xlfn.SINGLE(_xlfn.XLOOKUP(G1327, Vöruskrá!A:A, Vöruskrá!F:F, "")), ""), IF(F1327 = "Réttur", IFERROR(_xlfn.SINGLE(_xlfn.XLOOKUP(G1327, Réttabanki!A:A, Réttabanki!AT:AT, "")), ""), "")))</f>
        <v/>
      </c>
      <c r="N1327" s="26" t="str">
        <f>IF(OR(F1327 = "", G1327 = ""), "", IF(F1327 = "Vara", IFERROR(_xlfn.SINGLE(_xlfn.XLOOKUP(G1327, Vöruskrá!A:A, Vöruskrá!G:G, "")), ""), IF(F1327 = "Réttur", IFERROR(_xlfn.SINGLE(_xlfn.XLOOKUP(G1327, Réttabanki!A:A, Réttabanki!AU:AU, "")), ""), "")))</f>
        <v/>
      </c>
      <c r="O1327" s="26" t="str">
        <f>IF(OR(F1327 = "", G1327 = "", I1327 = ""), "", IF(F1327 = "Vara", IFERROR(_xlfn.SINGLE(_xlfn.XLOOKUP(G1327, Vöruskrá!A:A, Vöruskrá!I:I, "")) * I1327 / 100, ""), IF(F1327 = "Réttur", IFERROR(_xlfn.SINGLE(_xlfn.XLOOKUP(G1327, Réttabanki!A:A, Réttabanki!AV:AV, "")) * I1327 / 100, ""), "")))</f>
        <v/>
      </c>
      <c r="P1327" s="26" t="str">
        <f>IF(OR(F1327 = "", G1327 = "", I1327 = ""), "", IF(F1327 = "Vara", IFERROR(_xlfn.SINGLE(_xlfn.XLOOKUP(G1327, Vöruskrá!A:A, Vöruskrá!J:J, "")) * I1327 / 100, ""), IF(F1327 = "Réttur", IFERROR(_xlfn.SINGLE(_xlfn.XLOOKUP(G1327, Réttabanki!A:A, Réttabanki!AW:AW, "")) * I1327 / 100, ""), "")))</f>
        <v/>
      </c>
      <c r="Q1327" s="26" t="str">
        <f>IF(OR(F1327 = "", G1327 = "", I1327 = ""), "", IF(F1327 = "Vara", IFERROR(_xlfn.SINGLE(_xlfn.XLOOKUP(G1327, Vöruskrá!A:A, Vöruskrá!N:N, "")) * I1327 / 100, ""), IF(F1327 = "Réttur", IFERROR(_xlfn.SINGLE(_xlfn.XLOOKUP(G1327, Réttabanki!A:A, Réttabanki!BB:BB, "")) * I1327 / 100, ""), "")))</f>
        <v/>
      </c>
    </row>
    <row r="1328" spans="2:17">
      <c r="B1328" s="33" t="str">
        <f>IF(A1328&lt;&gt;"",CHOOSE(WEEKDAY(A1328,2),"Mánudagur","Þriðjudagur","Miðvikudagur","Fimmtudagur","Föstudagur","Laugardagur","Sunnudagur"),IF(B1327&lt;&gt;"",B1327,""))</f>
        <v>Fimmtudagur</v>
      </c>
      <c r="C1328" s="33">
        <f>IF(A1328&lt;&gt;"",WEEKNUM(A1328,21),IF(C1327&lt;&gt;"",C1327,""))</f>
        <v>27</v>
      </c>
      <c r="D1328" s="34"/>
      <c r="E1328" s="34"/>
      <c r="F1328" s="34"/>
      <c r="G1328" s="34"/>
      <c r="H1328" s="34"/>
      <c r="I1328" s="35"/>
      <c r="J1328" s="35"/>
      <c r="K1328" s="36"/>
      <c r="L1328" s="26" t="str">
        <f>IF(OR(F1328 = "", G1328 = ""), "", IF(F1328 = "Vara", IFERROR(_xlfn.SINGLE(_xlfn.XLOOKUP(G1328, Vöruskrá!A:A, Vöruskrá!E:E, "")), ""), IF(F1328 = "Réttur", IFERROR(_xlfn.SINGLE(_xlfn.XLOOKUP(G1328, Réttabanki!A:A, Réttabanki!AS:AS, "")), ""), "")))</f>
        <v/>
      </c>
      <c r="M1328" s="26" t="str">
        <f>IF(OR(F1328 = "", G1328 = ""), "", IF(F1328 = "Vara", IFERROR(_xlfn.SINGLE(_xlfn.XLOOKUP(G1328, Vöruskrá!A:A, Vöruskrá!F:F, "")), ""), IF(F1328 = "Réttur", IFERROR(_xlfn.SINGLE(_xlfn.XLOOKUP(G1328, Réttabanki!A:A, Réttabanki!AT:AT, "")), ""), "")))</f>
        <v/>
      </c>
      <c r="N1328" s="26" t="str">
        <f>IF(OR(F1328 = "", G1328 = ""), "", IF(F1328 = "Vara", IFERROR(_xlfn.SINGLE(_xlfn.XLOOKUP(G1328, Vöruskrá!A:A, Vöruskrá!G:G, "")), ""), IF(F1328 = "Réttur", IFERROR(_xlfn.SINGLE(_xlfn.XLOOKUP(G1328, Réttabanki!A:A, Réttabanki!AU:AU, "")), ""), "")))</f>
        <v/>
      </c>
      <c r="O1328" s="26" t="str">
        <f>IF(OR(F1328 = "", G1328 = "", I1328 = ""), "", IF(F1328 = "Vara", IFERROR(_xlfn.SINGLE(_xlfn.XLOOKUP(G1328, Vöruskrá!A:A, Vöruskrá!I:I, "")) * I1328 / 100, ""), IF(F1328 = "Réttur", IFERROR(_xlfn.SINGLE(_xlfn.XLOOKUP(G1328, Réttabanki!A:A, Réttabanki!AV:AV, "")) * I1328 / 100, ""), "")))</f>
        <v/>
      </c>
      <c r="P1328" s="26" t="str">
        <f>IF(OR(F1328 = "", G1328 = "", I1328 = ""), "", IF(F1328 = "Vara", IFERROR(_xlfn.SINGLE(_xlfn.XLOOKUP(G1328, Vöruskrá!A:A, Vöruskrá!J:J, "")) * I1328 / 100, ""), IF(F1328 = "Réttur", IFERROR(_xlfn.SINGLE(_xlfn.XLOOKUP(G1328, Réttabanki!A:A, Réttabanki!AW:AW, "")) * I1328 / 100, ""), "")))</f>
        <v/>
      </c>
      <c r="Q1328" s="26" t="str">
        <f>IF(OR(F1328 = "", G1328 = "", I1328 = ""), "", IF(F1328 = "Vara", IFERROR(_xlfn.SINGLE(_xlfn.XLOOKUP(G1328, Vöruskrá!A:A, Vöruskrá!N:N, "")) * I1328 / 100, ""), IF(F1328 = "Réttur", IFERROR(_xlfn.SINGLE(_xlfn.XLOOKUP(G1328, Réttabanki!A:A, Réttabanki!BB:BB, "")) * I1328 / 100, ""), "")))</f>
        <v/>
      </c>
    </row>
    <row r="1329" spans="2:17">
      <c r="B1329" s="33" t="str">
        <f>IF(A1329&lt;&gt;"",CHOOSE(WEEKDAY(A1329,2),"Mánudagur","Þriðjudagur","Miðvikudagur","Fimmtudagur","Föstudagur","Laugardagur","Sunnudagur"),IF(B1328&lt;&gt;"",B1328,""))</f>
        <v>Fimmtudagur</v>
      </c>
      <c r="C1329" s="33">
        <f>IF(A1329&lt;&gt;"",WEEKNUM(A1329,21),IF(C1328&lt;&gt;"",C1328,""))</f>
        <v>27</v>
      </c>
      <c r="D1329" s="34"/>
      <c r="E1329" s="34"/>
      <c r="F1329" s="34"/>
      <c r="G1329" s="34"/>
      <c r="H1329" s="34"/>
      <c r="I1329" s="35"/>
      <c r="J1329" s="35"/>
      <c r="K1329" s="36"/>
      <c r="L1329" s="26" t="str">
        <f>IF(OR(F1329 = "", G1329 = ""), "", IF(F1329 = "Vara", IFERROR(_xlfn.SINGLE(_xlfn.XLOOKUP(G1329, Vöruskrá!A:A, Vöruskrá!E:E, "")), ""), IF(F1329 = "Réttur", IFERROR(_xlfn.SINGLE(_xlfn.XLOOKUP(G1329, Réttabanki!A:A, Réttabanki!AS:AS, "")), ""), "")))</f>
        <v/>
      </c>
      <c r="M1329" s="26" t="str">
        <f>IF(OR(F1329 = "", G1329 = ""), "", IF(F1329 = "Vara", IFERROR(_xlfn.SINGLE(_xlfn.XLOOKUP(G1329, Vöruskrá!A:A, Vöruskrá!F:F, "")), ""), IF(F1329 = "Réttur", IFERROR(_xlfn.SINGLE(_xlfn.XLOOKUP(G1329, Réttabanki!A:A, Réttabanki!AT:AT, "")), ""), "")))</f>
        <v/>
      </c>
      <c r="N1329" s="26" t="str">
        <f>IF(OR(F1329 = "", G1329 = ""), "", IF(F1329 = "Vara", IFERROR(_xlfn.SINGLE(_xlfn.XLOOKUP(G1329, Vöruskrá!A:A, Vöruskrá!G:G, "")), ""), IF(F1329 = "Réttur", IFERROR(_xlfn.SINGLE(_xlfn.XLOOKUP(G1329, Réttabanki!A:A, Réttabanki!AU:AU, "")), ""), "")))</f>
        <v/>
      </c>
      <c r="O1329" s="26" t="str">
        <f>IF(OR(F1329 = "", G1329 = "", I1329 = ""), "", IF(F1329 = "Vara", IFERROR(_xlfn.SINGLE(_xlfn.XLOOKUP(G1329, Vöruskrá!A:A, Vöruskrá!I:I, "")) * I1329 / 100, ""), IF(F1329 = "Réttur", IFERROR(_xlfn.SINGLE(_xlfn.XLOOKUP(G1329, Réttabanki!A:A, Réttabanki!AV:AV, "")) * I1329 / 100, ""), "")))</f>
        <v/>
      </c>
      <c r="P1329" s="26" t="str">
        <f>IF(OR(F1329 = "", G1329 = "", I1329 = ""), "", IF(F1329 = "Vara", IFERROR(_xlfn.SINGLE(_xlfn.XLOOKUP(G1329, Vöruskrá!A:A, Vöruskrá!J:J, "")) * I1329 / 100, ""), IF(F1329 = "Réttur", IFERROR(_xlfn.SINGLE(_xlfn.XLOOKUP(G1329, Réttabanki!A:A, Réttabanki!AW:AW, "")) * I1329 / 100, ""), "")))</f>
        <v/>
      </c>
      <c r="Q1329" s="26" t="str">
        <f>IF(OR(F1329 = "", G1329 = "", I1329 = ""), "", IF(F1329 = "Vara", IFERROR(_xlfn.SINGLE(_xlfn.XLOOKUP(G1329, Vöruskrá!A:A, Vöruskrá!N:N, "")) * I1329 / 100, ""), IF(F1329 = "Réttur", IFERROR(_xlfn.SINGLE(_xlfn.XLOOKUP(G1329, Réttabanki!A:A, Réttabanki!BB:BB, "")) * I1329 / 100, ""), "")))</f>
        <v/>
      </c>
    </row>
    <row r="1330" spans="2:17">
      <c r="B1330" s="33" t="str">
        <f>IF(A1330&lt;&gt;"",CHOOSE(WEEKDAY(A1330,2),"Mánudagur","Þriðjudagur","Miðvikudagur","Fimmtudagur","Föstudagur","Laugardagur","Sunnudagur"),IF(B1329&lt;&gt;"",B1329,""))</f>
        <v>Fimmtudagur</v>
      </c>
      <c r="C1330" s="33">
        <f>IF(A1330&lt;&gt;"",WEEKNUM(A1330,21),IF(C1329&lt;&gt;"",C1329,""))</f>
        <v>27</v>
      </c>
      <c r="D1330" s="34"/>
      <c r="E1330" s="34"/>
      <c r="F1330" s="34"/>
      <c r="G1330" s="34"/>
      <c r="H1330" s="34"/>
      <c r="I1330" s="35"/>
      <c r="J1330" s="35"/>
      <c r="K1330" s="36"/>
      <c r="L1330" s="26" t="str">
        <f>IF(OR(F1330 = "", G1330 = ""), "", IF(F1330 = "Vara", IFERROR(_xlfn.SINGLE(_xlfn.XLOOKUP(G1330, Vöruskrá!A:A, Vöruskrá!E:E, "")), ""), IF(F1330 = "Réttur", IFERROR(_xlfn.SINGLE(_xlfn.XLOOKUP(G1330, Réttabanki!A:A, Réttabanki!AS:AS, "")), ""), "")))</f>
        <v/>
      </c>
      <c r="M1330" s="26" t="str">
        <f>IF(OR(F1330 = "", G1330 = ""), "", IF(F1330 = "Vara", IFERROR(_xlfn.SINGLE(_xlfn.XLOOKUP(G1330, Vöruskrá!A:A, Vöruskrá!F:F, "")), ""), IF(F1330 = "Réttur", IFERROR(_xlfn.SINGLE(_xlfn.XLOOKUP(G1330, Réttabanki!A:A, Réttabanki!AT:AT, "")), ""), "")))</f>
        <v/>
      </c>
      <c r="N1330" s="26" t="str">
        <f>IF(OR(F1330 = "", G1330 = ""), "", IF(F1330 = "Vara", IFERROR(_xlfn.SINGLE(_xlfn.XLOOKUP(G1330, Vöruskrá!A:A, Vöruskrá!G:G, "")), ""), IF(F1330 = "Réttur", IFERROR(_xlfn.SINGLE(_xlfn.XLOOKUP(G1330, Réttabanki!A:A, Réttabanki!AU:AU, "")), ""), "")))</f>
        <v/>
      </c>
      <c r="O1330" s="26" t="str">
        <f>IF(OR(F1330 = "", G1330 = "", I1330 = ""), "", IF(F1330 = "Vara", IFERROR(_xlfn.SINGLE(_xlfn.XLOOKUP(G1330, Vöruskrá!A:A, Vöruskrá!I:I, "")) * I1330 / 100, ""), IF(F1330 = "Réttur", IFERROR(_xlfn.SINGLE(_xlfn.XLOOKUP(G1330, Réttabanki!A:A, Réttabanki!AV:AV, "")) * I1330 / 100, ""), "")))</f>
        <v/>
      </c>
      <c r="P1330" s="26" t="str">
        <f>IF(OR(F1330 = "", G1330 = "", I1330 = ""), "", IF(F1330 = "Vara", IFERROR(_xlfn.SINGLE(_xlfn.XLOOKUP(G1330, Vöruskrá!A:A, Vöruskrá!J:J, "")) * I1330 / 100, ""), IF(F1330 = "Réttur", IFERROR(_xlfn.SINGLE(_xlfn.XLOOKUP(G1330, Réttabanki!A:A, Réttabanki!AW:AW, "")) * I1330 / 100, ""), "")))</f>
        <v/>
      </c>
      <c r="Q1330" s="26" t="str">
        <f>IF(OR(F1330 = "", G1330 = "", I1330 = ""), "", IF(F1330 = "Vara", IFERROR(_xlfn.SINGLE(_xlfn.XLOOKUP(G1330, Vöruskrá!A:A, Vöruskrá!N:N, "")) * I1330 / 100, ""), IF(F1330 = "Réttur", IFERROR(_xlfn.SINGLE(_xlfn.XLOOKUP(G1330, Réttabanki!A:A, Réttabanki!BB:BB, "")) * I1330 / 100, ""), "")))</f>
        <v/>
      </c>
    </row>
    <row r="1331" spans="2:17">
      <c r="B1331" s="33" t="str">
        <f>IF(A1331&lt;&gt;"",CHOOSE(WEEKDAY(A1331,2),"Mánudagur","Þriðjudagur","Miðvikudagur","Fimmtudagur","Föstudagur","Laugardagur","Sunnudagur"),IF(B1330&lt;&gt;"",B1330,""))</f>
        <v>Fimmtudagur</v>
      </c>
      <c r="C1331" s="33">
        <f>IF(A1331&lt;&gt;"",WEEKNUM(A1331,21),IF(C1330&lt;&gt;"",C1330,""))</f>
        <v>27</v>
      </c>
      <c r="D1331" s="34"/>
      <c r="E1331" s="34"/>
      <c r="F1331" s="34"/>
      <c r="G1331" s="34"/>
      <c r="H1331" s="34"/>
      <c r="I1331" s="35"/>
      <c r="J1331" s="35"/>
      <c r="K1331" s="36"/>
      <c r="L1331" s="26" t="str">
        <f>IF(OR(F1331 = "", G1331 = ""), "", IF(F1331 = "Vara", IFERROR(_xlfn.SINGLE(_xlfn.XLOOKUP(G1331, Vöruskrá!A:A, Vöruskrá!E:E, "")), ""), IF(F1331 = "Réttur", IFERROR(_xlfn.SINGLE(_xlfn.XLOOKUP(G1331, Réttabanki!A:A, Réttabanki!AS:AS, "")), ""), "")))</f>
        <v/>
      </c>
      <c r="M1331" s="26" t="str">
        <f>IF(OR(F1331 = "", G1331 = ""), "", IF(F1331 = "Vara", IFERROR(_xlfn.SINGLE(_xlfn.XLOOKUP(G1331, Vöruskrá!A:A, Vöruskrá!F:F, "")), ""), IF(F1331 = "Réttur", IFERROR(_xlfn.SINGLE(_xlfn.XLOOKUP(G1331, Réttabanki!A:A, Réttabanki!AT:AT, "")), ""), "")))</f>
        <v/>
      </c>
      <c r="N1331" s="26" t="str">
        <f>IF(OR(F1331 = "", G1331 = ""), "", IF(F1331 = "Vara", IFERROR(_xlfn.SINGLE(_xlfn.XLOOKUP(G1331, Vöruskrá!A:A, Vöruskrá!G:G, "")), ""), IF(F1331 = "Réttur", IFERROR(_xlfn.SINGLE(_xlfn.XLOOKUP(G1331, Réttabanki!A:A, Réttabanki!AU:AU, "")), ""), "")))</f>
        <v/>
      </c>
      <c r="O1331" s="26" t="str">
        <f>IF(OR(F1331 = "", G1331 = "", I1331 = ""), "", IF(F1331 = "Vara", IFERROR(_xlfn.SINGLE(_xlfn.XLOOKUP(G1331, Vöruskrá!A:A, Vöruskrá!I:I, "")) * I1331 / 100, ""), IF(F1331 = "Réttur", IFERROR(_xlfn.SINGLE(_xlfn.XLOOKUP(G1331, Réttabanki!A:A, Réttabanki!AV:AV, "")) * I1331 / 100, ""), "")))</f>
        <v/>
      </c>
      <c r="P1331" s="26" t="str">
        <f>IF(OR(F1331 = "", G1331 = "", I1331 = ""), "", IF(F1331 = "Vara", IFERROR(_xlfn.SINGLE(_xlfn.XLOOKUP(G1331, Vöruskrá!A:A, Vöruskrá!J:J, "")) * I1331 / 100, ""), IF(F1331 = "Réttur", IFERROR(_xlfn.SINGLE(_xlfn.XLOOKUP(G1331, Réttabanki!A:A, Réttabanki!AW:AW, "")) * I1331 / 100, ""), "")))</f>
        <v/>
      </c>
      <c r="Q1331" s="26" t="str">
        <f>IF(OR(F1331 = "", G1331 = "", I1331 = ""), "", IF(F1331 = "Vara", IFERROR(_xlfn.SINGLE(_xlfn.XLOOKUP(G1331, Vöruskrá!A:A, Vöruskrá!N:N, "")) * I1331 / 100, ""), IF(F1331 = "Réttur", IFERROR(_xlfn.SINGLE(_xlfn.XLOOKUP(G1331, Réttabanki!A:A, Réttabanki!BB:BB, "")) * I1331 / 100, ""), "")))</f>
        <v/>
      </c>
    </row>
    <row r="1332" spans="2:17">
      <c r="B1332" s="33" t="str">
        <f>IF(A1332&lt;&gt;"",CHOOSE(WEEKDAY(A1332,2),"Mánudagur","Þriðjudagur","Miðvikudagur","Fimmtudagur","Föstudagur","Laugardagur","Sunnudagur"),IF(B1331&lt;&gt;"",B1331,""))</f>
        <v>Fimmtudagur</v>
      </c>
      <c r="C1332" s="33">
        <f>IF(A1332&lt;&gt;"",WEEKNUM(A1332,21),IF(C1331&lt;&gt;"",C1331,""))</f>
        <v>27</v>
      </c>
      <c r="D1332" s="34"/>
      <c r="E1332" s="34"/>
      <c r="F1332" s="34"/>
      <c r="G1332" s="34"/>
      <c r="H1332" s="34"/>
      <c r="I1332" s="35"/>
      <c r="J1332" s="35"/>
      <c r="K1332" s="36"/>
      <c r="L1332" s="26" t="str">
        <f>IF(OR(F1332 = "", G1332 = ""), "", IF(F1332 = "Vara", IFERROR(_xlfn.SINGLE(_xlfn.XLOOKUP(G1332, Vöruskrá!A:A, Vöruskrá!E:E, "")), ""), IF(F1332 = "Réttur", IFERROR(_xlfn.SINGLE(_xlfn.XLOOKUP(G1332, Réttabanki!A:A, Réttabanki!AS:AS, "")), ""), "")))</f>
        <v/>
      </c>
      <c r="M1332" s="26" t="str">
        <f>IF(OR(F1332 = "", G1332 = ""), "", IF(F1332 = "Vara", IFERROR(_xlfn.SINGLE(_xlfn.XLOOKUP(G1332, Vöruskrá!A:A, Vöruskrá!F:F, "")), ""), IF(F1332 = "Réttur", IFERROR(_xlfn.SINGLE(_xlfn.XLOOKUP(G1332, Réttabanki!A:A, Réttabanki!AT:AT, "")), ""), "")))</f>
        <v/>
      </c>
      <c r="N1332" s="26" t="str">
        <f>IF(OR(F1332 = "", G1332 = ""), "", IF(F1332 = "Vara", IFERROR(_xlfn.SINGLE(_xlfn.XLOOKUP(G1332, Vöruskrá!A:A, Vöruskrá!G:G, "")), ""), IF(F1332 = "Réttur", IFERROR(_xlfn.SINGLE(_xlfn.XLOOKUP(G1332, Réttabanki!A:A, Réttabanki!AU:AU, "")), ""), "")))</f>
        <v/>
      </c>
      <c r="O1332" s="26" t="str">
        <f>IF(OR(F1332 = "", G1332 = "", I1332 = ""), "", IF(F1332 = "Vara", IFERROR(_xlfn.SINGLE(_xlfn.XLOOKUP(G1332, Vöruskrá!A:A, Vöruskrá!I:I, "")) * I1332 / 100, ""), IF(F1332 = "Réttur", IFERROR(_xlfn.SINGLE(_xlfn.XLOOKUP(G1332, Réttabanki!A:A, Réttabanki!AV:AV, "")) * I1332 / 100, ""), "")))</f>
        <v/>
      </c>
      <c r="P1332" s="26" t="str">
        <f>IF(OR(F1332 = "", G1332 = "", I1332 = ""), "", IF(F1332 = "Vara", IFERROR(_xlfn.SINGLE(_xlfn.XLOOKUP(G1332, Vöruskrá!A:A, Vöruskrá!J:J, "")) * I1332 / 100, ""), IF(F1332 = "Réttur", IFERROR(_xlfn.SINGLE(_xlfn.XLOOKUP(G1332, Réttabanki!A:A, Réttabanki!AW:AW, "")) * I1332 / 100, ""), "")))</f>
        <v/>
      </c>
      <c r="Q1332" s="26" t="str">
        <f>IF(OR(F1332 = "", G1332 = "", I1332 = ""), "", IF(F1332 = "Vara", IFERROR(_xlfn.SINGLE(_xlfn.XLOOKUP(G1332, Vöruskrá!A:A, Vöruskrá!N:N, "")) * I1332 / 100, ""), IF(F1332 = "Réttur", IFERROR(_xlfn.SINGLE(_xlfn.XLOOKUP(G1332, Réttabanki!A:A, Réttabanki!BB:BB, "")) * I1332 / 100, ""), "")))</f>
        <v/>
      </c>
    </row>
    <row r="1333" spans="2:17">
      <c r="B1333" s="33" t="str">
        <f>IF(A1333&lt;&gt;"",CHOOSE(WEEKDAY(A1333,2),"Mánudagur","Þriðjudagur","Miðvikudagur","Fimmtudagur","Föstudagur","Laugardagur","Sunnudagur"),IF(B1332&lt;&gt;"",B1332,""))</f>
        <v>Fimmtudagur</v>
      </c>
      <c r="C1333" s="33">
        <f>IF(A1333&lt;&gt;"",WEEKNUM(A1333,21),IF(C1332&lt;&gt;"",C1332,""))</f>
        <v>27</v>
      </c>
      <c r="D1333" s="34"/>
      <c r="E1333" s="34"/>
      <c r="F1333" s="34"/>
      <c r="G1333" s="34"/>
      <c r="H1333" s="34"/>
      <c r="I1333" s="35"/>
      <c r="J1333" s="35"/>
      <c r="K1333" s="36"/>
      <c r="L1333" s="26" t="str">
        <f>IF(OR(F1333 = "", G1333 = ""), "", IF(F1333 = "Vara", IFERROR(_xlfn.SINGLE(_xlfn.XLOOKUP(G1333, Vöruskrá!A:A, Vöruskrá!E:E, "")), ""), IF(F1333 = "Réttur", IFERROR(_xlfn.SINGLE(_xlfn.XLOOKUP(G1333, Réttabanki!A:A, Réttabanki!AS:AS, "")), ""), "")))</f>
        <v/>
      </c>
      <c r="M1333" s="26" t="str">
        <f>IF(OR(F1333 = "", G1333 = ""), "", IF(F1333 = "Vara", IFERROR(_xlfn.SINGLE(_xlfn.XLOOKUP(G1333, Vöruskrá!A:A, Vöruskrá!F:F, "")), ""), IF(F1333 = "Réttur", IFERROR(_xlfn.SINGLE(_xlfn.XLOOKUP(G1333, Réttabanki!A:A, Réttabanki!AT:AT, "")), ""), "")))</f>
        <v/>
      </c>
      <c r="N1333" s="26" t="str">
        <f>IF(OR(F1333 = "", G1333 = ""), "", IF(F1333 = "Vara", IFERROR(_xlfn.SINGLE(_xlfn.XLOOKUP(G1333, Vöruskrá!A:A, Vöruskrá!G:G, "")), ""), IF(F1333 = "Réttur", IFERROR(_xlfn.SINGLE(_xlfn.XLOOKUP(G1333, Réttabanki!A:A, Réttabanki!AU:AU, "")), ""), "")))</f>
        <v/>
      </c>
      <c r="O1333" s="26" t="str">
        <f>IF(OR(F1333 = "", G1333 = "", I1333 = ""), "", IF(F1333 = "Vara", IFERROR(_xlfn.SINGLE(_xlfn.XLOOKUP(G1333, Vöruskrá!A:A, Vöruskrá!I:I, "")) * I1333 / 100, ""), IF(F1333 = "Réttur", IFERROR(_xlfn.SINGLE(_xlfn.XLOOKUP(G1333, Réttabanki!A:A, Réttabanki!AV:AV, "")) * I1333 / 100, ""), "")))</f>
        <v/>
      </c>
      <c r="P1333" s="26" t="str">
        <f>IF(OR(F1333 = "", G1333 = "", I1333 = ""), "", IF(F1333 = "Vara", IFERROR(_xlfn.SINGLE(_xlfn.XLOOKUP(G1333, Vöruskrá!A:A, Vöruskrá!J:J, "")) * I1333 / 100, ""), IF(F1333 = "Réttur", IFERROR(_xlfn.SINGLE(_xlfn.XLOOKUP(G1333, Réttabanki!A:A, Réttabanki!AW:AW, "")) * I1333 / 100, ""), "")))</f>
        <v/>
      </c>
      <c r="Q1333" s="26" t="str">
        <f>IF(OR(F1333 = "", G1333 = "", I1333 = ""), "", IF(F1333 = "Vara", IFERROR(_xlfn.SINGLE(_xlfn.XLOOKUP(G1333, Vöruskrá!A:A, Vöruskrá!N:N, "")) * I1333 / 100, ""), IF(F1333 = "Réttur", IFERROR(_xlfn.SINGLE(_xlfn.XLOOKUP(G1333, Réttabanki!A:A, Réttabanki!BB:BB, "")) * I1333 / 100, ""), "")))</f>
        <v/>
      </c>
    </row>
    <row r="1334" spans="2:17">
      <c r="B1334" s="33" t="str">
        <f>IF(A1334&lt;&gt;"",CHOOSE(WEEKDAY(A1334,2),"Mánudagur","Þriðjudagur","Miðvikudagur","Fimmtudagur","Föstudagur","Laugardagur","Sunnudagur"),IF(B1333&lt;&gt;"",B1333,""))</f>
        <v>Fimmtudagur</v>
      </c>
      <c r="C1334" s="33">
        <f>IF(A1334&lt;&gt;"",WEEKNUM(A1334,21),IF(C1333&lt;&gt;"",C1333,""))</f>
        <v>27</v>
      </c>
      <c r="D1334" s="34"/>
      <c r="E1334" s="34"/>
      <c r="F1334" s="34"/>
      <c r="G1334" s="34"/>
      <c r="H1334" s="34"/>
      <c r="I1334" s="35"/>
      <c r="J1334" s="35"/>
      <c r="K1334" s="36"/>
      <c r="L1334" s="26" t="str">
        <f>IF(OR(F1334 = "", G1334 = ""), "", IF(F1334 = "Vara", IFERROR(_xlfn.SINGLE(_xlfn.XLOOKUP(G1334, Vöruskrá!A:A, Vöruskrá!E:E, "")), ""), IF(F1334 = "Réttur", IFERROR(_xlfn.SINGLE(_xlfn.XLOOKUP(G1334, Réttabanki!A:A, Réttabanki!AS:AS, "")), ""), "")))</f>
        <v/>
      </c>
      <c r="M1334" s="26" t="str">
        <f>IF(OR(F1334 = "", G1334 = ""), "", IF(F1334 = "Vara", IFERROR(_xlfn.SINGLE(_xlfn.XLOOKUP(G1334, Vöruskrá!A:A, Vöruskrá!F:F, "")), ""), IF(F1334 = "Réttur", IFERROR(_xlfn.SINGLE(_xlfn.XLOOKUP(G1334, Réttabanki!A:A, Réttabanki!AT:AT, "")), ""), "")))</f>
        <v/>
      </c>
      <c r="N1334" s="26" t="str">
        <f>IF(OR(F1334 = "", G1334 = ""), "", IF(F1334 = "Vara", IFERROR(_xlfn.SINGLE(_xlfn.XLOOKUP(G1334, Vöruskrá!A:A, Vöruskrá!G:G, "")), ""), IF(F1334 = "Réttur", IFERROR(_xlfn.SINGLE(_xlfn.XLOOKUP(G1334, Réttabanki!A:A, Réttabanki!AU:AU, "")), ""), "")))</f>
        <v/>
      </c>
      <c r="O1334" s="26" t="str">
        <f>IF(OR(F1334 = "", G1334 = "", I1334 = ""), "", IF(F1334 = "Vara", IFERROR(_xlfn.SINGLE(_xlfn.XLOOKUP(G1334, Vöruskrá!A:A, Vöruskrá!I:I, "")) * I1334 / 100, ""), IF(F1334 = "Réttur", IFERROR(_xlfn.SINGLE(_xlfn.XLOOKUP(G1334, Réttabanki!A:A, Réttabanki!AV:AV, "")) * I1334 / 100, ""), "")))</f>
        <v/>
      </c>
      <c r="P1334" s="26" t="str">
        <f>IF(OR(F1334 = "", G1334 = "", I1334 = ""), "", IF(F1334 = "Vara", IFERROR(_xlfn.SINGLE(_xlfn.XLOOKUP(G1334, Vöruskrá!A:A, Vöruskrá!J:J, "")) * I1334 / 100, ""), IF(F1334 = "Réttur", IFERROR(_xlfn.SINGLE(_xlfn.XLOOKUP(G1334, Réttabanki!A:A, Réttabanki!AW:AW, "")) * I1334 / 100, ""), "")))</f>
        <v/>
      </c>
      <c r="Q1334" s="26" t="str">
        <f>IF(OR(F1334 = "", G1334 = "", I1334 = ""), "", IF(F1334 = "Vara", IFERROR(_xlfn.SINGLE(_xlfn.XLOOKUP(G1334, Vöruskrá!A:A, Vöruskrá!N:N, "")) * I1334 / 100, ""), IF(F1334 = "Réttur", IFERROR(_xlfn.SINGLE(_xlfn.XLOOKUP(G1334, Réttabanki!A:A, Réttabanki!BB:BB, "")) * I1334 / 100, ""), "")))</f>
        <v/>
      </c>
    </row>
    <row r="1335" spans="2:17">
      <c r="B1335" s="33" t="str">
        <f>IF(A1335&lt;&gt;"",CHOOSE(WEEKDAY(A1335,2),"Mánudagur","Þriðjudagur","Miðvikudagur","Fimmtudagur","Föstudagur","Laugardagur","Sunnudagur"),IF(B1334&lt;&gt;"",B1334,""))</f>
        <v>Fimmtudagur</v>
      </c>
      <c r="C1335" s="33">
        <f>IF(A1335&lt;&gt;"",WEEKNUM(A1335,21),IF(C1334&lt;&gt;"",C1334,""))</f>
        <v>27</v>
      </c>
      <c r="D1335" s="34"/>
      <c r="E1335" s="34"/>
      <c r="F1335" s="34"/>
      <c r="G1335" s="34"/>
      <c r="H1335" s="34"/>
      <c r="I1335" s="35"/>
      <c r="J1335" s="35"/>
      <c r="K1335" s="36"/>
      <c r="L1335" s="26" t="str">
        <f>IF(OR(F1335 = "", G1335 = ""), "", IF(F1335 = "Vara", IFERROR(_xlfn.SINGLE(_xlfn.XLOOKUP(G1335, Vöruskrá!A:A, Vöruskrá!E:E, "")), ""), IF(F1335 = "Réttur", IFERROR(_xlfn.SINGLE(_xlfn.XLOOKUP(G1335, Réttabanki!A:A, Réttabanki!AS:AS, "")), ""), "")))</f>
        <v/>
      </c>
      <c r="M1335" s="26" t="str">
        <f>IF(OR(F1335 = "", G1335 = ""), "", IF(F1335 = "Vara", IFERROR(_xlfn.SINGLE(_xlfn.XLOOKUP(G1335, Vöruskrá!A:A, Vöruskrá!F:F, "")), ""), IF(F1335 = "Réttur", IFERROR(_xlfn.SINGLE(_xlfn.XLOOKUP(G1335, Réttabanki!A:A, Réttabanki!AT:AT, "")), ""), "")))</f>
        <v/>
      </c>
      <c r="N1335" s="26" t="str">
        <f>IF(OR(F1335 = "", G1335 = ""), "", IF(F1335 = "Vara", IFERROR(_xlfn.SINGLE(_xlfn.XLOOKUP(G1335, Vöruskrá!A:A, Vöruskrá!G:G, "")), ""), IF(F1335 = "Réttur", IFERROR(_xlfn.SINGLE(_xlfn.XLOOKUP(G1335, Réttabanki!A:A, Réttabanki!AU:AU, "")), ""), "")))</f>
        <v/>
      </c>
      <c r="O1335" s="26" t="str">
        <f>IF(OR(F1335 = "", G1335 = "", I1335 = ""), "", IF(F1335 = "Vara", IFERROR(_xlfn.SINGLE(_xlfn.XLOOKUP(G1335, Vöruskrá!A:A, Vöruskrá!I:I, "")) * I1335 / 100, ""), IF(F1335 = "Réttur", IFERROR(_xlfn.SINGLE(_xlfn.XLOOKUP(G1335, Réttabanki!A:A, Réttabanki!AV:AV, "")) * I1335 / 100, ""), "")))</f>
        <v/>
      </c>
      <c r="P1335" s="26" t="str">
        <f>IF(OR(F1335 = "", G1335 = "", I1335 = ""), "", IF(F1335 = "Vara", IFERROR(_xlfn.SINGLE(_xlfn.XLOOKUP(G1335, Vöruskrá!A:A, Vöruskrá!J:J, "")) * I1335 / 100, ""), IF(F1335 = "Réttur", IFERROR(_xlfn.SINGLE(_xlfn.XLOOKUP(G1335, Réttabanki!A:A, Réttabanki!AW:AW, "")) * I1335 / 100, ""), "")))</f>
        <v/>
      </c>
      <c r="Q1335" s="26" t="str">
        <f>IF(OR(F1335 = "", G1335 = "", I1335 = ""), "", IF(F1335 = "Vara", IFERROR(_xlfn.SINGLE(_xlfn.XLOOKUP(G1335, Vöruskrá!A:A, Vöruskrá!N:N, "")) * I1335 / 100, ""), IF(F1335 = "Réttur", IFERROR(_xlfn.SINGLE(_xlfn.XLOOKUP(G1335, Réttabanki!A:A, Réttabanki!BB:BB, "")) * I1335 / 100, ""), "")))</f>
        <v/>
      </c>
    </row>
    <row r="1336" spans="2:17">
      <c r="B1336" s="33" t="str">
        <f>IF(A1336&lt;&gt;"",CHOOSE(WEEKDAY(A1336,2),"Mánudagur","Þriðjudagur","Miðvikudagur","Fimmtudagur","Föstudagur","Laugardagur","Sunnudagur"),IF(B1335&lt;&gt;"",B1335,""))</f>
        <v>Fimmtudagur</v>
      </c>
      <c r="C1336" s="33">
        <f>IF(A1336&lt;&gt;"",WEEKNUM(A1336,21),IF(C1335&lt;&gt;"",C1335,""))</f>
        <v>27</v>
      </c>
      <c r="D1336" s="34"/>
      <c r="E1336" s="34"/>
      <c r="F1336" s="34"/>
      <c r="G1336" s="34"/>
      <c r="H1336" s="34"/>
      <c r="I1336" s="35"/>
      <c r="J1336" s="35"/>
      <c r="K1336" s="36"/>
      <c r="L1336" s="26" t="str">
        <f>IF(OR(F1336 = "", G1336 = ""), "", IF(F1336 = "Vara", IFERROR(_xlfn.SINGLE(_xlfn.XLOOKUP(G1336, Vöruskrá!A:A, Vöruskrá!E:E, "")), ""), IF(F1336 = "Réttur", IFERROR(_xlfn.SINGLE(_xlfn.XLOOKUP(G1336, Réttabanki!A:A, Réttabanki!AS:AS, "")), ""), "")))</f>
        <v/>
      </c>
      <c r="M1336" s="26" t="str">
        <f>IF(OR(F1336 = "", G1336 = ""), "", IF(F1336 = "Vara", IFERROR(_xlfn.SINGLE(_xlfn.XLOOKUP(G1336, Vöruskrá!A:A, Vöruskrá!F:F, "")), ""), IF(F1336 = "Réttur", IFERROR(_xlfn.SINGLE(_xlfn.XLOOKUP(G1336, Réttabanki!A:A, Réttabanki!AT:AT, "")), ""), "")))</f>
        <v/>
      </c>
      <c r="N1336" s="26" t="str">
        <f>IF(OR(F1336 = "", G1336 = ""), "", IF(F1336 = "Vara", IFERROR(_xlfn.SINGLE(_xlfn.XLOOKUP(G1336, Vöruskrá!A:A, Vöruskrá!G:G, "")), ""), IF(F1336 = "Réttur", IFERROR(_xlfn.SINGLE(_xlfn.XLOOKUP(G1336, Réttabanki!A:A, Réttabanki!AU:AU, "")), ""), "")))</f>
        <v/>
      </c>
      <c r="O1336" s="26" t="str">
        <f>IF(OR(F1336 = "", G1336 = "", I1336 = ""), "", IF(F1336 = "Vara", IFERROR(_xlfn.SINGLE(_xlfn.XLOOKUP(G1336, Vöruskrá!A:A, Vöruskrá!I:I, "")) * I1336 / 100, ""), IF(F1336 = "Réttur", IFERROR(_xlfn.SINGLE(_xlfn.XLOOKUP(G1336, Réttabanki!A:A, Réttabanki!AV:AV, "")) * I1336 / 100, ""), "")))</f>
        <v/>
      </c>
      <c r="P1336" s="26" t="str">
        <f>IF(OR(F1336 = "", G1336 = "", I1336 = ""), "", IF(F1336 = "Vara", IFERROR(_xlfn.SINGLE(_xlfn.XLOOKUP(G1336, Vöruskrá!A:A, Vöruskrá!J:J, "")) * I1336 / 100, ""), IF(F1336 = "Réttur", IFERROR(_xlfn.SINGLE(_xlfn.XLOOKUP(G1336, Réttabanki!A:A, Réttabanki!AW:AW, "")) * I1336 / 100, ""), "")))</f>
        <v/>
      </c>
      <c r="Q1336" s="26" t="str">
        <f>IF(OR(F1336 = "", G1336 = "", I1336 = ""), "", IF(F1336 = "Vara", IFERROR(_xlfn.SINGLE(_xlfn.XLOOKUP(G1336, Vöruskrá!A:A, Vöruskrá!N:N, "")) * I1336 / 100, ""), IF(F1336 = "Réttur", IFERROR(_xlfn.SINGLE(_xlfn.XLOOKUP(G1336, Réttabanki!A:A, Réttabanki!BB:BB, "")) * I1336 / 100, ""), "")))</f>
        <v/>
      </c>
    </row>
    <row r="1337" spans="2:17">
      <c r="B1337" s="33" t="str">
        <f>IF(A1337&lt;&gt;"",CHOOSE(WEEKDAY(A1337,2),"Mánudagur","Þriðjudagur","Miðvikudagur","Fimmtudagur","Föstudagur","Laugardagur","Sunnudagur"),IF(B1336&lt;&gt;"",B1336,""))</f>
        <v>Fimmtudagur</v>
      </c>
      <c r="C1337" s="33">
        <f>IF(A1337&lt;&gt;"",WEEKNUM(A1337,21),IF(C1336&lt;&gt;"",C1336,""))</f>
        <v>27</v>
      </c>
      <c r="D1337" s="34"/>
      <c r="E1337" s="34"/>
      <c r="F1337" s="34"/>
      <c r="G1337" s="34"/>
      <c r="H1337" s="34"/>
      <c r="I1337" s="35"/>
      <c r="J1337" s="35"/>
      <c r="K1337" s="36"/>
      <c r="L1337" s="26" t="str">
        <f>IF(OR(F1337 = "", G1337 = ""), "", IF(F1337 = "Vara", IFERROR(_xlfn.SINGLE(_xlfn.XLOOKUP(G1337, Vöruskrá!A:A, Vöruskrá!E:E, "")), ""), IF(F1337 = "Réttur", IFERROR(_xlfn.SINGLE(_xlfn.XLOOKUP(G1337, Réttabanki!A:A, Réttabanki!AS:AS, "")), ""), "")))</f>
        <v/>
      </c>
      <c r="M1337" s="26" t="str">
        <f>IF(OR(F1337 = "", G1337 = ""), "", IF(F1337 = "Vara", IFERROR(_xlfn.SINGLE(_xlfn.XLOOKUP(G1337, Vöruskrá!A:A, Vöruskrá!F:F, "")), ""), IF(F1337 = "Réttur", IFERROR(_xlfn.SINGLE(_xlfn.XLOOKUP(G1337, Réttabanki!A:A, Réttabanki!AT:AT, "")), ""), "")))</f>
        <v/>
      </c>
      <c r="N1337" s="26" t="str">
        <f>IF(OR(F1337 = "", G1337 = ""), "", IF(F1337 = "Vara", IFERROR(_xlfn.SINGLE(_xlfn.XLOOKUP(G1337, Vöruskrá!A:A, Vöruskrá!G:G, "")), ""), IF(F1337 = "Réttur", IFERROR(_xlfn.SINGLE(_xlfn.XLOOKUP(G1337, Réttabanki!A:A, Réttabanki!AU:AU, "")), ""), "")))</f>
        <v/>
      </c>
      <c r="O1337" s="26" t="str">
        <f>IF(OR(F1337 = "", G1337 = "", I1337 = ""), "", IF(F1337 = "Vara", IFERROR(_xlfn.SINGLE(_xlfn.XLOOKUP(G1337, Vöruskrá!A:A, Vöruskrá!I:I, "")) * I1337 / 100, ""), IF(F1337 = "Réttur", IFERROR(_xlfn.SINGLE(_xlfn.XLOOKUP(G1337, Réttabanki!A:A, Réttabanki!AV:AV, "")) * I1337 / 100, ""), "")))</f>
        <v/>
      </c>
      <c r="P1337" s="26" t="str">
        <f>IF(OR(F1337 = "", G1337 = "", I1337 = ""), "", IF(F1337 = "Vara", IFERROR(_xlfn.SINGLE(_xlfn.XLOOKUP(G1337, Vöruskrá!A:A, Vöruskrá!J:J, "")) * I1337 / 100, ""), IF(F1337 = "Réttur", IFERROR(_xlfn.SINGLE(_xlfn.XLOOKUP(G1337, Réttabanki!A:A, Réttabanki!AW:AW, "")) * I1337 / 100, ""), "")))</f>
        <v/>
      </c>
      <c r="Q1337" s="26" t="str">
        <f>IF(OR(F1337 = "", G1337 = "", I1337 = ""), "", IF(F1337 = "Vara", IFERROR(_xlfn.SINGLE(_xlfn.XLOOKUP(G1337, Vöruskrá!A:A, Vöruskrá!N:N, "")) * I1337 / 100, ""), IF(F1337 = "Réttur", IFERROR(_xlfn.SINGLE(_xlfn.XLOOKUP(G1337, Réttabanki!A:A, Réttabanki!BB:BB, "")) * I1337 / 100, ""), "")))</f>
        <v/>
      </c>
    </row>
    <row r="1338" spans="2:17">
      <c r="B1338" s="33" t="str">
        <f>IF(A1338&lt;&gt;"",CHOOSE(WEEKDAY(A1338,2),"Mánudagur","Þriðjudagur","Miðvikudagur","Fimmtudagur","Föstudagur","Laugardagur","Sunnudagur"),IF(B1337&lt;&gt;"",B1337,""))</f>
        <v>Fimmtudagur</v>
      </c>
      <c r="C1338" s="33">
        <f>IF(A1338&lt;&gt;"",WEEKNUM(A1338,21),IF(C1337&lt;&gt;"",C1337,""))</f>
        <v>27</v>
      </c>
      <c r="D1338" s="34"/>
      <c r="E1338" s="34"/>
      <c r="F1338" s="34"/>
      <c r="G1338" s="34"/>
      <c r="H1338" s="34"/>
      <c r="I1338" s="35"/>
      <c r="J1338" s="35"/>
      <c r="K1338" s="36"/>
      <c r="L1338" s="26" t="str">
        <f>IF(OR(F1338 = "", G1338 = ""), "", IF(F1338 = "Vara", IFERROR(_xlfn.SINGLE(_xlfn.XLOOKUP(G1338, Vöruskrá!A:A, Vöruskrá!E:E, "")), ""), IF(F1338 = "Réttur", IFERROR(_xlfn.SINGLE(_xlfn.XLOOKUP(G1338, Réttabanki!A:A, Réttabanki!AS:AS, "")), ""), "")))</f>
        <v/>
      </c>
      <c r="M1338" s="26" t="str">
        <f>IF(OR(F1338 = "", G1338 = ""), "", IF(F1338 = "Vara", IFERROR(_xlfn.SINGLE(_xlfn.XLOOKUP(G1338, Vöruskrá!A:A, Vöruskrá!F:F, "")), ""), IF(F1338 = "Réttur", IFERROR(_xlfn.SINGLE(_xlfn.XLOOKUP(G1338, Réttabanki!A:A, Réttabanki!AT:AT, "")), ""), "")))</f>
        <v/>
      </c>
      <c r="N1338" s="26" t="str">
        <f>IF(OR(F1338 = "", G1338 = ""), "", IF(F1338 = "Vara", IFERROR(_xlfn.SINGLE(_xlfn.XLOOKUP(G1338, Vöruskrá!A:A, Vöruskrá!G:G, "")), ""), IF(F1338 = "Réttur", IFERROR(_xlfn.SINGLE(_xlfn.XLOOKUP(G1338, Réttabanki!A:A, Réttabanki!AU:AU, "")), ""), "")))</f>
        <v/>
      </c>
      <c r="O1338" s="26" t="str">
        <f>IF(OR(F1338 = "", G1338 = "", I1338 = ""), "", IF(F1338 = "Vara", IFERROR(_xlfn.SINGLE(_xlfn.XLOOKUP(G1338, Vöruskrá!A:A, Vöruskrá!I:I, "")) * I1338 / 100, ""), IF(F1338 = "Réttur", IFERROR(_xlfn.SINGLE(_xlfn.XLOOKUP(G1338, Réttabanki!A:A, Réttabanki!AV:AV, "")) * I1338 / 100, ""), "")))</f>
        <v/>
      </c>
      <c r="P1338" s="26" t="str">
        <f>IF(OR(F1338 = "", G1338 = "", I1338 = ""), "", IF(F1338 = "Vara", IFERROR(_xlfn.SINGLE(_xlfn.XLOOKUP(G1338, Vöruskrá!A:A, Vöruskrá!J:J, "")) * I1338 / 100, ""), IF(F1338 = "Réttur", IFERROR(_xlfn.SINGLE(_xlfn.XLOOKUP(G1338, Réttabanki!A:A, Réttabanki!AW:AW, "")) * I1338 / 100, ""), "")))</f>
        <v/>
      </c>
      <c r="Q1338" s="26" t="str">
        <f>IF(OR(F1338 = "", G1338 = "", I1338 = ""), "", IF(F1338 = "Vara", IFERROR(_xlfn.SINGLE(_xlfn.XLOOKUP(G1338, Vöruskrá!A:A, Vöruskrá!N:N, "")) * I1338 / 100, ""), IF(F1338 = "Réttur", IFERROR(_xlfn.SINGLE(_xlfn.XLOOKUP(G1338, Réttabanki!A:A, Réttabanki!BB:BB, "")) * I1338 / 100, ""), "")))</f>
        <v/>
      </c>
    </row>
    <row r="1339" spans="2:17">
      <c r="B1339" s="33" t="str">
        <f>IF(A1339&lt;&gt;"",CHOOSE(WEEKDAY(A1339,2),"Mánudagur","Þriðjudagur","Miðvikudagur","Fimmtudagur","Föstudagur","Laugardagur","Sunnudagur"),IF(B1338&lt;&gt;"",B1338,""))</f>
        <v>Fimmtudagur</v>
      </c>
      <c r="C1339" s="33">
        <f>IF(A1339&lt;&gt;"",WEEKNUM(A1339,21),IF(C1338&lt;&gt;"",C1338,""))</f>
        <v>27</v>
      </c>
      <c r="D1339" s="34"/>
      <c r="E1339" s="34"/>
      <c r="F1339" s="34"/>
      <c r="G1339" s="34"/>
      <c r="H1339" s="34"/>
      <c r="I1339" s="35"/>
      <c r="J1339" s="35"/>
      <c r="K1339" s="36"/>
      <c r="L1339" s="26" t="str">
        <f>IF(OR(F1339 = "", G1339 = ""), "", IF(F1339 = "Vara", IFERROR(_xlfn.SINGLE(_xlfn.XLOOKUP(G1339, Vöruskrá!A:A, Vöruskrá!E:E, "")), ""), IF(F1339 = "Réttur", IFERROR(_xlfn.SINGLE(_xlfn.XLOOKUP(G1339, Réttabanki!A:A, Réttabanki!AS:AS, "")), ""), "")))</f>
        <v/>
      </c>
      <c r="M1339" s="26" t="str">
        <f>IF(OR(F1339 = "", G1339 = ""), "", IF(F1339 = "Vara", IFERROR(_xlfn.SINGLE(_xlfn.XLOOKUP(G1339, Vöruskrá!A:A, Vöruskrá!F:F, "")), ""), IF(F1339 = "Réttur", IFERROR(_xlfn.SINGLE(_xlfn.XLOOKUP(G1339, Réttabanki!A:A, Réttabanki!AT:AT, "")), ""), "")))</f>
        <v/>
      </c>
      <c r="N1339" s="26" t="str">
        <f>IF(OR(F1339 = "", G1339 = ""), "", IF(F1339 = "Vara", IFERROR(_xlfn.SINGLE(_xlfn.XLOOKUP(G1339, Vöruskrá!A:A, Vöruskrá!G:G, "")), ""), IF(F1339 = "Réttur", IFERROR(_xlfn.SINGLE(_xlfn.XLOOKUP(G1339, Réttabanki!A:A, Réttabanki!AU:AU, "")), ""), "")))</f>
        <v/>
      </c>
      <c r="O1339" s="26" t="str">
        <f>IF(OR(F1339 = "", G1339 = "", I1339 = ""), "", IF(F1339 = "Vara", IFERROR(_xlfn.SINGLE(_xlfn.XLOOKUP(G1339, Vöruskrá!A:A, Vöruskrá!I:I, "")) * I1339 / 100, ""), IF(F1339 = "Réttur", IFERROR(_xlfn.SINGLE(_xlfn.XLOOKUP(G1339, Réttabanki!A:A, Réttabanki!AV:AV, "")) * I1339 / 100, ""), "")))</f>
        <v/>
      </c>
      <c r="P1339" s="26" t="str">
        <f>IF(OR(F1339 = "", G1339 = "", I1339 = ""), "", IF(F1339 = "Vara", IFERROR(_xlfn.SINGLE(_xlfn.XLOOKUP(G1339, Vöruskrá!A:A, Vöruskrá!J:J, "")) * I1339 / 100, ""), IF(F1339 = "Réttur", IFERROR(_xlfn.SINGLE(_xlfn.XLOOKUP(G1339, Réttabanki!A:A, Réttabanki!AW:AW, "")) * I1339 / 100, ""), "")))</f>
        <v/>
      </c>
      <c r="Q1339" s="26" t="str">
        <f>IF(OR(F1339 = "", G1339 = "", I1339 = ""), "", IF(F1339 = "Vara", IFERROR(_xlfn.SINGLE(_xlfn.XLOOKUP(G1339, Vöruskrá!A:A, Vöruskrá!N:N, "")) * I1339 / 100, ""), IF(F1339 = "Réttur", IFERROR(_xlfn.SINGLE(_xlfn.XLOOKUP(G1339, Réttabanki!A:A, Réttabanki!BB:BB, "")) * I1339 / 100, ""), "")))</f>
        <v/>
      </c>
    </row>
    <row r="1340" spans="2:17">
      <c r="B1340" s="33" t="str">
        <f>IF(A1340&lt;&gt;"",CHOOSE(WEEKDAY(A1340,2),"Mánudagur","Þriðjudagur","Miðvikudagur","Fimmtudagur","Föstudagur","Laugardagur","Sunnudagur"),IF(B1339&lt;&gt;"",B1339,""))</f>
        <v>Fimmtudagur</v>
      </c>
      <c r="C1340" s="33">
        <f>IF(A1340&lt;&gt;"",WEEKNUM(A1340,21),IF(C1339&lt;&gt;"",C1339,""))</f>
        <v>27</v>
      </c>
      <c r="D1340" s="34"/>
      <c r="E1340" s="34"/>
      <c r="F1340" s="34"/>
      <c r="G1340" s="34"/>
      <c r="H1340" s="34"/>
      <c r="I1340" s="35"/>
      <c r="J1340" s="35"/>
      <c r="K1340" s="36"/>
      <c r="L1340" s="26" t="str">
        <f>IF(OR(F1340 = "", G1340 = ""), "", IF(F1340 = "Vara", IFERROR(_xlfn.SINGLE(_xlfn.XLOOKUP(G1340, Vöruskrá!A:A, Vöruskrá!E:E, "")), ""), IF(F1340 = "Réttur", IFERROR(_xlfn.SINGLE(_xlfn.XLOOKUP(G1340, Réttabanki!A:A, Réttabanki!AS:AS, "")), ""), "")))</f>
        <v/>
      </c>
      <c r="M1340" s="26" t="str">
        <f>IF(OR(F1340 = "", G1340 = ""), "", IF(F1340 = "Vara", IFERROR(_xlfn.SINGLE(_xlfn.XLOOKUP(G1340, Vöruskrá!A:A, Vöruskrá!F:F, "")), ""), IF(F1340 = "Réttur", IFERROR(_xlfn.SINGLE(_xlfn.XLOOKUP(G1340, Réttabanki!A:A, Réttabanki!AT:AT, "")), ""), "")))</f>
        <v/>
      </c>
      <c r="N1340" s="26" t="str">
        <f>IF(OR(F1340 = "", G1340 = ""), "", IF(F1340 = "Vara", IFERROR(_xlfn.SINGLE(_xlfn.XLOOKUP(G1340, Vöruskrá!A:A, Vöruskrá!G:G, "")), ""), IF(F1340 = "Réttur", IFERROR(_xlfn.SINGLE(_xlfn.XLOOKUP(G1340, Réttabanki!A:A, Réttabanki!AU:AU, "")), ""), "")))</f>
        <v/>
      </c>
      <c r="O1340" s="26" t="str">
        <f>IF(OR(F1340 = "", G1340 = "", I1340 = ""), "", IF(F1340 = "Vara", IFERROR(_xlfn.SINGLE(_xlfn.XLOOKUP(G1340, Vöruskrá!A:A, Vöruskrá!I:I, "")) * I1340 / 100, ""), IF(F1340 = "Réttur", IFERROR(_xlfn.SINGLE(_xlfn.XLOOKUP(G1340, Réttabanki!A:A, Réttabanki!AV:AV, "")) * I1340 / 100, ""), "")))</f>
        <v/>
      </c>
      <c r="P1340" s="26" t="str">
        <f>IF(OR(F1340 = "", G1340 = "", I1340 = ""), "", IF(F1340 = "Vara", IFERROR(_xlfn.SINGLE(_xlfn.XLOOKUP(G1340, Vöruskrá!A:A, Vöruskrá!J:J, "")) * I1340 / 100, ""), IF(F1340 = "Réttur", IFERROR(_xlfn.SINGLE(_xlfn.XLOOKUP(G1340, Réttabanki!A:A, Réttabanki!AW:AW, "")) * I1340 / 100, ""), "")))</f>
        <v/>
      </c>
      <c r="Q1340" s="26" t="str">
        <f>IF(OR(F1340 = "", G1340 = "", I1340 = ""), "", IF(F1340 = "Vara", IFERROR(_xlfn.SINGLE(_xlfn.XLOOKUP(G1340, Vöruskrá!A:A, Vöruskrá!N:N, "")) * I1340 / 100, ""), IF(F1340 = "Réttur", IFERROR(_xlfn.SINGLE(_xlfn.XLOOKUP(G1340, Réttabanki!A:A, Réttabanki!BB:BB, "")) * I1340 / 100, ""), "")))</f>
        <v/>
      </c>
    </row>
    <row r="1341" spans="2:17">
      <c r="B1341" s="33" t="str">
        <f>IF(A1341&lt;&gt;"",CHOOSE(WEEKDAY(A1341,2),"Mánudagur","Þriðjudagur","Miðvikudagur","Fimmtudagur","Föstudagur","Laugardagur","Sunnudagur"),IF(B1340&lt;&gt;"",B1340,""))</f>
        <v>Fimmtudagur</v>
      </c>
      <c r="C1341" s="33">
        <f>IF(A1341&lt;&gt;"",WEEKNUM(A1341,21),IF(C1340&lt;&gt;"",C1340,""))</f>
        <v>27</v>
      </c>
      <c r="D1341" s="34"/>
      <c r="E1341" s="34"/>
      <c r="F1341" s="34"/>
      <c r="G1341" s="34"/>
      <c r="H1341" s="34"/>
      <c r="I1341" s="35"/>
      <c r="J1341" s="35"/>
      <c r="K1341" s="36"/>
      <c r="L1341" s="26" t="str">
        <f>IF(OR(F1341 = "", G1341 = ""), "", IF(F1341 = "Vara", IFERROR(_xlfn.SINGLE(_xlfn.XLOOKUP(G1341, Vöruskrá!A:A, Vöruskrá!E:E, "")), ""), IF(F1341 = "Réttur", IFERROR(_xlfn.SINGLE(_xlfn.XLOOKUP(G1341, Réttabanki!A:A, Réttabanki!AS:AS, "")), ""), "")))</f>
        <v/>
      </c>
      <c r="M1341" s="26" t="str">
        <f>IF(OR(F1341 = "", G1341 = ""), "", IF(F1341 = "Vara", IFERROR(_xlfn.SINGLE(_xlfn.XLOOKUP(G1341, Vöruskrá!A:A, Vöruskrá!F:F, "")), ""), IF(F1341 = "Réttur", IFERROR(_xlfn.SINGLE(_xlfn.XLOOKUP(G1341, Réttabanki!A:A, Réttabanki!AT:AT, "")), ""), "")))</f>
        <v/>
      </c>
      <c r="N1341" s="26" t="str">
        <f>IF(OR(F1341 = "", G1341 = ""), "", IF(F1341 = "Vara", IFERROR(_xlfn.SINGLE(_xlfn.XLOOKUP(G1341, Vöruskrá!A:A, Vöruskrá!G:G, "")), ""), IF(F1341 = "Réttur", IFERROR(_xlfn.SINGLE(_xlfn.XLOOKUP(G1341, Réttabanki!A:A, Réttabanki!AU:AU, "")), ""), "")))</f>
        <v/>
      </c>
      <c r="O1341" s="26" t="str">
        <f>IF(OR(F1341 = "", G1341 = "", I1341 = ""), "", IF(F1341 = "Vara", IFERROR(_xlfn.SINGLE(_xlfn.XLOOKUP(G1341, Vöruskrá!A:A, Vöruskrá!I:I, "")) * I1341 / 100, ""), IF(F1341 = "Réttur", IFERROR(_xlfn.SINGLE(_xlfn.XLOOKUP(G1341, Réttabanki!A:A, Réttabanki!AV:AV, "")) * I1341 / 100, ""), "")))</f>
        <v/>
      </c>
      <c r="P1341" s="26" t="str">
        <f>IF(OR(F1341 = "", G1341 = "", I1341 = ""), "", IF(F1341 = "Vara", IFERROR(_xlfn.SINGLE(_xlfn.XLOOKUP(G1341, Vöruskrá!A:A, Vöruskrá!J:J, "")) * I1341 / 100, ""), IF(F1341 = "Réttur", IFERROR(_xlfn.SINGLE(_xlfn.XLOOKUP(G1341, Réttabanki!A:A, Réttabanki!AW:AW, "")) * I1341 / 100, ""), "")))</f>
        <v/>
      </c>
      <c r="Q1341" s="26" t="str">
        <f>IF(OR(F1341 = "", G1341 = "", I1341 = ""), "", IF(F1341 = "Vara", IFERROR(_xlfn.SINGLE(_xlfn.XLOOKUP(G1341, Vöruskrá!A:A, Vöruskrá!N:N, "")) * I1341 / 100, ""), IF(F1341 = "Réttur", IFERROR(_xlfn.SINGLE(_xlfn.XLOOKUP(G1341, Réttabanki!A:A, Réttabanki!BB:BB, "")) * I1341 / 100, ""), "")))</f>
        <v/>
      </c>
    </row>
    <row r="1342" spans="2:17">
      <c r="B1342" s="33" t="str">
        <f>IF(A1342&lt;&gt;"",CHOOSE(WEEKDAY(A1342,2),"Mánudagur","Þriðjudagur","Miðvikudagur","Fimmtudagur","Föstudagur","Laugardagur","Sunnudagur"),IF(B1341&lt;&gt;"",B1341,""))</f>
        <v>Fimmtudagur</v>
      </c>
      <c r="C1342" s="33">
        <f>IF(A1342&lt;&gt;"",WEEKNUM(A1342,21),IF(C1341&lt;&gt;"",C1341,""))</f>
        <v>27</v>
      </c>
      <c r="D1342" s="34"/>
      <c r="E1342" s="34"/>
      <c r="F1342" s="34"/>
      <c r="G1342" s="34"/>
      <c r="H1342" s="34"/>
      <c r="I1342" s="35"/>
      <c r="J1342" s="35"/>
      <c r="K1342" s="36"/>
      <c r="L1342" s="26" t="str">
        <f>IF(OR(F1342 = "", G1342 = ""), "", IF(F1342 = "Vara", IFERROR(_xlfn.SINGLE(_xlfn.XLOOKUP(G1342, Vöruskrá!A:A, Vöruskrá!E:E, "")), ""), IF(F1342 = "Réttur", IFERROR(_xlfn.SINGLE(_xlfn.XLOOKUP(G1342, Réttabanki!A:A, Réttabanki!AS:AS, "")), ""), "")))</f>
        <v/>
      </c>
      <c r="M1342" s="26" t="str">
        <f>IF(OR(F1342 = "", G1342 = ""), "", IF(F1342 = "Vara", IFERROR(_xlfn.SINGLE(_xlfn.XLOOKUP(G1342, Vöruskrá!A:A, Vöruskrá!F:F, "")), ""), IF(F1342 = "Réttur", IFERROR(_xlfn.SINGLE(_xlfn.XLOOKUP(G1342, Réttabanki!A:A, Réttabanki!AT:AT, "")), ""), "")))</f>
        <v/>
      </c>
      <c r="N1342" s="26" t="str">
        <f>IF(OR(F1342 = "", G1342 = ""), "", IF(F1342 = "Vara", IFERROR(_xlfn.SINGLE(_xlfn.XLOOKUP(G1342, Vöruskrá!A:A, Vöruskrá!G:G, "")), ""), IF(F1342 = "Réttur", IFERROR(_xlfn.SINGLE(_xlfn.XLOOKUP(G1342, Réttabanki!A:A, Réttabanki!AU:AU, "")), ""), "")))</f>
        <v/>
      </c>
      <c r="O1342" s="26" t="str">
        <f>IF(OR(F1342 = "", G1342 = "", I1342 = ""), "", IF(F1342 = "Vara", IFERROR(_xlfn.SINGLE(_xlfn.XLOOKUP(G1342, Vöruskrá!A:A, Vöruskrá!I:I, "")) * I1342 / 100, ""), IF(F1342 = "Réttur", IFERROR(_xlfn.SINGLE(_xlfn.XLOOKUP(G1342, Réttabanki!A:A, Réttabanki!AV:AV, "")) * I1342 / 100, ""), "")))</f>
        <v/>
      </c>
      <c r="P1342" s="26" t="str">
        <f>IF(OR(F1342 = "", G1342 = "", I1342 = ""), "", IF(F1342 = "Vara", IFERROR(_xlfn.SINGLE(_xlfn.XLOOKUP(G1342, Vöruskrá!A:A, Vöruskrá!J:J, "")) * I1342 / 100, ""), IF(F1342 = "Réttur", IFERROR(_xlfn.SINGLE(_xlfn.XLOOKUP(G1342, Réttabanki!A:A, Réttabanki!AW:AW, "")) * I1342 / 100, ""), "")))</f>
        <v/>
      </c>
      <c r="Q1342" s="26" t="str">
        <f>IF(OR(F1342 = "", G1342 = "", I1342 = ""), "", IF(F1342 = "Vara", IFERROR(_xlfn.SINGLE(_xlfn.XLOOKUP(G1342, Vöruskrá!A:A, Vöruskrá!N:N, "")) * I1342 / 100, ""), IF(F1342 = "Réttur", IFERROR(_xlfn.SINGLE(_xlfn.XLOOKUP(G1342, Réttabanki!A:A, Réttabanki!BB:BB, "")) * I1342 / 100, ""), "")))</f>
        <v/>
      </c>
    </row>
    <row r="1343" spans="2:17">
      <c r="B1343" s="33" t="str">
        <f>IF(A1343&lt;&gt;"",CHOOSE(WEEKDAY(A1343,2),"Mánudagur","Þriðjudagur","Miðvikudagur","Fimmtudagur","Föstudagur","Laugardagur","Sunnudagur"),IF(B1342&lt;&gt;"",B1342,""))</f>
        <v>Fimmtudagur</v>
      </c>
      <c r="C1343" s="33">
        <f>IF(A1343&lt;&gt;"",WEEKNUM(A1343,21),IF(C1342&lt;&gt;"",C1342,""))</f>
        <v>27</v>
      </c>
      <c r="D1343" s="34"/>
      <c r="E1343" s="34"/>
      <c r="F1343" s="34"/>
      <c r="G1343" s="34"/>
      <c r="H1343" s="34"/>
      <c r="I1343" s="35"/>
      <c r="J1343" s="35"/>
      <c r="K1343" s="36"/>
      <c r="L1343" s="26" t="str">
        <f>IF(OR(F1343 = "", G1343 = ""), "", IF(F1343 = "Vara", IFERROR(_xlfn.SINGLE(_xlfn.XLOOKUP(G1343, Vöruskrá!A:A, Vöruskrá!E:E, "")), ""), IF(F1343 = "Réttur", IFERROR(_xlfn.SINGLE(_xlfn.XLOOKUP(G1343, Réttabanki!A:A, Réttabanki!AS:AS, "")), ""), "")))</f>
        <v/>
      </c>
      <c r="M1343" s="26" t="str">
        <f>IF(OR(F1343 = "", G1343 = ""), "", IF(F1343 = "Vara", IFERROR(_xlfn.SINGLE(_xlfn.XLOOKUP(G1343, Vöruskrá!A:A, Vöruskrá!F:F, "")), ""), IF(F1343 = "Réttur", IFERROR(_xlfn.SINGLE(_xlfn.XLOOKUP(G1343, Réttabanki!A:A, Réttabanki!AT:AT, "")), ""), "")))</f>
        <v/>
      </c>
      <c r="N1343" s="26" t="str">
        <f>IF(OR(F1343 = "", G1343 = ""), "", IF(F1343 = "Vara", IFERROR(_xlfn.SINGLE(_xlfn.XLOOKUP(G1343, Vöruskrá!A:A, Vöruskrá!G:G, "")), ""), IF(F1343 = "Réttur", IFERROR(_xlfn.SINGLE(_xlfn.XLOOKUP(G1343, Réttabanki!A:A, Réttabanki!AU:AU, "")), ""), "")))</f>
        <v/>
      </c>
      <c r="O1343" s="26" t="str">
        <f>IF(OR(F1343 = "", G1343 = "", I1343 = ""), "", IF(F1343 = "Vara", IFERROR(_xlfn.SINGLE(_xlfn.XLOOKUP(G1343, Vöruskrá!A:A, Vöruskrá!I:I, "")) * I1343 / 100, ""), IF(F1343 = "Réttur", IFERROR(_xlfn.SINGLE(_xlfn.XLOOKUP(G1343, Réttabanki!A:A, Réttabanki!AV:AV, "")) * I1343 / 100, ""), "")))</f>
        <v/>
      </c>
      <c r="P1343" s="26" t="str">
        <f>IF(OR(F1343 = "", G1343 = "", I1343 = ""), "", IF(F1343 = "Vara", IFERROR(_xlfn.SINGLE(_xlfn.XLOOKUP(G1343, Vöruskrá!A:A, Vöruskrá!J:J, "")) * I1343 / 100, ""), IF(F1343 = "Réttur", IFERROR(_xlfn.SINGLE(_xlfn.XLOOKUP(G1343, Réttabanki!A:A, Réttabanki!AW:AW, "")) * I1343 / 100, ""), "")))</f>
        <v/>
      </c>
      <c r="Q1343" s="26" t="str">
        <f>IF(OR(F1343 = "", G1343 = "", I1343 = ""), "", IF(F1343 = "Vara", IFERROR(_xlfn.SINGLE(_xlfn.XLOOKUP(G1343, Vöruskrá!A:A, Vöruskrá!N:N, "")) * I1343 / 100, ""), IF(F1343 = "Réttur", IFERROR(_xlfn.SINGLE(_xlfn.XLOOKUP(G1343, Réttabanki!A:A, Réttabanki!BB:BB, "")) * I1343 / 100, ""), "")))</f>
        <v/>
      </c>
    </row>
    <row r="1344" spans="2:17">
      <c r="B1344" s="33" t="str">
        <f>IF(A1344&lt;&gt;"",CHOOSE(WEEKDAY(A1344,2),"Mánudagur","Þriðjudagur","Miðvikudagur","Fimmtudagur","Föstudagur","Laugardagur","Sunnudagur"),IF(B1343&lt;&gt;"",B1343,""))</f>
        <v>Fimmtudagur</v>
      </c>
      <c r="C1344" s="33">
        <f>IF(A1344&lt;&gt;"",WEEKNUM(A1344,21),IF(C1343&lt;&gt;"",C1343,""))</f>
        <v>27</v>
      </c>
      <c r="D1344" s="34"/>
      <c r="E1344" s="34"/>
      <c r="F1344" s="34"/>
      <c r="G1344" s="34"/>
      <c r="H1344" s="34"/>
      <c r="I1344" s="35"/>
      <c r="J1344" s="35"/>
      <c r="K1344" s="36"/>
      <c r="L1344" s="26" t="str">
        <f>IF(OR(F1344 = "", G1344 = ""), "", IF(F1344 = "Vara", IFERROR(_xlfn.SINGLE(_xlfn.XLOOKUP(G1344, Vöruskrá!A:A, Vöruskrá!E:E, "")), ""), IF(F1344 = "Réttur", IFERROR(_xlfn.SINGLE(_xlfn.XLOOKUP(G1344, Réttabanki!A:A, Réttabanki!AS:AS, "")), ""), "")))</f>
        <v/>
      </c>
      <c r="M1344" s="26" t="str">
        <f>IF(OR(F1344 = "", G1344 = ""), "", IF(F1344 = "Vara", IFERROR(_xlfn.SINGLE(_xlfn.XLOOKUP(G1344, Vöruskrá!A:A, Vöruskrá!F:F, "")), ""), IF(F1344 = "Réttur", IFERROR(_xlfn.SINGLE(_xlfn.XLOOKUP(G1344, Réttabanki!A:A, Réttabanki!AT:AT, "")), ""), "")))</f>
        <v/>
      </c>
      <c r="N1344" s="26" t="str">
        <f>IF(OR(F1344 = "", G1344 = ""), "", IF(F1344 = "Vara", IFERROR(_xlfn.SINGLE(_xlfn.XLOOKUP(G1344, Vöruskrá!A:A, Vöruskrá!G:G, "")), ""), IF(F1344 = "Réttur", IFERROR(_xlfn.SINGLE(_xlfn.XLOOKUP(G1344, Réttabanki!A:A, Réttabanki!AU:AU, "")), ""), "")))</f>
        <v/>
      </c>
      <c r="O1344" s="26" t="str">
        <f>IF(OR(F1344 = "", G1344 = "", I1344 = ""), "", IF(F1344 = "Vara", IFERROR(_xlfn.SINGLE(_xlfn.XLOOKUP(G1344, Vöruskrá!A:A, Vöruskrá!I:I, "")) * I1344 / 100, ""), IF(F1344 = "Réttur", IFERROR(_xlfn.SINGLE(_xlfn.XLOOKUP(G1344, Réttabanki!A:A, Réttabanki!AV:AV, "")) * I1344 / 100, ""), "")))</f>
        <v/>
      </c>
      <c r="P1344" s="26" t="str">
        <f>IF(OR(F1344 = "", G1344 = "", I1344 = ""), "", IF(F1344 = "Vara", IFERROR(_xlfn.SINGLE(_xlfn.XLOOKUP(G1344, Vöruskrá!A:A, Vöruskrá!J:J, "")) * I1344 / 100, ""), IF(F1344 = "Réttur", IFERROR(_xlfn.SINGLE(_xlfn.XLOOKUP(G1344, Réttabanki!A:A, Réttabanki!AW:AW, "")) * I1344 / 100, ""), "")))</f>
        <v/>
      </c>
      <c r="Q1344" s="26" t="str">
        <f>IF(OR(F1344 = "", G1344 = "", I1344 = ""), "", IF(F1344 = "Vara", IFERROR(_xlfn.SINGLE(_xlfn.XLOOKUP(G1344, Vöruskrá!A:A, Vöruskrá!N:N, "")) * I1344 / 100, ""), IF(F1344 = "Réttur", IFERROR(_xlfn.SINGLE(_xlfn.XLOOKUP(G1344, Réttabanki!A:A, Réttabanki!BB:BB, "")) * I1344 / 100, ""), "")))</f>
        <v/>
      </c>
    </row>
    <row r="1345" spans="2:17">
      <c r="B1345" s="33" t="str">
        <f>IF(A1345&lt;&gt;"",CHOOSE(WEEKDAY(A1345,2),"Mánudagur","Þriðjudagur","Miðvikudagur","Fimmtudagur","Föstudagur","Laugardagur","Sunnudagur"),IF(B1344&lt;&gt;"",B1344,""))</f>
        <v>Fimmtudagur</v>
      </c>
      <c r="C1345" s="33">
        <f>IF(A1345&lt;&gt;"",WEEKNUM(A1345,21),IF(C1344&lt;&gt;"",C1344,""))</f>
        <v>27</v>
      </c>
      <c r="D1345" s="34"/>
      <c r="E1345" s="34"/>
      <c r="F1345" s="34"/>
      <c r="G1345" s="34"/>
      <c r="H1345" s="34"/>
      <c r="I1345" s="35"/>
      <c r="J1345" s="35"/>
      <c r="K1345" s="36"/>
      <c r="L1345" s="26" t="str">
        <f>IF(OR(F1345 = "", G1345 = ""), "", IF(F1345 = "Vara", IFERROR(_xlfn.SINGLE(_xlfn.XLOOKUP(G1345, Vöruskrá!A:A, Vöruskrá!E:E, "")), ""), IF(F1345 = "Réttur", IFERROR(_xlfn.SINGLE(_xlfn.XLOOKUP(G1345, Réttabanki!A:A, Réttabanki!AS:AS, "")), ""), "")))</f>
        <v/>
      </c>
      <c r="M1345" s="26" t="str">
        <f>IF(OR(F1345 = "", G1345 = ""), "", IF(F1345 = "Vara", IFERROR(_xlfn.SINGLE(_xlfn.XLOOKUP(G1345, Vöruskrá!A:A, Vöruskrá!F:F, "")), ""), IF(F1345 = "Réttur", IFERROR(_xlfn.SINGLE(_xlfn.XLOOKUP(G1345, Réttabanki!A:A, Réttabanki!AT:AT, "")), ""), "")))</f>
        <v/>
      </c>
      <c r="N1345" s="26" t="str">
        <f>IF(OR(F1345 = "", G1345 = ""), "", IF(F1345 = "Vara", IFERROR(_xlfn.SINGLE(_xlfn.XLOOKUP(G1345, Vöruskrá!A:A, Vöruskrá!G:G, "")), ""), IF(F1345 = "Réttur", IFERROR(_xlfn.SINGLE(_xlfn.XLOOKUP(G1345, Réttabanki!A:A, Réttabanki!AU:AU, "")), ""), "")))</f>
        <v/>
      </c>
      <c r="O1345" s="26" t="str">
        <f>IF(OR(F1345 = "", G1345 = "", I1345 = ""), "", IF(F1345 = "Vara", IFERROR(_xlfn.SINGLE(_xlfn.XLOOKUP(G1345, Vöruskrá!A:A, Vöruskrá!I:I, "")) * I1345 / 100, ""), IF(F1345 = "Réttur", IFERROR(_xlfn.SINGLE(_xlfn.XLOOKUP(G1345, Réttabanki!A:A, Réttabanki!AV:AV, "")) * I1345 / 100, ""), "")))</f>
        <v/>
      </c>
      <c r="P1345" s="26" t="str">
        <f>IF(OR(F1345 = "", G1345 = "", I1345 = ""), "", IF(F1345 = "Vara", IFERROR(_xlfn.SINGLE(_xlfn.XLOOKUP(G1345, Vöruskrá!A:A, Vöruskrá!J:J, "")) * I1345 / 100, ""), IF(F1345 = "Réttur", IFERROR(_xlfn.SINGLE(_xlfn.XLOOKUP(G1345, Réttabanki!A:A, Réttabanki!AW:AW, "")) * I1345 / 100, ""), "")))</f>
        <v/>
      </c>
      <c r="Q1345" s="26" t="str">
        <f>IF(OR(F1345 = "", G1345 = "", I1345 = ""), "", IF(F1345 = "Vara", IFERROR(_xlfn.SINGLE(_xlfn.XLOOKUP(G1345, Vöruskrá!A:A, Vöruskrá!N:N, "")) * I1345 / 100, ""), IF(F1345 = "Réttur", IFERROR(_xlfn.SINGLE(_xlfn.XLOOKUP(G1345, Réttabanki!A:A, Réttabanki!BB:BB, "")) * I1345 / 100, ""), "")))</f>
        <v/>
      </c>
    </row>
    <row r="1346" spans="2:17">
      <c r="B1346" s="33" t="str">
        <f>IF(A1346&lt;&gt;"",CHOOSE(WEEKDAY(A1346,2),"Mánudagur","Þriðjudagur","Miðvikudagur","Fimmtudagur","Föstudagur","Laugardagur","Sunnudagur"),IF(B1345&lt;&gt;"",B1345,""))</f>
        <v>Fimmtudagur</v>
      </c>
      <c r="C1346" s="33">
        <f>IF(A1346&lt;&gt;"",WEEKNUM(A1346,21),IF(C1345&lt;&gt;"",C1345,""))</f>
        <v>27</v>
      </c>
      <c r="D1346" s="34"/>
      <c r="E1346" s="34"/>
      <c r="F1346" s="34"/>
      <c r="G1346" s="34"/>
      <c r="H1346" s="34"/>
      <c r="I1346" s="35"/>
      <c r="J1346" s="35"/>
      <c r="K1346" s="36"/>
      <c r="L1346" s="26" t="str">
        <f>IF(OR(F1346 = "", G1346 = ""), "", IF(F1346 = "Vara", IFERROR(_xlfn.SINGLE(_xlfn.XLOOKUP(G1346, Vöruskrá!A:A, Vöruskrá!E:E, "")), ""), IF(F1346 = "Réttur", IFERROR(_xlfn.SINGLE(_xlfn.XLOOKUP(G1346, Réttabanki!A:A, Réttabanki!AS:AS, "")), ""), "")))</f>
        <v/>
      </c>
      <c r="M1346" s="26" t="str">
        <f>IF(OR(F1346 = "", G1346 = ""), "", IF(F1346 = "Vara", IFERROR(_xlfn.SINGLE(_xlfn.XLOOKUP(G1346, Vöruskrá!A:A, Vöruskrá!F:F, "")), ""), IF(F1346 = "Réttur", IFERROR(_xlfn.SINGLE(_xlfn.XLOOKUP(G1346, Réttabanki!A:A, Réttabanki!AT:AT, "")), ""), "")))</f>
        <v/>
      </c>
      <c r="N1346" s="26" t="str">
        <f>IF(OR(F1346 = "", G1346 = ""), "", IF(F1346 = "Vara", IFERROR(_xlfn.SINGLE(_xlfn.XLOOKUP(G1346, Vöruskrá!A:A, Vöruskrá!G:G, "")), ""), IF(F1346 = "Réttur", IFERROR(_xlfn.SINGLE(_xlfn.XLOOKUP(G1346, Réttabanki!A:A, Réttabanki!AU:AU, "")), ""), "")))</f>
        <v/>
      </c>
      <c r="O1346" s="26" t="str">
        <f>IF(OR(F1346 = "", G1346 = "", I1346 = ""), "", IF(F1346 = "Vara", IFERROR(_xlfn.SINGLE(_xlfn.XLOOKUP(G1346, Vöruskrá!A:A, Vöruskrá!I:I, "")) * I1346 / 100, ""), IF(F1346 = "Réttur", IFERROR(_xlfn.SINGLE(_xlfn.XLOOKUP(G1346, Réttabanki!A:A, Réttabanki!AV:AV, "")) * I1346 / 100, ""), "")))</f>
        <v/>
      </c>
      <c r="P1346" s="26" t="str">
        <f>IF(OR(F1346 = "", G1346 = "", I1346 = ""), "", IF(F1346 = "Vara", IFERROR(_xlfn.SINGLE(_xlfn.XLOOKUP(G1346, Vöruskrá!A:A, Vöruskrá!J:J, "")) * I1346 / 100, ""), IF(F1346 = "Réttur", IFERROR(_xlfn.SINGLE(_xlfn.XLOOKUP(G1346, Réttabanki!A:A, Réttabanki!AW:AW, "")) * I1346 / 100, ""), "")))</f>
        <v/>
      </c>
      <c r="Q1346" s="26" t="str">
        <f>IF(OR(F1346 = "", G1346 = "", I1346 = ""), "", IF(F1346 = "Vara", IFERROR(_xlfn.SINGLE(_xlfn.XLOOKUP(G1346, Vöruskrá!A:A, Vöruskrá!N:N, "")) * I1346 / 100, ""), IF(F1346 = "Réttur", IFERROR(_xlfn.SINGLE(_xlfn.XLOOKUP(G1346, Réttabanki!A:A, Réttabanki!BB:BB, "")) * I1346 / 100, ""), "")))</f>
        <v/>
      </c>
    </row>
    <row r="1347" spans="2:17">
      <c r="B1347" s="33" t="str">
        <f>IF(A1347&lt;&gt;"",CHOOSE(WEEKDAY(A1347,2),"Mánudagur","Þriðjudagur","Miðvikudagur","Fimmtudagur","Föstudagur","Laugardagur","Sunnudagur"),IF(B1346&lt;&gt;"",B1346,""))</f>
        <v>Fimmtudagur</v>
      </c>
      <c r="C1347" s="33">
        <f>IF(A1347&lt;&gt;"",WEEKNUM(A1347,21),IF(C1346&lt;&gt;"",C1346,""))</f>
        <v>27</v>
      </c>
      <c r="D1347" s="34"/>
      <c r="E1347" s="34"/>
      <c r="F1347" s="34"/>
      <c r="G1347" s="34"/>
      <c r="H1347" s="34"/>
      <c r="I1347" s="35"/>
      <c r="J1347" s="35"/>
      <c r="K1347" s="36"/>
      <c r="L1347" s="26" t="str">
        <f>IF(OR(F1347 = "", G1347 = ""), "", IF(F1347 = "Vara", IFERROR(_xlfn.SINGLE(_xlfn.XLOOKUP(G1347, Vöruskrá!A:A, Vöruskrá!E:E, "")), ""), IF(F1347 = "Réttur", IFERROR(_xlfn.SINGLE(_xlfn.XLOOKUP(G1347, Réttabanki!A:A, Réttabanki!AS:AS, "")), ""), "")))</f>
        <v/>
      </c>
      <c r="M1347" s="26" t="str">
        <f>IF(OR(F1347 = "", G1347 = ""), "", IF(F1347 = "Vara", IFERROR(_xlfn.SINGLE(_xlfn.XLOOKUP(G1347, Vöruskrá!A:A, Vöruskrá!F:F, "")), ""), IF(F1347 = "Réttur", IFERROR(_xlfn.SINGLE(_xlfn.XLOOKUP(G1347, Réttabanki!A:A, Réttabanki!AT:AT, "")), ""), "")))</f>
        <v/>
      </c>
      <c r="N1347" s="26" t="str">
        <f>IF(OR(F1347 = "", G1347 = ""), "", IF(F1347 = "Vara", IFERROR(_xlfn.SINGLE(_xlfn.XLOOKUP(G1347, Vöruskrá!A:A, Vöruskrá!G:G, "")), ""), IF(F1347 = "Réttur", IFERROR(_xlfn.SINGLE(_xlfn.XLOOKUP(G1347, Réttabanki!A:A, Réttabanki!AU:AU, "")), ""), "")))</f>
        <v/>
      </c>
      <c r="O1347" s="26" t="str">
        <f>IF(OR(F1347 = "", G1347 = "", I1347 = ""), "", IF(F1347 = "Vara", IFERROR(_xlfn.SINGLE(_xlfn.XLOOKUP(G1347, Vöruskrá!A:A, Vöruskrá!I:I, "")) * I1347 / 100, ""), IF(F1347 = "Réttur", IFERROR(_xlfn.SINGLE(_xlfn.XLOOKUP(G1347, Réttabanki!A:A, Réttabanki!AV:AV, "")) * I1347 / 100, ""), "")))</f>
        <v/>
      </c>
      <c r="P1347" s="26" t="str">
        <f>IF(OR(F1347 = "", G1347 = "", I1347 = ""), "", IF(F1347 = "Vara", IFERROR(_xlfn.SINGLE(_xlfn.XLOOKUP(G1347, Vöruskrá!A:A, Vöruskrá!J:J, "")) * I1347 / 100, ""), IF(F1347 = "Réttur", IFERROR(_xlfn.SINGLE(_xlfn.XLOOKUP(G1347, Réttabanki!A:A, Réttabanki!AW:AW, "")) * I1347 / 100, ""), "")))</f>
        <v/>
      </c>
      <c r="Q1347" s="26" t="str">
        <f>IF(OR(F1347 = "", G1347 = "", I1347 = ""), "", IF(F1347 = "Vara", IFERROR(_xlfn.SINGLE(_xlfn.XLOOKUP(G1347, Vöruskrá!A:A, Vöruskrá!N:N, "")) * I1347 / 100, ""), IF(F1347 = "Réttur", IFERROR(_xlfn.SINGLE(_xlfn.XLOOKUP(G1347, Réttabanki!A:A, Réttabanki!BB:BB, "")) * I1347 / 100, ""), "")))</f>
        <v/>
      </c>
    </row>
    <row r="1348" spans="2:17">
      <c r="B1348" s="33" t="str">
        <f>IF(A1348&lt;&gt;"",CHOOSE(WEEKDAY(A1348,2),"Mánudagur","Þriðjudagur","Miðvikudagur","Fimmtudagur","Föstudagur","Laugardagur","Sunnudagur"),IF(B1347&lt;&gt;"",B1347,""))</f>
        <v>Fimmtudagur</v>
      </c>
      <c r="C1348" s="33">
        <f>IF(A1348&lt;&gt;"",WEEKNUM(A1348,21),IF(C1347&lt;&gt;"",C1347,""))</f>
        <v>27</v>
      </c>
      <c r="D1348" s="34"/>
      <c r="E1348" s="34"/>
      <c r="F1348" s="34"/>
      <c r="G1348" s="34"/>
      <c r="H1348" s="34"/>
      <c r="I1348" s="35"/>
      <c r="J1348" s="35"/>
      <c r="K1348" s="36"/>
      <c r="L1348" s="26" t="str">
        <f>IF(OR(F1348 = "", G1348 = ""), "", IF(F1348 = "Vara", IFERROR(_xlfn.SINGLE(_xlfn.XLOOKUP(G1348, Vöruskrá!A:A, Vöruskrá!E:E, "")), ""), IF(F1348 = "Réttur", IFERROR(_xlfn.SINGLE(_xlfn.XLOOKUP(G1348, Réttabanki!A:A, Réttabanki!AS:AS, "")), ""), "")))</f>
        <v/>
      </c>
      <c r="M1348" s="26" t="str">
        <f>IF(OR(F1348 = "", G1348 = ""), "", IF(F1348 = "Vara", IFERROR(_xlfn.SINGLE(_xlfn.XLOOKUP(G1348, Vöruskrá!A:A, Vöruskrá!F:F, "")), ""), IF(F1348 = "Réttur", IFERROR(_xlfn.SINGLE(_xlfn.XLOOKUP(G1348, Réttabanki!A:A, Réttabanki!AT:AT, "")), ""), "")))</f>
        <v/>
      </c>
      <c r="N1348" s="26" t="str">
        <f>IF(OR(F1348 = "", G1348 = ""), "", IF(F1348 = "Vara", IFERROR(_xlfn.SINGLE(_xlfn.XLOOKUP(G1348, Vöruskrá!A:A, Vöruskrá!G:G, "")), ""), IF(F1348 = "Réttur", IFERROR(_xlfn.SINGLE(_xlfn.XLOOKUP(G1348, Réttabanki!A:A, Réttabanki!AU:AU, "")), ""), "")))</f>
        <v/>
      </c>
      <c r="O1348" s="26" t="str">
        <f>IF(OR(F1348 = "", G1348 = "", I1348 = ""), "", IF(F1348 = "Vara", IFERROR(_xlfn.SINGLE(_xlfn.XLOOKUP(G1348, Vöruskrá!A:A, Vöruskrá!I:I, "")) * I1348 / 100, ""), IF(F1348 = "Réttur", IFERROR(_xlfn.SINGLE(_xlfn.XLOOKUP(G1348, Réttabanki!A:A, Réttabanki!AV:AV, "")) * I1348 / 100, ""), "")))</f>
        <v/>
      </c>
      <c r="P1348" s="26" t="str">
        <f>IF(OR(F1348 = "", G1348 = "", I1348 = ""), "", IF(F1348 = "Vara", IFERROR(_xlfn.SINGLE(_xlfn.XLOOKUP(G1348, Vöruskrá!A:A, Vöruskrá!J:J, "")) * I1348 / 100, ""), IF(F1348 = "Réttur", IFERROR(_xlfn.SINGLE(_xlfn.XLOOKUP(G1348, Réttabanki!A:A, Réttabanki!AW:AW, "")) * I1348 / 100, ""), "")))</f>
        <v/>
      </c>
      <c r="Q1348" s="26" t="str">
        <f>IF(OR(F1348 = "", G1348 = "", I1348 = ""), "", IF(F1348 = "Vara", IFERROR(_xlfn.SINGLE(_xlfn.XLOOKUP(G1348, Vöruskrá!A:A, Vöruskrá!N:N, "")) * I1348 / 100, ""), IF(F1348 = "Réttur", IFERROR(_xlfn.SINGLE(_xlfn.XLOOKUP(G1348, Réttabanki!A:A, Réttabanki!BB:BB, "")) * I1348 / 100, ""), "")))</f>
        <v/>
      </c>
    </row>
    <row r="1349" spans="2:17">
      <c r="B1349" s="33" t="str">
        <f>IF(A1349&lt;&gt;"",CHOOSE(WEEKDAY(A1349,2),"Mánudagur","Þriðjudagur","Miðvikudagur","Fimmtudagur","Föstudagur","Laugardagur","Sunnudagur"),IF(B1348&lt;&gt;"",B1348,""))</f>
        <v>Fimmtudagur</v>
      </c>
      <c r="C1349" s="33">
        <f>IF(A1349&lt;&gt;"",WEEKNUM(A1349,21),IF(C1348&lt;&gt;"",C1348,""))</f>
        <v>27</v>
      </c>
      <c r="D1349" s="34"/>
      <c r="E1349" s="34"/>
      <c r="F1349" s="34"/>
      <c r="G1349" s="34"/>
      <c r="H1349" s="34"/>
      <c r="I1349" s="35"/>
      <c r="J1349" s="35"/>
      <c r="K1349" s="36"/>
      <c r="L1349" s="26" t="str">
        <f>IF(OR(F1349 = "", G1349 = ""), "", IF(F1349 = "Vara", IFERROR(_xlfn.SINGLE(_xlfn.XLOOKUP(G1349, Vöruskrá!A:A, Vöruskrá!E:E, "")), ""), IF(F1349 = "Réttur", IFERROR(_xlfn.SINGLE(_xlfn.XLOOKUP(G1349, Réttabanki!A:A, Réttabanki!AS:AS, "")), ""), "")))</f>
        <v/>
      </c>
      <c r="M1349" s="26" t="str">
        <f>IF(OR(F1349 = "", G1349 = ""), "", IF(F1349 = "Vara", IFERROR(_xlfn.SINGLE(_xlfn.XLOOKUP(G1349, Vöruskrá!A:A, Vöruskrá!F:F, "")), ""), IF(F1349 = "Réttur", IFERROR(_xlfn.SINGLE(_xlfn.XLOOKUP(G1349, Réttabanki!A:A, Réttabanki!AT:AT, "")), ""), "")))</f>
        <v/>
      </c>
      <c r="N1349" s="26" t="str">
        <f>IF(OR(F1349 = "", G1349 = ""), "", IF(F1349 = "Vara", IFERROR(_xlfn.SINGLE(_xlfn.XLOOKUP(G1349, Vöruskrá!A:A, Vöruskrá!G:G, "")), ""), IF(F1349 = "Réttur", IFERROR(_xlfn.SINGLE(_xlfn.XLOOKUP(G1349, Réttabanki!A:A, Réttabanki!AU:AU, "")), ""), "")))</f>
        <v/>
      </c>
      <c r="O1349" s="26" t="str">
        <f>IF(OR(F1349 = "", G1349 = "", I1349 = ""), "", IF(F1349 = "Vara", IFERROR(_xlfn.SINGLE(_xlfn.XLOOKUP(G1349, Vöruskrá!A:A, Vöruskrá!I:I, "")) * I1349 / 100, ""), IF(F1349 = "Réttur", IFERROR(_xlfn.SINGLE(_xlfn.XLOOKUP(G1349, Réttabanki!A:A, Réttabanki!AV:AV, "")) * I1349 / 100, ""), "")))</f>
        <v/>
      </c>
      <c r="P1349" s="26" t="str">
        <f>IF(OR(F1349 = "", G1349 = "", I1349 = ""), "", IF(F1349 = "Vara", IFERROR(_xlfn.SINGLE(_xlfn.XLOOKUP(G1349, Vöruskrá!A:A, Vöruskrá!J:J, "")) * I1349 / 100, ""), IF(F1349 = "Réttur", IFERROR(_xlfn.SINGLE(_xlfn.XLOOKUP(G1349, Réttabanki!A:A, Réttabanki!AW:AW, "")) * I1349 / 100, ""), "")))</f>
        <v/>
      </c>
      <c r="Q1349" s="26" t="str">
        <f>IF(OR(F1349 = "", G1349 = "", I1349 = ""), "", IF(F1349 = "Vara", IFERROR(_xlfn.SINGLE(_xlfn.XLOOKUP(G1349, Vöruskrá!A:A, Vöruskrá!N:N, "")) * I1349 / 100, ""), IF(F1349 = "Réttur", IFERROR(_xlfn.SINGLE(_xlfn.XLOOKUP(G1349, Réttabanki!A:A, Réttabanki!BB:BB, "")) * I1349 / 100, ""), "")))</f>
        <v/>
      </c>
    </row>
    <row r="1350" spans="2:17">
      <c r="B1350" s="33" t="str">
        <f>IF(A1350&lt;&gt;"",CHOOSE(WEEKDAY(A1350,2),"Mánudagur","Þriðjudagur","Miðvikudagur","Fimmtudagur","Föstudagur","Laugardagur","Sunnudagur"),IF(B1349&lt;&gt;"",B1349,""))</f>
        <v>Fimmtudagur</v>
      </c>
      <c r="C1350" s="33">
        <f>IF(A1350&lt;&gt;"",WEEKNUM(A1350,21),IF(C1349&lt;&gt;"",C1349,""))</f>
        <v>27</v>
      </c>
      <c r="D1350" s="34"/>
      <c r="E1350" s="34"/>
      <c r="F1350" s="34"/>
      <c r="G1350" s="34"/>
      <c r="H1350" s="34"/>
      <c r="I1350" s="35"/>
      <c r="J1350" s="35"/>
      <c r="K1350" s="36"/>
      <c r="L1350" s="26" t="str">
        <f>IF(OR(F1350 = "", G1350 = ""), "", IF(F1350 = "Vara", IFERROR(_xlfn.SINGLE(_xlfn.XLOOKUP(G1350, Vöruskrá!A:A, Vöruskrá!E:E, "")), ""), IF(F1350 = "Réttur", IFERROR(_xlfn.SINGLE(_xlfn.XLOOKUP(G1350, Réttabanki!A:A, Réttabanki!AS:AS, "")), ""), "")))</f>
        <v/>
      </c>
      <c r="M1350" s="26" t="str">
        <f>IF(OR(F1350 = "", G1350 = ""), "", IF(F1350 = "Vara", IFERROR(_xlfn.SINGLE(_xlfn.XLOOKUP(G1350, Vöruskrá!A:A, Vöruskrá!F:F, "")), ""), IF(F1350 = "Réttur", IFERROR(_xlfn.SINGLE(_xlfn.XLOOKUP(G1350, Réttabanki!A:A, Réttabanki!AT:AT, "")), ""), "")))</f>
        <v/>
      </c>
      <c r="N1350" s="26" t="str">
        <f>IF(OR(F1350 = "", G1350 = ""), "", IF(F1350 = "Vara", IFERROR(_xlfn.SINGLE(_xlfn.XLOOKUP(G1350, Vöruskrá!A:A, Vöruskrá!G:G, "")), ""), IF(F1350 = "Réttur", IFERROR(_xlfn.SINGLE(_xlfn.XLOOKUP(G1350, Réttabanki!A:A, Réttabanki!AU:AU, "")), ""), "")))</f>
        <v/>
      </c>
      <c r="O1350" s="26" t="str">
        <f>IF(OR(F1350 = "", G1350 = "", I1350 = ""), "", IF(F1350 = "Vara", IFERROR(_xlfn.SINGLE(_xlfn.XLOOKUP(G1350, Vöruskrá!A:A, Vöruskrá!I:I, "")) * I1350 / 100, ""), IF(F1350 = "Réttur", IFERROR(_xlfn.SINGLE(_xlfn.XLOOKUP(G1350, Réttabanki!A:A, Réttabanki!AV:AV, "")) * I1350 / 100, ""), "")))</f>
        <v/>
      </c>
      <c r="P1350" s="26" t="str">
        <f>IF(OR(F1350 = "", G1350 = "", I1350 = ""), "", IF(F1350 = "Vara", IFERROR(_xlfn.SINGLE(_xlfn.XLOOKUP(G1350, Vöruskrá!A:A, Vöruskrá!J:J, "")) * I1350 / 100, ""), IF(F1350 = "Réttur", IFERROR(_xlfn.SINGLE(_xlfn.XLOOKUP(G1350, Réttabanki!A:A, Réttabanki!AW:AW, "")) * I1350 / 100, ""), "")))</f>
        <v/>
      </c>
      <c r="Q1350" s="26" t="str">
        <f>IF(OR(F1350 = "", G1350 = "", I1350 = ""), "", IF(F1350 = "Vara", IFERROR(_xlfn.SINGLE(_xlfn.XLOOKUP(G1350, Vöruskrá!A:A, Vöruskrá!N:N, "")) * I1350 / 100, ""), IF(F1350 = "Réttur", IFERROR(_xlfn.SINGLE(_xlfn.XLOOKUP(G1350, Réttabanki!A:A, Réttabanki!BB:BB, "")) * I1350 / 100, ""), "")))</f>
        <v/>
      </c>
    </row>
    <row r="1351" spans="2:17">
      <c r="B1351" s="33" t="str">
        <f>IF(A1351&lt;&gt;"",CHOOSE(WEEKDAY(A1351,2),"Mánudagur","Þriðjudagur","Miðvikudagur","Fimmtudagur","Föstudagur","Laugardagur","Sunnudagur"),IF(B1350&lt;&gt;"",B1350,""))</f>
        <v>Fimmtudagur</v>
      </c>
      <c r="C1351" s="33">
        <f>IF(A1351&lt;&gt;"",WEEKNUM(A1351,21),IF(C1350&lt;&gt;"",C1350,""))</f>
        <v>27</v>
      </c>
      <c r="D1351" s="34"/>
      <c r="E1351" s="34"/>
      <c r="F1351" s="34"/>
      <c r="G1351" s="34"/>
      <c r="H1351" s="34"/>
      <c r="I1351" s="35"/>
      <c r="J1351" s="35"/>
      <c r="K1351" s="36"/>
      <c r="L1351" s="26" t="str">
        <f>IF(OR(F1351 = "", G1351 = ""), "", IF(F1351 = "Vara", IFERROR(_xlfn.SINGLE(_xlfn.XLOOKUP(G1351, Vöruskrá!A:A, Vöruskrá!E:E, "")), ""), IF(F1351 = "Réttur", IFERROR(_xlfn.SINGLE(_xlfn.XLOOKUP(G1351, Réttabanki!A:A, Réttabanki!AS:AS, "")), ""), "")))</f>
        <v/>
      </c>
      <c r="M1351" s="26" t="str">
        <f>IF(OR(F1351 = "", G1351 = ""), "", IF(F1351 = "Vara", IFERROR(_xlfn.SINGLE(_xlfn.XLOOKUP(G1351, Vöruskrá!A:A, Vöruskrá!F:F, "")), ""), IF(F1351 = "Réttur", IFERROR(_xlfn.SINGLE(_xlfn.XLOOKUP(G1351, Réttabanki!A:A, Réttabanki!AT:AT, "")), ""), "")))</f>
        <v/>
      </c>
      <c r="N1351" s="26" t="str">
        <f>IF(OR(F1351 = "", G1351 = ""), "", IF(F1351 = "Vara", IFERROR(_xlfn.SINGLE(_xlfn.XLOOKUP(G1351, Vöruskrá!A:A, Vöruskrá!G:G, "")), ""), IF(F1351 = "Réttur", IFERROR(_xlfn.SINGLE(_xlfn.XLOOKUP(G1351, Réttabanki!A:A, Réttabanki!AU:AU, "")), ""), "")))</f>
        <v/>
      </c>
      <c r="O1351" s="26" t="str">
        <f>IF(OR(F1351 = "", G1351 = "", I1351 = ""), "", IF(F1351 = "Vara", IFERROR(_xlfn.SINGLE(_xlfn.XLOOKUP(G1351, Vöruskrá!A:A, Vöruskrá!I:I, "")) * I1351 / 100, ""), IF(F1351 = "Réttur", IFERROR(_xlfn.SINGLE(_xlfn.XLOOKUP(G1351, Réttabanki!A:A, Réttabanki!AV:AV, "")) * I1351 / 100, ""), "")))</f>
        <v/>
      </c>
      <c r="P1351" s="26" t="str">
        <f>IF(OR(F1351 = "", G1351 = "", I1351 = ""), "", IF(F1351 = "Vara", IFERROR(_xlfn.SINGLE(_xlfn.XLOOKUP(G1351, Vöruskrá!A:A, Vöruskrá!J:J, "")) * I1351 / 100, ""), IF(F1351 = "Réttur", IFERROR(_xlfn.SINGLE(_xlfn.XLOOKUP(G1351, Réttabanki!A:A, Réttabanki!AW:AW, "")) * I1351 / 100, ""), "")))</f>
        <v/>
      </c>
      <c r="Q1351" s="26" t="str">
        <f>IF(OR(F1351 = "", G1351 = "", I1351 = ""), "", IF(F1351 = "Vara", IFERROR(_xlfn.SINGLE(_xlfn.XLOOKUP(G1351, Vöruskrá!A:A, Vöruskrá!N:N, "")) * I1351 / 100, ""), IF(F1351 = "Réttur", IFERROR(_xlfn.SINGLE(_xlfn.XLOOKUP(G1351, Réttabanki!A:A, Réttabanki!BB:BB, "")) * I1351 / 100, ""), "")))</f>
        <v/>
      </c>
    </row>
    <row r="1352" spans="2:17">
      <c r="B1352" s="33" t="str">
        <f>IF(A1352&lt;&gt;"",CHOOSE(WEEKDAY(A1352,2),"Mánudagur","Þriðjudagur","Miðvikudagur","Fimmtudagur","Föstudagur","Laugardagur","Sunnudagur"),IF(B1351&lt;&gt;"",B1351,""))</f>
        <v>Fimmtudagur</v>
      </c>
      <c r="C1352" s="33">
        <f>IF(A1352&lt;&gt;"",WEEKNUM(A1352,21),IF(C1351&lt;&gt;"",C1351,""))</f>
        <v>27</v>
      </c>
      <c r="D1352" s="34"/>
      <c r="E1352" s="34"/>
      <c r="F1352" s="34"/>
      <c r="G1352" s="34"/>
      <c r="H1352" s="34"/>
      <c r="I1352" s="35"/>
      <c r="J1352" s="35"/>
      <c r="K1352" s="36"/>
      <c r="L1352" s="26" t="str">
        <f>IF(OR(F1352 = "", G1352 = ""), "", IF(F1352 = "Vara", IFERROR(_xlfn.SINGLE(_xlfn.XLOOKUP(G1352, Vöruskrá!A:A, Vöruskrá!E:E, "")), ""), IF(F1352 = "Réttur", IFERROR(_xlfn.SINGLE(_xlfn.XLOOKUP(G1352, Réttabanki!A:A, Réttabanki!AS:AS, "")), ""), "")))</f>
        <v/>
      </c>
      <c r="M1352" s="26" t="str">
        <f>IF(OR(F1352 = "", G1352 = ""), "", IF(F1352 = "Vara", IFERROR(_xlfn.SINGLE(_xlfn.XLOOKUP(G1352, Vöruskrá!A:A, Vöruskrá!F:F, "")), ""), IF(F1352 = "Réttur", IFERROR(_xlfn.SINGLE(_xlfn.XLOOKUP(G1352, Réttabanki!A:A, Réttabanki!AT:AT, "")), ""), "")))</f>
        <v/>
      </c>
      <c r="N1352" s="26" t="str">
        <f>IF(OR(F1352 = "", G1352 = ""), "", IF(F1352 = "Vara", IFERROR(_xlfn.SINGLE(_xlfn.XLOOKUP(G1352, Vöruskrá!A:A, Vöruskrá!G:G, "")), ""), IF(F1352 = "Réttur", IFERROR(_xlfn.SINGLE(_xlfn.XLOOKUP(G1352, Réttabanki!A:A, Réttabanki!AU:AU, "")), ""), "")))</f>
        <v/>
      </c>
      <c r="O1352" s="26" t="str">
        <f>IF(OR(F1352 = "", G1352 = "", I1352 = ""), "", IF(F1352 = "Vara", IFERROR(_xlfn.SINGLE(_xlfn.XLOOKUP(G1352, Vöruskrá!A:A, Vöruskrá!I:I, "")) * I1352 / 100, ""), IF(F1352 = "Réttur", IFERROR(_xlfn.SINGLE(_xlfn.XLOOKUP(G1352, Réttabanki!A:A, Réttabanki!AV:AV, "")) * I1352 / 100, ""), "")))</f>
        <v/>
      </c>
      <c r="P1352" s="26" t="str">
        <f>IF(OR(F1352 = "", G1352 = "", I1352 = ""), "", IF(F1352 = "Vara", IFERROR(_xlfn.SINGLE(_xlfn.XLOOKUP(G1352, Vöruskrá!A:A, Vöruskrá!J:J, "")) * I1352 / 100, ""), IF(F1352 = "Réttur", IFERROR(_xlfn.SINGLE(_xlfn.XLOOKUP(G1352, Réttabanki!A:A, Réttabanki!AW:AW, "")) * I1352 / 100, ""), "")))</f>
        <v/>
      </c>
      <c r="Q1352" s="26" t="str">
        <f>IF(OR(F1352 = "", G1352 = "", I1352 = ""), "", IF(F1352 = "Vara", IFERROR(_xlfn.SINGLE(_xlfn.XLOOKUP(G1352, Vöruskrá!A:A, Vöruskrá!N:N, "")) * I1352 / 100, ""), IF(F1352 = "Réttur", IFERROR(_xlfn.SINGLE(_xlfn.XLOOKUP(G1352, Réttabanki!A:A, Réttabanki!BB:BB, "")) * I1352 / 100, ""), "")))</f>
        <v/>
      </c>
    </row>
    <row r="1353" spans="2:17">
      <c r="B1353" s="33" t="str">
        <f>IF(A1353&lt;&gt;"",CHOOSE(WEEKDAY(A1353,2),"Mánudagur","Þriðjudagur","Miðvikudagur","Fimmtudagur","Föstudagur","Laugardagur","Sunnudagur"),IF(B1352&lt;&gt;"",B1352,""))</f>
        <v>Fimmtudagur</v>
      </c>
      <c r="C1353" s="33">
        <f>IF(A1353&lt;&gt;"",WEEKNUM(A1353,21),IF(C1352&lt;&gt;"",C1352,""))</f>
        <v>27</v>
      </c>
      <c r="D1353" s="34"/>
      <c r="E1353" s="34"/>
      <c r="F1353" s="34"/>
      <c r="G1353" s="34"/>
      <c r="H1353" s="34"/>
      <c r="I1353" s="35"/>
      <c r="J1353" s="35"/>
      <c r="K1353" s="36"/>
      <c r="L1353" s="26" t="str">
        <f>IF(OR(F1353 = "", G1353 = ""), "", IF(F1353 = "Vara", IFERROR(_xlfn.SINGLE(_xlfn.XLOOKUP(G1353, Vöruskrá!A:A, Vöruskrá!E:E, "")), ""), IF(F1353 = "Réttur", IFERROR(_xlfn.SINGLE(_xlfn.XLOOKUP(G1353, Réttabanki!A:A, Réttabanki!AS:AS, "")), ""), "")))</f>
        <v/>
      </c>
      <c r="M1353" s="26" t="str">
        <f>IF(OR(F1353 = "", G1353 = ""), "", IF(F1353 = "Vara", IFERROR(_xlfn.SINGLE(_xlfn.XLOOKUP(G1353, Vöruskrá!A:A, Vöruskrá!F:F, "")), ""), IF(F1353 = "Réttur", IFERROR(_xlfn.SINGLE(_xlfn.XLOOKUP(G1353, Réttabanki!A:A, Réttabanki!AT:AT, "")), ""), "")))</f>
        <v/>
      </c>
      <c r="N1353" s="26" t="str">
        <f>IF(OR(F1353 = "", G1353 = ""), "", IF(F1353 = "Vara", IFERROR(_xlfn.SINGLE(_xlfn.XLOOKUP(G1353, Vöruskrá!A:A, Vöruskrá!G:G, "")), ""), IF(F1353 = "Réttur", IFERROR(_xlfn.SINGLE(_xlfn.XLOOKUP(G1353, Réttabanki!A:A, Réttabanki!AU:AU, "")), ""), "")))</f>
        <v/>
      </c>
      <c r="O1353" s="26" t="str">
        <f>IF(OR(F1353 = "", G1353 = "", I1353 = ""), "", IF(F1353 = "Vara", IFERROR(_xlfn.SINGLE(_xlfn.XLOOKUP(G1353, Vöruskrá!A:A, Vöruskrá!I:I, "")) * I1353 / 100, ""), IF(F1353 = "Réttur", IFERROR(_xlfn.SINGLE(_xlfn.XLOOKUP(G1353, Réttabanki!A:A, Réttabanki!AV:AV, "")) * I1353 / 100, ""), "")))</f>
        <v/>
      </c>
      <c r="P1353" s="26" t="str">
        <f>IF(OR(F1353 = "", G1353 = "", I1353 = ""), "", IF(F1353 = "Vara", IFERROR(_xlfn.SINGLE(_xlfn.XLOOKUP(G1353, Vöruskrá!A:A, Vöruskrá!J:J, "")) * I1353 / 100, ""), IF(F1353 = "Réttur", IFERROR(_xlfn.SINGLE(_xlfn.XLOOKUP(G1353, Réttabanki!A:A, Réttabanki!AW:AW, "")) * I1353 / 100, ""), "")))</f>
        <v/>
      </c>
      <c r="Q1353" s="26" t="str">
        <f>IF(OR(F1353 = "", G1353 = "", I1353 = ""), "", IF(F1353 = "Vara", IFERROR(_xlfn.SINGLE(_xlfn.XLOOKUP(G1353, Vöruskrá!A:A, Vöruskrá!N:N, "")) * I1353 / 100, ""), IF(F1353 = "Réttur", IFERROR(_xlfn.SINGLE(_xlfn.XLOOKUP(G1353, Réttabanki!A:A, Réttabanki!BB:BB, "")) * I1353 / 100, ""), "")))</f>
        <v/>
      </c>
    </row>
    <row r="1354" spans="2:17">
      <c r="B1354" s="33" t="str">
        <f>IF(A1354&lt;&gt;"",CHOOSE(WEEKDAY(A1354,2),"Mánudagur","Þriðjudagur","Miðvikudagur","Fimmtudagur","Föstudagur","Laugardagur","Sunnudagur"),IF(B1353&lt;&gt;"",B1353,""))</f>
        <v>Fimmtudagur</v>
      </c>
      <c r="C1354" s="33">
        <f>IF(A1354&lt;&gt;"",WEEKNUM(A1354,21),IF(C1353&lt;&gt;"",C1353,""))</f>
        <v>27</v>
      </c>
      <c r="D1354" s="34"/>
      <c r="E1354" s="34"/>
      <c r="F1354" s="34"/>
      <c r="G1354" s="34"/>
      <c r="H1354" s="34"/>
      <c r="I1354" s="35"/>
      <c r="J1354" s="35"/>
      <c r="K1354" s="36"/>
      <c r="L1354" s="26" t="str">
        <f>IF(OR(F1354 = "", G1354 = ""), "", IF(F1354 = "Vara", IFERROR(_xlfn.SINGLE(_xlfn.XLOOKUP(G1354, Vöruskrá!A:A, Vöruskrá!E:E, "")), ""), IF(F1354 = "Réttur", IFERROR(_xlfn.SINGLE(_xlfn.XLOOKUP(G1354, Réttabanki!A:A, Réttabanki!AS:AS, "")), ""), "")))</f>
        <v/>
      </c>
      <c r="M1354" s="26" t="str">
        <f>IF(OR(F1354 = "", G1354 = ""), "", IF(F1354 = "Vara", IFERROR(_xlfn.SINGLE(_xlfn.XLOOKUP(G1354, Vöruskrá!A:A, Vöruskrá!F:F, "")), ""), IF(F1354 = "Réttur", IFERROR(_xlfn.SINGLE(_xlfn.XLOOKUP(G1354, Réttabanki!A:A, Réttabanki!AT:AT, "")), ""), "")))</f>
        <v/>
      </c>
      <c r="N1354" s="26" t="str">
        <f>IF(OR(F1354 = "", G1354 = ""), "", IF(F1354 = "Vara", IFERROR(_xlfn.SINGLE(_xlfn.XLOOKUP(G1354, Vöruskrá!A:A, Vöruskrá!G:G, "")), ""), IF(F1354 = "Réttur", IFERROR(_xlfn.SINGLE(_xlfn.XLOOKUP(G1354, Réttabanki!A:A, Réttabanki!AU:AU, "")), ""), "")))</f>
        <v/>
      </c>
      <c r="O1354" s="26" t="str">
        <f>IF(OR(F1354 = "", G1354 = "", I1354 = ""), "", IF(F1354 = "Vara", IFERROR(_xlfn.SINGLE(_xlfn.XLOOKUP(G1354, Vöruskrá!A:A, Vöruskrá!I:I, "")) * I1354 / 100, ""), IF(F1354 = "Réttur", IFERROR(_xlfn.SINGLE(_xlfn.XLOOKUP(G1354, Réttabanki!A:A, Réttabanki!AV:AV, "")) * I1354 / 100, ""), "")))</f>
        <v/>
      </c>
      <c r="P1354" s="26" t="str">
        <f>IF(OR(F1354 = "", G1354 = "", I1354 = ""), "", IF(F1354 = "Vara", IFERROR(_xlfn.SINGLE(_xlfn.XLOOKUP(G1354, Vöruskrá!A:A, Vöruskrá!J:J, "")) * I1354 / 100, ""), IF(F1354 = "Réttur", IFERROR(_xlfn.SINGLE(_xlfn.XLOOKUP(G1354, Réttabanki!A:A, Réttabanki!AW:AW, "")) * I1354 / 100, ""), "")))</f>
        <v/>
      </c>
      <c r="Q1354" s="26" t="str">
        <f>IF(OR(F1354 = "", G1354 = "", I1354 = ""), "", IF(F1354 = "Vara", IFERROR(_xlfn.SINGLE(_xlfn.XLOOKUP(G1354, Vöruskrá!A:A, Vöruskrá!N:N, "")) * I1354 / 100, ""), IF(F1354 = "Réttur", IFERROR(_xlfn.SINGLE(_xlfn.XLOOKUP(G1354, Réttabanki!A:A, Réttabanki!BB:BB, "")) * I1354 / 100, ""), "")))</f>
        <v/>
      </c>
    </row>
    <row r="1355" spans="2:17">
      <c r="B1355" s="33" t="str">
        <f>IF(A1355&lt;&gt;"",CHOOSE(WEEKDAY(A1355,2),"Mánudagur","Þriðjudagur","Miðvikudagur","Fimmtudagur","Föstudagur","Laugardagur","Sunnudagur"),IF(B1354&lt;&gt;"",B1354,""))</f>
        <v>Fimmtudagur</v>
      </c>
      <c r="C1355" s="33">
        <f>IF(A1355&lt;&gt;"",WEEKNUM(A1355,21),IF(C1354&lt;&gt;"",C1354,""))</f>
        <v>27</v>
      </c>
      <c r="D1355" s="34"/>
      <c r="E1355" s="34"/>
      <c r="F1355" s="34"/>
      <c r="G1355" s="34"/>
      <c r="H1355" s="34"/>
      <c r="I1355" s="35"/>
      <c r="J1355" s="35"/>
      <c r="K1355" s="36"/>
      <c r="L1355" s="26" t="str">
        <f>IF(OR(F1355 = "", G1355 = ""), "", IF(F1355 = "Vara", IFERROR(_xlfn.SINGLE(_xlfn.XLOOKUP(G1355, Vöruskrá!A:A, Vöruskrá!E:E, "")), ""), IF(F1355 = "Réttur", IFERROR(_xlfn.SINGLE(_xlfn.XLOOKUP(G1355, Réttabanki!A:A, Réttabanki!AS:AS, "")), ""), "")))</f>
        <v/>
      </c>
      <c r="M1355" s="26" t="str">
        <f>IF(OR(F1355 = "", G1355 = ""), "", IF(F1355 = "Vara", IFERROR(_xlfn.SINGLE(_xlfn.XLOOKUP(G1355, Vöruskrá!A:A, Vöruskrá!F:F, "")), ""), IF(F1355 = "Réttur", IFERROR(_xlfn.SINGLE(_xlfn.XLOOKUP(G1355, Réttabanki!A:A, Réttabanki!AT:AT, "")), ""), "")))</f>
        <v/>
      </c>
      <c r="N1355" s="26" t="str">
        <f>IF(OR(F1355 = "", G1355 = ""), "", IF(F1355 = "Vara", IFERROR(_xlfn.SINGLE(_xlfn.XLOOKUP(G1355, Vöruskrá!A:A, Vöruskrá!G:G, "")), ""), IF(F1355 = "Réttur", IFERROR(_xlfn.SINGLE(_xlfn.XLOOKUP(G1355, Réttabanki!A:A, Réttabanki!AU:AU, "")), ""), "")))</f>
        <v/>
      </c>
      <c r="O1355" s="26" t="str">
        <f>IF(OR(F1355 = "", G1355 = "", I1355 = ""), "", IF(F1355 = "Vara", IFERROR(_xlfn.SINGLE(_xlfn.XLOOKUP(G1355, Vöruskrá!A:A, Vöruskrá!I:I, "")) * I1355 / 100, ""), IF(F1355 = "Réttur", IFERROR(_xlfn.SINGLE(_xlfn.XLOOKUP(G1355, Réttabanki!A:A, Réttabanki!AV:AV, "")) * I1355 / 100, ""), "")))</f>
        <v/>
      </c>
      <c r="P1355" s="26" t="str">
        <f>IF(OR(F1355 = "", G1355 = "", I1355 = ""), "", IF(F1355 = "Vara", IFERROR(_xlfn.SINGLE(_xlfn.XLOOKUP(G1355, Vöruskrá!A:A, Vöruskrá!J:J, "")) * I1355 / 100, ""), IF(F1355 = "Réttur", IFERROR(_xlfn.SINGLE(_xlfn.XLOOKUP(G1355, Réttabanki!A:A, Réttabanki!AW:AW, "")) * I1355 / 100, ""), "")))</f>
        <v/>
      </c>
      <c r="Q1355" s="26" t="str">
        <f>IF(OR(F1355 = "", G1355 = "", I1355 = ""), "", IF(F1355 = "Vara", IFERROR(_xlfn.SINGLE(_xlfn.XLOOKUP(G1355, Vöruskrá!A:A, Vöruskrá!N:N, "")) * I1355 / 100, ""), IF(F1355 = "Réttur", IFERROR(_xlfn.SINGLE(_xlfn.XLOOKUP(G1355, Réttabanki!A:A, Réttabanki!BB:BB, "")) * I1355 / 100, ""), "")))</f>
        <v/>
      </c>
    </row>
    <row r="1356" spans="2:17">
      <c r="B1356" s="33" t="str">
        <f>IF(A1356&lt;&gt;"",CHOOSE(WEEKDAY(A1356,2),"Mánudagur","Þriðjudagur","Miðvikudagur","Fimmtudagur","Föstudagur","Laugardagur","Sunnudagur"),IF(B1355&lt;&gt;"",B1355,""))</f>
        <v>Fimmtudagur</v>
      </c>
      <c r="C1356" s="33">
        <f>IF(A1356&lt;&gt;"",WEEKNUM(A1356,21),IF(C1355&lt;&gt;"",C1355,""))</f>
        <v>27</v>
      </c>
      <c r="D1356" s="34"/>
      <c r="E1356" s="34"/>
      <c r="F1356" s="34"/>
      <c r="G1356" s="34"/>
      <c r="H1356" s="34"/>
      <c r="I1356" s="35"/>
      <c r="J1356" s="35"/>
      <c r="K1356" s="36"/>
      <c r="L1356" s="26" t="str">
        <f>IF(OR(F1356 = "", G1356 = ""), "", IF(F1356 = "Vara", IFERROR(_xlfn.SINGLE(_xlfn.XLOOKUP(G1356, Vöruskrá!A:A, Vöruskrá!E:E, "")), ""), IF(F1356 = "Réttur", IFERROR(_xlfn.SINGLE(_xlfn.XLOOKUP(G1356, Réttabanki!A:A, Réttabanki!AS:AS, "")), ""), "")))</f>
        <v/>
      </c>
      <c r="M1356" s="26" t="str">
        <f>IF(OR(F1356 = "", G1356 = ""), "", IF(F1356 = "Vara", IFERROR(_xlfn.SINGLE(_xlfn.XLOOKUP(G1356, Vöruskrá!A:A, Vöruskrá!F:F, "")), ""), IF(F1356 = "Réttur", IFERROR(_xlfn.SINGLE(_xlfn.XLOOKUP(G1356, Réttabanki!A:A, Réttabanki!AT:AT, "")), ""), "")))</f>
        <v/>
      </c>
      <c r="N1356" s="26" t="str">
        <f>IF(OR(F1356 = "", G1356 = ""), "", IF(F1356 = "Vara", IFERROR(_xlfn.SINGLE(_xlfn.XLOOKUP(G1356, Vöruskrá!A:A, Vöruskrá!G:G, "")), ""), IF(F1356 = "Réttur", IFERROR(_xlfn.SINGLE(_xlfn.XLOOKUP(G1356, Réttabanki!A:A, Réttabanki!AU:AU, "")), ""), "")))</f>
        <v/>
      </c>
      <c r="O1356" s="26" t="str">
        <f>IF(OR(F1356 = "", G1356 = "", I1356 = ""), "", IF(F1356 = "Vara", IFERROR(_xlfn.SINGLE(_xlfn.XLOOKUP(G1356, Vöruskrá!A:A, Vöruskrá!I:I, "")) * I1356 / 100, ""), IF(F1356 = "Réttur", IFERROR(_xlfn.SINGLE(_xlfn.XLOOKUP(G1356, Réttabanki!A:A, Réttabanki!AV:AV, "")) * I1356 / 100, ""), "")))</f>
        <v/>
      </c>
      <c r="P1356" s="26" t="str">
        <f>IF(OR(F1356 = "", G1356 = "", I1356 = ""), "", IF(F1356 = "Vara", IFERROR(_xlfn.SINGLE(_xlfn.XLOOKUP(G1356, Vöruskrá!A:A, Vöruskrá!J:J, "")) * I1356 / 100, ""), IF(F1356 = "Réttur", IFERROR(_xlfn.SINGLE(_xlfn.XLOOKUP(G1356, Réttabanki!A:A, Réttabanki!AW:AW, "")) * I1356 / 100, ""), "")))</f>
        <v/>
      </c>
      <c r="Q1356" s="26" t="str">
        <f>IF(OR(F1356 = "", G1356 = "", I1356 = ""), "", IF(F1356 = "Vara", IFERROR(_xlfn.SINGLE(_xlfn.XLOOKUP(G1356, Vöruskrá!A:A, Vöruskrá!N:N, "")) * I1356 / 100, ""), IF(F1356 = "Réttur", IFERROR(_xlfn.SINGLE(_xlfn.XLOOKUP(G1356, Réttabanki!A:A, Réttabanki!BB:BB, "")) * I1356 / 100, ""), "")))</f>
        <v/>
      </c>
    </row>
    <row r="1357" spans="2:17">
      <c r="B1357" s="33" t="str">
        <f>IF(A1357&lt;&gt;"",CHOOSE(WEEKDAY(A1357,2),"Mánudagur","Þriðjudagur","Miðvikudagur","Fimmtudagur","Föstudagur","Laugardagur","Sunnudagur"),IF(B1356&lt;&gt;"",B1356,""))</f>
        <v>Fimmtudagur</v>
      </c>
      <c r="C1357" s="33">
        <f>IF(A1357&lt;&gt;"",WEEKNUM(A1357,21),IF(C1356&lt;&gt;"",C1356,""))</f>
        <v>27</v>
      </c>
      <c r="D1357" s="34"/>
      <c r="E1357" s="34"/>
      <c r="F1357" s="34"/>
      <c r="G1357" s="34"/>
      <c r="H1357" s="34"/>
      <c r="I1357" s="35"/>
      <c r="J1357" s="35"/>
      <c r="K1357" s="36"/>
      <c r="L1357" s="26" t="str">
        <f>IF(OR(F1357 = "", G1357 = ""), "", IF(F1357 = "Vara", IFERROR(_xlfn.SINGLE(_xlfn.XLOOKUP(G1357, Vöruskrá!A:A, Vöruskrá!E:E, "")), ""), IF(F1357 = "Réttur", IFERROR(_xlfn.SINGLE(_xlfn.XLOOKUP(G1357, Réttabanki!A:A, Réttabanki!AS:AS, "")), ""), "")))</f>
        <v/>
      </c>
      <c r="M1357" s="26" t="str">
        <f>IF(OR(F1357 = "", G1357 = ""), "", IF(F1357 = "Vara", IFERROR(_xlfn.SINGLE(_xlfn.XLOOKUP(G1357, Vöruskrá!A:A, Vöruskrá!F:F, "")), ""), IF(F1357 = "Réttur", IFERROR(_xlfn.SINGLE(_xlfn.XLOOKUP(G1357, Réttabanki!A:A, Réttabanki!AT:AT, "")), ""), "")))</f>
        <v/>
      </c>
      <c r="N1357" s="26" t="str">
        <f>IF(OR(F1357 = "", G1357 = ""), "", IF(F1357 = "Vara", IFERROR(_xlfn.SINGLE(_xlfn.XLOOKUP(G1357, Vöruskrá!A:A, Vöruskrá!G:G, "")), ""), IF(F1357 = "Réttur", IFERROR(_xlfn.SINGLE(_xlfn.XLOOKUP(G1357, Réttabanki!A:A, Réttabanki!AU:AU, "")), ""), "")))</f>
        <v/>
      </c>
      <c r="O1357" s="26" t="str">
        <f>IF(OR(F1357 = "", G1357 = "", I1357 = ""), "", IF(F1357 = "Vara", IFERROR(_xlfn.SINGLE(_xlfn.XLOOKUP(G1357, Vöruskrá!A:A, Vöruskrá!I:I, "")) * I1357 / 100, ""), IF(F1357 = "Réttur", IFERROR(_xlfn.SINGLE(_xlfn.XLOOKUP(G1357, Réttabanki!A:A, Réttabanki!AV:AV, "")) * I1357 / 100, ""), "")))</f>
        <v/>
      </c>
      <c r="P1357" s="26" t="str">
        <f>IF(OR(F1357 = "", G1357 = "", I1357 = ""), "", IF(F1357 = "Vara", IFERROR(_xlfn.SINGLE(_xlfn.XLOOKUP(G1357, Vöruskrá!A:A, Vöruskrá!J:J, "")) * I1357 / 100, ""), IF(F1357 = "Réttur", IFERROR(_xlfn.SINGLE(_xlfn.XLOOKUP(G1357, Réttabanki!A:A, Réttabanki!AW:AW, "")) * I1357 / 100, ""), "")))</f>
        <v/>
      </c>
      <c r="Q1357" s="26" t="str">
        <f>IF(OR(F1357 = "", G1357 = "", I1357 = ""), "", IF(F1357 = "Vara", IFERROR(_xlfn.SINGLE(_xlfn.XLOOKUP(G1357, Vöruskrá!A:A, Vöruskrá!N:N, "")) * I1357 / 100, ""), IF(F1357 = "Réttur", IFERROR(_xlfn.SINGLE(_xlfn.XLOOKUP(G1357, Réttabanki!A:A, Réttabanki!BB:BB, "")) * I1357 / 100, ""), "")))</f>
        <v/>
      </c>
    </row>
    <row r="1358" spans="2:17">
      <c r="B1358" s="33" t="str">
        <f>IF(A1358&lt;&gt;"",CHOOSE(WEEKDAY(A1358,2),"Mánudagur","Þriðjudagur","Miðvikudagur","Fimmtudagur","Föstudagur","Laugardagur","Sunnudagur"),IF(B1357&lt;&gt;"",B1357,""))</f>
        <v>Fimmtudagur</v>
      </c>
      <c r="C1358" s="33">
        <f>IF(A1358&lt;&gt;"",WEEKNUM(A1358,21),IF(C1357&lt;&gt;"",C1357,""))</f>
        <v>27</v>
      </c>
      <c r="D1358" s="34"/>
      <c r="E1358" s="34"/>
      <c r="F1358" s="34"/>
      <c r="G1358" s="34"/>
      <c r="H1358" s="34"/>
      <c r="I1358" s="35"/>
      <c r="J1358" s="35"/>
      <c r="K1358" s="36"/>
      <c r="L1358" s="26" t="str">
        <f>IF(OR(F1358 = "", G1358 = ""), "", IF(F1358 = "Vara", IFERROR(_xlfn.SINGLE(_xlfn.XLOOKUP(G1358, Vöruskrá!A:A, Vöruskrá!E:E, "")), ""), IF(F1358 = "Réttur", IFERROR(_xlfn.SINGLE(_xlfn.XLOOKUP(G1358, Réttabanki!A:A, Réttabanki!AS:AS, "")), ""), "")))</f>
        <v/>
      </c>
      <c r="M1358" s="26" t="str">
        <f>IF(OR(F1358 = "", G1358 = ""), "", IF(F1358 = "Vara", IFERROR(_xlfn.SINGLE(_xlfn.XLOOKUP(G1358, Vöruskrá!A:A, Vöruskrá!F:F, "")), ""), IF(F1358 = "Réttur", IFERROR(_xlfn.SINGLE(_xlfn.XLOOKUP(G1358, Réttabanki!A:A, Réttabanki!AT:AT, "")), ""), "")))</f>
        <v/>
      </c>
      <c r="N1358" s="26" t="str">
        <f>IF(OR(F1358 = "", G1358 = ""), "", IF(F1358 = "Vara", IFERROR(_xlfn.SINGLE(_xlfn.XLOOKUP(G1358, Vöruskrá!A:A, Vöruskrá!G:G, "")), ""), IF(F1358 = "Réttur", IFERROR(_xlfn.SINGLE(_xlfn.XLOOKUP(G1358, Réttabanki!A:A, Réttabanki!AU:AU, "")), ""), "")))</f>
        <v/>
      </c>
      <c r="O1358" s="26" t="str">
        <f>IF(OR(F1358 = "", G1358 = "", I1358 = ""), "", IF(F1358 = "Vara", IFERROR(_xlfn.SINGLE(_xlfn.XLOOKUP(G1358, Vöruskrá!A:A, Vöruskrá!I:I, "")) * I1358 / 100, ""), IF(F1358 = "Réttur", IFERROR(_xlfn.SINGLE(_xlfn.XLOOKUP(G1358, Réttabanki!A:A, Réttabanki!AV:AV, "")) * I1358 / 100, ""), "")))</f>
        <v/>
      </c>
      <c r="P1358" s="26" t="str">
        <f>IF(OR(F1358 = "", G1358 = "", I1358 = ""), "", IF(F1358 = "Vara", IFERROR(_xlfn.SINGLE(_xlfn.XLOOKUP(G1358, Vöruskrá!A:A, Vöruskrá!J:J, "")) * I1358 / 100, ""), IF(F1358 = "Réttur", IFERROR(_xlfn.SINGLE(_xlfn.XLOOKUP(G1358, Réttabanki!A:A, Réttabanki!AW:AW, "")) * I1358 / 100, ""), "")))</f>
        <v/>
      </c>
      <c r="Q1358" s="26" t="str">
        <f>IF(OR(F1358 = "", G1358 = "", I1358 = ""), "", IF(F1358 = "Vara", IFERROR(_xlfn.SINGLE(_xlfn.XLOOKUP(G1358, Vöruskrá!A:A, Vöruskrá!N:N, "")) * I1358 / 100, ""), IF(F1358 = "Réttur", IFERROR(_xlfn.SINGLE(_xlfn.XLOOKUP(G1358, Réttabanki!A:A, Réttabanki!BB:BB, "")) * I1358 / 100, ""), "")))</f>
        <v/>
      </c>
    </row>
    <row r="1359" spans="2:17">
      <c r="B1359" s="33" t="str">
        <f>IF(A1359&lt;&gt;"",CHOOSE(WEEKDAY(A1359,2),"Mánudagur","Þriðjudagur","Miðvikudagur","Fimmtudagur","Föstudagur","Laugardagur","Sunnudagur"),IF(B1358&lt;&gt;"",B1358,""))</f>
        <v>Fimmtudagur</v>
      </c>
      <c r="C1359" s="33">
        <f>IF(A1359&lt;&gt;"",WEEKNUM(A1359,21),IF(C1358&lt;&gt;"",C1358,""))</f>
        <v>27</v>
      </c>
      <c r="D1359" s="34"/>
      <c r="E1359" s="34"/>
      <c r="F1359" s="34"/>
      <c r="G1359" s="34"/>
      <c r="H1359" s="34"/>
      <c r="I1359" s="35"/>
      <c r="J1359" s="35"/>
      <c r="K1359" s="36"/>
      <c r="L1359" s="26" t="str">
        <f>IF(OR(F1359 = "", G1359 = ""), "", IF(F1359 = "Vara", IFERROR(_xlfn.SINGLE(_xlfn.XLOOKUP(G1359, Vöruskrá!A:A, Vöruskrá!E:E, "")), ""), IF(F1359 = "Réttur", IFERROR(_xlfn.SINGLE(_xlfn.XLOOKUP(G1359, Réttabanki!A:A, Réttabanki!AS:AS, "")), ""), "")))</f>
        <v/>
      </c>
      <c r="M1359" s="26" t="str">
        <f>IF(OR(F1359 = "", G1359 = ""), "", IF(F1359 = "Vara", IFERROR(_xlfn.SINGLE(_xlfn.XLOOKUP(G1359, Vöruskrá!A:A, Vöruskrá!F:F, "")), ""), IF(F1359 = "Réttur", IFERROR(_xlfn.SINGLE(_xlfn.XLOOKUP(G1359, Réttabanki!A:A, Réttabanki!AT:AT, "")), ""), "")))</f>
        <v/>
      </c>
      <c r="N1359" s="26" t="str">
        <f>IF(OR(F1359 = "", G1359 = ""), "", IF(F1359 = "Vara", IFERROR(_xlfn.SINGLE(_xlfn.XLOOKUP(G1359, Vöruskrá!A:A, Vöruskrá!G:G, "")), ""), IF(F1359 = "Réttur", IFERROR(_xlfn.SINGLE(_xlfn.XLOOKUP(G1359, Réttabanki!A:A, Réttabanki!AU:AU, "")), ""), "")))</f>
        <v/>
      </c>
      <c r="O1359" s="26" t="str">
        <f>IF(OR(F1359 = "", G1359 = "", I1359 = ""), "", IF(F1359 = "Vara", IFERROR(_xlfn.SINGLE(_xlfn.XLOOKUP(G1359, Vöruskrá!A:A, Vöruskrá!I:I, "")) * I1359 / 100, ""), IF(F1359 = "Réttur", IFERROR(_xlfn.SINGLE(_xlfn.XLOOKUP(G1359, Réttabanki!A:A, Réttabanki!AV:AV, "")) * I1359 / 100, ""), "")))</f>
        <v/>
      </c>
      <c r="P1359" s="26" t="str">
        <f>IF(OR(F1359 = "", G1359 = "", I1359 = ""), "", IF(F1359 = "Vara", IFERROR(_xlfn.SINGLE(_xlfn.XLOOKUP(G1359, Vöruskrá!A:A, Vöruskrá!J:J, "")) * I1359 / 100, ""), IF(F1359 = "Réttur", IFERROR(_xlfn.SINGLE(_xlfn.XLOOKUP(G1359, Réttabanki!A:A, Réttabanki!AW:AW, "")) * I1359 / 100, ""), "")))</f>
        <v/>
      </c>
      <c r="Q1359" s="26" t="str">
        <f>IF(OR(F1359 = "", G1359 = "", I1359 = ""), "", IF(F1359 = "Vara", IFERROR(_xlfn.SINGLE(_xlfn.XLOOKUP(G1359, Vöruskrá!A:A, Vöruskrá!N:N, "")) * I1359 / 100, ""), IF(F1359 = "Réttur", IFERROR(_xlfn.SINGLE(_xlfn.XLOOKUP(G1359, Réttabanki!A:A, Réttabanki!BB:BB, "")) * I1359 / 100, ""), "")))</f>
        <v/>
      </c>
    </row>
    <row r="1360" spans="2:17">
      <c r="B1360" s="33" t="str">
        <f>IF(A1360&lt;&gt;"",CHOOSE(WEEKDAY(A1360,2),"Mánudagur","Þriðjudagur","Miðvikudagur","Fimmtudagur","Föstudagur","Laugardagur","Sunnudagur"),IF(B1359&lt;&gt;"",B1359,""))</f>
        <v>Fimmtudagur</v>
      </c>
      <c r="C1360" s="33">
        <f>IF(A1360&lt;&gt;"",WEEKNUM(A1360,21),IF(C1359&lt;&gt;"",C1359,""))</f>
        <v>27</v>
      </c>
      <c r="D1360" s="34"/>
      <c r="E1360" s="34"/>
      <c r="F1360" s="34"/>
      <c r="G1360" s="34"/>
      <c r="H1360" s="34"/>
      <c r="I1360" s="35"/>
      <c r="J1360" s="35"/>
      <c r="K1360" s="36"/>
      <c r="L1360" s="26" t="str">
        <f>IF(OR(F1360 = "", G1360 = ""), "", IF(F1360 = "Vara", IFERROR(_xlfn.SINGLE(_xlfn.XLOOKUP(G1360, Vöruskrá!A:A, Vöruskrá!E:E, "")), ""), IF(F1360 = "Réttur", IFERROR(_xlfn.SINGLE(_xlfn.XLOOKUP(G1360, Réttabanki!A:A, Réttabanki!AS:AS, "")), ""), "")))</f>
        <v/>
      </c>
      <c r="M1360" s="26" t="str">
        <f>IF(OR(F1360 = "", G1360 = ""), "", IF(F1360 = "Vara", IFERROR(_xlfn.SINGLE(_xlfn.XLOOKUP(G1360, Vöruskrá!A:A, Vöruskrá!F:F, "")), ""), IF(F1360 = "Réttur", IFERROR(_xlfn.SINGLE(_xlfn.XLOOKUP(G1360, Réttabanki!A:A, Réttabanki!AT:AT, "")), ""), "")))</f>
        <v/>
      </c>
      <c r="N1360" s="26" t="str">
        <f>IF(OR(F1360 = "", G1360 = ""), "", IF(F1360 = "Vara", IFERROR(_xlfn.SINGLE(_xlfn.XLOOKUP(G1360, Vöruskrá!A:A, Vöruskrá!G:G, "")), ""), IF(F1360 = "Réttur", IFERROR(_xlfn.SINGLE(_xlfn.XLOOKUP(G1360, Réttabanki!A:A, Réttabanki!AU:AU, "")), ""), "")))</f>
        <v/>
      </c>
      <c r="O1360" s="26" t="str">
        <f>IF(OR(F1360 = "", G1360 = "", I1360 = ""), "", IF(F1360 = "Vara", IFERROR(_xlfn.SINGLE(_xlfn.XLOOKUP(G1360, Vöruskrá!A:A, Vöruskrá!I:I, "")) * I1360 / 100, ""), IF(F1360 = "Réttur", IFERROR(_xlfn.SINGLE(_xlfn.XLOOKUP(G1360, Réttabanki!A:A, Réttabanki!AV:AV, "")) * I1360 / 100, ""), "")))</f>
        <v/>
      </c>
      <c r="P1360" s="26" t="str">
        <f>IF(OR(F1360 = "", G1360 = "", I1360 = ""), "", IF(F1360 = "Vara", IFERROR(_xlfn.SINGLE(_xlfn.XLOOKUP(G1360, Vöruskrá!A:A, Vöruskrá!J:J, "")) * I1360 / 100, ""), IF(F1360 = "Réttur", IFERROR(_xlfn.SINGLE(_xlfn.XLOOKUP(G1360, Réttabanki!A:A, Réttabanki!AW:AW, "")) * I1360 / 100, ""), "")))</f>
        <v/>
      </c>
      <c r="Q1360" s="26" t="str">
        <f>IF(OR(F1360 = "", G1360 = "", I1360 = ""), "", IF(F1360 = "Vara", IFERROR(_xlfn.SINGLE(_xlfn.XLOOKUP(G1360, Vöruskrá!A:A, Vöruskrá!N:N, "")) * I1360 / 100, ""), IF(F1360 = "Réttur", IFERROR(_xlfn.SINGLE(_xlfn.XLOOKUP(G1360, Réttabanki!A:A, Réttabanki!BB:BB, "")) * I1360 / 100, ""), "")))</f>
        <v/>
      </c>
    </row>
    <row r="1361" spans="2:17">
      <c r="B1361" s="33" t="str">
        <f>IF(A1361&lt;&gt;"",CHOOSE(WEEKDAY(A1361,2),"Mánudagur","Þriðjudagur","Miðvikudagur","Fimmtudagur","Föstudagur","Laugardagur","Sunnudagur"),IF(B1360&lt;&gt;"",B1360,""))</f>
        <v>Fimmtudagur</v>
      </c>
      <c r="C1361" s="33">
        <f>IF(A1361&lt;&gt;"",WEEKNUM(A1361,21),IF(C1360&lt;&gt;"",C1360,""))</f>
        <v>27</v>
      </c>
      <c r="D1361" s="34"/>
      <c r="E1361" s="34"/>
      <c r="F1361" s="34"/>
      <c r="G1361" s="34"/>
      <c r="H1361" s="34"/>
      <c r="I1361" s="35"/>
      <c r="J1361" s="35"/>
      <c r="K1361" s="36"/>
      <c r="L1361" s="26" t="str">
        <f>IF(OR(F1361 = "", G1361 = ""), "", IF(F1361 = "Vara", IFERROR(_xlfn.SINGLE(_xlfn.XLOOKUP(G1361, Vöruskrá!A:A, Vöruskrá!E:E, "")), ""), IF(F1361 = "Réttur", IFERROR(_xlfn.SINGLE(_xlfn.XLOOKUP(G1361, Réttabanki!A:A, Réttabanki!AS:AS, "")), ""), "")))</f>
        <v/>
      </c>
      <c r="M1361" s="26" t="str">
        <f>IF(OR(F1361 = "", G1361 = ""), "", IF(F1361 = "Vara", IFERROR(_xlfn.SINGLE(_xlfn.XLOOKUP(G1361, Vöruskrá!A:A, Vöruskrá!F:F, "")), ""), IF(F1361 = "Réttur", IFERROR(_xlfn.SINGLE(_xlfn.XLOOKUP(G1361, Réttabanki!A:A, Réttabanki!AT:AT, "")), ""), "")))</f>
        <v/>
      </c>
      <c r="N1361" s="26" t="str">
        <f>IF(OR(F1361 = "", G1361 = ""), "", IF(F1361 = "Vara", IFERROR(_xlfn.SINGLE(_xlfn.XLOOKUP(G1361, Vöruskrá!A:A, Vöruskrá!G:G, "")), ""), IF(F1361 = "Réttur", IFERROR(_xlfn.SINGLE(_xlfn.XLOOKUP(G1361, Réttabanki!A:A, Réttabanki!AU:AU, "")), ""), "")))</f>
        <v/>
      </c>
      <c r="O1361" s="26" t="str">
        <f>IF(OR(F1361 = "", G1361 = "", I1361 = ""), "", IF(F1361 = "Vara", IFERROR(_xlfn.SINGLE(_xlfn.XLOOKUP(G1361, Vöruskrá!A:A, Vöruskrá!I:I, "")) * I1361 / 100, ""), IF(F1361 = "Réttur", IFERROR(_xlfn.SINGLE(_xlfn.XLOOKUP(G1361, Réttabanki!A:A, Réttabanki!AV:AV, "")) * I1361 / 100, ""), "")))</f>
        <v/>
      </c>
      <c r="P1361" s="26" t="str">
        <f>IF(OR(F1361 = "", G1361 = "", I1361 = ""), "", IF(F1361 = "Vara", IFERROR(_xlfn.SINGLE(_xlfn.XLOOKUP(G1361, Vöruskrá!A:A, Vöruskrá!J:J, "")) * I1361 / 100, ""), IF(F1361 = "Réttur", IFERROR(_xlfn.SINGLE(_xlfn.XLOOKUP(G1361, Réttabanki!A:A, Réttabanki!AW:AW, "")) * I1361 / 100, ""), "")))</f>
        <v/>
      </c>
      <c r="Q1361" s="26" t="str">
        <f>IF(OR(F1361 = "", G1361 = "", I1361 = ""), "", IF(F1361 = "Vara", IFERROR(_xlfn.SINGLE(_xlfn.XLOOKUP(G1361, Vöruskrá!A:A, Vöruskrá!N:N, "")) * I1361 / 100, ""), IF(F1361 = "Réttur", IFERROR(_xlfn.SINGLE(_xlfn.XLOOKUP(G1361, Réttabanki!A:A, Réttabanki!BB:BB, "")) * I1361 / 100, ""), "")))</f>
        <v/>
      </c>
    </row>
    <row r="1362" spans="2:17">
      <c r="B1362" s="33" t="str">
        <f>IF(A1362&lt;&gt;"",CHOOSE(WEEKDAY(A1362,2),"Mánudagur","Þriðjudagur","Miðvikudagur","Fimmtudagur","Föstudagur","Laugardagur","Sunnudagur"),IF(B1361&lt;&gt;"",B1361,""))</f>
        <v>Fimmtudagur</v>
      </c>
      <c r="C1362" s="33">
        <f>IF(A1362&lt;&gt;"",WEEKNUM(A1362,21),IF(C1361&lt;&gt;"",C1361,""))</f>
        <v>27</v>
      </c>
      <c r="D1362" s="34"/>
      <c r="E1362" s="34"/>
      <c r="F1362" s="34"/>
      <c r="G1362" s="34"/>
      <c r="H1362" s="34"/>
      <c r="I1362" s="35"/>
      <c r="J1362" s="35"/>
      <c r="K1362" s="36"/>
      <c r="L1362" s="26" t="str">
        <f>IF(OR(F1362 = "", G1362 = ""), "", IF(F1362 = "Vara", IFERROR(_xlfn.SINGLE(_xlfn.XLOOKUP(G1362, Vöruskrá!A:A, Vöruskrá!E:E, "")), ""), IF(F1362 = "Réttur", IFERROR(_xlfn.SINGLE(_xlfn.XLOOKUP(G1362, Réttabanki!A:A, Réttabanki!AS:AS, "")), ""), "")))</f>
        <v/>
      </c>
      <c r="M1362" s="26" t="str">
        <f>IF(OR(F1362 = "", G1362 = ""), "", IF(F1362 = "Vara", IFERROR(_xlfn.SINGLE(_xlfn.XLOOKUP(G1362, Vöruskrá!A:A, Vöruskrá!F:F, "")), ""), IF(F1362 = "Réttur", IFERROR(_xlfn.SINGLE(_xlfn.XLOOKUP(G1362, Réttabanki!A:A, Réttabanki!AT:AT, "")), ""), "")))</f>
        <v/>
      </c>
      <c r="N1362" s="26" t="str">
        <f>IF(OR(F1362 = "", G1362 = ""), "", IF(F1362 = "Vara", IFERROR(_xlfn.SINGLE(_xlfn.XLOOKUP(G1362, Vöruskrá!A:A, Vöruskrá!G:G, "")), ""), IF(F1362 = "Réttur", IFERROR(_xlfn.SINGLE(_xlfn.XLOOKUP(G1362, Réttabanki!A:A, Réttabanki!AU:AU, "")), ""), "")))</f>
        <v/>
      </c>
      <c r="O1362" s="26" t="str">
        <f>IF(OR(F1362 = "", G1362 = "", I1362 = ""), "", IF(F1362 = "Vara", IFERROR(_xlfn.SINGLE(_xlfn.XLOOKUP(G1362, Vöruskrá!A:A, Vöruskrá!I:I, "")) * I1362 / 100, ""), IF(F1362 = "Réttur", IFERROR(_xlfn.SINGLE(_xlfn.XLOOKUP(G1362, Réttabanki!A:A, Réttabanki!AV:AV, "")) * I1362 / 100, ""), "")))</f>
        <v/>
      </c>
      <c r="P1362" s="26" t="str">
        <f>IF(OR(F1362 = "", G1362 = "", I1362 = ""), "", IF(F1362 = "Vara", IFERROR(_xlfn.SINGLE(_xlfn.XLOOKUP(G1362, Vöruskrá!A:A, Vöruskrá!J:J, "")) * I1362 / 100, ""), IF(F1362 = "Réttur", IFERROR(_xlfn.SINGLE(_xlfn.XLOOKUP(G1362, Réttabanki!A:A, Réttabanki!AW:AW, "")) * I1362 / 100, ""), "")))</f>
        <v/>
      </c>
      <c r="Q1362" s="26" t="str">
        <f>IF(OR(F1362 = "", G1362 = "", I1362 = ""), "", IF(F1362 = "Vara", IFERROR(_xlfn.SINGLE(_xlfn.XLOOKUP(G1362, Vöruskrá!A:A, Vöruskrá!N:N, "")) * I1362 / 100, ""), IF(F1362 = "Réttur", IFERROR(_xlfn.SINGLE(_xlfn.XLOOKUP(G1362, Réttabanki!A:A, Réttabanki!BB:BB, "")) * I1362 / 100, ""), "")))</f>
        <v/>
      </c>
    </row>
    <row r="1363" spans="2:17">
      <c r="B1363" s="33" t="str">
        <f>IF(A1363&lt;&gt;"",CHOOSE(WEEKDAY(A1363,2),"Mánudagur","Þriðjudagur","Miðvikudagur","Fimmtudagur","Föstudagur","Laugardagur","Sunnudagur"),IF(B1362&lt;&gt;"",B1362,""))</f>
        <v>Fimmtudagur</v>
      </c>
      <c r="C1363" s="33">
        <f>IF(A1363&lt;&gt;"",WEEKNUM(A1363,21),IF(C1362&lt;&gt;"",C1362,""))</f>
        <v>27</v>
      </c>
      <c r="D1363" s="34"/>
      <c r="E1363" s="34"/>
      <c r="F1363" s="34"/>
      <c r="G1363" s="34"/>
      <c r="H1363" s="34"/>
      <c r="I1363" s="35"/>
      <c r="J1363" s="35"/>
      <c r="K1363" s="36"/>
      <c r="L1363" s="26" t="str">
        <f>IF(OR(F1363 = "", G1363 = ""), "", IF(F1363 = "Vara", IFERROR(_xlfn.SINGLE(_xlfn.XLOOKUP(G1363, Vöruskrá!A:A, Vöruskrá!E:E, "")), ""), IF(F1363 = "Réttur", IFERROR(_xlfn.SINGLE(_xlfn.XLOOKUP(G1363, Réttabanki!A:A, Réttabanki!AS:AS, "")), ""), "")))</f>
        <v/>
      </c>
      <c r="M1363" s="26" t="str">
        <f>IF(OR(F1363 = "", G1363 = ""), "", IF(F1363 = "Vara", IFERROR(_xlfn.SINGLE(_xlfn.XLOOKUP(G1363, Vöruskrá!A:A, Vöruskrá!F:F, "")), ""), IF(F1363 = "Réttur", IFERROR(_xlfn.SINGLE(_xlfn.XLOOKUP(G1363, Réttabanki!A:A, Réttabanki!AT:AT, "")), ""), "")))</f>
        <v/>
      </c>
      <c r="N1363" s="26" t="str">
        <f>IF(OR(F1363 = "", G1363 = ""), "", IF(F1363 = "Vara", IFERROR(_xlfn.SINGLE(_xlfn.XLOOKUP(G1363, Vöruskrá!A:A, Vöruskrá!G:G, "")), ""), IF(F1363 = "Réttur", IFERROR(_xlfn.SINGLE(_xlfn.XLOOKUP(G1363, Réttabanki!A:A, Réttabanki!AU:AU, "")), ""), "")))</f>
        <v/>
      </c>
      <c r="O1363" s="26" t="str">
        <f>IF(OR(F1363 = "", G1363 = "", I1363 = ""), "", IF(F1363 = "Vara", IFERROR(_xlfn.SINGLE(_xlfn.XLOOKUP(G1363, Vöruskrá!A:A, Vöruskrá!I:I, "")) * I1363 / 100, ""), IF(F1363 = "Réttur", IFERROR(_xlfn.SINGLE(_xlfn.XLOOKUP(G1363, Réttabanki!A:A, Réttabanki!AV:AV, "")) * I1363 / 100, ""), "")))</f>
        <v/>
      </c>
      <c r="P1363" s="26" t="str">
        <f>IF(OR(F1363 = "", G1363 = "", I1363 = ""), "", IF(F1363 = "Vara", IFERROR(_xlfn.SINGLE(_xlfn.XLOOKUP(G1363, Vöruskrá!A:A, Vöruskrá!J:J, "")) * I1363 / 100, ""), IF(F1363 = "Réttur", IFERROR(_xlfn.SINGLE(_xlfn.XLOOKUP(G1363, Réttabanki!A:A, Réttabanki!AW:AW, "")) * I1363 / 100, ""), "")))</f>
        <v/>
      </c>
      <c r="Q1363" s="26" t="str">
        <f>IF(OR(F1363 = "", G1363 = "", I1363 = ""), "", IF(F1363 = "Vara", IFERROR(_xlfn.SINGLE(_xlfn.XLOOKUP(G1363, Vöruskrá!A:A, Vöruskrá!N:N, "")) * I1363 / 100, ""), IF(F1363 = "Réttur", IFERROR(_xlfn.SINGLE(_xlfn.XLOOKUP(G1363, Réttabanki!A:A, Réttabanki!BB:BB, "")) * I1363 / 100, ""), "")))</f>
        <v/>
      </c>
    </row>
    <row r="1364" spans="2:17">
      <c r="B1364" s="33" t="str">
        <f>IF(A1364&lt;&gt;"",CHOOSE(WEEKDAY(A1364,2),"Mánudagur","Þriðjudagur","Miðvikudagur","Fimmtudagur","Föstudagur","Laugardagur","Sunnudagur"),IF(B1363&lt;&gt;"",B1363,""))</f>
        <v>Fimmtudagur</v>
      </c>
      <c r="C1364" s="33">
        <f>IF(A1364&lt;&gt;"",WEEKNUM(A1364,21),IF(C1363&lt;&gt;"",C1363,""))</f>
        <v>27</v>
      </c>
      <c r="D1364" s="34"/>
      <c r="E1364" s="34"/>
      <c r="F1364" s="34"/>
      <c r="G1364" s="34"/>
      <c r="H1364" s="34"/>
      <c r="I1364" s="35"/>
      <c r="J1364" s="35"/>
      <c r="K1364" s="36"/>
      <c r="L1364" s="26" t="str">
        <f>IF(OR(F1364 = "", G1364 = ""), "", IF(F1364 = "Vara", IFERROR(_xlfn.SINGLE(_xlfn.XLOOKUP(G1364, Vöruskrá!A:A, Vöruskrá!E:E, "")), ""), IF(F1364 = "Réttur", IFERROR(_xlfn.SINGLE(_xlfn.XLOOKUP(G1364, Réttabanki!A:A, Réttabanki!AS:AS, "")), ""), "")))</f>
        <v/>
      </c>
      <c r="M1364" s="26" t="str">
        <f>IF(OR(F1364 = "", G1364 = ""), "", IF(F1364 = "Vara", IFERROR(_xlfn.SINGLE(_xlfn.XLOOKUP(G1364, Vöruskrá!A:A, Vöruskrá!F:F, "")), ""), IF(F1364 = "Réttur", IFERROR(_xlfn.SINGLE(_xlfn.XLOOKUP(G1364, Réttabanki!A:A, Réttabanki!AT:AT, "")), ""), "")))</f>
        <v/>
      </c>
      <c r="N1364" s="26" t="str">
        <f>IF(OR(F1364 = "", G1364 = ""), "", IF(F1364 = "Vara", IFERROR(_xlfn.SINGLE(_xlfn.XLOOKUP(G1364, Vöruskrá!A:A, Vöruskrá!G:G, "")), ""), IF(F1364 = "Réttur", IFERROR(_xlfn.SINGLE(_xlfn.XLOOKUP(G1364, Réttabanki!A:A, Réttabanki!AU:AU, "")), ""), "")))</f>
        <v/>
      </c>
      <c r="O1364" s="26" t="str">
        <f>IF(OR(F1364 = "", G1364 = "", I1364 = ""), "", IF(F1364 = "Vara", IFERROR(_xlfn.SINGLE(_xlfn.XLOOKUP(G1364, Vöruskrá!A:A, Vöruskrá!I:I, "")) * I1364 / 100, ""), IF(F1364 = "Réttur", IFERROR(_xlfn.SINGLE(_xlfn.XLOOKUP(G1364, Réttabanki!A:A, Réttabanki!AV:AV, "")) * I1364 / 100, ""), "")))</f>
        <v/>
      </c>
      <c r="P1364" s="26" t="str">
        <f>IF(OR(F1364 = "", G1364 = "", I1364 = ""), "", IF(F1364 = "Vara", IFERROR(_xlfn.SINGLE(_xlfn.XLOOKUP(G1364, Vöruskrá!A:A, Vöruskrá!J:J, "")) * I1364 / 100, ""), IF(F1364 = "Réttur", IFERROR(_xlfn.SINGLE(_xlfn.XLOOKUP(G1364, Réttabanki!A:A, Réttabanki!AW:AW, "")) * I1364 / 100, ""), "")))</f>
        <v/>
      </c>
      <c r="Q1364" s="26" t="str">
        <f>IF(OR(F1364 = "", G1364 = "", I1364 = ""), "", IF(F1364 = "Vara", IFERROR(_xlfn.SINGLE(_xlfn.XLOOKUP(G1364, Vöruskrá!A:A, Vöruskrá!N:N, "")) * I1364 / 100, ""), IF(F1364 = "Réttur", IFERROR(_xlfn.SINGLE(_xlfn.XLOOKUP(G1364, Réttabanki!A:A, Réttabanki!BB:BB, "")) * I1364 / 100, ""), "")))</f>
        <v/>
      </c>
    </row>
    <row r="1365" spans="2:17">
      <c r="B1365" s="33" t="str">
        <f>IF(A1365&lt;&gt;"",CHOOSE(WEEKDAY(A1365,2),"Mánudagur","Þriðjudagur","Miðvikudagur","Fimmtudagur","Föstudagur","Laugardagur","Sunnudagur"),IF(B1364&lt;&gt;"",B1364,""))</f>
        <v>Fimmtudagur</v>
      </c>
      <c r="C1365" s="33">
        <f>IF(A1365&lt;&gt;"",WEEKNUM(A1365,21),IF(C1364&lt;&gt;"",C1364,""))</f>
        <v>27</v>
      </c>
      <c r="D1365" s="34"/>
      <c r="E1365" s="34"/>
      <c r="F1365" s="34"/>
      <c r="G1365" s="34"/>
      <c r="H1365" s="34"/>
      <c r="I1365" s="35"/>
      <c r="J1365" s="35"/>
      <c r="K1365" s="36"/>
      <c r="L1365" s="26" t="str">
        <f>IF(OR(F1365 = "", G1365 = ""), "", IF(F1365 = "Vara", IFERROR(_xlfn.SINGLE(_xlfn.XLOOKUP(G1365, Vöruskrá!A:A, Vöruskrá!E:E, "")), ""), IF(F1365 = "Réttur", IFERROR(_xlfn.SINGLE(_xlfn.XLOOKUP(G1365, Réttabanki!A:A, Réttabanki!AS:AS, "")), ""), "")))</f>
        <v/>
      </c>
      <c r="M1365" s="26" t="str">
        <f>IF(OR(F1365 = "", G1365 = ""), "", IF(F1365 = "Vara", IFERROR(_xlfn.SINGLE(_xlfn.XLOOKUP(G1365, Vöruskrá!A:A, Vöruskrá!F:F, "")), ""), IF(F1365 = "Réttur", IFERROR(_xlfn.SINGLE(_xlfn.XLOOKUP(G1365, Réttabanki!A:A, Réttabanki!AT:AT, "")), ""), "")))</f>
        <v/>
      </c>
      <c r="N1365" s="26" t="str">
        <f>IF(OR(F1365 = "", G1365 = ""), "", IF(F1365 = "Vara", IFERROR(_xlfn.SINGLE(_xlfn.XLOOKUP(G1365, Vöruskrá!A:A, Vöruskrá!G:G, "")), ""), IF(F1365 = "Réttur", IFERROR(_xlfn.SINGLE(_xlfn.XLOOKUP(G1365, Réttabanki!A:A, Réttabanki!AU:AU, "")), ""), "")))</f>
        <v/>
      </c>
      <c r="O1365" s="26" t="str">
        <f>IF(OR(F1365 = "", G1365 = "", I1365 = ""), "", IF(F1365 = "Vara", IFERROR(_xlfn.SINGLE(_xlfn.XLOOKUP(G1365, Vöruskrá!A:A, Vöruskrá!I:I, "")) * I1365 / 100, ""), IF(F1365 = "Réttur", IFERROR(_xlfn.SINGLE(_xlfn.XLOOKUP(G1365, Réttabanki!A:A, Réttabanki!AV:AV, "")) * I1365 / 100, ""), "")))</f>
        <v/>
      </c>
      <c r="P1365" s="26" t="str">
        <f>IF(OR(F1365 = "", G1365 = "", I1365 = ""), "", IF(F1365 = "Vara", IFERROR(_xlfn.SINGLE(_xlfn.XLOOKUP(G1365, Vöruskrá!A:A, Vöruskrá!J:J, "")) * I1365 / 100, ""), IF(F1365 = "Réttur", IFERROR(_xlfn.SINGLE(_xlfn.XLOOKUP(G1365, Réttabanki!A:A, Réttabanki!AW:AW, "")) * I1365 / 100, ""), "")))</f>
        <v/>
      </c>
      <c r="Q1365" s="26" t="str">
        <f>IF(OR(F1365 = "", G1365 = "", I1365 = ""), "", IF(F1365 = "Vara", IFERROR(_xlfn.SINGLE(_xlfn.XLOOKUP(G1365, Vöruskrá!A:A, Vöruskrá!N:N, "")) * I1365 / 100, ""), IF(F1365 = "Réttur", IFERROR(_xlfn.SINGLE(_xlfn.XLOOKUP(G1365, Réttabanki!A:A, Réttabanki!BB:BB, "")) * I1365 / 100, ""), "")))</f>
        <v/>
      </c>
    </row>
    <row r="1366" spans="2:17">
      <c r="B1366" s="33" t="str">
        <f>IF(A1366&lt;&gt;"",CHOOSE(WEEKDAY(A1366,2),"Mánudagur","Þriðjudagur","Miðvikudagur","Fimmtudagur","Föstudagur","Laugardagur","Sunnudagur"),IF(B1365&lt;&gt;"",B1365,""))</f>
        <v>Fimmtudagur</v>
      </c>
      <c r="C1366" s="33">
        <f>IF(A1366&lt;&gt;"",WEEKNUM(A1366,21),IF(C1365&lt;&gt;"",C1365,""))</f>
        <v>27</v>
      </c>
      <c r="D1366" s="34"/>
      <c r="E1366" s="34"/>
      <c r="F1366" s="34"/>
      <c r="G1366" s="34"/>
      <c r="H1366" s="34"/>
      <c r="I1366" s="35"/>
      <c r="J1366" s="35"/>
      <c r="K1366" s="36"/>
      <c r="L1366" s="26" t="str">
        <f>IF(OR(F1366 = "", G1366 = ""), "", IF(F1366 = "Vara", IFERROR(_xlfn.SINGLE(_xlfn.XLOOKUP(G1366, Vöruskrá!A:A, Vöruskrá!E:E, "")), ""), IF(F1366 = "Réttur", IFERROR(_xlfn.SINGLE(_xlfn.XLOOKUP(G1366, Réttabanki!A:A, Réttabanki!AS:AS, "")), ""), "")))</f>
        <v/>
      </c>
      <c r="M1366" s="26" t="str">
        <f>IF(OR(F1366 = "", G1366 = ""), "", IF(F1366 = "Vara", IFERROR(_xlfn.SINGLE(_xlfn.XLOOKUP(G1366, Vöruskrá!A:A, Vöruskrá!F:F, "")), ""), IF(F1366 = "Réttur", IFERROR(_xlfn.SINGLE(_xlfn.XLOOKUP(G1366, Réttabanki!A:A, Réttabanki!AT:AT, "")), ""), "")))</f>
        <v/>
      </c>
      <c r="N1366" s="26" t="str">
        <f>IF(OR(F1366 = "", G1366 = ""), "", IF(F1366 = "Vara", IFERROR(_xlfn.SINGLE(_xlfn.XLOOKUP(G1366, Vöruskrá!A:A, Vöruskrá!G:G, "")), ""), IF(F1366 = "Réttur", IFERROR(_xlfn.SINGLE(_xlfn.XLOOKUP(G1366, Réttabanki!A:A, Réttabanki!AU:AU, "")), ""), "")))</f>
        <v/>
      </c>
      <c r="O1366" s="26" t="str">
        <f>IF(OR(F1366 = "", G1366 = "", I1366 = ""), "", IF(F1366 = "Vara", IFERROR(_xlfn.SINGLE(_xlfn.XLOOKUP(G1366, Vöruskrá!A:A, Vöruskrá!I:I, "")) * I1366 / 100, ""), IF(F1366 = "Réttur", IFERROR(_xlfn.SINGLE(_xlfn.XLOOKUP(G1366, Réttabanki!A:A, Réttabanki!AV:AV, "")) * I1366 / 100, ""), "")))</f>
        <v/>
      </c>
      <c r="P1366" s="26" t="str">
        <f>IF(OR(F1366 = "", G1366 = "", I1366 = ""), "", IF(F1366 = "Vara", IFERROR(_xlfn.SINGLE(_xlfn.XLOOKUP(G1366, Vöruskrá!A:A, Vöruskrá!J:J, "")) * I1366 / 100, ""), IF(F1366 = "Réttur", IFERROR(_xlfn.SINGLE(_xlfn.XLOOKUP(G1366, Réttabanki!A:A, Réttabanki!AW:AW, "")) * I1366 / 100, ""), "")))</f>
        <v/>
      </c>
      <c r="Q1366" s="26" t="str">
        <f>IF(OR(F1366 = "", G1366 = "", I1366 = ""), "", IF(F1366 = "Vara", IFERROR(_xlfn.SINGLE(_xlfn.XLOOKUP(G1366, Vöruskrá!A:A, Vöruskrá!N:N, "")) * I1366 / 100, ""), IF(F1366 = "Réttur", IFERROR(_xlfn.SINGLE(_xlfn.XLOOKUP(G1366, Réttabanki!A:A, Réttabanki!BB:BB, "")) * I1366 / 100, ""), "")))</f>
        <v/>
      </c>
    </row>
    <row r="1367" spans="2:17">
      <c r="B1367" s="33" t="str">
        <f>IF(A1367&lt;&gt;"",CHOOSE(WEEKDAY(A1367,2),"Mánudagur","Þriðjudagur","Miðvikudagur","Fimmtudagur","Föstudagur","Laugardagur","Sunnudagur"),IF(B1366&lt;&gt;"",B1366,""))</f>
        <v>Fimmtudagur</v>
      </c>
      <c r="C1367" s="33">
        <f>IF(A1367&lt;&gt;"",WEEKNUM(A1367,21),IF(C1366&lt;&gt;"",C1366,""))</f>
        <v>27</v>
      </c>
      <c r="D1367" s="34"/>
      <c r="E1367" s="34"/>
      <c r="F1367" s="34"/>
      <c r="G1367" s="34"/>
      <c r="H1367" s="34"/>
      <c r="I1367" s="35"/>
      <c r="J1367" s="35"/>
      <c r="K1367" s="36"/>
      <c r="L1367" s="26" t="str">
        <f>IF(OR(F1367 = "", G1367 = ""), "", IF(F1367 = "Vara", IFERROR(_xlfn.SINGLE(_xlfn.XLOOKUP(G1367, Vöruskrá!A:A, Vöruskrá!E:E, "")), ""), IF(F1367 = "Réttur", IFERROR(_xlfn.SINGLE(_xlfn.XLOOKUP(G1367, Réttabanki!A:A, Réttabanki!AS:AS, "")), ""), "")))</f>
        <v/>
      </c>
      <c r="M1367" s="26" t="str">
        <f>IF(OR(F1367 = "", G1367 = ""), "", IF(F1367 = "Vara", IFERROR(_xlfn.SINGLE(_xlfn.XLOOKUP(G1367, Vöruskrá!A:A, Vöruskrá!F:F, "")), ""), IF(F1367 = "Réttur", IFERROR(_xlfn.SINGLE(_xlfn.XLOOKUP(G1367, Réttabanki!A:A, Réttabanki!AT:AT, "")), ""), "")))</f>
        <v/>
      </c>
      <c r="N1367" s="26" t="str">
        <f>IF(OR(F1367 = "", G1367 = ""), "", IF(F1367 = "Vara", IFERROR(_xlfn.SINGLE(_xlfn.XLOOKUP(G1367, Vöruskrá!A:A, Vöruskrá!G:G, "")), ""), IF(F1367 = "Réttur", IFERROR(_xlfn.SINGLE(_xlfn.XLOOKUP(G1367, Réttabanki!A:A, Réttabanki!AU:AU, "")), ""), "")))</f>
        <v/>
      </c>
      <c r="O1367" s="26" t="str">
        <f>IF(OR(F1367 = "", G1367 = "", I1367 = ""), "", IF(F1367 = "Vara", IFERROR(_xlfn.SINGLE(_xlfn.XLOOKUP(G1367, Vöruskrá!A:A, Vöruskrá!I:I, "")) * I1367 / 100, ""), IF(F1367 = "Réttur", IFERROR(_xlfn.SINGLE(_xlfn.XLOOKUP(G1367, Réttabanki!A:A, Réttabanki!AV:AV, "")) * I1367 / 100, ""), "")))</f>
        <v/>
      </c>
      <c r="P1367" s="26" t="str">
        <f>IF(OR(F1367 = "", G1367 = "", I1367 = ""), "", IF(F1367 = "Vara", IFERROR(_xlfn.SINGLE(_xlfn.XLOOKUP(G1367, Vöruskrá!A:A, Vöruskrá!J:J, "")) * I1367 / 100, ""), IF(F1367 = "Réttur", IFERROR(_xlfn.SINGLE(_xlfn.XLOOKUP(G1367, Réttabanki!A:A, Réttabanki!AW:AW, "")) * I1367 / 100, ""), "")))</f>
        <v/>
      </c>
      <c r="Q1367" s="26" t="str">
        <f>IF(OR(F1367 = "", G1367 = "", I1367 = ""), "", IF(F1367 = "Vara", IFERROR(_xlfn.SINGLE(_xlfn.XLOOKUP(G1367, Vöruskrá!A:A, Vöruskrá!N:N, "")) * I1367 / 100, ""), IF(F1367 = "Réttur", IFERROR(_xlfn.SINGLE(_xlfn.XLOOKUP(G1367, Réttabanki!A:A, Réttabanki!BB:BB, "")) * I1367 / 100, ""), "")))</f>
        <v/>
      </c>
    </row>
    <row r="1368" spans="2:17">
      <c r="B1368" s="33" t="str">
        <f>IF(A1368&lt;&gt;"",CHOOSE(WEEKDAY(A1368,2),"Mánudagur","Þriðjudagur","Miðvikudagur","Fimmtudagur","Föstudagur","Laugardagur","Sunnudagur"),IF(B1367&lt;&gt;"",B1367,""))</f>
        <v>Fimmtudagur</v>
      </c>
      <c r="C1368" s="33">
        <f>IF(A1368&lt;&gt;"",WEEKNUM(A1368,21),IF(C1367&lt;&gt;"",C1367,""))</f>
        <v>27</v>
      </c>
      <c r="D1368" s="34"/>
      <c r="E1368" s="34"/>
      <c r="F1368" s="34"/>
      <c r="G1368" s="34"/>
      <c r="H1368" s="34"/>
      <c r="I1368" s="35"/>
      <c r="J1368" s="35"/>
      <c r="K1368" s="36"/>
      <c r="L1368" s="26" t="str">
        <f>IF(OR(F1368 = "", G1368 = ""), "", IF(F1368 = "Vara", IFERROR(_xlfn.SINGLE(_xlfn.XLOOKUP(G1368, Vöruskrá!A:A, Vöruskrá!E:E, "")), ""), IF(F1368 = "Réttur", IFERROR(_xlfn.SINGLE(_xlfn.XLOOKUP(G1368, Réttabanki!A:A, Réttabanki!AS:AS, "")), ""), "")))</f>
        <v/>
      </c>
      <c r="M1368" s="26" t="str">
        <f>IF(OR(F1368 = "", G1368 = ""), "", IF(F1368 = "Vara", IFERROR(_xlfn.SINGLE(_xlfn.XLOOKUP(G1368, Vöruskrá!A:A, Vöruskrá!F:F, "")), ""), IF(F1368 = "Réttur", IFERROR(_xlfn.SINGLE(_xlfn.XLOOKUP(G1368, Réttabanki!A:A, Réttabanki!AT:AT, "")), ""), "")))</f>
        <v/>
      </c>
      <c r="N1368" s="26" t="str">
        <f>IF(OR(F1368 = "", G1368 = ""), "", IF(F1368 = "Vara", IFERROR(_xlfn.SINGLE(_xlfn.XLOOKUP(G1368, Vöruskrá!A:A, Vöruskrá!G:G, "")), ""), IF(F1368 = "Réttur", IFERROR(_xlfn.SINGLE(_xlfn.XLOOKUP(G1368, Réttabanki!A:A, Réttabanki!AU:AU, "")), ""), "")))</f>
        <v/>
      </c>
      <c r="O1368" s="26" t="str">
        <f>IF(OR(F1368 = "", G1368 = "", I1368 = ""), "", IF(F1368 = "Vara", IFERROR(_xlfn.SINGLE(_xlfn.XLOOKUP(G1368, Vöruskrá!A:A, Vöruskrá!I:I, "")) * I1368 / 100, ""), IF(F1368 = "Réttur", IFERROR(_xlfn.SINGLE(_xlfn.XLOOKUP(G1368, Réttabanki!A:A, Réttabanki!AV:AV, "")) * I1368 / 100, ""), "")))</f>
        <v/>
      </c>
      <c r="P1368" s="26" t="str">
        <f>IF(OR(F1368 = "", G1368 = "", I1368 = ""), "", IF(F1368 = "Vara", IFERROR(_xlfn.SINGLE(_xlfn.XLOOKUP(G1368, Vöruskrá!A:A, Vöruskrá!J:J, "")) * I1368 / 100, ""), IF(F1368 = "Réttur", IFERROR(_xlfn.SINGLE(_xlfn.XLOOKUP(G1368, Réttabanki!A:A, Réttabanki!AW:AW, "")) * I1368 / 100, ""), "")))</f>
        <v/>
      </c>
      <c r="Q1368" s="26" t="str">
        <f>IF(OR(F1368 = "", G1368 = "", I1368 = ""), "", IF(F1368 = "Vara", IFERROR(_xlfn.SINGLE(_xlfn.XLOOKUP(G1368, Vöruskrá!A:A, Vöruskrá!N:N, "")) * I1368 / 100, ""), IF(F1368 = "Réttur", IFERROR(_xlfn.SINGLE(_xlfn.XLOOKUP(G1368, Réttabanki!A:A, Réttabanki!BB:BB, "")) * I1368 / 100, ""), "")))</f>
        <v/>
      </c>
    </row>
    <row r="1369" spans="2:17">
      <c r="B1369" s="33" t="str">
        <f>IF(A1369&lt;&gt;"",CHOOSE(WEEKDAY(A1369,2),"Mánudagur","Þriðjudagur","Miðvikudagur","Fimmtudagur","Föstudagur","Laugardagur","Sunnudagur"),IF(B1368&lt;&gt;"",B1368,""))</f>
        <v>Fimmtudagur</v>
      </c>
      <c r="C1369" s="33">
        <f>IF(A1369&lt;&gt;"",WEEKNUM(A1369,21),IF(C1368&lt;&gt;"",C1368,""))</f>
        <v>27</v>
      </c>
      <c r="D1369" s="34"/>
      <c r="E1369" s="34"/>
      <c r="F1369" s="34"/>
      <c r="G1369" s="34"/>
      <c r="H1369" s="34"/>
      <c r="I1369" s="35"/>
      <c r="J1369" s="35"/>
      <c r="K1369" s="36"/>
      <c r="L1369" s="26" t="str">
        <f>IF(OR(F1369 = "", G1369 = ""), "", IF(F1369 = "Vara", IFERROR(_xlfn.SINGLE(_xlfn.XLOOKUP(G1369, Vöruskrá!A:A, Vöruskrá!E:E, "")), ""), IF(F1369 = "Réttur", IFERROR(_xlfn.SINGLE(_xlfn.XLOOKUP(G1369, Réttabanki!A:A, Réttabanki!AS:AS, "")), ""), "")))</f>
        <v/>
      </c>
      <c r="M1369" s="26" t="str">
        <f>IF(OR(F1369 = "", G1369 = ""), "", IF(F1369 = "Vara", IFERROR(_xlfn.SINGLE(_xlfn.XLOOKUP(G1369, Vöruskrá!A:A, Vöruskrá!F:F, "")), ""), IF(F1369 = "Réttur", IFERROR(_xlfn.SINGLE(_xlfn.XLOOKUP(G1369, Réttabanki!A:A, Réttabanki!AT:AT, "")), ""), "")))</f>
        <v/>
      </c>
      <c r="N1369" s="26" t="str">
        <f>IF(OR(F1369 = "", G1369 = ""), "", IF(F1369 = "Vara", IFERROR(_xlfn.SINGLE(_xlfn.XLOOKUP(G1369, Vöruskrá!A:A, Vöruskrá!G:G, "")), ""), IF(F1369 = "Réttur", IFERROR(_xlfn.SINGLE(_xlfn.XLOOKUP(G1369, Réttabanki!A:A, Réttabanki!AU:AU, "")), ""), "")))</f>
        <v/>
      </c>
      <c r="O1369" s="26" t="str">
        <f>IF(OR(F1369 = "", G1369 = "", I1369 = ""), "", IF(F1369 = "Vara", IFERROR(_xlfn.SINGLE(_xlfn.XLOOKUP(G1369, Vöruskrá!A:A, Vöruskrá!I:I, "")) * I1369 / 100, ""), IF(F1369 = "Réttur", IFERROR(_xlfn.SINGLE(_xlfn.XLOOKUP(G1369, Réttabanki!A:A, Réttabanki!AV:AV, "")) * I1369 / 100, ""), "")))</f>
        <v/>
      </c>
      <c r="P1369" s="26" t="str">
        <f>IF(OR(F1369 = "", G1369 = "", I1369 = ""), "", IF(F1369 = "Vara", IFERROR(_xlfn.SINGLE(_xlfn.XLOOKUP(G1369, Vöruskrá!A:A, Vöruskrá!J:J, "")) * I1369 / 100, ""), IF(F1369 = "Réttur", IFERROR(_xlfn.SINGLE(_xlfn.XLOOKUP(G1369, Réttabanki!A:A, Réttabanki!AW:AW, "")) * I1369 / 100, ""), "")))</f>
        <v/>
      </c>
      <c r="Q1369" s="26" t="str">
        <f>IF(OR(F1369 = "", G1369 = "", I1369 = ""), "", IF(F1369 = "Vara", IFERROR(_xlfn.SINGLE(_xlfn.XLOOKUP(G1369, Vöruskrá!A:A, Vöruskrá!N:N, "")) * I1369 / 100, ""), IF(F1369 = "Réttur", IFERROR(_xlfn.SINGLE(_xlfn.XLOOKUP(G1369, Réttabanki!A:A, Réttabanki!BB:BB, "")) * I1369 / 100, ""), "")))</f>
        <v/>
      </c>
    </row>
    <row r="1370" spans="2:17">
      <c r="B1370" s="33" t="str">
        <f>IF(A1370&lt;&gt;"",CHOOSE(WEEKDAY(A1370,2),"Mánudagur","Þriðjudagur","Miðvikudagur","Fimmtudagur","Föstudagur","Laugardagur","Sunnudagur"),IF(B1369&lt;&gt;"",B1369,""))</f>
        <v>Fimmtudagur</v>
      </c>
      <c r="C1370" s="33">
        <f>IF(A1370&lt;&gt;"",WEEKNUM(A1370,21),IF(C1369&lt;&gt;"",C1369,""))</f>
        <v>27</v>
      </c>
      <c r="D1370" s="34"/>
      <c r="E1370" s="34"/>
      <c r="F1370" s="34"/>
      <c r="G1370" s="34"/>
      <c r="H1370" s="34"/>
      <c r="I1370" s="35"/>
      <c r="J1370" s="35"/>
      <c r="K1370" s="36"/>
      <c r="L1370" s="26" t="str">
        <f>IF(OR(F1370 = "", G1370 = ""), "", IF(F1370 = "Vara", IFERROR(_xlfn.SINGLE(_xlfn.XLOOKUP(G1370, Vöruskrá!A:A, Vöruskrá!E:E, "")), ""), IF(F1370 = "Réttur", IFERROR(_xlfn.SINGLE(_xlfn.XLOOKUP(G1370, Réttabanki!A:A, Réttabanki!AS:AS, "")), ""), "")))</f>
        <v/>
      </c>
      <c r="M1370" s="26" t="str">
        <f>IF(OR(F1370 = "", G1370 = ""), "", IF(F1370 = "Vara", IFERROR(_xlfn.SINGLE(_xlfn.XLOOKUP(G1370, Vöruskrá!A:A, Vöruskrá!F:F, "")), ""), IF(F1370 = "Réttur", IFERROR(_xlfn.SINGLE(_xlfn.XLOOKUP(G1370, Réttabanki!A:A, Réttabanki!AT:AT, "")), ""), "")))</f>
        <v/>
      </c>
      <c r="N1370" s="26" t="str">
        <f>IF(OR(F1370 = "", G1370 = ""), "", IF(F1370 = "Vara", IFERROR(_xlfn.SINGLE(_xlfn.XLOOKUP(G1370, Vöruskrá!A:A, Vöruskrá!G:G, "")), ""), IF(F1370 = "Réttur", IFERROR(_xlfn.SINGLE(_xlfn.XLOOKUP(G1370, Réttabanki!A:A, Réttabanki!AU:AU, "")), ""), "")))</f>
        <v/>
      </c>
      <c r="O1370" s="26" t="str">
        <f>IF(OR(F1370 = "", G1370 = "", I1370 = ""), "", IF(F1370 = "Vara", IFERROR(_xlfn.SINGLE(_xlfn.XLOOKUP(G1370, Vöruskrá!A:A, Vöruskrá!I:I, "")) * I1370 / 100, ""), IF(F1370 = "Réttur", IFERROR(_xlfn.SINGLE(_xlfn.XLOOKUP(G1370, Réttabanki!A:A, Réttabanki!AV:AV, "")) * I1370 / 100, ""), "")))</f>
        <v/>
      </c>
      <c r="P1370" s="26" t="str">
        <f>IF(OR(F1370 = "", G1370 = "", I1370 = ""), "", IF(F1370 = "Vara", IFERROR(_xlfn.SINGLE(_xlfn.XLOOKUP(G1370, Vöruskrá!A:A, Vöruskrá!J:J, "")) * I1370 / 100, ""), IF(F1370 = "Réttur", IFERROR(_xlfn.SINGLE(_xlfn.XLOOKUP(G1370, Réttabanki!A:A, Réttabanki!AW:AW, "")) * I1370 / 100, ""), "")))</f>
        <v/>
      </c>
      <c r="Q1370" s="26" t="str">
        <f>IF(OR(F1370 = "", G1370 = "", I1370 = ""), "", IF(F1370 = "Vara", IFERROR(_xlfn.SINGLE(_xlfn.XLOOKUP(G1370, Vöruskrá!A:A, Vöruskrá!N:N, "")) * I1370 / 100, ""), IF(F1370 = "Réttur", IFERROR(_xlfn.SINGLE(_xlfn.XLOOKUP(G1370, Réttabanki!A:A, Réttabanki!BB:BB, "")) * I1370 / 100, ""), "")))</f>
        <v/>
      </c>
    </row>
    <row r="1371" spans="2:17">
      <c r="B1371" s="33" t="str">
        <f>IF(A1371&lt;&gt;"",CHOOSE(WEEKDAY(A1371,2),"Mánudagur","Þriðjudagur","Miðvikudagur","Fimmtudagur","Föstudagur","Laugardagur","Sunnudagur"),IF(B1370&lt;&gt;"",B1370,""))</f>
        <v>Fimmtudagur</v>
      </c>
      <c r="C1371" s="33">
        <f>IF(A1371&lt;&gt;"",WEEKNUM(A1371,21),IF(C1370&lt;&gt;"",C1370,""))</f>
        <v>27</v>
      </c>
      <c r="D1371" s="34"/>
      <c r="E1371" s="34"/>
      <c r="F1371" s="34"/>
      <c r="G1371" s="34"/>
      <c r="H1371" s="34"/>
      <c r="I1371" s="35"/>
      <c r="J1371" s="35"/>
      <c r="K1371" s="36"/>
      <c r="L1371" s="26" t="str">
        <f>IF(OR(F1371 = "", G1371 = ""), "", IF(F1371 = "Vara", IFERROR(_xlfn.SINGLE(_xlfn.XLOOKUP(G1371, Vöruskrá!A:A, Vöruskrá!E:E, "")), ""), IF(F1371 = "Réttur", IFERROR(_xlfn.SINGLE(_xlfn.XLOOKUP(G1371, Réttabanki!A:A, Réttabanki!AS:AS, "")), ""), "")))</f>
        <v/>
      </c>
      <c r="M1371" s="26" t="str">
        <f>IF(OR(F1371 = "", G1371 = ""), "", IF(F1371 = "Vara", IFERROR(_xlfn.SINGLE(_xlfn.XLOOKUP(G1371, Vöruskrá!A:A, Vöruskrá!F:F, "")), ""), IF(F1371 = "Réttur", IFERROR(_xlfn.SINGLE(_xlfn.XLOOKUP(G1371, Réttabanki!A:A, Réttabanki!AT:AT, "")), ""), "")))</f>
        <v/>
      </c>
      <c r="N1371" s="26" t="str">
        <f>IF(OR(F1371 = "", G1371 = ""), "", IF(F1371 = "Vara", IFERROR(_xlfn.SINGLE(_xlfn.XLOOKUP(G1371, Vöruskrá!A:A, Vöruskrá!G:G, "")), ""), IF(F1371 = "Réttur", IFERROR(_xlfn.SINGLE(_xlfn.XLOOKUP(G1371, Réttabanki!A:A, Réttabanki!AU:AU, "")), ""), "")))</f>
        <v/>
      </c>
      <c r="O1371" s="26" t="str">
        <f>IF(OR(F1371 = "", G1371 = "", I1371 = ""), "", IF(F1371 = "Vara", IFERROR(_xlfn.SINGLE(_xlfn.XLOOKUP(G1371, Vöruskrá!A:A, Vöruskrá!I:I, "")) * I1371 / 100, ""), IF(F1371 = "Réttur", IFERROR(_xlfn.SINGLE(_xlfn.XLOOKUP(G1371, Réttabanki!A:A, Réttabanki!AV:AV, "")) * I1371 / 100, ""), "")))</f>
        <v/>
      </c>
      <c r="P1371" s="26" t="str">
        <f>IF(OR(F1371 = "", G1371 = "", I1371 = ""), "", IF(F1371 = "Vara", IFERROR(_xlfn.SINGLE(_xlfn.XLOOKUP(G1371, Vöruskrá!A:A, Vöruskrá!J:J, "")) * I1371 / 100, ""), IF(F1371 = "Réttur", IFERROR(_xlfn.SINGLE(_xlfn.XLOOKUP(G1371, Réttabanki!A:A, Réttabanki!AW:AW, "")) * I1371 / 100, ""), "")))</f>
        <v/>
      </c>
      <c r="Q1371" s="26" t="str">
        <f>IF(OR(F1371 = "", G1371 = "", I1371 = ""), "", IF(F1371 = "Vara", IFERROR(_xlfn.SINGLE(_xlfn.XLOOKUP(G1371, Vöruskrá!A:A, Vöruskrá!N:N, "")) * I1371 / 100, ""), IF(F1371 = "Réttur", IFERROR(_xlfn.SINGLE(_xlfn.XLOOKUP(G1371, Réttabanki!A:A, Réttabanki!BB:BB, "")) * I1371 / 100, ""), "")))</f>
        <v/>
      </c>
    </row>
    <row r="1372" spans="2:17">
      <c r="B1372" s="33" t="str">
        <f>IF(A1372&lt;&gt;"",CHOOSE(WEEKDAY(A1372,2),"Mánudagur","Þriðjudagur","Miðvikudagur","Fimmtudagur","Föstudagur","Laugardagur","Sunnudagur"),IF(B1371&lt;&gt;"",B1371,""))</f>
        <v>Fimmtudagur</v>
      </c>
      <c r="C1372" s="33">
        <f>IF(A1372&lt;&gt;"",WEEKNUM(A1372,21),IF(C1371&lt;&gt;"",C1371,""))</f>
        <v>27</v>
      </c>
      <c r="D1372" s="34"/>
      <c r="E1372" s="34"/>
      <c r="F1372" s="34"/>
      <c r="G1372" s="34"/>
      <c r="H1372" s="34"/>
      <c r="I1372" s="35"/>
      <c r="J1372" s="35"/>
      <c r="K1372" s="36"/>
      <c r="L1372" s="26" t="str">
        <f>IF(OR(F1372 = "", G1372 = ""), "", IF(F1372 = "Vara", IFERROR(_xlfn.SINGLE(_xlfn.XLOOKUP(G1372, Vöruskrá!A:A, Vöruskrá!E:E, "")), ""), IF(F1372 = "Réttur", IFERROR(_xlfn.SINGLE(_xlfn.XLOOKUP(G1372, Réttabanki!A:A, Réttabanki!AS:AS, "")), ""), "")))</f>
        <v/>
      </c>
      <c r="M1372" s="26" t="str">
        <f>IF(OR(F1372 = "", G1372 = ""), "", IF(F1372 = "Vara", IFERROR(_xlfn.SINGLE(_xlfn.XLOOKUP(G1372, Vöruskrá!A:A, Vöruskrá!F:F, "")), ""), IF(F1372 = "Réttur", IFERROR(_xlfn.SINGLE(_xlfn.XLOOKUP(G1372, Réttabanki!A:A, Réttabanki!AT:AT, "")), ""), "")))</f>
        <v/>
      </c>
      <c r="N1372" s="26" t="str">
        <f>IF(OR(F1372 = "", G1372 = ""), "", IF(F1372 = "Vara", IFERROR(_xlfn.SINGLE(_xlfn.XLOOKUP(G1372, Vöruskrá!A:A, Vöruskrá!G:G, "")), ""), IF(F1372 = "Réttur", IFERROR(_xlfn.SINGLE(_xlfn.XLOOKUP(G1372, Réttabanki!A:A, Réttabanki!AU:AU, "")), ""), "")))</f>
        <v/>
      </c>
      <c r="O1372" s="26" t="str">
        <f>IF(OR(F1372 = "", G1372 = "", I1372 = ""), "", IF(F1372 = "Vara", IFERROR(_xlfn.SINGLE(_xlfn.XLOOKUP(G1372, Vöruskrá!A:A, Vöruskrá!I:I, "")) * I1372 / 100, ""), IF(F1372 = "Réttur", IFERROR(_xlfn.SINGLE(_xlfn.XLOOKUP(G1372, Réttabanki!A:A, Réttabanki!AV:AV, "")) * I1372 / 100, ""), "")))</f>
        <v/>
      </c>
      <c r="P1372" s="26" t="str">
        <f>IF(OR(F1372 = "", G1372 = "", I1372 = ""), "", IF(F1372 = "Vara", IFERROR(_xlfn.SINGLE(_xlfn.XLOOKUP(G1372, Vöruskrá!A:A, Vöruskrá!J:J, "")) * I1372 / 100, ""), IF(F1372 = "Réttur", IFERROR(_xlfn.SINGLE(_xlfn.XLOOKUP(G1372, Réttabanki!A:A, Réttabanki!AW:AW, "")) * I1372 / 100, ""), "")))</f>
        <v/>
      </c>
      <c r="Q1372" s="26" t="str">
        <f>IF(OR(F1372 = "", G1372 = "", I1372 = ""), "", IF(F1372 = "Vara", IFERROR(_xlfn.SINGLE(_xlfn.XLOOKUP(G1372, Vöruskrá!A:A, Vöruskrá!N:N, "")) * I1372 / 100, ""), IF(F1372 = "Réttur", IFERROR(_xlfn.SINGLE(_xlfn.XLOOKUP(G1372, Réttabanki!A:A, Réttabanki!BB:BB, "")) * I1372 / 100, ""), "")))</f>
        <v/>
      </c>
    </row>
    <row r="1373" spans="2:17">
      <c r="B1373" s="33" t="str">
        <f>IF(A1373&lt;&gt;"",CHOOSE(WEEKDAY(A1373,2),"Mánudagur","Þriðjudagur","Miðvikudagur","Fimmtudagur","Föstudagur","Laugardagur","Sunnudagur"),IF(B1372&lt;&gt;"",B1372,""))</f>
        <v>Fimmtudagur</v>
      </c>
      <c r="C1373" s="33">
        <f>IF(A1373&lt;&gt;"",WEEKNUM(A1373,21),IF(C1372&lt;&gt;"",C1372,""))</f>
        <v>27</v>
      </c>
      <c r="D1373" s="34"/>
      <c r="E1373" s="34"/>
      <c r="F1373" s="34"/>
      <c r="G1373" s="34"/>
      <c r="H1373" s="34"/>
      <c r="I1373" s="35"/>
      <c r="J1373" s="35"/>
      <c r="K1373" s="36"/>
      <c r="L1373" s="26" t="str">
        <f>IF(OR(F1373 = "", G1373 = ""), "", IF(F1373 = "Vara", IFERROR(_xlfn.SINGLE(_xlfn.XLOOKUP(G1373, Vöruskrá!A:A, Vöruskrá!E:E, "")), ""), IF(F1373 = "Réttur", IFERROR(_xlfn.SINGLE(_xlfn.XLOOKUP(G1373, Réttabanki!A:A, Réttabanki!AS:AS, "")), ""), "")))</f>
        <v/>
      </c>
      <c r="M1373" s="26" t="str">
        <f>IF(OR(F1373 = "", G1373 = ""), "", IF(F1373 = "Vara", IFERROR(_xlfn.SINGLE(_xlfn.XLOOKUP(G1373, Vöruskrá!A:A, Vöruskrá!F:F, "")), ""), IF(F1373 = "Réttur", IFERROR(_xlfn.SINGLE(_xlfn.XLOOKUP(G1373, Réttabanki!A:A, Réttabanki!AT:AT, "")), ""), "")))</f>
        <v/>
      </c>
      <c r="N1373" s="26" t="str">
        <f>IF(OR(F1373 = "", G1373 = ""), "", IF(F1373 = "Vara", IFERROR(_xlfn.SINGLE(_xlfn.XLOOKUP(G1373, Vöruskrá!A:A, Vöruskrá!G:G, "")), ""), IF(F1373 = "Réttur", IFERROR(_xlfn.SINGLE(_xlfn.XLOOKUP(G1373, Réttabanki!A:A, Réttabanki!AU:AU, "")), ""), "")))</f>
        <v/>
      </c>
      <c r="O1373" s="26" t="str">
        <f>IF(OR(F1373 = "", G1373 = "", I1373 = ""), "", IF(F1373 = "Vara", IFERROR(_xlfn.SINGLE(_xlfn.XLOOKUP(G1373, Vöruskrá!A:A, Vöruskrá!I:I, "")) * I1373 / 100, ""), IF(F1373 = "Réttur", IFERROR(_xlfn.SINGLE(_xlfn.XLOOKUP(G1373, Réttabanki!A:A, Réttabanki!AV:AV, "")) * I1373 / 100, ""), "")))</f>
        <v/>
      </c>
      <c r="P1373" s="26" t="str">
        <f>IF(OR(F1373 = "", G1373 = "", I1373 = ""), "", IF(F1373 = "Vara", IFERROR(_xlfn.SINGLE(_xlfn.XLOOKUP(G1373, Vöruskrá!A:A, Vöruskrá!J:J, "")) * I1373 / 100, ""), IF(F1373 = "Réttur", IFERROR(_xlfn.SINGLE(_xlfn.XLOOKUP(G1373, Réttabanki!A:A, Réttabanki!AW:AW, "")) * I1373 / 100, ""), "")))</f>
        <v/>
      </c>
      <c r="Q1373" s="26" t="str">
        <f>IF(OR(F1373 = "", G1373 = "", I1373 = ""), "", IF(F1373 = "Vara", IFERROR(_xlfn.SINGLE(_xlfn.XLOOKUP(G1373, Vöruskrá!A:A, Vöruskrá!N:N, "")) * I1373 / 100, ""), IF(F1373 = "Réttur", IFERROR(_xlfn.SINGLE(_xlfn.XLOOKUP(G1373, Réttabanki!A:A, Réttabanki!BB:BB, "")) * I1373 / 100, ""), "")))</f>
        <v/>
      </c>
    </row>
    <row r="1374" spans="2:17">
      <c r="B1374" s="33" t="str">
        <f>IF(A1374&lt;&gt;"",CHOOSE(WEEKDAY(A1374,2),"Mánudagur","Þriðjudagur","Miðvikudagur","Fimmtudagur","Föstudagur","Laugardagur","Sunnudagur"),IF(B1373&lt;&gt;"",B1373,""))</f>
        <v>Fimmtudagur</v>
      </c>
      <c r="C1374" s="33">
        <f>IF(A1374&lt;&gt;"",WEEKNUM(A1374,21),IF(C1373&lt;&gt;"",C1373,""))</f>
        <v>27</v>
      </c>
      <c r="D1374" s="34"/>
      <c r="E1374" s="34"/>
      <c r="F1374" s="34"/>
      <c r="G1374" s="34"/>
      <c r="H1374" s="34"/>
      <c r="I1374" s="35"/>
      <c r="J1374" s="35"/>
      <c r="K1374" s="36"/>
      <c r="L1374" s="26" t="str">
        <f>IF(OR(F1374 = "", G1374 = ""), "", IF(F1374 = "Vara", IFERROR(_xlfn.SINGLE(_xlfn.XLOOKUP(G1374, Vöruskrá!A:A, Vöruskrá!E:E, "")), ""), IF(F1374 = "Réttur", IFERROR(_xlfn.SINGLE(_xlfn.XLOOKUP(G1374, Réttabanki!A:A, Réttabanki!AS:AS, "")), ""), "")))</f>
        <v/>
      </c>
      <c r="M1374" s="26" t="str">
        <f>IF(OR(F1374 = "", G1374 = ""), "", IF(F1374 = "Vara", IFERROR(_xlfn.SINGLE(_xlfn.XLOOKUP(G1374, Vöruskrá!A:A, Vöruskrá!F:F, "")), ""), IF(F1374 = "Réttur", IFERROR(_xlfn.SINGLE(_xlfn.XLOOKUP(G1374, Réttabanki!A:A, Réttabanki!AT:AT, "")), ""), "")))</f>
        <v/>
      </c>
      <c r="N1374" s="26" t="str">
        <f>IF(OR(F1374 = "", G1374 = ""), "", IF(F1374 = "Vara", IFERROR(_xlfn.SINGLE(_xlfn.XLOOKUP(G1374, Vöruskrá!A:A, Vöruskrá!G:G, "")), ""), IF(F1374 = "Réttur", IFERROR(_xlfn.SINGLE(_xlfn.XLOOKUP(G1374, Réttabanki!A:A, Réttabanki!AU:AU, "")), ""), "")))</f>
        <v/>
      </c>
      <c r="O1374" s="26" t="str">
        <f>IF(OR(F1374 = "", G1374 = "", I1374 = ""), "", IF(F1374 = "Vara", IFERROR(_xlfn.SINGLE(_xlfn.XLOOKUP(G1374, Vöruskrá!A:A, Vöruskrá!I:I, "")) * I1374 / 100, ""), IF(F1374 = "Réttur", IFERROR(_xlfn.SINGLE(_xlfn.XLOOKUP(G1374, Réttabanki!A:A, Réttabanki!AV:AV, "")) * I1374 / 100, ""), "")))</f>
        <v/>
      </c>
      <c r="P1374" s="26" t="str">
        <f>IF(OR(F1374 = "", G1374 = "", I1374 = ""), "", IF(F1374 = "Vara", IFERROR(_xlfn.SINGLE(_xlfn.XLOOKUP(G1374, Vöruskrá!A:A, Vöruskrá!J:J, "")) * I1374 / 100, ""), IF(F1374 = "Réttur", IFERROR(_xlfn.SINGLE(_xlfn.XLOOKUP(G1374, Réttabanki!A:A, Réttabanki!AW:AW, "")) * I1374 / 100, ""), "")))</f>
        <v/>
      </c>
      <c r="Q1374" s="26" t="str">
        <f>IF(OR(F1374 = "", G1374 = "", I1374 = ""), "", IF(F1374 = "Vara", IFERROR(_xlfn.SINGLE(_xlfn.XLOOKUP(G1374, Vöruskrá!A:A, Vöruskrá!N:N, "")) * I1374 / 100, ""), IF(F1374 = "Réttur", IFERROR(_xlfn.SINGLE(_xlfn.XLOOKUP(G1374, Réttabanki!A:A, Réttabanki!BB:BB, "")) * I1374 / 100, ""), "")))</f>
        <v/>
      </c>
    </row>
    <row r="1375" spans="2:17">
      <c r="B1375" s="33" t="str">
        <f>IF(A1375&lt;&gt;"",CHOOSE(WEEKDAY(A1375,2),"Mánudagur","Þriðjudagur","Miðvikudagur","Fimmtudagur","Föstudagur","Laugardagur","Sunnudagur"),IF(B1374&lt;&gt;"",B1374,""))</f>
        <v>Fimmtudagur</v>
      </c>
      <c r="C1375" s="33">
        <f>IF(A1375&lt;&gt;"",WEEKNUM(A1375,21),IF(C1374&lt;&gt;"",C1374,""))</f>
        <v>27</v>
      </c>
      <c r="D1375" s="34"/>
      <c r="E1375" s="34"/>
      <c r="F1375" s="34"/>
      <c r="G1375" s="34"/>
      <c r="H1375" s="34"/>
      <c r="I1375" s="35"/>
      <c r="J1375" s="35"/>
      <c r="K1375" s="36"/>
      <c r="L1375" s="26" t="str">
        <f>IF(OR(F1375 = "", G1375 = ""), "", IF(F1375 = "Vara", IFERROR(_xlfn.SINGLE(_xlfn.XLOOKUP(G1375, Vöruskrá!A:A, Vöruskrá!E:E, "")), ""), IF(F1375 = "Réttur", IFERROR(_xlfn.SINGLE(_xlfn.XLOOKUP(G1375, Réttabanki!A:A, Réttabanki!AS:AS, "")), ""), "")))</f>
        <v/>
      </c>
      <c r="M1375" s="26" t="str">
        <f>IF(OR(F1375 = "", G1375 = ""), "", IF(F1375 = "Vara", IFERROR(_xlfn.SINGLE(_xlfn.XLOOKUP(G1375, Vöruskrá!A:A, Vöruskrá!F:F, "")), ""), IF(F1375 = "Réttur", IFERROR(_xlfn.SINGLE(_xlfn.XLOOKUP(G1375, Réttabanki!A:A, Réttabanki!AT:AT, "")), ""), "")))</f>
        <v/>
      </c>
      <c r="N1375" s="26" t="str">
        <f>IF(OR(F1375 = "", G1375 = ""), "", IF(F1375 = "Vara", IFERROR(_xlfn.SINGLE(_xlfn.XLOOKUP(G1375, Vöruskrá!A:A, Vöruskrá!G:G, "")), ""), IF(F1375 = "Réttur", IFERROR(_xlfn.SINGLE(_xlfn.XLOOKUP(G1375, Réttabanki!A:A, Réttabanki!AU:AU, "")), ""), "")))</f>
        <v/>
      </c>
      <c r="O1375" s="26" t="str">
        <f>IF(OR(F1375 = "", G1375 = "", I1375 = ""), "", IF(F1375 = "Vara", IFERROR(_xlfn.SINGLE(_xlfn.XLOOKUP(G1375, Vöruskrá!A:A, Vöruskrá!I:I, "")) * I1375 / 100, ""), IF(F1375 = "Réttur", IFERROR(_xlfn.SINGLE(_xlfn.XLOOKUP(G1375, Réttabanki!A:A, Réttabanki!AV:AV, "")) * I1375 / 100, ""), "")))</f>
        <v/>
      </c>
      <c r="P1375" s="26" t="str">
        <f>IF(OR(F1375 = "", G1375 = "", I1375 = ""), "", IF(F1375 = "Vara", IFERROR(_xlfn.SINGLE(_xlfn.XLOOKUP(G1375, Vöruskrá!A:A, Vöruskrá!J:J, "")) * I1375 / 100, ""), IF(F1375 = "Réttur", IFERROR(_xlfn.SINGLE(_xlfn.XLOOKUP(G1375, Réttabanki!A:A, Réttabanki!AW:AW, "")) * I1375 / 100, ""), "")))</f>
        <v/>
      </c>
      <c r="Q1375" s="26" t="str">
        <f>IF(OR(F1375 = "", G1375 = "", I1375 = ""), "", IF(F1375 = "Vara", IFERROR(_xlfn.SINGLE(_xlfn.XLOOKUP(G1375, Vöruskrá!A:A, Vöruskrá!N:N, "")) * I1375 / 100, ""), IF(F1375 = "Réttur", IFERROR(_xlfn.SINGLE(_xlfn.XLOOKUP(G1375, Réttabanki!A:A, Réttabanki!BB:BB, "")) * I1375 / 100, ""), "")))</f>
        <v/>
      </c>
    </row>
    <row r="1376" spans="2:17">
      <c r="B1376" s="33" t="str">
        <f>IF(A1376&lt;&gt;"",CHOOSE(WEEKDAY(A1376,2),"Mánudagur","Þriðjudagur","Miðvikudagur","Fimmtudagur","Föstudagur","Laugardagur","Sunnudagur"),IF(B1375&lt;&gt;"",B1375,""))</f>
        <v>Fimmtudagur</v>
      </c>
      <c r="C1376" s="33">
        <f>IF(A1376&lt;&gt;"",WEEKNUM(A1376,21),IF(C1375&lt;&gt;"",C1375,""))</f>
        <v>27</v>
      </c>
      <c r="D1376" s="34"/>
      <c r="E1376" s="34"/>
      <c r="F1376" s="34"/>
      <c r="G1376" s="34"/>
      <c r="H1376" s="34"/>
      <c r="I1376" s="35"/>
      <c r="J1376" s="35"/>
      <c r="K1376" s="36"/>
      <c r="L1376" s="26" t="str">
        <f>IF(OR(F1376 = "", G1376 = ""), "", IF(F1376 = "Vara", IFERROR(_xlfn.SINGLE(_xlfn.XLOOKUP(G1376, Vöruskrá!A:A, Vöruskrá!E:E, "")), ""), IF(F1376 = "Réttur", IFERROR(_xlfn.SINGLE(_xlfn.XLOOKUP(G1376, Réttabanki!A:A, Réttabanki!AS:AS, "")), ""), "")))</f>
        <v/>
      </c>
      <c r="M1376" s="26" t="str">
        <f>IF(OR(F1376 = "", G1376 = ""), "", IF(F1376 = "Vara", IFERROR(_xlfn.SINGLE(_xlfn.XLOOKUP(G1376, Vöruskrá!A:A, Vöruskrá!F:F, "")), ""), IF(F1376 = "Réttur", IFERROR(_xlfn.SINGLE(_xlfn.XLOOKUP(G1376, Réttabanki!A:A, Réttabanki!AT:AT, "")), ""), "")))</f>
        <v/>
      </c>
      <c r="N1376" s="26" t="str">
        <f>IF(OR(F1376 = "", G1376 = ""), "", IF(F1376 = "Vara", IFERROR(_xlfn.SINGLE(_xlfn.XLOOKUP(G1376, Vöruskrá!A:A, Vöruskrá!G:G, "")), ""), IF(F1376 = "Réttur", IFERROR(_xlfn.SINGLE(_xlfn.XLOOKUP(G1376, Réttabanki!A:A, Réttabanki!AU:AU, "")), ""), "")))</f>
        <v/>
      </c>
      <c r="O1376" s="26" t="str">
        <f>IF(OR(F1376 = "", G1376 = "", I1376 = ""), "", IF(F1376 = "Vara", IFERROR(_xlfn.SINGLE(_xlfn.XLOOKUP(G1376, Vöruskrá!A:A, Vöruskrá!I:I, "")) * I1376 / 100, ""), IF(F1376 = "Réttur", IFERROR(_xlfn.SINGLE(_xlfn.XLOOKUP(G1376, Réttabanki!A:A, Réttabanki!AV:AV, "")) * I1376 / 100, ""), "")))</f>
        <v/>
      </c>
      <c r="P1376" s="26" t="str">
        <f>IF(OR(F1376 = "", G1376 = "", I1376 = ""), "", IF(F1376 = "Vara", IFERROR(_xlfn.SINGLE(_xlfn.XLOOKUP(G1376, Vöruskrá!A:A, Vöruskrá!J:J, "")) * I1376 / 100, ""), IF(F1376 = "Réttur", IFERROR(_xlfn.SINGLE(_xlfn.XLOOKUP(G1376, Réttabanki!A:A, Réttabanki!AW:AW, "")) * I1376 / 100, ""), "")))</f>
        <v/>
      </c>
      <c r="Q1376" s="26" t="str">
        <f>IF(OR(F1376 = "", G1376 = "", I1376 = ""), "", IF(F1376 = "Vara", IFERROR(_xlfn.SINGLE(_xlfn.XLOOKUP(G1376, Vöruskrá!A:A, Vöruskrá!N:N, "")) * I1376 / 100, ""), IF(F1376 = "Réttur", IFERROR(_xlfn.SINGLE(_xlfn.XLOOKUP(G1376, Réttabanki!A:A, Réttabanki!BB:BB, "")) * I1376 / 100, ""), "")))</f>
        <v/>
      </c>
    </row>
    <row r="1377" spans="2:17">
      <c r="B1377" s="33" t="str">
        <f>IF(A1377&lt;&gt;"",CHOOSE(WEEKDAY(A1377,2),"Mánudagur","Þriðjudagur","Miðvikudagur","Fimmtudagur","Föstudagur","Laugardagur","Sunnudagur"),IF(B1376&lt;&gt;"",B1376,""))</f>
        <v>Fimmtudagur</v>
      </c>
      <c r="C1377" s="33">
        <f>IF(A1377&lt;&gt;"",WEEKNUM(A1377,21),IF(C1376&lt;&gt;"",C1376,""))</f>
        <v>27</v>
      </c>
      <c r="D1377" s="34"/>
      <c r="E1377" s="34"/>
      <c r="F1377" s="34"/>
      <c r="G1377" s="34"/>
      <c r="H1377" s="34"/>
      <c r="I1377" s="35"/>
      <c r="J1377" s="35"/>
      <c r="K1377" s="36"/>
      <c r="L1377" s="26" t="str">
        <f>IF(OR(F1377 = "", G1377 = ""), "", IF(F1377 = "Vara", IFERROR(_xlfn.SINGLE(_xlfn.XLOOKUP(G1377, Vöruskrá!A:A, Vöruskrá!E:E, "")), ""), IF(F1377 = "Réttur", IFERROR(_xlfn.SINGLE(_xlfn.XLOOKUP(G1377, Réttabanki!A:A, Réttabanki!AS:AS, "")), ""), "")))</f>
        <v/>
      </c>
      <c r="M1377" s="26" t="str">
        <f>IF(OR(F1377 = "", G1377 = ""), "", IF(F1377 = "Vara", IFERROR(_xlfn.SINGLE(_xlfn.XLOOKUP(G1377, Vöruskrá!A:A, Vöruskrá!F:F, "")), ""), IF(F1377 = "Réttur", IFERROR(_xlfn.SINGLE(_xlfn.XLOOKUP(G1377, Réttabanki!A:A, Réttabanki!AT:AT, "")), ""), "")))</f>
        <v/>
      </c>
      <c r="N1377" s="26" t="str">
        <f>IF(OR(F1377 = "", G1377 = ""), "", IF(F1377 = "Vara", IFERROR(_xlfn.SINGLE(_xlfn.XLOOKUP(G1377, Vöruskrá!A:A, Vöruskrá!G:G, "")), ""), IF(F1377 = "Réttur", IFERROR(_xlfn.SINGLE(_xlfn.XLOOKUP(G1377, Réttabanki!A:A, Réttabanki!AU:AU, "")), ""), "")))</f>
        <v/>
      </c>
      <c r="O1377" s="26" t="str">
        <f>IF(OR(F1377 = "", G1377 = "", I1377 = ""), "", IF(F1377 = "Vara", IFERROR(_xlfn.SINGLE(_xlfn.XLOOKUP(G1377, Vöruskrá!A:A, Vöruskrá!I:I, "")) * I1377 / 100, ""), IF(F1377 = "Réttur", IFERROR(_xlfn.SINGLE(_xlfn.XLOOKUP(G1377, Réttabanki!A:A, Réttabanki!AV:AV, "")) * I1377 / 100, ""), "")))</f>
        <v/>
      </c>
      <c r="P1377" s="26" t="str">
        <f>IF(OR(F1377 = "", G1377 = "", I1377 = ""), "", IF(F1377 = "Vara", IFERROR(_xlfn.SINGLE(_xlfn.XLOOKUP(G1377, Vöruskrá!A:A, Vöruskrá!J:J, "")) * I1377 / 100, ""), IF(F1377 = "Réttur", IFERROR(_xlfn.SINGLE(_xlfn.XLOOKUP(G1377, Réttabanki!A:A, Réttabanki!AW:AW, "")) * I1377 / 100, ""), "")))</f>
        <v/>
      </c>
      <c r="Q1377" s="26" t="str">
        <f>IF(OR(F1377 = "", G1377 = "", I1377 = ""), "", IF(F1377 = "Vara", IFERROR(_xlfn.SINGLE(_xlfn.XLOOKUP(G1377, Vöruskrá!A:A, Vöruskrá!N:N, "")) * I1377 / 100, ""), IF(F1377 = "Réttur", IFERROR(_xlfn.SINGLE(_xlfn.XLOOKUP(G1377, Réttabanki!A:A, Réttabanki!BB:BB, "")) * I1377 / 100, ""), "")))</f>
        <v/>
      </c>
    </row>
    <row r="1378" spans="2:17">
      <c r="B1378" s="33" t="str">
        <f>IF(A1378&lt;&gt;"",CHOOSE(WEEKDAY(A1378,2),"Mánudagur","Þriðjudagur","Miðvikudagur","Fimmtudagur","Föstudagur","Laugardagur","Sunnudagur"),IF(B1377&lt;&gt;"",B1377,""))</f>
        <v>Fimmtudagur</v>
      </c>
      <c r="C1378" s="33">
        <f>IF(A1378&lt;&gt;"",WEEKNUM(A1378,21),IF(C1377&lt;&gt;"",C1377,""))</f>
        <v>27</v>
      </c>
      <c r="D1378" s="34"/>
      <c r="E1378" s="34"/>
      <c r="F1378" s="34"/>
      <c r="G1378" s="34"/>
      <c r="H1378" s="34"/>
      <c r="I1378" s="35"/>
      <c r="J1378" s="35"/>
      <c r="K1378" s="36"/>
      <c r="L1378" s="26" t="str">
        <f>IF(OR(F1378 = "", G1378 = ""), "", IF(F1378 = "Vara", IFERROR(_xlfn.SINGLE(_xlfn.XLOOKUP(G1378, Vöruskrá!A:A, Vöruskrá!E:E, "")), ""), IF(F1378 = "Réttur", IFERROR(_xlfn.SINGLE(_xlfn.XLOOKUP(G1378, Réttabanki!A:A, Réttabanki!AS:AS, "")), ""), "")))</f>
        <v/>
      </c>
      <c r="M1378" s="26" t="str">
        <f>IF(OR(F1378 = "", G1378 = ""), "", IF(F1378 = "Vara", IFERROR(_xlfn.SINGLE(_xlfn.XLOOKUP(G1378, Vöruskrá!A:A, Vöruskrá!F:F, "")), ""), IF(F1378 = "Réttur", IFERROR(_xlfn.SINGLE(_xlfn.XLOOKUP(G1378, Réttabanki!A:A, Réttabanki!AT:AT, "")), ""), "")))</f>
        <v/>
      </c>
      <c r="N1378" s="26" t="str">
        <f>IF(OR(F1378 = "", G1378 = ""), "", IF(F1378 = "Vara", IFERROR(_xlfn.SINGLE(_xlfn.XLOOKUP(G1378, Vöruskrá!A:A, Vöruskrá!G:G, "")), ""), IF(F1378 = "Réttur", IFERROR(_xlfn.SINGLE(_xlfn.XLOOKUP(G1378, Réttabanki!A:A, Réttabanki!AU:AU, "")), ""), "")))</f>
        <v/>
      </c>
      <c r="O1378" s="26" t="str">
        <f>IF(OR(F1378 = "", G1378 = "", I1378 = ""), "", IF(F1378 = "Vara", IFERROR(_xlfn.SINGLE(_xlfn.XLOOKUP(G1378, Vöruskrá!A:A, Vöruskrá!I:I, "")) * I1378 / 100, ""), IF(F1378 = "Réttur", IFERROR(_xlfn.SINGLE(_xlfn.XLOOKUP(G1378, Réttabanki!A:A, Réttabanki!AV:AV, "")) * I1378 / 100, ""), "")))</f>
        <v/>
      </c>
      <c r="P1378" s="26" t="str">
        <f>IF(OR(F1378 = "", G1378 = "", I1378 = ""), "", IF(F1378 = "Vara", IFERROR(_xlfn.SINGLE(_xlfn.XLOOKUP(G1378, Vöruskrá!A:A, Vöruskrá!J:J, "")) * I1378 / 100, ""), IF(F1378 = "Réttur", IFERROR(_xlfn.SINGLE(_xlfn.XLOOKUP(G1378, Réttabanki!A:A, Réttabanki!AW:AW, "")) * I1378 / 100, ""), "")))</f>
        <v/>
      </c>
      <c r="Q1378" s="26" t="str">
        <f>IF(OR(F1378 = "", G1378 = "", I1378 = ""), "", IF(F1378 = "Vara", IFERROR(_xlfn.SINGLE(_xlfn.XLOOKUP(G1378, Vöruskrá!A:A, Vöruskrá!N:N, "")) * I1378 / 100, ""), IF(F1378 = "Réttur", IFERROR(_xlfn.SINGLE(_xlfn.XLOOKUP(G1378, Réttabanki!A:A, Réttabanki!BB:BB, "")) * I1378 / 100, ""), "")))</f>
        <v/>
      </c>
    </row>
    <row r="1379" spans="2:17">
      <c r="B1379" s="33" t="str">
        <f>IF(A1379&lt;&gt;"",CHOOSE(WEEKDAY(A1379,2),"Mánudagur","Þriðjudagur","Miðvikudagur","Fimmtudagur","Föstudagur","Laugardagur","Sunnudagur"),IF(B1378&lt;&gt;"",B1378,""))</f>
        <v>Fimmtudagur</v>
      </c>
      <c r="C1379" s="33">
        <f>IF(A1379&lt;&gt;"",WEEKNUM(A1379,21),IF(C1378&lt;&gt;"",C1378,""))</f>
        <v>27</v>
      </c>
      <c r="D1379" s="34"/>
      <c r="E1379" s="34"/>
      <c r="F1379" s="34"/>
      <c r="G1379" s="34"/>
      <c r="H1379" s="34"/>
      <c r="I1379" s="35"/>
      <c r="J1379" s="35"/>
      <c r="K1379" s="36"/>
      <c r="L1379" s="26" t="str">
        <f>IF(OR(F1379 = "", G1379 = ""), "", IF(F1379 = "Vara", IFERROR(_xlfn.SINGLE(_xlfn.XLOOKUP(G1379, Vöruskrá!A:A, Vöruskrá!E:E, "")), ""), IF(F1379 = "Réttur", IFERROR(_xlfn.SINGLE(_xlfn.XLOOKUP(G1379, Réttabanki!A:A, Réttabanki!AS:AS, "")), ""), "")))</f>
        <v/>
      </c>
      <c r="M1379" s="26" t="str">
        <f>IF(OR(F1379 = "", G1379 = ""), "", IF(F1379 = "Vara", IFERROR(_xlfn.SINGLE(_xlfn.XLOOKUP(G1379, Vöruskrá!A:A, Vöruskrá!F:F, "")), ""), IF(F1379 = "Réttur", IFERROR(_xlfn.SINGLE(_xlfn.XLOOKUP(G1379, Réttabanki!A:A, Réttabanki!AT:AT, "")), ""), "")))</f>
        <v/>
      </c>
      <c r="N1379" s="26" t="str">
        <f>IF(OR(F1379 = "", G1379 = ""), "", IF(F1379 = "Vara", IFERROR(_xlfn.SINGLE(_xlfn.XLOOKUP(G1379, Vöruskrá!A:A, Vöruskrá!G:G, "")), ""), IF(F1379 = "Réttur", IFERROR(_xlfn.SINGLE(_xlfn.XLOOKUP(G1379, Réttabanki!A:A, Réttabanki!AU:AU, "")), ""), "")))</f>
        <v/>
      </c>
      <c r="O1379" s="26" t="str">
        <f>IF(OR(F1379 = "", G1379 = "", I1379 = ""), "", IF(F1379 = "Vara", IFERROR(_xlfn.SINGLE(_xlfn.XLOOKUP(G1379, Vöruskrá!A:A, Vöruskrá!I:I, "")) * I1379 / 100, ""), IF(F1379 = "Réttur", IFERROR(_xlfn.SINGLE(_xlfn.XLOOKUP(G1379, Réttabanki!A:A, Réttabanki!AV:AV, "")) * I1379 / 100, ""), "")))</f>
        <v/>
      </c>
      <c r="P1379" s="26" t="str">
        <f>IF(OR(F1379 = "", G1379 = "", I1379 = ""), "", IF(F1379 = "Vara", IFERROR(_xlfn.SINGLE(_xlfn.XLOOKUP(G1379, Vöruskrá!A:A, Vöruskrá!J:J, "")) * I1379 / 100, ""), IF(F1379 = "Réttur", IFERROR(_xlfn.SINGLE(_xlfn.XLOOKUP(G1379, Réttabanki!A:A, Réttabanki!AW:AW, "")) * I1379 / 100, ""), "")))</f>
        <v/>
      </c>
      <c r="Q1379" s="26" t="str">
        <f>IF(OR(F1379 = "", G1379 = "", I1379 = ""), "", IF(F1379 = "Vara", IFERROR(_xlfn.SINGLE(_xlfn.XLOOKUP(G1379, Vöruskrá!A:A, Vöruskrá!N:N, "")) * I1379 / 100, ""), IF(F1379 = "Réttur", IFERROR(_xlfn.SINGLE(_xlfn.XLOOKUP(G1379, Réttabanki!A:A, Réttabanki!BB:BB, "")) * I1379 / 100, ""), "")))</f>
        <v/>
      </c>
    </row>
    <row r="1380" spans="2:17">
      <c r="B1380" s="33" t="str">
        <f>IF(A1380&lt;&gt;"",CHOOSE(WEEKDAY(A1380,2),"Mánudagur","Þriðjudagur","Miðvikudagur","Fimmtudagur","Föstudagur","Laugardagur","Sunnudagur"),IF(B1379&lt;&gt;"",B1379,""))</f>
        <v>Fimmtudagur</v>
      </c>
      <c r="C1380" s="33">
        <f>IF(A1380&lt;&gt;"",WEEKNUM(A1380,21),IF(C1379&lt;&gt;"",C1379,""))</f>
        <v>27</v>
      </c>
      <c r="D1380" s="34"/>
      <c r="E1380" s="34"/>
      <c r="F1380" s="34"/>
      <c r="G1380" s="34"/>
      <c r="H1380" s="34"/>
      <c r="I1380" s="35"/>
      <c r="J1380" s="35"/>
      <c r="K1380" s="36"/>
      <c r="L1380" s="26" t="str">
        <f>IF(OR(F1380 = "", G1380 = ""), "", IF(F1380 = "Vara", IFERROR(_xlfn.SINGLE(_xlfn.XLOOKUP(G1380, Vöruskrá!A:A, Vöruskrá!E:E, "")), ""), IF(F1380 = "Réttur", IFERROR(_xlfn.SINGLE(_xlfn.XLOOKUP(G1380, Réttabanki!A:A, Réttabanki!AS:AS, "")), ""), "")))</f>
        <v/>
      </c>
      <c r="M1380" s="26" t="str">
        <f>IF(OR(F1380 = "", G1380 = ""), "", IF(F1380 = "Vara", IFERROR(_xlfn.SINGLE(_xlfn.XLOOKUP(G1380, Vöruskrá!A:A, Vöruskrá!F:F, "")), ""), IF(F1380 = "Réttur", IFERROR(_xlfn.SINGLE(_xlfn.XLOOKUP(G1380, Réttabanki!A:A, Réttabanki!AT:AT, "")), ""), "")))</f>
        <v/>
      </c>
      <c r="N1380" s="26" t="str">
        <f>IF(OR(F1380 = "", G1380 = ""), "", IF(F1380 = "Vara", IFERROR(_xlfn.SINGLE(_xlfn.XLOOKUP(G1380, Vöruskrá!A:A, Vöruskrá!G:G, "")), ""), IF(F1380 = "Réttur", IFERROR(_xlfn.SINGLE(_xlfn.XLOOKUP(G1380, Réttabanki!A:A, Réttabanki!AU:AU, "")), ""), "")))</f>
        <v/>
      </c>
      <c r="O1380" s="26" t="str">
        <f>IF(OR(F1380 = "", G1380 = "", I1380 = ""), "", IF(F1380 = "Vara", IFERROR(_xlfn.SINGLE(_xlfn.XLOOKUP(G1380, Vöruskrá!A:A, Vöruskrá!I:I, "")) * I1380 / 100, ""), IF(F1380 = "Réttur", IFERROR(_xlfn.SINGLE(_xlfn.XLOOKUP(G1380, Réttabanki!A:A, Réttabanki!AV:AV, "")) * I1380 / 100, ""), "")))</f>
        <v/>
      </c>
      <c r="P1380" s="26" t="str">
        <f>IF(OR(F1380 = "", G1380 = "", I1380 = ""), "", IF(F1380 = "Vara", IFERROR(_xlfn.SINGLE(_xlfn.XLOOKUP(G1380, Vöruskrá!A:A, Vöruskrá!J:J, "")) * I1380 / 100, ""), IF(F1380 = "Réttur", IFERROR(_xlfn.SINGLE(_xlfn.XLOOKUP(G1380, Réttabanki!A:A, Réttabanki!AW:AW, "")) * I1380 / 100, ""), "")))</f>
        <v/>
      </c>
      <c r="Q1380" s="26" t="str">
        <f>IF(OR(F1380 = "", G1380 = "", I1380 = ""), "", IF(F1380 = "Vara", IFERROR(_xlfn.SINGLE(_xlfn.XLOOKUP(G1380, Vöruskrá!A:A, Vöruskrá!N:N, "")) * I1380 / 100, ""), IF(F1380 = "Réttur", IFERROR(_xlfn.SINGLE(_xlfn.XLOOKUP(G1380, Réttabanki!A:A, Réttabanki!BB:BB, "")) * I1380 / 100, ""), "")))</f>
        <v/>
      </c>
    </row>
    <row r="1381" spans="2:17">
      <c r="B1381" s="33" t="str">
        <f>IF(A1381&lt;&gt;"",CHOOSE(WEEKDAY(A1381,2),"Mánudagur","Þriðjudagur","Miðvikudagur","Fimmtudagur","Föstudagur","Laugardagur","Sunnudagur"),IF(B1380&lt;&gt;"",B1380,""))</f>
        <v>Fimmtudagur</v>
      </c>
      <c r="C1381" s="33">
        <f>IF(A1381&lt;&gt;"",WEEKNUM(A1381,21),IF(C1380&lt;&gt;"",C1380,""))</f>
        <v>27</v>
      </c>
      <c r="D1381" s="34"/>
      <c r="E1381" s="34"/>
      <c r="F1381" s="34"/>
      <c r="G1381" s="34"/>
      <c r="H1381" s="34"/>
      <c r="I1381" s="35"/>
      <c r="J1381" s="35"/>
      <c r="K1381" s="36"/>
      <c r="L1381" s="26" t="str">
        <f>IF(OR(F1381 = "", G1381 = ""), "", IF(F1381 = "Vara", IFERROR(_xlfn.SINGLE(_xlfn.XLOOKUP(G1381, Vöruskrá!A:A, Vöruskrá!E:E, "")), ""), IF(F1381 = "Réttur", IFERROR(_xlfn.SINGLE(_xlfn.XLOOKUP(G1381, Réttabanki!A:A, Réttabanki!AS:AS, "")), ""), "")))</f>
        <v/>
      </c>
      <c r="M1381" s="26" t="str">
        <f>IF(OR(F1381 = "", G1381 = ""), "", IF(F1381 = "Vara", IFERROR(_xlfn.SINGLE(_xlfn.XLOOKUP(G1381, Vöruskrá!A:A, Vöruskrá!F:F, "")), ""), IF(F1381 = "Réttur", IFERROR(_xlfn.SINGLE(_xlfn.XLOOKUP(G1381, Réttabanki!A:A, Réttabanki!AT:AT, "")), ""), "")))</f>
        <v/>
      </c>
      <c r="N1381" s="26" t="str">
        <f>IF(OR(F1381 = "", G1381 = ""), "", IF(F1381 = "Vara", IFERROR(_xlfn.SINGLE(_xlfn.XLOOKUP(G1381, Vöruskrá!A:A, Vöruskrá!G:G, "")), ""), IF(F1381 = "Réttur", IFERROR(_xlfn.SINGLE(_xlfn.XLOOKUP(G1381, Réttabanki!A:A, Réttabanki!AU:AU, "")), ""), "")))</f>
        <v/>
      </c>
      <c r="O1381" s="26" t="str">
        <f>IF(OR(F1381 = "", G1381 = "", I1381 = ""), "", IF(F1381 = "Vara", IFERROR(_xlfn.SINGLE(_xlfn.XLOOKUP(G1381, Vöruskrá!A:A, Vöruskrá!I:I, "")) * I1381 / 100, ""), IF(F1381 = "Réttur", IFERROR(_xlfn.SINGLE(_xlfn.XLOOKUP(G1381, Réttabanki!A:A, Réttabanki!AV:AV, "")) * I1381 / 100, ""), "")))</f>
        <v/>
      </c>
      <c r="P1381" s="26" t="str">
        <f>IF(OR(F1381 = "", G1381 = "", I1381 = ""), "", IF(F1381 = "Vara", IFERROR(_xlfn.SINGLE(_xlfn.XLOOKUP(G1381, Vöruskrá!A:A, Vöruskrá!J:J, "")) * I1381 / 100, ""), IF(F1381 = "Réttur", IFERROR(_xlfn.SINGLE(_xlfn.XLOOKUP(G1381, Réttabanki!A:A, Réttabanki!AW:AW, "")) * I1381 / 100, ""), "")))</f>
        <v/>
      </c>
      <c r="Q1381" s="26" t="str">
        <f>IF(OR(F1381 = "", G1381 = "", I1381 = ""), "", IF(F1381 = "Vara", IFERROR(_xlfn.SINGLE(_xlfn.XLOOKUP(G1381, Vöruskrá!A:A, Vöruskrá!N:N, "")) * I1381 / 100, ""), IF(F1381 = "Réttur", IFERROR(_xlfn.SINGLE(_xlfn.XLOOKUP(G1381, Réttabanki!A:A, Réttabanki!BB:BB, "")) * I1381 / 100, ""), "")))</f>
        <v/>
      </c>
    </row>
    <row r="1382" spans="2:17">
      <c r="B1382" s="33" t="str">
        <f>IF(A1382&lt;&gt;"",CHOOSE(WEEKDAY(A1382,2),"Mánudagur","Þriðjudagur","Miðvikudagur","Fimmtudagur","Föstudagur","Laugardagur","Sunnudagur"),IF(B1381&lt;&gt;"",B1381,""))</f>
        <v>Fimmtudagur</v>
      </c>
      <c r="C1382" s="33">
        <f>IF(A1382&lt;&gt;"",WEEKNUM(A1382,21),IF(C1381&lt;&gt;"",C1381,""))</f>
        <v>27</v>
      </c>
      <c r="D1382" s="34"/>
      <c r="E1382" s="34"/>
      <c r="F1382" s="34"/>
      <c r="G1382" s="34"/>
      <c r="H1382" s="34"/>
      <c r="I1382" s="35"/>
      <c r="J1382" s="35"/>
      <c r="K1382" s="36"/>
      <c r="L1382" s="26" t="str">
        <f>IF(OR(F1382 = "", G1382 = ""), "", IF(F1382 = "Vara", IFERROR(_xlfn.SINGLE(_xlfn.XLOOKUP(G1382, Vöruskrá!A:A, Vöruskrá!E:E, "")), ""), IF(F1382 = "Réttur", IFERROR(_xlfn.SINGLE(_xlfn.XLOOKUP(G1382, Réttabanki!A:A, Réttabanki!AS:AS, "")), ""), "")))</f>
        <v/>
      </c>
      <c r="M1382" s="26" t="str">
        <f>IF(OR(F1382 = "", G1382 = ""), "", IF(F1382 = "Vara", IFERROR(_xlfn.SINGLE(_xlfn.XLOOKUP(G1382, Vöruskrá!A:A, Vöruskrá!F:F, "")), ""), IF(F1382 = "Réttur", IFERROR(_xlfn.SINGLE(_xlfn.XLOOKUP(G1382, Réttabanki!A:A, Réttabanki!AT:AT, "")), ""), "")))</f>
        <v/>
      </c>
      <c r="N1382" s="26" t="str">
        <f>IF(OR(F1382 = "", G1382 = ""), "", IF(F1382 = "Vara", IFERROR(_xlfn.SINGLE(_xlfn.XLOOKUP(G1382, Vöruskrá!A:A, Vöruskrá!G:G, "")), ""), IF(F1382 = "Réttur", IFERROR(_xlfn.SINGLE(_xlfn.XLOOKUP(G1382, Réttabanki!A:A, Réttabanki!AU:AU, "")), ""), "")))</f>
        <v/>
      </c>
      <c r="O1382" s="26" t="str">
        <f>IF(OR(F1382 = "", G1382 = "", I1382 = ""), "", IF(F1382 = "Vara", IFERROR(_xlfn.SINGLE(_xlfn.XLOOKUP(G1382, Vöruskrá!A:A, Vöruskrá!I:I, "")) * I1382 / 100, ""), IF(F1382 = "Réttur", IFERROR(_xlfn.SINGLE(_xlfn.XLOOKUP(G1382, Réttabanki!A:A, Réttabanki!AV:AV, "")) * I1382 / 100, ""), "")))</f>
        <v/>
      </c>
      <c r="P1382" s="26" t="str">
        <f>IF(OR(F1382 = "", G1382 = "", I1382 = ""), "", IF(F1382 = "Vara", IFERROR(_xlfn.SINGLE(_xlfn.XLOOKUP(G1382, Vöruskrá!A:A, Vöruskrá!J:J, "")) * I1382 / 100, ""), IF(F1382 = "Réttur", IFERROR(_xlfn.SINGLE(_xlfn.XLOOKUP(G1382, Réttabanki!A:A, Réttabanki!AW:AW, "")) * I1382 / 100, ""), "")))</f>
        <v/>
      </c>
      <c r="Q1382" s="26" t="str">
        <f>IF(OR(F1382 = "", G1382 = "", I1382 = ""), "", IF(F1382 = "Vara", IFERROR(_xlfn.SINGLE(_xlfn.XLOOKUP(G1382, Vöruskrá!A:A, Vöruskrá!N:N, "")) * I1382 / 100, ""), IF(F1382 = "Réttur", IFERROR(_xlfn.SINGLE(_xlfn.XLOOKUP(G1382, Réttabanki!A:A, Réttabanki!BB:BB, "")) * I1382 / 100, ""), "")))</f>
        <v/>
      </c>
    </row>
    <row r="1383" spans="2:17">
      <c r="B1383" s="33" t="str">
        <f>IF(A1383&lt;&gt;"",CHOOSE(WEEKDAY(A1383,2),"Mánudagur","Þriðjudagur","Miðvikudagur","Fimmtudagur","Föstudagur","Laugardagur","Sunnudagur"),IF(B1382&lt;&gt;"",B1382,""))</f>
        <v>Fimmtudagur</v>
      </c>
      <c r="C1383" s="33">
        <f>IF(A1383&lt;&gt;"",WEEKNUM(A1383,21),IF(C1382&lt;&gt;"",C1382,""))</f>
        <v>27</v>
      </c>
      <c r="D1383" s="34"/>
      <c r="E1383" s="34"/>
      <c r="F1383" s="34"/>
      <c r="G1383" s="34"/>
      <c r="H1383" s="34"/>
      <c r="I1383" s="35"/>
      <c r="J1383" s="35"/>
      <c r="K1383" s="36"/>
      <c r="L1383" s="26" t="str">
        <f>IF(OR(F1383 = "", G1383 = ""), "", IF(F1383 = "Vara", IFERROR(_xlfn.SINGLE(_xlfn.XLOOKUP(G1383, Vöruskrá!A:A, Vöruskrá!E:E, "")), ""), IF(F1383 = "Réttur", IFERROR(_xlfn.SINGLE(_xlfn.XLOOKUP(G1383, Réttabanki!A:A, Réttabanki!AS:AS, "")), ""), "")))</f>
        <v/>
      </c>
      <c r="M1383" s="26" t="str">
        <f>IF(OR(F1383 = "", G1383 = ""), "", IF(F1383 = "Vara", IFERROR(_xlfn.SINGLE(_xlfn.XLOOKUP(G1383, Vöruskrá!A:A, Vöruskrá!F:F, "")), ""), IF(F1383 = "Réttur", IFERROR(_xlfn.SINGLE(_xlfn.XLOOKUP(G1383, Réttabanki!A:A, Réttabanki!AT:AT, "")), ""), "")))</f>
        <v/>
      </c>
      <c r="N1383" s="26" t="str">
        <f>IF(OR(F1383 = "", G1383 = ""), "", IF(F1383 = "Vara", IFERROR(_xlfn.SINGLE(_xlfn.XLOOKUP(G1383, Vöruskrá!A:A, Vöruskrá!G:G, "")), ""), IF(F1383 = "Réttur", IFERROR(_xlfn.SINGLE(_xlfn.XLOOKUP(G1383, Réttabanki!A:A, Réttabanki!AU:AU, "")), ""), "")))</f>
        <v/>
      </c>
      <c r="O1383" s="26" t="str">
        <f>IF(OR(F1383 = "", G1383 = "", I1383 = ""), "", IF(F1383 = "Vara", IFERROR(_xlfn.SINGLE(_xlfn.XLOOKUP(G1383, Vöruskrá!A:A, Vöruskrá!I:I, "")) * I1383 / 100, ""), IF(F1383 = "Réttur", IFERROR(_xlfn.SINGLE(_xlfn.XLOOKUP(G1383, Réttabanki!A:A, Réttabanki!AV:AV, "")) * I1383 / 100, ""), "")))</f>
        <v/>
      </c>
      <c r="P1383" s="26" t="str">
        <f>IF(OR(F1383 = "", G1383 = "", I1383 = ""), "", IF(F1383 = "Vara", IFERROR(_xlfn.SINGLE(_xlfn.XLOOKUP(G1383, Vöruskrá!A:A, Vöruskrá!J:J, "")) * I1383 / 100, ""), IF(F1383 = "Réttur", IFERROR(_xlfn.SINGLE(_xlfn.XLOOKUP(G1383, Réttabanki!A:A, Réttabanki!AW:AW, "")) * I1383 / 100, ""), "")))</f>
        <v/>
      </c>
      <c r="Q1383" s="26" t="str">
        <f>IF(OR(F1383 = "", G1383 = "", I1383 = ""), "", IF(F1383 = "Vara", IFERROR(_xlfn.SINGLE(_xlfn.XLOOKUP(G1383, Vöruskrá!A:A, Vöruskrá!N:N, "")) * I1383 / 100, ""), IF(F1383 = "Réttur", IFERROR(_xlfn.SINGLE(_xlfn.XLOOKUP(G1383, Réttabanki!A:A, Réttabanki!BB:BB, "")) * I1383 / 100, ""), "")))</f>
        <v/>
      </c>
    </row>
    <row r="1384" spans="2:17">
      <c r="B1384" s="33" t="str">
        <f>IF(A1384&lt;&gt;"",CHOOSE(WEEKDAY(A1384,2),"Mánudagur","Þriðjudagur","Miðvikudagur","Fimmtudagur","Föstudagur","Laugardagur","Sunnudagur"),IF(B1383&lt;&gt;"",B1383,""))</f>
        <v>Fimmtudagur</v>
      </c>
      <c r="C1384" s="33">
        <f>IF(A1384&lt;&gt;"",WEEKNUM(A1384,21),IF(C1383&lt;&gt;"",C1383,""))</f>
        <v>27</v>
      </c>
      <c r="D1384" s="34"/>
      <c r="E1384" s="34"/>
      <c r="F1384" s="34"/>
      <c r="G1384" s="34"/>
      <c r="H1384" s="34"/>
      <c r="I1384" s="35"/>
      <c r="J1384" s="35"/>
      <c r="K1384" s="36"/>
      <c r="L1384" s="26" t="str">
        <f>IF(OR(F1384 = "", G1384 = ""), "", IF(F1384 = "Vara", IFERROR(_xlfn.SINGLE(_xlfn.XLOOKUP(G1384, Vöruskrá!A:A, Vöruskrá!E:E, "")), ""), IF(F1384 = "Réttur", IFERROR(_xlfn.SINGLE(_xlfn.XLOOKUP(G1384, Réttabanki!A:A, Réttabanki!AS:AS, "")), ""), "")))</f>
        <v/>
      </c>
      <c r="M1384" s="26" t="str">
        <f>IF(OR(F1384 = "", G1384 = ""), "", IF(F1384 = "Vara", IFERROR(_xlfn.SINGLE(_xlfn.XLOOKUP(G1384, Vöruskrá!A:A, Vöruskrá!F:F, "")), ""), IF(F1384 = "Réttur", IFERROR(_xlfn.SINGLE(_xlfn.XLOOKUP(G1384, Réttabanki!A:A, Réttabanki!AT:AT, "")), ""), "")))</f>
        <v/>
      </c>
      <c r="N1384" s="26" t="str">
        <f>IF(OR(F1384 = "", G1384 = ""), "", IF(F1384 = "Vara", IFERROR(_xlfn.SINGLE(_xlfn.XLOOKUP(G1384, Vöruskrá!A:A, Vöruskrá!G:G, "")), ""), IF(F1384 = "Réttur", IFERROR(_xlfn.SINGLE(_xlfn.XLOOKUP(G1384, Réttabanki!A:A, Réttabanki!AU:AU, "")), ""), "")))</f>
        <v/>
      </c>
      <c r="O1384" s="26" t="str">
        <f>IF(OR(F1384 = "", G1384 = "", I1384 = ""), "", IF(F1384 = "Vara", IFERROR(_xlfn.SINGLE(_xlfn.XLOOKUP(G1384, Vöruskrá!A:A, Vöruskrá!I:I, "")) * I1384 / 100, ""), IF(F1384 = "Réttur", IFERROR(_xlfn.SINGLE(_xlfn.XLOOKUP(G1384, Réttabanki!A:A, Réttabanki!AV:AV, "")) * I1384 / 100, ""), "")))</f>
        <v/>
      </c>
      <c r="P1384" s="26" t="str">
        <f>IF(OR(F1384 = "", G1384 = "", I1384 = ""), "", IF(F1384 = "Vara", IFERROR(_xlfn.SINGLE(_xlfn.XLOOKUP(G1384, Vöruskrá!A:A, Vöruskrá!J:J, "")) * I1384 / 100, ""), IF(F1384 = "Réttur", IFERROR(_xlfn.SINGLE(_xlfn.XLOOKUP(G1384, Réttabanki!A:A, Réttabanki!AW:AW, "")) * I1384 / 100, ""), "")))</f>
        <v/>
      </c>
      <c r="Q1384" s="26" t="str">
        <f>IF(OR(F1384 = "", G1384 = "", I1384 = ""), "", IF(F1384 = "Vara", IFERROR(_xlfn.SINGLE(_xlfn.XLOOKUP(G1384, Vöruskrá!A:A, Vöruskrá!N:N, "")) * I1384 / 100, ""), IF(F1384 = "Réttur", IFERROR(_xlfn.SINGLE(_xlfn.XLOOKUP(G1384, Réttabanki!A:A, Réttabanki!BB:BB, "")) * I1384 / 100, ""), "")))</f>
        <v/>
      </c>
    </row>
    <row r="1385" spans="2:17">
      <c r="B1385" s="33" t="str">
        <f>IF(A1385&lt;&gt;"",CHOOSE(WEEKDAY(A1385,2),"Mánudagur","Þriðjudagur","Miðvikudagur","Fimmtudagur","Föstudagur","Laugardagur","Sunnudagur"),IF(B1384&lt;&gt;"",B1384,""))</f>
        <v>Fimmtudagur</v>
      </c>
      <c r="C1385" s="33">
        <f>IF(A1385&lt;&gt;"",WEEKNUM(A1385,21),IF(C1384&lt;&gt;"",C1384,""))</f>
        <v>27</v>
      </c>
      <c r="D1385" s="34"/>
      <c r="E1385" s="34"/>
      <c r="F1385" s="34"/>
      <c r="G1385" s="34"/>
      <c r="H1385" s="34"/>
      <c r="I1385" s="35"/>
      <c r="J1385" s="35"/>
      <c r="K1385" s="36"/>
      <c r="L1385" s="26" t="str">
        <f>IF(OR(F1385 = "", G1385 = ""), "", IF(F1385 = "Vara", IFERROR(_xlfn.SINGLE(_xlfn.XLOOKUP(G1385, Vöruskrá!A:A, Vöruskrá!E:E, "")), ""), IF(F1385 = "Réttur", IFERROR(_xlfn.SINGLE(_xlfn.XLOOKUP(G1385, Réttabanki!A:A, Réttabanki!AS:AS, "")), ""), "")))</f>
        <v/>
      </c>
      <c r="M1385" s="26" t="str">
        <f>IF(OR(F1385 = "", G1385 = ""), "", IF(F1385 = "Vara", IFERROR(_xlfn.SINGLE(_xlfn.XLOOKUP(G1385, Vöruskrá!A:A, Vöruskrá!F:F, "")), ""), IF(F1385 = "Réttur", IFERROR(_xlfn.SINGLE(_xlfn.XLOOKUP(G1385, Réttabanki!A:A, Réttabanki!AT:AT, "")), ""), "")))</f>
        <v/>
      </c>
      <c r="N1385" s="26" t="str">
        <f>IF(OR(F1385 = "", G1385 = ""), "", IF(F1385 = "Vara", IFERROR(_xlfn.SINGLE(_xlfn.XLOOKUP(G1385, Vöruskrá!A:A, Vöruskrá!G:G, "")), ""), IF(F1385 = "Réttur", IFERROR(_xlfn.SINGLE(_xlfn.XLOOKUP(G1385, Réttabanki!A:A, Réttabanki!AU:AU, "")), ""), "")))</f>
        <v/>
      </c>
      <c r="O1385" s="26" t="str">
        <f>IF(OR(F1385 = "", G1385 = "", I1385 = ""), "", IF(F1385 = "Vara", IFERROR(_xlfn.SINGLE(_xlfn.XLOOKUP(G1385, Vöruskrá!A:A, Vöruskrá!I:I, "")) * I1385 / 100, ""), IF(F1385 = "Réttur", IFERROR(_xlfn.SINGLE(_xlfn.XLOOKUP(G1385, Réttabanki!A:A, Réttabanki!AV:AV, "")) * I1385 / 100, ""), "")))</f>
        <v/>
      </c>
      <c r="P1385" s="26" t="str">
        <f>IF(OR(F1385 = "", G1385 = "", I1385 = ""), "", IF(F1385 = "Vara", IFERROR(_xlfn.SINGLE(_xlfn.XLOOKUP(G1385, Vöruskrá!A:A, Vöruskrá!J:J, "")) * I1385 / 100, ""), IF(F1385 = "Réttur", IFERROR(_xlfn.SINGLE(_xlfn.XLOOKUP(G1385, Réttabanki!A:A, Réttabanki!AW:AW, "")) * I1385 / 100, ""), "")))</f>
        <v/>
      </c>
      <c r="Q1385" s="26" t="str">
        <f>IF(OR(F1385 = "", G1385 = "", I1385 = ""), "", IF(F1385 = "Vara", IFERROR(_xlfn.SINGLE(_xlfn.XLOOKUP(G1385, Vöruskrá!A:A, Vöruskrá!N:N, "")) * I1385 / 100, ""), IF(F1385 = "Réttur", IFERROR(_xlfn.SINGLE(_xlfn.XLOOKUP(G1385, Réttabanki!A:A, Réttabanki!BB:BB, "")) * I1385 / 100, ""), "")))</f>
        <v/>
      </c>
    </row>
    <row r="1386" spans="2:17">
      <c r="B1386" s="33" t="str">
        <f>IF(A1386&lt;&gt;"",CHOOSE(WEEKDAY(A1386,2),"Mánudagur","Þriðjudagur","Miðvikudagur","Fimmtudagur","Föstudagur","Laugardagur","Sunnudagur"),IF(B1385&lt;&gt;"",B1385,""))</f>
        <v>Fimmtudagur</v>
      </c>
      <c r="C1386" s="33">
        <f>IF(A1386&lt;&gt;"",WEEKNUM(A1386,21),IF(C1385&lt;&gt;"",C1385,""))</f>
        <v>27</v>
      </c>
      <c r="D1386" s="34"/>
      <c r="E1386" s="34"/>
      <c r="F1386" s="34"/>
      <c r="G1386" s="34"/>
      <c r="H1386" s="34"/>
      <c r="I1386" s="35"/>
      <c r="J1386" s="35"/>
      <c r="K1386" s="36"/>
      <c r="L1386" s="26" t="str">
        <f>IF(OR(F1386 = "", G1386 = ""), "", IF(F1386 = "Vara", IFERROR(_xlfn.SINGLE(_xlfn.XLOOKUP(G1386, Vöruskrá!A:A, Vöruskrá!E:E, "")), ""), IF(F1386 = "Réttur", IFERROR(_xlfn.SINGLE(_xlfn.XLOOKUP(G1386, Réttabanki!A:A, Réttabanki!AS:AS, "")), ""), "")))</f>
        <v/>
      </c>
      <c r="M1386" s="26" t="str">
        <f>IF(OR(F1386 = "", G1386 = ""), "", IF(F1386 = "Vara", IFERROR(_xlfn.SINGLE(_xlfn.XLOOKUP(G1386, Vöruskrá!A:A, Vöruskrá!F:F, "")), ""), IF(F1386 = "Réttur", IFERROR(_xlfn.SINGLE(_xlfn.XLOOKUP(G1386, Réttabanki!A:A, Réttabanki!AT:AT, "")), ""), "")))</f>
        <v/>
      </c>
      <c r="N1386" s="26" t="str">
        <f>IF(OR(F1386 = "", G1386 = ""), "", IF(F1386 = "Vara", IFERROR(_xlfn.SINGLE(_xlfn.XLOOKUP(G1386, Vöruskrá!A:A, Vöruskrá!G:G, "")), ""), IF(F1386 = "Réttur", IFERROR(_xlfn.SINGLE(_xlfn.XLOOKUP(G1386, Réttabanki!A:A, Réttabanki!AU:AU, "")), ""), "")))</f>
        <v/>
      </c>
      <c r="O1386" s="26" t="str">
        <f>IF(OR(F1386 = "", G1386 = "", I1386 = ""), "", IF(F1386 = "Vara", IFERROR(_xlfn.SINGLE(_xlfn.XLOOKUP(G1386, Vöruskrá!A:A, Vöruskrá!I:I, "")) * I1386 / 100, ""), IF(F1386 = "Réttur", IFERROR(_xlfn.SINGLE(_xlfn.XLOOKUP(G1386, Réttabanki!A:A, Réttabanki!AV:AV, "")) * I1386 / 100, ""), "")))</f>
        <v/>
      </c>
      <c r="P1386" s="26" t="str">
        <f>IF(OR(F1386 = "", G1386 = "", I1386 = ""), "", IF(F1386 = "Vara", IFERROR(_xlfn.SINGLE(_xlfn.XLOOKUP(G1386, Vöruskrá!A:A, Vöruskrá!J:J, "")) * I1386 / 100, ""), IF(F1386 = "Réttur", IFERROR(_xlfn.SINGLE(_xlfn.XLOOKUP(G1386, Réttabanki!A:A, Réttabanki!AW:AW, "")) * I1386 / 100, ""), "")))</f>
        <v/>
      </c>
      <c r="Q1386" s="26" t="str">
        <f>IF(OR(F1386 = "", G1386 = "", I1386 = ""), "", IF(F1386 = "Vara", IFERROR(_xlfn.SINGLE(_xlfn.XLOOKUP(G1386, Vöruskrá!A:A, Vöruskrá!N:N, "")) * I1386 / 100, ""), IF(F1386 = "Réttur", IFERROR(_xlfn.SINGLE(_xlfn.XLOOKUP(G1386, Réttabanki!A:A, Réttabanki!BB:BB, "")) * I1386 / 100, ""), "")))</f>
        <v/>
      </c>
    </row>
    <row r="1387" spans="2:17">
      <c r="B1387" s="33" t="str">
        <f>IF(A1387&lt;&gt;"",CHOOSE(WEEKDAY(A1387,2),"Mánudagur","Þriðjudagur","Miðvikudagur","Fimmtudagur","Föstudagur","Laugardagur","Sunnudagur"),IF(B1386&lt;&gt;"",B1386,""))</f>
        <v>Fimmtudagur</v>
      </c>
      <c r="C1387" s="33">
        <f>IF(A1387&lt;&gt;"",WEEKNUM(A1387,21),IF(C1386&lt;&gt;"",C1386,""))</f>
        <v>27</v>
      </c>
      <c r="D1387" s="34"/>
      <c r="E1387" s="34"/>
      <c r="F1387" s="34"/>
      <c r="G1387" s="34"/>
      <c r="H1387" s="34"/>
      <c r="I1387" s="35"/>
      <c r="J1387" s="35"/>
      <c r="K1387" s="36"/>
      <c r="L1387" s="26" t="str">
        <f>IF(OR(F1387 = "", G1387 = ""), "", IF(F1387 = "Vara", IFERROR(_xlfn.SINGLE(_xlfn.XLOOKUP(G1387, Vöruskrá!A:A, Vöruskrá!E:E, "")), ""), IF(F1387 = "Réttur", IFERROR(_xlfn.SINGLE(_xlfn.XLOOKUP(G1387, Réttabanki!A:A, Réttabanki!AS:AS, "")), ""), "")))</f>
        <v/>
      </c>
      <c r="M1387" s="26" t="str">
        <f>IF(OR(F1387 = "", G1387 = ""), "", IF(F1387 = "Vara", IFERROR(_xlfn.SINGLE(_xlfn.XLOOKUP(G1387, Vöruskrá!A:A, Vöruskrá!F:F, "")), ""), IF(F1387 = "Réttur", IFERROR(_xlfn.SINGLE(_xlfn.XLOOKUP(G1387, Réttabanki!A:A, Réttabanki!AT:AT, "")), ""), "")))</f>
        <v/>
      </c>
      <c r="N1387" s="26" t="str">
        <f>IF(OR(F1387 = "", G1387 = ""), "", IF(F1387 = "Vara", IFERROR(_xlfn.SINGLE(_xlfn.XLOOKUP(G1387, Vöruskrá!A:A, Vöruskrá!G:G, "")), ""), IF(F1387 = "Réttur", IFERROR(_xlfn.SINGLE(_xlfn.XLOOKUP(G1387, Réttabanki!A:A, Réttabanki!AU:AU, "")), ""), "")))</f>
        <v/>
      </c>
      <c r="O1387" s="26" t="str">
        <f>IF(OR(F1387 = "", G1387 = "", I1387 = ""), "", IF(F1387 = "Vara", IFERROR(_xlfn.SINGLE(_xlfn.XLOOKUP(G1387, Vöruskrá!A:A, Vöruskrá!I:I, "")) * I1387 / 100, ""), IF(F1387 = "Réttur", IFERROR(_xlfn.SINGLE(_xlfn.XLOOKUP(G1387, Réttabanki!A:A, Réttabanki!AV:AV, "")) * I1387 / 100, ""), "")))</f>
        <v/>
      </c>
      <c r="P1387" s="26" t="str">
        <f>IF(OR(F1387 = "", G1387 = "", I1387 = ""), "", IF(F1387 = "Vara", IFERROR(_xlfn.SINGLE(_xlfn.XLOOKUP(G1387, Vöruskrá!A:A, Vöruskrá!J:J, "")) * I1387 / 100, ""), IF(F1387 = "Réttur", IFERROR(_xlfn.SINGLE(_xlfn.XLOOKUP(G1387, Réttabanki!A:A, Réttabanki!AW:AW, "")) * I1387 / 100, ""), "")))</f>
        <v/>
      </c>
      <c r="Q1387" s="26" t="str">
        <f>IF(OR(F1387 = "", G1387 = "", I1387 = ""), "", IF(F1387 = "Vara", IFERROR(_xlfn.SINGLE(_xlfn.XLOOKUP(G1387, Vöruskrá!A:A, Vöruskrá!N:N, "")) * I1387 / 100, ""), IF(F1387 = "Réttur", IFERROR(_xlfn.SINGLE(_xlfn.XLOOKUP(G1387, Réttabanki!A:A, Réttabanki!BB:BB, "")) * I1387 / 100, ""), "")))</f>
        <v/>
      </c>
    </row>
    <row r="1388" spans="2:17">
      <c r="B1388" s="33" t="str">
        <f>IF(A1388&lt;&gt;"",CHOOSE(WEEKDAY(A1388,2),"Mánudagur","Þriðjudagur","Miðvikudagur","Fimmtudagur","Föstudagur","Laugardagur","Sunnudagur"),IF(B1387&lt;&gt;"",B1387,""))</f>
        <v>Fimmtudagur</v>
      </c>
      <c r="C1388" s="33">
        <f>IF(A1388&lt;&gt;"",WEEKNUM(A1388,21),IF(C1387&lt;&gt;"",C1387,""))</f>
        <v>27</v>
      </c>
      <c r="D1388" s="34"/>
      <c r="E1388" s="34"/>
      <c r="F1388" s="34"/>
      <c r="G1388" s="34"/>
      <c r="H1388" s="34"/>
      <c r="I1388" s="35"/>
      <c r="J1388" s="35"/>
      <c r="K1388" s="36"/>
      <c r="L1388" s="26" t="str">
        <f>IF(OR(F1388 = "", G1388 = ""), "", IF(F1388 = "Vara", IFERROR(_xlfn.SINGLE(_xlfn.XLOOKUP(G1388, Vöruskrá!A:A, Vöruskrá!E:E, "")), ""), IF(F1388 = "Réttur", IFERROR(_xlfn.SINGLE(_xlfn.XLOOKUP(G1388, Réttabanki!A:A, Réttabanki!AS:AS, "")), ""), "")))</f>
        <v/>
      </c>
      <c r="M1388" s="26" t="str">
        <f>IF(OR(F1388 = "", G1388 = ""), "", IF(F1388 = "Vara", IFERROR(_xlfn.SINGLE(_xlfn.XLOOKUP(G1388, Vöruskrá!A:A, Vöruskrá!F:F, "")), ""), IF(F1388 = "Réttur", IFERROR(_xlfn.SINGLE(_xlfn.XLOOKUP(G1388, Réttabanki!A:A, Réttabanki!AT:AT, "")), ""), "")))</f>
        <v/>
      </c>
      <c r="N1388" s="26" t="str">
        <f>IF(OR(F1388 = "", G1388 = ""), "", IF(F1388 = "Vara", IFERROR(_xlfn.SINGLE(_xlfn.XLOOKUP(G1388, Vöruskrá!A:A, Vöruskrá!G:G, "")), ""), IF(F1388 = "Réttur", IFERROR(_xlfn.SINGLE(_xlfn.XLOOKUP(G1388, Réttabanki!A:A, Réttabanki!AU:AU, "")), ""), "")))</f>
        <v/>
      </c>
      <c r="O1388" s="26" t="str">
        <f>IF(OR(F1388 = "", G1388 = "", I1388 = ""), "", IF(F1388 = "Vara", IFERROR(_xlfn.SINGLE(_xlfn.XLOOKUP(G1388, Vöruskrá!A:A, Vöruskrá!I:I, "")) * I1388 / 100, ""), IF(F1388 = "Réttur", IFERROR(_xlfn.SINGLE(_xlfn.XLOOKUP(G1388, Réttabanki!A:A, Réttabanki!AV:AV, "")) * I1388 / 100, ""), "")))</f>
        <v/>
      </c>
      <c r="P1388" s="26" t="str">
        <f>IF(OR(F1388 = "", G1388 = "", I1388 = ""), "", IF(F1388 = "Vara", IFERROR(_xlfn.SINGLE(_xlfn.XLOOKUP(G1388, Vöruskrá!A:A, Vöruskrá!J:J, "")) * I1388 / 100, ""), IF(F1388 = "Réttur", IFERROR(_xlfn.SINGLE(_xlfn.XLOOKUP(G1388, Réttabanki!A:A, Réttabanki!AW:AW, "")) * I1388 / 100, ""), "")))</f>
        <v/>
      </c>
      <c r="Q1388" s="26" t="str">
        <f>IF(OR(F1388 = "", G1388 = "", I1388 = ""), "", IF(F1388 = "Vara", IFERROR(_xlfn.SINGLE(_xlfn.XLOOKUP(G1388, Vöruskrá!A:A, Vöruskrá!N:N, "")) * I1388 / 100, ""), IF(F1388 = "Réttur", IFERROR(_xlfn.SINGLE(_xlfn.XLOOKUP(G1388, Réttabanki!A:A, Réttabanki!BB:BB, "")) * I1388 / 100, ""), "")))</f>
        <v/>
      </c>
    </row>
    <row r="1389" spans="2:17">
      <c r="B1389" s="33" t="str">
        <f>IF(A1389&lt;&gt;"",CHOOSE(WEEKDAY(A1389,2),"Mánudagur","Þriðjudagur","Miðvikudagur","Fimmtudagur","Föstudagur","Laugardagur","Sunnudagur"),IF(B1388&lt;&gt;"",B1388,""))</f>
        <v>Fimmtudagur</v>
      </c>
      <c r="C1389" s="33">
        <f>IF(A1389&lt;&gt;"",WEEKNUM(A1389,21),IF(C1388&lt;&gt;"",C1388,""))</f>
        <v>27</v>
      </c>
      <c r="D1389" s="34"/>
      <c r="E1389" s="34"/>
      <c r="F1389" s="34"/>
      <c r="G1389" s="34"/>
      <c r="H1389" s="34"/>
      <c r="I1389" s="35"/>
      <c r="J1389" s="35"/>
      <c r="K1389" s="36"/>
      <c r="L1389" s="26" t="str">
        <f>IF(OR(F1389 = "", G1389 = ""), "", IF(F1389 = "Vara", IFERROR(_xlfn.SINGLE(_xlfn.XLOOKUP(G1389, Vöruskrá!A:A, Vöruskrá!E:E, "")), ""), IF(F1389 = "Réttur", IFERROR(_xlfn.SINGLE(_xlfn.XLOOKUP(G1389, Réttabanki!A:A, Réttabanki!AS:AS, "")), ""), "")))</f>
        <v/>
      </c>
      <c r="M1389" s="26" t="str">
        <f>IF(OR(F1389 = "", G1389 = ""), "", IF(F1389 = "Vara", IFERROR(_xlfn.SINGLE(_xlfn.XLOOKUP(G1389, Vöruskrá!A:A, Vöruskrá!F:F, "")), ""), IF(F1389 = "Réttur", IFERROR(_xlfn.SINGLE(_xlfn.XLOOKUP(G1389, Réttabanki!A:A, Réttabanki!AT:AT, "")), ""), "")))</f>
        <v/>
      </c>
      <c r="N1389" s="26" t="str">
        <f>IF(OR(F1389 = "", G1389 = ""), "", IF(F1389 = "Vara", IFERROR(_xlfn.SINGLE(_xlfn.XLOOKUP(G1389, Vöruskrá!A:A, Vöruskrá!G:G, "")), ""), IF(F1389 = "Réttur", IFERROR(_xlfn.SINGLE(_xlfn.XLOOKUP(G1389, Réttabanki!A:A, Réttabanki!AU:AU, "")), ""), "")))</f>
        <v/>
      </c>
      <c r="O1389" s="26" t="str">
        <f>IF(OR(F1389 = "", G1389 = "", I1389 = ""), "", IF(F1389 = "Vara", IFERROR(_xlfn.SINGLE(_xlfn.XLOOKUP(G1389, Vöruskrá!A:A, Vöruskrá!I:I, "")) * I1389 / 100, ""), IF(F1389 = "Réttur", IFERROR(_xlfn.SINGLE(_xlfn.XLOOKUP(G1389, Réttabanki!A:A, Réttabanki!AV:AV, "")) * I1389 / 100, ""), "")))</f>
        <v/>
      </c>
      <c r="P1389" s="26" t="str">
        <f>IF(OR(F1389 = "", G1389 = "", I1389 = ""), "", IF(F1389 = "Vara", IFERROR(_xlfn.SINGLE(_xlfn.XLOOKUP(G1389, Vöruskrá!A:A, Vöruskrá!J:J, "")) * I1389 / 100, ""), IF(F1389 = "Réttur", IFERROR(_xlfn.SINGLE(_xlfn.XLOOKUP(G1389, Réttabanki!A:A, Réttabanki!AW:AW, "")) * I1389 / 100, ""), "")))</f>
        <v/>
      </c>
      <c r="Q1389" s="26" t="str">
        <f>IF(OR(F1389 = "", G1389 = "", I1389 = ""), "", IF(F1389 = "Vara", IFERROR(_xlfn.SINGLE(_xlfn.XLOOKUP(G1389, Vöruskrá!A:A, Vöruskrá!N:N, "")) * I1389 / 100, ""), IF(F1389 = "Réttur", IFERROR(_xlfn.SINGLE(_xlfn.XLOOKUP(G1389, Réttabanki!A:A, Réttabanki!BB:BB, "")) * I1389 / 100, ""), "")))</f>
        <v/>
      </c>
    </row>
    <row r="1390" spans="2:17">
      <c r="B1390" s="33" t="str">
        <f>IF(A1390&lt;&gt;"",CHOOSE(WEEKDAY(A1390,2),"Mánudagur","Þriðjudagur","Miðvikudagur","Fimmtudagur","Föstudagur","Laugardagur","Sunnudagur"),IF(B1389&lt;&gt;"",B1389,""))</f>
        <v>Fimmtudagur</v>
      </c>
      <c r="C1390" s="33">
        <f>IF(A1390&lt;&gt;"",WEEKNUM(A1390,21),IF(C1389&lt;&gt;"",C1389,""))</f>
        <v>27</v>
      </c>
      <c r="D1390" s="34"/>
      <c r="E1390" s="34"/>
      <c r="F1390" s="34"/>
      <c r="G1390" s="34"/>
      <c r="H1390" s="34"/>
      <c r="I1390" s="35"/>
      <c r="J1390" s="35"/>
      <c r="K1390" s="36"/>
      <c r="L1390" s="26" t="str">
        <f>IF(OR(F1390 = "", G1390 = ""), "", IF(F1390 = "Vara", IFERROR(_xlfn.SINGLE(_xlfn.XLOOKUP(G1390, Vöruskrá!A:A, Vöruskrá!E:E, "")), ""), IF(F1390 = "Réttur", IFERROR(_xlfn.SINGLE(_xlfn.XLOOKUP(G1390, Réttabanki!A:A, Réttabanki!AS:AS, "")), ""), "")))</f>
        <v/>
      </c>
      <c r="M1390" s="26" t="str">
        <f>IF(OR(F1390 = "", G1390 = ""), "", IF(F1390 = "Vara", IFERROR(_xlfn.SINGLE(_xlfn.XLOOKUP(G1390, Vöruskrá!A:A, Vöruskrá!F:F, "")), ""), IF(F1390 = "Réttur", IFERROR(_xlfn.SINGLE(_xlfn.XLOOKUP(G1390, Réttabanki!A:A, Réttabanki!AT:AT, "")), ""), "")))</f>
        <v/>
      </c>
      <c r="N1390" s="26" t="str">
        <f>IF(OR(F1390 = "", G1390 = ""), "", IF(F1390 = "Vara", IFERROR(_xlfn.SINGLE(_xlfn.XLOOKUP(G1390, Vöruskrá!A:A, Vöruskrá!G:G, "")), ""), IF(F1390 = "Réttur", IFERROR(_xlfn.SINGLE(_xlfn.XLOOKUP(G1390, Réttabanki!A:A, Réttabanki!AU:AU, "")), ""), "")))</f>
        <v/>
      </c>
      <c r="O1390" s="26" t="str">
        <f>IF(OR(F1390 = "", G1390 = "", I1390 = ""), "", IF(F1390 = "Vara", IFERROR(_xlfn.SINGLE(_xlfn.XLOOKUP(G1390, Vöruskrá!A:A, Vöruskrá!I:I, "")) * I1390 / 100, ""), IF(F1390 = "Réttur", IFERROR(_xlfn.SINGLE(_xlfn.XLOOKUP(G1390, Réttabanki!A:A, Réttabanki!AV:AV, "")) * I1390 / 100, ""), "")))</f>
        <v/>
      </c>
      <c r="P1390" s="26" t="str">
        <f>IF(OR(F1390 = "", G1390 = "", I1390 = ""), "", IF(F1390 = "Vara", IFERROR(_xlfn.SINGLE(_xlfn.XLOOKUP(G1390, Vöruskrá!A:A, Vöruskrá!J:J, "")) * I1390 / 100, ""), IF(F1390 = "Réttur", IFERROR(_xlfn.SINGLE(_xlfn.XLOOKUP(G1390, Réttabanki!A:A, Réttabanki!AW:AW, "")) * I1390 / 100, ""), "")))</f>
        <v/>
      </c>
      <c r="Q1390" s="26" t="str">
        <f>IF(OR(F1390 = "", G1390 = "", I1390 = ""), "", IF(F1390 = "Vara", IFERROR(_xlfn.SINGLE(_xlfn.XLOOKUP(G1390, Vöruskrá!A:A, Vöruskrá!N:N, "")) * I1390 / 100, ""), IF(F1390 = "Réttur", IFERROR(_xlfn.SINGLE(_xlfn.XLOOKUP(G1390, Réttabanki!A:A, Réttabanki!BB:BB, "")) * I1390 / 100, ""), "")))</f>
        <v/>
      </c>
    </row>
    <row r="1391" spans="2:17">
      <c r="B1391" s="33" t="str">
        <f>IF(A1391&lt;&gt;"",CHOOSE(WEEKDAY(A1391,2),"Mánudagur","Þriðjudagur","Miðvikudagur","Fimmtudagur","Föstudagur","Laugardagur","Sunnudagur"),IF(B1390&lt;&gt;"",B1390,""))</f>
        <v>Fimmtudagur</v>
      </c>
      <c r="C1391" s="33">
        <f>IF(A1391&lt;&gt;"",WEEKNUM(A1391,21),IF(C1390&lt;&gt;"",C1390,""))</f>
        <v>27</v>
      </c>
      <c r="D1391" s="34"/>
      <c r="E1391" s="34"/>
      <c r="F1391" s="34"/>
      <c r="G1391" s="34"/>
      <c r="H1391" s="34"/>
      <c r="I1391" s="35"/>
      <c r="J1391" s="35"/>
      <c r="K1391" s="36"/>
      <c r="L1391" s="26" t="str">
        <f>IF(OR(F1391 = "", G1391 = ""), "", IF(F1391 = "Vara", IFERROR(_xlfn.SINGLE(_xlfn.XLOOKUP(G1391, Vöruskrá!A:A, Vöruskrá!E:E, "")), ""), IF(F1391 = "Réttur", IFERROR(_xlfn.SINGLE(_xlfn.XLOOKUP(G1391, Réttabanki!A:A, Réttabanki!AS:AS, "")), ""), "")))</f>
        <v/>
      </c>
      <c r="M1391" s="26" t="str">
        <f>IF(OR(F1391 = "", G1391 = ""), "", IF(F1391 = "Vara", IFERROR(_xlfn.SINGLE(_xlfn.XLOOKUP(G1391, Vöruskrá!A:A, Vöruskrá!F:F, "")), ""), IF(F1391 = "Réttur", IFERROR(_xlfn.SINGLE(_xlfn.XLOOKUP(G1391, Réttabanki!A:A, Réttabanki!AT:AT, "")), ""), "")))</f>
        <v/>
      </c>
      <c r="N1391" s="26" t="str">
        <f>IF(OR(F1391 = "", G1391 = ""), "", IF(F1391 = "Vara", IFERROR(_xlfn.SINGLE(_xlfn.XLOOKUP(G1391, Vöruskrá!A:A, Vöruskrá!G:G, "")), ""), IF(F1391 = "Réttur", IFERROR(_xlfn.SINGLE(_xlfn.XLOOKUP(G1391, Réttabanki!A:A, Réttabanki!AU:AU, "")), ""), "")))</f>
        <v/>
      </c>
      <c r="O1391" s="26" t="str">
        <f>IF(OR(F1391 = "", G1391 = "", I1391 = ""), "", IF(F1391 = "Vara", IFERROR(_xlfn.SINGLE(_xlfn.XLOOKUP(G1391, Vöruskrá!A:A, Vöruskrá!I:I, "")) * I1391 / 100, ""), IF(F1391 = "Réttur", IFERROR(_xlfn.SINGLE(_xlfn.XLOOKUP(G1391, Réttabanki!A:A, Réttabanki!AV:AV, "")) * I1391 / 100, ""), "")))</f>
        <v/>
      </c>
      <c r="P1391" s="26" t="str">
        <f>IF(OR(F1391 = "", G1391 = "", I1391 = ""), "", IF(F1391 = "Vara", IFERROR(_xlfn.SINGLE(_xlfn.XLOOKUP(G1391, Vöruskrá!A:A, Vöruskrá!J:J, "")) * I1391 / 100, ""), IF(F1391 = "Réttur", IFERROR(_xlfn.SINGLE(_xlfn.XLOOKUP(G1391, Réttabanki!A:A, Réttabanki!AW:AW, "")) * I1391 / 100, ""), "")))</f>
        <v/>
      </c>
      <c r="Q1391" s="26" t="str">
        <f>IF(OR(F1391 = "", G1391 = "", I1391 = ""), "", IF(F1391 = "Vara", IFERROR(_xlfn.SINGLE(_xlfn.XLOOKUP(G1391, Vöruskrá!A:A, Vöruskrá!N:N, "")) * I1391 / 100, ""), IF(F1391 = "Réttur", IFERROR(_xlfn.SINGLE(_xlfn.XLOOKUP(G1391, Réttabanki!A:A, Réttabanki!BB:BB, "")) * I1391 / 100, ""), "")))</f>
        <v/>
      </c>
    </row>
    <row r="1392" spans="2:17">
      <c r="B1392" s="33" t="str">
        <f>IF(A1392&lt;&gt;"",CHOOSE(WEEKDAY(A1392,2),"Mánudagur","Þriðjudagur","Miðvikudagur","Fimmtudagur","Föstudagur","Laugardagur","Sunnudagur"),IF(B1391&lt;&gt;"",B1391,""))</f>
        <v>Fimmtudagur</v>
      </c>
      <c r="C1392" s="33">
        <f>IF(A1392&lt;&gt;"",WEEKNUM(A1392,21),IF(C1391&lt;&gt;"",C1391,""))</f>
        <v>27</v>
      </c>
      <c r="D1392" s="34"/>
      <c r="E1392" s="34"/>
      <c r="F1392" s="34"/>
      <c r="G1392" s="34"/>
      <c r="H1392" s="34"/>
      <c r="I1392" s="35"/>
      <c r="J1392" s="35"/>
      <c r="K1392" s="36"/>
      <c r="L1392" s="26" t="str">
        <f>IF(OR(F1392 = "", G1392 = ""), "", IF(F1392 = "Vara", IFERROR(_xlfn.SINGLE(_xlfn.XLOOKUP(G1392, Vöruskrá!A:A, Vöruskrá!E:E, "")), ""), IF(F1392 = "Réttur", IFERROR(_xlfn.SINGLE(_xlfn.XLOOKUP(G1392, Réttabanki!A:A, Réttabanki!AS:AS, "")), ""), "")))</f>
        <v/>
      </c>
      <c r="M1392" s="26" t="str">
        <f>IF(OR(F1392 = "", G1392 = ""), "", IF(F1392 = "Vara", IFERROR(_xlfn.SINGLE(_xlfn.XLOOKUP(G1392, Vöruskrá!A:A, Vöruskrá!F:F, "")), ""), IF(F1392 = "Réttur", IFERROR(_xlfn.SINGLE(_xlfn.XLOOKUP(G1392, Réttabanki!A:A, Réttabanki!AT:AT, "")), ""), "")))</f>
        <v/>
      </c>
      <c r="N1392" s="26" t="str">
        <f>IF(OR(F1392 = "", G1392 = ""), "", IF(F1392 = "Vara", IFERROR(_xlfn.SINGLE(_xlfn.XLOOKUP(G1392, Vöruskrá!A:A, Vöruskrá!G:G, "")), ""), IF(F1392 = "Réttur", IFERROR(_xlfn.SINGLE(_xlfn.XLOOKUP(G1392, Réttabanki!A:A, Réttabanki!AU:AU, "")), ""), "")))</f>
        <v/>
      </c>
      <c r="O1392" s="26" t="str">
        <f>IF(OR(F1392 = "", G1392 = "", I1392 = ""), "", IF(F1392 = "Vara", IFERROR(_xlfn.SINGLE(_xlfn.XLOOKUP(G1392, Vöruskrá!A:A, Vöruskrá!I:I, "")) * I1392 / 100, ""), IF(F1392 = "Réttur", IFERROR(_xlfn.SINGLE(_xlfn.XLOOKUP(G1392, Réttabanki!A:A, Réttabanki!AV:AV, "")) * I1392 / 100, ""), "")))</f>
        <v/>
      </c>
      <c r="P1392" s="26" t="str">
        <f>IF(OR(F1392 = "", G1392 = "", I1392 = ""), "", IF(F1392 = "Vara", IFERROR(_xlfn.SINGLE(_xlfn.XLOOKUP(G1392, Vöruskrá!A:A, Vöruskrá!J:J, "")) * I1392 / 100, ""), IF(F1392 = "Réttur", IFERROR(_xlfn.SINGLE(_xlfn.XLOOKUP(G1392, Réttabanki!A:A, Réttabanki!AW:AW, "")) * I1392 / 100, ""), "")))</f>
        <v/>
      </c>
      <c r="Q1392" s="26" t="str">
        <f>IF(OR(F1392 = "", G1392 = "", I1392 = ""), "", IF(F1392 = "Vara", IFERROR(_xlfn.SINGLE(_xlfn.XLOOKUP(G1392, Vöruskrá!A:A, Vöruskrá!N:N, "")) * I1392 / 100, ""), IF(F1392 = "Réttur", IFERROR(_xlfn.SINGLE(_xlfn.XLOOKUP(G1392, Réttabanki!A:A, Réttabanki!BB:BB, "")) * I1392 / 100, ""), "")))</f>
        <v/>
      </c>
    </row>
    <row r="1393" spans="2:17">
      <c r="B1393" s="33" t="str">
        <f>IF(A1393&lt;&gt;"",CHOOSE(WEEKDAY(A1393,2),"Mánudagur","Þriðjudagur","Miðvikudagur","Fimmtudagur","Föstudagur","Laugardagur","Sunnudagur"),IF(B1392&lt;&gt;"",B1392,""))</f>
        <v>Fimmtudagur</v>
      </c>
      <c r="C1393" s="33">
        <f>IF(A1393&lt;&gt;"",WEEKNUM(A1393,21),IF(C1392&lt;&gt;"",C1392,""))</f>
        <v>27</v>
      </c>
      <c r="D1393" s="34"/>
      <c r="E1393" s="34"/>
      <c r="F1393" s="34"/>
      <c r="G1393" s="34"/>
      <c r="H1393" s="34"/>
      <c r="I1393" s="35"/>
      <c r="J1393" s="35"/>
      <c r="K1393" s="36"/>
      <c r="L1393" s="26" t="str">
        <f>IF(OR(F1393 = "", G1393 = ""), "", IF(F1393 = "Vara", IFERROR(_xlfn.SINGLE(_xlfn.XLOOKUP(G1393, Vöruskrá!A:A, Vöruskrá!E:E, "")), ""), IF(F1393 = "Réttur", IFERROR(_xlfn.SINGLE(_xlfn.XLOOKUP(G1393, Réttabanki!A:A, Réttabanki!AS:AS, "")), ""), "")))</f>
        <v/>
      </c>
      <c r="M1393" s="26" t="str">
        <f>IF(OR(F1393 = "", G1393 = ""), "", IF(F1393 = "Vara", IFERROR(_xlfn.SINGLE(_xlfn.XLOOKUP(G1393, Vöruskrá!A:A, Vöruskrá!F:F, "")), ""), IF(F1393 = "Réttur", IFERROR(_xlfn.SINGLE(_xlfn.XLOOKUP(G1393, Réttabanki!A:A, Réttabanki!AT:AT, "")), ""), "")))</f>
        <v/>
      </c>
      <c r="N1393" s="26" t="str">
        <f>IF(OR(F1393 = "", G1393 = ""), "", IF(F1393 = "Vara", IFERROR(_xlfn.SINGLE(_xlfn.XLOOKUP(G1393, Vöruskrá!A:A, Vöruskrá!G:G, "")), ""), IF(F1393 = "Réttur", IFERROR(_xlfn.SINGLE(_xlfn.XLOOKUP(G1393, Réttabanki!A:A, Réttabanki!AU:AU, "")), ""), "")))</f>
        <v/>
      </c>
      <c r="O1393" s="26" t="str">
        <f>IF(OR(F1393 = "", G1393 = "", I1393 = ""), "", IF(F1393 = "Vara", IFERROR(_xlfn.SINGLE(_xlfn.XLOOKUP(G1393, Vöruskrá!A:A, Vöruskrá!I:I, "")) * I1393 / 100, ""), IF(F1393 = "Réttur", IFERROR(_xlfn.SINGLE(_xlfn.XLOOKUP(G1393, Réttabanki!A:A, Réttabanki!AV:AV, "")) * I1393 / 100, ""), "")))</f>
        <v/>
      </c>
      <c r="P1393" s="26" t="str">
        <f>IF(OR(F1393 = "", G1393 = "", I1393 = ""), "", IF(F1393 = "Vara", IFERROR(_xlfn.SINGLE(_xlfn.XLOOKUP(G1393, Vöruskrá!A:A, Vöruskrá!J:J, "")) * I1393 / 100, ""), IF(F1393 = "Réttur", IFERROR(_xlfn.SINGLE(_xlfn.XLOOKUP(G1393, Réttabanki!A:A, Réttabanki!AW:AW, "")) * I1393 / 100, ""), "")))</f>
        <v/>
      </c>
      <c r="Q1393" s="26" t="str">
        <f>IF(OR(F1393 = "", G1393 = "", I1393 = ""), "", IF(F1393 = "Vara", IFERROR(_xlfn.SINGLE(_xlfn.XLOOKUP(G1393, Vöruskrá!A:A, Vöruskrá!N:N, "")) * I1393 / 100, ""), IF(F1393 = "Réttur", IFERROR(_xlfn.SINGLE(_xlfn.XLOOKUP(G1393, Réttabanki!A:A, Réttabanki!BB:BB, "")) * I1393 / 100, ""), "")))</f>
        <v/>
      </c>
    </row>
    <row r="1394" spans="2:17">
      <c r="B1394" s="33" t="str">
        <f>IF(A1394&lt;&gt;"",CHOOSE(WEEKDAY(A1394,2),"Mánudagur","Þriðjudagur","Miðvikudagur","Fimmtudagur","Föstudagur","Laugardagur","Sunnudagur"),IF(B1393&lt;&gt;"",B1393,""))</f>
        <v>Fimmtudagur</v>
      </c>
      <c r="C1394" s="33">
        <f>IF(A1394&lt;&gt;"",WEEKNUM(A1394,21),IF(C1393&lt;&gt;"",C1393,""))</f>
        <v>27</v>
      </c>
      <c r="D1394" s="34"/>
      <c r="E1394" s="34"/>
      <c r="F1394" s="34"/>
      <c r="G1394" s="34"/>
      <c r="H1394" s="34"/>
      <c r="I1394" s="35"/>
      <c r="J1394" s="35"/>
      <c r="K1394" s="36"/>
      <c r="L1394" s="26" t="str">
        <f>IF(OR(F1394 = "", G1394 = ""), "", IF(F1394 = "Vara", IFERROR(_xlfn.SINGLE(_xlfn.XLOOKUP(G1394, Vöruskrá!A:A, Vöruskrá!E:E, "")), ""), IF(F1394 = "Réttur", IFERROR(_xlfn.SINGLE(_xlfn.XLOOKUP(G1394, Réttabanki!A:A, Réttabanki!AS:AS, "")), ""), "")))</f>
        <v/>
      </c>
      <c r="M1394" s="26" t="str">
        <f>IF(OR(F1394 = "", G1394 = ""), "", IF(F1394 = "Vara", IFERROR(_xlfn.SINGLE(_xlfn.XLOOKUP(G1394, Vöruskrá!A:A, Vöruskrá!F:F, "")), ""), IF(F1394 = "Réttur", IFERROR(_xlfn.SINGLE(_xlfn.XLOOKUP(G1394, Réttabanki!A:A, Réttabanki!AT:AT, "")), ""), "")))</f>
        <v/>
      </c>
      <c r="N1394" s="26" t="str">
        <f>IF(OR(F1394 = "", G1394 = ""), "", IF(F1394 = "Vara", IFERROR(_xlfn.SINGLE(_xlfn.XLOOKUP(G1394, Vöruskrá!A:A, Vöruskrá!G:G, "")), ""), IF(F1394 = "Réttur", IFERROR(_xlfn.SINGLE(_xlfn.XLOOKUP(G1394, Réttabanki!A:A, Réttabanki!AU:AU, "")), ""), "")))</f>
        <v/>
      </c>
      <c r="O1394" s="26" t="str">
        <f>IF(OR(F1394 = "", G1394 = "", I1394 = ""), "", IF(F1394 = "Vara", IFERROR(_xlfn.SINGLE(_xlfn.XLOOKUP(G1394, Vöruskrá!A:A, Vöruskrá!I:I, "")) * I1394 / 100, ""), IF(F1394 = "Réttur", IFERROR(_xlfn.SINGLE(_xlfn.XLOOKUP(G1394, Réttabanki!A:A, Réttabanki!AV:AV, "")) * I1394 / 100, ""), "")))</f>
        <v/>
      </c>
      <c r="P1394" s="26" t="str">
        <f>IF(OR(F1394 = "", G1394 = "", I1394 = ""), "", IF(F1394 = "Vara", IFERROR(_xlfn.SINGLE(_xlfn.XLOOKUP(G1394, Vöruskrá!A:A, Vöruskrá!J:J, "")) * I1394 / 100, ""), IF(F1394 = "Réttur", IFERROR(_xlfn.SINGLE(_xlfn.XLOOKUP(G1394, Réttabanki!A:A, Réttabanki!AW:AW, "")) * I1394 / 100, ""), "")))</f>
        <v/>
      </c>
      <c r="Q1394" s="26" t="str">
        <f>IF(OR(F1394 = "", G1394 = "", I1394 = ""), "", IF(F1394 = "Vara", IFERROR(_xlfn.SINGLE(_xlfn.XLOOKUP(G1394, Vöruskrá!A:A, Vöruskrá!N:N, "")) * I1394 / 100, ""), IF(F1394 = "Réttur", IFERROR(_xlfn.SINGLE(_xlfn.XLOOKUP(G1394, Réttabanki!A:A, Réttabanki!BB:BB, "")) * I1394 / 100, ""), "")))</f>
        <v/>
      </c>
    </row>
    <row r="1395" spans="2:17">
      <c r="B1395" s="33" t="str">
        <f>IF(A1395&lt;&gt;"",CHOOSE(WEEKDAY(A1395,2),"Mánudagur","Þriðjudagur","Miðvikudagur","Fimmtudagur","Föstudagur","Laugardagur","Sunnudagur"),IF(B1394&lt;&gt;"",B1394,""))</f>
        <v>Fimmtudagur</v>
      </c>
      <c r="C1395" s="33">
        <f>IF(A1395&lt;&gt;"",WEEKNUM(A1395,21),IF(C1394&lt;&gt;"",C1394,""))</f>
        <v>27</v>
      </c>
      <c r="D1395" s="34"/>
      <c r="E1395" s="34"/>
      <c r="F1395" s="34"/>
      <c r="G1395" s="34"/>
      <c r="H1395" s="34"/>
      <c r="I1395" s="35"/>
      <c r="J1395" s="35"/>
      <c r="K1395" s="36"/>
      <c r="L1395" s="26" t="str">
        <f>IF(OR(F1395 = "", G1395 = ""), "", IF(F1395 = "Vara", IFERROR(_xlfn.SINGLE(_xlfn.XLOOKUP(G1395, Vöruskrá!A:A, Vöruskrá!E:E, "")), ""), IF(F1395 = "Réttur", IFERROR(_xlfn.SINGLE(_xlfn.XLOOKUP(G1395, Réttabanki!A:A, Réttabanki!AS:AS, "")), ""), "")))</f>
        <v/>
      </c>
      <c r="M1395" s="26" t="str">
        <f>IF(OR(F1395 = "", G1395 = ""), "", IF(F1395 = "Vara", IFERROR(_xlfn.SINGLE(_xlfn.XLOOKUP(G1395, Vöruskrá!A:A, Vöruskrá!F:F, "")), ""), IF(F1395 = "Réttur", IFERROR(_xlfn.SINGLE(_xlfn.XLOOKUP(G1395, Réttabanki!A:A, Réttabanki!AT:AT, "")), ""), "")))</f>
        <v/>
      </c>
      <c r="N1395" s="26" t="str">
        <f>IF(OR(F1395 = "", G1395 = ""), "", IF(F1395 = "Vara", IFERROR(_xlfn.SINGLE(_xlfn.XLOOKUP(G1395, Vöruskrá!A:A, Vöruskrá!G:G, "")), ""), IF(F1395 = "Réttur", IFERROR(_xlfn.SINGLE(_xlfn.XLOOKUP(G1395, Réttabanki!A:A, Réttabanki!AU:AU, "")), ""), "")))</f>
        <v/>
      </c>
      <c r="O1395" s="26" t="str">
        <f>IF(OR(F1395 = "", G1395 = "", I1395 = ""), "", IF(F1395 = "Vara", IFERROR(_xlfn.SINGLE(_xlfn.XLOOKUP(G1395, Vöruskrá!A:A, Vöruskrá!I:I, "")) * I1395 / 100, ""), IF(F1395 = "Réttur", IFERROR(_xlfn.SINGLE(_xlfn.XLOOKUP(G1395, Réttabanki!A:A, Réttabanki!AV:AV, "")) * I1395 / 100, ""), "")))</f>
        <v/>
      </c>
      <c r="P1395" s="26" t="str">
        <f>IF(OR(F1395 = "", G1395 = "", I1395 = ""), "", IF(F1395 = "Vara", IFERROR(_xlfn.SINGLE(_xlfn.XLOOKUP(G1395, Vöruskrá!A:A, Vöruskrá!J:J, "")) * I1395 / 100, ""), IF(F1395 = "Réttur", IFERROR(_xlfn.SINGLE(_xlfn.XLOOKUP(G1395, Réttabanki!A:A, Réttabanki!AW:AW, "")) * I1395 / 100, ""), "")))</f>
        <v/>
      </c>
      <c r="Q1395" s="26" t="str">
        <f>IF(OR(F1395 = "", G1395 = "", I1395 = ""), "", IF(F1395 = "Vara", IFERROR(_xlfn.SINGLE(_xlfn.XLOOKUP(G1395, Vöruskrá!A:A, Vöruskrá!N:N, "")) * I1395 / 100, ""), IF(F1395 = "Réttur", IFERROR(_xlfn.SINGLE(_xlfn.XLOOKUP(G1395, Réttabanki!A:A, Réttabanki!BB:BB, "")) * I1395 / 100, ""), "")))</f>
        <v/>
      </c>
    </row>
    <row r="1396" spans="2:17">
      <c r="B1396" s="33" t="str">
        <f>IF(A1396&lt;&gt;"",CHOOSE(WEEKDAY(A1396,2),"Mánudagur","Þriðjudagur","Miðvikudagur","Fimmtudagur","Föstudagur","Laugardagur","Sunnudagur"),IF(B1395&lt;&gt;"",B1395,""))</f>
        <v>Fimmtudagur</v>
      </c>
      <c r="C1396" s="33">
        <f>IF(A1396&lt;&gt;"",WEEKNUM(A1396,21),IF(C1395&lt;&gt;"",C1395,""))</f>
        <v>27</v>
      </c>
      <c r="D1396" s="34"/>
      <c r="E1396" s="34"/>
      <c r="F1396" s="34"/>
      <c r="G1396" s="34"/>
      <c r="H1396" s="34"/>
      <c r="I1396" s="35"/>
      <c r="J1396" s="35"/>
      <c r="K1396" s="36"/>
      <c r="L1396" s="26" t="str">
        <f>IF(OR(F1396 = "", G1396 = ""), "", IF(F1396 = "Vara", IFERROR(_xlfn.SINGLE(_xlfn.XLOOKUP(G1396, Vöruskrá!A:A, Vöruskrá!E:E, "")), ""), IF(F1396 = "Réttur", IFERROR(_xlfn.SINGLE(_xlfn.XLOOKUP(G1396, Réttabanki!A:A, Réttabanki!AS:AS, "")), ""), "")))</f>
        <v/>
      </c>
      <c r="M1396" s="26" t="str">
        <f>IF(OR(F1396 = "", G1396 = ""), "", IF(F1396 = "Vara", IFERROR(_xlfn.SINGLE(_xlfn.XLOOKUP(G1396, Vöruskrá!A:A, Vöruskrá!F:F, "")), ""), IF(F1396 = "Réttur", IFERROR(_xlfn.SINGLE(_xlfn.XLOOKUP(G1396, Réttabanki!A:A, Réttabanki!AT:AT, "")), ""), "")))</f>
        <v/>
      </c>
      <c r="N1396" s="26" t="str">
        <f>IF(OR(F1396 = "", G1396 = ""), "", IF(F1396 = "Vara", IFERROR(_xlfn.SINGLE(_xlfn.XLOOKUP(G1396, Vöruskrá!A:A, Vöruskrá!G:G, "")), ""), IF(F1396 = "Réttur", IFERROR(_xlfn.SINGLE(_xlfn.XLOOKUP(G1396, Réttabanki!A:A, Réttabanki!AU:AU, "")), ""), "")))</f>
        <v/>
      </c>
      <c r="O1396" s="26" t="str">
        <f>IF(OR(F1396 = "", G1396 = "", I1396 = ""), "", IF(F1396 = "Vara", IFERROR(_xlfn.SINGLE(_xlfn.XLOOKUP(G1396, Vöruskrá!A:A, Vöruskrá!I:I, "")) * I1396 / 100, ""), IF(F1396 = "Réttur", IFERROR(_xlfn.SINGLE(_xlfn.XLOOKUP(G1396, Réttabanki!A:A, Réttabanki!AV:AV, "")) * I1396 / 100, ""), "")))</f>
        <v/>
      </c>
      <c r="P1396" s="26" t="str">
        <f>IF(OR(F1396 = "", G1396 = "", I1396 = ""), "", IF(F1396 = "Vara", IFERROR(_xlfn.SINGLE(_xlfn.XLOOKUP(G1396, Vöruskrá!A:A, Vöruskrá!J:J, "")) * I1396 / 100, ""), IF(F1396 = "Réttur", IFERROR(_xlfn.SINGLE(_xlfn.XLOOKUP(G1396, Réttabanki!A:A, Réttabanki!AW:AW, "")) * I1396 / 100, ""), "")))</f>
        <v/>
      </c>
      <c r="Q1396" s="26" t="str">
        <f>IF(OR(F1396 = "", G1396 = "", I1396 = ""), "", IF(F1396 = "Vara", IFERROR(_xlfn.SINGLE(_xlfn.XLOOKUP(G1396, Vöruskrá!A:A, Vöruskrá!N:N, "")) * I1396 / 100, ""), IF(F1396 = "Réttur", IFERROR(_xlfn.SINGLE(_xlfn.XLOOKUP(G1396, Réttabanki!A:A, Réttabanki!BB:BB, "")) * I1396 / 100, ""), "")))</f>
        <v/>
      </c>
    </row>
    <row r="1397" spans="2:17">
      <c r="B1397" s="33" t="str">
        <f>IF(A1397&lt;&gt;"",CHOOSE(WEEKDAY(A1397,2),"Mánudagur","Þriðjudagur","Miðvikudagur","Fimmtudagur","Föstudagur","Laugardagur","Sunnudagur"),IF(B1396&lt;&gt;"",B1396,""))</f>
        <v>Fimmtudagur</v>
      </c>
      <c r="C1397" s="33">
        <f>IF(A1397&lt;&gt;"",WEEKNUM(A1397,21),IF(C1396&lt;&gt;"",C1396,""))</f>
        <v>27</v>
      </c>
      <c r="D1397" s="34"/>
      <c r="E1397" s="34"/>
      <c r="F1397" s="34"/>
      <c r="G1397" s="34"/>
      <c r="H1397" s="34"/>
      <c r="I1397" s="35"/>
      <c r="J1397" s="35"/>
      <c r="K1397" s="36"/>
      <c r="L1397" s="26" t="str">
        <f>IF(OR(F1397 = "", G1397 = ""), "", IF(F1397 = "Vara", IFERROR(_xlfn.SINGLE(_xlfn.XLOOKUP(G1397, Vöruskrá!A:A, Vöruskrá!E:E, "")), ""), IF(F1397 = "Réttur", IFERROR(_xlfn.SINGLE(_xlfn.XLOOKUP(G1397, Réttabanki!A:A, Réttabanki!AS:AS, "")), ""), "")))</f>
        <v/>
      </c>
      <c r="M1397" s="26" t="str">
        <f>IF(OR(F1397 = "", G1397 = ""), "", IF(F1397 = "Vara", IFERROR(_xlfn.SINGLE(_xlfn.XLOOKUP(G1397, Vöruskrá!A:A, Vöruskrá!F:F, "")), ""), IF(F1397 = "Réttur", IFERROR(_xlfn.SINGLE(_xlfn.XLOOKUP(G1397, Réttabanki!A:A, Réttabanki!AT:AT, "")), ""), "")))</f>
        <v/>
      </c>
      <c r="N1397" s="26" t="str">
        <f>IF(OR(F1397 = "", G1397 = ""), "", IF(F1397 = "Vara", IFERROR(_xlfn.SINGLE(_xlfn.XLOOKUP(G1397, Vöruskrá!A:A, Vöruskrá!G:G, "")), ""), IF(F1397 = "Réttur", IFERROR(_xlfn.SINGLE(_xlfn.XLOOKUP(G1397, Réttabanki!A:A, Réttabanki!AU:AU, "")), ""), "")))</f>
        <v/>
      </c>
      <c r="O1397" s="26" t="str">
        <f>IF(OR(F1397 = "", G1397 = "", I1397 = ""), "", IF(F1397 = "Vara", IFERROR(_xlfn.SINGLE(_xlfn.XLOOKUP(G1397, Vöruskrá!A:A, Vöruskrá!I:I, "")) * I1397 / 100, ""), IF(F1397 = "Réttur", IFERROR(_xlfn.SINGLE(_xlfn.XLOOKUP(G1397, Réttabanki!A:A, Réttabanki!AV:AV, "")) * I1397 / 100, ""), "")))</f>
        <v/>
      </c>
      <c r="P1397" s="26" t="str">
        <f>IF(OR(F1397 = "", G1397 = "", I1397 = ""), "", IF(F1397 = "Vara", IFERROR(_xlfn.SINGLE(_xlfn.XLOOKUP(G1397, Vöruskrá!A:A, Vöruskrá!J:J, "")) * I1397 / 100, ""), IF(F1397 = "Réttur", IFERROR(_xlfn.SINGLE(_xlfn.XLOOKUP(G1397, Réttabanki!A:A, Réttabanki!AW:AW, "")) * I1397 / 100, ""), "")))</f>
        <v/>
      </c>
      <c r="Q1397" s="26" t="str">
        <f>IF(OR(F1397 = "", G1397 = "", I1397 = ""), "", IF(F1397 = "Vara", IFERROR(_xlfn.SINGLE(_xlfn.XLOOKUP(G1397, Vöruskrá!A:A, Vöruskrá!N:N, "")) * I1397 / 100, ""), IF(F1397 = "Réttur", IFERROR(_xlfn.SINGLE(_xlfn.XLOOKUP(G1397, Réttabanki!A:A, Réttabanki!BB:BB, "")) * I1397 / 100, ""), "")))</f>
        <v/>
      </c>
    </row>
    <row r="1398" spans="2:17">
      <c r="B1398" s="33" t="str">
        <f>IF(A1398&lt;&gt;"",CHOOSE(WEEKDAY(A1398,2),"Mánudagur","Þriðjudagur","Miðvikudagur","Fimmtudagur","Föstudagur","Laugardagur","Sunnudagur"),IF(B1397&lt;&gt;"",B1397,""))</f>
        <v>Fimmtudagur</v>
      </c>
      <c r="C1398" s="33">
        <f>IF(A1398&lt;&gt;"",WEEKNUM(A1398,21),IF(C1397&lt;&gt;"",C1397,""))</f>
        <v>27</v>
      </c>
      <c r="D1398" s="34"/>
      <c r="E1398" s="34"/>
      <c r="F1398" s="34"/>
      <c r="G1398" s="34"/>
      <c r="H1398" s="34"/>
      <c r="I1398" s="35"/>
      <c r="J1398" s="35"/>
      <c r="K1398" s="36"/>
      <c r="L1398" s="26" t="str">
        <f>IF(OR(F1398 = "", G1398 = ""), "", IF(F1398 = "Vara", IFERROR(_xlfn.SINGLE(_xlfn.XLOOKUP(G1398, Vöruskrá!A:A, Vöruskrá!E:E, "")), ""), IF(F1398 = "Réttur", IFERROR(_xlfn.SINGLE(_xlfn.XLOOKUP(G1398, Réttabanki!A:A, Réttabanki!AS:AS, "")), ""), "")))</f>
        <v/>
      </c>
      <c r="M1398" s="26" t="str">
        <f>IF(OR(F1398 = "", G1398 = ""), "", IF(F1398 = "Vara", IFERROR(_xlfn.SINGLE(_xlfn.XLOOKUP(G1398, Vöruskrá!A:A, Vöruskrá!F:F, "")), ""), IF(F1398 = "Réttur", IFERROR(_xlfn.SINGLE(_xlfn.XLOOKUP(G1398, Réttabanki!A:A, Réttabanki!AT:AT, "")), ""), "")))</f>
        <v/>
      </c>
      <c r="N1398" s="26" t="str">
        <f>IF(OR(F1398 = "", G1398 = ""), "", IF(F1398 = "Vara", IFERROR(_xlfn.SINGLE(_xlfn.XLOOKUP(G1398, Vöruskrá!A:A, Vöruskrá!G:G, "")), ""), IF(F1398 = "Réttur", IFERROR(_xlfn.SINGLE(_xlfn.XLOOKUP(G1398, Réttabanki!A:A, Réttabanki!AU:AU, "")), ""), "")))</f>
        <v/>
      </c>
      <c r="O1398" s="26" t="str">
        <f>IF(OR(F1398 = "", G1398 = "", I1398 = ""), "", IF(F1398 = "Vara", IFERROR(_xlfn.SINGLE(_xlfn.XLOOKUP(G1398, Vöruskrá!A:A, Vöruskrá!I:I, "")) * I1398 / 100, ""), IF(F1398 = "Réttur", IFERROR(_xlfn.SINGLE(_xlfn.XLOOKUP(G1398, Réttabanki!A:A, Réttabanki!AV:AV, "")) * I1398 / 100, ""), "")))</f>
        <v/>
      </c>
      <c r="P1398" s="26" t="str">
        <f>IF(OR(F1398 = "", G1398 = "", I1398 = ""), "", IF(F1398 = "Vara", IFERROR(_xlfn.SINGLE(_xlfn.XLOOKUP(G1398, Vöruskrá!A:A, Vöruskrá!J:J, "")) * I1398 / 100, ""), IF(F1398 = "Réttur", IFERROR(_xlfn.SINGLE(_xlfn.XLOOKUP(G1398, Réttabanki!A:A, Réttabanki!AW:AW, "")) * I1398 / 100, ""), "")))</f>
        <v/>
      </c>
      <c r="Q1398" s="26" t="str">
        <f>IF(OR(F1398 = "", G1398 = "", I1398 = ""), "", IF(F1398 = "Vara", IFERROR(_xlfn.SINGLE(_xlfn.XLOOKUP(G1398, Vöruskrá!A:A, Vöruskrá!N:N, "")) * I1398 / 100, ""), IF(F1398 = "Réttur", IFERROR(_xlfn.SINGLE(_xlfn.XLOOKUP(G1398, Réttabanki!A:A, Réttabanki!BB:BB, "")) * I1398 / 100, ""), "")))</f>
        <v/>
      </c>
    </row>
    <row r="1399" spans="2:17">
      <c r="B1399" s="33" t="str">
        <f>IF(A1399&lt;&gt;"",CHOOSE(WEEKDAY(A1399,2),"Mánudagur","Þriðjudagur","Miðvikudagur","Fimmtudagur","Föstudagur","Laugardagur","Sunnudagur"),IF(B1398&lt;&gt;"",B1398,""))</f>
        <v>Fimmtudagur</v>
      </c>
      <c r="C1399" s="33">
        <f>IF(A1399&lt;&gt;"",WEEKNUM(A1399,21),IF(C1398&lt;&gt;"",C1398,""))</f>
        <v>27</v>
      </c>
      <c r="D1399" s="34"/>
      <c r="E1399" s="34"/>
      <c r="F1399" s="34"/>
      <c r="G1399" s="34"/>
      <c r="H1399" s="34"/>
      <c r="I1399" s="35"/>
      <c r="J1399" s="35"/>
      <c r="K1399" s="36"/>
      <c r="L1399" s="26" t="str">
        <f>IF(OR(F1399 = "", G1399 = ""), "", IF(F1399 = "Vara", IFERROR(_xlfn.SINGLE(_xlfn.XLOOKUP(G1399, Vöruskrá!A:A, Vöruskrá!E:E, "")), ""), IF(F1399 = "Réttur", IFERROR(_xlfn.SINGLE(_xlfn.XLOOKUP(G1399, Réttabanki!A:A, Réttabanki!AS:AS, "")), ""), "")))</f>
        <v/>
      </c>
      <c r="M1399" s="26" t="str">
        <f>IF(OR(F1399 = "", G1399 = ""), "", IF(F1399 = "Vara", IFERROR(_xlfn.SINGLE(_xlfn.XLOOKUP(G1399, Vöruskrá!A:A, Vöruskrá!F:F, "")), ""), IF(F1399 = "Réttur", IFERROR(_xlfn.SINGLE(_xlfn.XLOOKUP(G1399, Réttabanki!A:A, Réttabanki!AT:AT, "")), ""), "")))</f>
        <v/>
      </c>
      <c r="N1399" s="26" t="str">
        <f>IF(OR(F1399 = "", G1399 = ""), "", IF(F1399 = "Vara", IFERROR(_xlfn.SINGLE(_xlfn.XLOOKUP(G1399, Vöruskrá!A:A, Vöruskrá!G:G, "")), ""), IF(F1399 = "Réttur", IFERROR(_xlfn.SINGLE(_xlfn.XLOOKUP(G1399, Réttabanki!A:A, Réttabanki!AU:AU, "")), ""), "")))</f>
        <v/>
      </c>
      <c r="O1399" s="26" t="str">
        <f>IF(OR(F1399 = "", G1399 = "", I1399 = ""), "", IF(F1399 = "Vara", IFERROR(_xlfn.SINGLE(_xlfn.XLOOKUP(G1399, Vöruskrá!A:A, Vöruskrá!I:I, "")) * I1399 / 100, ""), IF(F1399 = "Réttur", IFERROR(_xlfn.SINGLE(_xlfn.XLOOKUP(G1399, Réttabanki!A:A, Réttabanki!AV:AV, "")) * I1399 / 100, ""), "")))</f>
        <v/>
      </c>
      <c r="P1399" s="26" t="str">
        <f>IF(OR(F1399 = "", G1399 = "", I1399 = ""), "", IF(F1399 = "Vara", IFERROR(_xlfn.SINGLE(_xlfn.XLOOKUP(G1399, Vöruskrá!A:A, Vöruskrá!J:J, "")) * I1399 / 100, ""), IF(F1399 = "Réttur", IFERROR(_xlfn.SINGLE(_xlfn.XLOOKUP(G1399, Réttabanki!A:A, Réttabanki!AW:AW, "")) * I1399 / 100, ""), "")))</f>
        <v/>
      </c>
      <c r="Q1399" s="26" t="str">
        <f>IF(OR(F1399 = "", G1399 = "", I1399 = ""), "", IF(F1399 = "Vara", IFERROR(_xlfn.SINGLE(_xlfn.XLOOKUP(G1399, Vöruskrá!A:A, Vöruskrá!N:N, "")) * I1399 / 100, ""), IF(F1399 = "Réttur", IFERROR(_xlfn.SINGLE(_xlfn.XLOOKUP(G1399, Réttabanki!A:A, Réttabanki!BB:BB, "")) * I1399 / 100, ""), "")))</f>
        <v/>
      </c>
    </row>
    <row r="1400" spans="2:17">
      <c r="B1400" s="33" t="str">
        <f>IF(A1400&lt;&gt;"",CHOOSE(WEEKDAY(A1400,2),"Mánudagur","Þriðjudagur","Miðvikudagur","Fimmtudagur","Föstudagur","Laugardagur","Sunnudagur"),IF(B1399&lt;&gt;"",B1399,""))</f>
        <v>Fimmtudagur</v>
      </c>
      <c r="C1400" s="33">
        <f>IF(A1400&lt;&gt;"",WEEKNUM(A1400,21),IF(C1399&lt;&gt;"",C1399,""))</f>
        <v>27</v>
      </c>
      <c r="D1400" s="34"/>
      <c r="E1400" s="34"/>
      <c r="F1400" s="34"/>
      <c r="G1400" s="34"/>
      <c r="H1400" s="34"/>
      <c r="I1400" s="35"/>
      <c r="J1400" s="35"/>
      <c r="K1400" s="36"/>
      <c r="L1400" s="26" t="str">
        <f>IF(OR(F1400 = "", G1400 = ""), "", IF(F1400 = "Vara", IFERROR(_xlfn.SINGLE(_xlfn.XLOOKUP(G1400, Vöruskrá!A:A, Vöruskrá!E:E, "")), ""), IF(F1400 = "Réttur", IFERROR(_xlfn.SINGLE(_xlfn.XLOOKUP(G1400, Réttabanki!A:A, Réttabanki!AS:AS, "")), ""), "")))</f>
        <v/>
      </c>
      <c r="M1400" s="26" t="str">
        <f>IF(OR(F1400 = "", G1400 = ""), "", IF(F1400 = "Vara", IFERROR(_xlfn.SINGLE(_xlfn.XLOOKUP(G1400, Vöruskrá!A:A, Vöruskrá!F:F, "")), ""), IF(F1400 = "Réttur", IFERROR(_xlfn.SINGLE(_xlfn.XLOOKUP(G1400, Réttabanki!A:A, Réttabanki!AT:AT, "")), ""), "")))</f>
        <v/>
      </c>
      <c r="N1400" s="26" t="str">
        <f>IF(OR(F1400 = "", G1400 = ""), "", IF(F1400 = "Vara", IFERROR(_xlfn.SINGLE(_xlfn.XLOOKUP(G1400, Vöruskrá!A:A, Vöruskrá!G:G, "")), ""), IF(F1400 = "Réttur", IFERROR(_xlfn.SINGLE(_xlfn.XLOOKUP(G1400, Réttabanki!A:A, Réttabanki!AU:AU, "")), ""), "")))</f>
        <v/>
      </c>
      <c r="O1400" s="26" t="str">
        <f>IF(OR(F1400 = "", G1400 = "", I1400 = ""), "", IF(F1400 = "Vara", IFERROR(_xlfn.SINGLE(_xlfn.XLOOKUP(G1400, Vöruskrá!A:A, Vöruskrá!I:I, "")) * I1400 / 100, ""), IF(F1400 = "Réttur", IFERROR(_xlfn.SINGLE(_xlfn.XLOOKUP(G1400, Réttabanki!A:A, Réttabanki!AV:AV, "")) * I1400 / 100, ""), "")))</f>
        <v/>
      </c>
      <c r="P1400" s="26" t="str">
        <f>IF(OR(F1400 = "", G1400 = "", I1400 = ""), "", IF(F1400 = "Vara", IFERROR(_xlfn.SINGLE(_xlfn.XLOOKUP(G1400, Vöruskrá!A:A, Vöruskrá!J:J, "")) * I1400 / 100, ""), IF(F1400 = "Réttur", IFERROR(_xlfn.SINGLE(_xlfn.XLOOKUP(G1400, Réttabanki!A:A, Réttabanki!AW:AW, "")) * I1400 / 100, ""), "")))</f>
        <v/>
      </c>
      <c r="Q1400" s="26" t="str">
        <f>IF(OR(F1400 = "", G1400 = "", I1400 = ""), "", IF(F1400 = "Vara", IFERROR(_xlfn.SINGLE(_xlfn.XLOOKUP(G1400, Vöruskrá!A:A, Vöruskrá!N:N, "")) * I1400 / 100, ""), IF(F1400 = "Réttur", IFERROR(_xlfn.SINGLE(_xlfn.XLOOKUP(G1400, Réttabanki!A:A, Réttabanki!BB:BB, "")) * I1400 / 100, ""), "")))</f>
        <v/>
      </c>
    </row>
    <row r="1401" spans="2:17">
      <c r="B1401" s="33" t="str">
        <f>IF(A1401&lt;&gt;"",CHOOSE(WEEKDAY(A1401,2),"Mánudagur","Þriðjudagur","Miðvikudagur","Fimmtudagur","Föstudagur","Laugardagur","Sunnudagur"),IF(B1400&lt;&gt;"",B1400,""))</f>
        <v>Fimmtudagur</v>
      </c>
      <c r="C1401" s="33">
        <f>IF(A1401&lt;&gt;"",WEEKNUM(A1401,21),IF(C1400&lt;&gt;"",C1400,""))</f>
        <v>27</v>
      </c>
      <c r="D1401" s="34"/>
      <c r="E1401" s="34"/>
      <c r="F1401" s="34"/>
      <c r="G1401" s="34"/>
      <c r="H1401" s="34"/>
      <c r="I1401" s="35"/>
      <c r="J1401" s="35"/>
      <c r="K1401" s="36"/>
      <c r="L1401" s="26" t="str">
        <f>IF(OR(F1401 = "", G1401 = ""), "", IF(F1401 = "Vara", IFERROR(_xlfn.SINGLE(_xlfn.XLOOKUP(G1401, Vöruskrá!A:A, Vöruskrá!E:E, "")), ""), IF(F1401 = "Réttur", IFERROR(_xlfn.SINGLE(_xlfn.XLOOKUP(G1401, Réttabanki!A:A, Réttabanki!AS:AS, "")), ""), "")))</f>
        <v/>
      </c>
      <c r="M1401" s="26" t="str">
        <f>IF(OR(F1401 = "", G1401 = ""), "", IF(F1401 = "Vara", IFERROR(_xlfn.SINGLE(_xlfn.XLOOKUP(G1401, Vöruskrá!A:A, Vöruskrá!F:F, "")), ""), IF(F1401 = "Réttur", IFERROR(_xlfn.SINGLE(_xlfn.XLOOKUP(G1401, Réttabanki!A:A, Réttabanki!AT:AT, "")), ""), "")))</f>
        <v/>
      </c>
      <c r="N1401" s="26" t="str">
        <f>IF(OR(F1401 = "", G1401 = ""), "", IF(F1401 = "Vara", IFERROR(_xlfn.SINGLE(_xlfn.XLOOKUP(G1401, Vöruskrá!A:A, Vöruskrá!G:G, "")), ""), IF(F1401 = "Réttur", IFERROR(_xlfn.SINGLE(_xlfn.XLOOKUP(G1401, Réttabanki!A:A, Réttabanki!AU:AU, "")), ""), "")))</f>
        <v/>
      </c>
      <c r="O1401" s="26" t="str">
        <f>IF(OR(F1401 = "", G1401 = "", I1401 = ""), "", IF(F1401 = "Vara", IFERROR(_xlfn.SINGLE(_xlfn.XLOOKUP(G1401, Vöruskrá!A:A, Vöruskrá!I:I, "")) * I1401 / 100, ""), IF(F1401 = "Réttur", IFERROR(_xlfn.SINGLE(_xlfn.XLOOKUP(G1401, Réttabanki!A:A, Réttabanki!AV:AV, "")) * I1401 / 100, ""), "")))</f>
        <v/>
      </c>
      <c r="P1401" s="26" t="str">
        <f>IF(OR(F1401 = "", G1401 = "", I1401 = ""), "", IF(F1401 = "Vara", IFERROR(_xlfn.SINGLE(_xlfn.XLOOKUP(G1401, Vöruskrá!A:A, Vöruskrá!J:J, "")) * I1401 / 100, ""), IF(F1401 = "Réttur", IFERROR(_xlfn.SINGLE(_xlfn.XLOOKUP(G1401, Réttabanki!A:A, Réttabanki!AW:AW, "")) * I1401 / 100, ""), "")))</f>
        <v/>
      </c>
      <c r="Q1401" s="26" t="str">
        <f>IF(OR(F1401 = "", G1401 = "", I1401 = ""), "", IF(F1401 = "Vara", IFERROR(_xlfn.SINGLE(_xlfn.XLOOKUP(G1401, Vöruskrá!A:A, Vöruskrá!N:N, "")) * I1401 / 100, ""), IF(F1401 = "Réttur", IFERROR(_xlfn.SINGLE(_xlfn.XLOOKUP(G1401, Réttabanki!A:A, Réttabanki!BB:BB, "")) * I1401 / 100, ""), "")))</f>
        <v/>
      </c>
    </row>
    <row r="1402" spans="2:17">
      <c r="B1402" s="33" t="str">
        <f>IF(A1402&lt;&gt;"",CHOOSE(WEEKDAY(A1402,2),"Mánudagur","Þriðjudagur","Miðvikudagur","Fimmtudagur","Föstudagur","Laugardagur","Sunnudagur"),IF(B1401&lt;&gt;"",B1401,""))</f>
        <v>Fimmtudagur</v>
      </c>
      <c r="C1402" s="33">
        <f>IF(A1402&lt;&gt;"",WEEKNUM(A1402,21),IF(C1401&lt;&gt;"",C1401,""))</f>
        <v>27</v>
      </c>
      <c r="D1402" s="34"/>
      <c r="E1402" s="34"/>
      <c r="F1402" s="34"/>
      <c r="G1402" s="34"/>
      <c r="H1402" s="34"/>
      <c r="I1402" s="35"/>
      <c r="J1402" s="35"/>
      <c r="K1402" s="36"/>
      <c r="L1402" s="26" t="str">
        <f>IF(OR(F1402 = "", G1402 = ""), "", IF(F1402 = "Vara", IFERROR(_xlfn.SINGLE(_xlfn.XLOOKUP(G1402, Vöruskrá!A:A, Vöruskrá!E:E, "")), ""), IF(F1402 = "Réttur", IFERROR(_xlfn.SINGLE(_xlfn.XLOOKUP(G1402, Réttabanki!A:A, Réttabanki!AS:AS, "")), ""), "")))</f>
        <v/>
      </c>
      <c r="M1402" s="26" t="str">
        <f>IF(OR(F1402 = "", G1402 = ""), "", IF(F1402 = "Vara", IFERROR(_xlfn.SINGLE(_xlfn.XLOOKUP(G1402, Vöruskrá!A:A, Vöruskrá!F:F, "")), ""), IF(F1402 = "Réttur", IFERROR(_xlfn.SINGLE(_xlfn.XLOOKUP(G1402, Réttabanki!A:A, Réttabanki!AT:AT, "")), ""), "")))</f>
        <v/>
      </c>
      <c r="N1402" s="26" t="str">
        <f>IF(OR(F1402 = "", G1402 = ""), "", IF(F1402 = "Vara", IFERROR(_xlfn.SINGLE(_xlfn.XLOOKUP(G1402, Vöruskrá!A:A, Vöruskrá!G:G, "")), ""), IF(F1402 = "Réttur", IFERROR(_xlfn.SINGLE(_xlfn.XLOOKUP(G1402, Réttabanki!A:A, Réttabanki!AU:AU, "")), ""), "")))</f>
        <v/>
      </c>
      <c r="O1402" s="26" t="str">
        <f>IF(OR(F1402 = "", G1402 = "", I1402 = ""), "", IF(F1402 = "Vara", IFERROR(_xlfn.SINGLE(_xlfn.XLOOKUP(G1402, Vöruskrá!A:A, Vöruskrá!I:I, "")) * I1402 / 100, ""), IF(F1402 = "Réttur", IFERROR(_xlfn.SINGLE(_xlfn.XLOOKUP(G1402, Réttabanki!A:A, Réttabanki!AV:AV, "")) * I1402 / 100, ""), "")))</f>
        <v/>
      </c>
      <c r="P1402" s="26" t="str">
        <f>IF(OR(F1402 = "", G1402 = "", I1402 = ""), "", IF(F1402 = "Vara", IFERROR(_xlfn.SINGLE(_xlfn.XLOOKUP(G1402, Vöruskrá!A:A, Vöruskrá!J:J, "")) * I1402 / 100, ""), IF(F1402 = "Réttur", IFERROR(_xlfn.SINGLE(_xlfn.XLOOKUP(G1402, Réttabanki!A:A, Réttabanki!AW:AW, "")) * I1402 / 100, ""), "")))</f>
        <v/>
      </c>
      <c r="Q1402" s="26" t="str">
        <f>IF(OR(F1402 = "", G1402 = "", I1402 = ""), "", IF(F1402 = "Vara", IFERROR(_xlfn.SINGLE(_xlfn.XLOOKUP(G1402, Vöruskrá!A:A, Vöruskrá!N:N, "")) * I1402 / 100, ""), IF(F1402 = "Réttur", IFERROR(_xlfn.SINGLE(_xlfn.XLOOKUP(G1402, Réttabanki!A:A, Réttabanki!BB:BB, "")) * I1402 / 100, ""), "")))</f>
        <v/>
      </c>
    </row>
    <row r="1403" spans="2:17">
      <c r="B1403" s="33" t="str">
        <f>IF(A1403&lt;&gt;"",CHOOSE(WEEKDAY(A1403,2),"Mánudagur","Þriðjudagur","Miðvikudagur","Fimmtudagur","Föstudagur","Laugardagur","Sunnudagur"),IF(B1402&lt;&gt;"",B1402,""))</f>
        <v>Fimmtudagur</v>
      </c>
      <c r="C1403" s="33">
        <f>IF(A1403&lt;&gt;"",WEEKNUM(A1403,21),IF(C1402&lt;&gt;"",C1402,""))</f>
        <v>27</v>
      </c>
      <c r="D1403" s="34"/>
      <c r="E1403" s="34"/>
      <c r="F1403" s="34"/>
      <c r="G1403" s="34"/>
      <c r="H1403" s="34"/>
      <c r="I1403" s="35"/>
      <c r="J1403" s="35"/>
      <c r="K1403" s="36"/>
      <c r="L1403" s="26" t="str">
        <f>IF(OR(F1403 = "", G1403 = ""), "", IF(F1403 = "Vara", IFERROR(_xlfn.SINGLE(_xlfn.XLOOKUP(G1403, Vöruskrá!A:A, Vöruskrá!E:E, "")), ""), IF(F1403 = "Réttur", IFERROR(_xlfn.SINGLE(_xlfn.XLOOKUP(G1403, Réttabanki!A:A, Réttabanki!AS:AS, "")), ""), "")))</f>
        <v/>
      </c>
      <c r="M1403" s="26" t="str">
        <f>IF(OR(F1403 = "", G1403 = ""), "", IF(F1403 = "Vara", IFERROR(_xlfn.SINGLE(_xlfn.XLOOKUP(G1403, Vöruskrá!A:A, Vöruskrá!F:F, "")), ""), IF(F1403 = "Réttur", IFERROR(_xlfn.SINGLE(_xlfn.XLOOKUP(G1403, Réttabanki!A:A, Réttabanki!AT:AT, "")), ""), "")))</f>
        <v/>
      </c>
      <c r="N1403" s="26" t="str">
        <f>IF(OR(F1403 = "", G1403 = ""), "", IF(F1403 = "Vara", IFERROR(_xlfn.SINGLE(_xlfn.XLOOKUP(G1403, Vöruskrá!A:A, Vöruskrá!G:G, "")), ""), IF(F1403 = "Réttur", IFERROR(_xlfn.SINGLE(_xlfn.XLOOKUP(G1403, Réttabanki!A:A, Réttabanki!AU:AU, "")), ""), "")))</f>
        <v/>
      </c>
      <c r="O1403" s="26" t="str">
        <f>IF(OR(F1403 = "", G1403 = "", I1403 = ""), "", IF(F1403 = "Vara", IFERROR(_xlfn.SINGLE(_xlfn.XLOOKUP(G1403, Vöruskrá!A:A, Vöruskrá!I:I, "")) * I1403 / 100, ""), IF(F1403 = "Réttur", IFERROR(_xlfn.SINGLE(_xlfn.XLOOKUP(G1403, Réttabanki!A:A, Réttabanki!AV:AV, "")) * I1403 / 100, ""), "")))</f>
        <v/>
      </c>
      <c r="P1403" s="26" t="str">
        <f>IF(OR(F1403 = "", G1403 = "", I1403 = ""), "", IF(F1403 = "Vara", IFERROR(_xlfn.SINGLE(_xlfn.XLOOKUP(G1403, Vöruskrá!A:A, Vöruskrá!J:J, "")) * I1403 / 100, ""), IF(F1403 = "Réttur", IFERROR(_xlfn.SINGLE(_xlfn.XLOOKUP(G1403, Réttabanki!A:A, Réttabanki!AW:AW, "")) * I1403 / 100, ""), "")))</f>
        <v/>
      </c>
      <c r="Q1403" s="26" t="str">
        <f>IF(OR(F1403 = "", G1403 = "", I1403 = ""), "", IF(F1403 = "Vara", IFERROR(_xlfn.SINGLE(_xlfn.XLOOKUP(G1403, Vöruskrá!A:A, Vöruskrá!N:N, "")) * I1403 / 100, ""), IF(F1403 = "Réttur", IFERROR(_xlfn.SINGLE(_xlfn.XLOOKUP(G1403, Réttabanki!A:A, Réttabanki!BB:BB, "")) * I1403 / 100, ""), "")))</f>
        <v/>
      </c>
    </row>
    <row r="1404" spans="2:17">
      <c r="B1404" s="33" t="str">
        <f>IF(A1404&lt;&gt;"",CHOOSE(WEEKDAY(A1404,2),"Mánudagur","Þriðjudagur","Miðvikudagur","Fimmtudagur","Föstudagur","Laugardagur","Sunnudagur"),IF(B1403&lt;&gt;"",B1403,""))</f>
        <v>Fimmtudagur</v>
      </c>
      <c r="C1404" s="33">
        <f>IF(A1404&lt;&gt;"",WEEKNUM(A1404,21),IF(C1403&lt;&gt;"",C1403,""))</f>
        <v>27</v>
      </c>
      <c r="D1404" s="34"/>
      <c r="E1404" s="34"/>
      <c r="F1404" s="34"/>
      <c r="G1404" s="34"/>
      <c r="H1404" s="34"/>
      <c r="I1404" s="35"/>
      <c r="J1404" s="35"/>
      <c r="K1404" s="36"/>
      <c r="L1404" s="26" t="str">
        <f>IF(OR(F1404 = "", G1404 = ""), "", IF(F1404 = "Vara", IFERROR(_xlfn.SINGLE(_xlfn.XLOOKUP(G1404, Vöruskrá!A:A, Vöruskrá!E:E, "")), ""), IF(F1404 = "Réttur", IFERROR(_xlfn.SINGLE(_xlfn.XLOOKUP(G1404, Réttabanki!A:A, Réttabanki!AS:AS, "")), ""), "")))</f>
        <v/>
      </c>
      <c r="M1404" s="26" t="str">
        <f>IF(OR(F1404 = "", G1404 = ""), "", IF(F1404 = "Vara", IFERROR(_xlfn.SINGLE(_xlfn.XLOOKUP(G1404, Vöruskrá!A:A, Vöruskrá!F:F, "")), ""), IF(F1404 = "Réttur", IFERROR(_xlfn.SINGLE(_xlfn.XLOOKUP(G1404, Réttabanki!A:A, Réttabanki!AT:AT, "")), ""), "")))</f>
        <v/>
      </c>
      <c r="N1404" s="26" t="str">
        <f>IF(OR(F1404 = "", G1404 = ""), "", IF(F1404 = "Vara", IFERROR(_xlfn.SINGLE(_xlfn.XLOOKUP(G1404, Vöruskrá!A:A, Vöruskrá!G:G, "")), ""), IF(F1404 = "Réttur", IFERROR(_xlfn.SINGLE(_xlfn.XLOOKUP(G1404, Réttabanki!A:A, Réttabanki!AU:AU, "")), ""), "")))</f>
        <v/>
      </c>
      <c r="O1404" s="26" t="str">
        <f>IF(OR(F1404 = "", G1404 = "", I1404 = ""), "", IF(F1404 = "Vara", IFERROR(_xlfn.SINGLE(_xlfn.XLOOKUP(G1404, Vöruskrá!A:A, Vöruskrá!I:I, "")) * I1404 / 100, ""), IF(F1404 = "Réttur", IFERROR(_xlfn.SINGLE(_xlfn.XLOOKUP(G1404, Réttabanki!A:A, Réttabanki!AV:AV, "")) * I1404 / 100, ""), "")))</f>
        <v/>
      </c>
      <c r="P1404" s="26" t="str">
        <f>IF(OR(F1404 = "", G1404 = "", I1404 = ""), "", IF(F1404 = "Vara", IFERROR(_xlfn.SINGLE(_xlfn.XLOOKUP(G1404, Vöruskrá!A:A, Vöruskrá!J:J, "")) * I1404 / 100, ""), IF(F1404 = "Réttur", IFERROR(_xlfn.SINGLE(_xlfn.XLOOKUP(G1404, Réttabanki!A:A, Réttabanki!AW:AW, "")) * I1404 / 100, ""), "")))</f>
        <v/>
      </c>
      <c r="Q1404" s="26" t="str">
        <f>IF(OR(F1404 = "", G1404 = "", I1404 = ""), "", IF(F1404 = "Vara", IFERROR(_xlfn.SINGLE(_xlfn.XLOOKUP(G1404, Vöruskrá!A:A, Vöruskrá!N:N, "")) * I1404 / 100, ""), IF(F1404 = "Réttur", IFERROR(_xlfn.SINGLE(_xlfn.XLOOKUP(G1404, Réttabanki!A:A, Réttabanki!BB:BB, "")) * I1404 / 100, ""), "")))</f>
        <v/>
      </c>
    </row>
    <row r="1405" spans="2:17">
      <c r="B1405" s="33" t="str">
        <f>IF(A1405&lt;&gt;"",CHOOSE(WEEKDAY(A1405,2),"Mánudagur","Þriðjudagur","Miðvikudagur","Fimmtudagur","Föstudagur","Laugardagur","Sunnudagur"),IF(B1404&lt;&gt;"",B1404,""))</f>
        <v>Fimmtudagur</v>
      </c>
      <c r="C1405" s="33">
        <f>IF(A1405&lt;&gt;"",WEEKNUM(A1405,21),IF(C1404&lt;&gt;"",C1404,""))</f>
        <v>27</v>
      </c>
      <c r="D1405" s="34"/>
      <c r="E1405" s="34"/>
      <c r="F1405" s="34"/>
      <c r="G1405" s="34"/>
      <c r="H1405" s="34"/>
      <c r="I1405" s="35"/>
      <c r="J1405" s="35"/>
      <c r="K1405" s="36"/>
      <c r="L1405" s="26" t="str">
        <f>IF(OR(F1405 = "", G1405 = ""), "", IF(F1405 = "Vara", IFERROR(_xlfn.SINGLE(_xlfn.XLOOKUP(G1405, Vöruskrá!A:A, Vöruskrá!E:E, "")), ""), IF(F1405 = "Réttur", IFERROR(_xlfn.SINGLE(_xlfn.XLOOKUP(G1405, Réttabanki!A:A, Réttabanki!AS:AS, "")), ""), "")))</f>
        <v/>
      </c>
      <c r="M1405" s="26" t="str">
        <f>IF(OR(F1405 = "", G1405 = ""), "", IF(F1405 = "Vara", IFERROR(_xlfn.SINGLE(_xlfn.XLOOKUP(G1405, Vöruskrá!A:A, Vöruskrá!F:F, "")), ""), IF(F1405 = "Réttur", IFERROR(_xlfn.SINGLE(_xlfn.XLOOKUP(G1405, Réttabanki!A:A, Réttabanki!AT:AT, "")), ""), "")))</f>
        <v/>
      </c>
      <c r="N1405" s="26" t="str">
        <f>IF(OR(F1405 = "", G1405 = ""), "", IF(F1405 = "Vara", IFERROR(_xlfn.SINGLE(_xlfn.XLOOKUP(G1405, Vöruskrá!A:A, Vöruskrá!G:G, "")), ""), IF(F1405 = "Réttur", IFERROR(_xlfn.SINGLE(_xlfn.XLOOKUP(G1405, Réttabanki!A:A, Réttabanki!AU:AU, "")), ""), "")))</f>
        <v/>
      </c>
      <c r="O1405" s="26" t="str">
        <f>IF(OR(F1405 = "", G1405 = "", I1405 = ""), "", IF(F1405 = "Vara", IFERROR(_xlfn.SINGLE(_xlfn.XLOOKUP(G1405, Vöruskrá!A:A, Vöruskrá!I:I, "")) * I1405 / 100, ""), IF(F1405 = "Réttur", IFERROR(_xlfn.SINGLE(_xlfn.XLOOKUP(G1405, Réttabanki!A:A, Réttabanki!AV:AV, "")) * I1405 / 100, ""), "")))</f>
        <v/>
      </c>
      <c r="P1405" s="26" t="str">
        <f>IF(OR(F1405 = "", G1405 = "", I1405 = ""), "", IF(F1405 = "Vara", IFERROR(_xlfn.SINGLE(_xlfn.XLOOKUP(G1405, Vöruskrá!A:A, Vöruskrá!J:J, "")) * I1405 / 100, ""), IF(F1405 = "Réttur", IFERROR(_xlfn.SINGLE(_xlfn.XLOOKUP(G1405, Réttabanki!A:A, Réttabanki!AW:AW, "")) * I1405 / 100, ""), "")))</f>
        <v/>
      </c>
      <c r="Q1405" s="26" t="str">
        <f>IF(OR(F1405 = "", G1405 = "", I1405 = ""), "", IF(F1405 = "Vara", IFERROR(_xlfn.SINGLE(_xlfn.XLOOKUP(G1405, Vöruskrá!A:A, Vöruskrá!N:N, "")) * I1405 / 100, ""), IF(F1405 = "Réttur", IFERROR(_xlfn.SINGLE(_xlfn.XLOOKUP(G1405, Réttabanki!A:A, Réttabanki!BB:BB, "")) * I1405 / 100, ""), "")))</f>
        <v/>
      </c>
    </row>
    <row r="1406" spans="2:17">
      <c r="B1406" s="33" t="str">
        <f>IF(A1406&lt;&gt;"",CHOOSE(WEEKDAY(A1406,2),"Mánudagur","Þriðjudagur","Miðvikudagur","Fimmtudagur","Föstudagur","Laugardagur","Sunnudagur"),IF(B1405&lt;&gt;"",B1405,""))</f>
        <v>Fimmtudagur</v>
      </c>
      <c r="C1406" s="33">
        <f>IF(A1406&lt;&gt;"",WEEKNUM(A1406,21),IF(C1405&lt;&gt;"",C1405,""))</f>
        <v>27</v>
      </c>
      <c r="D1406" s="34"/>
      <c r="E1406" s="34"/>
      <c r="F1406" s="34"/>
      <c r="G1406" s="34"/>
      <c r="H1406" s="34"/>
      <c r="I1406" s="35"/>
      <c r="J1406" s="35"/>
      <c r="K1406" s="36"/>
      <c r="L1406" s="26" t="str">
        <f>IF(OR(F1406 = "", G1406 = ""), "", IF(F1406 = "Vara", IFERROR(_xlfn.SINGLE(_xlfn.XLOOKUP(G1406, Vöruskrá!A:A, Vöruskrá!E:E, "")), ""), IF(F1406 = "Réttur", IFERROR(_xlfn.SINGLE(_xlfn.XLOOKUP(G1406, Réttabanki!A:A, Réttabanki!AS:AS, "")), ""), "")))</f>
        <v/>
      </c>
      <c r="M1406" s="26" t="str">
        <f>IF(OR(F1406 = "", G1406 = ""), "", IF(F1406 = "Vara", IFERROR(_xlfn.SINGLE(_xlfn.XLOOKUP(G1406, Vöruskrá!A:A, Vöruskrá!F:F, "")), ""), IF(F1406 = "Réttur", IFERROR(_xlfn.SINGLE(_xlfn.XLOOKUP(G1406, Réttabanki!A:A, Réttabanki!AT:AT, "")), ""), "")))</f>
        <v/>
      </c>
      <c r="N1406" s="26" t="str">
        <f>IF(OR(F1406 = "", G1406 = ""), "", IF(F1406 = "Vara", IFERROR(_xlfn.SINGLE(_xlfn.XLOOKUP(G1406, Vöruskrá!A:A, Vöruskrá!G:G, "")), ""), IF(F1406 = "Réttur", IFERROR(_xlfn.SINGLE(_xlfn.XLOOKUP(G1406, Réttabanki!A:A, Réttabanki!AU:AU, "")), ""), "")))</f>
        <v/>
      </c>
      <c r="O1406" s="26" t="str">
        <f>IF(OR(F1406 = "", G1406 = "", I1406 = ""), "", IF(F1406 = "Vara", IFERROR(_xlfn.SINGLE(_xlfn.XLOOKUP(G1406, Vöruskrá!A:A, Vöruskrá!I:I, "")) * I1406 / 100, ""), IF(F1406 = "Réttur", IFERROR(_xlfn.SINGLE(_xlfn.XLOOKUP(G1406, Réttabanki!A:A, Réttabanki!AV:AV, "")) * I1406 / 100, ""), "")))</f>
        <v/>
      </c>
      <c r="P1406" s="26" t="str">
        <f>IF(OR(F1406 = "", G1406 = "", I1406 = ""), "", IF(F1406 = "Vara", IFERROR(_xlfn.SINGLE(_xlfn.XLOOKUP(G1406, Vöruskrá!A:A, Vöruskrá!J:J, "")) * I1406 / 100, ""), IF(F1406 = "Réttur", IFERROR(_xlfn.SINGLE(_xlfn.XLOOKUP(G1406, Réttabanki!A:A, Réttabanki!AW:AW, "")) * I1406 / 100, ""), "")))</f>
        <v/>
      </c>
      <c r="Q1406" s="26" t="str">
        <f>IF(OR(F1406 = "", G1406 = "", I1406 = ""), "", IF(F1406 = "Vara", IFERROR(_xlfn.SINGLE(_xlfn.XLOOKUP(G1406, Vöruskrá!A:A, Vöruskrá!N:N, "")) * I1406 / 100, ""), IF(F1406 = "Réttur", IFERROR(_xlfn.SINGLE(_xlfn.XLOOKUP(G1406, Réttabanki!A:A, Réttabanki!BB:BB, "")) * I1406 / 100, ""), "")))</f>
        <v/>
      </c>
    </row>
    <row r="1407" spans="2:17">
      <c r="B1407" s="33" t="str">
        <f>IF(A1407&lt;&gt;"",CHOOSE(WEEKDAY(A1407,2),"Mánudagur","Þriðjudagur","Miðvikudagur","Fimmtudagur","Föstudagur","Laugardagur","Sunnudagur"),IF(B1406&lt;&gt;"",B1406,""))</f>
        <v>Fimmtudagur</v>
      </c>
      <c r="C1407" s="33">
        <f>IF(A1407&lt;&gt;"",WEEKNUM(A1407,21),IF(C1406&lt;&gt;"",C1406,""))</f>
        <v>27</v>
      </c>
      <c r="D1407" s="34"/>
      <c r="E1407" s="34"/>
      <c r="F1407" s="34"/>
      <c r="G1407" s="34"/>
      <c r="H1407" s="34"/>
      <c r="I1407" s="35"/>
      <c r="J1407" s="35"/>
      <c r="K1407" s="36"/>
      <c r="L1407" s="26" t="str">
        <f>IF(OR(F1407 = "", G1407 = ""), "", IF(F1407 = "Vara", IFERROR(_xlfn.SINGLE(_xlfn.XLOOKUP(G1407, Vöruskrá!A:A, Vöruskrá!E:E, "")), ""), IF(F1407 = "Réttur", IFERROR(_xlfn.SINGLE(_xlfn.XLOOKUP(G1407, Réttabanki!A:A, Réttabanki!AS:AS, "")), ""), "")))</f>
        <v/>
      </c>
      <c r="M1407" s="26" t="str">
        <f>IF(OR(F1407 = "", G1407 = ""), "", IF(F1407 = "Vara", IFERROR(_xlfn.SINGLE(_xlfn.XLOOKUP(G1407, Vöruskrá!A:A, Vöruskrá!F:F, "")), ""), IF(F1407 = "Réttur", IFERROR(_xlfn.SINGLE(_xlfn.XLOOKUP(G1407, Réttabanki!A:A, Réttabanki!AT:AT, "")), ""), "")))</f>
        <v/>
      </c>
      <c r="N1407" s="26" t="str">
        <f>IF(OR(F1407 = "", G1407 = ""), "", IF(F1407 = "Vara", IFERROR(_xlfn.SINGLE(_xlfn.XLOOKUP(G1407, Vöruskrá!A:A, Vöruskrá!G:G, "")), ""), IF(F1407 = "Réttur", IFERROR(_xlfn.SINGLE(_xlfn.XLOOKUP(G1407, Réttabanki!A:A, Réttabanki!AU:AU, "")), ""), "")))</f>
        <v/>
      </c>
      <c r="O1407" s="26" t="str">
        <f>IF(OR(F1407 = "", G1407 = "", I1407 = ""), "", IF(F1407 = "Vara", IFERROR(_xlfn.SINGLE(_xlfn.XLOOKUP(G1407, Vöruskrá!A:A, Vöruskrá!I:I, "")) * I1407 / 100, ""), IF(F1407 = "Réttur", IFERROR(_xlfn.SINGLE(_xlfn.XLOOKUP(G1407, Réttabanki!A:A, Réttabanki!AV:AV, "")) * I1407 / 100, ""), "")))</f>
        <v/>
      </c>
      <c r="P1407" s="26" t="str">
        <f>IF(OR(F1407 = "", G1407 = "", I1407 = ""), "", IF(F1407 = "Vara", IFERROR(_xlfn.SINGLE(_xlfn.XLOOKUP(G1407, Vöruskrá!A:A, Vöruskrá!J:J, "")) * I1407 / 100, ""), IF(F1407 = "Réttur", IFERROR(_xlfn.SINGLE(_xlfn.XLOOKUP(G1407, Réttabanki!A:A, Réttabanki!AW:AW, "")) * I1407 / 100, ""), "")))</f>
        <v/>
      </c>
      <c r="Q1407" s="26" t="str">
        <f>IF(OR(F1407 = "", G1407 = "", I1407 = ""), "", IF(F1407 = "Vara", IFERROR(_xlfn.SINGLE(_xlfn.XLOOKUP(G1407, Vöruskrá!A:A, Vöruskrá!N:N, "")) * I1407 / 100, ""), IF(F1407 = "Réttur", IFERROR(_xlfn.SINGLE(_xlfn.XLOOKUP(G1407, Réttabanki!A:A, Réttabanki!BB:BB, "")) * I1407 / 100, ""), "")))</f>
        <v/>
      </c>
    </row>
    <row r="1408" spans="2:17">
      <c r="B1408" s="33" t="str">
        <f>IF(A1408&lt;&gt;"",CHOOSE(WEEKDAY(A1408,2),"Mánudagur","Þriðjudagur","Miðvikudagur","Fimmtudagur","Föstudagur","Laugardagur","Sunnudagur"),IF(B1407&lt;&gt;"",B1407,""))</f>
        <v>Fimmtudagur</v>
      </c>
      <c r="C1408" s="33">
        <f>IF(A1408&lt;&gt;"",WEEKNUM(A1408,21),IF(C1407&lt;&gt;"",C1407,""))</f>
        <v>27</v>
      </c>
      <c r="D1408" s="34"/>
      <c r="E1408" s="34"/>
      <c r="F1408" s="34"/>
      <c r="G1408" s="34"/>
      <c r="H1408" s="34"/>
      <c r="I1408" s="35"/>
      <c r="J1408" s="35"/>
      <c r="K1408" s="36"/>
      <c r="L1408" s="26" t="str">
        <f>IF(OR(F1408 = "", G1408 = ""), "", IF(F1408 = "Vara", IFERROR(_xlfn.SINGLE(_xlfn.XLOOKUP(G1408, Vöruskrá!A:A, Vöruskrá!E:E, "")), ""), IF(F1408 = "Réttur", IFERROR(_xlfn.SINGLE(_xlfn.XLOOKUP(G1408, Réttabanki!A:A, Réttabanki!AS:AS, "")), ""), "")))</f>
        <v/>
      </c>
      <c r="M1408" s="26" t="str">
        <f>IF(OR(F1408 = "", G1408 = ""), "", IF(F1408 = "Vara", IFERROR(_xlfn.SINGLE(_xlfn.XLOOKUP(G1408, Vöruskrá!A:A, Vöruskrá!F:F, "")), ""), IF(F1408 = "Réttur", IFERROR(_xlfn.SINGLE(_xlfn.XLOOKUP(G1408, Réttabanki!A:A, Réttabanki!AT:AT, "")), ""), "")))</f>
        <v/>
      </c>
      <c r="N1408" s="26" t="str">
        <f>IF(OR(F1408 = "", G1408 = ""), "", IF(F1408 = "Vara", IFERROR(_xlfn.SINGLE(_xlfn.XLOOKUP(G1408, Vöruskrá!A:A, Vöruskrá!G:G, "")), ""), IF(F1408 = "Réttur", IFERROR(_xlfn.SINGLE(_xlfn.XLOOKUP(G1408, Réttabanki!A:A, Réttabanki!AU:AU, "")), ""), "")))</f>
        <v/>
      </c>
      <c r="O1408" s="26" t="str">
        <f>IF(OR(F1408 = "", G1408 = "", I1408 = ""), "", IF(F1408 = "Vara", IFERROR(_xlfn.SINGLE(_xlfn.XLOOKUP(G1408, Vöruskrá!A:A, Vöruskrá!I:I, "")) * I1408 / 100, ""), IF(F1408 = "Réttur", IFERROR(_xlfn.SINGLE(_xlfn.XLOOKUP(G1408, Réttabanki!A:A, Réttabanki!AV:AV, "")) * I1408 / 100, ""), "")))</f>
        <v/>
      </c>
      <c r="P1408" s="26" t="str">
        <f>IF(OR(F1408 = "", G1408 = "", I1408 = ""), "", IF(F1408 = "Vara", IFERROR(_xlfn.SINGLE(_xlfn.XLOOKUP(G1408, Vöruskrá!A:A, Vöruskrá!J:J, "")) * I1408 / 100, ""), IF(F1408 = "Réttur", IFERROR(_xlfn.SINGLE(_xlfn.XLOOKUP(G1408, Réttabanki!A:A, Réttabanki!AW:AW, "")) * I1408 / 100, ""), "")))</f>
        <v/>
      </c>
      <c r="Q1408" s="26" t="str">
        <f>IF(OR(F1408 = "", G1408 = "", I1408 = ""), "", IF(F1408 = "Vara", IFERROR(_xlfn.SINGLE(_xlfn.XLOOKUP(G1408, Vöruskrá!A:A, Vöruskrá!N:N, "")) * I1408 / 100, ""), IF(F1408 = "Réttur", IFERROR(_xlfn.SINGLE(_xlfn.XLOOKUP(G1408, Réttabanki!A:A, Réttabanki!BB:BB, "")) * I1408 / 100, ""), "")))</f>
        <v/>
      </c>
    </row>
    <row r="1409" spans="2:17">
      <c r="B1409" s="33" t="str">
        <f>IF(A1409&lt;&gt;"",CHOOSE(WEEKDAY(A1409,2),"Mánudagur","Þriðjudagur","Miðvikudagur","Fimmtudagur","Föstudagur","Laugardagur","Sunnudagur"),IF(B1408&lt;&gt;"",B1408,""))</f>
        <v>Fimmtudagur</v>
      </c>
      <c r="C1409" s="33">
        <f>IF(A1409&lt;&gt;"",WEEKNUM(A1409,21),IF(C1408&lt;&gt;"",C1408,""))</f>
        <v>27</v>
      </c>
      <c r="D1409" s="34"/>
      <c r="E1409" s="34"/>
      <c r="F1409" s="34"/>
      <c r="G1409" s="34"/>
      <c r="H1409" s="34"/>
      <c r="I1409" s="35"/>
      <c r="J1409" s="35"/>
      <c r="K1409" s="36"/>
      <c r="L1409" s="26" t="str">
        <f>IF(OR(F1409 = "", G1409 = ""), "", IF(F1409 = "Vara", IFERROR(_xlfn.SINGLE(_xlfn.XLOOKUP(G1409, Vöruskrá!A:A, Vöruskrá!E:E, "")), ""), IF(F1409 = "Réttur", IFERROR(_xlfn.SINGLE(_xlfn.XLOOKUP(G1409, Réttabanki!A:A, Réttabanki!AS:AS, "")), ""), "")))</f>
        <v/>
      </c>
      <c r="M1409" s="26" t="str">
        <f>IF(OR(F1409 = "", G1409 = ""), "", IF(F1409 = "Vara", IFERROR(_xlfn.SINGLE(_xlfn.XLOOKUP(G1409, Vöruskrá!A:A, Vöruskrá!F:F, "")), ""), IF(F1409 = "Réttur", IFERROR(_xlfn.SINGLE(_xlfn.XLOOKUP(G1409, Réttabanki!A:A, Réttabanki!AT:AT, "")), ""), "")))</f>
        <v/>
      </c>
      <c r="N1409" s="26" t="str">
        <f>IF(OR(F1409 = "", G1409 = ""), "", IF(F1409 = "Vara", IFERROR(_xlfn.SINGLE(_xlfn.XLOOKUP(G1409, Vöruskrá!A:A, Vöruskrá!G:G, "")), ""), IF(F1409 = "Réttur", IFERROR(_xlfn.SINGLE(_xlfn.XLOOKUP(G1409, Réttabanki!A:A, Réttabanki!AU:AU, "")), ""), "")))</f>
        <v/>
      </c>
      <c r="O1409" s="26" t="str">
        <f>IF(OR(F1409 = "", G1409 = "", I1409 = ""), "", IF(F1409 = "Vara", IFERROR(_xlfn.SINGLE(_xlfn.XLOOKUP(G1409, Vöruskrá!A:A, Vöruskrá!I:I, "")) * I1409 / 100, ""), IF(F1409 = "Réttur", IFERROR(_xlfn.SINGLE(_xlfn.XLOOKUP(G1409, Réttabanki!A:A, Réttabanki!AV:AV, "")) * I1409 / 100, ""), "")))</f>
        <v/>
      </c>
      <c r="P1409" s="26" t="str">
        <f>IF(OR(F1409 = "", G1409 = "", I1409 = ""), "", IF(F1409 = "Vara", IFERROR(_xlfn.SINGLE(_xlfn.XLOOKUP(G1409, Vöruskrá!A:A, Vöruskrá!J:J, "")) * I1409 / 100, ""), IF(F1409 = "Réttur", IFERROR(_xlfn.SINGLE(_xlfn.XLOOKUP(G1409, Réttabanki!A:A, Réttabanki!AW:AW, "")) * I1409 / 100, ""), "")))</f>
        <v/>
      </c>
      <c r="Q1409" s="26" t="str">
        <f>IF(OR(F1409 = "", G1409 = "", I1409 = ""), "", IF(F1409 = "Vara", IFERROR(_xlfn.SINGLE(_xlfn.XLOOKUP(G1409, Vöruskrá!A:A, Vöruskrá!N:N, "")) * I1409 / 100, ""), IF(F1409 = "Réttur", IFERROR(_xlfn.SINGLE(_xlfn.XLOOKUP(G1409, Réttabanki!A:A, Réttabanki!BB:BB, "")) * I1409 / 100, ""), "")))</f>
        <v/>
      </c>
    </row>
    <row r="1410" spans="2:17">
      <c r="B1410" s="33" t="str">
        <f>IF(A1410&lt;&gt;"",CHOOSE(WEEKDAY(A1410,2),"Mánudagur","Þriðjudagur","Miðvikudagur","Fimmtudagur","Föstudagur","Laugardagur","Sunnudagur"),IF(B1409&lt;&gt;"",B1409,""))</f>
        <v>Fimmtudagur</v>
      </c>
      <c r="C1410" s="33">
        <f>IF(A1410&lt;&gt;"",WEEKNUM(A1410,21),IF(C1409&lt;&gt;"",C1409,""))</f>
        <v>27</v>
      </c>
      <c r="D1410" s="34"/>
      <c r="E1410" s="34"/>
      <c r="F1410" s="34"/>
      <c r="G1410" s="34"/>
      <c r="H1410" s="34"/>
      <c r="I1410" s="35"/>
      <c r="J1410" s="35"/>
      <c r="K1410" s="36"/>
      <c r="L1410" s="26" t="str">
        <f>IF(OR(F1410 = "", G1410 = ""), "", IF(F1410 = "Vara", IFERROR(_xlfn.SINGLE(_xlfn.XLOOKUP(G1410, Vöruskrá!A:A, Vöruskrá!E:E, "")), ""), IF(F1410 = "Réttur", IFERROR(_xlfn.SINGLE(_xlfn.XLOOKUP(G1410, Réttabanki!A:A, Réttabanki!AS:AS, "")), ""), "")))</f>
        <v/>
      </c>
      <c r="M1410" s="26" t="str">
        <f>IF(OR(F1410 = "", G1410 = ""), "", IF(F1410 = "Vara", IFERROR(_xlfn.SINGLE(_xlfn.XLOOKUP(G1410, Vöruskrá!A:A, Vöruskrá!F:F, "")), ""), IF(F1410 = "Réttur", IFERROR(_xlfn.SINGLE(_xlfn.XLOOKUP(G1410, Réttabanki!A:A, Réttabanki!AT:AT, "")), ""), "")))</f>
        <v/>
      </c>
      <c r="N1410" s="26" t="str">
        <f>IF(OR(F1410 = "", G1410 = ""), "", IF(F1410 = "Vara", IFERROR(_xlfn.SINGLE(_xlfn.XLOOKUP(G1410, Vöruskrá!A:A, Vöruskrá!G:G, "")), ""), IF(F1410 = "Réttur", IFERROR(_xlfn.SINGLE(_xlfn.XLOOKUP(G1410, Réttabanki!A:A, Réttabanki!AU:AU, "")), ""), "")))</f>
        <v/>
      </c>
      <c r="O1410" s="26" t="str">
        <f>IF(OR(F1410 = "", G1410 = "", I1410 = ""), "", IF(F1410 = "Vara", IFERROR(_xlfn.SINGLE(_xlfn.XLOOKUP(G1410, Vöruskrá!A:A, Vöruskrá!I:I, "")) * I1410 / 100, ""), IF(F1410 = "Réttur", IFERROR(_xlfn.SINGLE(_xlfn.XLOOKUP(G1410, Réttabanki!A:A, Réttabanki!AV:AV, "")) * I1410 / 100, ""), "")))</f>
        <v/>
      </c>
      <c r="P1410" s="26" t="str">
        <f>IF(OR(F1410 = "", G1410 = "", I1410 = ""), "", IF(F1410 = "Vara", IFERROR(_xlfn.SINGLE(_xlfn.XLOOKUP(G1410, Vöruskrá!A:A, Vöruskrá!J:J, "")) * I1410 / 100, ""), IF(F1410 = "Réttur", IFERROR(_xlfn.SINGLE(_xlfn.XLOOKUP(G1410, Réttabanki!A:A, Réttabanki!AW:AW, "")) * I1410 / 100, ""), "")))</f>
        <v/>
      </c>
      <c r="Q1410" s="26" t="str">
        <f>IF(OR(F1410 = "", G1410 = "", I1410 = ""), "", IF(F1410 = "Vara", IFERROR(_xlfn.SINGLE(_xlfn.XLOOKUP(G1410, Vöruskrá!A:A, Vöruskrá!N:N, "")) * I1410 / 100, ""), IF(F1410 = "Réttur", IFERROR(_xlfn.SINGLE(_xlfn.XLOOKUP(G1410, Réttabanki!A:A, Réttabanki!BB:BB, "")) * I1410 / 100, ""), "")))</f>
        <v/>
      </c>
    </row>
    <row r="1411" spans="2:17">
      <c r="B1411" s="33" t="str">
        <f>IF(A1411&lt;&gt;"",CHOOSE(WEEKDAY(A1411,2),"Mánudagur","Þriðjudagur","Miðvikudagur","Fimmtudagur","Föstudagur","Laugardagur","Sunnudagur"),IF(B1410&lt;&gt;"",B1410,""))</f>
        <v>Fimmtudagur</v>
      </c>
      <c r="C1411" s="33">
        <f>IF(A1411&lt;&gt;"",WEEKNUM(A1411,21),IF(C1410&lt;&gt;"",C1410,""))</f>
        <v>27</v>
      </c>
      <c r="D1411" s="34"/>
      <c r="E1411" s="34"/>
      <c r="F1411" s="34"/>
      <c r="G1411" s="34"/>
      <c r="H1411" s="34"/>
      <c r="I1411" s="35"/>
      <c r="J1411" s="35"/>
      <c r="K1411" s="36"/>
      <c r="L1411" s="26" t="str">
        <f>IF(OR(F1411 = "", G1411 = ""), "", IF(F1411 = "Vara", IFERROR(_xlfn.SINGLE(_xlfn.XLOOKUP(G1411, Vöruskrá!A:A, Vöruskrá!E:E, "")), ""), IF(F1411 = "Réttur", IFERROR(_xlfn.SINGLE(_xlfn.XLOOKUP(G1411, Réttabanki!A:A, Réttabanki!AS:AS, "")), ""), "")))</f>
        <v/>
      </c>
      <c r="M1411" s="26" t="str">
        <f>IF(OR(F1411 = "", G1411 = ""), "", IF(F1411 = "Vara", IFERROR(_xlfn.SINGLE(_xlfn.XLOOKUP(G1411, Vöruskrá!A:A, Vöruskrá!F:F, "")), ""), IF(F1411 = "Réttur", IFERROR(_xlfn.SINGLE(_xlfn.XLOOKUP(G1411, Réttabanki!A:A, Réttabanki!AT:AT, "")), ""), "")))</f>
        <v/>
      </c>
      <c r="N1411" s="26" t="str">
        <f>IF(OR(F1411 = "", G1411 = ""), "", IF(F1411 = "Vara", IFERROR(_xlfn.SINGLE(_xlfn.XLOOKUP(G1411, Vöruskrá!A:A, Vöruskrá!G:G, "")), ""), IF(F1411 = "Réttur", IFERROR(_xlfn.SINGLE(_xlfn.XLOOKUP(G1411, Réttabanki!A:A, Réttabanki!AU:AU, "")), ""), "")))</f>
        <v/>
      </c>
      <c r="O1411" s="26" t="str">
        <f>IF(OR(F1411 = "", G1411 = "", I1411 = ""), "", IF(F1411 = "Vara", IFERROR(_xlfn.SINGLE(_xlfn.XLOOKUP(G1411, Vöruskrá!A:A, Vöruskrá!I:I, "")) * I1411 / 100, ""), IF(F1411 = "Réttur", IFERROR(_xlfn.SINGLE(_xlfn.XLOOKUP(G1411, Réttabanki!A:A, Réttabanki!AV:AV, "")) * I1411 / 100, ""), "")))</f>
        <v/>
      </c>
      <c r="P1411" s="26" t="str">
        <f>IF(OR(F1411 = "", G1411 = "", I1411 = ""), "", IF(F1411 = "Vara", IFERROR(_xlfn.SINGLE(_xlfn.XLOOKUP(G1411, Vöruskrá!A:A, Vöruskrá!J:J, "")) * I1411 / 100, ""), IF(F1411 = "Réttur", IFERROR(_xlfn.SINGLE(_xlfn.XLOOKUP(G1411, Réttabanki!A:A, Réttabanki!AW:AW, "")) * I1411 / 100, ""), "")))</f>
        <v/>
      </c>
      <c r="Q1411" s="26" t="str">
        <f>IF(OR(F1411 = "", G1411 = "", I1411 = ""), "", IF(F1411 = "Vara", IFERROR(_xlfn.SINGLE(_xlfn.XLOOKUP(G1411, Vöruskrá!A:A, Vöruskrá!N:N, "")) * I1411 / 100, ""), IF(F1411 = "Réttur", IFERROR(_xlfn.SINGLE(_xlfn.XLOOKUP(G1411, Réttabanki!A:A, Réttabanki!BB:BB, "")) * I1411 / 100, ""), "")))</f>
        <v/>
      </c>
    </row>
    <row r="1412" spans="2:17">
      <c r="B1412" s="33" t="str">
        <f>IF(A1412&lt;&gt;"",CHOOSE(WEEKDAY(A1412,2),"Mánudagur","Þriðjudagur","Miðvikudagur","Fimmtudagur","Föstudagur","Laugardagur","Sunnudagur"),IF(B1411&lt;&gt;"",B1411,""))</f>
        <v>Fimmtudagur</v>
      </c>
      <c r="C1412" s="33">
        <f>IF(A1412&lt;&gt;"",WEEKNUM(A1412,21),IF(C1411&lt;&gt;"",C1411,""))</f>
        <v>27</v>
      </c>
      <c r="D1412" s="34"/>
      <c r="E1412" s="34"/>
      <c r="F1412" s="34"/>
      <c r="G1412" s="34"/>
      <c r="H1412" s="34"/>
      <c r="I1412" s="35"/>
      <c r="J1412" s="35"/>
      <c r="K1412" s="36"/>
      <c r="L1412" s="26" t="str">
        <f>IF(OR(F1412 = "", G1412 = ""), "", IF(F1412 = "Vara", IFERROR(_xlfn.SINGLE(_xlfn.XLOOKUP(G1412, Vöruskrá!A:A, Vöruskrá!E:E, "")), ""), IF(F1412 = "Réttur", IFERROR(_xlfn.SINGLE(_xlfn.XLOOKUP(G1412, Réttabanki!A:A, Réttabanki!AS:AS, "")), ""), "")))</f>
        <v/>
      </c>
      <c r="M1412" s="26" t="str">
        <f>IF(OR(F1412 = "", G1412 = ""), "", IF(F1412 = "Vara", IFERROR(_xlfn.SINGLE(_xlfn.XLOOKUP(G1412, Vöruskrá!A:A, Vöruskrá!F:F, "")), ""), IF(F1412 = "Réttur", IFERROR(_xlfn.SINGLE(_xlfn.XLOOKUP(G1412, Réttabanki!A:A, Réttabanki!AT:AT, "")), ""), "")))</f>
        <v/>
      </c>
      <c r="N1412" s="26" t="str">
        <f>IF(OR(F1412 = "", G1412 = ""), "", IF(F1412 = "Vara", IFERROR(_xlfn.SINGLE(_xlfn.XLOOKUP(G1412, Vöruskrá!A:A, Vöruskrá!G:G, "")), ""), IF(F1412 = "Réttur", IFERROR(_xlfn.SINGLE(_xlfn.XLOOKUP(G1412, Réttabanki!A:A, Réttabanki!AU:AU, "")), ""), "")))</f>
        <v/>
      </c>
      <c r="O1412" s="26" t="str">
        <f>IF(OR(F1412 = "", G1412 = "", I1412 = ""), "", IF(F1412 = "Vara", IFERROR(_xlfn.SINGLE(_xlfn.XLOOKUP(G1412, Vöruskrá!A:A, Vöruskrá!I:I, "")) * I1412 / 100, ""), IF(F1412 = "Réttur", IFERROR(_xlfn.SINGLE(_xlfn.XLOOKUP(G1412, Réttabanki!A:A, Réttabanki!AV:AV, "")) * I1412 / 100, ""), "")))</f>
        <v/>
      </c>
      <c r="P1412" s="26" t="str">
        <f>IF(OR(F1412 = "", G1412 = "", I1412 = ""), "", IF(F1412 = "Vara", IFERROR(_xlfn.SINGLE(_xlfn.XLOOKUP(G1412, Vöruskrá!A:A, Vöruskrá!J:J, "")) * I1412 / 100, ""), IF(F1412 = "Réttur", IFERROR(_xlfn.SINGLE(_xlfn.XLOOKUP(G1412, Réttabanki!A:A, Réttabanki!AW:AW, "")) * I1412 / 100, ""), "")))</f>
        <v/>
      </c>
      <c r="Q1412" s="26" t="str">
        <f>IF(OR(F1412 = "", G1412 = "", I1412 = ""), "", IF(F1412 = "Vara", IFERROR(_xlfn.SINGLE(_xlfn.XLOOKUP(G1412, Vöruskrá!A:A, Vöruskrá!N:N, "")) * I1412 / 100, ""), IF(F1412 = "Réttur", IFERROR(_xlfn.SINGLE(_xlfn.XLOOKUP(G1412, Réttabanki!A:A, Réttabanki!BB:BB, "")) * I1412 / 100, ""), "")))</f>
        <v/>
      </c>
    </row>
    <row r="1413" spans="2:17">
      <c r="B1413" s="33" t="str">
        <f>IF(A1413&lt;&gt;"",CHOOSE(WEEKDAY(A1413,2),"Mánudagur","Þriðjudagur","Miðvikudagur","Fimmtudagur","Föstudagur","Laugardagur","Sunnudagur"),IF(B1412&lt;&gt;"",B1412,""))</f>
        <v>Fimmtudagur</v>
      </c>
      <c r="C1413" s="33">
        <f>IF(A1413&lt;&gt;"",WEEKNUM(A1413,21),IF(C1412&lt;&gt;"",C1412,""))</f>
        <v>27</v>
      </c>
      <c r="D1413" s="34"/>
      <c r="E1413" s="34"/>
      <c r="F1413" s="34"/>
      <c r="G1413" s="34"/>
      <c r="H1413" s="34"/>
      <c r="I1413" s="35"/>
      <c r="J1413" s="35"/>
      <c r="K1413" s="36"/>
      <c r="L1413" s="26" t="str">
        <f>IF(OR(F1413 = "", G1413 = ""), "", IF(F1413 = "Vara", IFERROR(_xlfn.SINGLE(_xlfn.XLOOKUP(G1413, Vöruskrá!A:A, Vöruskrá!E:E, "")), ""), IF(F1413 = "Réttur", IFERROR(_xlfn.SINGLE(_xlfn.XLOOKUP(G1413, Réttabanki!A:A, Réttabanki!AS:AS, "")), ""), "")))</f>
        <v/>
      </c>
      <c r="M1413" s="26" t="str">
        <f>IF(OR(F1413 = "", G1413 = ""), "", IF(F1413 = "Vara", IFERROR(_xlfn.SINGLE(_xlfn.XLOOKUP(G1413, Vöruskrá!A:A, Vöruskrá!F:F, "")), ""), IF(F1413 = "Réttur", IFERROR(_xlfn.SINGLE(_xlfn.XLOOKUP(G1413, Réttabanki!A:A, Réttabanki!AT:AT, "")), ""), "")))</f>
        <v/>
      </c>
      <c r="N1413" s="26" t="str">
        <f>IF(OR(F1413 = "", G1413 = ""), "", IF(F1413 = "Vara", IFERROR(_xlfn.SINGLE(_xlfn.XLOOKUP(G1413, Vöruskrá!A:A, Vöruskrá!G:G, "")), ""), IF(F1413 = "Réttur", IFERROR(_xlfn.SINGLE(_xlfn.XLOOKUP(G1413, Réttabanki!A:A, Réttabanki!AU:AU, "")), ""), "")))</f>
        <v/>
      </c>
      <c r="O1413" s="26" t="str">
        <f>IF(OR(F1413 = "", G1413 = "", I1413 = ""), "", IF(F1413 = "Vara", IFERROR(_xlfn.SINGLE(_xlfn.XLOOKUP(G1413, Vöruskrá!A:A, Vöruskrá!I:I, "")) * I1413 / 100, ""), IF(F1413 = "Réttur", IFERROR(_xlfn.SINGLE(_xlfn.XLOOKUP(G1413, Réttabanki!A:A, Réttabanki!AV:AV, "")) * I1413 / 100, ""), "")))</f>
        <v/>
      </c>
      <c r="P1413" s="26" t="str">
        <f>IF(OR(F1413 = "", G1413 = "", I1413 = ""), "", IF(F1413 = "Vara", IFERROR(_xlfn.SINGLE(_xlfn.XLOOKUP(G1413, Vöruskrá!A:A, Vöruskrá!J:J, "")) * I1413 / 100, ""), IF(F1413 = "Réttur", IFERROR(_xlfn.SINGLE(_xlfn.XLOOKUP(G1413, Réttabanki!A:A, Réttabanki!AW:AW, "")) * I1413 / 100, ""), "")))</f>
        <v/>
      </c>
      <c r="Q1413" s="26" t="str">
        <f>IF(OR(F1413 = "", G1413 = "", I1413 = ""), "", IF(F1413 = "Vara", IFERROR(_xlfn.SINGLE(_xlfn.XLOOKUP(G1413, Vöruskrá!A:A, Vöruskrá!N:N, "")) * I1413 / 100, ""), IF(F1413 = "Réttur", IFERROR(_xlfn.SINGLE(_xlfn.XLOOKUP(G1413, Réttabanki!A:A, Réttabanki!BB:BB, "")) * I1413 / 100, ""), "")))</f>
        <v/>
      </c>
    </row>
    <row r="1414" spans="2:17">
      <c r="B1414" s="33" t="str">
        <f>IF(A1414&lt;&gt;"",CHOOSE(WEEKDAY(A1414,2),"Mánudagur","Þriðjudagur","Miðvikudagur","Fimmtudagur","Föstudagur","Laugardagur","Sunnudagur"),IF(B1413&lt;&gt;"",B1413,""))</f>
        <v>Fimmtudagur</v>
      </c>
      <c r="C1414" s="33">
        <f>IF(A1414&lt;&gt;"",WEEKNUM(A1414,21),IF(C1413&lt;&gt;"",C1413,""))</f>
        <v>27</v>
      </c>
      <c r="D1414" s="34"/>
      <c r="E1414" s="34"/>
      <c r="F1414" s="34"/>
      <c r="G1414" s="34"/>
      <c r="H1414" s="34"/>
      <c r="I1414" s="35"/>
      <c r="J1414" s="35"/>
      <c r="K1414" s="36"/>
      <c r="L1414" s="26" t="str">
        <f>IF(OR(F1414 = "", G1414 = ""), "", IF(F1414 = "Vara", IFERROR(_xlfn.SINGLE(_xlfn.XLOOKUP(G1414, Vöruskrá!A:A, Vöruskrá!E:E, "")), ""), IF(F1414 = "Réttur", IFERROR(_xlfn.SINGLE(_xlfn.XLOOKUP(G1414, Réttabanki!A:A, Réttabanki!AS:AS, "")), ""), "")))</f>
        <v/>
      </c>
      <c r="M1414" s="26" t="str">
        <f>IF(OR(F1414 = "", G1414 = ""), "", IF(F1414 = "Vara", IFERROR(_xlfn.SINGLE(_xlfn.XLOOKUP(G1414, Vöruskrá!A:A, Vöruskrá!F:F, "")), ""), IF(F1414 = "Réttur", IFERROR(_xlfn.SINGLE(_xlfn.XLOOKUP(G1414, Réttabanki!A:A, Réttabanki!AT:AT, "")), ""), "")))</f>
        <v/>
      </c>
      <c r="N1414" s="26" t="str">
        <f>IF(OR(F1414 = "", G1414 = ""), "", IF(F1414 = "Vara", IFERROR(_xlfn.SINGLE(_xlfn.XLOOKUP(G1414, Vöruskrá!A:A, Vöruskrá!G:G, "")), ""), IF(F1414 = "Réttur", IFERROR(_xlfn.SINGLE(_xlfn.XLOOKUP(G1414, Réttabanki!A:A, Réttabanki!AU:AU, "")), ""), "")))</f>
        <v/>
      </c>
      <c r="O1414" s="26" t="str">
        <f>IF(OR(F1414 = "", G1414 = "", I1414 = ""), "", IF(F1414 = "Vara", IFERROR(_xlfn.SINGLE(_xlfn.XLOOKUP(G1414, Vöruskrá!A:A, Vöruskrá!I:I, "")) * I1414 / 100, ""), IF(F1414 = "Réttur", IFERROR(_xlfn.SINGLE(_xlfn.XLOOKUP(G1414, Réttabanki!A:A, Réttabanki!AV:AV, "")) * I1414 / 100, ""), "")))</f>
        <v/>
      </c>
      <c r="P1414" s="26" t="str">
        <f>IF(OR(F1414 = "", G1414 = "", I1414 = ""), "", IF(F1414 = "Vara", IFERROR(_xlfn.SINGLE(_xlfn.XLOOKUP(G1414, Vöruskrá!A:A, Vöruskrá!J:J, "")) * I1414 / 100, ""), IF(F1414 = "Réttur", IFERROR(_xlfn.SINGLE(_xlfn.XLOOKUP(G1414, Réttabanki!A:A, Réttabanki!AW:AW, "")) * I1414 / 100, ""), "")))</f>
        <v/>
      </c>
      <c r="Q1414" s="26" t="str">
        <f>IF(OR(F1414 = "", G1414 = "", I1414 = ""), "", IF(F1414 = "Vara", IFERROR(_xlfn.SINGLE(_xlfn.XLOOKUP(G1414, Vöruskrá!A:A, Vöruskrá!N:N, "")) * I1414 / 100, ""), IF(F1414 = "Réttur", IFERROR(_xlfn.SINGLE(_xlfn.XLOOKUP(G1414, Réttabanki!A:A, Réttabanki!BB:BB, "")) * I1414 / 100, ""), "")))</f>
        <v/>
      </c>
    </row>
    <row r="1415" spans="2:17">
      <c r="B1415" s="33" t="str">
        <f>IF(A1415&lt;&gt;"",CHOOSE(WEEKDAY(A1415,2),"Mánudagur","Þriðjudagur","Miðvikudagur","Fimmtudagur","Föstudagur","Laugardagur","Sunnudagur"),IF(B1414&lt;&gt;"",B1414,""))</f>
        <v>Fimmtudagur</v>
      </c>
      <c r="C1415" s="33">
        <f>IF(A1415&lt;&gt;"",WEEKNUM(A1415,21),IF(C1414&lt;&gt;"",C1414,""))</f>
        <v>27</v>
      </c>
      <c r="D1415" s="34"/>
      <c r="E1415" s="34"/>
      <c r="F1415" s="34"/>
      <c r="G1415" s="34"/>
      <c r="H1415" s="34"/>
      <c r="I1415" s="35"/>
      <c r="J1415" s="35"/>
      <c r="K1415" s="36"/>
      <c r="L1415" s="26" t="str">
        <f>IF(OR(F1415 = "", G1415 = ""), "", IF(F1415 = "Vara", IFERROR(_xlfn.SINGLE(_xlfn.XLOOKUP(G1415, Vöruskrá!A:A, Vöruskrá!E:E, "")), ""), IF(F1415 = "Réttur", IFERROR(_xlfn.SINGLE(_xlfn.XLOOKUP(G1415, Réttabanki!A:A, Réttabanki!AS:AS, "")), ""), "")))</f>
        <v/>
      </c>
      <c r="M1415" s="26" t="str">
        <f>IF(OR(F1415 = "", G1415 = ""), "", IF(F1415 = "Vara", IFERROR(_xlfn.SINGLE(_xlfn.XLOOKUP(G1415, Vöruskrá!A:A, Vöruskrá!F:F, "")), ""), IF(F1415 = "Réttur", IFERROR(_xlfn.SINGLE(_xlfn.XLOOKUP(G1415, Réttabanki!A:A, Réttabanki!AT:AT, "")), ""), "")))</f>
        <v/>
      </c>
      <c r="N1415" s="26" t="str">
        <f>IF(OR(F1415 = "", G1415 = ""), "", IF(F1415 = "Vara", IFERROR(_xlfn.SINGLE(_xlfn.XLOOKUP(G1415, Vöruskrá!A:A, Vöruskrá!G:G, "")), ""), IF(F1415 = "Réttur", IFERROR(_xlfn.SINGLE(_xlfn.XLOOKUP(G1415, Réttabanki!A:A, Réttabanki!AU:AU, "")), ""), "")))</f>
        <v/>
      </c>
      <c r="O1415" s="26" t="str">
        <f>IF(OR(F1415 = "", G1415 = "", I1415 = ""), "", IF(F1415 = "Vara", IFERROR(_xlfn.SINGLE(_xlfn.XLOOKUP(G1415, Vöruskrá!A:A, Vöruskrá!I:I, "")) * I1415 / 100, ""), IF(F1415 = "Réttur", IFERROR(_xlfn.SINGLE(_xlfn.XLOOKUP(G1415, Réttabanki!A:A, Réttabanki!AV:AV, "")) * I1415 / 100, ""), "")))</f>
        <v/>
      </c>
      <c r="P1415" s="26" t="str">
        <f>IF(OR(F1415 = "", G1415 = "", I1415 = ""), "", IF(F1415 = "Vara", IFERROR(_xlfn.SINGLE(_xlfn.XLOOKUP(G1415, Vöruskrá!A:A, Vöruskrá!J:J, "")) * I1415 / 100, ""), IF(F1415 = "Réttur", IFERROR(_xlfn.SINGLE(_xlfn.XLOOKUP(G1415, Réttabanki!A:A, Réttabanki!AW:AW, "")) * I1415 / 100, ""), "")))</f>
        <v/>
      </c>
      <c r="Q1415" s="26" t="str">
        <f>IF(OR(F1415 = "", G1415 = "", I1415 = ""), "", IF(F1415 = "Vara", IFERROR(_xlfn.SINGLE(_xlfn.XLOOKUP(G1415, Vöruskrá!A:A, Vöruskrá!N:N, "")) * I1415 / 100, ""), IF(F1415 = "Réttur", IFERROR(_xlfn.SINGLE(_xlfn.XLOOKUP(G1415, Réttabanki!A:A, Réttabanki!BB:BB, "")) * I1415 / 100, ""), "")))</f>
        <v/>
      </c>
    </row>
    <row r="1416" spans="2:17">
      <c r="B1416" s="33" t="str">
        <f>IF(A1416&lt;&gt;"",CHOOSE(WEEKDAY(A1416,2),"Mánudagur","Þriðjudagur","Miðvikudagur","Fimmtudagur","Föstudagur","Laugardagur","Sunnudagur"),IF(B1415&lt;&gt;"",B1415,""))</f>
        <v>Fimmtudagur</v>
      </c>
      <c r="C1416" s="33">
        <f>IF(A1416&lt;&gt;"",WEEKNUM(A1416,21),IF(C1415&lt;&gt;"",C1415,""))</f>
        <v>27</v>
      </c>
      <c r="D1416" s="34"/>
      <c r="E1416" s="34"/>
      <c r="F1416" s="34"/>
      <c r="G1416" s="34"/>
      <c r="H1416" s="34"/>
      <c r="I1416" s="35"/>
      <c r="J1416" s="35"/>
      <c r="K1416" s="36"/>
      <c r="L1416" s="26" t="str">
        <f>IF(OR(F1416 = "", G1416 = ""), "", IF(F1416 = "Vara", IFERROR(_xlfn.SINGLE(_xlfn.XLOOKUP(G1416, Vöruskrá!A:A, Vöruskrá!E:E, "")), ""), IF(F1416 = "Réttur", IFERROR(_xlfn.SINGLE(_xlfn.XLOOKUP(G1416, Réttabanki!A:A, Réttabanki!AS:AS, "")), ""), "")))</f>
        <v/>
      </c>
      <c r="M1416" s="26" t="str">
        <f>IF(OR(F1416 = "", G1416 = ""), "", IF(F1416 = "Vara", IFERROR(_xlfn.SINGLE(_xlfn.XLOOKUP(G1416, Vöruskrá!A:A, Vöruskrá!F:F, "")), ""), IF(F1416 = "Réttur", IFERROR(_xlfn.SINGLE(_xlfn.XLOOKUP(G1416, Réttabanki!A:A, Réttabanki!AT:AT, "")), ""), "")))</f>
        <v/>
      </c>
      <c r="N1416" s="26" t="str">
        <f>IF(OR(F1416 = "", G1416 = ""), "", IF(F1416 = "Vara", IFERROR(_xlfn.SINGLE(_xlfn.XLOOKUP(G1416, Vöruskrá!A:A, Vöruskrá!G:G, "")), ""), IF(F1416 = "Réttur", IFERROR(_xlfn.SINGLE(_xlfn.XLOOKUP(G1416, Réttabanki!A:A, Réttabanki!AU:AU, "")), ""), "")))</f>
        <v/>
      </c>
      <c r="O1416" s="26" t="str">
        <f>IF(OR(F1416 = "", G1416 = "", I1416 = ""), "", IF(F1416 = "Vara", IFERROR(_xlfn.SINGLE(_xlfn.XLOOKUP(G1416, Vöruskrá!A:A, Vöruskrá!I:I, "")) * I1416 / 100, ""), IF(F1416 = "Réttur", IFERROR(_xlfn.SINGLE(_xlfn.XLOOKUP(G1416, Réttabanki!A:A, Réttabanki!AV:AV, "")) * I1416 / 100, ""), "")))</f>
        <v/>
      </c>
      <c r="P1416" s="26" t="str">
        <f>IF(OR(F1416 = "", G1416 = "", I1416 = ""), "", IF(F1416 = "Vara", IFERROR(_xlfn.SINGLE(_xlfn.XLOOKUP(G1416, Vöruskrá!A:A, Vöruskrá!J:J, "")) * I1416 / 100, ""), IF(F1416 = "Réttur", IFERROR(_xlfn.SINGLE(_xlfn.XLOOKUP(G1416, Réttabanki!A:A, Réttabanki!AW:AW, "")) * I1416 / 100, ""), "")))</f>
        <v/>
      </c>
      <c r="Q1416" s="26" t="str">
        <f>IF(OR(F1416 = "", G1416 = "", I1416 = ""), "", IF(F1416 = "Vara", IFERROR(_xlfn.SINGLE(_xlfn.XLOOKUP(G1416, Vöruskrá!A:A, Vöruskrá!N:N, "")) * I1416 / 100, ""), IF(F1416 = "Réttur", IFERROR(_xlfn.SINGLE(_xlfn.XLOOKUP(G1416, Réttabanki!A:A, Réttabanki!BB:BB, "")) * I1416 / 100, ""), "")))</f>
        <v/>
      </c>
    </row>
    <row r="1417" spans="2:17">
      <c r="B1417" s="33" t="str">
        <f>IF(A1417&lt;&gt;"",CHOOSE(WEEKDAY(A1417,2),"Mánudagur","Þriðjudagur","Miðvikudagur","Fimmtudagur","Föstudagur","Laugardagur","Sunnudagur"),IF(B1416&lt;&gt;"",B1416,""))</f>
        <v>Fimmtudagur</v>
      </c>
      <c r="C1417" s="33">
        <f>IF(A1417&lt;&gt;"",WEEKNUM(A1417,21),IF(C1416&lt;&gt;"",C1416,""))</f>
        <v>27</v>
      </c>
      <c r="D1417" s="34"/>
      <c r="E1417" s="34"/>
      <c r="F1417" s="34"/>
      <c r="G1417" s="34"/>
      <c r="H1417" s="34"/>
      <c r="I1417" s="35"/>
      <c r="J1417" s="35"/>
      <c r="K1417" s="36"/>
      <c r="L1417" s="26" t="str">
        <f>IF(OR(F1417 = "", G1417 = ""), "", IF(F1417 = "Vara", IFERROR(_xlfn.SINGLE(_xlfn.XLOOKUP(G1417, Vöruskrá!A:A, Vöruskrá!E:E, "")), ""), IF(F1417 = "Réttur", IFERROR(_xlfn.SINGLE(_xlfn.XLOOKUP(G1417, Réttabanki!A:A, Réttabanki!AS:AS, "")), ""), "")))</f>
        <v/>
      </c>
      <c r="M1417" s="26" t="str">
        <f>IF(OR(F1417 = "", G1417 = ""), "", IF(F1417 = "Vara", IFERROR(_xlfn.SINGLE(_xlfn.XLOOKUP(G1417, Vöruskrá!A:A, Vöruskrá!F:F, "")), ""), IF(F1417 = "Réttur", IFERROR(_xlfn.SINGLE(_xlfn.XLOOKUP(G1417, Réttabanki!A:A, Réttabanki!AT:AT, "")), ""), "")))</f>
        <v/>
      </c>
      <c r="N1417" s="26" t="str">
        <f>IF(OR(F1417 = "", G1417 = ""), "", IF(F1417 = "Vara", IFERROR(_xlfn.SINGLE(_xlfn.XLOOKUP(G1417, Vöruskrá!A:A, Vöruskrá!G:G, "")), ""), IF(F1417 = "Réttur", IFERROR(_xlfn.SINGLE(_xlfn.XLOOKUP(G1417, Réttabanki!A:A, Réttabanki!AU:AU, "")), ""), "")))</f>
        <v/>
      </c>
      <c r="O1417" s="26" t="str">
        <f>IF(OR(F1417 = "", G1417 = "", I1417 = ""), "", IF(F1417 = "Vara", IFERROR(_xlfn.SINGLE(_xlfn.XLOOKUP(G1417, Vöruskrá!A:A, Vöruskrá!I:I, "")) * I1417 / 100, ""), IF(F1417 = "Réttur", IFERROR(_xlfn.SINGLE(_xlfn.XLOOKUP(G1417, Réttabanki!A:A, Réttabanki!AV:AV, "")) * I1417 / 100, ""), "")))</f>
        <v/>
      </c>
      <c r="P1417" s="26" t="str">
        <f>IF(OR(F1417 = "", G1417 = "", I1417 = ""), "", IF(F1417 = "Vara", IFERROR(_xlfn.SINGLE(_xlfn.XLOOKUP(G1417, Vöruskrá!A:A, Vöruskrá!J:J, "")) * I1417 / 100, ""), IF(F1417 = "Réttur", IFERROR(_xlfn.SINGLE(_xlfn.XLOOKUP(G1417, Réttabanki!A:A, Réttabanki!AW:AW, "")) * I1417 / 100, ""), "")))</f>
        <v/>
      </c>
      <c r="Q1417" s="26" t="str">
        <f>IF(OR(F1417 = "", G1417 = "", I1417 = ""), "", IF(F1417 = "Vara", IFERROR(_xlfn.SINGLE(_xlfn.XLOOKUP(G1417, Vöruskrá!A:A, Vöruskrá!N:N, "")) * I1417 / 100, ""), IF(F1417 = "Réttur", IFERROR(_xlfn.SINGLE(_xlfn.XLOOKUP(G1417, Réttabanki!A:A, Réttabanki!BB:BB, "")) * I1417 / 100, ""), "")))</f>
        <v/>
      </c>
    </row>
    <row r="1418" spans="2:17">
      <c r="B1418" s="33" t="str">
        <f>IF(A1418&lt;&gt;"",CHOOSE(WEEKDAY(A1418,2),"Mánudagur","Þriðjudagur","Miðvikudagur","Fimmtudagur","Föstudagur","Laugardagur","Sunnudagur"),IF(B1417&lt;&gt;"",B1417,""))</f>
        <v>Fimmtudagur</v>
      </c>
      <c r="C1418" s="33">
        <f>IF(A1418&lt;&gt;"",WEEKNUM(A1418,21),IF(C1417&lt;&gt;"",C1417,""))</f>
        <v>27</v>
      </c>
      <c r="D1418" s="34"/>
      <c r="E1418" s="34"/>
      <c r="F1418" s="34"/>
      <c r="G1418" s="34"/>
      <c r="H1418" s="34"/>
      <c r="I1418" s="35"/>
      <c r="J1418" s="35"/>
      <c r="K1418" s="36"/>
      <c r="L1418" s="26" t="str">
        <f>IF(OR(F1418 = "", G1418 = ""), "", IF(F1418 = "Vara", IFERROR(_xlfn.SINGLE(_xlfn.XLOOKUP(G1418, Vöruskrá!A:A, Vöruskrá!E:E, "")), ""), IF(F1418 = "Réttur", IFERROR(_xlfn.SINGLE(_xlfn.XLOOKUP(G1418, Réttabanki!A:A, Réttabanki!AS:AS, "")), ""), "")))</f>
        <v/>
      </c>
      <c r="M1418" s="26" t="str">
        <f>IF(OR(F1418 = "", G1418 = ""), "", IF(F1418 = "Vara", IFERROR(_xlfn.SINGLE(_xlfn.XLOOKUP(G1418, Vöruskrá!A:A, Vöruskrá!F:F, "")), ""), IF(F1418 = "Réttur", IFERROR(_xlfn.SINGLE(_xlfn.XLOOKUP(G1418, Réttabanki!A:A, Réttabanki!AT:AT, "")), ""), "")))</f>
        <v/>
      </c>
      <c r="N1418" s="26" t="str">
        <f>IF(OR(F1418 = "", G1418 = ""), "", IF(F1418 = "Vara", IFERROR(_xlfn.SINGLE(_xlfn.XLOOKUP(G1418, Vöruskrá!A:A, Vöruskrá!G:G, "")), ""), IF(F1418 = "Réttur", IFERROR(_xlfn.SINGLE(_xlfn.XLOOKUP(G1418, Réttabanki!A:A, Réttabanki!AU:AU, "")), ""), "")))</f>
        <v/>
      </c>
      <c r="O1418" s="26" t="str">
        <f>IF(OR(F1418 = "", G1418 = "", I1418 = ""), "", IF(F1418 = "Vara", IFERROR(_xlfn.SINGLE(_xlfn.XLOOKUP(G1418, Vöruskrá!A:A, Vöruskrá!I:I, "")) * I1418 / 100, ""), IF(F1418 = "Réttur", IFERROR(_xlfn.SINGLE(_xlfn.XLOOKUP(G1418, Réttabanki!A:A, Réttabanki!AV:AV, "")) * I1418 / 100, ""), "")))</f>
        <v/>
      </c>
      <c r="P1418" s="26" t="str">
        <f>IF(OR(F1418 = "", G1418 = "", I1418 = ""), "", IF(F1418 = "Vara", IFERROR(_xlfn.SINGLE(_xlfn.XLOOKUP(G1418, Vöruskrá!A:A, Vöruskrá!J:J, "")) * I1418 / 100, ""), IF(F1418 = "Réttur", IFERROR(_xlfn.SINGLE(_xlfn.XLOOKUP(G1418, Réttabanki!A:A, Réttabanki!AW:AW, "")) * I1418 / 100, ""), "")))</f>
        <v/>
      </c>
      <c r="Q1418" s="26" t="str">
        <f>IF(OR(F1418 = "", G1418 = "", I1418 = ""), "", IF(F1418 = "Vara", IFERROR(_xlfn.SINGLE(_xlfn.XLOOKUP(G1418, Vöruskrá!A:A, Vöruskrá!N:N, "")) * I1418 / 100, ""), IF(F1418 = "Réttur", IFERROR(_xlfn.SINGLE(_xlfn.XLOOKUP(G1418, Réttabanki!A:A, Réttabanki!BB:BB, "")) * I1418 / 100, ""), "")))</f>
        <v/>
      </c>
    </row>
    <row r="1419" spans="2:17">
      <c r="B1419" s="33" t="str">
        <f>IF(A1419&lt;&gt;"",CHOOSE(WEEKDAY(A1419,2),"Mánudagur","Þriðjudagur","Miðvikudagur","Fimmtudagur","Föstudagur","Laugardagur","Sunnudagur"),IF(B1418&lt;&gt;"",B1418,""))</f>
        <v>Fimmtudagur</v>
      </c>
      <c r="C1419" s="33">
        <f>IF(A1419&lt;&gt;"",WEEKNUM(A1419,21),IF(C1418&lt;&gt;"",C1418,""))</f>
        <v>27</v>
      </c>
      <c r="D1419" s="34"/>
      <c r="E1419" s="34"/>
      <c r="F1419" s="34"/>
      <c r="G1419" s="34"/>
      <c r="H1419" s="34"/>
      <c r="I1419" s="35"/>
      <c r="J1419" s="35"/>
      <c r="K1419" s="36"/>
      <c r="L1419" s="26" t="str">
        <f>IF(OR(F1419 = "", G1419 = ""), "", IF(F1419 = "Vara", IFERROR(_xlfn.SINGLE(_xlfn.XLOOKUP(G1419, Vöruskrá!A:A, Vöruskrá!E:E, "")), ""), IF(F1419 = "Réttur", IFERROR(_xlfn.SINGLE(_xlfn.XLOOKUP(G1419, Réttabanki!A:A, Réttabanki!AS:AS, "")), ""), "")))</f>
        <v/>
      </c>
      <c r="M1419" s="26" t="str">
        <f>IF(OR(F1419 = "", G1419 = ""), "", IF(F1419 = "Vara", IFERROR(_xlfn.SINGLE(_xlfn.XLOOKUP(G1419, Vöruskrá!A:A, Vöruskrá!F:F, "")), ""), IF(F1419 = "Réttur", IFERROR(_xlfn.SINGLE(_xlfn.XLOOKUP(G1419, Réttabanki!A:A, Réttabanki!AT:AT, "")), ""), "")))</f>
        <v/>
      </c>
      <c r="N1419" s="26" t="str">
        <f>IF(OR(F1419 = "", G1419 = ""), "", IF(F1419 = "Vara", IFERROR(_xlfn.SINGLE(_xlfn.XLOOKUP(G1419, Vöruskrá!A:A, Vöruskrá!G:G, "")), ""), IF(F1419 = "Réttur", IFERROR(_xlfn.SINGLE(_xlfn.XLOOKUP(G1419, Réttabanki!A:A, Réttabanki!AU:AU, "")), ""), "")))</f>
        <v/>
      </c>
      <c r="O1419" s="26" t="str">
        <f>IF(OR(F1419 = "", G1419 = "", I1419 = ""), "", IF(F1419 = "Vara", IFERROR(_xlfn.SINGLE(_xlfn.XLOOKUP(G1419, Vöruskrá!A:A, Vöruskrá!I:I, "")) * I1419 / 100, ""), IF(F1419 = "Réttur", IFERROR(_xlfn.SINGLE(_xlfn.XLOOKUP(G1419, Réttabanki!A:A, Réttabanki!AV:AV, "")) * I1419 / 100, ""), "")))</f>
        <v/>
      </c>
      <c r="P1419" s="26" t="str">
        <f>IF(OR(F1419 = "", G1419 = "", I1419 = ""), "", IF(F1419 = "Vara", IFERROR(_xlfn.SINGLE(_xlfn.XLOOKUP(G1419, Vöruskrá!A:A, Vöruskrá!J:J, "")) * I1419 / 100, ""), IF(F1419 = "Réttur", IFERROR(_xlfn.SINGLE(_xlfn.XLOOKUP(G1419, Réttabanki!A:A, Réttabanki!AW:AW, "")) * I1419 / 100, ""), "")))</f>
        <v/>
      </c>
      <c r="Q1419" s="26" t="str">
        <f>IF(OR(F1419 = "", G1419 = "", I1419 = ""), "", IF(F1419 = "Vara", IFERROR(_xlfn.SINGLE(_xlfn.XLOOKUP(G1419, Vöruskrá!A:A, Vöruskrá!N:N, "")) * I1419 / 100, ""), IF(F1419 = "Réttur", IFERROR(_xlfn.SINGLE(_xlfn.XLOOKUP(G1419, Réttabanki!A:A, Réttabanki!BB:BB, "")) * I1419 / 100, ""), "")))</f>
        <v/>
      </c>
    </row>
    <row r="1420" spans="2:17">
      <c r="B1420" s="33" t="str">
        <f>IF(A1420&lt;&gt;"",CHOOSE(WEEKDAY(A1420,2),"Mánudagur","Þriðjudagur","Miðvikudagur","Fimmtudagur","Föstudagur","Laugardagur","Sunnudagur"),IF(B1419&lt;&gt;"",B1419,""))</f>
        <v>Fimmtudagur</v>
      </c>
      <c r="C1420" s="33">
        <f>IF(A1420&lt;&gt;"",WEEKNUM(A1420,21),IF(C1419&lt;&gt;"",C1419,""))</f>
        <v>27</v>
      </c>
      <c r="D1420" s="34"/>
      <c r="E1420" s="34"/>
      <c r="F1420" s="34"/>
      <c r="G1420" s="34"/>
      <c r="H1420" s="34"/>
      <c r="I1420" s="35"/>
      <c r="J1420" s="35"/>
      <c r="K1420" s="36"/>
      <c r="L1420" s="26" t="str">
        <f>IF(OR(F1420 = "", G1420 = ""), "", IF(F1420 = "Vara", IFERROR(_xlfn.SINGLE(_xlfn.XLOOKUP(G1420, Vöruskrá!A:A, Vöruskrá!E:E, "")), ""), IF(F1420 = "Réttur", IFERROR(_xlfn.SINGLE(_xlfn.XLOOKUP(G1420, Réttabanki!A:A, Réttabanki!AS:AS, "")), ""), "")))</f>
        <v/>
      </c>
      <c r="M1420" s="26" t="str">
        <f>IF(OR(F1420 = "", G1420 = ""), "", IF(F1420 = "Vara", IFERROR(_xlfn.SINGLE(_xlfn.XLOOKUP(G1420, Vöruskrá!A:A, Vöruskrá!F:F, "")), ""), IF(F1420 = "Réttur", IFERROR(_xlfn.SINGLE(_xlfn.XLOOKUP(G1420, Réttabanki!A:A, Réttabanki!AT:AT, "")), ""), "")))</f>
        <v/>
      </c>
      <c r="N1420" s="26" t="str">
        <f>IF(OR(F1420 = "", G1420 = ""), "", IF(F1420 = "Vara", IFERROR(_xlfn.SINGLE(_xlfn.XLOOKUP(G1420, Vöruskrá!A:A, Vöruskrá!G:G, "")), ""), IF(F1420 = "Réttur", IFERROR(_xlfn.SINGLE(_xlfn.XLOOKUP(G1420, Réttabanki!A:A, Réttabanki!AU:AU, "")), ""), "")))</f>
        <v/>
      </c>
      <c r="O1420" s="26" t="str">
        <f>IF(OR(F1420 = "", G1420 = "", I1420 = ""), "", IF(F1420 = "Vara", IFERROR(_xlfn.SINGLE(_xlfn.XLOOKUP(G1420, Vöruskrá!A:A, Vöruskrá!I:I, "")) * I1420 / 100, ""), IF(F1420 = "Réttur", IFERROR(_xlfn.SINGLE(_xlfn.XLOOKUP(G1420, Réttabanki!A:A, Réttabanki!AV:AV, "")) * I1420 / 100, ""), "")))</f>
        <v/>
      </c>
      <c r="P1420" s="26" t="str">
        <f>IF(OR(F1420 = "", G1420 = "", I1420 = ""), "", IF(F1420 = "Vara", IFERROR(_xlfn.SINGLE(_xlfn.XLOOKUP(G1420, Vöruskrá!A:A, Vöruskrá!J:J, "")) * I1420 / 100, ""), IF(F1420 = "Réttur", IFERROR(_xlfn.SINGLE(_xlfn.XLOOKUP(G1420, Réttabanki!A:A, Réttabanki!AW:AW, "")) * I1420 / 100, ""), "")))</f>
        <v/>
      </c>
      <c r="Q1420" s="26" t="str">
        <f>IF(OR(F1420 = "", G1420 = "", I1420 = ""), "", IF(F1420 = "Vara", IFERROR(_xlfn.SINGLE(_xlfn.XLOOKUP(G1420, Vöruskrá!A:A, Vöruskrá!N:N, "")) * I1420 / 100, ""), IF(F1420 = "Réttur", IFERROR(_xlfn.SINGLE(_xlfn.XLOOKUP(G1420, Réttabanki!A:A, Réttabanki!BB:BB, "")) * I1420 / 100, ""), "")))</f>
        <v/>
      </c>
    </row>
    <row r="1421" spans="2:17">
      <c r="B1421" s="33" t="str">
        <f>IF(A1421&lt;&gt;"",CHOOSE(WEEKDAY(A1421,2),"Mánudagur","Þriðjudagur","Miðvikudagur","Fimmtudagur","Föstudagur","Laugardagur","Sunnudagur"),IF(B1420&lt;&gt;"",B1420,""))</f>
        <v>Fimmtudagur</v>
      </c>
      <c r="C1421" s="33">
        <f>IF(A1421&lt;&gt;"",WEEKNUM(A1421,21),IF(C1420&lt;&gt;"",C1420,""))</f>
        <v>27</v>
      </c>
      <c r="D1421" s="34"/>
      <c r="E1421" s="34"/>
      <c r="F1421" s="34"/>
      <c r="G1421" s="34"/>
      <c r="H1421" s="34"/>
      <c r="I1421" s="35"/>
      <c r="J1421" s="35"/>
      <c r="K1421" s="36"/>
      <c r="L1421" s="26" t="str">
        <f>IF(OR(F1421 = "", G1421 = ""), "", IF(F1421 = "Vara", IFERROR(_xlfn.SINGLE(_xlfn.XLOOKUP(G1421, Vöruskrá!A:A, Vöruskrá!E:E, "")), ""), IF(F1421 = "Réttur", IFERROR(_xlfn.SINGLE(_xlfn.XLOOKUP(G1421, Réttabanki!A:A, Réttabanki!AS:AS, "")), ""), "")))</f>
        <v/>
      </c>
      <c r="M1421" s="26" t="str">
        <f>IF(OR(F1421 = "", G1421 = ""), "", IF(F1421 = "Vara", IFERROR(_xlfn.SINGLE(_xlfn.XLOOKUP(G1421, Vöruskrá!A:A, Vöruskrá!F:F, "")), ""), IF(F1421 = "Réttur", IFERROR(_xlfn.SINGLE(_xlfn.XLOOKUP(G1421, Réttabanki!A:A, Réttabanki!AT:AT, "")), ""), "")))</f>
        <v/>
      </c>
      <c r="N1421" s="26" t="str">
        <f>IF(OR(F1421 = "", G1421 = ""), "", IF(F1421 = "Vara", IFERROR(_xlfn.SINGLE(_xlfn.XLOOKUP(G1421, Vöruskrá!A:A, Vöruskrá!G:G, "")), ""), IF(F1421 = "Réttur", IFERROR(_xlfn.SINGLE(_xlfn.XLOOKUP(G1421, Réttabanki!A:A, Réttabanki!AU:AU, "")), ""), "")))</f>
        <v/>
      </c>
      <c r="O1421" s="26" t="str">
        <f>IF(OR(F1421 = "", G1421 = "", I1421 = ""), "", IF(F1421 = "Vara", IFERROR(_xlfn.SINGLE(_xlfn.XLOOKUP(G1421, Vöruskrá!A:A, Vöruskrá!I:I, "")) * I1421 / 100, ""), IF(F1421 = "Réttur", IFERROR(_xlfn.SINGLE(_xlfn.XLOOKUP(G1421, Réttabanki!A:A, Réttabanki!AV:AV, "")) * I1421 / 100, ""), "")))</f>
        <v/>
      </c>
      <c r="P1421" s="26" t="str">
        <f>IF(OR(F1421 = "", G1421 = "", I1421 = ""), "", IF(F1421 = "Vara", IFERROR(_xlfn.SINGLE(_xlfn.XLOOKUP(G1421, Vöruskrá!A:A, Vöruskrá!J:J, "")) * I1421 / 100, ""), IF(F1421 = "Réttur", IFERROR(_xlfn.SINGLE(_xlfn.XLOOKUP(G1421, Réttabanki!A:A, Réttabanki!AW:AW, "")) * I1421 / 100, ""), "")))</f>
        <v/>
      </c>
      <c r="Q1421" s="26" t="str">
        <f>IF(OR(F1421 = "", G1421 = "", I1421 = ""), "", IF(F1421 = "Vara", IFERROR(_xlfn.SINGLE(_xlfn.XLOOKUP(G1421, Vöruskrá!A:A, Vöruskrá!N:N, "")) * I1421 / 100, ""), IF(F1421 = "Réttur", IFERROR(_xlfn.SINGLE(_xlfn.XLOOKUP(G1421, Réttabanki!A:A, Réttabanki!BB:BB, "")) * I1421 / 100, ""), "")))</f>
        <v/>
      </c>
    </row>
    <row r="1422" spans="2:17">
      <c r="B1422" s="33" t="str">
        <f>IF(A1422&lt;&gt;"",CHOOSE(WEEKDAY(A1422,2),"Mánudagur","Þriðjudagur","Miðvikudagur","Fimmtudagur","Föstudagur","Laugardagur","Sunnudagur"),IF(B1421&lt;&gt;"",B1421,""))</f>
        <v>Fimmtudagur</v>
      </c>
      <c r="C1422" s="33">
        <f>IF(A1422&lt;&gt;"",WEEKNUM(A1422,21),IF(C1421&lt;&gt;"",C1421,""))</f>
        <v>27</v>
      </c>
      <c r="D1422" s="34"/>
      <c r="E1422" s="34"/>
      <c r="F1422" s="34"/>
      <c r="G1422" s="34"/>
      <c r="H1422" s="34"/>
      <c r="I1422" s="35"/>
      <c r="J1422" s="35"/>
      <c r="K1422" s="36"/>
      <c r="L1422" s="26" t="str">
        <f>IF(OR(F1422 = "", G1422 = ""), "", IF(F1422 = "Vara", IFERROR(_xlfn.SINGLE(_xlfn.XLOOKUP(G1422, Vöruskrá!A:A, Vöruskrá!E:E, "")), ""), IF(F1422 = "Réttur", IFERROR(_xlfn.SINGLE(_xlfn.XLOOKUP(G1422, Réttabanki!A:A, Réttabanki!AS:AS, "")), ""), "")))</f>
        <v/>
      </c>
      <c r="M1422" s="26" t="str">
        <f>IF(OR(F1422 = "", G1422 = ""), "", IF(F1422 = "Vara", IFERROR(_xlfn.SINGLE(_xlfn.XLOOKUP(G1422, Vöruskrá!A:A, Vöruskrá!F:F, "")), ""), IF(F1422 = "Réttur", IFERROR(_xlfn.SINGLE(_xlfn.XLOOKUP(G1422, Réttabanki!A:A, Réttabanki!AT:AT, "")), ""), "")))</f>
        <v/>
      </c>
      <c r="N1422" s="26" t="str">
        <f>IF(OR(F1422 = "", G1422 = ""), "", IF(F1422 = "Vara", IFERROR(_xlfn.SINGLE(_xlfn.XLOOKUP(G1422, Vöruskrá!A:A, Vöruskrá!G:G, "")), ""), IF(F1422 = "Réttur", IFERROR(_xlfn.SINGLE(_xlfn.XLOOKUP(G1422, Réttabanki!A:A, Réttabanki!AU:AU, "")), ""), "")))</f>
        <v/>
      </c>
      <c r="O1422" s="26" t="str">
        <f>IF(OR(F1422 = "", G1422 = "", I1422 = ""), "", IF(F1422 = "Vara", IFERROR(_xlfn.SINGLE(_xlfn.XLOOKUP(G1422, Vöruskrá!A:A, Vöruskrá!I:I, "")) * I1422 / 100, ""), IF(F1422 = "Réttur", IFERROR(_xlfn.SINGLE(_xlfn.XLOOKUP(G1422, Réttabanki!A:A, Réttabanki!AV:AV, "")) * I1422 / 100, ""), "")))</f>
        <v/>
      </c>
      <c r="P1422" s="26" t="str">
        <f>IF(OR(F1422 = "", G1422 = "", I1422 = ""), "", IF(F1422 = "Vara", IFERROR(_xlfn.SINGLE(_xlfn.XLOOKUP(G1422, Vöruskrá!A:A, Vöruskrá!J:J, "")) * I1422 / 100, ""), IF(F1422 = "Réttur", IFERROR(_xlfn.SINGLE(_xlfn.XLOOKUP(G1422, Réttabanki!A:A, Réttabanki!AW:AW, "")) * I1422 / 100, ""), "")))</f>
        <v/>
      </c>
      <c r="Q1422" s="26" t="str">
        <f>IF(OR(F1422 = "", G1422 = "", I1422 = ""), "", IF(F1422 = "Vara", IFERROR(_xlfn.SINGLE(_xlfn.XLOOKUP(G1422, Vöruskrá!A:A, Vöruskrá!N:N, "")) * I1422 / 100, ""), IF(F1422 = "Réttur", IFERROR(_xlfn.SINGLE(_xlfn.XLOOKUP(G1422, Réttabanki!A:A, Réttabanki!BB:BB, "")) * I1422 / 100, ""), "")))</f>
        <v/>
      </c>
    </row>
    <row r="1423" spans="2:17">
      <c r="B1423" s="33" t="str">
        <f>IF(A1423&lt;&gt;"",CHOOSE(WEEKDAY(A1423,2),"Mánudagur","Þriðjudagur","Miðvikudagur","Fimmtudagur","Föstudagur","Laugardagur","Sunnudagur"),IF(B1422&lt;&gt;"",B1422,""))</f>
        <v>Fimmtudagur</v>
      </c>
      <c r="C1423" s="33">
        <f>IF(A1423&lt;&gt;"",WEEKNUM(A1423,21),IF(C1422&lt;&gt;"",C1422,""))</f>
        <v>27</v>
      </c>
      <c r="D1423" s="34"/>
      <c r="E1423" s="34"/>
      <c r="F1423" s="34"/>
      <c r="G1423" s="34"/>
      <c r="H1423" s="34"/>
      <c r="I1423" s="35"/>
      <c r="J1423" s="35"/>
      <c r="K1423" s="36"/>
      <c r="L1423" s="26" t="str">
        <f>IF(OR(F1423 = "", G1423 = ""), "", IF(F1423 = "Vara", IFERROR(_xlfn.SINGLE(_xlfn.XLOOKUP(G1423, Vöruskrá!A:A, Vöruskrá!E:E, "")), ""), IF(F1423 = "Réttur", IFERROR(_xlfn.SINGLE(_xlfn.XLOOKUP(G1423, Réttabanki!A:A, Réttabanki!AS:AS, "")), ""), "")))</f>
        <v/>
      </c>
      <c r="M1423" s="26" t="str">
        <f>IF(OR(F1423 = "", G1423 = ""), "", IF(F1423 = "Vara", IFERROR(_xlfn.SINGLE(_xlfn.XLOOKUP(G1423, Vöruskrá!A:A, Vöruskrá!F:F, "")), ""), IF(F1423 = "Réttur", IFERROR(_xlfn.SINGLE(_xlfn.XLOOKUP(G1423, Réttabanki!A:A, Réttabanki!AT:AT, "")), ""), "")))</f>
        <v/>
      </c>
      <c r="N1423" s="26" t="str">
        <f>IF(OR(F1423 = "", G1423 = ""), "", IF(F1423 = "Vara", IFERROR(_xlfn.SINGLE(_xlfn.XLOOKUP(G1423, Vöruskrá!A:A, Vöruskrá!G:G, "")), ""), IF(F1423 = "Réttur", IFERROR(_xlfn.SINGLE(_xlfn.XLOOKUP(G1423, Réttabanki!A:A, Réttabanki!AU:AU, "")), ""), "")))</f>
        <v/>
      </c>
      <c r="O1423" s="26" t="str">
        <f>IF(OR(F1423 = "", G1423 = "", I1423 = ""), "", IF(F1423 = "Vara", IFERROR(_xlfn.SINGLE(_xlfn.XLOOKUP(G1423, Vöruskrá!A:A, Vöruskrá!I:I, "")) * I1423 / 100, ""), IF(F1423 = "Réttur", IFERROR(_xlfn.SINGLE(_xlfn.XLOOKUP(G1423, Réttabanki!A:A, Réttabanki!AV:AV, "")) * I1423 / 100, ""), "")))</f>
        <v/>
      </c>
      <c r="P1423" s="26" t="str">
        <f>IF(OR(F1423 = "", G1423 = "", I1423 = ""), "", IF(F1423 = "Vara", IFERROR(_xlfn.SINGLE(_xlfn.XLOOKUP(G1423, Vöruskrá!A:A, Vöruskrá!J:J, "")) * I1423 / 100, ""), IF(F1423 = "Réttur", IFERROR(_xlfn.SINGLE(_xlfn.XLOOKUP(G1423, Réttabanki!A:A, Réttabanki!AW:AW, "")) * I1423 / 100, ""), "")))</f>
        <v/>
      </c>
      <c r="Q1423" s="26" t="str">
        <f>IF(OR(F1423 = "", G1423 = "", I1423 = ""), "", IF(F1423 = "Vara", IFERROR(_xlfn.SINGLE(_xlfn.XLOOKUP(G1423, Vöruskrá!A:A, Vöruskrá!N:N, "")) * I1423 / 100, ""), IF(F1423 = "Réttur", IFERROR(_xlfn.SINGLE(_xlfn.XLOOKUP(G1423, Réttabanki!A:A, Réttabanki!BB:BB, "")) * I1423 / 100, ""), "")))</f>
        <v/>
      </c>
    </row>
    <row r="1424" spans="2:17">
      <c r="B1424" s="33" t="str">
        <f>IF(A1424&lt;&gt;"",CHOOSE(WEEKDAY(A1424,2),"Mánudagur","Þriðjudagur","Miðvikudagur","Fimmtudagur","Föstudagur","Laugardagur","Sunnudagur"),IF(B1423&lt;&gt;"",B1423,""))</f>
        <v>Fimmtudagur</v>
      </c>
      <c r="C1424" s="33">
        <f>IF(A1424&lt;&gt;"",WEEKNUM(A1424,21),IF(C1423&lt;&gt;"",C1423,""))</f>
        <v>27</v>
      </c>
      <c r="D1424" s="34"/>
      <c r="E1424" s="34"/>
      <c r="F1424" s="34"/>
      <c r="G1424" s="34"/>
      <c r="H1424" s="34"/>
      <c r="I1424" s="35"/>
      <c r="J1424" s="35"/>
      <c r="K1424" s="36"/>
      <c r="L1424" s="26" t="str">
        <f>IF(OR(F1424 = "", G1424 = ""), "", IF(F1424 = "Vara", IFERROR(_xlfn.SINGLE(_xlfn.XLOOKUP(G1424, Vöruskrá!A:A, Vöruskrá!E:E, "")), ""), IF(F1424 = "Réttur", IFERROR(_xlfn.SINGLE(_xlfn.XLOOKUP(G1424, Réttabanki!A:A, Réttabanki!AS:AS, "")), ""), "")))</f>
        <v/>
      </c>
      <c r="M1424" s="26" t="str">
        <f>IF(OR(F1424 = "", G1424 = ""), "", IF(F1424 = "Vara", IFERROR(_xlfn.SINGLE(_xlfn.XLOOKUP(G1424, Vöruskrá!A:A, Vöruskrá!F:F, "")), ""), IF(F1424 = "Réttur", IFERROR(_xlfn.SINGLE(_xlfn.XLOOKUP(G1424, Réttabanki!A:A, Réttabanki!AT:AT, "")), ""), "")))</f>
        <v/>
      </c>
      <c r="N1424" s="26" t="str">
        <f>IF(OR(F1424 = "", G1424 = ""), "", IF(F1424 = "Vara", IFERROR(_xlfn.SINGLE(_xlfn.XLOOKUP(G1424, Vöruskrá!A:A, Vöruskrá!G:G, "")), ""), IF(F1424 = "Réttur", IFERROR(_xlfn.SINGLE(_xlfn.XLOOKUP(G1424, Réttabanki!A:A, Réttabanki!AU:AU, "")), ""), "")))</f>
        <v/>
      </c>
      <c r="O1424" s="26" t="str">
        <f>IF(OR(F1424 = "", G1424 = "", I1424 = ""), "", IF(F1424 = "Vara", IFERROR(_xlfn.SINGLE(_xlfn.XLOOKUP(G1424, Vöruskrá!A:A, Vöruskrá!I:I, "")) * I1424 / 100, ""), IF(F1424 = "Réttur", IFERROR(_xlfn.SINGLE(_xlfn.XLOOKUP(G1424, Réttabanki!A:A, Réttabanki!AV:AV, "")) * I1424 / 100, ""), "")))</f>
        <v/>
      </c>
      <c r="P1424" s="26" t="str">
        <f>IF(OR(F1424 = "", G1424 = "", I1424 = ""), "", IF(F1424 = "Vara", IFERROR(_xlfn.SINGLE(_xlfn.XLOOKUP(G1424, Vöruskrá!A:A, Vöruskrá!J:J, "")) * I1424 / 100, ""), IF(F1424 = "Réttur", IFERROR(_xlfn.SINGLE(_xlfn.XLOOKUP(G1424, Réttabanki!A:A, Réttabanki!AW:AW, "")) * I1424 / 100, ""), "")))</f>
        <v/>
      </c>
      <c r="Q1424" s="26" t="str">
        <f>IF(OR(F1424 = "", G1424 = "", I1424 = ""), "", IF(F1424 = "Vara", IFERROR(_xlfn.SINGLE(_xlfn.XLOOKUP(G1424, Vöruskrá!A:A, Vöruskrá!N:N, "")) * I1424 / 100, ""), IF(F1424 = "Réttur", IFERROR(_xlfn.SINGLE(_xlfn.XLOOKUP(G1424, Réttabanki!A:A, Réttabanki!BB:BB, "")) * I1424 / 100, ""), "")))</f>
        <v/>
      </c>
    </row>
    <row r="1425" spans="2:17">
      <c r="B1425" s="33" t="str">
        <f>IF(A1425&lt;&gt;"",CHOOSE(WEEKDAY(A1425,2),"Mánudagur","Þriðjudagur","Miðvikudagur","Fimmtudagur","Föstudagur","Laugardagur","Sunnudagur"),IF(B1424&lt;&gt;"",B1424,""))</f>
        <v>Fimmtudagur</v>
      </c>
      <c r="C1425" s="33">
        <f>IF(A1425&lt;&gt;"",WEEKNUM(A1425,21),IF(C1424&lt;&gt;"",C1424,""))</f>
        <v>27</v>
      </c>
      <c r="D1425" s="34"/>
      <c r="E1425" s="34"/>
      <c r="F1425" s="34"/>
      <c r="G1425" s="34"/>
      <c r="H1425" s="34"/>
      <c r="I1425" s="35"/>
      <c r="J1425" s="35"/>
      <c r="K1425" s="36"/>
      <c r="L1425" s="26" t="str">
        <f>IF(OR(F1425 = "", G1425 = ""), "", IF(F1425 = "Vara", IFERROR(_xlfn.SINGLE(_xlfn.XLOOKUP(G1425, Vöruskrá!A:A, Vöruskrá!E:E, "")), ""), IF(F1425 = "Réttur", IFERROR(_xlfn.SINGLE(_xlfn.XLOOKUP(G1425, Réttabanki!A:A, Réttabanki!AS:AS, "")), ""), "")))</f>
        <v/>
      </c>
      <c r="M1425" s="26" t="str">
        <f>IF(OR(F1425 = "", G1425 = ""), "", IF(F1425 = "Vara", IFERROR(_xlfn.SINGLE(_xlfn.XLOOKUP(G1425, Vöruskrá!A:A, Vöruskrá!F:F, "")), ""), IF(F1425 = "Réttur", IFERROR(_xlfn.SINGLE(_xlfn.XLOOKUP(G1425, Réttabanki!A:A, Réttabanki!AT:AT, "")), ""), "")))</f>
        <v/>
      </c>
      <c r="N1425" s="26" t="str">
        <f>IF(OR(F1425 = "", G1425 = ""), "", IF(F1425 = "Vara", IFERROR(_xlfn.SINGLE(_xlfn.XLOOKUP(G1425, Vöruskrá!A:A, Vöruskrá!G:G, "")), ""), IF(F1425 = "Réttur", IFERROR(_xlfn.SINGLE(_xlfn.XLOOKUP(G1425, Réttabanki!A:A, Réttabanki!AU:AU, "")), ""), "")))</f>
        <v/>
      </c>
      <c r="O1425" s="26" t="str">
        <f>IF(OR(F1425 = "", G1425 = "", I1425 = ""), "", IF(F1425 = "Vara", IFERROR(_xlfn.SINGLE(_xlfn.XLOOKUP(G1425, Vöruskrá!A:A, Vöruskrá!I:I, "")) * I1425 / 100, ""), IF(F1425 = "Réttur", IFERROR(_xlfn.SINGLE(_xlfn.XLOOKUP(G1425, Réttabanki!A:A, Réttabanki!AV:AV, "")) * I1425 / 100, ""), "")))</f>
        <v/>
      </c>
      <c r="P1425" s="26" t="str">
        <f>IF(OR(F1425 = "", G1425 = "", I1425 = ""), "", IF(F1425 = "Vara", IFERROR(_xlfn.SINGLE(_xlfn.XLOOKUP(G1425, Vöruskrá!A:A, Vöruskrá!J:J, "")) * I1425 / 100, ""), IF(F1425 = "Réttur", IFERROR(_xlfn.SINGLE(_xlfn.XLOOKUP(G1425, Réttabanki!A:A, Réttabanki!AW:AW, "")) * I1425 / 100, ""), "")))</f>
        <v/>
      </c>
      <c r="Q1425" s="26" t="str">
        <f>IF(OR(F1425 = "", G1425 = "", I1425 = ""), "", IF(F1425 = "Vara", IFERROR(_xlfn.SINGLE(_xlfn.XLOOKUP(G1425, Vöruskrá!A:A, Vöruskrá!N:N, "")) * I1425 / 100, ""), IF(F1425 = "Réttur", IFERROR(_xlfn.SINGLE(_xlfn.XLOOKUP(G1425, Réttabanki!A:A, Réttabanki!BB:BB, "")) * I1425 / 100, ""), "")))</f>
        <v/>
      </c>
    </row>
    <row r="1426" spans="2:17">
      <c r="B1426" s="33" t="str">
        <f>IF(A1426&lt;&gt;"",CHOOSE(WEEKDAY(A1426,2),"Mánudagur","Þriðjudagur","Miðvikudagur","Fimmtudagur","Föstudagur","Laugardagur","Sunnudagur"),IF(B1425&lt;&gt;"",B1425,""))</f>
        <v>Fimmtudagur</v>
      </c>
      <c r="C1426" s="33">
        <f>IF(A1426&lt;&gt;"",WEEKNUM(A1426,21),IF(C1425&lt;&gt;"",C1425,""))</f>
        <v>27</v>
      </c>
      <c r="D1426" s="34"/>
      <c r="E1426" s="34"/>
      <c r="F1426" s="34"/>
      <c r="G1426" s="34"/>
      <c r="H1426" s="34"/>
      <c r="I1426" s="35"/>
      <c r="J1426" s="35"/>
      <c r="K1426" s="36"/>
      <c r="L1426" s="26" t="str">
        <f>IF(OR(F1426 = "", G1426 = ""), "", IF(F1426 = "Vara", IFERROR(_xlfn.SINGLE(_xlfn.XLOOKUP(G1426, Vöruskrá!A:A, Vöruskrá!E:E, "")), ""), IF(F1426 = "Réttur", IFERROR(_xlfn.SINGLE(_xlfn.XLOOKUP(G1426, Réttabanki!A:A, Réttabanki!AS:AS, "")), ""), "")))</f>
        <v/>
      </c>
      <c r="M1426" s="26" t="str">
        <f>IF(OR(F1426 = "", G1426 = ""), "", IF(F1426 = "Vara", IFERROR(_xlfn.SINGLE(_xlfn.XLOOKUP(G1426, Vöruskrá!A:A, Vöruskrá!F:F, "")), ""), IF(F1426 = "Réttur", IFERROR(_xlfn.SINGLE(_xlfn.XLOOKUP(G1426, Réttabanki!A:A, Réttabanki!AT:AT, "")), ""), "")))</f>
        <v/>
      </c>
      <c r="N1426" s="26" t="str">
        <f>IF(OR(F1426 = "", G1426 = ""), "", IF(F1426 = "Vara", IFERROR(_xlfn.SINGLE(_xlfn.XLOOKUP(G1426, Vöruskrá!A:A, Vöruskrá!G:G, "")), ""), IF(F1426 = "Réttur", IFERROR(_xlfn.SINGLE(_xlfn.XLOOKUP(G1426, Réttabanki!A:A, Réttabanki!AU:AU, "")), ""), "")))</f>
        <v/>
      </c>
      <c r="O1426" s="26" t="str">
        <f>IF(OR(F1426 = "", G1426 = "", I1426 = ""), "", IF(F1426 = "Vara", IFERROR(_xlfn.SINGLE(_xlfn.XLOOKUP(G1426, Vöruskrá!A:A, Vöruskrá!I:I, "")) * I1426 / 100, ""), IF(F1426 = "Réttur", IFERROR(_xlfn.SINGLE(_xlfn.XLOOKUP(G1426, Réttabanki!A:A, Réttabanki!AV:AV, "")) * I1426 / 100, ""), "")))</f>
        <v/>
      </c>
      <c r="P1426" s="26" t="str">
        <f>IF(OR(F1426 = "", G1426 = "", I1426 = ""), "", IF(F1426 = "Vara", IFERROR(_xlfn.SINGLE(_xlfn.XLOOKUP(G1426, Vöruskrá!A:A, Vöruskrá!J:J, "")) * I1426 / 100, ""), IF(F1426 = "Réttur", IFERROR(_xlfn.SINGLE(_xlfn.XLOOKUP(G1426, Réttabanki!A:A, Réttabanki!AW:AW, "")) * I1426 / 100, ""), "")))</f>
        <v/>
      </c>
      <c r="Q1426" s="26" t="str">
        <f>IF(OR(F1426 = "", G1426 = "", I1426 = ""), "", IF(F1426 = "Vara", IFERROR(_xlfn.SINGLE(_xlfn.XLOOKUP(G1426, Vöruskrá!A:A, Vöruskrá!N:N, "")) * I1426 / 100, ""), IF(F1426 = "Réttur", IFERROR(_xlfn.SINGLE(_xlfn.XLOOKUP(G1426, Réttabanki!A:A, Réttabanki!BB:BB, "")) * I1426 / 100, ""), "")))</f>
        <v/>
      </c>
    </row>
    <row r="1427" spans="2:17">
      <c r="B1427" s="33" t="str">
        <f>IF(A1427&lt;&gt;"",CHOOSE(WEEKDAY(A1427,2),"Mánudagur","Þriðjudagur","Miðvikudagur","Fimmtudagur","Föstudagur","Laugardagur","Sunnudagur"),IF(B1426&lt;&gt;"",B1426,""))</f>
        <v>Fimmtudagur</v>
      </c>
      <c r="C1427" s="33">
        <f>IF(A1427&lt;&gt;"",WEEKNUM(A1427,21),IF(C1426&lt;&gt;"",C1426,""))</f>
        <v>27</v>
      </c>
      <c r="D1427" s="34"/>
      <c r="E1427" s="34"/>
      <c r="F1427" s="34"/>
      <c r="G1427" s="34"/>
      <c r="H1427" s="34"/>
      <c r="I1427" s="35"/>
      <c r="J1427" s="35"/>
      <c r="K1427" s="36"/>
      <c r="L1427" s="26" t="str">
        <f>IF(OR(F1427 = "", G1427 = ""), "", IF(F1427 = "Vara", IFERROR(_xlfn.SINGLE(_xlfn.XLOOKUP(G1427, Vöruskrá!A:A, Vöruskrá!E:E, "")), ""), IF(F1427 = "Réttur", IFERROR(_xlfn.SINGLE(_xlfn.XLOOKUP(G1427, Réttabanki!A:A, Réttabanki!AS:AS, "")), ""), "")))</f>
        <v/>
      </c>
      <c r="M1427" s="26" t="str">
        <f>IF(OR(F1427 = "", G1427 = ""), "", IF(F1427 = "Vara", IFERROR(_xlfn.SINGLE(_xlfn.XLOOKUP(G1427, Vöruskrá!A:A, Vöruskrá!F:F, "")), ""), IF(F1427 = "Réttur", IFERROR(_xlfn.SINGLE(_xlfn.XLOOKUP(G1427, Réttabanki!A:A, Réttabanki!AT:AT, "")), ""), "")))</f>
        <v/>
      </c>
      <c r="N1427" s="26" t="str">
        <f>IF(OR(F1427 = "", G1427 = ""), "", IF(F1427 = "Vara", IFERROR(_xlfn.SINGLE(_xlfn.XLOOKUP(G1427, Vöruskrá!A:A, Vöruskrá!G:G, "")), ""), IF(F1427 = "Réttur", IFERROR(_xlfn.SINGLE(_xlfn.XLOOKUP(G1427, Réttabanki!A:A, Réttabanki!AU:AU, "")), ""), "")))</f>
        <v/>
      </c>
      <c r="O1427" s="26" t="str">
        <f>IF(OR(F1427 = "", G1427 = "", I1427 = ""), "", IF(F1427 = "Vara", IFERROR(_xlfn.SINGLE(_xlfn.XLOOKUP(G1427, Vöruskrá!A:A, Vöruskrá!I:I, "")) * I1427 / 100, ""), IF(F1427 = "Réttur", IFERROR(_xlfn.SINGLE(_xlfn.XLOOKUP(G1427, Réttabanki!A:A, Réttabanki!AV:AV, "")) * I1427 / 100, ""), "")))</f>
        <v/>
      </c>
      <c r="P1427" s="26" t="str">
        <f>IF(OR(F1427 = "", G1427 = "", I1427 = ""), "", IF(F1427 = "Vara", IFERROR(_xlfn.SINGLE(_xlfn.XLOOKUP(G1427, Vöruskrá!A:A, Vöruskrá!J:J, "")) * I1427 / 100, ""), IF(F1427 = "Réttur", IFERROR(_xlfn.SINGLE(_xlfn.XLOOKUP(G1427, Réttabanki!A:A, Réttabanki!AW:AW, "")) * I1427 / 100, ""), "")))</f>
        <v/>
      </c>
      <c r="Q1427" s="26" t="str">
        <f>IF(OR(F1427 = "", G1427 = "", I1427 = ""), "", IF(F1427 = "Vara", IFERROR(_xlfn.SINGLE(_xlfn.XLOOKUP(G1427, Vöruskrá!A:A, Vöruskrá!N:N, "")) * I1427 / 100, ""), IF(F1427 = "Réttur", IFERROR(_xlfn.SINGLE(_xlfn.XLOOKUP(G1427, Réttabanki!A:A, Réttabanki!BB:BB, "")) * I1427 / 100, ""), "")))</f>
        <v/>
      </c>
    </row>
    <row r="1428" spans="2:17">
      <c r="B1428" s="33" t="str">
        <f>IF(A1428&lt;&gt;"",CHOOSE(WEEKDAY(A1428,2),"Mánudagur","Þriðjudagur","Miðvikudagur","Fimmtudagur","Föstudagur","Laugardagur","Sunnudagur"),IF(B1427&lt;&gt;"",B1427,""))</f>
        <v>Fimmtudagur</v>
      </c>
      <c r="C1428" s="33">
        <f>IF(A1428&lt;&gt;"",WEEKNUM(A1428,21),IF(C1427&lt;&gt;"",C1427,""))</f>
        <v>27</v>
      </c>
      <c r="D1428" s="34"/>
      <c r="E1428" s="34"/>
      <c r="F1428" s="34"/>
      <c r="G1428" s="34"/>
      <c r="H1428" s="34"/>
      <c r="I1428" s="35"/>
      <c r="J1428" s="35"/>
      <c r="K1428" s="36"/>
      <c r="L1428" s="26" t="str">
        <f>IF(OR(F1428 = "", G1428 = ""), "", IF(F1428 = "Vara", IFERROR(_xlfn.SINGLE(_xlfn.XLOOKUP(G1428, Vöruskrá!A:A, Vöruskrá!E:E, "")), ""), IF(F1428 = "Réttur", IFERROR(_xlfn.SINGLE(_xlfn.XLOOKUP(G1428, Réttabanki!A:A, Réttabanki!AS:AS, "")), ""), "")))</f>
        <v/>
      </c>
      <c r="M1428" s="26" t="str">
        <f>IF(OR(F1428 = "", G1428 = ""), "", IF(F1428 = "Vara", IFERROR(_xlfn.SINGLE(_xlfn.XLOOKUP(G1428, Vöruskrá!A:A, Vöruskrá!F:F, "")), ""), IF(F1428 = "Réttur", IFERROR(_xlfn.SINGLE(_xlfn.XLOOKUP(G1428, Réttabanki!A:A, Réttabanki!AT:AT, "")), ""), "")))</f>
        <v/>
      </c>
      <c r="N1428" s="26" t="str">
        <f>IF(OR(F1428 = "", G1428 = ""), "", IF(F1428 = "Vara", IFERROR(_xlfn.SINGLE(_xlfn.XLOOKUP(G1428, Vöruskrá!A:A, Vöruskrá!G:G, "")), ""), IF(F1428 = "Réttur", IFERROR(_xlfn.SINGLE(_xlfn.XLOOKUP(G1428, Réttabanki!A:A, Réttabanki!AU:AU, "")), ""), "")))</f>
        <v/>
      </c>
      <c r="O1428" s="26" t="str">
        <f>IF(OR(F1428 = "", G1428 = "", I1428 = ""), "", IF(F1428 = "Vara", IFERROR(_xlfn.SINGLE(_xlfn.XLOOKUP(G1428, Vöruskrá!A:A, Vöruskrá!I:I, "")) * I1428 / 100, ""), IF(F1428 = "Réttur", IFERROR(_xlfn.SINGLE(_xlfn.XLOOKUP(G1428, Réttabanki!A:A, Réttabanki!AV:AV, "")) * I1428 / 100, ""), "")))</f>
        <v/>
      </c>
      <c r="P1428" s="26" t="str">
        <f>IF(OR(F1428 = "", G1428 = "", I1428 = ""), "", IF(F1428 = "Vara", IFERROR(_xlfn.SINGLE(_xlfn.XLOOKUP(G1428, Vöruskrá!A:A, Vöruskrá!J:J, "")) * I1428 / 100, ""), IF(F1428 = "Réttur", IFERROR(_xlfn.SINGLE(_xlfn.XLOOKUP(G1428, Réttabanki!A:A, Réttabanki!AW:AW, "")) * I1428 / 100, ""), "")))</f>
        <v/>
      </c>
      <c r="Q1428" s="26" t="str">
        <f>IF(OR(F1428 = "", G1428 = "", I1428 = ""), "", IF(F1428 = "Vara", IFERROR(_xlfn.SINGLE(_xlfn.XLOOKUP(G1428, Vöruskrá!A:A, Vöruskrá!N:N, "")) * I1428 / 100, ""), IF(F1428 = "Réttur", IFERROR(_xlfn.SINGLE(_xlfn.XLOOKUP(G1428, Réttabanki!A:A, Réttabanki!BB:BB, "")) * I1428 / 100, ""), "")))</f>
        <v/>
      </c>
    </row>
    <row r="1429" spans="2:17">
      <c r="B1429" s="33" t="str">
        <f>IF(A1429&lt;&gt;"",CHOOSE(WEEKDAY(A1429,2),"Mánudagur","Þriðjudagur","Miðvikudagur","Fimmtudagur","Föstudagur","Laugardagur","Sunnudagur"),IF(B1428&lt;&gt;"",B1428,""))</f>
        <v>Fimmtudagur</v>
      </c>
      <c r="C1429" s="33">
        <f>IF(A1429&lt;&gt;"",WEEKNUM(A1429,21),IF(C1428&lt;&gt;"",C1428,""))</f>
        <v>27</v>
      </c>
      <c r="D1429" s="34"/>
      <c r="E1429" s="34"/>
      <c r="F1429" s="34"/>
      <c r="G1429" s="34"/>
      <c r="H1429" s="34"/>
      <c r="I1429" s="35"/>
      <c r="J1429" s="35"/>
      <c r="K1429" s="36"/>
      <c r="L1429" s="26" t="str">
        <f>IF(OR(F1429 = "", G1429 = ""), "", IF(F1429 = "Vara", IFERROR(_xlfn.SINGLE(_xlfn.XLOOKUP(G1429, Vöruskrá!A:A, Vöruskrá!E:E, "")), ""), IF(F1429 = "Réttur", IFERROR(_xlfn.SINGLE(_xlfn.XLOOKUP(G1429, Réttabanki!A:A, Réttabanki!AS:AS, "")), ""), "")))</f>
        <v/>
      </c>
      <c r="M1429" s="26" t="str">
        <f>IF(OR(F1429 = "", G1429 = ""), "", IF(F1429 = "Vara", IFERROR(_xlfn.SINGLE(_xlfn.XLOOKUP(G1429, Vöruskrá!A:A, Vöruskrá!F:F, "")), ""), IF(F1429 = "Réttur", IFERROR(_xlfn.SINGLE(_xlfn.XLOOKUP(G1429, Réttabanki!A:A, Réttabanki!AT:AT, "")), ""), "")))</f>
        <v/>
      </c>
      <c r="N1429" s="26" t="str">
        <f>IF(OR(F1429 = "", G1429 = ""), "", IF(F1429 = "Vara", IFERROR(_xlfn.SINGLE(_xlfn.XLOOKUP(G1429, Vöruskrá!A:A, Vöruskrá!G:G, "")), ""), IF(F1429 = "Réttur", IFERROR(_xlfn.SINGLE(_xlfn.XLOOKUP(G1429, Réttabanki!A:A, Réttabanki!AU:AU, "")), ""), "")))</f>
        <v/>
      </c>
      <c r="O1429" s="26" t="str">
        <f>IF(OR(F1429 = "", G1429 = "", I1429 = ""), "", IF(F1429 = "Vara", IFERROR(_xlfn.SINGLE(_xlfn.XLOOKUP(G1429, Vöruskrá!A:A, Vöruskrá!I:I, "")) * I1429 / 100, ""), IF(F1429 = "Réttur", IFERROR(_xlfn.SINGLE(_xlfn.XLOOKUP(G1429, Réttabanki!A:A, Réttabanki!AV:AV, "")) * I1429 / 100, ""), "")))</f>
        <v/>
      </c>
      <c r="P1429" s="26" t="str">
        <f>IF(OR(F1429 = "", G1429 = "", I1429 = ""), "", IF(F1429 = "Vara", IFERROR(_xlfn.SINGLE(_xlfn.XLOOKUP(G1429, Vöruskrá!A:A, Vöruskrá!J:J, "")) * I1429 / 100, ""), IF(F1429 = "Réttur", IFERROR(_xlfn.SINGLE(_xlfn.XLOOKUP(G1429, Réttabanki!A:A, Réttabanki!AW:AW, "")) * I1429 / 100, ""), "")))</f>
        <v/>
      </c>
      <c r="Q1429" s="26" t="str">
        <f>IF(OR(F1429 = "", G1429 = "", I1429 = ""), "", IF(F1429 = "Vara", IFERROR(_xlfn.SINGLE(_xlfn.XLOOKUP(G1429, Vöruskrá!A:A, Vöruskrá!N:N, "")) * I1429 / 100, ""), IF(F1429 = "Réttur", IFERROR(_xlfn.SINGLE(_xlfn.XLOOKUP(G1429, Réttabanki!A:A, Réttabanki!BB:BB, "")) * I1429 / 100, ""), "")))</f>
        <v/>
      </c>
    </row>
    <row r="1430" spans="2:17">
      <c r="B1430" s="33" t="str">
        <f>IF(A1430&lt;&gt;"",CHOOSE(WEEKDAY(A1430,2),"Mánudagur","Þriðjudagur","Miðvikudagur","Fimmtudagur","Föstudagur","Laugardagur","Sunnudagur"),IF(B1429&lt;&gt;"",B1429,""))</f>
        <v>Fimmtudagur</v>
      </c>
      <c r="C1430" s="33">
        <f>IF(A1430&lt;&gt;"",WEEKNUM(A1430,21),IF(C1429&lt;&gt;"",C1429,""))</f>
        <v>27</v>
      </c>
      <c r="D1430" s="34"/>
      <c r="E1430" s="34"/>
      <c r="F1430" s="34"/>
      <c r="G1430" s="34"/>
      <c r="H1430" s="34"/>
      <c r="I1430" s="35"/>
      <c r="J1430" s="35"/>
      <c r="K1430" s="36"/>
      <c r="L1430" s="26" t="str">
        <f>IF(OR(F1430 = "", G1430 = ""), "", IF(F1430 = "Vara", IFERROR(_xlfn.SINGLE(_xlfn.XLOOKUP(G1430, Vöruskrá!A:A, Vöruskrá!E:E, "")), ""), IF(F1430 = "Réttur", IFERROR(_xlfn.SINGLE(_xlfn.XLOOKUP(G1430, Réttabanki!A:A, Réttabanki!AS:AS, "")), ""), "")))</f>
        <v/>
      </c>
      <c r="M1430" s="26" t="str">
        <f>IF(OR(F1430 = "", G1430 = ""), "", IF(F1430 = "Vara", IFERROR(_xlfn.SINGLE(_xlfn.XLOOKUP(G1430, Vöruskrá!A:A, Vöruskrá!F:F, "")), ""), IF(F1430 = "Réttur", IFERROR(_xlfn.SINGLE(_xlfn.XLOOKUP(G1430, Réttabanki!A:A, Réttabanki!AT:AT, "")), ""), "")))</f>
        <v/>
      </c>
      <c r="N1430" s="26" t="str">
        <f>IF(OR(F1430 = "", G1430 = ""), "", IF(F1430 = "Vara", IFERROR(_xlfn.SINGLE(_xlfn.XLOOKUP(G1430, Vöruskrá!A:A, Vöruskrá!G:G, "")), ""), IF(F1430 = "Réttur", IFERROR(_xlfn.SINGLE(_xlfn.XLOOKUP(G1430, Réttabanki!A:A, Réttabanki!AU:AU, "")), ""), "")))</f>
        <v/>
      </c>
      <c r="O1430" s="26" t="str">
        <f>IF(OR(F1430 = "", G1430 = "", I1430 = ""), "", IF(F1430 = "Vara", IFERROR(_xlfn.SINGLE(_xlfn.XLOOKUP(G1430, Vöruskrá!A:A, Vöruskrá!I:I, "")) * I1430 / 100, ""), IF(F1430 = "Réttur", IFERROR(_xlfn.SINGLE(_xlfn.XLOOKUP(G1430, Réttabanki!A:A, Réttabanki!AV:AV, "")) * I1430 / 100, ""), "")))</f>
        <v/>
      </c>
      <c r="P1430" s="26" t="str">
        <f>IF(OR(F1430 = "", G1430 = "", I1430 = ""), "", IF(F1430 = "Vara", IFERROR(_xlfn.SINGLE(_xlfn.XLOOKUP(G1430, Vöruskrá!A:A, Vöruskrá!J:J, "")) * I1430 / 100, ""), IF(F1430 = "Réttur", IFERROR(_xlfn.SINGLE(_xlfn.XLOOKUP(G1430, Réttabanki!A:A, Réttabanki!AW:AW, "")) * I1430 / 100, ""), "")))</f>
        <v/>
      </c>
      <c r="Q1430" s="26" t="str">
        <f>IF(OR(F1430 = "", G1430 = "", I1430 = ""), "", IF(F1430 = "Vara", IFERROR(_xlfn.SINGLE(_xlfn.XLOOKUP(G1430, Vöruskrá!A:A, Vöruskrá!N:N, "")) * I1430 / 100, ""), IF(F1430 = "Réttur", IFERROR(_xlfn.SINGLE(_xlfn.XLOOKUP(G1430, Réttabanki!A:A, Réttabanki!BB:BB, "")) * I1430 / 100, ""), "")))</f>
        <v/>
      </c>
    </row>
    <row r="1431" spans="2:17">
      <c r="B1431" s="33" t="str">
        <f>IF(A1431&lt;&gt;"",CHOOSE(WEEKDAY(A1431,2),"Mánudagur","Þriðjudagur","Miðvikudagur","Fimmtudagur","Föstudagur","Laugardagur","Sunnudagur"),IF(B1430&lt;&gt;"",B1430,""))</f>
        <v>Fimmtudagur</v>
      </c>
      <c r="C1431" s="33">
        <f>IF(A1431&lt;&gt;"",WEEKNUM(A1431,21),IF(C1430&lt;&gt;"",C1430,""))</f>
        <v>27</v>
      </c>
      <c r="D1431" s="34"/>
      <c r="E1431" s="34"/>
      <c r="F1431" s="34"/>
      <c r="G1431" s="34"/>
      <c r="H1431" s="34"/>
      <c r="I1431" s="35"/>
      <c r="J1431" s="35"/>
      <c r="K1431" s="36"/>
      <c r="L1431" s="26" t="str">
        <f>IF(OR(F1431 = "", G1431 = ""), "", IF(F1431 = "Vara", IFERROR(_xlfn.SINGLE(_xlfn.XLOOKUP(G1431, Vöruskrá!A:A, Vöruskrá!E:E, "")), ""), IF(F1431 = "Réttur", IFERROR(_xlfn.SINGLE(_xlfn.XLOOKUP(G1431, Réttabanki!A:A, Réttabanki!AS:AS, "")), ""), "")))</f>
        <v/>
      </c>
      <c r="M1431" s="26" t="str">
        <f>IF(OR(F1431 = "", G1431 = ""), "", IF(F1431 = "Vara", IFERROR(_xlfn.SINGLE(_xlfn.XLOOKUP(G1431, Vöruskrá!A:A, Vöruskrá!F:F, "")), ""), IF(F1431 = "Réttur", IFERROR(_xlfn.SINGLE(_xlfn.XLOOKUP(G1431, Réttabanki!A:A, Réttabanki!AT:AT, "")), ""), "")))</f>
        <v/>
      </c>
      <c r="N1431" s="26" t="str">
        <f>IF(OR(F1431 = "", G1431 = ""), "", IF(F1431 = "Vara", IFERROR(_xlfn.SINGLE(_xlfn.XLOOKUP(G1431, Vöruskrá!A:A, Vöruskrá!G:G, "")), ""), IF(F1431 = "Réttur", IFERROR(_xlfn.SINGLE(_xlfn.XLOOKUP(G1431, Réttabanki!A:A, Réttabanki!AU:AU, "")), ""), "")))</f>
        <v/>
      </c>
      <c r="O1431" s="26" t="str">
        <f>IF(OR(F1431 = "", G1431 = "", I1431 = ""), "", IF(F1431 = "Vara", IFERROR(_xlfn.SINGLE(_xlfn.XLOOKUP(G1431, Vöruskrá!A:A, Vöruskrá!I:I, "")) * I1431 / 100, ""), IF(F1431 = "Réttur", IFERROR(_xlfn.SINGLE(_xlfn.XLOOKUP(G1431, Réttabanki!A:A, Réttabanki!AV:AV, "")) * I1431 / 100, ""), "")))</f>
        <v/>
      </c>
      <c r="P1431" s="26" t="str">
        <f>IF(OR(F1431 = "", G1431 = "", I1431 = ""), "", IF(F1431 = "Vara", IFERROR(_xlfn.SINGLE(_xlfn.XLOOKUP(G1431, Vöruskrá!A:A, Vöruskrá!J:J, "")) * I1431 / 100, ""), IF(F1431 = "Réttur", IFERROR(_xlfn.SINGLE(_xlfn.XLOOKUP(G1431, Réttabanki!A:A, Réttabanki!AW:AW, "")) * I1431 / 100, ""), "")))</f>
        <v/>
      </c>
      <c r="Q1431" s="26" t="str">
        <f>IF(OR(F1431 = "", G1431 = "", I1431 = ""), "", IF(F1431 = "Vara", IFERROR(_xlfn.SINGLE(_xlfn.XLOOKUP(G1431, Vöruskrá!A:A, Vöruskrá!N:N, "")) * I1431 / 100, ""), IF(F1431 = "Réttur", IFERROR(_xlfn.SINGLE(_xlfn.XLOOKUP(G1431, Réttabanki!A:A, Réttabanki!BB:BB, "")) * I1431 / 100, ""), "")))</f>
        <v/>
      </c>
    </row>
    <row r="1432" spans="2:17">
      <c r="B1432" s="33" t="str">
        <f>IF(A1432&lt;&gt;"",CHOOSE(WEEKDAY(A1432,2),"Mánudagur","Þriðjudagur","Miðvikudagur","Fimmtudagur","Föstudagur","Laugardagur","Sunnudagur"),IF(B1431&lt;&gt;"",B1431,""))</f>
        <v>Fimmtudagur</v>
      </c>
      <c r="C1432" s="33">
        <f>IF(A1432&lt;&gt;"",WEEKNUM(A1432,21),IF(C1431&lt;&gt;"",C1431,""))</f>
        <v>27</v>
      </c>
      <c r="D1432" s="34"/>
      <c r="E1432" s="34"/>
      <c r="F1432" s="34"/>
      <c r="G1432" s="34"/>
      <c r="H1432" s="34"/>
      <c r="I1432" s="35"/>
      <c r="J1432" s="35"/>
      <c r="K1432" s="36"/>
      <c r="L1432" s="26" t="str">
        <f>IF(OR(F1432 = "", G1432 = ""), "", IF(F1432 = "Vara", IFERROR(_xlfn.SINGLE(_xlfn.XLOOKUP(G1432, Vöruskrá!A:A, Vöruskrá!E:E, "")), ""), IF(F1432 = "Réttur", IFERROR(_xlfn.SINGLE(_xlfn.XLOOKUP(G1432, Réttabanki!A:A, Réttabanki!AS:AS, "")), ""), "")))</f>
        <v/>
      </c>
      <c r="M1432" s="26" t="str">
        <f>IF(OR(F1432 = "", G1432 = ""), "", IF(F1432 = "Vara", IFERROR(_xlfn.SINGLE(_xlfn.XLOOKUP(G1432, Vöruskrá!A:A, Vöruskrá!F:F, "")), ""), IF(F1432 = "Réttur", IFERROR(_xlfn.SINGLE(_xlfn.XLOOKUP(G1432, Réttabanki!A:A, Réttabanki!AT:AT, "")), ""), "")))</f>
        <v/>
      </c>
      <c r="N1432" s="26" t="str">
        <f>IF(OR(F1432 = "", G1432 = ""), "", IF(F1432 = "Vara", IFERROR(_xlfn.SINGLE(_xlfn.XLOOKUP(G1432, Vöruskrá!A:A, Vöruskrá!G:G, "")), ""), IF(F1432 = "Réttur", IFERROR(_xlfn.SINGLE(_xlfn.XLOOKUP(G1432, Réttabanki!A:A, Réttabanki!AU:AU, "")), ""), "")))</f>
        <v/>
      </c>
      <c r="O1432" s="26" t="str">
        <f>IF(OR(F1432 = "", G1432 = "", I1432 = ""), "", IF(F1432 = "Vara", IFERROR(_xlfn.SINGLE(_xlfn.XLOOKUP(G1432, Vöruskrá!A:A, Vöruskrá!I:I, "")) * I1432 / 100, ""), IF(F1432 = "Réttur", IFERROR(_xlfn.SINGLE(_xlfn.XLOOKUP(G1432, Réttabanki!A:A, Réttabanki!AV:AV, "")) * I1432 / 100, ""), "")))</f>
        <v/>
      </c>
      <c r="P1432" s="26" t="str">
        <f>IF(OR(F1432 = "", G1432 = "", I1432 = ""), "", IF(F1432 = "Vara", IFERROR(_xlfn.SINGLE(_xlfn.XLOOKUP(G1432, Vöruskrá!A:A, Vöruskrá!J:J, "")) * I1432 / 100, ""), IF(F1432 = "Réttur", IFERROR(_xlfn.SINGLE(_xlfn.XLOOKUP(G1432, Réttabanki!A:A, Réttabanki!AW:AW, "")) * I1432 / 100, ""), "")))</f>
        <v/>
      </c>
      <c r="Q1432" s="26" t="str">
        <f>IF(OR(F1432 = "", G1432 = "", I1432 = ""), "", IF(F1432 = "Vara", IFERROR(_xlfn.SINGLE(_xlfn.XLOOKUP(G1432, Vöruskrá!A:A, Vöruskrá!N:N, "")) * I1432 / 100, ""), IF(F1432 = "Réttur", IFERROR(_xlfn.SINGLE(_xlfn.XLOOKUP(G1432, Réttabanki!A:A, Réttabanki!BB:BB, "")) * I1432 / 100, ""), "")))</f>
        <v/>
      </c>
    </row>
    <row r="1433" spans="2:17">
      <c r="B1433" s="33" t="str">
        <f>IF(A1433&lt;&gt;"",CHOOSE(WEEKDAY(A1433,2),"Mánudagur","Þriðjudagur","Miðvikudagur","Fimmtudagur","Föstudagur","Laugardagur","Sunnudagur"),IF(B1432&lt;&gt;"",B1432,""))</f>
        <v>Fimmtudagur</v>
      </c>
      <c r="C1433" s="33">
        <f>IF(A1433&lt;&gt;"",WEEKNUM(A1433,21),IF(C1432&lt;&gt;"",C1432,""))</f>
        <v>27</v>
      </c>
      <c r="D1433" s="34"/>
      <c r="E1433" s="34"/>
      <c r="F1433" s="34"/>
      <c r="G1433" s="34"/>
      <c r="H1433" s="34"/>
      <c r="I1433" s="35"/>
      <c r="J1433" s="35"/>
      <c r="K1433" s="36"/>
      <c r="L1433" s="26" t="str">
        <f>IF(OR(F1433 = "", G1433 = ""), "", IF(F1433 = "Vara", IFERROR(_xlfn.SINGLE(_xlfn.XLOOKUP(G1433, Vöruskrá!A:A, Vöruskrá!E:E, "")), ""), IF(F1433 = "Réttur", IFERROR(_xlfn.SINGLE(_xlfn.XLOOKUP(G1433, Réttabanki!A:A, Réttabanki!AS:AS, "")), ""), "")))</f>
        <v/>
      </c>
      <c r="M1433" s="26" t="str">
        <f>IF(OR(F1433 = "", G1433 = ""), "", IF(F1433 = "Vara", IFERROR(_xlfn.SINGLE(_xlfn.XLOOKUP(G1433, Vöruskrá!A:A, Vöruskrá!F:F, "")), ""), IF(F1433 = "Réttur", IFERROR(_xlfn.SINGLE(_xlfn.XLOOKUP(G1433, Réttabanki!A:A, Réttabanki!AT:AT, "")), ""), "")))</f>
        <v/>
      </c>
      <c r="N1433" s="26" t="str">
        <f>IF(OR(F1433 = "", G1433 = ""), "", IF(F1433 = "Vara", IFERROR(_xlfn.SINGLE(_xlfn.XLOOKUP(G1433, Vöruskrá!A:A, Vöruskrá!G:G, "")), ""), IF(F1433 = "Réttur", IFERROR(_xlfn.SINGLE(_xlfn.XLOOKUP(G1433, Réttabanki!A:A, Réttabanki!AU:AU, "")), ""), "")))</f>
        <v/>
      </c>
      <c r="O1433" s="26" t="str">
        <f>IF(OR(F1433 = "", G1433 = "", I1433 = ""), "", IF(F1433 = "Vara", IFERROR(_xlfn.SINGLE(_xlfn.XLOOKUP(G1433, Vöruskrá!A:A, Vöruskrá!I:I, "")) * I1433 / 100, ""), IF(F1433 = "Réttur", IFERROR(_xlfn.SINGLE(_xlfn.XLOOKUP(G1433, Réttabanki!A:A, Réttabanki!AV:AV, "")) * I1433 / 100, ""), "")))</f>
        <v/>
      </c>
      <c r="P1433" s="26" t="str">
        <f>IF(OR(F1433 = "", G1433 = "", I1433 = ""), "", IF(F1433 = "Vara", IFERROR(_xlfn.SINGLE(_xlfn.XLOOKUP(G1433, Vöruskrá!A:A, Vöruskrá!J:J, "")) * I1433 / 100, ""), IF(F1433 = "Réttur", IFERROR(_xlfn.SINGLE(_xlfn.XLOOKUP(G1433, Réttabanki!A:A, Réttabanki!AW:AW, "")) * I1433 / 100, ""), "")))</f>
        <v/>
      </c>
      <c r="Q1433" s="26" t="str">
        <f>IF(OR(F1433 = "", G1433 = "", I1433 = ""), "", IF(F1433 = "Vara", IFERROR(_xlfn.SINGLE(_xlfn.XLOOKUP(G1433, Vöruskrá!A:A, Vöruskrá!N:N, "")) * I1433 / 100, ""), IF(F1433 = "Réttur", IFERROR(_xlfn.SINGLE(_xlfn.XLOOKUP(G1433, Réttabanki!A:A, Réttabanki!BB:BB, "")) * I1433 / 100, ""), "")))</f>
        <v/>
      </c>
    </row>
    <row r="1434" spans="2:17">
      <c r="B1434" s="33" t="str">
        <f>IF(A1434&lt;&gt;"",CHOOSE(WEEKDAY(A1434,2),"Mánudagur","Þriðjudagur","Miðvikudagur","Fimmtudagur","Föstudagur","Laugardagur","Sunnudagur"),IF(B1433&lt;&gt;"",B1433,""))</f>
        <v>Fimmtudagur</v>
      </c>
      <c r="C1434" s="33">
        <f>IF(A1434&lt;&gt;"",WEEKNUM(A1434,21),IF(C1433&lt;&gt;"",C1433,""))</f>
        <v>27</v>
      </c>
      <c r="D1434" s="34"/>
      <c r="E1434" s="34"/>
      <c r="F1434" s="34"/>
      <c r="G1434" s="34"/>
      <c r="H1434" s="34"/>
      <c r="I1434" s="35"/>
      <c r="J1434" s="35"/>
      <c r="K1434" s="36"/>
      <c r="L1434" s="26" t="str">
        <f>IF(OR(F1434 = "", G1434 = ""), "", IF(F1434 = "Vara", IFERROR(_xlfn.SINGLE(_xlfn.XLOOKUP(G1434, Vöruskrá!A:A, Vöruskrá!E:E, "")), ""), IF(F1434 = "Réttur", IFERROR(_xlfn.SINGLE(_xlfn.XLOOKUP(G1434, Réttabanki!A:A, Réttabanki!AS:AS, "")), ""), "")))</f>
        <v/>
      </c>
      <c r="M1434" s="26" t="str">
        <f>IF(OR(F1434 = "", G1434 = ""), "", IF(F1434 = "Vara", IFERROR(_xlfn.SINGLE(_xlfn.XLOOKUP(G1434, Vöruskrá!A:A, Vöruskrá!F:F, "")), ""), IF(F1434 = "Réttur", IFERROR(_xlfn.SINGLE(_xlfn.XLOOKUP(G1434, Réttabanki!A:A, Réttabanki!AT:AT, "")), ""), "")))</f>
        <v/>
      </c>
      <c r="N1434" s="26" t="str">
        <f>IF(OR(F1434 = "", G1434 = ""), "", IF(F1434 = "Vara", IFERROR(_xlfn.SINGLE(_xlfn.XLOOKUP(G1434, Vöruskrá!A:A, Vöruskrá!G:G, "")), ""), IF(F1434 = "Réttur", IFERROR(_xlfn.SINGLE(_xlfn.XLOOKUP(G1434, Réttabanki!A:A, Réttabanki!AU:AU, "")), ""), "")))</f>
        <v/>
      </c>
      <c r="O1434" s="26" t="str">
        <f>IF(OR(F1434 = "", G1434 = "", I1434 = ""), "", IF(F1434 = "Vara", IFERROR(_xlfn.SINGLE(_xlfn.XLOOKUP(G1434, Vöruskrá!A:A, Vöruskrá!I:I, "")) * I1434 / 100, ""), IF(F1434 = "Réttur", IFERROR(_xlfn.SINGLE(_xlfn.XLOOKUP(G1434, Réttabanki!A:A, Réttabanki!AV:AV, "")) * I1434 / 100, ""), "")))</f>
        <v/>
      </c>
      <c r="P1434" s="26" t="str">
        <f>IF(OR(F1434 = "", G1434 = "", I1434 = ""), "", IF(F1434 = "Vara", IFERROR(_xlfn.SINGLE(_xlfn.XLOOKUP(G1434, Vöruskrá!A:A, Vöruskrá!J:J, "")) * I1434 / 100, ""), IF(F1434 = "Réttur", IFERROR(_xlfn.SINGLE(_xlfn.XLOOKUP(G1434, Réttabanki!A:A, Réttabanki!AW:AW, "")) * I1434 / 100, ""), "")))</f>
        <v/>
      </c>
      <c r="Q1434" s="26" t="str">
        <f>IF(OR(F1434 = "", G1434 = "", I1434 = ""), "", IF(F1434 = "Vara", IFERROR(_xlfn.SINGLE(_xlfn.XLOOKUP(G1434, Vöruskrá!A:A, Vöruskrá!N:N, "")) * I1434 / 100, ""), IF(F1434 = "Réttur", IFERROR(_xlfn.SINGLE(_xlfn.XLOOKUP(G1434, Réttabanki!A:A, Réttabanki!BB:BB, "")) * I1434 / 100, ""), "")))</f>
        <v/>
      </c>
    </row>
    <row r="1435" spans="2:17">
      <c r="B1435" s="33" t="str">
        <f>IF(A1435&lt;&gt;"",CHOOSE(WEEKDAY(A1435,2),"Mánudagur","Þriðjudagur","Miðvikudagur","Fimmtudagur","Föstudagur","Laugardagur","Sunnudagur"),IF(B1434&lt;&gt;"",B1434,""))</f>
        <v>Fimmtudagur</v>
      </c>
      <c r="C1435" s="33">
        <f>IF(A1435&lt;&gt;"",WEEKNUM(A1435,21),IF(C1434&lt;&gt;"",C1434,""))</f>
        <v>27</v>
      </c>
      <c r="D1435" s="34"/>
      <c r="E1435" s="34"/>
      <c r="F1435" s="34"/>
      <c r="G1435" s="34"/>
      <c r="H1435" s="34"/>
      <c r="I1435" s="35"/>
      <c r="J1435" s="35"/>
      <c r="K1435" s="36"/>
      <c r="L1435" s="26" t="str">
        <f>IF(OR(F1435 = "", G1435 = ""), "", IF(F1435 = "Vara", IFERROR(_xlfn.SINGLE(_xlfn.XLOOKUP(G1435, Vöruskrá!A:A, Vöruskrá!E:E, "")), ""), IF(F1435 = "Réttur", IFERROR(_xlfn.SINGLE(_xlfn.XLOOKUP(G1435, Réttabanki!A:A, Réttabanki!AS:AS, "")), ""), "")))</f>
        <v/>
      </c>
      <c r="M1435" s="26" t="str">
        <f>IF(OR(F1435 = "", G1435 = ""), "", IF(F1435 = "Vara", IFERROR(_xlfn.SINGLE(_xlfn.XLOOKUP(G1435, Vöruskrá!A:A, Vöruskrá!F:F, "")), ""), IF(F1435 = "Réttur", IFERROR(_xlfn.SINGLE(_xlfn.XLOOKUP(G1435, Réttabanki!A:A, Réttabanki!AT:AT, "")), ""), "")))</f>
        <v/>
      </c>
      <c r="N1435" s="26" t="str">
        <f>IF(OR(F1435 = "", G1435 = ""), "", IF(F1435 = "Vara", IFERROR(_xlfn.SINGLE(_xlfn.XLOOKUP(G1435, Vöruskrá!A:A, Vöruskrá!G:G, "")), ""), IF(F1435 = "Réttur", IFERROR(_xlfn.SINGLE(_xlfn.XLOOKUP(G1435, Réttabanki!A:A, Réttabanki!AU:AU, "")), ""), "")))</f>
        <v/>
      </c>
      <c r="O1435" s="26" t="str">
        <f>IF(OR(F1435 = "", G1435 = "", I1435 = ""), "", IF(F1435 = "Vara", IFERROR(_xlfn.SINGLE(_xlfn.XLOOKUP(G1435, Vöruskrá!A:A, Vöruskrá!I:I, "")) * I1435 / 100, ""), IF(F1435 = "Réttur", IFERROR(_xlfn.SINGLE(_xlfn.XLOOKUP(G1435, Réttabanki!A:A, Réttabanki!AV:AV, "")) * I1435 / 100, ""), "")))</f>
        <v/>
      </c>
      <c r="P1435" s="26" t="str">
        <f>IF(OR(F1435 = "", G1435 = "", I1435 = ""), "", IF(F1435 = "Vara", IFERROR(_xlfn.SINGLE(_xlfn.XLOOKUP(G1435, Vöruskrá!A:A, Vöruskrá!J:J, "")) * I1435 / 100, ""), IF(F1435 = "Réttur", IFERROR(_xlfn.SINGLE(_xlfn.XLOOKUP(G1435, Réttabanki!A:A, Réttabanki!AW:AW, "")) * I1435 / 100, ""), "")))</f>
        <v/>
      </c>
      <c r="Q1435" s="26" t="str">
        <f>IF(OR(F1435 = "", G1435 = "", I1435 = ""), "", IF(F1435 = "Vara", IFERROR(_xlfn.SINGLE(_xlfn.XLOOKUP(G1435, Vöruskrá!A:A, Vöruskrá!N:N, "")) * I1435 / 100, ""), IF(F1435 = "Réttur", IFERROR(_xlfn.SINGLE(_xlfn.XLOOKUP(G1435, Réttabanki!A:A, Réttabanki!BB:BB, "")) * I1435 / 100, ""), "")))</f>
        <v/>
      </c>
    </row>
    <row r="1436" spans="2:17">
      <c r="B1436" s="33" t="str">
        <f>IF(A1436&lt;&gt;"",CHOOSE(WEEKDAY(A1436,2),"Mánudagur","Þriðjudagur","Miðvikudagur","Fimmtudagur","Föstudagur","Laugardagur","Sunnudagur"),IF(B1435&lt;&gt;"",B1435,""))</f>
        <v>Fimmtudagur</v>
      </c>
      <c r="C1436" s="33">
        <f>IF(A1436&lt;&gt;"",WEEKNUM(A1436,21),IF(C1435&lt;&gt;"",C1435,""))</f>
        <v>27</v>
      </c>
      <c r="D1436" s="34"/>
      <c r="E1436" s="34"/>
      <c r="F1436" s="34"/>
      <c r="G1436" s="34"/>
      <c r="H1436" s="34"/>
      <c r="I1436" s="35"/>
      <c r="J1436" s="35"/>
      <c r="K1436" s="36"/>
      <c r="L1436" s="26" t="str">
        <f>IF(OR(F1436 = "", G1436 = ""), "", IF(F1436 = "Vara", IFERROR(_xlfn.SINGLE(_xlfn.XLOOKUP(G1436, Vöruskrá!A:A, Vöruskrá!E:E, "")), ""), IF(F1436 = "Réttur", IFERROR(_xlfn.SINGLE(_xlfn.XLOOKUP(G1436, Réttabanki!A:A, Réttabanki!AS:AS, "")), ""), "")))</f>
        <v/>
      </c>
      <c r="M1436" s="26" t="str">
        <f>IF(OR(F1436 = "", G1436 = ""), "", IF(F1436 = "Vara", IFERROR(_xlfn.SINGLE(_xlfn.XLOOKUP(G1436, Vöruskrá!A:A, Vöruskrá!F:F, "")), ""), IF(F1436 = "Réttur", IFERROR(_xlfn.SINGLE(_xlfn.XLOOKUP(G1436, Réttabanki!A:A, Réttabanki!AT:AT, "")), ""), "")))</f>
        <v/>
      </c>
      <c r="N1436" s="26" t="str">
        <f>IF(OR(F1436 = "", G1436 = ""), "", IF(F1436 = "Vara", IFERROR(_xlfn.SINGLE(_xlfn.XLOOKUP(G1436, Vöruskrá!A:A, Vöruskrá!G:G, "")), ""), IF(F1436 = "Réttur", IFERROR(_xlfn.SINGLE(_xlfn.XLOOKUP(G1436, Réttabanki!A:A, Réttabanki!AU:AU, "")), ""), "")))</f>
        <v/>
      </c>
      <c r="O1436" s="26" t="str">
        <f>IF(OR(F1436 = "", G1436 = "", I1436 = ""), "", IF(F1436 = "Vara", IFERROR(_xlfn.SINGLE(_xlfn.XLOOKUP(G1436, Vöruskrá!A:A, Vöruskrá!I:I, "")) * I1436 / 100, ""), IF(F1436 = "Réttur", IFERROR(_xlfn.SINGLE(_xlfn.XLOOKUP(G1436, Réttabanki!A:A, Réttabanki!AV:AV, "")) * I1436 / 100, ""), "")))</f>
        <v/>
      </c>
      <c r="P1436" s="26" t="str">
        <f>IF(OR(F1436 = "", G1436 = "", I1436 = ""), "", IF(F1436 = "Vara", IFERROR(_xlfn.SINGLE(_xlfn.XLOOKUP(G1436, Vöruskrá!A:A, Vöruskrá!J:J, "")) * I1436 / 100, ""), IF(F1436 = "Réttur", IFERROR(_xlfn.SINGLE(_xlfn.XLOOKUP(G1436, Réttabanki!A:A, Réttabanki!AW:AW, "")) * I1436 / 100, ""), "")))</f>
        <v/>
      </c>
      <c r="Q1436" s="26" t="str">
        <f>IF(OR(F1436 = "", G1436 = "", I1436 = ""), "", IF(F1436 = "Vara", IFERROR(_xlfn.SINGLE(_xlfn.XLOOKUP(G1436, Vöruskrá!A:A, Vöruskrá!N:N, "")) * I1436 / 100, ""), IF(F1436 = "Réttur", IFERROR(_xlfn.SINGLE(_xlfn.XLOOKUP(G1436, Réttabanki!A:A, Réttabanki!BB:BB, "")) * I1436 / 100, ""), "")))</f>
        <v/>
      </c>
    </row>
    <row r="1437" spans="2:17">
      <c r="B1437" s="33" t="str">
        <f>IF(A1437&lt;&gt;"",CHOOSE(WEEKDAY(A1437,2),"Mánudagur","Þriðjudagur","Miðvikudagur","Fimmtudagur","Föstudagur","Laugardagur","Sunnudagur"),IF(B1436&lt;&gt;"",B1436,""))</f>
        <v>Fimmtudagur</v>
      </c>
      <c r="C1437" s="33">
        <f>IF(A1437&lt;&gt;"",WEEKNUM(A1437,21),IF(C1436&lt;&gt;"",C1436,""))</f>
        <v>27</v>
      </c>
      <c r="D1437" s="34"/>
      <c r="E1437" s="34"/>
      <c r="F1437" s="34"/>
      <c r="G1437" s="34"/>
      <c r="H1437" s="34"/>
      <c r="I1437" s="35"/>
      <c r="J1437" s="35"/>
      <c r="K1437" s="36"/>
      <c r="L1437" s="26" t="str">
        <f>IF(OR(F1437 = "", G1437 = ""), "", IF(F1437 = "Vara", IFERROR(_xlfn.SINGLE(_xlfn.XLOOKUP(G1437, Vöruskrá!A:A, Vöruskrá!E:E, "")), ""), IF(F1437 = "Réttur", IFERROR(_xlfn.SINGLE(_xlfn.XLOOKUP(G1437, Réttabanki!A:A, Réttabanki!AS:AS, "")), ""), "")))</f>
        <v/>
      </c>
      <c r="M1437" s="26" t="str">
        <f>IF(OR(F1437 = "", G1437 = ""), "", IF(F1437 = "Vara", IFERROR(_xlfn.SINGLE(_xlfn.XLOOKUP(G1437, Vöruskrá!A:A, Vöruskrá!F:F, "")), ""), IF(F1437 = "Réttur", IFERROR(_xlfn.SINGLE(_xlfn.XLOOKUP(G1437, Réttabanki!A:A, Réttabanki!AT:AT, "")), ""), "")))</f>
        <v/>
      </c>
      <c r="N1437" s="26" t="str">
        <f>IF(OR(F1437 = "", G1437 = ""), "", IF(F1437 = "Vara", IFERROR(_xlfn.SINGLE(_xlfn.XLOOKUP(G1437, Vöruskrá!A:A, Vöruskrá!G:G, "")), ""), IF(F1437 = "Réttur", IFERROR(_xlfn.SINGLE(_xlfn.XLOOKUP(G1437, Réttabanki!A:A, Réttabanki!AU:AU, "")), ""), "")))</f>
        <v/>
      </c>
      <c r="O1437" s="26" t="str">
        <f>IF(OR(F1437 = "", G1437 = "", I1437 = ""), "", IF(F1437 = "Vara", IFERROR(_xlfn.SINGLE(_xlfn.XLOOKUP(G1437, Vöruskrá!A:A, Vöruskrá!I:I, "")) * I1437 / 100, ""), IF(F1437 = "Réttur", IFERROR(_xlfn.SINGLE(_xlfn.XLOOKUP(G1437, Réttabanki!A:A, Réttabanki!AV:AV, "")) * I1437 / 100, ""), "")))</f>
        <v/>
      </c>
      <c r="P1437" s="26" t="str">
        <f>IF(OR(F1437 = "", G1437 = "", I1437 = ""), "", IF(F1437 = "Vara", IFERROR(_xlfn.SINGLE(_xlfn.XLOOKUP(G1437, Vöruskrá!A:A, Vöruskrá!J:J, "")) * I1437 / 100, ""), IF(F1437 = "Réttur", IFERROR(_xlfn.SINGLE(_xlfn.XLOOKUP(G1437, Réttabanki!A:A, Réttabanki!AW:AW, "")) * I1437 / 100, ""), "")))</f>
        <v/>
      </c>
      <c r="Q1437" s="26" t="str">
        <f>IF(OR(F1437 = "", G1437 = "", I1437 = ""), "", IF(F1437 = "Vara", IFERROR(_xlfn.SINGLE(_xlfn.XLOOKUP(G1437, Vöruskrá!A:A, Vöruskrá!N:N, "")) * I1437 / 100, ""), IF(F1437 = "Réttur", IFERROR(_xlfn.SINGLE(_xlfn.XLOOKUP(G1437, Réttabanki!A:A, Réttabanki!BB:BB, "")) * I1437 / 100, ""), "")))</f>
        <v/>
      </c>
    </row>
    <row r="1438" spans="2:17">
      <c r="B1438" s="33" t="str">
        <f>IF(A1438&lt;&gt;"",CHOOSE(WEEKDAY(A1438,2),"Mánudagur","Þriðjudagur","Miðvikudagur","Fimmtudagur","Föstudagur","Laugardagur","Sunnudagur"),IF(B1437&lt;&gt;"",B1437,""))</f>
        <v>Fimmtudagur</v>
      </c>
      <c r="C1438" s="33">
        <f>IF(A1438&lt;&gt;"",WEEKNUM(A1438,21),IF(C1437&lt;&gt;"",C1437,""))</f>
        <v>27</v>
      </c>
      <c r="D1438" s="34"/>
      <c r="E1438" s="34"/>
      <c r="F1438" s="34"/>
      <c r="G1438" s="34"/>
      <c r="H1438" s="34"/>
      <c r="I1438" s="35"/>
      <c r="J1438" s="35"/>
      <c r="K1438" s="36"/>
      <c r="L1438" s="26" t="str">
        <f>IF(OR(F1438 = "", G1438 = ""), "", IF(F1438 = "Vara", IFERROR(_xlfn.SINGLE(_xlfn.XLOOKUP(G1438, Vöruskrá!A:A, Vöruskrá!E:E, "")), ""), IF(F1438 = "Réttur", IFERROR(_xlfn.SINGLE(_xlfn.XLOOKUP(G1438, Réttabanki!A:A, Réttabanki!AS:AS, "")), ""), "")))</f>
        <v/>
      </c>
      <c r="M1438" s="26" t="str">
        <f>IF(OR(F1438 = "", G1438 = ""), "", IF(F1438 = "Vara", IFERROR(_xlfn.SINGLE(_xlfn.XLOOKUP(G1438, Vöruskrá!A:A, Vöruskrá!F:F, "")), ""), IF(F1438 = "Réttur", IFERROR(_xlfn.SINGLE(_xlfn.XLOOKUP(G1438, Réttabanki!A:A, Réttabanki!AT:AT, "")), ""), "")))</f>
        <v/>
      </c>
      <c r="N1438" s="26" t="str">
        <f>IF(OR(F1438 = "", G1438 = ""), "", IF(F1438 = "Vara", IFERROR(_xlfn.SINGLE(_xlfn.XLOOKUP(G1438, Vöruskrá!A:A, Vöruskrá!G:G, "")), ""), IF(F1438 = "Réttur", IFERROR(_xlfn.SINGLE(_xlfn.XLOOKUP(G1438, Réttabanki!A:A, Réttabanki!AU:AU, "")), ""), "")))</f>
        <v/>
      </c>
      <c r="O1438" s="26" t="str">
        <f>IF(OR(F1438 = "", G1438 = "", I1438 = ""), "", IF(F1438 = "Vara", IFERROR(_xlfn.SINGLE(_xlfn.XLOOKUP(G1438, Vöruskrá!A:A, Vöruskrá!I:I, "")) * I1438 / 100, ""), IF(F1438 = "Réttur", IFERROR(_xlfn.SINGLE(_xlfn.XLOOKUP(G1438, Réttabanki!A:A, Réttabanki!AV:AV, "")) * I1438 / 100, ""), "")))</f>
        <v/>
      </c>
      <c r="P1438" s="26" t="str">
        <f>IF(OR(F1438 = "", G1438 = "", I1438 = ""), "", IF(F1438 = "Vara", IFERROR(_xlfn.SINGLE(_xlfn.XLOOKUP(G1438, Vöruskrá!A:A, Vöruskrá!J:J, "")) * I1438 / 100, ""), IF(F1438 = "Réttur", IFERROR(_xlfn.SINGLE(_xlfn.XLOOKUP(G1438, Réttabanki!A:A, Réttabanki!AW:AW, "")) * I1438 / 100, ""), "")))</f>
        <v/>
      </c>
      <c r="Q1438" s="26" t="str">
        <f>IF(OR(F1438 = "", G1438 = "", I1438 = ""), "", IF(F1438 = "Vara", IFERROR(_xlfn.SINGLE(_xlfn.XLOOKUP(G1438, Vöruskrá!A:A, Vöruskrá!N:N, "")) * I1438 / 100, ""), IF(F1438 = "Réttur", IFERROR(_xlfn.SINGLE(_xlfn.XLOOKUP(G1438, Réttabanki!A:A, Réttabanki!BB:BB, "")) * I1438 / 100, ""), "")))</f>
        <v/>
      </c>
    </row>
    <row r="1439" spans="2:17">
      <c r="B1439" s="33" t="str">
        <f>IF(A1439&lt;&gt;"",CHOOSE(WEEKDAY(A1439,2),"Mánudagur","Þriðjudagur","Miðvikudagur","Fimmtudagur","Föstudagur","Laugardagur","Sunnudagur"),IF(B1438&lt;&gt;"",B1438,""))</f>
        <v>Fimmtudagur</v>
      </c>
      <c r="C1439" s="33">
        <f>IF(A1439&lt;&gt;"",WEEKNUM(A1439,21),IF(C1438&lt;&gt;"",C1438,""))</f>
        <v>27</v>
      </c>
      <c r="D1439" s="34"/>
      <c r="E1439" s="34"/>
      <c r="F1439" s="34"/>
      <c r="G1439" s="34"/>
      <c r="H1439" s="34"/>
      <c r="I1439" s="35"/>
      <c r="J1439" s="35"/>
      <c r="K1439" s="36"/>
      <c r="L1439" s="26" t="str">
        <f>IF(OR(F1439 = "", G1439 = ""), "", IF(F1439 = "Vara", IFERROR(_xlfn.SINGLE(_xlfn.XLOOKUP(G1439, Vöruskrá!A:A, Vöruskrá!E:E, "")), ""), IF(F1439 = "Réttur", IFERROR(_xlfn.SINGLE(_xlfn.XLOOKUP(G1439, Réttabanki!A:A, Réttabanki!AS:AS, "")), ""), "")))</f>
        <v/>
      </c>
      <c r="M1439" s="26" t="str">
        <f>IF(OR(F1439 = "", G1439 = ""), "", IF(F1439 = "Vara", IFERROR(_xlfn.SINGLE(_xlfn.XLOOKUP(G1439, Vöruskrá!A:A, Vöruskrá!F:F, "")), ""), IF(F1439 = "Réttur", IFERROR(_xlfn.SINGLE(_xlfn.XLOOKUP(G1439, Réttabanki!A:A, Réttabanki!AT:AT, "")), ""), "")))</f>
        <v/>
      </c>
      <c r="N1439" s="26" t="str">
        <f>IF(OR(F1439 = "", G1439 = ""), "", IF(F1439 = "Vara", IFERROR(_xlfn.SINGLE(_xlfn.XLOOKUP(G1439, Vöruskrá!A:A, Vöruskrá!G:G, "")), ""), IF(F1439 = "Réttur", IFERROR(_xlfn.SINGLE(_xlfn.XLOOKUP(G1439, Réttabanki!A:A, Réttabanki!AU:AU, "")), ""), "")))</f>
        <v/>
      </c>
      <c r="O1439" s="26" t="str">
        <f>IF(OR(F1439 = "", G1439 = "", I1439 = ""), "", IF(F1439 = "Vara", IFERROR(_xlfn.SINGLE(_xlfn.XLOOKUP(G1439, Vöruskrá!A:A, Vöruskrá!I:I, "")) * I1439 / 100, ""), IF(F1439 = "Réttur", IFERROR(_xlfn.SINGLE(_xlfn.XLOOKUP(G1439, Réttabanki!A:A, Réttabanki!AV:AV, "")) * I1439 / 100, ""), "")))</f>
        <v/>
      </c>
      <c r="P1439" s="26" t="str">
        <f>IF(OR(F1439 = "", G1439 = "", I1439 = ""), "", IF(F1439 = "Vara", IFERROR(_xlfn.SINGLE(_xlfn.XLOOKUP(G1439, Vöruskrá!A:A, Vöruskrá!J:J, "")) * I1439 / 100, ""), IF(F1439 = "Réttur", IFERROR(_xlfn.SINGLE(_xlfn.XLOOKUP(G1439, Réttabanki!A:A, Réttabanki!AW:AW, "")) * I1439 / 100, ""), "")))</f>
        <v/>
      </c>
      <c r="Q1439" s="26" t="str">
        <f>IF(OR(F1439 = "", G1439 = "", I1439 = ""), "", IF(F1439 = "Vara", IFERROR(_xlfn.SINGLE(_xlfn.XLOOKUP(G1439, Vöruskrá!A:A, Vöruskrá!N:N, "")) * I1439 / 100, ""), IF(F1439 = "Réttur", IFERROR(_xlfn.SINGLE(_xlfn.XLOOKUP(G1439, Réttabanki!A:A, Réttabanki!BB:BB, "")) * I1439 / 100, ""), "")))</f>
        <v/>
      </c>
    </row>
    <row r="1440" spans="2:17">
      <c r="B1440" s="33" t="str">
        <f>IF(A1440&lt;&gt;"",CHOOSE(WEEKDAY(A1440,2),"Mánudagur","Þriðjudagur","Miðvikudagur","Fimmtudagur","Föstudagur","Laugardagur","Sunnudagur"),IF(B1439&lt;&gt;"",B1439,""))</f>
        <v>Fimmtudagur</v>
      </c>
      <c r="C1440" s="33">
        <f>IF(A1440&lt;&gt;"",WEEKNUM(A1440,21),IF(C1439&lt;&gt;"",C1439,""))</f>
        <v>27</v>
      </c>
      <c r="D1440" s="34"/>
      <c r="E1440" s="34"/>
      <c r="F1440" s="34"/>
      <c r="G1440" s="34"/>
      <c r="H1440" s="34"/>
      <c r="I1440" s="35"/>
      <c r="J1440" s="35"/>
      <c r="K1440" s="36"/>
      <c r="L1440" s="26" t="str">
        <f>IF(OR(F1440 = "", G1440 = ""), "", IF(F1440 = "Vara", IFERROR(_xlfn.SINGLE(_xlfn.XLOOKUP(G1440, Vöruskrá!A:A, Vöruskrá!E:E, "")), ""), IF(F1440 = "Réttur", IFERROR(_xlfn.SINGLE(_xlfn.XLOOKUP(G1440, Réttabanki!A:A, Réttabanki!AS:AS, "")), ""), "")))</f>
        <v/>
      </c>
      <c r="M1440" s="26" t="str">
        <f>IF(OR(F1440 = "", G1440 = ""), "", IF(F1440 = "Vara", IFERROR(_xlfn.SINGLE(_xlfn.XLOOKUP(G1440, Vöruskrá!A:A, Vöruskrá!F:F, "")), ""), IF(F1440 = "Réttur", IFERROR(_xlfn.SINGLE(_xlfn.XLOOKUP(G1440, Réttabanki!A:A, Réttabanki!AT:AT, "")), ""), "")))</f>
        <v/>
      </c>
      <c r="N1440" s="26" t="str">
        <f>IF(OR(F1440 = "", G1440 = ""), "", IF(F1440 = "Vara", IFERROR(_xlfn.SINGLE(_xlfn.XLOOKUP(G1440, Vöruskrá!A:A, Vöruskrá!G:G, "")), ""), IF(F1440 = "Réttur", IFERROR(_xlfn.SINGLE(_xlfn.XLOOKUP(G1440, Réttabanki!A:A, Réttabanki!AU:AU, "")), ""), "")))</f>
        <v/>
      </c>
      <c r="O1440" s="26" t="str">
        <f>IF(OR(F1440 = "", G1440 = "", I1440 = ""), "", IF(F1440 = "Vara", IFERROR(_xlfn.SINGLE(_xlfn.XLOOKUP(G1440, Vöruskrá!A:A, Vöruskrá!I:I, "")) * I1440 / 100, ""), IF(F1440 = "Réttur", IFERROR(_xlfn.SINGLE(_xlfn.XLOOKUP(G1440, Réttabanki!A:A, Réttabanki!AV:AV, "")) * I1440 / 100, ""), "")))</f>
        <v/>
      </c>
      <c r="P1440" s="26" t="str">
        <f>IF(OR(F1440 = "", G1440 = "", I1440 = ""), "", IF(F1440 = "Vara", IFERROR(_xlfn.SINGLE(_xlfn.XLOOKUP(G1440, Vöruskrá!A:A, Vöruskrá!J:J, "")) * I1440 / 100, ""), IF(F1440 = "Réttur", IFERROR(_xlfn.SINGLE(_xlfn.XLOOKUP(G1440, Réttabanki!A:A, Réttabanki!AW:AW, "")) * I1440 / 100, ""), "")))</f>
        <v/>
      </c>
      <c r="Q1440" s="26" t="str">
        <f>IF(OR(F1440 = "", G1440 = "", I1440 = ""), "", IF(F1440 = "Vara", IFERROR(_xlfn.SINGLE(_xlfn.XLOOKUP(G1440, Vöruskrá!A:A, Vöruskrá!N:N, "")) * I1440 / 100, ""), IF(F1440 = "Réttur", IFERROR(_xlfn.SINGLE(_xlfn.XLOOKUP(G1440, Réttabanki!A:A, Réttabanki!BB:BB, "")) * I1440 / 100, ""), "")))</f>
        <v/>
      </c>
    </row>
    <row r="1441" spans="2:17">
      <c r="B1441" s="33" t="str">
        <f>IF(A1441&lt;&gt;"",CHOOSE(WEEKDAY(A1441,2),"Mánudagur","Þriðjudagur","Miðvikudagur","Fimmtudagur","Föstudagur","Laugardagur","Sunnudagur"),IF(B1440&lt;&gt;"",B1440,""))</f>
        <v>Fimmtudagur</v>
      </c>
      <c r="C1441" s="33">
        <f>IF(A1441&lt;&gt;"",WEEKNUM(A1441,21),IF(C1440&lt;&gt;"",C1440,""))</f>
        <v>27</v>
      </c>
      <c r="D1441" s="34"/>
      <c r="E1441" s="34"/>
      <c r="F1441" s="34"/>
      <c r="G1441" s="34"/>
      <c r="H1441" s="34"/>
      <c r="I1441" s="35"/>
      <c r="J1441" s="35"/>
      <c r="K1441" s="36"/>
      <c r="L1441" s="26" t="str">
        <f>IF(OR(F1441 = "", G1441 = ""), "", IF(F1441 = "Vara", IFERROR(_xlfn.SINGLE(_xlfn.XLOOKUP(G1441, Vöruskrá!A:A, Vöruskrá!E:E, "")), ""), IF(F1441 = "Réttur", IFERROR(_xlfn.SINGLE(_xlfn.XLOOKUP(G1441, Réttabanki!A:A, Réttabanki!AS:AS, "")), ""), "")))</f>
        <v/>
      </c>
      <c r="M1441" s="26" t="str">
        <f>IF(OR(F1441 = "", G1441 = ""), "", IF(F1441 = "Vara", IFERROR(_xlfn.SINGLE(_xlfn.XLOOKUP(G1441, Vöruskrá!A:A, Vöruskrá!F:F, "")), ""), IF(F1441 = "Réttur", IFERROR(_xlfn.SINGLE(_xlfn.XLOOKUP(G1441, Réttabanki!A:A, Réttabanki!AT:AT, "")), ""), "")))</f>
        <v/>
      </c>
      <c r="N1441" s="26" t="str">
        <f>IF(OR(F1441 = "", G1441 = ""), "", IF(F1441 = "Vara", IFERROR(_xlfn.SINGLE(_xlfn.XLOOKUP(G1441, Vöruskrá!A:A, Vöruskrá!G:G, "")), ""), IF(F1441 = "Réttur", IFERROR(_xlfn.SINGLE(_xlfn.XLOOKUP(G1441, Réttabanki!A:A, Réttabanki!AU:AU, "")), ""), "")))</f>
        <v/>
      </c>
      <c r="O1441" s="26" t="str">
        <f>IF(OR(F1441 = "", G1441 = "", I1441 = ""), "", IF(F1441 = "Vara", IFERROR(_xlfn.SINGLE(_xlfn.XLOOKUP(G1441, Vöruskrá!A:A, Vöruskrá!I:I, "")) * I1441 / 100, ""), IF(F1441 = "Réttur", IFERROR(_xlfn.SINGLE(_xlfn.XLOOKUP(G1441, Réttabanki!A:A, Réttabanki!AV:AV, "")) * I1441 / 100, ""), "")))</f>
        <v/>
      </c>
      <c r="P1441" s="26" t="str">
        <f>IF(OR(F1441 = "", G1441 = "", I1441 = ""), "", IF(F1441 = "Vara", IFERROR(_xlfn.SINGLE(_xlfn.XLOOKUP(G1441, Vöruskrá!A:A, Vöruskrá!J:J, "")) * I1441 / 100, ""), IF(F1441 = "Réttur", IFERROR(_xlfn.SINGLE(_xlfn.XLOOKUP(G1441, Réttabanki!A:A, Réttabanki!AW:AW, "")) * I1441 / 100, ""), "")))</f>
        <v/>
      </c>
      <c r="Q1441" s="26" t="str">
        <f>IF(OR(F1441 = "", G1441 = "", I1441 = ""), "", IF(F1441 = "Vara", IFERROR(_xlfn.SINGLE(_xlfn.XLOOKUP(G1441, Vöruskrá!A:A, Vöruskrá!N:N, "")) * I1441 / 100, ""), IF(F1441 = "Réttur", IFERROR(_xlfn.SINGLE(_xlfn.XLOOKUP(G1441, Réttabanki!A:A, Réttabanki!BB:BB, "")) * I1441 / 100, ""), "")))</f>
        <v/>
      </c>
    </row>
    <row r="1442" spans="2:17">
      <c r="B1442" s="33" t="str">
        <f>IF(A1442&lt;&gt;"",CHOOSE(WEEKDAY(A1442,2),"Mánudagur","Þriðjudagur","Miðvikudagur","Fimmtudagur","Föstudagur","Laugardagur","Sunnudagur"),IF(B1441&lt;&gt;"",B1441,""))</f>
        <v>Fimmtudagur</v>
      </c>
      <c r="C1442" s="33">
        <f>IF(A1442&lt;&gt;"",WEEKNUM(A1442,21),IF(C1441&lt;&gt;"",C1441,""))</f>
        <v>27</v>
      </c>
      <c r="D1442" s="34"/>
      <c r="E1442" s="34"/>
      <c r="F1442" s="34"/>
      <c r="G1442" s="34"/>
      <c r="H1442" s="34"/>
      <c r="I1442" s="35"/>
      <c r="J1442" s="35"/>
      <c r="K1442" s="36"/>
      <c r="L1442" s="26" t="str">
        <f>IF(OR(F1442 = "", G1442 = ""), "", IF(F1442 = "Vara", IFERROR(_xlfn.SINGLE(_xlfn.XLOOKUP(G1442, Vöruskrá!A:A, Vöruskrá!E:E, "")), ""), IF(F1442 = "Réttur", IFERROR(_xlfn.SINGLE(_xlfn.XLOOKUP(G1442, Réttabanki!A:A, Réttabanki!AS:AS, "")), ""), "")))</f>
        <v/>
      </c>
      <c r="M1442" s="26" t="str">
        <f>IF(OR(F1442 = "", G1442 = ""), "", IF(F1442 = "Vara", IFERROR(_xlfn.SINGLE(_xlfn.XLOOKUP(G1442, Vöruskrá!A:A, Vöruskrá!F:F, "")), ""), IF(F1442 = "Réttur", IFERROR(_xlfn.SINGLE(_xlfn.XLOOKUP(G1442, Réttabanki!A:A, Réttabanki!AT:AT, "")), ""), "")))</f>
        <v/>
      </c>
      <c r="N1442" s="26" t="str">
        <f>IF(OR(F1442 = "", G1442 = ""), "", IF(F1442 = "Vara", IFERROR(_xlfn.SINGLE(_xlfn.XLOOKUP(G1442, Vöruskrá!A:A, Vöruskrá!G:G, "")), ""), IF(F1442 = "Réttur", IFERROR(_xlfn.SINGLE(_xlfn.XLOOKUP(G1442, Réttabanki!A:A, Réttabanki!AU:AU, "")), ""), "")))</f>
        <v/>
      </c>
      <c r="O1442" s="26" t="str">
        <f>IF(OR(F1442 = "", G1442 = "", I1442 = ""), "", IF(F1442 = "Vara", IFERROR(_xlfn.SINGLE(_xlfn.XLOOKUP(G1442, Vöruskrá!A:A, Vöruskrá!I:I, "")) * I1442 / 100, ""), IF(F1442 = "Réttur", IFERROR(_xlfn.SINGLE(_xlfn.XLOOKUP(G1442, Réttabanki!A:A, Réttabanki!AV:AV, "")) * I1442 / 100, ""), "")))</f>
        <v/>
      </c>
      <c r="P1442" s="26" t="str">
        <f>IF(OR(F1442 = "", G1442 = "", I1442 = ""), "", IF(F1442 = "Vara", IFERROR(_xlfn.SINGLE(_xlfn.XLOOKUP(G1442, Vöruskrá!A:A, Vöruskrá!J:J, "")) * I1442 / 100, ""), IF(F1442 = "Réttur", IFERROR(_xlfn.SINGLE(_xlfn.XLOOKUP(G1442, Réttabanki!A:A, Réttabanki!AW:AW, "")) * I1442 / 100, ""), "")))</f>
        <v/>
      </c>
      <c r="Q1442" s="26" t="str">
        <f>IF(OR(F1442 = "", G1442 = "", I1442 = ""), "", IF(F1442 = "Vara", IFERROR(_xlfn.SINGLE(_xlfn.XLOOKUP(G1442, Vöruskrá!A:A, Vöruskrá!N:N, "")) * I1442 / 100, ""), IF(F1442 = "Réttur", IFERROR(_xlfn.SINGLE(_xlfn.XLOOKUP(G1442, Réttabanki!A:A, Réttabanki!BB:BB, "")) * I1442 / 100, ""), "")))</f>
        <v/>
      </c>
    </row>
    <row r="1443" spans="2:17">
      <c r="B1443" s="33" t="str">
        <f>IF(A1443&lt;&gt;"",CHOOSE(WEEKDAY(A1443,2),"Mánudagur","Þriðjudagur","Miðvikudagur","Fimmtudagur","Föstudagur","Laugardagur","Sunnudagur"),IF(B1442&lt;&gt;"",B1442,""))</f>
        <v>Fimmtudagur</v>
      </c>
      <c r="C1443" s="33">
        <f>IF(A1443&lt;&gt;"",WEEKNUM(A1443,21),IF(C1442&lt;&gt;"",C1442,""))</f>
        <v>27</v>
      </c>
      <c r="D1443" s="34"/>
      <c r="E1443" s="34"/>
      <c r="F1443" s="34"/>
      <c r="G1443" s="34"/>
      <c r="H1443" s="34"/>
      <c r="I1443" s="35"/>
      <c r="J1443" s="35"/>
      <c r="K1443" s="36"/>
      <c r="L1443" s="26" t="str">
        <f>IF(OR(F1443 = "", G1443 = ""), "", IF(F1443 = "Vara", IFERROR(_xlfn.SINGLE(_xlfn.XLOOKUP(G1443, Vöruskrá!A:A, Vöruskrá!E:E, "")), ""), IF(F1443 = "Réttur", IFERROR(_xlfn.SINGLE(_xlfn.XLOOKUP(G1443, Réttabanki!A:A, Réttabanki!AS:AS, "")), ""), "")))</f>
        <v/>
      </c>
      <c r="M1443" s="26" t="str">
        <f>IF(OR(F1443 = "", G1443 = ""), "", IF(F1443 = "Vara", IFERROR(_xlfn.SINGLE(_xlfn.XLOOKUP(G1443, Vöruskrá!A:A, Vöruskrá!F:F, "")), ""), IF(F1443 = "Réttur", IFERROR(_xlfn.SINGLE(_xlfn.XLOOKUP(G1443, Réttabanki!A:A, Réttabanki!AT:AT, "")), ""), "")))</f>
        <v/>
      </c>
      <c r="N1443" s="26" t="str">
        <f>IF(OR(F1443 = "", G1443 = ""), "", IF(F1443 = "Vara", IFERROR(_xlfn.SINGLE(_xlfn.XLOOKUP(G1443, Vöruskrá!A:A, Vöruskrá!G:G, "")), ""), IF(F1443 = "Réttur", IFERROR(_xlfn.SINGLE(_xlfn.XLOOKUP(G1443, Réttabanki!A:A, Réttabanki!AU:AU, "")), ""), "")))</f>
        <v/>
      </c>
      <c r="O1443" s="26" t="str">
        <f>IF(OR(F1443 = "", G1443 = "", I1443 = ""), "", IF(F1443 = "Vara", IFERROR(_xlfn.SINGLE(_xlfn.XLOOKUP(G1443, Vöruskrá!A:A, Vöruskrá!I:I, "")) * I1443 / 100, ""), IF(F1443 = "Réttur", IFERROR(_xlfn.SINGLE(_xlfn.XLOOKUP(G1443, Réttabanki!A:A, Réttabanki!AV:AV, "")) * I1443 / 100, ""), "")))</f>
        <v/>
      </c>
      <c r="P1443" s="26" t="str">
        <f>IF(OR(F1443 = "", G1443 = "", I1443 = ""), "", IF(F1443 = "Vara", IFERROR(_xlfn.SINGLE(_xlfn.XLOOKUP(G1443, Vöruskrá!A:A, Vöruskrá!J:J, "")) * I1443 / 100, ""), IF(F1443 = "Réttur", IFERROR(_xlfn.SINGLE(_xlfn.XLOOKUP(G1443, Réttabanki!A:A, Réttabanki!AW:AW, "")) * I1443 / 100, ""), "")))</f>
        <v/>
      </c>
      <c r="Q1443" s="26" t="str">
        <f>IF(OR(F1443 = "", G1443 = "", I1443 = ""), "", IF(F1443 = "Vara", IFERROR(_xlfn.SINGLE(_xlfn.XLOOKUP(G1443, Vöruskrá!A:A, Vöruskrá!N:N, "")) * I1443 / 100, ""), IF(F1443 = "Réttur", IFERROR(_xlfn.SINGLE(_xlfn.XLOOKUP(G1443, Réttabanki!A:A, Réttabanki!BB:BB, "")) * I1443 / 100, ""), "")))</f>
        <v/>
      </c>
    </row>
    <row r="1444" spans="2:17">
      <c r="B1444" s="33" t="str">
        <f>IF(A1444&lt;&gt;"",CHOOSE(WEEKDAY(A1444,2),"Mánudagur","Þriðjudagur","Miðvikudagur","Fimmtudagur","Föstudagur","Laugardagur","Sunnudagur"),IF(B1443&lt;&gt;"",B1443,""))</f>
        <v>Fimmtudagur</v>
      </c>
      <c r="C1444" s="33">
        <f>IF(A1444&lt;&gt;"",WEEKNUM(A1444,21),IF(C1443&lt;&gt;"",C1443,""))</f>
        <v>27</v>
      </c>
      <c r="D1444" s="34"/>
      <c r="E1444" s="34"/>
      <c r="F1444" s="34"/>
      <c r="G1444" s="34"/>
      <c r="H1444" s="34"/>
      <c r="I1444" s="35"/>
      <c r="J1444" s="35"/>
      <c r="K1444" s="36"/>
      <c r="L1444" s="26" t="str">
        <f>IF(OR(F1444 = "", G1444 = ""), "", IF(F1444 = "Vara", IFERROR(_xlfn.SINGLE(_xlfn.XLOOKUP(G1444, Vöruskrá!A:A, Vöruskrá!E:E, "")), ""), IF(F1444 = "Réttur", IFERROR(_xlfn.SINGLE(_xlfn.XLOOKUP(G1444, Réttabanki!A:A, Réttabanki!AS:AS, "")), ""), "")))</f>
        <v/>
      </c>
      <c r="M1444" s="26" t="str">
        <f>IF(OR(F1444 = "", G1444 = ""), "", IF(F1444 = "Vara", IFERROR(_xlfn.SINGLE(_xlfn.XLOOKUP(G1444, Vöruskrá!A:A, Vöruskrá!F:F, "")), ""), IF(F1444 = "Réttur", IFERROR(_xlfn.SINGLE(_xlfn.XLOOKUP(G1444, Réttabanki!A:A, Réttabanki!AT:AT, "")), ""), "")))</f>
        <v/>
      </c>
      <c r="N1444" s="26" t="str">
        <f>IF(OR(F1444 = "", G1444 = ""), "", IF(F1444 = "Vara", IFERROR(_xlfn.SINGLE(_xlfn.XLOOKUP(G1444, Vöruskrá!A:A, Vöruskrá!G:G, "")), ""), IF(F1444 = "Réttur", IFERROR(_xlfn.SINGLE(_xlfn.XLOOKUP(G1444, Réttabanki!A:A, Réttabanki!AU:AU, "")), ""), "")))</f>
        <v/>
      </c>
      <c r="O1444" s="26" t="str">
        <f>IF(OR(F1444 = "", G1444 = "", I1444 = ""), "", IF(F1444 = "Vara", IFERROR(_xlfn.SINGLE(_xlfn.XLOOKUP(G1444, Vöruskrá!A:A, Vöruskrá!I:I, "")) * I1444 / 100, ""), IF(F1444 = "Réttur", IFERROR(_xlfn.SINGLE(_xlfn.XLOOKUP(G1444, Réttabanki!A:A, Réttabanki!AV:AV, "")) * I1444 / 100, ""), "")))</f>
        <v/>
      </c>
      <c r="P1444" s="26" t="str">
        <f>IF(OR(F1444 = "", G1444 = "", I1444 = ""), "", IF(F1444 = "Vara", IFERROR(_xlfn.SINGLE(_xlfn.XLOOKUP(G1444, Vöruskrá!A:A, Vöruskrá!J:J, "")) * I1444 / 100, ""), IF(F1444 = "Réttur", IFERROR(_xlfn.SINGLE(_xlfn.XLOOKUP(G1444, Réttabanki!A:A, Réttabanki!AW:AW, "")) * I1444 / 100, ""), "")))</f>
        <v/>
      </c>
      <c r="Q1444" s="26" t="str">
        <f>IF(OR(F1444 = "", G1444 = "", I1444 = ""), "", IF(F1444 = "Vara", IFERROR(_xlfn.SINGLE(_xlfn.XLOOKUP(G1444, Vöruskrá!A:A, Vöruskrá!N:N, "")) * I1444 / 100, ""), IF(F1444 = "Réttur", IFERROR(_xlfn.SINGLE(_xlfn.XLOOKUP(G1444, Réttabanki!A:A, Réttabanki!BB:BB, "")) * I1444 / 100, ""), "")))</f>
        <v/>
      </c>
    </row>
    <row r="1445" spans="2:17">
      <c r="B1445" s="33" t="str">
        <f>IF(A1445&lt;&gt;"",CHOOSE(WEEKDAY(A1445,2),"Mánudagur","Þriðjudagur","Miðvikudagur","Fimmtudagur","Föstudagur","Laugardagur","Sunnudagur"),IF(B1444&lt;&gt;"",B1444,""))</f>
        <v>Fimmtudagur</v>
      </c>
      <c r="C1445" s="33">
        <f>IF(A1445&lt;&gt;"",WEEKNUM(A1445,21),IF(C1444&lt;&gt;"",C1444,""))</f>
        <v>27</v>
      </c>
      <c r="D1445" s="34"/>
      <c r="E1445" s="34"/>
      <c r="F1445" s="34"/>
      <c r="G1445" s="34"/>
      <c r="H1445" s="34"/>
      <c r="I1445" s="35"/>
      <c r="J1445" s="35"/>
      <c r="K1445" s="36"/>
      <c r="L1445" s="26" t="str">
        <f>IF(OR(F1445 = "", G1445 = ""), "", IF(F1445 = "Vara", IFERROR(_xlfn.SINGLE(_xlfn.XLOOKUP(G1445, Vöruskrá!A:A, Vöruskrá!E:E, "")), ""), IF(F1445 = "Réttur", IFERROR(_xlfn.SINGLE(_xlfn.XLOOKUP(G1445, Réttabanki!A:A, Réttabanki!AS:AS, "")), ""), "")))</f>
        <v/>
      </c>
      <c r="M1445" s="26" t="str">
        <f>IF(OR(F1445 = "", G1445 = ""), "", IF(F1445 = "Vara", IFERROR(_xlfn.SINGLE(_xlfn.XLOOKUP(G1445, Vöruskrá!A:A, Vöruskrá!F:F, "")), ""), IF(F1445 = "Réttur", IFERROR(_xlfn.SINGLE(_xlfn.XLOOKUP(G1445, Réttabanki!A:A, Réttabanki!AT:AT, "")), ""), "")))</f>
        <v/>
      </c>
      <c r="N1445" s="26" t="str">
        <f>IF(OR(F1445 = "", G1445 = ""), "", IF(F1445 = "Vara", IFERROR(_xlfn.SINGLE(_xlfn.XLOOKUP(G1445, Vöruskrá!A:A, Vöruskrá!G:G, "")), ""), IF(F1445 = "Réttur", IFERROR(_xlfn.SINGLE(_xlfn.XLOOKUP(G1445, Réttabanki!A:A, Réttabanki!AU:AU, "")), ""), "")))</f>
        <v/>
      </c>
      <c r="O1445" s="26" t="str">
        <f>IF(OR(F1445 = "", G1445 = "", I1445 = ""), "", IF(F1445 = "Vara", IFERROR(_xlfn.SINGLE(_xlfn.XLOOKUP(G1445, Vöruskrá!A:A, Vöruskrá!I:I, "")) * I1445 / 100, ""), IF(F1445 = "Réttur", IFERROR(_xlfn.SINGLE(_xlfn.XLOOKUP(G1445, Réttabanki!A:A, Réttabanki!AV:AV, "")) * I1445 / 100, ""), "")))</f>
        <v/>
      </c>
      <c r="P1445" s="26" t="str">
        <f>IF(OR(F1445 = "", G1445 = "", I1445 = ""), "", IF(F1445 = "Vara", IFERROR(_xlfn.SINGLE(_xlfn.XLOOKUP(G1445, Vöruskrá!A:A, Vöruskrá!J:J, "")) * I1445 / 100, ""), IF(F1445 = "Réttur", IFERROR(_xlfn.SINGLE(_xlfn.XLOOKUP(G1445, Réttabanki!A:A, Réttabanki!AW:AW, "")) * I1445 / 100, ""), "")))</f>
        <v/>
      </c>
      <c r="Q1445" s="26" t="str">
        <f>IF(OR(F1445 = "", G1445 = "", I1445 = ""), "", IF(F1445 = "Vara", IFERROR(_xlfn.SINGLE(_xlfn.XLOOKUP(G1445, Vöruskrá!A:A, Vöruskrá!N:N, "")) * I1445 / 100, ""), IF(F1445 = "Réttur", IFERROR(_xlfn.SINGLE(_xlfn.XLOOKUP(G1445, Réttabanki!A:A, Réttabanki!BB:BB, "")) * I1445 / 100, ""), "")))</f>
        <v/>
      </c>
    </row>
    <row r="1446" spans="2:17">
      <c r="B1446" s="33" t="str">
        <f>IF(A1446&lt;&gt;"",CHOOSE(WEEKDAY(A1446,2),"Mánudagur","Þriðjudagur","Miðvikudagur","Fimmtudagur","Föstudagur","Laugardagur","Sunnudagur"),IF(B1445&lt;&gt;"",B1445,""))</f>
        <v>Fimmtudagur</v>
      </c>
      <c r="C1446" s="33">
        <f>IF(A1446&lt;&gt;"",WEEKNUM(A1446,21),IF(C1445&lt;&gt;"",C1445,""))</f>
        <v>27</v>
      </c>
      <c r="D1446" s="34"/>
      <c r="E1446" s="34"/>
      <c r="F1446" s="34"/>
      <c r="G1446" s="34"/>
      <c r="H1446" s="34"/>
      <c r="I1446" s="35"/>
      <c r="J1446" s="35"/>
      <c r="K1446" s="36"/>
      <c r="L1446" s="26" t="str">
        <f>IF(OR(F1446 = "", G1446 = ""), "", IF(F1446 = "Vara", IFERROR(_xlfn.SINGLE(_xlfn.XLOOKUP(G1446, Vöruskrá!A:A, Vöruskrá!E:E, "")), ""), IF(F1446 = "Réttur", IFERROR(_xlfn.SINGLE(_xlfn.XLOOKUP(G1446, Réttabanki!A:A, Réttabanki!AS:AS, "")), ""), "")))</f>
        <v/>
      </c>
      <c r="M1446" s="26" t="str">
        <f>IF(OR(F1446 = "", G1446 = ""), "", IF(F1446 = "Vara", IFERROR(_xlfn.SINGLE(_xlfn.XLOOKUP(G1446, Vöruskrá!A:A, Vöruskrá!F:F, "")), ""), IF(F1446 = "Réttur", IFERROR(_xlfn.SINGLE(_xlfn.XLOOKUP(G1446, Réttabanki!A:A, Réttabanki!AT:AT, "")), ""), "")))</f>
        <v/>
      </c>
      <c r="N1446" s="26" t="str">
        <f>IF(OR(F1446 = "", G1446 = ""), "", IF(F1446 = "Vara", IFERROR(_xlfn.SINGLE(_xlfn.XLOOKUP(G1446, Vöruskrá!A:A, Vöruskrá!G:G, "")), ""), IF(F1446 = "Réttur", IFERROR(_xlfn.SINGLE(_xlfn.XLOOKUP(G1446, Réttabanki!A:A, Réttabanki!AU:AU, "")), ""), "")))</f>
        <v/>
      </c>
      <c r="O1446" s="26" t="str">
        <f>IF(OR(F1446 = "", G1446 = "", I1446 = ""), "", IF(F1446 = "Vara", IFERROR(_xlfn.SINGLE(_xlfn.XLOOKUP(G1446, Vöruskrá!A:A, Vöruskrá!I:I, "")) * I1446 / 100, ""), IF(F1446 = "Réttur", IFERROR(_xlfn.SINGLE(_xlfn.XLOOKUP(G1446, Réttabanki!A:A, Réttabanki!AV:AV, "")) * I1446 / 100, ""), "")))</f>
        <v/>
      </c>
      <c r="P1446" s="26" t="str">
        <f>IF(OR(F1446 = "", G1446 = "", I1446 = ""), "", IF(F1446 = "Vara", IFERROR(_xlfn.SINGLE(_xlfn.XLOOKUP(G1446, Vöruskrá!A:A, Vöruskrá!J:J, "")) * I1446 / 100, ""), IF(F1446 = "Réttur", IFERROR(_xlfn.SINGLE(_xlfn.XLOOKUP(G1446, Réttabanki!A:A, Réttabanki!AW:AW, "")) * I1446 / 100, ""), "")))</f>
        <v/>
      </c>
      <c r="Q1446" s="26" t="str">
        <f>IF(OR(F1446 = "", G1446 = "", I1446 = ""), "", IF(F1446 = "Vara", IFERROR(_xlfn.SINGLE(_xlfn.XLOOKUP(G1446, Vöruskrá!A:A, Vöruskrá!N:N, "")) * I1446 / 100, ""), IF(F1446 = "Réttur", IFERROR(_xlfn.SINGLE(_xlfn.XLOOKUP(G1446, Réttabanki!A:A, Réttabanki!BB:BB, "")) * I1446 / 100, ""), "")))</f>
        <v/>
      </c>
    </row>
    <row r="1447" spans="2:17">
      <c r="B1447" s="33" t="str">
        <f>IF(A1447&lt;&gt;"",CHOOSE(WEEKDAY(A1447,2),"Mánudagur","Þriðjudagur","Miðvikudagur","Fimmtudagur","Föstudagur","Laugardagur","Sunnudagur"),IF(B1446&lt;&gt;"",B1446,""))</f>
        <v>Fimmtudagur</v>
      </c>
      <c r="C1447" s="33">
        <f>IF(A1447&lt;&gt;"",WEEKNUM(A1447,21),IF(C1446&lt;&gt;"",C1446,""))</f>
        <v>27</v>
      </c>
      <c r="D1447" s="34"/>
      <c r="E1447" s="34"/>
      <c r="F1447" s="34"/>
      <c r="G1447" s="34"/>
      <c r="H1447" s="34"/>
      <c r="I1447" s="35"/>
      <c r="J1447" s="35"/>
      <c r="K1447" s="36"/>
      <c r="L1447" s="26" t="str">
        <f>IF(OR(F1447 = "", G1447 = ""), "", IF(F1447 = "Vara", IFERROR(_xlfn.SINGLE(_xlfn.XLOOKUP(G1447, Vöruskrá!A:A, Vöruskrá!E:E, "")), ""), IF(F1447 = "Réttur", IFERROR(_xlfn.SINGLE(_xlfn.XLOOKUP(G1447, Réttabanki!A:A, Réttabanki!AS:AS, "")), ""), "")))</f>
        <v/>
      </c>
      <c r="M1447" s="26" t="str">
        <f>IF(OR(F1447 = "", G1447 = ""), "", IF(F1447 = "Vara", IFERROR(_xlfn.SINGLE(_xlfn.XLOOKUP(G1447, Vöruskrá!A:A, Vöruskrá!F:F, "")), ""), IF(F1447 = "Réttur", IFERROR(_xlfn.SINGLE(_xlfn.XLOOKUP(G1447, Réttabanki!A:A, Réttabanki!AT:AT, "")), ""), "")))</f>
        <v/>
      </c>
      <c r="N1447" s="26" t="str">
        <f>IF(OR(F1447 = "", G1447 = ""), "", IF(F1447 = "Vara", IFERROR(_xlfn.SINGLE(_xlfn.XLOOKUP(G1447, Vöruskrá!A:A, Vöruskrá!G:G, "")), ""), IF(F1447 = "Réttur", IFERROR(_xlfn.SINGLE(_xlfn.XLOOKUP(G1447, Réttabanki!A:A, Réttabanki!AU:AU, "")), ""), "")))</f>
        <v/>
      </c>
      <c r="O1447" s="26" t="str">
        <f>IF(OR(F1447 = "", G1447 = "", I1447 = ""), "", IF(F1447 = "Vara", IFERROR(_xlfn.SINGLE(_xlfn.XLOOKUP(G1447, Vöruskrá!A:A, Vöruskrá!I:I, "")) * I1447 / 100, ""), IF(F1447 = "Réttur", IFERROR(_xlfn.SINGLE(_xlfn.XLOOKUP(G1447, Réttabanki!A:A, Réttabanki!AV:AV, "")) * I1447 / 100, ""), "")))</f>
        <v/>
      </c>
      <c r="P1447" s="26" t="str">
        <f>IF(OR(F1447 = "", G1447 = "", I1447 = ""), "", IF(F1447 = "Vara", IFERROR(_xlfn.SINGLE(_xlfn.XLOOKUP(G1447, Vöruskrá!A:A, Vöruskrá!J:J, "")) * I1447 / 100, ""), IF(F1447 = "Réttur", IFERROR(_xlfn.SINGLE(_xlfn.XLOOKUP(G1447, Réttabanki!A:A, Réttabanki!AW:AW, "")) * I1447 / 100, ""), "")))</f>
        <v/>
      </c>
      <c r="Q1447" s="26" t="str">
        <f>IF(OR(F1447 = "", G1447 = "", I1447 = ""), "", IF(F1447 = "Vara", IFERROR(_xlfn.SINGLE(_xlfn.XLOOKUP(G1447, Vöruskrá!A:A, Vöruskrá!N:N, "")) * I1447 / 100, ""), IF(F1447 = "Réttur", IFERROR(_xlfn.SINGLE(_xlfn.XLOOKUP(G1447, Réttabanki!A:A, Réttabanki!BB:BB, "")) * I1447 / 100, ""), "")))</f>
        <v/>
      </c>
    </row>
    <row r="1448" spans="2:17">
      <c r="B1448" s="33" t="str">
        <f>IF(A1448&lt;&gt;"",CHOOSE(WEEKDAY(A1448,2),"Mánudagur","Þriðjudagur","Miðvikudagur","Fimmtudagur","Föstudagur","Laugardagur","Sunnudagur"),IF(B1447&lt;&gt;"",B1447,""))</f>
        <v>Fimmtudagur</v>
      </c>
      <c r="C1448" s="33">
        <f>IF(A1448&lt;&gt;"",WEEKNUM(A1448,21),IF(C1447&lt;&gt;"",C1447,""))</f>
        <v>27</v>
      </c>
      <c r="D1448" s="34"/>
      <c r="E1448" s="34"/>
      <c r="F1448" s="34"/>
      <c r="G1448" s="34"/>
      <c r="H1448" s="34"/>
      <c r="I1448" s="35"/>
      <c r="J1448" s="35"/>
      <c r="K1448" s="36"/>
      <c r="L1448" s="26" t="str">
        <f>IF(OR(F1448 = "", G1448 = ""), "", IF(F1448 = "Vara", IFERROR(_xlfn.SINGLE(_xlfn.XLOOKUP(G1448, Vöruskrá!A:A, Vöruskrá!E:E, "")), ""), IF(F1448 = "Réttur", IFERROR(_xlfn.SINGLE(_xlfn.XLOOKUP(G1448, Réttabanki!A:A, Réttabanki!AS:AS, "")), ""), "")))</f>
        <v/>
      </c>
      <c r="M1448" s="26" t="str">
        <f>IF(OR(F1448 = "", G1448 = ""), "", IF(F1448 = "Vara", IFERROR(_xlfn.SINGLE(_xlfn.XLOOKUP(G1448, Vöruskrá!A:A, Vöruskrá!F:F, "")), ""), IF(F1448 = "Réttur", IFERROR(_xlfn.SINGLE(_xlfn.XLOOKUP(G1448, Réttabanki!A:A, Réttabanki!AT:AT, "")), ""), "")))</f>
        <v/>
      </c>
      <c r="N1448" s="26" t="str">
        <f>IF(OR(F1448 = "", G1448 = ""), "", IF(F1448 = "Vara", IFERROR(_xlfn.SINGLE(_xlfn.XLOOKUP(G1448, Vöruskrá!A:A, Vöruskrá!G:G, "")), ""), IF(F1448 = "Réttur", IFERROR(_xlfn.SINGLE(_xlfn.XLOOKUP(G1448, Réttabanki!A:A, Réttabanki!AU:AU, "")), ""), "")))</f>
        <v/>
      </c>
      <c r="O1448" s="26" t="str">
        <f>IF(OR(F1448 = "", G1448 = "", I1448 = ""), "", IF(F1448 = "Vara", IFERROR(_xlfn.SINGLE(_xlfn.XLOOKUP(G1448, Vöruskrá!A:A, Vöruskrá!I:I, "")) * I1448 / 100, ""), IF(F1448 = "Réttur", IFERROR(_xlfn.SINGLE(_xlfn.XLOOKUP(G1448, Réttabanki!A:A, Réttabanki!AV:AV, "")) * I1448 / 100, ""), "")))</f>
        <v/>
      </c>
      <c r="P1448" s="26" t="str">
        <f>IF(OR(F1448 = "", G1448 = "", I1448 = ""), "", IF(F1448 = "Vara", IFERROR(_xlfn.SINGLE(_xlfn.XLOOKUP(G1448, Vöruskrá!A:A, Vöruskrá!J:J, "")) * I1448 / 100, ""), IF(F1448 = "Réttur", IFERROR(_xlfn.SINGLE(_xlfn.XLOOKUP(G1448, Réttabanki!A:A, Réttabanki!AW:AW, "")) * I1448 / 100, ""), "")))</f>
        <v/>
      </c>
      <c r="Q1448" s="26" t="str">
        <f>IF(OR(F1448 = "", G1448 = "", I1448 = ""), "", IF(F1448 = "Vara", IFERROR(_xlfn.SINGLE(_xlfn.XLOOKUP(G1448, Vöruskrá!A:A, Vöruskrá!N:N, "")) * I1448 / 100, ""), IF(F1448 = "Réttur", IFERROR(_xlfn.SINGLE(_xlfn.XLOOKUP(G1448, Réttabanki!A:A, Réttabanki!BB:BB, "")) * I1448 / 100, ""), "")))</f>
        <v/>
      </c>
    </row>
    <row r="1449" spans="2:17">
      <c r="B1449" s="33" t="str">
        <f>IF(A1449&lt;&gt;"",CHOOSE(WEEKDAY(A1449,2),"Mánudagur","Þriðjudagur","Miðvikudagur","Fimmtudagur","Föstudagur","Laugardagur","Sunnudagur"),IF(B1448&lt;&gt;"",B1448,""))</f>
        <v>Fimmtudagur</v>
      </c>
      <c r="C1449" s="33">
        <f>IF(A1449&lt;&gt;"",WEEKNUM(A1449,21),IF(C1448&lt;&gt;"",C1448,""))</f>
        <v>27</v>
      </c>
      <c r="D1449" s="34"/>
      <c r="E1449" s="34"/>
      <c r="F1449" s="34"/>
      <c r="G1449" s="34"/>
      <c r="H1449" s="34"/>
      <c r="I1449" s="35"/>
      <c r="J1449" s="35"/>
      <c r="K1449" s="36"/>
      <c r="L1449" s="26" t="str">
        <f>IF(OR(F1449 = "", G1449 = ""), "", IF(F1449 = "Vara", IFERROR(_xlfn.SINGLE(_xlfn.XLOOKUP(G1449, Vöruskrá!A:A, Vöruskrá!E:E, "")), ""), IF(F1449 = "Réttur", IFERROR(_xlfn.SINGLE(_xlfn.XLOOKUP(G1449, Réttabanki!A:A, Réttabanki!AS:AS, "")), ""), "")))</f>
        <v/>
      </c>
      <c r="M1449" s="26" t="str">
        <f>IF(OR(F1449 = "", G1449 = ""), "", IF(F1449 = "Vara", IFERROR(_xlfn.SINGLE(_xlfn.XLOOKUP(G1449, Vöruskrá!A:A, Vöruskrá!F:F, "")), ""), IF(F1449 = "Réttur", IFERROR(_xlfn.SINGLE(_xlfn.XLOOKUP(G1449, Réttabanki!A:A, Réttabanki!AT:AT, "")), ""), "")))</f>
        <v/>
      </c>
      <c r="N1449" s="26" t="str">
        <f>IF(OR(F1449 = "", G1449 = ""), "", IF(F1449 = "Vara", IFERROR(_xlfn.SINGLE(_xlfn.XLOOKUP(G1449, Vöruskrá!A:A, Vöruskrá!G:G, "")), ""), IF(F1449 = "Réttur", IFERROR(_xlfn.SINGLE(_xlfn.XLOOKUP(G1449, Réttabanki!A:A, Réttabanki!AU:AU, "")), ""), "")))</f>
        <v/>
      </c>
      <c r="O1449" s="26" t="str">
        <f>IF(OR(F1449 = "", G1449 = "", I1449 = ""), "", IF(F1449 = "Vara", IFERROR(_xlfn.SINGLE(_xlfn.XLOOKUP(G1449, Vöruskrá!A:A, Vöruskrá!I:I, "")) * I1449 / 100, ""), IF(F1449 = "Réttur", IFERROR(_xlfn.SINGLE(_xlfn.XLOOKUP(G1449, Réttabanki!A:A, Réttabanki!AV:AV, "")) * I1449 / 100, ""), "")))</f>
        <v/>
      </c>
      <c r="P1449" s="26" t="str">
        <f>IF(OR(F1449 = "", G1449 = "", I1449 = ""), "", IF(F1449 = "Vara", IFERROR(_xlfn.SINGLE(_xlfn.XLOOKUP(G1449, Vöruskrá!A:A, Vöruskrá!J:J, "")) * I1449 / 100, ""), IF(F1449 = "Réttur", IFERROR(_xlfn.SINGLE(_xlfn.XLOOKUP(G1449, Réttabanki!A:A, Réttabanki!AW:AW, "")) * I1449 / 100, ""), "")))</f>
        <v/>
      </c>
      <c r="Q1449" s="26" t="str">
        <f>IF(OR(F1449 = "", G1449 = "", I1449 = ""), "", IF(F1449 = "Vara", IFERROR(_xlfn.SINGLE(_xlfn.XLOOKUP(G1449, Vöruskrá!A:A, Vöruskrá!N:N, "")) * I1449 / 100, ""), IF(F1449 = "Réttur", IFERROR(_xlfn.SINGLE(_xlfn.XLOOKUP(G1449, Réttabanki!A:A, Réttabanki!BB:BB, "")) * I1449 / 100, ""), "")))</f>
        <v/>
      </c>
    </row>
    <row r="1450" spans="2:17">
      <c r="B1450" s="33" t="str">
        <f>IF(A1450&lt;&gt;"",CHOOSE(WEEKDAY(A1450,2),"Mánudagur","Þriðjudagur","Miðvikudagur","Fimmtudagur","Föstudagur","Laugardagur","Sunnudagur"),IF(B1449&lt;&gt;"",B1449,""))</f>
        <v>Fimmtudagur</v>
      </c>
      <c r="C1450" s="33">
        <f>IF(A1450&lt;&gt;"",WEEKNUM(A1450,21),IF(C1449&lt;&gt;"",C1449,""))</f>
        <v>27</v>
      </c>
      <c r="D1450" s="34"/>
      <c r="E1450" s="34"/>
      <c r="F1450" s="34"/>
      <c r="G1450" s="34"/>
      <c r="H1450" s="34"/>
      <c r="I1450" s="35"/>
      <c r="J1450" s="35"/>
      <c r="K1450" s="36"/>
      <c r="L1450" s="26" t="str">
        <f>IF(OR(F1450 = "", G1450 = ""), "", IF(F1450 = "Vara", IFERROR(_xlfn.SINGLE(_xlfn.XLOOKUP(G1450, Vöruskrá!A:A, Vöruskrá!E:E, "")), ""), IF(F1450 = "Réttur", IFERROR(_xlfn.SINGLE(_xlfn.XLOOKUP(G1450, Réttabanki!A:A, Réttabanki!AS:AS, "")), ""), "")))</f>
        <v/>
      </c>
      <c r="M1450" s="26" t="str">
        <f>IF(OR(F1450 = "", G1450 = ""), "", IF(F1450 = "Vara", IFERROR(_xlfn.SINGLE(_xlfn.XLOOKUP(G1450, Vöruskrá!A:A, Vöruskrá!F:F, "")), ""), IF(F1450 = "Réttur", IFERROR(_xlfn.SINGLE(_xlfn.XLOOKUP(G1450, Réttabanki!A:A, Réttabanki!AT:AT, "")), ""), "")))</f>
        <v/>
      </c>
      <c r="N1450" s="26" t="str">
        <f>IF(OR(F1450 = "", G1450 = ""), "", IF(F1450 = "Vara", IFERROR(_xlfn.SINGLE(_xlfn.XLOOKUP(G1450, Vöruskrá!A:A, Vöruskrá!G:G, "")), ""), IF(F1450 = "Réttur", IFERROR(_xlfn.SINGLE(_xlfn.XLOOKUP(G1450, Réttabanki!A:A, Réttabanki!AU:AU, "")), ""), "")))</f>
        <v/>
      </c>
      <c r="O1450" s="26" t="str">
        <f>IF(OR(F1450 = "", G1450 = "", I1450 = ""), "", IF(F1450 = "Vara", IFERROR(_xlfn.SINGLE(_xlfn.XLOOKUP(G1450, Vöruskrá!A:A, Vöruskrá!I:I, "")) * I1450 / 100, ""), IF(F1450 = "Réttur", IFERROR(_xlfn.SINGLE(_xlfn.XLOOKUP(G1450, Réttabanki!A:A, Réttabanki!AV:AV, "")) * I1450 / 100, ""), "")))</f>
        <v/>
      </c>
      <c r="P1450" s="26" t="str">
        <f>IF(OR(F1450 = "", G1450 = "", I1450 = ""), "", IF(F1450 = "Vara", IFERROR(_xlfn.SINGLE(_xlfn.XLOOKUP(G1450, Vöruskrá!A:A, Vöruskrá!J:J, "")) * I1450 / 100, ""), IF(F1450 = "Réttur", IFERROR(_xlfn.SINGLE(_xlfn.XLOOKUP(G1450, Réttabanki!A:A, Réttabanki!AW:AW, "")) * I1450 / 100, ""), "")))</f>
        <v/>
      </c>
      <c r="Q1450" s="26" t="str">
        <f>IF(OR(F1450 = "", G1450 = "", I1450 = ""), "", IF(F1450 = "Vara", IFERROR(_xlfn.SINGLE(_xlfn.XLOOKUP(G1450, Vöruskrá!A:A, Vöruskrá!N:N, "")) * I1450 / 100, ""), IF(F1450 = "Réttur", IFERROR(_xlfn.SINGLE(_xlfn.XLOOKUP(G1450, Réttabanki!A:A, Réttabanki!BB:BB, "")) * I1450 / 100, ""), "")))</f>
        <v/>
      </c>
    </row>
    <row r="1451" spans="2:17">
      <c r="B1451" s="33" t="str">
        <f>IF(A1451&lt;&gt;"",CHOOSE(WEEKDAY(A1451,2),"Mánudagur","Þriðjudagur","Miðvikudagur","Fimmtudagur","Föstudagur","Laugardagur","Sunnudagur"),IF(B1450&lt;&gt;"",B1450,""))</f>
        <v>Fimmtudagur</v>
      </c>
      <c r="C1451" s="33">
        <f>IF(A1451&lt;&gt;"",WEEKNUM(A1451,21),IF(C1450&lt;&gt;"",C1450,""))</f>
        <v>27</v>
      </c>
      <c r="D1451" s="34"/>
      <c r="E1451" s="34"/>
      <c r="F1451" s="34"/>
      <c r="G1451" s="34"/>
      <c r="H1451" s="34"/>
      <c r="I1451" s="35"/>
      <c r="J1451" s="35"/>
      <c r="K1451" s="36"/>
      <c r="L1451" s="26" t="str">
        <f>IF(OR(F1451 = "", G1451 = ""), "", IF(F1451 = "Vara", IFERROR(_xlfn.SINGLE(_xlfn.XLOOKUP(G1451, Vöruskrá!A:A, Vöruskrá!E:E, "")), ""), IF(F1451 = "Réttur", IFERROR(_xlfn.SINGLE(_xlfn.XLOOKUP(G1451, Réttabanki!A:A, Réttabanki!AS:AS, "")), ""), "")))</f>
        <v/>
      </c>
      <c r="M1451" s="26" t="str">
        <f>IF(OR(F1451 = "", G1451 = ""), "", IF(F1451 = "Vara", IFERROR(_xlfn.SINGLE(_xlfn.XLOOKUP(G1451, Vöruskrá!A:A, Vöruskrá!F:F, "")), ""), IF(F1451 = "Réttur", IFERROR(_xlfn.SINGLE(_xlfn.XLOOKUP(G1451, Réttabanki!A:A, Réttabanki!AT:AT, "")), ""), "")))</f>
        <v/>
      </c>
      <c r="N1451" s="26" t="str">
        <f>IF(OR(F1451 = "", G1451 = ""), "", IF(F1451 = "Vara", IFERROR(_xlfn.SINGLE(_xlfn.XLOOKUP(G1451, Vöruskrá!A:A, Vöruskrá!G:G, "")), ""), IF(F1451 = "Réttur", IFERROR(_xlfn.SINGLE(_xlfn.XLOOKUP(G1451, Réttabanki!A:A, Réttabanki!AU:AU, "")), ""), "")))</f>
        <v/>
      </c>
      <c r="O1451" s="26" t="str">
        <f>IF(OR(F1451 = "", G1451 = "", I1451 = ""), "", IF(F1451 = "Vara", IFERROR(_xlfn.SINGLE(_xlfn.XLOOKUP(G1451, Vöruskrá!A:A, Vöruskrá!I:I, "")) * I1451 / 100, ""), IF(F1451 = "Réttur", IFERROR(_xlfn.SINGLE(_xlfn.XLOOKUP(G1451, Réttabanki!A:A, Réttabanki!AV:AV, "")) * I1451 / 100, ""), "")))</f>
        <v/>
      </c>
      <c r="P1451" s="26" t="str">
        <f>IF(OR(F1451 = "", G1451 = "", I1451 = ""), "", IF(F1451 = "Vara", IFERROR(_xlfn.SINGLE(_xlfn.XLOOKUP(G1451, Vöruskrá!A:A, Vöruskrá!J:J, "")) * I1451 / 100, ""), IF(F1451 = "Réttur", IFERROR(_xlfn.SINGLE(_xlfn.XLOOKUP(G1451, Réttabanki!A:A, Réttabanki!AW:AW, "")) * I1451 / 100, ""), "")))</f>
        <v/>
      </c>
      <c r="Q1451" s="26" t="str">
        <f>IF(OR(F1451 = "", G1451 = "", I1451 = ""), "", IF(F1451 = "Vara", IFERROR(_xlfn.SINGLE(_xlfn.XLOOKUP(G1451, Vöruskrá!A:A, Vöruskrá!N:N, "")) * I1451 / 100, ""), IF(F1451 = "Réttur", IFERROR(_xlfn.SINGLE(_xlfn.XLOOKUP(G1451, Réttabanki!A:A, Réttabanki!BB:BB, "")) * I1451 / 100, ""), "")))</f>
        <v/>
      </c>
    </row>
    <row r="1452" spans="2:17">
      <c r="B1452" s="33" t="str">
        <f>IF(A1452&lt;&gt;"",CHOOSE(WEEKDAY(A1452,2),"Mánudagur","Þriðjudagur","Miðvikudagur","Fimmtudagur","Föstudagur","Laugardagur","Sunnudagur"),IF(B1451&lt;&gt;"",B1451,""))</f>
        <v>Fimmtudagur</v>
      </c>
      <c r="C1452" s="33">
        <f>IF(A1452&lt;&gt;"",WEEKNUM(A1452,21),IF(C1451&lt;&gt;"",C1451,""))</f>
        <v>27</v>
      </c>
      <c r="D1452" s="34"/>
      <c r="E1452" s="34"/>
      <c r="F1452" s="34"/>
      <c r="G1452" s="34"/>
      <c r="H1452" s="34"/>
      <c r="I1452" s="35"/>
      <c r="J1452" s="35"/>
      <c r="K1452" s="36"/>
      <c r="L1452" s="26" t="str">
        <f>IF(OR(F1452 = "", G1452 = ""), "", IF(F1452 = "Vara", IFERROR(_xlfn.SINGLE(_xlfn.XLOOKUP(G1452, Vöruskrá!A:A, Vöruskrá!E:E, "")), ""), IF(F1452 = "Réttur", IFERROR(_xlfn.SINGLE(_xlfn.XLOOKUP(G1452, Réttabanki!A:A, Réttabanki!AS:AS, "")), ""), "")))</f>
        <v/>
      </c>
      <c r="M1452" s="26" t="str">
        <f>IF(OR(F1452 = "", G1452 = ""), "", IF(F1452 = "Vara", IFERROR(_xlfn.SINGLE(_xlfn.XLOOKUP(G1452, Vöruskrá!A:A, Vöruskrá!F:F, "")), ""), IF(F1452 = "Réttur", IFERROR(_xlfn.SINGLE(_xlfn.XLOOKUP(G1452, Réttabanki!A:A, Réttabanki!AT:AT, "")), ""), "")))</f>
        <v/>
      </c>
      <c r="N1452" s="26" t="str">
        <f>IF(OR(F1452 = "", G1452 = ""), "", IF(F1452 = "Vara", IFERROR(_xlfn.SINGLE(_xlfn.XLOOKUP(G1452, Vöruskrá!A:A, Vöruskrá!G:G, "")), ""), IF(F1452 = "Réttur", IFERROR(_xlfn.SINGLE(_xlfn.XLOOKUP(G1452, Réttabanki!A:A, Réttabanki!AU:AU, "")), ""), "")))</f>
        <v/>
      </c>
      <c r="O1452" s="26" t="str">
        <f>IF(OR(F1452 = "", G1452 = "", I1452 = ""), "", IF(F1452 = "Vara", IFERROR(_xlfn.SINGLE(_xlfn.XLOOKUP(G1452, Vöruskrá!A:A, Vöruskrá!I:I, "")) * I1452 / 100, ""), IF(F1452 = "Réttur", IFERROR(_xlfn.SINGLE(_xlfn.XLOOKUP(G1452, Réttabanki!A:A, Réttabanki!AV:AV, "")) * I1452 / 100, ""), "")))</f>
        <v/>
      </c>
      <c r="P1452" s="26" t="str">
        <f>IF(OR(F1452 = "", G1452 = "", I1452 = ""), "", IF(F1452 = "Vara", IFERROR(_xlfn.SINGLE(_xlfn.XLOOKUP(G1452, Vöruskrá!A:A, Vöruskrá!J:J, "")) * I1452 / 100, ""), IF(F1452 = "Réttur", IFERROR(_xlfn.SINGLE(_xlfn.XLOOKUP(G1452, Réttabanki!A:A, Réttabanki!AW:AW, "")) * I1452 / 100, ""), "")))</f>
        <v/>
      </c>
      <c r="Q1452" s="26" t="str">
        <f>IF(OR(F1452 = "", G1452 = "", I1452 = ""), "", IF(F1452 = "Vara", IFERROR(_xlfn.SINGLE(_xlfn.XLOOKUP(G1452, Vöruskrá!A:A, Vöruskrá!N:N, "")) * I1452 / 100, ""), IF(F1452 = "Réttur", IFERROR(_xlfn.SINGLE(_xlfn.XLOOKUP(G1452, Réttabanki!A:A, Réttabanki!BB:BB, "")) * I1452 / 100, ""), "")))</f>
        <v/>
      </c>
    </row>
    <row r="1453" spans="2:17">
      <c r="B1453" s="33" t="str">
        <f>IF(A1453&lt;&gt;"",CHOOSE(WEEKDAY(A1453,2),"Mánudagur","Þriðjudagur","Miðvikudagur","Fimmtudagur","Föstudagur","Laugardagur","Sunnudagur"),IF(B1452&lt;&gt;"",B1452,""))</f>
        <v>Fimmtudagur</v>
      </c>
      <c r="C1453" s="33">
        <f>IF(A1453&lt;&gt;"",WEEKNUM(A1453,21),IF(C1452&lt;&gt;"",C1452,""))</f>
        <v>27</v>
      </c>
      <c r="D1453" s="34"/>
      <c r="E1453" s="34"/>
      <c r="F1453" s="34"/>
      <c r="G1453" s="34"/>
      <c r="H1453" s="34"/>
      <c r="I1453" s="35"/>
      <c r="J1453" s="35"/>
      <c r="K1453" s="36"/>
      <c r="L1453" s="26" t="str">
        <f>IF(OR(F1453 = "", G1453 = ""), "", IF(F1453 = "Vara", IFERROR(_xlfn.SINGLE(_xlfn.XLOOKUP(G1453, Vöruskrá!A:A, Vöruskrá!E:E, "")), ""), IF(F1453 = "Réttur", IFERROR(_xlfn.SINGLE(_xlfn.XLOOKUP(G1453, Réttabanki!A:A, Réttabanki!AS:AS, "")), ""), "")))</f>
        <v/>
      </c>
      <c r="M1453" s="26" t="str">
        <f>IF(OR(F1453 = "", G1453 = ""), "", IF(F1453 = "Vara", IFERROR(_xlfn.SINGLE(_xlfn.XLOOKUP(G1453, Vöruskrá!A:A, Vöruskrá!F:F, "")), ""), IF(F1453 = "Réttur", IFERROR(_xlfn.SINGLE(_xlfn.XLOOKUP(G1453, Réttabanki!A:A, Réttabanki!AT:AT, "")), ""), "")))</f>
        <v/>
      </c>
      <c r="N1453" s="26" t="str">
        <f>IF(OR(F1453 = "", G1453 = ""), "", IF(F1453 = "Vara", IFERROR(_xlfn.SINGLE(_xlfn.XLOOKUP(G1453, Vöruskrá!A:A, Vöruskrá!G:G, "")), ""), IF(F1453 = "Réttur", IFERROR(_xlfn.SINGLE(_xlfn.XLOOKUP(G1453, Réttabanki!A:A, Réttabanki!AU:AU, "")), ""), "")))</f>
        <v/>
      </c>
      <c r="O1453" s="26" t="str">
        <f>IF(OR(F1453 = "", G1453 = "", I1453 = ""), "", IF(F1453 = "Vara", IFERROR(_xlfn.SINGLE(_xlfn.XLOOKUP(G1453, Vöruskrá!A:A, Vöruskrá!I:I, "")) * I1453 / 100, ""), IF(F1453 = "Réttur", IFERROR(_xlfn.SINGLE(_xlfn.XLOOKUP(G1453, Réttabanki!A:A, Réttabanki!AV:AV, "")) * I1453 / 100, ""), "")))</f>
        <v/>
      </c>
      <c r="P1453" s="26" t="str">
        <f>IF(OR(F1453 = "", G1453 = "", I1453 = ""), "", IF(F1453 = "Vara", IFERROR(_xlfn.SINGLE(_xlfn.XLOOKUP(G1453, Vöruskrá!A:A, Vöruskrá!J:J, "")) * I1453 / 100, ""), IF(F1453 = "Réttur", IFERROR(_xlfn.SINGLE(_xlfn.XLOOKUP(G1453, Réttabanki!A:A, Réttabanki!AW:AW, "")) * I1453 / 100, ""), "")))</f>
        <v/>
      </c>
      <c r="Q1453" s="26" t="str">
        <f>IF(OR(F1453 = "", G1453 = "", I1453 = ""), "", IF(F1453 = "Vara", IFERROR(_xlfn.SINGLE(_xlfn.XLOOKUP(G1453, Vöruskrá!A:A, Vöruskrá!N:N, "")) * I1453 / 100, ""), IF(F1453 = "Réttur", IFERROR(_xlfn.SINGLE(_xlfn.XLOOKUP(G1453, Réttabanki!A:A, Réttabanki!BB:BB, "")) * I1453 / 100, ""), "")))</f>
        <v/>
      </c>
    </row>
    <row r="1454" spans="2:17">
      <c r="B1454" s="33" t="str">
        <f>IF(A1454&lt;&gt;"",CHOOSE(WEEKDAY(A1454,2),"Mánudagur","Þriðjudagur","Miðvikudagur","Fimmtudagur","Föstudagur","Laugardagur","Sunnudagur"),IF(B1453&lt;&gt;"",B1453,""))</f>
        <v>Fimmtudagur</v>
      </c>
      <c r="C1454" s="33">
        <f>IF(A1454&lt;&gt;"",WEEKNUM(A1454,21),IF(C1453&lt;&gt;"",C1453,""))</f>
        <v>27</v>
      </c>
      <c r="D1454" s="34"/>
      <c r="E1454" s="34"/>
      <c r="F1454" s="34"/>
      <c r="G1454" s="34"/>
      <c r="H1454" s="34"/>
      <c r="I1454" s="35"/>
      <c r="J1454" s="35"/>
      <c r="K1454" s="36"/>
      <c r="L1454" s="26" t="str">
        <f>IF(OR(F1454 = "", G1454 = ""), "", IF(F1454 = "Vara", IFERROR(_xlfn.SINGLE(_xlfn.XLOOKUP(G1454, Vöruskrá!A:A, Vöruskrá!E:E, "")), ""), IF(F1454 = "Réttur", IFERROR(_xlfn.SINGLE(_xlfn.XLOOKUP(G1454, Réttabanki!A:A, Réttabanki!AS:AS, "")), ""), "")))</f>
        <v/>
      </c>
      <c r="M1454" s="26" t="str">
        <f>IF(OR(F1454 = "", G1454 = ""), "", IF(F1454 = "Vara", IFERROR(_xlfn.SINGLE(_xlfn.XLOOKUP(G1454, Vöruskrá!A:A, Vöruskrá!F:F, "")), ""), IF(F1454 = "Réttur", IFERROR(_xlfn.SINGLE(_xlfn.XLOOKUP(G1454, Réttabanki!A:A, Réttabanki!AT:AT, "")), ""), "")))</f>
        <v/>
      </c>
      <c r="N1454" s="26" t="str">
        <f>IF(OR(F1454 = "", G1454 = ""), "", IF(F1454 = "Vara", IFERROR(_xlfn.SINGLE(_xlfn.XLOOKUP(G1454, Vöruskrá!A:A, Vöruskrá!G:G, "")), ""), IF(F1454 = "Réttur", IFERROR(_xlfn.SINGLE(_xlfn.XLOOKUP(G1454, Réttabanki!A:A, Réttabanki!AU:AU, "")), ""), "")))</f>
        <v/>
      </c>
      <c r="O1454" s="26" t="str">
        <f>IF(OR(F1454 = "", G1454 = "", I1454 = ""), "", IF(F1454 = "Vara", IFERROR(_xlfn.SINGLE(_xlfn.XLOOKUP(G1454, Vöruskrá!A:A, Vöruskrá!I:I, "")) * I1454 / 100, ""), IF(F1454 = "Réttur", IFERROR(_xlfn.SINGLE(_xlfn.XLOOKUP(G1454, Réttabanki!A:A, Réttabanki!AV:AV, "")) * I1454 / 100, ""), "")))</f>
        <v/>
      </c>
      <c r="P1454" s="26" t="str">
        <f>IF(OR(F1454 = "", G1454 = "", I1454 = ""), "", IF(F1454 = "Vara", IFERROR(_xlfn.SINGLE(_xlfn.XLOOKUP(G1454, Vöruskrá!A:A, Vöruskrá!J:J, "")) * I1454 / 100, ""), IF(F1454 = "Réttur", IFERROR(_xlfn.SINGLE(_xlfn.XLOOKUP(G1454, Réttabanki!A:A, Réttabanki!AW:AW, "")) * I1454 / 100, ""), "")))</f>
        <v/>
      </c>
      <c r="Q1454" s="26" t="str">
        <f>IF(OR(F1454 = "", G1454 = "", I1454 = ""), "", IF(F1454 = "Vara", IFERROR(_xlfn.SINGLE(_xlfn.XLOOKUP(G1454, Vöruskrá!A:A, Vöruskrá!N:N, "")) * I1454 / 100, ""), IF(F1454 = "Réttur", IFERROR(_xlfn.SINGLE(_xlfn.XLOOKUP(G1454, Réttabanki!A:A, Réttabanki!BB:BB, "")) * I1454 / 100, ""), "")))</f>
        <v/>
      </c>
    </row>
    <row r="1455" spans="2:17">
      <c r="B1455" s="33" t="str">
        <f>IF(A1455&lt;&gt;"",CHOOSE(WEEKDAY(A1455,2),"Mánudagur","Þriðjudagur","Miðvikudagur","Fimmtudagur","Föstudagur","Laugardagur","Sunnudagur"),IF(B1454&lt;&gt;"",B1454,""))</f>
        <v>Fimmtudagur</v>
      </c>
      <c r="C1455" s="33">
        <f>IF(A1455&lt;&gt;"",WEEKNUM(A1455,21),IF(C1454&lt;&gt;"",C1454,""))</f>
        <v>27</v>
      </c>
      <c r="D1455" s="34"/>
      <c r="E1455" s="34"/>
      <c r="F1455" s="34"/>
      <c r="G1455" s="34"/>
      <c r="H1455" s="34"/>
      <c r="I1455" s="35"/>
      <c r="J1455" s="35"/>
      <c r="K1455" s="36"/>
      <c r="L1455" s="26" t="str">
        <f>IF(OR(F1455 = "", G1455 = ""), "", IF(F1455 = "Vara", IFERROR(_xlfn.SINGLE(_xlfn.XLOOKUP(G1455, Vöruskrá!A:A, Vöruskrá!E:E, "")), ""), IF(F1455 = "Réttur", IFERROR(_xlfn.SINGLE(_xlfn.XLOOKUP(G1455, Réttabanki!A:A, Réttabanki!AS:AS, "")), ""), "")))</f>
        <v/>
      </c>
      <c r="M1455" s="26" t="str">
        <f>IF(OR(F1455 = "", G1455 = ""), "", IF(F1455 = "Vara", IFERROR(_xlfn.SINGLE(_xlfn.XLOOKUP(G1455, Vöruskrá!A:A, Vöruskrá!F:F, "")), ""), IF(F1455 = "Réttur", IFERROR(_xlfn.SINGLE(_xlfn.XLOOKUP(G1455, Réttabanki!A:A, Réttabanki!AT:AT, "")), ""), "")))</f>
        <v/>
      </c>
      <c r="N1455" s="26" t="str">
        <f>IF(OR(F1455 = "", G1455 = ""), "", IF(F1455 = "Vara", IFERROR(_xlfn.SINGLE(_xlfn.XLOOKUP(G1455, Vöruskrá!A:A, Vöruskrá!G:G, "")), ""), IF(F1455 = "Réttur", IFERROR(_xlfn.SINGLE(_xlfn.XLOOKUP(G1455, Réttabanki!A:A, Réttabanki!AU:AU, "")), ""), "")))</f>
        <v/>
      </c>
      <c r="O1455" s="26" t="str">
        <f>IF(OR(F1455 = "", G1455 = "", I1455 = ""), "", IF(F1455 = "Vara", IFERROR(_xlfn.SINGLE(_xlfn.XLOOKUP(G1455, Vöruskrá!A:A, Vöruskrá!I:I, "")) * I1455 / 100, ""), IF(F1455 = "Réttur", IFERROR(_xlfn.SINGLE(_xlfn.XLOOKUP(G1455, Réttabanki!A:A, Réttabanki!AV:AV, "")) * I1455 / 100, ""), "")))</f>
        <v/>
      </c>
      <c r="P1455" s="26" t="str">
        <f>IF(OR(F1455 = "", G1455 = "", I1455 = ""), "", IF(F1455 = "Vara", IFERROR(_xlfn.SINGLE(_xlfn.XLOOKUP(G1455, Vöruskrá!A:A, Vöruskrá!J:J, "")) * I1455 / 100, ""), IF(F1455 = "Réttur", IFERROR(_xlfn.SINGLE(_xlfn.XLOOKUP(G1455, Réttabanki!A:A, Réttabanki!AW:AW, "")) * I1455 / 100, ""), "")))</f>
        <v/>
      </c>
      <c r="Q1455" s="26" t="str">
        <f>IF(OR(F1455 = "", G1455 = "", I1455 = ""), "", IF(F1455 = "Vara", IFERROR(_xlfn.SINGLE(_xlfn.XLOOKUP(G1455, Vöruskrá!A:A, Vöruskrá!N:N, "")) * I1455 / 100, ""), IF(F1455 = "Réttur", IFERROR(_xlfn.SINGLE(_xlfn.XLOOKUP(G1455, Réttabanki!A:A, Réttabanki!BB:BB, "")) * I1455 / 100, ""), "")))</f>
        <v/>
      </c>
    </row>
    <row r="1456" spans="2:17">
      <c r="B1456" s="33" t="str">
        <f>IF(A1456&lt;&gt;"",CHOOSE(WEEKDAY(A1456,2),"Mánudagur","Þriðjudagur","Miðvikudagur","Fimmtudagur","Föstudagur","Laugardagur","Sunnudagur"),IF(B1455&lt;&gt;"",B1455,""))</f>
        <v>Fimmtudagur</v>
      </c>
      <c r="C1456" s="33">
        <f>IF(A1456&lt;&gt;"",WEEKNUM(A1456,21),IF(C1455&lt;&gt;"",C1455,""))</f>
        <v>27</v>
      </c>
      <c r="D1456" s="34"/>
      <c r="E1456" s="34"/>
      <c r="F1456" s="34"/>
      <c r="G1456" s="34"/>
      <c r="H1456" s="34"/>
      <c r="I1456" s="35"/>
      <c r="J1456" s="35"/>
      <c r="K1456" s="36"/>
      <c r="L1456" s="26" t="str">
        <f>IF(OR(F1456 = "", G1456 = ""), "", IF(F1456 = "Vara", IFERROR(_xlfn.SINGLE(_xlfn.XLOOKUP(G1456, Vöruskrá!A:A, Vöruskrá!E:E, "")), ""), IF(F1456 = "Réttur", IFERROR(_xlfn.SINGLE(_xlfn.XLOOKUP(G1456, Réttabanki!A:A, Réttabanki!AS:AS, "")), ""), "")))</f>
        <v/>
      </c>
      <c r="M1456" s="26" t="str">
        <f>IF(OR(F1456 = "", G1456 = ""), "", IF(F1456 = "Vara", IFERROR(_xlfn.SINGLE(_xlfn.XLOOKUP(G1456, Vöruskrá!A:A, Vöruskrá!F:F, "")), ""), IF(F1456 = "Réttur", IFERROR(_xlfn.SINGLE(_xlfn.XLOOKUP(G1456, Réttabanki!A:A, Réttabanki!AT:AT, "")), ""), "")))</f>
        <v/>
      </c>
      <c r="N1456" s="26" t="str">
        <f>IF(OR(F1456 = "", G1456 = ""), "", IF(F1456 = "Vara", IFERROR(_xlfn.SINGLE(_xlfn.XLOOKUP(G1456, Vöruskrá!A:A, Vöruskrá!G:G, "")), ""), IF(F1456 = "Réttur", IFERROR(_xlfn.SINGLE(_xlfn.XLOOKUP(G1456, Réttabanki!A:A, Réttabanki!AU:AU, "")), ""), "")))</f>
        <v/>
      </c>
      <c r="O1456" s="26" t="str">
        <f>IF(OR(F1456 = "", G1456 = "", I1456 = ""), "", IF(F1456 = "Vara", IFERROR(_xlfn.SINGLE(_xlfn.XLOOKUP(G1456, Vöruskrá!A:A, Vöruskrá!I:I, "")) * I1456 / 100, ""), IF(F1456 = "Réttur", IFERROR(_xlfn.SINGLE(_xlfn.XLOOKUP(G1456, Réttabanki!A:A, Réttabanki!AV:AV, "")) * I1456 / 100, ""), "")))</f>
        <v/>
      </c>
      <c r="P1456" s="26" t="str">
        <f>IF(OR(F1456 = "", G1456 = "", I1456 = ""), "", IF(F1456 = "Vara", IFERROR(_xlfn.SINGLE(_xlfn.XLOOKUP(G1456, Vöruskrá!A:A, Vöruskrá!J:J, "")) * I1456 / 100, ""), IF(F1456 = "Réttur", IFERROR(_xlfn.SINGLE(_xlfn.XLOOKUP(G1456, Réttabanki!A:A, Réttabanki!AW:AW, "")) * I1456 / 100, ""), "")))</f>
        <v/>
      </c>
      <c r="Q1456" s="26" t="str">
        <f>IF(OR(F1456 = "", G1456 = "", I1456 = ""), "", IF(F1456 = "Vara", IFERROR(_xlfn.SINGLE(_xlfn.XLOOKUP(G1456, Vöruskrá!A:A, Vöruskrá!N:N, "")) * I1456 / 100, ""), IF(F1456 = "Réttur", IFERROR(_xlfn.SINGLE(_xlfn.XLOOKUP(G1456, Réttabanki!A:A, Réttabanki!BB:BB, "")) * I1456 / 100, ""), "")))</f>
        <v/>
      </c>
    </row>
    <row r="1457" spans="2:17">
      <c r="B1457" s="33" t="str">
        <f>IF(A1457&lt;&gt;"",CHOOSE(WEEKDAY(A1457,2),"Mánudagur","Þriðjudagur","Miðvikudagur","Fimmtudagur","Föstudagur","Laugardagur","Sunnudagur"),IF(B1456&lt;&gt;"",B1456,""))</f>
        <v>Fimmtudagur</v>
      </c>
      <c r="C1457" s="33">
        <f>IF(A1457&lt;&gt;"",WEEKNUM(A1457,21),IF(C1456&lt;&gt;"",C1456,""))</f>
        <v>27</v>
      </c>
      <c r="D1457" s="34"/>
      <c r="E1457" s="34"/>
      <c r="F1457" s="34"/>
      <c r="G1457" s="34"/>
      <c r="H1457" s="34"/>
      <c r="I1457" s="35"/>
      <c r="J1457" s="35"/>
      <c r="K1457" s="36"/>
      <c r="L1457" s="26" t="str">
        <f>IF(OR(F1457 = "", G1457 = ""), "", IF(F1457 = "Vara", IFERROR(_xlfn.SINGLE(_xlfn.XLOOKUP(G1457, Vöruskrá!A:A, Vöruskrá!E:E, "")), ""), IF(F1457 = "Réttur", IFERROR(_xlfn.SINGLE(_xlfn.XLOOKUP(G1457, Réttabanki!A:A, Réttabanki!AS:AS, "")), ""), "")))</f>
        <v/>
      </c>
      <c r="M1457" s="26" t="str">
        <f>IF(OR(F1457 = "", G1457 = ""), "", IF(F1457 = "Vara", IFERROR(_xlfn.SINGLE(_xlfn.XLOOKUP(G1457, Vöruskrá!A:A, Vöruskrá!F:F, "")), ""), IF(F1457 = "Réttur", IFERROR(_xlfn.SINGLE(_xlfn.XLOOKUP(G1457, Réttabanki!A:A, Réttabanki!AT:AT, "")), ""), "")))</f>
        <v/>
      </c>
      <c r="N1457" s="26" t="str">
        <f>IF(OR(F1457 = "", G1457 = ""), "", IF(F1457 = "Vara", IFERROR(_xlfn.SINGLE(_xlfn.XLOOKUP(G1457, Vöruskrá!A:A, Vöruskrá!G:G, "")), ""), IF(F1457 = "Réttur", IFERROR(_xlfn.SINGLE(_xlfn.XLOOKUP(G1457, Réttabanki!A:A, Réttabanki!AU:AU, "")), ""), "")))</f>
        <v/>
      </c>
      <c r="O1457" s="26" t="str">
        <f>IF(OR(F1457 = "", G1457 = "", I1457 = ""), "", IF(F1457 = "Vara", IFERROR(_xlfn.SINGLE(_xlfn.XLOOKUP(G1457, Vöruskrá!A:A, Vöruskrá!I:I, "")) * I1457 / 100, ""), IF(F1457 = "Réttur", IFERROR(_xlfn.SINGLE(_xlfn.XLOOKUP(G1457, Réttabanki!A:A, Réttabanki!AV:AV, "")) * I1457 / 100, ""), "")))</f>
        <v/>
      </c>
      <c r="P1457" s="26" t="str">
        <f>IF(OR(F1457 = "", G1457 = "", I1457 = ""), "", IF(F1457 = "Vara", IFERROR(_xlfn.SINGLE(_xlfn.XLOOKUP(G1457, Vöruskrá!A:A, Vöruskrá!J:J, "")) * I1457 / 100, ""), IF(F1457 = "Réttur", IFERROR(_xlfn.SINGLE(_xlfn.XLOOKUP(G1457, Réttabanki!A:A, Réttabanki!AW:AW, "")) * I1457 / 100, ""), "")))</f>
        <v/>
      </c>
      <c r="Q1457" s="26" t="str">
        <f>IF(OR(F1457 = "", G1457 = "", I1457 = ""), "", IF(F1457 = "Vara", IFERROR(_xlfn.SINGLE(_xlfn.XLOOKUP(G1457, Vöruskrá!A:A, Vöruskrá!N:N, "")) * I1457 / 100, ""), IF(F1457 = "Réttur", IFERROR(_xlfn.SINGLE(_xlfn.XLOOKUP(G1457, Réttabanki!A:A, Réttabanki!BB:BB, "")) * I1457 / 100, ""), "")))</f>
        <v/>
      </c>
    </row>
    <row r="1458" spans="2:17">
      <c r="B1458" s="33" t="str">
        <f>IF(A1458&lt;&gt;"",CHOOSE(WEEKDAY(A1458,2),"Mánudagur","Þriðjudagur","Miðvikudagur","Fimmtudagur","Föstudagur","Laugardagur","Sunnudagur"),IF(B1457&lt;&gt;"",B1457,""))</f>
        <v>Fimmtudagur</v>
      </c>
      <c r="C1458" s="33">
        <f>IF(A1458&lt;&gt;"",WEEKNUM(A1458,21),IF(C1457&lt;&gt;"",C1457,""))</f>
        <v>27</v>
      </c>
      <c r="D1458" s="34"/>
      <c r="E1458" s="34"/>
      <c r="F1458" s="34"/>
      <c r="G1458" s="34"/>
      <c r="H1458" s="34"/>
      <c r="I1458" s="35"/>
      <c r="J1458" s="35"/>
      <c r="K1458" s="36"/>
      <c r="L1458" s="26" t="str">
        <f>IF(OR(F1458 = "", G1458 = ""), "", IF(F1458 = "Vara", IFERROR(_xlfn.SINGLE(_xlfn.XLOOKUP(G1458, Vöruskrá!A:A, Vöruskrá!E:E, "")), ""), IF(F1458 = "Réttur", IFERROR(_xlfn.SINGLE(_xlfn.XLOOKUP(G1458, Réttabanki!A:A, Réttabanki!AS:AS, "")), ""), "")))</f>
        <v/>
      </c>
      <c r="M1458" s="26" t="str">
        <f>IF(OR(F1458 = "", G1458 = ""), "", IF(F1458 = "Vara", IFERROR(_xlfn.SINGLE(_xlfn.XLOOKUP(G1458, Vöruskrá!A:A, Vöruskrá!F:F, "")), ""), IF(F1458 = "Réttur", IFERROR(_xlfn.SINGLE(_xlfn.XLOOKUP(G1458, Réttabanki!A:A, Réttabanki!AT:AT, "")), ""), "")))</f>
        <v/>
      </c>
      <c r="N1458" s="26" t="str">
        <f>IF(OR(F1458 = "", G1458 = ""), "", IF(F1458 = "Vara", IFERROR(_xlfn.SINGLE(_xlfn.XLOOKUP(G1458, Vöruskrá!A:A, Vöruskrá!G:G, "")), ""), IF(F1458 = "Réttur", IFERROR(_xlfn.SINGLE(_xlfn.XLOOKUP(G1458, Réttabanki!A:A, Réttabanki!AU:AU, "")), ""), "")))</f>
        <v/>
      </c>
      <c r="O1458" s="26" t="str">
        <f>IF(OR(F1458 = "", G1458 = "", I1458 = ""), "", IF(F1458 = "Vara", IFERROR(_xlfn.SINGLE(_xlfn.XLOOKUP(G1458, Vöruskrá!A:A, Vöruskrá!I:I, "")) * I1458 / 100, ""), IF(F1458 = "Réttur", IFERROR(_xlfn.SINGLE(_xlfn.XLOOKUP(G1458, Réttabanki!A:A, Réttabanki!AV:AV, "")) * I1458 / 100, ""), "")))</f>
        <v/>
      </c>
      <c r="P1458" s="26" t="str">
        <f>IF(OR(F1458 = "", G1458 = "", I1458 = ""), "", IF(F1458 = "Vara", IFERROR(_xlfn.SINGLE(_xlfn.XLOOKUP(G1458, Vöruskrá!A:A, Vöruskrá!J:J, "")) * I1458 / 100, ""), IF(F1458 = "Réttur", IFERROR(_xlfn.SINGLE(_xlfn.XLOOKUP(G1458, Réttabanki!A:A, Réttabanki!AW:AW, "")) * I1458 / 100, ""), "")))</f>
        <v/>
      </c>
      <c r="Q1458" s="26" t="str">
        <f>IF(OR(F1458 = "", G1458 = "", I1458 = ""), "", IF(F1458 = "Vara", IFERROR(_xlfn.SINGLE(_xlfn.XLOOKUP(G1458, Vöruskrá!A:A, Vöruskrá!N:N, "")) * I1458 / 100, ""), IF(F1458 = "Réttur", IFERROR(_xlfn.SINGLE(_xlfn.XLOOKUP(G1458, Réttabanki!A:A, Réttabanki!BB:BB, "")) * I1458 / 100, ""), "")))</f>
        <v/>
      </c>
    </row>
    <row r="1459" spans="2:17">
      <c r="B1459" s="33" t="str">
        <f>IF(A1459&lt;&gt;"",CHOOSE(WEEKDAY(A1459,2),"Mánudagur","Þriðjudagur","Miðvikudagur","Fimmtudagur","Föstudagur","Laugardagur","Sunnudagur"),IF(B1458&lt;&gt;"",B1458,""))</f>
        <v>Fimmtudagur</v>
      </c>
      <c r="C1459" s="33">
        <f>IF(A1459&lt;&gt;"",WEEKNUM(A1459,21),IF(C1458&lt;&gt;"",C1458,""))</f>
        <v>27</v>
      </c>
      <c r="D1459" s="34"/>
      <c r="E1459" s="34"/>
      <c r="F1459" s="34"/>
      <c r="G1459" s="34"/>
      <c r="H1459" s="34"/>
      <c r="I1459" s="35"/>
      <c r="J1459" s="35"/>
      <c r="K1459" s="36"/>
      <c r="L1459" s="26" t="str">
        <f>IF(OR(F1459 = "", G1459 = ""), "", IF(F1459 = "Vara", IFERROR(_xlfn.SINGLE(_xlfn.XLOOKUP(G1459, Vöruskrá!A:A, Vöruskrá!E:E, "")), ""), IF(F1459 = "Réttur", IFERROR(_xlfn.SINGLE(_xlfn.XLOOKUP(G1459, Réttabanki!A:A, Réttabanki!AS:AS, "")), ""), "")))</f>
        <v/>
      </c>
      <c r="M1459" s="26" t="str">
        <f>IF(OR(F1459 = "", G1459 = ""), "", IF(F1459 = "Vara", IFERROR(_xlfn.SINGLE(_xlfn.XLOOKUP(G1459, Vöruskrá!A:A, Vöruskrá!F:F, "")), ""), IF(F1459 = "Réttur", IFERROR(_xlfn.SINGLE(_xlfn.XLOOKUP(G1459, Réttabanki!A:A, Réttabanki!AT:AT, "")), ""), "")))</f>
        <v/>
      </c>
      <c r="N1459" s="26" t="str">
        <f>IF(OR(F1459 = "", G1459 = ""), "", IF(F1459 = "Vara", IFERROR(_xlfn.SINGLE(_xlfn.XLOOKUP(G1459, Vöruskrá!A:A, Vöruskrá!G:G, "")), ""), IF(F1459 = "Réttur", IFERROR(_xlfn.SINGLE(_xlfn.XLOOKUP(G1459, Réttabanki!A:A, Réttabanki!AU:AU, "")), ""), "")))</f>
        <v/>
      </c>
      <c r="O1459" s="26" t="str">
        <f>IF(OR(F1459 = "", G1459 = "", I1459 = ""), "", IF(F1459 = "Vara", IFERROR(_xlfn.SINGLE(_xlfn.XLOOKUP(G1459, Vöruskrá!A:A, Vöruskrá!I:I, "")) * I1459 / 100, ""), IF(F1459 = "Réttur", IFERROR(_xlfn.SINGLE(_xlfn.XLOOKUP(G1459, Réttabanki!A:A, Réttabanki!AV:AV, "")) * I1459 / 100, ""), "")))</f>
        <v/>
      </c>
      <c r="P1459" s="26" t="str">
        <f>IF(OR(F1459 = "", G1459 = "", I1459 = ""), "", IF(F1459 = "Vara", IFERROR(_xlfn.SINGLE(_xlfn.XLOOKUP(G1459, Vöruskrá!A:A, Vöruskrá!J:J, "")) * I1459 / 100, ""), IF(F1459 = "Réttur", IFERROR(_xlfn.SINGLE(_xlfn.XLOOKUP(G1459, Réttabanki!A:A, Réttabanki!AW:AW, "")) * I1459 / 100, ""), "")))</f>
        <v/>
      </c>
      <c r="Q1459" s="26" t="str">
        <f>IF(OR(F1459 = "", G1459 = "", I1459 = ""), "", IF(F1459 = "Vara", IFERROR(_xlfn.SINGLE(_xlfn.XLOOKUP(G1459, Vöruskrá!A:A, Vöruskrá!N:N, "")) * I1459 / 100, ""), IF(F1459 = "Réttur", IFERROR(_xlfn.SINGLE(_xlfn.XLOOKUP(G1459, Réttabanki!A:A, Réttabanki!BB:BB, "")) * I1459 / 100, ""), "")))</f>
        <v/>
      </c>
    </row>
    <row r="1460" spans="2:17">
      <c r="B1460" s="33" t="str">
        <f>IF(A1460&lt;&gt;"",CHOOSE(WEEKDAY(A1460,2),"Mánudagur","Þriðjudagur","Miðvikudagur","Fimmtudagur","Föstudagur","Laugardagur","Sunnudagur"),IF(B1459&lt;&gt;"",B1459,""))</f>
        <v>Fimmtudagur</v>
      </c>
      <c r="C1460" s="33">
        <f>IF(A1460&lt;&gt;"",WEEKNUM(A1460,21),IF(C1459&lt;&gt;"",C1459,""))</f>
        <v>27</v>
      </c>
      <c r="D1460" s="34"/>
      <c r="E1460" s="34"/>
      <c r="F1460" s="34"/>
      <c r="G1460" s="34"/>
      <c r="H1460" s="34"/>
      <c r="I1460" s="35"/>
      <c r="J1460" s="35"/>
      <c r="K1460" s="36"/>
      <c r="L1460" s="26" t="str">
        <f>IF(OR(F1460 = "", G1460 = ""), "", IF(F1460 = "Vara", IFERROR(_xlfn.SINGLE(_xlfn.XLOOKUP(G1460, Vöruskrá!A:A, Vöruskrá!E:E, "")), ""), IF(F1460 = "Réttur", IFERROR(_xlfn.SINGLE(_xlfn.XLOOKUP(G1460, Réttabanki!A:A, Réttabanki!AS:AS, "")), ""), "")))</f>
        <v/>
      </c>
      <c r="M1460" s="26" t="str">
        <f>IF(OR(F1460 = "", G1460 = ""), "", IF(F1460 = "Vara", IFERROR(_xlfn.SINGLE(_xlfn.XLOOKUP(G1460, Vöruskrá!A:A, Vöruskrá!F:F, "")), ""), IF(F1460 = "Réttur", IFERROR(_xlfn.SINGLE(_xlfn.XLOOKUP(G1460, Réttabanki!A:A, Réttabanki!AT:AT, "")), ""), "")))</f>
        <v/>
      </c>
      <c r="N1460" s="26" t="str">
        <f>IF(OR(F1460 = "", G1460 = ""), "", IF(F1460 = "Vara", IFERROR(_xlfn.SINGLE(_xlfn.XLOOKUP(G1460, Vöruskrá!A:A, Vöruskrá!G:G, "")), ""), IF(F1460 = "Réttur", IFERROR(_xlfn.SINGLE(_xlfn.XLOOKUP(G1460, Réttabanki!A:A, Réttabanki!AU:AU, "")), ""), "")))</f>
        <v/>
      </c>
      <c r="O1460" s="26" t="str">
        <f>IF(OR(F1460 = "", G1460 = "", I1460 = ""), "", IF(F1460 = "Vara", IFERROR(_xlfn.SINGLE(_xlfn.XLOOKUP(G1460, Vöruskrá!A:A, Vöruskrá!I:I, "")) * I1460 / 100, ""), IF(F1460 = "Réttur", IFERROR(_xlfn.SINGLE(_xlfn.XLOOKUP(G1460, Réttabanki!A:A, Réttabanki!AV:AV, "")) * I1460 / 100, ""), "")))</f>
        <v/>
      </c>
      <c r="P1460" s="26" t="str">
        <f>IF(OR(F1460 = "", G1460 = "", I1460 = ""), "", IF(F1460 = "Vara", IFERROR(_xlfn.SINGLE(_xlfn.XLOOKUP(G1460, Vöruskrá!A:A, Vöruskrá!J:J, "")) * I1460 / 100, ""), IF(F1460 = "Réttur", IFERROR(_xlfn.SINGLE(_xlfn.XLOOKUP(G1460, Réttabanki!A:A, Réttabanki!AW:AW, "")) * I1460 / 100, ""), "")))</f>
        <v/>
      </c>
      <c r="Q1460" s="26" t="str">
        <f>IF(OR(F1460 = "", G1460 = "", I1460 = ""), "", IF(F1460 = "Vara", IFERROR(_xlfn.SINGLE(_xlfn.XLOOKUP(G1460, Vöruskrá!A:A, Vöruskrá!N:N, "")) * I1460 / 100, ""), IF(F1460 = "Réttur", IFERROR(_xlfn.SINGLE(_xlfn.XLOOKUP(G1460, Réttabanki!A:A, Réttabanki!BB:BB, "")) * I1460 / 100, ""), "")))</f>
        <v/>
      </c>
    </row>
    <row r="1461" spans="2:17">
      <c r="B1461" s="33" t="str">
        <f>IF(A1461&lt;&gt;"",CHOOSE(WEEKDAY(A1461,2),"Mánudagur","Þriðjudagur","Miðvikudagur","Fimmtudagur","Föstudagur","Laugardagur","Sunnudagur"),IF(B1460&lt;&gt;"",B1460,""))</f>
        <v>Fimmtudagur</v>
      </c>
      <c r="C1461" s="33">
        <f>IF(A1461&lt;&gt;"",WEEKNUM(A1461,21),IF(C1460&lt;&gt;"",C1460,""))</f>
        <v>27</v>
      </c>
      <c r="D1461" s="34"/>
      <c r="E1461" s="34"/>
      <c r="F1461" s="34"/>
      <c r="G1461" s="34"/>
      <c r="H1461" s="34"/>
      <c r="I1461" s="35"/>
      <c r="J1461" s="35"/>
      <c r="K1461" s="36"/>
      <c r="L1461" s="26" t="str">
        <f>IF(OR(F1461 = "", G1461 = ""), "", IF(F1461 = "Vara", IFERROR(_xlfn.SINGLE(_xlfn.XLOOKUP(G1461, Vöruskrá!A:A, Vöruskrá!E:E, "")), ""), IF(F1461 = "Réttur", IFERROR(_xlfn.SINGLE(_xlfn.XLOOKUP(G1461, Réttabanki!A:A, Réttabanki!AS:AS, "")), ""), "")))</f>
        <v/>
      </c>
      <c r="M1461" s="26" t="str">
        <f>IF(OR(F1461 = "", G1461 = ""), "", IF(F1461 = "Vara", IFERROR(_xlfn.SINGLE(_xlfn.XLOOKUP(G1461, Vöruskrá!A:A, Vöruskrá!F:F, "")), ""), IF(F1461 = "Réttur", IFERROR(_xlfn.SINGLE(_xlfn.XLOOKUP(G1461, Réttabanki!A:A, Réttabanki!AT:AT, "")), ""), "")))</f>
        <v/>
      </c>
      <c r="N1461" s="26" t="str">
        <f>IF(OR(F1461 = "", G1461 = ""), "", IF(F1461 = "Vara", IFERROR(_xlfn.SINGLE(_xlfn.XLOOKUP(G1461, Vöruskrá!A:A, Vöruskrá!G:G, "")), ""), IF(F1461 = "Réttur", IFERROR(_xlfn.SINGLE(_xlfn.XLOOKUP(G1461, Réttabanki!A:A, Réttabanki!AU:AU, "")), ""), "")))</f>
        <v/>
      </c>
      <c r="O1461" s="26" t="str">
        <f>IF(OR(F1461 = "", G1461 = "", I1461 = ""), "", IF(F1461 = "Vara", IFERROR(_xlfn.SINGLE(_xlfn.XLOOKUP(G1461, Vöruskrá!A:A, Vöruskrá!I:I, "")) * I1461 / 100, ""), IF(F1461 = "Réttur", IFERROR(_xlfn.SINGLE(_xlfn.XLOOKUP(G1461, Réttabanki!A:A, Réttabanki!AV:AV, "")) * I1461 / 100, ""), "")))</f>
        <v/>
      </c>
      <c r="P1461" s="26" t="str">
        <f>IF(OR(F1461 = "", G1461 = "", I1461 = ""), "", IF(F1461 = "Vara", IFERROR(_xlfn.SINGLE(_xlfn.XLOOKUP(G1461, Vöruskrá!A:A, Vöruskrá!J:J, "")) * I1461 / 100, ""), IF(F1461 = "Réttur", IFERROR(_xlfn.SINGLE(_xlfn.XLOOKUP(G1461, Réttabanki!A:A, Réttabanki!AW:AW, "")) * I1461 / 100, ""), "")))</f>
        <v/>
      </c>
      <c r="Q1461" s="26" t="str">
        <f>IF(OR(F1461 = "", G1461 = "", I1461 = ""), "", IF(F1461 = "Vara", IFERROR(_xlfn.SINGLE(_xlfn.XLOOKUP(G1461, Vöruskrá!A:A, Vöruskrá!N:N, "")) * I1461 / 100, ""), IF(F1461 = "Réttur", IFERROR(_xlfn.SINGLE(_xlfn.XLOOKUP(G1461, Réttabanki!A:A, Réttabanki!BB:BB, "")) * I1461 / 100, ""), "")))</f>
        <v/>
      </c>
    </row>
    <row r="1462" spans="2:17">
      <c r="B1462" s="33" t="str">
        <f>IF(A1462&lt;&gt;"",CHOOSE(WEEKDAY(A1462,2),"Mánudagur","Þriðjudagur","Miðvikudagur","Fimmtudagur","Föstudagur","Laugardagur","Sunnudagur"),IF(B1461&lt;&gt;"",B1461,""))</f>
        <v>Fimmtudagur</v>
      </c>
      <c r="C1462" s="33">
        <f>IF(A1462&lt;&gt;"",WEEKNUM(A1462,21),IF(C1461&lt;&gt;"",C1461,""))</f>
        <v>27</v>
      </c>
      <c r="D1462" s="34"/>
      <c r="E1462" s="34"/>
      <c r="F1462" s="34"/>
      <c r="G1462" s="34"/>
      <c r="H1462" s="34"/>
      <c r="I1462" s="35"/>
      <c r="J1462" s="35"/>
      <c r="K1462" s="36"/>
      <c r="L1462" s="26" t="str">
        <f>IF(OR(F1462 = "", G1462 = ""), "", IF(F1462 = "Vara", IFERROR(_xlfn.SINGLE(_xlfn.XLOOKUP(G1462, Vöruskrá!A:A, Vöruskrá!E:E, "")), ""), IF(F1462 = "Réttur", IFERROR(_xlfn.SINGLE(_xlfn.XLOOKUP(G1462, Réttabanki!A:A, Réttabanki!AS:AS, "")), ""), "")))</f>
        <v/>
      </c>
      <c r="M1462" s="26" t="str">
        <f>IF(OR(F1462 = "", G1462 = ""), "", IF(F1462 = "Vara", IFERROR(_xlfn.SINGLE(_xlfn.XLOOKUP(G1462, Vöruskrá!A:A, Vöruskrá!F:F, "")), ""), IF(F1462 = "Réttur", IFERROR(_xlfn.SINGLE(_xlfn.XLOOKUP(G1462, Réttabanki!A:A, Réttabanki!AT:AT, "")), ""), "")))</f>
        <v/>
      </c>
      <c r="N1462" s="26" t="str">
        <f>IF(OR(F1462 = "", G1462 = ""), "", IF(F1462 = "Vara", IFERROR(_xlfn.SINGLE(_xlfn.XLOOKUP(G1462, Vöruskrá!A:A, Vöruskrá!G:G, "")), ""), IF(F1462 = "Réttur", IFERROR(_xlfn.SINGLE(_xlfn.XLOOKUP(G1462, Réttabanki!A:A, Réttabanki!AU:AU, "")), ""), "")))</f>
        <v/>
      </c>
      <c r="O1462" s="26" t="str">
        <f>IF(OR(F1462 = "", G1462 = "", I1462 = ""), "", IF(F1462 = "Vara", IFERROR(_xlfn.SINGLE(_xlfn.XLOOKUP(G1462, Vöruskrá!A:A, Vöruskrá!I:I, "")) * I1462 / 100, ""), IF(F1462 = "Réttur", IFERROR(_xlfn.SINGLE(_xlfn.XLOOKUP(G1462, Réttabanki!A:A, Réttabanki!AV:AV, "")) * I1462 / 100, ""), "")))</f>
        <v/>
      </c>
      <c r="P1462" s="26" t="str">
        <f>IF(OR(F1462 = "", G1462 = "", I1462 = ""), "", IF(F1462 = "Vara", IFERROR(_xlfn.SINGLE(_xlfn.XLOOKUP(G1462, Vöruskrá!A:A, Vöruskrá!J:J, "")) * I1462 / 100, ""), IF(F1462 = "Réttur", IFERROR(_xlfn.SINGLE(_xlfn.XLOOKUP(G1462, Réttabanki!A:A, Réttabanki!AW:AW, "")) * I1462 / 100, ""), "")))</f>
        <v/>
      </c>
      <c r="Q1462" s="26" t="str">
        <f>IF(OR(F1462 = "", G1462 = "", I1462 = ""), "", IF(F1462 = "Vara", IFERROR(_xlfn.SINGLE(_xlfn.XLOOKUP(G1462, Vöruskrá!A:A, Vöruskrá!N:N, "")) * I1462 / 100, ""), IF(F1462 = "Réttur", IFERROR(_xlfn.SINGLE(_xlfn.XLOOKUP(G1462, Réttabanki!A:A, Réttabanki!BB:BB, "")) * I1462 / 100, ""), "")))</f>
        <v/>
      </c>
    </row>
    <row r="1463" spans="2:17">
      <c r="B1463" s="33" t="str">
        <f>IF(A1463&lt;&gt;"",CHOOSE(WEEKDAY(A1463,2),"Mánudagur","Þriðjudagur","Miðvikudagur","Fimmtudagur","Föstudagur","Laugardagur","Sunnudagur"),IF(B1462&lt;&gt;"",B1462,""))</f>
        <v>Fimmtudagur</v>
      </c>
      <c r="C1463" s="33">
        <f>IF(A1463&lt;&gt;"",WEEKNUM(A1463,21),IF(C1462&lt;&gt;"",C1462,""))</f>
        <v>27</v>
      </c>
      <c r="D1463" s="34"/>
      <c r="E1463" s="34"/>
      <c r="F1463" s="34"/>
      <c r="G1463" s="34"/>
      <c r="H1463" s="34"/>
      <c r="I1463" s="35"/>
      <c r="J1463" s="35"/>
      <c r="K1463" s="36"/>
      <c r="L1463" s="26" t="str">
        <f>IF(OR(F1463 = "", G1463 = ""), "", IF(F1463 = "Vara", IFERROR(_xlfn.SINGLE(_xlfn.XLOOKUP(G1463, Vöruskrá!A:A, Vöruskrá!E:E, "")), ""), IF(F1463 = "Réttur", IFERROR(_xlfn.SINGLE(_xlfn.XLOOKUP(G1463, Réttabanki!A:A, Réttabanki!AS:AS, "")), ""), "")))</f>
        <v/>
      </c>
      <c r="M1463" s="26" t="str">
        <f>IF(OR(F1463 = "", G1463 = ""), "", IF(F1463 = "Vara", IFERROR(_xlfn.SINGLE(_xlfn.XLOOKUP(G1463, Vöruskrá!A:A, Vöruskrá!F:F, "")), ""), IF(F1463 = "Réttur", IFERROR(_xlfn.SINGLE(_xlfn.XLOOKUP(G1463, Réttabanki!A:A, Réttabanki!AT:AT, "")), ""), "")))</f>
        <v/>
      </c>
      <c r="N1463" s="26" t="str">
        <f>IF(OR(F1463 = "", G1463 = ""), "", IF(F1463 = "Vara", IFERROR(_xlfn.SINGLE(_xlfn.XLOOKUP(G1463, Vöruskrá!A:A, Vöruskrá!G:G, "")), ""), IF(F1463 = "Réttur", IFERROR(_xlfn.SINGLE(_xlfn.XLOOKUP(G1463, Réttabanki!A:A, Réttabanki!AU:AU, "")), ""), "")))</f>
        <v/>
      </c>
      <c r="O1463" s="26" t="str">
        <f>IF(OR(F1463 = "", G1463 = "", I1463 = ""), "", IF(F1463 = "Vara", IFERROR(_xlfn.SINGLE(_xlfn.XLOOKUP(G1463, Vöruskrá!A:A, Vöruskrá!I:I, "")) * I1463 / 100, ""), IF(F1463 = "Réttur", IFERROR(_xlfn.SINGLE(_xlfn.XLOOKUP(G1463, Réttabanki!A:A, Réttabanki!AV:AV, "")) * I1463 / 100, ""), "")))</f>
        <v/>
      </c>
      <c r="P1463" s="26" t="str">
        <f>IF(OR(F1463 = "", G1463 = "", I1463 = ""), "", IF(F1463 = "Vara", IFERROR(_xlfn.SINGLE(_xlfn.XLOOKUP(G1463, Vöruskrá!A:A, Vöruskrá!J:J, "")) * I1463 / 100, ""), IF(F1463 = "Réttur", IFERROR(_xlfn.SINGLE(_xlfn.XLOOKUP(G1463, Réttabanki!A:A, Réttabanki!AW:AW, "")) * I1463 / 100, ""), "")))</f>
        <v/>
      </c>
      <c r="Q1463" s="26" t="str">
        <f>IF(OR(F1463 = "", G1463 = "", I1463 = ""), "", IF(F1463 = "Vara", IFERROR(_xlfn.SINGLE(_xlfn.XLOOKUP(G1463, Vöruskrá!A:A, Vöruskrá!N:N, "")) * I1463 / 100, ""), IF(F1463 = "Réttur", IFERROR(_xlfn.SINGLE(_xlfn.XLOOKUP(G1463, Réttabanki!A:A, Réttabanki!BB:BB, "")) * I1463 / 100, ""), "")))</f>
        <v/>
      </c>
    </row>
    <row r="1464" spans="2:17">
      <c r="B1464" s="33" t="str">
        <f>IF(A1464&lt;&gt;"",CHOOSE(WEEKDAY(A1464,2),"Mánudagur","Þriðjudagur","Miðvikudagur","Fimmtudagur","Föstudagur","Laugardagur","Sunnudagur"),IF(B1463&lt;&gt;"",B1463,""))</f>
        <v>Fimmtudagur</v>
      </c>
      <c r="C1464" s="33">
        <f>IF(A1464&lt;&gt;"",WEEKNUM(A1464,21),IF(C1463&lt;&gt;"",C1463,""))</f>
        <v>27</v>
      </c>
      <c r="D1464" s="34"/>
      <c r="E1464" s="34"/>
      <c r="F1464" s="34"/>
      <c r="G1464" s="34"/>
      <c r="H1464" s="34"/>
      <c r="I1464" s="35"/>
      <c r="J1464" s="35"/>
      <c r="K1464" s="36"/>
      <c r="L1464" s="26" t="str">
        <f>IF(OR(F1464 = "", G1464 = ""), "", IF(F1464 = "Vara", IFERROR(_xlfn.SINGLE(_xlfn.XLOOKUP(G1464, Vöruskrá!A:A, Vöruskrá!E:E, "")), ""), IF(F1464 = "Réttur", IFERROR(_xlfn.SINGLE(_xlfn.XLOOKUP(G1464, Réttabanki!A:A, Réttabanki!AS:AS, "")), ""), "")))</f>
        <v/>
      </c>
      <c r="M1464" s="26" t="str">
        <f>IF(OR(F1464 = "", G1464 = ""), "", IF(F1464 = "Vara", IFERROR(_xlfn.SINGLE(_xlfn.XLOOKUP(G1464, Vöruskrá!A:A, Vöruskrá!F:F, "")), ""), IF(F1464 = "Réttur", IFERROR(_xlfn.SINGLE(_xlfn.XLOOKUP(G1464, Réttabanki!A:A, Réttabanki!AT:AT, "")), ""), "")))</f>
        <v/>
      </c>
      <c r="N1464" s="26" t="str">
        <f>IF(OR(F1464 = "", G1464 = ""), "", IF(F1464 = "Vara", IFERROR(_xlfn.SINGLE(_xlfn.XLOOKUP(G1464, Vöruskrá!A:A, Vöruskrá!G:G, "")), ""), IF(F1464 = "Réttur", IFERROR(_xlfn.SINGLE(_xlfn.XLOOKUP(G1464, Réttabanki!A:A, Réttabanki!AU:AU, "")), ""), "")))</f>
        <v/>
      </c>
      <c r="O1464" s="26" t="str">
        <f>IF(OR(F1464 = "", G1464 = "", I1464 = ""), "", IF(F1464 = "Vara", IFERROR(_xlfn.SINGLE(_xlfn.XLOOKUP(G1464, Vöruskrá!A:A, Vöruskrá!I:I, "")) * I1464 / 100, ""), IF(F1464 = "Réttur", IFERROR(_xlfn.SINGLE(_xlfn.XLOOKUP(G1464, Réttabanki!A:A, Réttabanki!AV:AV, "")) * I1464 / 100, ""), "")))</f>
        <v/>
      </c>
      <c r="P1464" s="26" t="str">
        <f>IF(OR(F1464 = "", G1464 = "", I1464 = ""), "", IF(F1464 = "Vara", IFERROR(_xlfn.SINGLE(_xlfn.XLOOKUP(G1464, Vöruskrá!A:A, Vöruskrá!J:J, "")) * I1464 / 100, ""), IF(F1464 = "Réttur", IFERROR(_xlfn.SINGLE(_xlfn.XLOOKUP(G1464, Réttabanki!A:A, Réttabanki!AW:AW, "")) * I1464 / 100, ""), "")))</f>
        <v/>
      </c>
      <c r="Q1464" s="26" t="str">
        <f>IF(OR(F1464 = "", G1464 = "", I1464 = ""), "", IF(F1464 = "Vara", IFERROR(_xlfn.SINGLE(_xlfn.XLOOKUP(G1464, Vöruskrá!A:A, Vöruskrá!N:N, "")) * I1464 / 100, ""), IF(F1464 = "Réttur", IFERROR(_xlfn.SINGLE(_xlfn.XLOOKUP(G1464, Réttabanki!A:A, Réttabanki!BB:BB, "")) * I1464 / 100, ""), "")))</f>
        <v/>
      </c>
    </row>
    <row r="1465" spans="2:17">
      <c r="B1465" s="33" t="str">
        <f>IF(A1465&lt;&gt;"",CHOOSE(WEEKDAY(A1465,2),"Mánudagur","Þriðjudagur","Miðvikudagur","Fimmtudagur","Föstudagur","Laugardagur","Sunnudagur"),IF(B1464&lt;&gt;"",B1464,""))</f>
        <v>Fimmtudagur</v>
      </c>
      <c r="C1465" s="33">
        <f>IF(A1465&lt;&gt;"",WEEKNUM(A1465,21),IF(C1464&lt;&gt;"",C1464,""))</f>
        <v>27</v>
      </c>
      <c r="D1465" s="34"/>
      <c r="E1465" s="34"/>
      <c r="F1465" s="34"/>
      <c r="G1465" s="34"/>
      <c r="H1465" s="34"/>
      <c r="I1465" s="35"/>
      <c r="J1465" s="35"/>
      <c r="K1465" s="36"/>
      <c r="L1465" s="26" t="str">
        <f>IF(OR(F1465 = "", G1465 = ""), "", IF(F1465 = "Vara", IFERROR(_xlfn.SINGLE(_xlfn.XLOOKUP(G1465, Vöruskrá!A:A, Vöruskrá!E:E, "")), ""), IF(F1465 = "Réttur", IFERROR(_xlfn.SINGLE(_xlfn.XLOOKUP(G1465, Réttabanki!A:A, Réttabanki!AS:AS, "")), ""), "")))</f>
        <v/>
      </c>
      <c r="M1465" s="26" t="str">
        <f>IF(OR(F1465 = "", G1465 = ""), "", IF(F1465 = "Vara", IFERROR(_xlfn.SINGLE(_xlfn.XLOOKUP(G1465, Vöruskrá!A:A, Vöruskrá!F:F, "")), ""), IF(F1465 = "Réttur", IFERROR(_xlfn.SINGLE(_xlfn.XLOOKUP(G1465, Réttabanki!A:A, Réttabanki!AT:AT, "")), ""), "")))</f>
        <v/>
      </c>
      <c r="N1465" s="26" t="str">
        <f>IF(OR(F1465 = "", G1465 = ""), "", IF(F1465 = "Vara", IFERROR(_xlfn.SINGLE(_xlfn.XLOOKUP(G1465, Vöruskrá!A:A, Vöruskrá!G:G, "")), ""), IF(F1465 = "Réttur", IFERROR(_xlfn.SINGLE(_xlfn.XLOOKUP(G1465, Réttabanki!A:A, Réttabanki!AU:AU, "")), ""), "")))</f>
        <v/>
      </c>
      <c r="O1465" s="26" t="str">
        <f>IF(OR(F1465 = "", G1465 = "", I1465 = ""), "", IF(F1465 = "Vara", IFERROR(_xlfn.SINGLE(_xlfn.XLOOKUP(G1465, Vöruskrá!A:A, Vöruskrá!I:I, "")) * I1465 / 100, ""), IF(F1465 = "Réttur", IFERROR(_xlfn.SINGLE(_xlfn.XLOOKUP(G1465, Réttabanki!A:A, Réttabanki!AV:AV, "")) * I1465 / 100, ""), "")))</f>
        <v/>
      </c>
      <c r="P1465" s="26" t="str">
        <f>IF(OR(F1465 = "", G1465 = "", I1465 = ""), "", IF(F1465 = "Vara", IFERROR(_xlfn.SINGLE(_xlfn.XLOOKUP(G1465, Vöruskrá!A:A, Vöruskrá!J:J, "")) * I1465 / 100, ""), IF(F1465 = "Réttur", IFERROR(_xlfn.SINGLE(_xlfn.XLOOKUP(G1465, Réttabanki!A:A, Réttabanki!AW:AW, "")) * I1465 / 100, ""), "")))</f>
        <v/>
      </c>
      <c r="Q1465" s="26" t="str">
        <f>IF(OR(F1465 = "", G1465 = "", I1465 = ""), "", IF(F1465 = "Vara", IFERROR(_xlfn.SINGLE(_xlfn.XLOOKUP(G1465, Vöruskrá!A:A, Vöruskrá!N:N, "")) * I1465 / 100, ""), IF(F1465 = "Réttur", IFERROR(_xlfn.SINGLE(_xlfn.XLOOKUP(G1465, Réttabanki!A:A, Réttabanki!BB:BB, "")) * I1465 / 100, ""), "")))</f>
        <v/>
      </c>
    </row>
    <row r="1466" spans="2:17">
      <c r="B1466" s="33" t="str">
        <f>IF(A1466&lt;&gt;"",CHOOSE(WEEKDAY(A1466,2),"Mánudagur","Þriðjudagur","Miðvikudagur","Fimmtudagur","Föstudagur","Laugardagur","Sunnudagur"),IF(B1465&lt;&gt;"",B1465,""))</f>
        <v>Fimmtudagur</v>
      </c>
      <c r="C1466" s="33">
        <f>IF(A1466&lt;&gt;"",WEEKNUM(A1466,21),IF(C1465&lt;&gt;"",C1465,""))</f>
        <v>27</v>
      </c>
      <c r="D1466" s="34"/>
      <c r="E1466" s="34"/>
      <c r="F1466" s="34"/>
      <c r="G1466" s="34"/>
      <c r="H1466" s="34"/>
      <c r="I1466" s="35"/>
      <c r="J1466" s="35"/>
      <c r="K1466" s="36"/>
      <c r="L1466" s="26" t="str">
        <f>IF(OR(F1466 = "", G1466 = ""), "", IF(F1466 = "Vara", IFERROR(_xlfn.SINGLE(_xlfn.XLOOKUP(G1466, Vöruskrá!A:A, Vöruskrá!E:E, "")), ""), IF(F1466 = "Réttur", IFERROR(_xlfn.SINGLE(_xlfn.XLOOKUP(G1466, Réttabanki!A:A, Réttabanki!AS:AS, "")), ""), "")))</f>
        <v/>
      </c>
      <c r="M1466" s="26" t="str">
        <f>IF(OR(F1466 = "", G1466 = ""), "", IF(F1466 = "Vara", IFERROR(_xlfn.SINGLE(_xlfn.XLOOKUP(G1466, Vöruskrá!A:A, Vöruskrá!F:F, "")), ""), IF(F1466 = "Réttur", IFERROR(_xlfn.SINGLE(_xlfn.XLOOKUP(G1466, Réttabanki!A:A, Réttabanki!AT:AT, "")), ""), "")))</f>
        <v/>
      </c>
      <c r="N1466" s="26" t="str">
        <f>IF(OR(F1466 = "", G1466 = ""), "", IF(F1466 = "Vara", IFERROR(_xlfn.SINGLE(_xlfn.XLOOKUP(G1466, Vöruskrá!A:A, Vöruskrá!G:G, "")), ""), IF(F1466 = "Réttur", IFERROR(_xlfn.SINGLE(_xlfn.XLOOKUP(G1466, Réttabanki!A:A, Réttabanki!AU:AU, "")), ""), "")))</f>
        <v/>
      </c>
      <c r="O1466" s="26" t="str">
        <f>IF(OR(F1466 = "", G1466 = "", I1466 = ""), "", IF(F1466 = "Vara", IFERROR(_xlfn.SINGLE(_xlfn.XLOOKUP(G1466, Vöruskrá!A:A, Vöruskrá!I:I, "")) * I1466 / 100, ""), IF(F1466 = "Réttur", IFERROR(_xlfn.SINGLE(_xlfn.XLOOKUP(G1466, Réttabanki!A:A, Réttabanki!AV:AV, "")) * I1466 / 100, ""), "")))</f>
        <v/>
      </c>
      <c r="P1466" s="26" t="str">
        <f>IF(OR(F1466 = "", G1466 = "", I1466 = ""), "", IF(F1466 = "Vara", IFERROR(_xlfn.SINGLE(_xlfn.XLOOKUP(G1466, Vöruskrá!A:A, Vöruskrá!J:J, "")) * I1466 / 100, ""), IF(F1466 = "Réttur", IFERROR(_xlfn.SINGLE(_xlfn.XLOOKUP(G1466, Réttabanki!A:A, Réttabanki!AW:AW, "")) * I1466 / 100, ""), "")))</f>
        <v/>
      </c>
      <c r="Q1466" s="26" t="str">
        <f>IF(OR(F1466 = "", G1466 = "", I1466 = ""), "", IF(F1466 = "Vara", IFERROR(_xlfn.SINGLE(_xlfn.XLOOKUP(G1466, Vöruskrá!A:A, Vöruskrá!N:N, "")) * I1466 / 100, ""), IF(F1466 = "Réttur", IFERROR(_xlfn.SINGLE(_xlfn.XLOOKUP(G1466, Réttabanki!A:A, Réttabanki!BB:BB, "")) * I1466 / 100, ""), "")))</f>
        <v/>
      </c>
    </row>
    <row r="1467" spans="2:17">
      <c r="B1467" s="33" t="str">
        <f>IF(A1467&lt;&gt;"",CHOOSE(WEEKDAY(A1467,2),"Mánudagur","Þriðjudagur","Miðvikudagur","Fimmtudagur","Föstudagur","Laugardagur","Sunnudagur"),IF(B1466&lt;&gt;"",B1466,""))</f>
        <v>Fimmtudagur</v>
      </c>
      <c r="C1467" s="33">
        <f>IF(A1467&lt;&gt;"",WEEKNUM(A1467,21),IF(C1466&lt;&gt;"",C1466,""))</f>
        <v>27</v>
      </c>
      <c r="D1467" s="34"/>
      <c r="E1467" s="34"/>
      <c r="F1467" s="34"/>
      <c r="G1467" s="34"/>
      <c r="H1467" s="34"/>
      <c r="I1467" s="35"/>
      <c r="J1467" s="35"/>
      <c r="K1467" s="36"/>
      <c r="L1467" s="26" t="str">
        <f>IF(OR(F1467 = "", G1467 = ""), "", IF(F1467 = "Vara", IFERROR(_xlfn.SINGLE(_xlfn.XLOOKUP(G1467, Vöruskrá!A:A, Vöruskrá!E:E, "")), ""), IF(F1467 = "Réttur", IFERROR(_xlfn.SINGLE(_xlfn.XLOOKUP(G1467, Réttabanki!A:A, Réttabanki!AS:AS, "")), ""), "")))</f>
        <v/>
      </c>
      <c r="M1467" s="26" t="str">
        <f>IF(OR(F1467 = "", G1467 = ""), "", IF(F1467 = "Vara", IFERROR(_xlfn.SINGLE(_xlfn.XLOOKUP(G1467, Vöruskrá!A:A, Vöruskrá!F:F, "")), ""), IF(F1467 = "Réttur", IFERROR(_xlfn.SINGLE(_xlfn.XLOOKUP(G1467, Réttabanki!A:A, Réttabanki!AT:AT, "")), ""), "")))</f>
        <v/>
      </c>
      <c r="N1467" s="26" t="str">
        <f>IF(OR(F1467 = "", G1467 = ""), "", IF(F1467 = "Vara", IFERROR(_xlfn.SINGLE(_xlfn.XLOOKUP(G1467, Vöruskrá!A:A, Vöruskrá!G:G, "")), ""), IF(F1467 = "Réttur", IFERROR(_xlfn.SINGLE(_xlfn.XLOOKUP(G1467, Réttabanki!A:A, Réttabanki!AU:AU, "")), ""), "")))</f>
        <v/>
      </c>
      <c r="O1467" s="26" t="str">
        <f>IF(OR(F1467 = "", G1467 = "", I1467 = ""), "", IF(F1467 = "Vara", IFERROR(_xlfn.SINGLE(_xlfn.XLOOKUP(G1467, Vöruskrá!A:A, Vöruskrá!I:I, "")) * I1467 / 100, ""), IF(F1467 = "Réttur", IFERROR(_xlfn.SINGLE(_xlfn.XLOOKUP(G1467, Réttabanki!A:A, Réttabanki!AV:AV, "")) * I1467 / 100, ""), "")))</f>
        <v/>
      </c>
      <c r="P1467" s="26" t="str">
        <f>IF(OR(F1467 = "", G1467 = "", I1467 = ""), "", IF(F1467 = "Vara", IFERROR(_xlfn.SINGLE(_xlfn.XLOOKUP(G1467, Vöruskrá!A:A, Vöruskrá!J:J, "")) * I1467 / 100, ""), IF(F1467 = "Réttur", IFERROR(_xlfn.SINGLE(_xlfn.XLOOKUP(G1467, Réttabanki!A:A, Réttabanki!AW:AW, "")) * I1467 / 100, ""), "")))</f>
        <v/>
      </c>
      <c r="Q1467" s="26" t="str">
        <f>IF(OR(F1467 = "", G1467 = "", I1467 = ""), "", IF(F1467 = "Vara", IFERROR(_xlfn.SINGLE(_xlfn.XLOOKUP(G1467, Vöruskrá!A:A, Vöruskrá!N:N, "")) * I1467 / 100, ""), IF(F1467 = "Réttur", IFERROR(_xlfn.SINGLE(_xlfn.XLOOKUP(G1467, Réttabanki!A:A, Réttabanki!BB:BB, "")) * I1467 / 100, ""), "")))</f>
        <v/>
      </c>
    </row>
    <row r="1468" spans="2:17">
      <c r="B1468" s="33" t="str">
        <f>IF(A1468&lt;&gt;"",CHOOSE(WEEKDAY(A1468,2),"Mánudagur","Þriðjudagur","Miðvikudagur","Fimmtudagur","Föstudagur","Laugardagur","Sunnudagur"),IF(B1467&lt;&gt;"",B1467,""))</f>
        <v>Fimmtudagur</v>
      </c>
      <c r="C1468" s="33">
        <f>IF(A1468&lt;&gt;"",WEEKNUM(A1468,21),IF(C1467&lt;&gt;"",C1467,""))</f>
        <v>27</v>
      </c>
      <c r="D1468" s="34"/>
      <c r="E1468" s="34"/>
      <c r="F1468" s="34"/>
      <c r="G1468" s="34"/>
      <c r="H1468" s="34"/>
      <c r="I1468" s="35"/>
      <c r="J1468" s="35"/>
      <c r="K1468" s="36"/>
      <c r="L1468" s="26" t="str">
        <f>IF(OR(F1468 = "", G1468 = ""), "", IF(F1468 = "Vara", IFERROR(_xlfn.SINGLE(_xlfn.XLOOKUP(G1468, Vöruskrá!A:A, Vöruskrá!E:E, "")), ""), IF(F1468 = "Réttur", IFERROR(_xlfn.SINGLE(_xlfn.XLOOKUP(G1468, Réttabanki!A:A, Réttabanki!AS:AS, "")), ""), "")))</f>
        <v/>
      </c>
      <c r="M1468" s="26" t="str">
        <f>IF(OR(F1468 = "", G1468 = ""), "", IF(F1468 = "Vara", IFERROR(_xlfn.SINGLE(_xlfn.XLOOKUP(G1468, Vöruskrá!A:A, Vöruskrá!F:F, "")), ""), IF(F1468 = "Réttur", IFERROR(_xlfn.SINGLE(_xlfn.XLOOKUP(G1468, Réttabanki!A:A, Réttabanki!AT:AT, "")), ""), "")))</f>
        <v/>
      </c>
      <c r="N1468" s="26" t="str">
        <f>IF(OR(F1468 = "", G1468 = ""), "", IF(F1468 = "Vara", IFERROR(_xlfn.SINGLE(_xlfn.XLOOKUP(G1468, Vöruskrá!A:A, Vöruskrá!G:G, "")), ""), IF(F1468 = "Réttur", IFERROR(_xlfn.SINGLE(_xlfn.XLOOKUP(G1468, Réttabanki!A:A, Réttabanki!AU:AU, "")), ""), "")))</f>
        <v/>
      </c>
      <c r="O1468" s="26" t="str">
        <f>IF(OR(F1468 = "", G1468 = "", I1468 = ""), "", IF(F1468 = "Vara", IFERROR(_xlfn.SINGLE(_xlfn.XLOOKUP(G1468, Vöruskrá!A:A, Vöruskrá!I:I, "")) * I1468 / 100, ""), IF(F1468 = "Réttur", IFERROR(_xlfn.SINGLE(_xlfn.XLOOKUP(G1468, Réttabanki!A:A, Réttabanki!AV:AV, "")) * I1468 / 100, ""), "")))</f>
        <v/>
      </c>
      <c r="P1468" s="26" t="str">
        <f>IF(OR(F1468 = "", G1468 = "", I1468 = ""), "", IF(F1468 = "Vara", IFERROR(_xlfn.SINGLE(_xlfn.XLOOKUP(G1468, Vöruskrá!A:A, Vöruskrá!J:J, "")) * I1468 / 100, ""), IF(F1468 = "Réttur", IFERROR(_xlfn.SINGLE(_xlfn.XLOOKUP(G1468, Réttabanki!A:A, Réttabanki!AW:AW, "")) * I1468 / 100, ""), "")))</f>
        <v/>
      </c>
      <c r="Q1468" s="26" t="str">
        <f>IF(OR(F1468 = "", G1468 = "", I1468 = ""), "", IF(F1468 = "Vara", IFERROR(_xlfn.SINGLE(_xlfn.XLOOKUP(G1468, Vöruskrá!A:A, Vöruskrá!N:N, "")) * I1468 / 100, ""), IF(F1468 = "Réttur", IFERROR(_xlfn.SINGLE(_xlfn.XLOOKUP(G1468, Réttabanki!A:A, Réttabanki!BB:BB, "")) * I1468 / 100, ""), "")))</f>
        <v/>
      </c>
    </row>
    <row r="1469" spans="2:17">
      <c r="B1469" s="33" t="str">
        <f>IF(A1469&lt;&gt;"",CHOOSE(WEEKDAY(A1469,2),"Mánudagur","Þriðjudagur","Miðvikudagur","Fimmtudagur","Föstudagur","Laugardagur","Sunnudagur"),IF(B1468&lt;&gt;"",B1468,""))</f>
        <v>Fimmtudagur</v>
      </c>
      <c r="C1469" s="33">
        <f>IF(A1469&lt;&gt;"",WEEKNUM(A1469,21),IF(C1468&lt;&gt;"",C1468,""))</f>
        <v>27</v>
      </c>
      <c r="D1469" s="34"/>
      <c r="E1469" s="34"/>
      <c r="F1469" s="34"/>
      <c r="G1469" s="34"/>
      <c r="H1469" s="34"/>
      <c r="I1469" s="35"/>
      <c r="J1469" s="35"/>
      <c r="K1469" s="36"/>
      <c r="L1469" s="26" t="str">
        <f>IF(OR(F1469 = "", G1469 = ""), "", IF(F1469 = "Vara", IFERROR(_xlfn.SINGLE(_xlfn.XLOOKUP(G1469, Vöruskrá!A:A, Vöruskrá!E:E, "")), ""), IF(F1469 = "Réttur", IFERROR(_xlfn.SINGLE(_xlfn.XLOOKUP(G1469, Réttabanki!A:A, Réttabanki!AS:AS, "")), ""), "")))</f>
        <v/>
      </c>
      <c r="M1469" s="26" t="str">
        <f>IF(OR(F1469 = "", G1469 = ""), "", IF(F1469 = "Vara", IFERROR(_xlfn.SINGLE(_xlfn.XLOOKUP(G1469, Vöruskrá!A:A, Vöruskrá!F:F, "")), ""), IF(F1469 = "Réttur", IFERROR(_xlfn.SINGLE(_xlfn.XLOOKUP(G1469, Réttabanki!A:A, Réttabanki!AT:AT, "")), ""), "")))</f>
        <v/>
      </c>
      <c r="N1469" s="26" t="str">
        <f>IF(OR(F1469 = "", G1469 = ""), "", IF(F1469 = "Vara", IFERROR(_xlfn.SINGLE(_xlfn.XLOOKUP(G1469, Vöruskrá!A:A, Vöruskrá!G:G, "")), ""), IF(F1469 = "Réttur", IFERROR(_xlfn.SINGLE(_xlfn.XLOOKUP(G1469, Réttabanki!A:A, Réttabanki!AU:AU, "")), ""), "")))</f>
        <v/>
      </c>
      <c r="O1469" s="26" t="str">
        <f>IF(OR(F1469 = "", G1469 = "", I1469 = ""), "", IF(F1469 = "Vara", IFERROR(_xlfn.SINGLE(_xlfn.XLOOKUP(G1469, Vöruskrá!A:A, Vöruskrá!I:I, "")) * I1469 / 100, ""), IF(F1469 = "Réttur", IFERROR(_xlfn.SINGLE(_xlfn.XLOOKUP(G1469, Réttabanki!A:A, Réttabanki!AV:AV, "")) * I1469 / 100, ""), "")))</f>
        <v/>
      </c>
      <c r="P1469" s="26" t="str">
        <f>IF(OR(F1469 = "", G1469 = "", I1469 = ""), "", IF(F1469 = "Vara", IFERROR(_xlfn.SINGLE(_xlfn.XLOOKUP(G1469, Vöruskrá!A:A, Vöruskrá!J:J, "")) * I1469 / 100, ""), IF(F1469 = "Réttur", IFERROR(_xlfn.SINGLE(_xlfn.XLOOKUP(G1469, Réttabanki!A:A, Réttabanki!AW:AW, "")) * I1469 / 100, ""), "")))</f>
        <v/>
      </c>
      <c r="Q1469" s="26" t="str">
        <f>IF(OR(F1469 = "", G1469 = "", I1469 = ""), "", IF(F1469 = "Vara", IFERROR(_xlfn.SINGLE(_xlfn.XLOOKUP(G1469, Vöruskrá!A:A, Vöruskrá!N:N, "")) * I1469 / 100, ""), IF(F1469 = "Réttur", IFERROR(_xlfn.SINGLE(_xlfn.XLOOKUP(G1469, Réttabanki!A:A, Réttabanki!BB:BB, "")) * I1469 / 100, ""), "")))</f>
        <v/>
      </c>
    </row>
    <row r="1470" spans="2:17">
      <c r="B1470" s="33" t="str">
        <f>IF(A1470&lt;&gt;"",CHOOSE(WEEKDAY(A1470,2),"Mánudagur","Þriðjudagur","Miðvikudagur","Fimmtudagur","Föstudagur","Laugardagur","Sunnudagur"),IF(B1469&lt;&gt;"",B1469,""))</f>
        <v>Fimmtudagur</v>
      </c>
      <c r="C1470" s="33">
        <f>IF(A1470&lt;&gt;"",WEEKNUM(A1470,21),IF(C1469&lt;&gt;"",C1469,""))</f>
        <v>27</v>
      </c>
      <c r="D1470" s="34"/>
      <c r="E1470" s="34"/>
      <c r="F1470" s="34"/>
      <c r="G1470" s="34"/>
      <c r="H1470" s="34"/>
      <c r="I1470" s="35"/>
      <c r="J1470" s="35"/>
      <c r="K1470" s="36"/>
      <c r="L1470" s="26" t="str">
        <f>IF(OR(F1470 = "", G1470 = ""), "", IF(F1470 = "Vara", IFERROR(_xlfn.SINGLE(_xlfn.XLOOKUP(G1470, Vöruskrá!A:A, Vöruskrá!E:E, "")), ""), IF(F1470 = "Réttur", IFERROR(_xlfn.SINGLE(_xlfn.XLOOKUP(G1470, Réttabanki!A:A, Réttabanki!AS:AS, "")), ""), "")))</f>
        <v/>
      </c>
      <c r="M1470" s="26" t="str">
        <f>IF(OR(F1470 = "", G1470 = ""), "", IF(F1470 = "Vara", IFERROR(_xlfn.SINGLE(_xlfn.XLOOKUP(G1470, Vöruskrá!A:A, Vöruskrá!F:F, "")), ""), IF(F1470 = "Réttur", IFERROR(_xlfn.SINGLE(_xlfn.XLOOKUP(G1470, Réttabanki!A:A, Réttabanki!AT:AT, "")), ""), "")))</f>
        <v/>
      </c>
      <c r="N1470" s="26" t="str">
        <f>IF(OR(F1470 = "", G1470 = ""), "", IF(F1470 = "Vara", IFERROR(_xlfn.SINGLE(_xlfn.XLOOKUP(G1470, Vöruskrá!A:A, Vöruskrá!G:G, "")), ""), IF(F1470 = "Réttur", IFERROR(_xlfn.SINGLE(_xlfn.XLOOKUP(G1470, Réttabanki!A:A, Réttabanki!AU:AU, "")), ""), "")))</f>
        <v/>
      </c>
      <c r="O1470" s="26" t="str">
        <f>IF(OR(F1470 = "", G1470 = "", I1470 = ""), "", IF(F1470 = "Vara", IFERROR(_xlfn.SINGLE(_xlfn.XLOOKUP(G1470, Vöruskrá!A:A, Vöruskrá!I:I, "")) * I1470 / 100, ""), IF(F1470 = "Réttur", IFERROR(_xlfn.SINGLE(_xlfn.XLOOKUP(G1470, Réttabanki!A:A, Réttabanki!AV:AV, "")) * I1470 / 100, ""), "")))</f>
        <v/>
      </c>
      <c r="P1470" s="26" t="str">
        <f>IF(OR(F1470 = "", G1470 = "", I1470 = ""), "", IF(F1470 = "Vara", IFERROR(_xlfn.SINGLE(_xlfn.XLOOKUP(G1470, Vöruskrá!A:A, Vöruskrá!J:J, "")) * I1470 / 100, ""), IF(F1470 = "Réttur", IFERROR(_xlfn.SINGLE(_xlfn.XLOOKUP(G1470, Réttabanki!A:A, Réttabanki!AW:AW, "")) * I1470 / 100, ""), "")))</f>
        <v/>
      </c>
      <c r="Q1470" s="26" t="str">
        <f>IF(OR(F1470 = "", G1470 = "", I1470 = ""), "", IF(F1470 = "Vara", IFERROR(_xlfn.SINGLE(_xlfn.XLOOKUP(G1470, Vöruskrá!A:A, Vöruskrá!N:N, "")) * I1470 / 100, ""), IF(F1470 = "Réttur", IFERROR(_xlfn.SINGLE(_xlfn.XLOOKUP(G1470, Réttabanki!A:A, Réttabanki!BB:BB, "")) * I1470 / 100, ""), "")))</f>
        <v/>
      </c>
    </row>
    <row r="1471" spans="2:17">
      <c r="B1471" s="33" t="str">
        <f>IF(A1471&lt;&gt;"",CHOOSE(WEEKDAY(A1471,2),"Mánudagur","Þriðjudagur","Miðvikudagur","Fimmtudagur","Föstudagur","Laugardagur","Sunnudagur"),IF(B1470&lt;&gt;"",B1470,""))</f>
        <v>Fimmtudagur</v>
      </c>
      <c r="C1471" s="33">
        <f>IF(A1471&lt;&gt;"",WEEKNUM(A1471,21),IF(C1470&lt;&gt;"",C1470,""))</f>
        <v>27</v>
      </c>
      <c r="D1471" s="34"/>
      <c r="E1471" s="34"/>
      <c r="F1471" s="34"/>
      <c r="G1471" s="34"/>
      <c r="H1471" s="34"/>
      <c r="I1471" s="35"/>
      <c r="J1471" s="35"/>
      <c r="K1471" s="36"/>
      <c r="L1471" s="26" t="str">
        <f>IF(OR(F1471 = "", G1471 = ""), "", IF(F1471 = "Vara", IFERROR(_xlfn.SINGLE(_xlfn.XLOOKUP(G1471, Vöruskrá!A:A, Vöruskrá!E:E, "")), ""), IF(F1471 = "Réttur", IFERROR(_xlfn.SINGLE(_xlfn.XLOOKUP(G1471, Réttabanki!A:A, Réttabanki!AS:AS, "")), ""), "")))</f>
        <v/>
      </c>
      <c r="M1471" s="26" t="str">
        <f>IF(OR(F1471 = "", G1471 = ""), "", IF(F1471 = "Vara", IFERROR(_xlfn.SINGLE(_xlfn.XLOOKUP(G1471, Vöruskrá!A:A, Vöruskrá!F:F, "")), ""), IF(F1471 = "Réttur", IFERROR(_xlfn.SINGLE(_xlfn.XLOOKUP(G1471, Réttabanki!A:A, Réttabanki!AT:AT, "")), ""), "")))</f>
        <v/>
      </c>
      <c r="N1471" s="26" t="str">
        <f>IF(OR(F1471 = "", G1471 = ""), "", IF(F1471 = "Vara", IFERROR(_xlfn.SINGLE(_xlfn.XLOOKUP(G1471, Vöruskrá!A:A, Vöruskrá!G:G, "")), ""), IF(F1471 = "Réttur", IFERROR(_xlfn.SINGLE(_xlfn.XLOOKUP(G1471, Réttabanki!A:A, Réttabanki!AU:AU, "")), ""), "")))</f>
        <v/>
      </c>
      <c r="O1471" s="26" t="str">
        <f>IF(OR(F1471 = "", G1471 = "", I1471 = ""), "", IF(F1471 = "Vara", IFERROR(_xlfn.SINGLE(_xlfn.XLOOKUP(G1471, Vöruskrá!A:A, Vöruskrá!I:I, "")) * I1471 / 100, ""), IF(F1471 = "Réttur", IFERROR(_xlfn.SINGLE(_xlfn.XLOOKUP(G1471, Réttabanki!A:A, Réttabanki!AV:AV, "")) * I1471 / 100, ""), "")))</f>
        <v/>
      </c>
      <c r="P1471" s="26" t="str">
        <f>IF(OR(F1471 = "", G1471 = "", I1471 = ""), "", IF(F1471 = "Vara", IFERROR(_xlfn.SINGLE(_xlfn.XLOOKUP(G1471, Vöruskrá!A:A, Vöruskrá!J:J, "")) * I1471 / 100, ""), IF(F1471 = "Réttur", IFERROR(_xlfn.SINGLE(_xlfn.XLOOKUP(G1471, Réttabanki!A:A, Réttabanki!AW:AW, "")) * I1471 / 100, ""), "")))</f>
        <v/>
      </c>
      <c r="Q1471" s="26" t="str">
        <f>IF(OR(F1471 = "", G1471 = "", I1471 = ""), "", IF(F1471 = "Vara", IFERROR(_xlfn.SINGLE(_xlfn.XLOOKUP(G1471, Vöruskrá!A:A, Vöruskrá!N:N, "")) * I1471 / 100, ""), IF(F1471 = "Réttur", IFERROR(_xlfn.SINGLE(_xlfn.XLOOKUP(G1471, Réttabanki!A:A, Réttabanki!BB:BB, "")) * I1471 / 100, ""), "")))</f>
        <v/>
      </c>
    </row>
    <row r="1472" spans="2:17">
      <c r="B1472" s="33" t="str">
        <f>IF(A1472&lt;&gt;"",CHOOSE(WEEKDAY(A1472,2),"Mánudagur","Þriðjudagur","Miðvikudagur","Fimmtudagur","Föstudagur","Laugardagur","Sunnudagur"),IF(B1471&lt;&gt;"",B1471,""))</f>
        <v>Fimmtudagur</v>
      </c>
      <c r="C1472" s="33">
        <f>IF(A1472&lt;&gt;"",WEEKNUM(A1472,21),IF(C1471&lt;&gt;"",C1471,""))</f>
        <v>27</v>
      </c>
      <c r="D1472" s="34"/>
      <c r="E1472" s="34"/>
      <c r="F1472" s="34"/>
      <c r="G1472" s="34"/>
      <c r="H1472" s="34"/>
      <c r="I1472" s="35"/>
      <c r="J1472" s="35"/>
      <c r="K1472" s="36"/>
      <c r="L1472" s="26" t="str">
        <f>IF(OR(F1472 = "", G1472 = ""), "", IF(F1472 = "Vara", IFERROR(_xlfn.SINGLE(_xlfn.XLOOKUP(G1472, Vöruskrá!A:A, Vöruskrá!E:E, "")), ""), IF(F1472 = "Réttur", IFERROR(_xlfn.SINGLE(_xlfn.XLOOKUP(G1472, Réttabanki!A:A, Réttabanki!AS:AS, "")), ""), "")))</f>
        <v/>
      </c>
      <c r="M1472" s="26" t="str">
        <f>IF(OR(F1472 = "", G1472 = ""), "", IF(F1472 = "Vara", IFERROR(_xlfn.SINGLE(_xlfn.XLOOKUP(G1472, Vöruskrá!A:A, Vöruskrá!F:F, "")), ""), IF(F1472 = "Réttur", IFERROR(_xlfn.SINGLE(_xlfn.XLOOKUP(G1472, Réttabanki!A:A, Réttabanki!AT:AT, "")), ""), "")))</f>
        <v/>
      </c>
      <c r="N1472" s="26" t="str">
        <f>IF(OR(F1472 = "", G1472 = ""), "", IF(F1472 = "Vara", IFERROR(_xlfn.SINGLE(_xlfn.XLOOKUP(G1472, Vöruskrá!A:A, Vöruskrá!G:G, "")), ""), IF(F1472 = "Réttur", IFERROR(_xlfn.SINGLE(_xlfn.XLOOKUP(G1472, Réttabanki!A:A, Réttabanki!AU:AU, "")), ""), "")))</f>
        <v/>
      </c>
      <c r="O1472" s="26" t="str">
        <f>IF(OR(F1472 = "", G1472 = "", I1472 = ""), "", IF(F1472 = "Vara", IFERROR(_xlfn.SINGLE(_xlfn.XLOOKUP(G1472, Vöruskrá!A:A, Vöruskrá!I:I, "")) * I1472 / 100, ""), IF(F1472 = "Réttur", IFERROR(_xlfn.SINGLE(_xlfn.XLOOKUP(G1472, Réttabanki!A:A, Réttabanki!AV:AV, "")) * I1472 / 100, ""), "")))</f>
        <v/>
      </c>
      <c r="P1472" s="26" t="str">
        <f>IF(OR(F1472 = "", G1472 = "", I1472 = ""), "", IF(F1472 = "Vara", IFERROR(_xlfn.SINGLE(_xlfn.XLOOKUP(G1472, Vöruskrá!A:A, Vöruskrá!J:J, "")) * I1472 / 100, ""), IF(F1472 = "Réttur", IFERROR(_xlfn.SINGLE(_xlfn.XLOOKUP(G1472, Réttabanki!A:A, Réttabanki!AW:AW, "")) * I1472 / 100, ""), "")))</f>
        <v/>
      </c>
      <c r="Q1472" s="26" t="str">
        <f>IF(OR(F1472 = "", G1472 = "", I1472 = ""), "", IF(F1472 = "Vara", IFERROR(_xlfn.SINGLE(_xlfn.XLOOKUP(G1472, Vöruskrá!A:A, Vöruskrá!N:N, "")) * I1472 / 100, ""), IF(F1472 = "Réttur", IFERROR(_xlfn.SINGLE(_xlfn.XLOOKUP(G1472, Réttabanki!A:A, Réttabanki!BB:BB, "")) * I1472 / 100, ""), "")))</f>
        <v/>
      </c>
    </row>
    <row r="1473" spans="2:17">
      <c r="B1473" s="33" t="str">
        <f>IF(A1473&lt;&gt;"",CHOOSE(WEEKDAY(A1473,2),"Mánudagur","Þriðjudagur","Miðvikudagur","Fimmtudagur","Föstudagur","Laugardagur","Sunnudagur"),IF(B1472&lt;&gt;"",B1472,""))</f>
        <v>Fimmtudagur</v>
      </c>
      <c r="C1473" s="33">
        <f>IF(A1473&lt;&gt;"",WEEKNUM(A1473,21),IF(C1472&lt;&gt;"",C1472,""))</f>
        <v>27</v>
      </c>
      <c r="D1473" s="34"/>
      <c r="E1473" s="34"/>
      <c r="F1473" s="34"/>
      <c r="G1473" s="34"/>
      <c r="H1473" s="34"/>
      <c r="I1473" s="35"/>
      <c r="J1473" s="35"/>
      <c r="K1473" s="36"/>
      <c r="L1473" s="26" t="str">
        <f>IF(OR(F1473 = "", G1473 = ""), "", IF(F1473 = "Vara", IFERROR(_xlfn.SINGLE(_xlfn.XLOOKUP(G1473, Vöruskrá!A:A, Vöruskrá!E:E, "")), ""), IF(F1473 = "Réttur", IFERROR(_xlfn.SINGLE(_xlfn.XLOOKUP(G1473, Réttabanki!A:A, Réttabanki!AS:AS, "")), ""), "")))</f>
        <v/>
      </c>
      <c r="M1473" s="26" t="str">
        <f>IF(OR(F1473 = "", G1473 = ""), "", IF(F1473 = "Vara", IFERROR(_xlfn.SINGLE(_xlfn.XLOOKUP(G1473, Vöruskrá!A:A, Vöruskrá!F:F, "")), ""), IF(F1473 = "Réttur", IFERROR(_xlfn.SINGLE(_xlfn.XLOOKUP(G1473, Réttabanki!A:A, Réttabanki!AT:AT, "")), ""), "")))</f>
        <v/>
      </c>
      <c r="N1473" s="26" t="str">
        <f>IF(OR(F1473 = "", G1473 = ""), "", IF(F1473 = "Vara", IFERROR(_xlfn.SINGLE(_xlfn.XLOOKUP(G1473, Vöruskrá!A:A, Vöruskrá!G:G, "")), ""), IF(F1473 = "Réttur", IFERROR(_xlfn.SINGLE(_xlfn.XLOOKUP(G1473, Réttabanki!A:A, Réttabanki!AU:AU, "")), ""), "")))</f>
        <v/>
      </c>
      <c r="O1473" s="26" t="str">
        <f>IF(OR(F1473 = "", G1473 = "", I1473 = ""), "", IF(F1473 = "Vara", IFERROR(_xlfn.SINGLE(_xlfn.XLOOKUP(G1473, Vöruskrá!A:A, Vöruskrá!I:I, "")) * I1473 / 100, ""), IF(F1473 = "Réttur", IFERROR(_xlfn.SINGLE(_xlfn.XLOOKUP(G1473, Réttabanki!A:A, Réttabanki!AV:AV, "")) * I1473 / 100, ""), "")))</f>
        <v/>
      </c>
      <c r="P1473" s="26" t="str">
        <f>IF(OR(F1473 = "", G1473 = "", I1473 = ""), "", IF(F1473 = "Vara", IFERROR(_xlfn.SINGLE(_xlfn.XLOOKUP(G1473, Vöruskrá!A:A, Vöruskrá!J:J, "")) * I1473 / 100, ""), IF(F1473 = "Réttur", IFERROR(_xlfn.SINGLE(_xlfn.XLOOKUP(G1473, Réttabanki!A:A, Réttabanki!AW:AW, "")) * I1473 / 100, ""), "")))</f>
        <v/>
      </c>
      <c r="Q1473" s="26" t="str">
        <f>IF(OR(F1473 = "", G1473 = "", I1473 = ""), "", IF(F1473 = "Vara", IFERROR(_xlfn.SINGLE(_xlfn.XLOOKUP(G1473, Vöruskrá!A:A, Vöruskrá!N:N, "")) * I1473 / 100, ""), IF(F1473 = "Réttur", IFERROR(_xlfn.SINGLE(_xlfn.XLOOKUP(G1473, Réttabanki!A:A, Réttabanki!BB:BB, "")) * I1473 / 100, ""), "")))</f>
        <v/>
      </c>
    </row>
    <row r="1474" spans="2:17">
      <c r="B1474" s="33" t="str">
        <f>IF(A1474&lt;&gt;"",CHOOSE(WEEKDAY(A1474,2),"Mánudagur","Þriðjudagur","Miðvikudagur","Fimmtudagur","Föstudagur","Laugardagur","Sunnudagur"),IF(B1473&lt;&gt;"",B1473,""))</f>
        <v>Fimmtudagur</v>
      </c>
      <c r="C1474" s="33">
        <f>IF(A1474&lt;&gt;"",WEEKNUM(A1474,21),IF(C1473&lt;&gt;"",C1473,""))</f>
        <v>27</v>
      </c>
      <c r="D1474" s="34"/>
      <c r="E1474" s="34"/>
      <c r="F1474" s="34"/>
      <c r="G1474" s="34"/>
      <c r="H1474" s="34"/>
      <c r="I1474" s="35"/>
      <c r="J1474" s="35"/>
      <c r="K1474" s="36"/>
      <c r="L1474" s="26" t="str">
        <f>IF(OR(F1474 = "", G1474 = ""), "", IF(F1474 = "Vara", IFERROR(_xlfn.SINGLE(_xlfn.XLOOKUP(G1474, Vöruskrá!A:A, Vöruskrá!E:E, "")), ""), IF(F1474 = "Réttur", IFERROR(_xlfn.SINGLE(_xlfn.XLOOKUP(G1474, Réttabanki!A:A, Réttabanki!AS:AS, "")), ""), "")))</f>
        <v/>
      </c>
      <c r="M1474" s="26" t="str">
        <f>IF(OR(F1474 = "", G1474 = ""), "", IF(F1474 = "Vara", IFERROR(_xlfn.SINGLE(_xlfn.XLOOKUP(G1474, Vöruskrá!A:A, Vöruskrá!F:F, "")), ""), IF(F1474 = "Réttur", IFERROR(_xlfn.SINGLE(_xlfn.XLOOKUP(G1474, Réttabanki!A:A, Réttabanki!AT:AT, "")), ""), "")))</f>
        <v/>
      </c>
      <c r="N1474" s="26" t="str">
        <f>IF(OR(F1474 = "", G1474 = ""), "", IF(F1474 = "Vara", IFERROR(_xlfn.SINGLE(_xlfn.XLOOKUP(G1474, Vöruskrá!A:A, Vöruskrá!G:G, "")), ""), IF(F1474 = "Réttur", IFERROR(_xlfn.SINGLE(_xlfn.XLOOKUP(G1474, Réttabanki!A:A, Réttabanki!AU:AU, "")), ""), "")))</f>
        <v/>
      </c>
      <c r="O1474" s="26" t="str">
        <f>IF(OR(F1474 = "", G1474 = "", I1474 = ""), "", IF(F1474 = "Vara", IFERROR(_xlfn.SINGLE(_xlfn.XLOOKUP(G1474, Vöruskrá!A:A, Vöruskrá!I:I, "")) * I1474 / 100, ""), IF(F1474 = "Réttur", IFERROR(_xlfn.SINGLE(_xlfn.XLOOKUP(G1474, Réttabanki!A:A, Réttabanki!AV:AV, "")) * I1474 / 100, ""), "")))</f>
        <v/>
      </c>
      <c r="P1474" s="26" t="str">
        <f>IF(OR(F1474 = "", G1474 = "", I1474 = ""), "", IF(F1474 = "Vara", IFERROR(_xlfn.SINGLE(_xlfn.XLOOKUP(G1474, Vöruskrá!A:A, Vöruskrá!J:J, "")) * I1474 / 100, ""), IF(F1474 = "Réttur", IFERROR(_xlfn.SINGLE(_xlfn.XLOOKUP(G1474, Réttabanki!A:A, Réttabanki!AW:AW, "")) * I1474 / 100, ""), "")))</f>
        <v/>
      </c>
      <c r="Q1474" s="26" t="str">
        <f>IF(OR(F1474 = "", G1474 = "", I1474 = ""), "", IF(F1474 = "Vara", IFERROR(_xlfn.SINGLE(_xlfn.XLOOKUP(G1474, Vöruskrá!A:A, Vöruskrá!N:N, "")) * I1474 / 100, ""), IF(F1474 = "Réttur", IFERROR(_xlfn.SINGLE(_xlfn.XLOOKUP(G1474, Réttabanki!A:A, Réttabanki!BB:BB, "")) * I1474 / 100, ""), "")))</f>
        <v/>
      </c>
    </row>
    <row r="1475" spans="2:17">
      <c r="B1475" s="33" t="str">
        <f>IF(A1475&lt;&gt;"",CHOOSE(WEEKDAY(A1475,2),"Mánudagur","Þriðjudagur","Miðvikudagur","Fimmtudagur","Föstudagur","Laugardagur","Sunnudagur"),IF(B1474&lt;&gt;"",B1474,""))</f>
        <v>Fimmtudagur</v>
      </c>
      <c r="C1475" s="33">
        <f>IF(A1475&lt;&gt;"",WEEKNUM(A1475,21),IF(C1474&lt;&gt;"",C1474,""))</f>
        <v>27</v>
      </c>
      <c r="D1475" s="34"/>
      <c r="E1475" s="34"/>
      <c r="F1475" s="34"/>
      <c r="G1475" s="34"/>
      <c r="H1475" s="34"/>
      <c r="I1475" s="35"/>
      <c r="J1475" s="35"/>
      <c r="K1475" s="36"/>
      <c r="L1475" s="26" t="str">
        <f>IF(OR(F1475 = "", G1475 = ""), "", IF(F1475 = "Vara", IFERROR(_xlfn.SINGLE(_xlfn.XLOOKUP(G1475, Vöruskrá!A:A, Vöruskrá!E:E, "")), ""), IF(F1475 = "Réttur", IFERROR(_xlfn.SINGLE(_xlfn.XLOOKUP(G1475, Réttabanki!A:A, Réttabanki!AS:AS, "")), ""), "")))</f>
        <v/>
      </c>
      <c r="M1475" s="26" t="str">
        <f>IF(OR(F1475 = "", G1475 = ""), "", IF(F1475 = "Vara", IFERROR(_xlfn.SINGLE(_xlfn.XLOOKUP(G1475, Vöruskrá!A:A, Vöruskrá!F:F, "")), ""), IF(F1475 = "Réttur", IFERROR(_xlfn.SINGLE(_xlfn.XLOOKUP(G1475, Réttabanki!A:A, Réttabanki!AT:AT, "")), ""), "")))</f>
        <v/>
      </c>
      <c r="N1475" s="26" t="str">
        <f>IF(OR(F1475 = "", G1475 = ""), "", IF(F1475 = "Vara", IFERROR(_xlfn.SINGLE(_xlfn.XLOOKUP(G1475, Vöruskrá!A:A, Vöruskrá!G:G, "")), ""), IF(F1475 = "Réttur", IFERROR(_xlfn.SINGLE(_xlfn.XLOOKUP(G1475, Réttabanki!A:A, Réttabanki!AU:AU, "")), ""), "")))</f>
        <v/>
      </c>
      <c r="O1475" s="26" t="str">
        <f>IF(OR(F1475 = "", G1475 = "", I1475 = ""), "", IF(F1475 = "Vara", IFERROR(_xlfn.SINGLE(_xlfn.XLOOKUP(G1475, Vöruskrá!A:A, Vöruskrá!I:I, "")) * I1475 / 100, ""), IF(F1475 = "Réttur", IFERROR(_xlfn.SINGLE(_xlfn.XLOOKUP(G1475, Réttabanki!A:A, Réttabanki!AV:AV, "")) * I1475 / 100, ""), "")))</f>
        <v/>
      </c>
      <c r="P1475" s="26" t="str">
        <f>IF(OR(F1475 = "", G1475 = "", I1475 = ""), "", IF(F1475 = "Vara", IFERROR(_xlfn.SINGLE(_xlfn.XLOOKUP(G1475, Vöruskrá!A:A, Vöruskrá!J:J, "")) * I1475 / 100, ""), IF(F1475 = "Réttur", IFERROR(_xlfn.SINGLE(_xlfn.XLOOKUP(G1475, Réttabanki!A:A, Réttabanki!AW:AW, "")) * I1475 / 100, ""), "")))</f>
        <v/>
      </c>
      <c r="Q1475" s="26" t="str">
        <f>IF(OR(F1475 = "", G1475 = "", I1475 = ""), "", IF(F1475 = "Vara", IFERROR(_xlfn.SINGLE(_xlfn.XLOOKUP(G1475, Vöruskrá!A:A, Vöruskrá!N:N, "")) * I1475 / 100, ""), IF(F1475 = "Réttur", IFERROR(_xlfn.SINGLE(_xlfn.XLOOKUP(G1475, Réttabanki!A:A, Réttabanki!BB:BB, "")) * I1475 / 100, ""), "")))</f>
        <v/>
      </c>
    </row>
    <row r="1476" spans="2:17">
      <c r="B1476" s="33" t="str">
        <f>IF(A1476&lt;&gt;"",CHOOSE(WEEKDAY(A1476,2),"Mánudagur","Þriðjudagur","Miðvikudagur","Fimmtudagur","Föstudagur","Laugardagur","Sunnudagur"),IF(B1475&lt;&gt;"",B1475,""))</f>
        <v>Fimmtudagur</v>
      </c>
      <c r="C1476" s="33">
        <f>IF(A1476&lt;&gt;"",WEEKNUM(A1476,21),IF(C1475&lt;&gt;"",C1475,""))</f>
        <v>27</v>
      </c>
      <c r="D1476" s="34"/>
      <c r="E1476" s="34"/>
      <c r="F1476" s="34"/>
      <c r="G1476" s="34"/>
      <c r="H1476" s="34"/>
      <c r="I1476" s="35"/>
      <c r="J1476" s="35"/>
      <c r="K1476" s="36"/>
      <c r="L1476" s="26" t="str">
        <f>IF(OR(F1476 = "", G1476 = ""), "", IF(F1476 = "Vara", IFERROR(_xlfn.SINGLE(_xlfn.XLOOKUP(G1476, Vöruskrá!A:A, Vöruskrá!E:E, "")), ""), IF(F1476 = "Réttur", IFERROR(_xlfn.SINGLE(_xlfn.XLOOKUP(G1476, Réttabanki!A:A, Réttabanki!AS:AS, "")), ""), "")))</f>
        <v/>
      </c>
      <c r="M1476" s="26" t="str">
        <f>IF(OR(F1476 = "", G1476 = ""), "", IF(F1476 = "Vara", IFERROR(_xlfn.SINGLE(_xlfn.XLOOKUP(G1476, Vöruskrá!A:A, Vöruskrá!F:F, "")), ""), IF(F1476 = "Réttur", IFERROR(_xlfn.SINGLE(_xlfn.XLOOKUP(G1476, Réttabanki!A:A, Réttabanki!AT:AT, "")), ""), "")))</f>
        <v/>
      </c>
      <c r="N1476" s="26" t="str">
        <f>IF(OR(F1476 = "", G1476 = ""), "", IF(F1476 = "Vara", IFERROR(_xlfn.SINGLE(_xlfn.XLOOKUP(G1476, Vöruskrá!A:A, Vöruskrá!G:G, "")), ""), IF(F1476 = "Réttur", IFERROR(_xlfn.SINGLE(_xlfn.XLOOKUP(G1476, Réttabanki!A:A, Réttabanki!AU:AU, "")), ""), "")))</f>
        <v/>
      </c>
      <c r="O1476" s="26" t="str">
        <f>IF(OR(F1476 = "", G1476 = "", I1476 = ""), "", IF(F1476 = "Vara", IFERROR(_xlfn.SINGLE(_xlfn.XLOOKUP(G1476, Vöruskrá!A:A, Vöruskrá!I:I, "")) * I1476 / 100, ""), IF(F1476 = "Réttur", IFERROR(_xlfn.SINGLE(_xlfn.XLOOKUP(G1476, Réttabanki!A:A, Réttabanki!AV:AV, "")) * I1476 / 100, ""), "")))</f>
        <v/>
      </c>
      <c r="P1476" s="26" t="str">
        <f>IF(OR(F1476 = "", G1476 = "", I1476 = ""), "", IF(F1476 = "Vara", IFERROR(_xlfn.SINGLE(_xlfn.XLOOKUP(G1476, Vöruskrá!A:A, Vöruskrá!J:J, "")) * I1476 / 100, ""), IF(F1476 = "Réttur", IFERROR(_xlfn.SINGLE(_xlfn.XLOOKUP(G1476, Réttabanki!A:A, Réttabanki!AW:AW, "")) * I1476 / 100, ""), "")))</f>
        <v/>
      </c>
      <c r="Q1476" s="26" t="str">
        <f>IF(OR(F1476 = "", G1476 = "", I1476 = ""), "", IF(F1476 = "Vara", IFERROR(_xlfn.SINGLE(_xlfn.XLOOKUP(G1476, Vöruskrá!A:A, Vöruskrá!N:N, "")) * I1476 / 100, ""), IF(F1476 = "Réttur", IFERROR(_xlfn.SINGLE(_xlfn.XLOOKUP(G1476, Réttabanki!A:A, Réttabanki!BB:BB, "")) * I1476 / 100, ""), "")))</f>
        <v/>
      </c>
    </row>
    <row r="1477" spans="2:17">
      <c r="B1477" s="33" t="str">
        <f>IF(A1477&lt;&gt;"",CHOOSE(WEEKDAY(A1477,2),"Mánudagur","Þriðjudagur","Miðvikudagur","Fimmtudagur","Föstudagur","Laugardagur","Sunnudagur"),IF(B1476&lt;&gt;"",B1476,""))</f>
        <v>Fimmtudagur</v>
      </c>
      <c r="C1477" s="33">
        <f>IF(A1477&lt;&gt;"",WEEKNUM(A1477,21),IF(C1476&lt;&gt;"",C1476,""))</f>
        <v>27</v>
      </c>
      <c r="D1477" s="34"/>
      <c r="E1477" s="34"/>
      <c r="F1477" s="34"/>
      <c r="G1477" s="34"/>
      <c r="H1477" s="34"/>
      <c r="I1477" s="35"/>
      <c r="J1477" s="35"/>
      <c r="K1477" s="36"/>
      <c r="L1477" s="26" t="str">
        <f>IF(OR(F1477 = "", G1477 = ""), "", IF(F1477 = "Vara", IFERROR(_xlfn.SINGLE(_xlfn.XLOOKUP(G1477, Vöruskrá!A:A, Vöruskrá!E:E, "")), ""), IF(F1477 = "Réttur", IFERROR(_xlfn.SINGLE(_xlfn.XLOOKUP(G1477, Réttabanki!A:A, Réttabanki!AS:AS, "")), ""), "")))</f>
        <v/>
      </c>
      <c r="M1477" s="26" t="str">
        <f>IF(OR(F1477 = "", G1477 = ""), "", IF(F1477 = "Vara", IFERROR(_xlfn.SINGLE(_xlfn.XLOOKUP(G1477, Vöruskrá!A:A, Vöruskrá!F:F, "")), ""), IF(F1477 = "Réttur", IFERROR(_xlfn.SINGLE(_xlfn.XLOOKUP(G1477, Réttabanki!A:A, Réttabanki!AT:AT, "")), ""), "")))</f>
        <v/>
      </c>
      <c r="N1477" s="26" t="str">
        <f>IF(OR(F1477 = "", G1477 = ""), "", IF(F1477 = "Vara", IFERROR(_xlfn.SINGLE(_xlfn.XLOOKUP(G1477, Vöruskrá!A:A, Vöruskrá!G:G, "")), ""), IF(F1477 = "Réttur", IFERROR(_xlfn.SINGLE(_xlfn.XLOOKUP(G1477, Réttabanki!A:A, Réttabanki!AU:AU, "")), ""), "")))</f>
        <v/>
      </c>
      <c r="O1477" s="26" t="str">
        <f>IF(OR(F1477 = "", G1477 = "", I1477 = ""), "", IF(F1477 = "Vara", IFERROR(_xlfn.SINGLE(_xlfn.XLOOKUP(G1477, Vöruskrá!A:A, Vöruskrá!I:I, "")) * I1477 / 100, ""), IF(F1477 = "Réttur", IFERROR(_xlfn.SINGLE(_xlfn.XLOOKUP(G1477, Réttabanki!A:A, Réttabanki!AV:AV, "")) * I1477 / 100, ""), "")))</f>
        <v/>
      </c>
      <c r="P1477" s="26" t="str">
        <f>IF(OR(F1477 = "", G1477 = "", I1477 = ""), "", IF(F1477 = "Vara", IFERROR(_xlfn.SINGLE(_xlfn.XLOOKUP(G1477, Vöruskrá!A:A, Vöruskrá!J:J, "")) * I1477 / 100, ""), IF(F1477 = "Réttur", IFERROR(_xlfn.SINGLE(_xlfn.XLOOKUP(G1477, Réttabanki!A:A, Réttabanki!AW:AW, "")) * I1477 / 100, ""), "")))</f>
        <v/>
      </c>
      <c r="Q1477" s="26" t="str">
        <f>IF(OR(F1477 = "", G1477 = "", I1477 = ""), "", IF(F1477 = "Vara", IFERROR(_xlfn.SINGLE(_xlfn.XLOOKUP(G1477, Vöruskrá!A:A, Vöruskrá!N:N, "")) * I1477 / 100, ""), IF(F1477 = "Réttur", IFERROR(_xlfn.SINGLE(_xlfn.XLOOKUP(G1477, Réttabanki!A:A, Réttabanki!BB:BB, "")) * I1477 / 100, ""), "")))</f>
        <v/>
      </c>
    </row>
    <row r="1478" spans="2:17">
      <c r="B1478" s="33" t="str">
        <f>IF(A1478&lt;&gt;"",CHOOSE(WEEKDAY(A1478,2),"Mánudagur","Þriðjudagur","Miðvikudagur","Fimmtudagur","Föstudagur","Laugardagur","Sunnudagur"),IF(B1477&lt;&gt;"",B1477,""))</f>
        <v>Fimmtudagur</v>
      </c>
      <c r="C1478" s="33">
        <f>IF(A1478&lt;&gt;"",WEEKNUM(A1478,21),IF(C1477&lt;&gt;"",C1477,""))</f>
        <v>27</v>
      </c>
      <c r="D1478" s="34"/>
      <c r="E1478" s="34"/>
      <c r="F1478" s="34"/>
      <c r="G1478" s="34"/>
      <c r="H1478" s="34"/>
      <c r="I1478" s="35"/>
      <c r="J1478" s="35"/>
      <c r="K1478" s="36"/>
      <c r="L1478" s="26" t="str">
        <f>IF(OR(F1478 = "", G1478 = ""), "", IF(F1478 = "Vara", IFERROR(_xlfn.SINGLE(_xlfn.XLOOKUP(G1478, Vöruskrá!A:A, Vöruskrá!E:E, "")), ""), IF(F1478 = "Réttur", IFERROR(_xlfn.SINGLE(_xlfn.XLOOKUP(G1478, Réttabanki!A:A, Réttabanki!AS:AS, "")), ""), "")))</f>
        <v/>
      </c>
      <c r="M1478" s="26" t="str">
        <f>IF(OR(F1478 = "", G1478 = ""), "", IF(F1478 = "Vara", IFERROR(_xlfn.SINGLE(_xlfn.XLOOKUP(G1478, Vöruskrá!A:A, Vöruskrá!F:F, "")), ""), IF(F1478 = "Réttur", IFERROR(_xlfn.SINGLE(_xlfn.XLOOKUP(G1478, Réttabanki!A:A, Réttabanki!AT:AT, "")), ""), "")))</f>
        <v/>
      </c>
      <c r="N1478" s="26" t="str">
        <f>IF(OR(F1478 = "", G1478 = ""), "", IF(F1478 = "Vara", IFERROR(_xlfn.SINGLE(_xlfn.XLOOKUP(G1478, Vöruskrá!A:A, Vöruskrá!G:G, "")), ""), IF(F1478 = "Réttur", IFERROR(_xlfn.SINGLE(_xlfn.XLOOKUP(G1478, Réttabanki!A:A, Réttabanki!AU:AU, "")), ""), "")))</f>
        <v/>
      </c>
      <c r="O1478" s="26" t="str">
        <f>IF(OR(F1478 = "", G1478 = "", I1478 = ""), "", IF(F1478 = "Vara", IFERROR(_xlfn.SINGLE(_xlfn.XLOOKUP(G1478, Vöruskrá!A:A, Vöruskrá!I:I, "")) * I1478 / 100, ""), IF(F1478 = "Réttur", IFERROR(_xlfn.SINGLE(_xlfn.XLOOKUP(G1478, Réttabanki!A:A, Réttabanki!AV:AV, "")) * I1478 / 100, ""), "")))</f>
        <v/>
      </c>
      <c r="P1478" s="26" t="str">
        <f>IF(OR(F1478 = "", G1478 = "", I1478 = ""), "", IF(F1478 = "Vara", IFERROR(_xlfn.SINGLE(_xlfn.XLOOKUP(G1478, Vöruskrá!A:A, Vöruskrá!J:J, "")) * I1478 / 100, ""), IF(F1478 = "Réttur", IFERROR(_xlfn.SINGLE(_xlfn.XLOOKUP(G1478, Réttabanki!A:A, Réttabanki!AW:AW, "")) * I1478 / 100, ""), "")))</f>
        <v/>
      </c>
      <c r="Q1478" s="26" t="str">
        <f>IF(OR(F1478 = "", G1478 = "", I1478 = ""), "", IF(F1478 = "Vara", IFERROR(_xlfn.SINGLE(_xlfn.XLOOKUP(G1478, Vöruskrá!A:A, Vöruskrá!N:N, "")) * I1478 / 100, ""), IF(F1478 = "Réttur", IFERROR(_xlfn.SINGLE(_xlfn.XLOOKUP(G1478, Réttabanki!A:A, Réttabanki!BB:BB, "")) * I1478 / 100, ""), "")))</f>
        <v/>
      </c>
    </row>
    <row r="1479" spans="2:17">
      <c r="B1479" s="33" t="str">
        <f>IF(A1479&lt;&gt;"",CHOOSE(WEEKDAY(A1479,2),"Mánudagur","Þriðjudagur","Miðvikudagur","Fimmtudagur","Föstudagur","Laugardagur","Sunnudagur"),IF(B1478&lt;&gt;"",B1478,""))</f>
        <v>Fimmtudagur</v>
      </c>
      <c r="C1479" s="33">
        <f>IF(A1479&lt;&gt;"",WEEKNUM(A1479,21),IF(C1478&lt;&gt;"",C1478,""))</f>
        <v>27</v>
      </c>
      <c r="D1479" s="34"/>
      <c r="E1479" s="34"/>
      <c r="F1479" s="34"/>
      <c r="G1479" s="34"/>
      <c r="H1479" s="34"/>
      <c r="I1479" s="35"/>
      <c r="J1479" s="35"/>
      <c r="K1479" s="36"/>
      <c r="L1479" s="26" t="str">
        <f>IF(OR(F1479 = "", G1479 = ""), "", IF(F1479 = "Vara", IFERROR(_xlfn.SINGLE(_xlfn.XLOOKUP(G1479, Vöruskrá!A:A, Vöruskrá!E:E, "")), ""), IF(F1479 = "Réttur", IFERROR(_xlfn.SINGLE(_xlfn.XLOOKUP(G1479, Réttabanki!A:A, Réttabanki!AS:AS, "")), ""), "")))</f>
        <v/>
      </c>
      <c r="M1479" s="26" t="str">
        <f>IF(OR(F1479 = "", G1479 = ""), "", IF(F1479 = "Vara", IFERROR(_xlfn.SINGLE(_xlfn.XLOOKUP(G1479, Vöruskrá!A:A, Vöruskrá!F:F, "")), ""), IF(F1479 = "Réttur", IFERROR(_xlfn.SINGLE(_xlfn.XLOOKUP(G1479, Réttabanki!A:A, Réttabanki!AT:AT, "")), ""), "")))</f>
        <v/>
      </c>
      <c r="N1479" s="26" t="str">
        <f>IF(OR(F1479 = "", G1479 = ""), "", IF(F1479 = "Vara", IFERROR(_xlfn.SINGLE(_xlfn.XLOOKUP(G1479, Vöruskrá!A:A, Vöruskrá!G:G, "")), ""), IF(F1479 = "Réttur", IFERROR(_xlfn.SINGLE(_xlfn.XLOOKUP(G1479, Réttabanki!A:A, Réttabanki!AU:AU, "")), ""), "")))</f>
        <v/>
      </c>
      <c r="O1479" s="26" t="str">
        <f>IF(OR(F1479 = "", G1479 = "", I1479 = ""), "", IF(F1479 = "Vara", IFERROR(_xlfn.SINGLE(_xlfn.XLOOKUP(G1479, Vöruskrá!A:A, Vöruskrá!I:I, "")) * I1479 / 100, ""), IF(F1479 = "Réttur", IFERROR(_xlfn.SINGLE(_xlfn.XLOOKUP(G1479, Réttabanki!A:A, Réttabanki!AV:AV, "")) * I1479 / 100, ""), "")))</f>
        <v/>
      </c>
      <c r="P1479" s="26" t="str">
        <f>IF(OR(F1479 = "", G1479 = "", I1479 = ""), "", IF(F1479 = "Vara", IFERROR(_xlfn.SINGLE(_xlfn.XLOOKUP(G1479, Vöruskrá!A:A, Vöruskrá!J:J, "")) * I1479 / 100, ""), IF(F1479 = "Réttur", IFERROR(_xlfn.SINGLE(_xlfn.XLOOKUP(G1479, Réttabanki!A:A, Réttabanki!AW:AW, "")) * I1479 / 100, ""), "")))</f>
        <v/>
      </c>
      <c r="Q1479" s="26" t="str">
        <f>IF(OR(F1479 = "", G1479 = "", I1479 = ""), "", IF(F1479 = "Vara", IFERROR(_xlfn.SINGLE(_xlfn.XLOOKUP(G1479, Vöruskrá!A:A, Vöruskrá!N:N, "")) * I1479 / 100, ""), IF(F1479 = "Réttur", IFERROR(_xlfn.SINGLE(_xlfn.XLOOKUP(G1479, Réttabanki!A:A, Réttabanki!BB:BB, "")) * I1479 / 100, ""), "")))</f>
        <v/>
      </c>
    </row>
    <row r="1480" spans="2:17">
      <c r="B1480" s="33" t="str">
        <f>IF(A1480&lt;&gt;"",CHOOSE(WEEKDAY(A1480,2),"Mánudagur","Þriðjudagur","Miðvikudagur","Fimmtudagur","Föstudagur","Laugardagur","Sunnudagur"),IF(B1479&lt;&gt;"",B1479,""))</f>
        <v>Fimmtudagur</v>
      </c>
      <c r="C1480" s="33">
        <f>IF(A1480&lt;&gt;"",WEEKNUM(A1480,21),IF(C1479&lt;&gt;"",C1479,""))</f>
        <v>27</v>
      </c>
      <c r="D1480" s="34"/>
      <c r="E1480" s="34"/>
      <c r="F1480" s="34"/>
      <c r="G1480" s="34"/>
      <c r="H1480" s="34"/>
      <c r="I1480" s="35"/>
      <c r="J1480" s="35"/>
      <c r="K1480" s="36"/>
      <c r="L1480" s="26" t="str">
        <f>IF(OR(F1480 = "", G1480 = ""), "", IF(F1480 = "Vara", IFERROR(_xlfn.SINGLE(_xlfn.XLOOKUP(G1480, Vöruskrá!A:A, Vöruskrá!E:E, "")), ""), IF(F1480 = "Réttur", IFERROR(_xlfn.SINGLE(_xlfn.XLOOKUP(G1480, Réttabanki!A:A, Réttabanki!AS:AS, "")), ""), "")))</f>
        <v/>
      </c>
      <c r="M1480" s="26" t="str">
        <f>IF(OR(F1480 = "", G1480 = ""), "", IF(F1480 = "Vara", IFERROR(_xlfn.SINGLE(_xlfn.XLOOKUP(G1480, Vöruskrá!A:A, Vöruskrá!F:F, "")), ""), IF(F1480 = "Réttur", IFERROR(_xlfn.SINGLE(_xlfn.XLOOKUP(G1480, Réttabanki!A:A, Réttabanki!AT:AT, "")), ""), "")))</f>
        <v/>
      </c>
      <c r="N1480" s="26" t="str">
        <f>IF(OR(F1480 = "", G1480 = ""), "", IF(F1480 = "Vara", IFERROR(_xlfn.SINGLE(_xlfn.XLOOKUP(G1480, Vöruskrá!A:A, Vöruskrá!G:G, "")), ""), IF(F1480 = "Réttur", IFERROR(_xlfn.SINGLE(_xlfn.XLOOKUP(G1480, Réttabanki!A:A, Réttabanki!AU:AU, "")), ""), "")))</f>
        <v/>
      </c>
      <c r="O1480" s="26" t="str">
        <f>IF(OR(F1480 = "", G1480 = "", I1480 = ""), "", IF(F1480 = "Vara", IFERROR(_xlfn.SINGLE(_xlfn.XLOOKUP(G1480, Vöruskrá!A:A, Vöruskrá!I:I, "")) * I1480 / 100, ""), IF(F1480 = "Réttur", IFERROR(_xlfn.SINGLE(_xlfn.XLOOKUP(G1480, Réttabanki!A:A, Réttabanki!AV:AV, "")) * I1480 / 100, ""), "")))</f>
        <v/>
      </c>
      <c r="P1480" s="26" t="str">
        <f>IF(OR(F1480 = "", G1480 = "", I1480 = ""), "", IF(F1480 = "Vara", IFERROR(_xlfn.SINGLE(_xlfn.XLOOKUP(G1480, Vöruskrá!A:A, Vöruskrá!J:J, "")) * I1480 / 100, ""), IF(F1480 = "Réttur", IFERROR(_xlfn.SINGLE(_xlfn.XLOOKUP(G1480, Réttabanki!A:A, Réttabanki!AW:AW, "")) * I1480 / 100, ""), "")))</f>
        <v/>
      </c>
      <c r="Q1480" s="26" t="str">
        <f>IF(OR(F1480 = "", G1480 = "", I1480 = ""), "", IF(F1480 = "Vara", IFERROR(_xlfn.SINGLE(_xlfn.XLOOKUP(G1480, Vöruskrá!A:A, Vöruskrá!N:N, "")) * I1480 / 100, ""), IF(F1480 = "Réttur", IFERROR(_xlfn.SINGLE(_xlfn.XLOOKUP(G1480, Réttabanki!A:A, Réttabanki!BB:BB, "")) * I1480 / 100, ""), "")))</f>
        <v/>
      </c>
    </row>
    <row r="1481" spans="2:17">
      <c r="B1481" s="33" t="str">
        <f>IF(A1481&lt;&gt;"",CHOOSE(WEEKDAY(A1481,2),"Mánudagur","Þriðjudagur","Miðvikudagur","Fimmtudagur","Föstudagur","Laugardagur","Sunnudagur"),IF(B1480&lt;&gt;"",B1480,""))</f>
        <v>Fimmtudagur</v>
      </c>
      <c r="C1481" s="33">
        <f>IF(A1481&lt;&gt;"",WEEKNUM(A1481,21),IF(C1480&lt;&gt;"",C1480,""))</f>
        <v>27</v>
      </c>
      <c r="D1481" s="34"/>
      <c r="E1481" s="34"/>
      <c r="F1481" s="34"/>
      <c r="G1481" s="34"/>
      <c r="H1481" s="34"/>
      <c r="I1481" s="35"/>
      <c r="J1481" s="35"/>
      <c r="K1481" s="36"/>
      <c r="L1481" s="26" t="str">
        <f>IF(OR(F1481 = "", G1481 = ""), "", IF(F1481 = "Vara", IFERROR(_xlfn.SINGLE(_xlfn.XLOOKUP(G1481, Vöruskrá!A:A, Vöruskrá!E:E, "")), ""), IF(F1481 = "Réttur", IFERROR(_xlfn.SINGLE(_xlfn.XLOOKUP(G1481, Réttabanki!A:A, Réttabanki!AS:AS, "")), ""), "")))</f>
        <v/>
      </c>
      <c r="M1481" s="26" t="str">
        <f>IF(OR(F1481 = "", G1481 = ""), "", IF(F1481 = "Vara", IFERROR(_xlfn.SINGLE(_xlfn.XLOOKUP(G1481, Vöruskrá!A:A, Vöruskrá!F:F, "")), ""), IF(F1481 = "Réttur", IFERROR(_xlfn.SINGLE(_xlfn.XLOOKUP(G1481, Réttabanki!A:A, Réttabanki!AT:AT, "")), ""), "")))</f>
        <v/>
      </c>
      <c r="N1481" s="26" t="str">
        <f>IF(OR(F1481 = "", G1481 = ""), "", IF(F1481 = "Vara", IFERROR(_xlfn.SINGLE(_xlfn.XLOOKUP(G1481, Vöruskrá!A:A, Vöruskrá!G:G, "")), ""), IF(F1481 = "Réttur", IFERROR(_xlfn.SINGLE(_xlfn.XLOOKUP(G1481, Réttabanki!A:A, Réttabanki!AU:AU, "")), ""), "")))</f>
        <v/>
      </c>
      <c r="O1481" s="26" t="str">
        <f>IF(OR(F1481 = "", G1481 = "", I1481 = ""), "", IF(F1481 = "Vara", IFERROR(_xlfn.SINGLE(_xlfn.XLOOKUP(G1481, Vöruskrá!A:A, Vöruskrá!I:I, "")) * I1481 / 100, ""), IF(F1481 = "Réttur", IFERROR(_xlfn.SINGLE(_xlfn.XLOOKUP(G1481, Réttabanki!A:A, Réttabanki!AV:AV, "")) * I1481 / 100, ""), "")))</f>
        <v/>
      </c>
      <c r="P1481" s="26" t="str">
        <f>IF(OR(F1481 = "", G1481 = "", I1481 = ""), "", IF(F1481 = "Vara", IFERROR(_xlfn.SINGLE(_xlfn.XLOOKUP(G1481, Vöruskrá!A:A, Vöruskrá!J:J, "")) * I1481 / 100, ""), IF(F1481 = "Réttur", IFERROR(_xlfn.SINGLE(_xlfn.XLOOKUP(G1481, Réttabanki!A:A, Réttabanki!AW:AW, "")) * I1481 / 100, ""), "")))</f>
        <v/>
      </c>
      <c r="Q1481" s="26" t="str">
        <f>IF(OR(F1481 = "", G1481 = "", I1481 = ""), "", IF(F1481 = "Vara", IFERROR(_xlfn.SINGLE(_xlfn.XLOOKUP(G1481, Vöruskrá!A:A, Vöruskrá!N:N, "")) * I1481 / 100, ""), IF(F1481 = "Réttur", IFERROR(_xlfn.SINGLE(_xlfn.XLOOKUP(G1481, Réttabanki!A:A, Réttabanki!BB:BB, "")) * I1481 / 100, ""), "")))</f>
        <v/>
      </c>
    </row>
    <row r="1482" spans="2:17">
      <c r="B1482" s="33" t="str">
        <f>IF(A1482&lt;&gt;"",CHOOSE(WEEKDAY(A1482,2),"Mánudagur","Þriðjudagur","Miðvikudagur","Fimmtudagur","Föstudagur","Laugardagur","Sunnudagur"),IF(B1481&lt;&gt;"",B1481,""))</f>
        <v>Fimmtudagur</v>
      </c>
      <c r="C1482" s="33">
        <f>IF(A1482&lt;&gt;"",WEEKNUM(A1482,21),IF(C1481&lt;&gt;"",C1481,""))</f>
        <v>27</v>
      </c>
      <c r="D1482" s="34"/>
      <c r="E1482" s="34"/>
      <c r="F1482" s="34"/>
      <c r="G1482" s="34"/>
      <c r="H1482" s="34"/>
      <c r="I1482" s="35"/>
      <c r="J1482" s="35"/>
      <c r="K1482" s="36"/>
      <c r="L1482" s="26" t="str">
        <f>IF(OR(F1482 = "", G1482 = ""), "", IF(F1482 = "Vara", IFERROR(_xlfn.SINGLE(_xlfn.XLOOKUP(G1482, Vöruskrá!A:A, Vöruskrá!E:E, "")), ""), IF(F1482 = "Réttur", IFERROR(_xlfn.SINGLE(_xlfn.XLOOKUP(G1482, Réttabanki!A:A, Réttabanki!AS:AS, "")), ""), "")))</f>
        <v/>
      </c>
      <c r="M1482" s="26" t="str">
        <f>IF(OR(F1482 = "", G1482 = ""), "", IF(F1482 = "Vara", IFERROR(_xlfn.SINGLE(_xlfn.XLOOKUP(G1482, Vöruskrá!A:A, Vöruskrá!F:F, "")), ""), IF(F1482 = "Réttur", IFERROR(_xlfn.SINGLE(_xlfn.XLOOKUP(G1482, Réttabanki!A:A, Réttabanki!AT:AT, "")), ""), "")))</f>
        <v/>
      </c>
      <c r="N1482" s="26" t="str">
        <f>IF(OR(F1482 = "", G1482 = ""), "", IF(F1482 = "Vara", IFERROR(_xlfn.SINGLE(_xlfn.XLOOKUP(G1482, Vöruskrá!A:A, Vöruskrá!G:G, "")), ""), IF(F1482 = "Réttur", IFERROR(_xlfn.SINGLE(_xlfn.XLOOKUP(G1482, Réttabanki!A:A, Réttabanki!AU:AU, "")), ""), "")))</f>
        <v/>
      </c>
      <c r="O1482" s="26" t="str">
        <f>IF(OR(F1482 = "", G1482 = "", I1482 = ""), "", IF(F1482 = "Vara", IFERROR(_xlfn.SINGLE(_xlfn.XLOOKUP(G1482, Vöruskrá!A:A, Vöruskrá!I:I, "")) * I1482 / 100, ""), IF(F1482 = "Réttur", IFERROR(_xlfn.SINGLE(_xlfn.XLOOKUP(G1482, Réttabanki!A:A, Réttabanki!AV:AV, "")) * I1482 / 100, ""), "")))</f>
        <v/>
      </c>
      <c r="P1482" s="26" t="str">
        <f>IF(OR(F1482 = "", G1482 = "", I1482 = ""), "", IF(F1482 = "Vara", IFERROR(_xlfn.SINGLE(_xlfn.XLOOKUP(G1482, Vöruskrá!A:A, Vöruskrá!J:J, "")) * I1482 / 100, ""), IF(F1482 = "Réttur", IFERROR(_xlfn.SINGLE(_xlfn.XLOOKUP(G1482, Réttabanki!A:A, Réttabanki!AW:AW, "")) * I1482 / 100, ""), "")))</f>
        <v/>
      </c>
      <c r="Q1482" s="26" t="str">
        <f>IF(OR(F1482 = "", G1482 = "", I1482 = ""), "", IF(F1482 = "Vara", IFERROR(_xlfn.SINGLE(_xlfn.XLOOKUP(G1482, Vöruskrá!A:A, Vöruskrá!N:N, "")) * I1482 / 100, ""), IF(F1482 = "Réttur", IFERROR(_xlfn.SINGLE(_xlfn.XLOOKUP(G1482, Réttabanki!A:A, Réttabanki!BB:BB, "")) * I1482 / 100, ""), "")))</f>
        <v/>
      </c>
    </row>
    <row r="1483" spans="2:17">
      <c r="B1483" s="33" t="str">
        <f>IF(A1483&lt;&gt;"",CHOOSE(WEEKDAY(A1483,2),"Mánudagur","Þriðjudagur","Miðvikudagur","Fimmtudagur","Föstudagur","Laugardagur","Sunnudagur"),IF(B1482&lt;&gt;"",B1482,""))</f>
        <v>Fimmtudagur</v>
      </c>
      <c r="C1483" s="33">
        <f>IF(A1483&lt;&gt;"",WEEKNUM(A1483,21),IF(C1482&lt;&gt;"",C1482,""))</f>
        <v>27</v>
      </c>
      <c r="D1483" s="34"/>
      <c r="E1483" s="34"/>
      <c r="F1483" s="34"/>
      <c r="G1483" s="34"/>
      <c r="H1483" s="34"/>
      <c r="I1483" s="35"/>
      <c r="J1483" s="35"/>
      <c r="K1483" s="36"/>
      <c r="L1483" s="26" t="str">
        <f>IF(OR(F1483 = "", G1483 = ""), "", IF(F1483 = "Vara", IFERROR(_xlfn.SINGLE(_xlfn.XLOOKUP(G1483, Vöruskrá!A:A, Vöruskrá!E:E, "")), ""), IF(F1483 = "Réttur", IFERROR(_xlfn.SINGLE(_xlfn.XLOOKUP(G1483, Réttabanki!A:A, Réttabanki!AS:AS, "")), ""), "")))</f>
        <v/>
      </c>
      <c r="M1483" s="26" t="str">
        <f>IF(OR(F1483 = "", G1483 = ""), "", IF(F1483 = "Vara", IFERROR(_xlfn.SINGLE(_xlfn.XLOOKUP(G1483, Vöruskrá!A:A, Vöruskrá!F:F, "")), ""), IF(F1483 = "Réttur", IFERROR(_xlfn.SINGLE(_xlfn.XLOOKUP(G1483, Réttabanki!A:A, Réttabanki!AT:AT, "")), ""), "")))</f>
        <v/>
      </c>
      <c r="N1483" s="26" t="str">
        <f>IF(OR(F1483 = "", G1483 = ""), "", IF(F1483 = "Vara", IFERROR(_xlfn.SINGLE(_xlfn.XLOOKUP(G1483, Vöruskrá!A:A, Vöruskrá!G:G, "")), ""), IF(F1483 = "Réttur", IFERROR(_xlfn.SINGLE(_xlfn.XLOOKUP(G1483, Réttabanki!A:A, Réttabanki!AU:AU, "")), ""), "")))</f>
        <v/>
      </c>
      <c r="O1483" s="26" t="str">
        <f>IF(OR(F1483 = "", G1483 = "", I1483 = ""), "", IF(F1483 = "Vara", IFERROR(_xlfn.SINGLE(_xlfn.XLOOKUP(G1483, Vöruskrá!A:A, Vöruskrá!I:I, "")) * I1483 / 100, ""), IF(F1483 = "Réttur", IFERROR(_xlfn.SINGLE(_xlfn.XLOOKUP(G1483, Réttabanki!A:A, Réttabanki!AV:AV, "")) * I1483 / 100, ""), "")))</f>
        <v/>
      </c>
      <c r="P1483" s="26" t="str">
        <f>IF(OR(F1483 = "", G1483 = "", I1483 = ""), "", IF(F1483 = "Vara", IFERROR(_xlfn.SINGLE(_xlfn.XLOOKUP(G1483, Vöruskrá!A:A, Vöruskrá!J:J, "")) * I1483 / 100, ""), IF(F1483 = "Réttur", IFERROR(_xlfn.SINGLE(_xlfn.XLOOKUP(G1483, Réttabanki!A:A, Réttabanki!AW:AW, "")) * I1483 / 100, ""), "")))</f>
        <v/>
      </c>
      <c r="Q1483" s="26" t="str">
        <f>IF(OR(F1483 = "", G1483 = "", I1483 = ""), "", IF(F1483 = "Vara", IFERROR(_xlfn.SINGLE(_xlfn.XLOOKUP(G1483, Vöruskrá!A:A, Vöruskrá!N:N, "")) * I1483 / 100, ""), IF(F1483 = "Réttur", IFERROR(_xlfn.SINGLE(_xlfn.XLOOKUP(G1483, Réttabanki!A:A, Réttabanki!BB:BB, "")) * I1483 / 100, ""), "")))</f>
        <v/>
      </c>
    </row>
    <row r="1484" spans="2:17">
      <c r="B1484" s="33" t="str">
        <f>IF(A1484&lt;&gt;"",CHOOSE(WEEKDAY(A1484,2),"Mánudagur","Þriðjudagur","Miðvikudagur","Fimmtudagur","Föstudagur","Laugardagur","Sunnudagur"),IF(B1483&lt;&gt;"",B1483,""))</f>
        <v>Fimmtudagur</v>
      </c>
      <c r="C1484" s="33">
        <f>IF(A1484&lt;&gt;"",WEEKNUM(A1484,21),IF(C1483&lt;&gt;"",C1483,""))</f>
        <v>27</v>
      </c>
      <c r="D1484" s="34"/>
      <c r="E1484" s="34"/>
      <c r="F1484" s="34"/>
      <c r="G1484" s="34"/>
      <c r="H1484" s="34"/>
      <c r="I1484" s="35"/>
      <c r="J1484" s="35"/>
      <c r="K1484" s="36"/>
      <c r="L1484" s="26" t="str">
        <f>IF(OR(F1484 = "", G1484 = ""), "", IF(F1484 = "Vara", IFERROR(_xlfn.SINGLE(_xlfn.XLOOKUP(G1484, Vöruskrá!A:A, Vöruskrá!E:E, "")), ""), IF(F1484 = "Réttur", IFERROR(_xlfn.SINGLE(_xlfn.XLOOKUP(G1484, Réttabanki!A:A, Réttabanki!AS:AS, "")), ""), "")))</f>
        <v/>
      </c>
      <c r="M1484" s="26" t="str">
        <f>IF(OR(F1484 = "", G1484 = ""), "", IF(F1484 = "Vara", IFERROR(_xlfn.SINGLE(_xlfn.XLOOKUP(G1484, Vöruskrá!A:A, Vöruskrá!F:F, "")), ""), IF(F1484 = "Réttur", IFERROR(_xlfn.SINGLE(_xlfn.XLOOKUP(G1484, Réttabanki!A:A, Réttabanki!AT:AT, "")), ""), "")))</f>
        <v/>
      </c>
      <c r="N1484" s="26" t="str">
        <f>IF(OR(F1484 = "", G1484 = ""), "", IF(F1484 = "Vara", IFERROR(_xlfn.SINGLE(_xlfn.XLOOKUP(G1484, Vöruskrá!A:A, Vöruskrá!G:G, "")), ""), IF(F1484 = "Réttur", IFERROR(_xlfn.SINGLE(_xlfn.XLOOKUP(G1484, Réttabanki!A:A, Réttabanki!AU:AU, "")), ""), "")))</f>
        <v/>
      </c>
      <c r="O1484" s="26" t="str">
        <f>IF(OR(F1484 = "", G1484 = "", I1484 = ""), "", IF(F1484 = "Vara", IFERROR(_xlfn.SINGLE(_xlfn.XLOOKUP(G1484, Vöruskrá!A:A, Vöruskrá!I:I, "")) * I1484 / 100, ""), IF(F1484 = "Réttur", IFERROR(_xlfn.SINGLE(_xlfn.XLOOKUP(G1484, Réttabanki!A:A, Réttabanki!AV:AV, "")) * I1484 / 100, ""), "")))</f>
        <v/>
      </c>
      <c r="P1484" s="26" t="str">
        <f>IF(OR(F1484 = "", G1484 = "", I1484 = ""), "", IF(F1484 = "Vara", IFERROR(_xlfn.SINGLE(_xlfn.XLOOKUP(G1484, Vöruskrá!A:A, Vöruskrá!J:J, "")) * I1484 / 100, ""), IF(F1484 = "Réttur", IFERROR(_xlfn.SINGLE(_xlfn.XLOOKUP(G1484, Réttabanki!A:A, Réttabanki!AW:AW, "")) * I1484 / 100, ""), "")))</f>
        <v/>
      </c>
      <c r="Q1484" s="26" t="str">
        <f>IF(OR(F1484 = "", G1484 = "", I1484 = ""), "", IF(F1484 = "Vara", IFERROR(_xlfn.SINGLE(_xlfn.XLOOKUP(G1484, Vöruskrá!A:A, Vöruskrá!N:N, "")) * I1484 / 100, ""), IF(F1484 = "Réttur", IFERROR(_xlfn.SINGLE(_xlfn.XLOOKUP(G1484, Réttabanki!A:A, Réttabanki!BB:BB, "")) * I1484 / 100, ""), "")))</f>
        <v/>
      </c>
    </row>
    <row r="1485" spans="2:17">
      <c r="B1485" s="33" t="str">
        <f>IF(A1485&lt;&gt;"",CHOOSE(WEEKDAY(A1485,2),"Mánudagur","Þriðjudagur","Miðvikudagur","Fimmtudagur","Föstudagur","Laugardagur","Sunnudagur"),IF(B1484&lt;&gt;"",B1484,""))</f>
        <v>Fimmtudagur</v>
      </c>
      <c r="C1485" s="33">
        <f>IF(A1485&lt;&gt;"",WEEKNUM(A1485,21),IF(C1484&lt;&gt;"",C1484,""))</f>
        <v>27</v>
      </c>
      <c r="D1485" s="34"/>
      <c r="E1485" s="34"/>
      <c r="F1485" s="34"/>
      <c r="G1485" s="34"/>
      <c r="H1485" s="34"/>
      <c r="I1485" s="35"/>
      <c r="J1485" s="35"/>
      <c r="K1485" s="36"/>
      <c r="L1485" s="26" t="str">
        <f>IF(OR(F1485 = "", G1485 = ""), "", IF(F1485 = "Vara", IFERROR(_xlfn.SINGLE(_xlfn.XLOOKUP(G1485, Vöruskrá!A:A, Vöruskrá!E:E, "")), ""), IF(F1485 = "Réttur", IFERROR(_xlfn.SINGLE(_xlfn.XLOOKUP(G1485, Réttabanki!A:A, Réttabanki!AS:AS, "")), ""), "")))</f>
        <v/>
      </c>
      <c r="M1485" s="26" t="str">
        <f>IF(OR(F1485 = "", G1485 = ""), "", IF(F1485 = "Vara", IFERROR(_xlfn.SINGLE(_xlfn.XLOOKUP(G1485, Vöruskrá!A:A, Vöruskrá!F:F, "")), ""), IF(F1485 = "Réttur", IFERROR(_xlfn.SINGLE(_xlfn.XLOOKUP(G1485, Réttabanki!A:A, Réttabanki!AT:AT, "")), ""), "")))</f>
        <v/>
      </c>
      <c r="N1485" s="26" t="str">
        <f>IF(OR(F1485 = "", G1485 = ""), "", IF(F1485 = "Vara", IFERROR(_xlfn.SINGLE(_xlfn.XLOOKUP(G1485, Vöruskrá!A:A, Vöruskrá!G:G, "")), ""), IF(F1485 = "Réttur", IFERROR(_xlfn.SINGLE(_xlfn.XLOOKUP(G1485, Réttabanki!A:A, Réttabanki!AU:AU, "")), ""), "")))</f>
        <v/>
      </c>
      <c r="O1485" s="26" t="str">
        <f>IF(OR(F1485 = "", G1485 = "", I1485 = ""), "", IF(F1485 = "Vara", IFERROR(_xlfn.SINGLE(_xlfn.XLOOKUP(G1485, Vöruskrá!A:A, Vöruskrá!I:I, "")) * I1485 / 100, ""), IF(F1485 = "Réttur", IFERROR(_xlfn.SINGLE(_xlfn.XLOOKUP(G1485, Réttabanki!A:A, Réttabanki!AV:AV, "")) * I1485 / 100, ""), "")))</f>
        <v/>
      </c>
      <c r="P1485" s="26" t="str">
        <f>IF(OR(F1485 = "", G1485 = "", I1485 = ""), "", IF(F1485 = "Vara", IFERROR(_xlfn.SINGLE(_xlfn.XLOOKUP(G1485, Vöruskrá!A:A, Vöruskrá!J:J, "")) * I1485 / 100, ""), IF(F1485 = "Réttur", IFERROR(_xlfn.SINGLE(_xlfn.XLOOKUP(G1485, Réttabanki!A:A, Réttabanki!AW:AW, "")) * I1485 / 100, ""), "")))</f>
        <v/>
      </c>
      <c r="Q1485" s="26" t="str">
        <f>IF(OR(F1485 = "", G1485 = "", I1485 = ""), "", IF(F1485 = "Vara", IFERROR(_xlfn.SINGLE(_xlfn.XLOOKUP(G1485, Vöruskrá!A:A, Vöruskrá!N:N, "")) * I1485 / 100, ""), IF(F1485 = "Réttur", IFERROR(_xlfn.SINGLE(_xlfn.XLOOKUP(G1485, Réttabanki!A:A, Réttabanki!BB:BB, "")) * I1485 / 100, ""), "")))</f>
        <v/>
      </c>
    </row>
    <row r="1486" spans="2:17">
      <c r="B1486" s="33" t="str">
        <f>IF(A1486&lt;&gt;"",CHOOSE(WEEKDAY(A1486,2),"Mánudagur","Þriðjudagur","Miðvikudagur","Fimmtudagur","Föstudagur","Laugardagur","Sunnudagur"),IF(B1485&lt;&gt;"",B1485,""))</f>
        <v>Fimmtudagur</v>
      </c>
      <c r="C1486" s="33">
        <f>IF(A1486&lt;&gt;"",WEEKNUM(A1486,21),IF(C1485&lt;&gt;"",C1485,""))</f>
        <v>27</v>
      </c>
      <c r="D1486" s="34"/>
      <c r="E1486" s="34"/>
      <c r="F1486" s="34"/>
      <c r="G1486" s="34"/>
      <c r="H1486" s="34"/>
      <c r="I1486" s="35"/>
      <c r="J1486" s="35"/>
      <c r="K1486" s="36"/>
      <c r="L1486" s="26" t="str">
        <f>IF(OR(F1486 = "", G1486 = ""), "", IF(F1486 = "Vara", IFERROR(_xlfn.SINGLE(_xlfn.XLOOKUP(G1486, Vöruskrá!A:A, Vöruskrá!E:E, "")), ""), IF(F1486 = "Réttur", IFERROR(_xlfn.SINGLE(_xlfn.XLOOKUP(G1486, Réttabanki!A:A, Réttabanki!AS:AS, "")), ""), "")))</f>
        <v/>
      </c>
      <c r="M1486" s="26" t="str">
        <f>IF(OR(F1486 = "", G1486 = ""), "", IF(F1486 = "Vara", IFERROR(_xlfn.SINGLE(_xlfn.XLOOKUP(G1486, Vöruskrá!A:A, Vöruskrá!F:F, "")), ""), IF(F1486 = "Réttur", IFERROR(_xlfn.SINGLE(_xlfn.XLOOKUP(G1486, Réttabanki!A:A, Réttabanki!AT:AT, "")), ""), "")))</f>
        <v/>
      </c>
      <c r="N1486" s="26" t="str">
        <f>IF(OR(F1486 = "", G1486 = ""), "", IF(F1486 = "Vara", IFERROR(_xlfn.SINGLE(_xlfn.XLOOKUP(G1486, Vöruskrá!A:A, Vöruskrá!G:G, "")), ""), IF(F1486 = "Réttur", IFERROR(_xlfn.SINGLE(_xlfn.XLOOKUP(G1486, Réttabanki!A:A, Réttabanki!AU:AU, "")), ""), "")))</f>
        <v/>
      </c>
      <c r="O1486" s="26" t="str">
        <f>IF(OR(F1486 = "", G1486 = "", I1486 = ""), "", IF(F1486 = "Vara", IFERROR(_xlfn.SINGLE(_xlfn.XLOOKUP(G1486, Vöruskrá!A:A, Vöruskrá!I:I, "")) * I1486 / 100, ""), IF(F1486 = "Réttur", IFERROR(_xlfn.SINGLE(_xlfn.XLOOKUP(G1486, Réttabanki!A:A, Réttabanki!AV:AV, "")) * I1486 / 100, ""), "")))</f>
        <v/>
      </c>
      <c r="P1486" s="26" t="str">
        <f>IF(OR(F1486 = "", G1486 = "", I1486 = ""), "", IF(F1486 = "Vara", IFERROR(_xlfn.SINGLE(_xlfn.XLOOKUP(G1486, Vöruskrá!A:A, Vöruskrá!J:J, "")) * I1486 / 100, ""), IF(F1486 = "Réttur", IFERROR(_xlfn.SINGLE(_xlfn.XLOOKUP(G1486, Réttabanki!A:A, Réttabanki!AW:AW, "")) * I1486 / 100, ""), "")))</f>
        <v/>
      </c>
      <c r="Q1486" s="26" t="str">
        <f>IF(OR(F1486 = "", G1486 = "", I1486 = ""), "", IF(F1486 = "Vara", IFERROR(_xlfn.SINGLE(_xlfn.XLOOKUP(G1486, Vöruskrá!A:A, Vöruskrá!N:N, "")) * I1486 / 100, ""), IF(F1486 = "Réttur", IFERROR(_xlfn.SINGLE(_xlfn.XLOOKUP(G1486, Réttabanki!A:A, Réttabanki!BB:BB, "")) * I1486 / 100, ""), "")))</f>
        <v/>
      </c>
    </row>
    <row r="1487" spans="2:17">
      <c r="B1487" s="33" t="str">
        <f>IF(A1487&lt;&gt;"",CHOOSE(WEEKDAY(A1487,2),"Mánudagur","Þriðjudagur","Miðvikudagur","Fimmtudagur","Föstudagur","Laugardagur","Sunnudagur"),IF(B1486&lt;&gt;"",B1486,""))</f>
        <v>Fimmtudagur</v>
      </c>
      <c r="C1487" s="33">
        <f>IF(A1487&lt;&gt;"",WEEKNUM(A1487,21),IF(C1486&lt;&gt;"",C1486,""))</f>
        <v>27</v>
      </c>
      <c r="D1487" s="34"/>
      <c r="E1487" s="34"/>
      <c r="F1487" s="34"/>
      <c r="G1487" s="34"/>
      <c r="H1487" s="34"/>
      <c r="I1487" s="35"/>
      <c r="J1487" s="35"/>
      <c r="K1487" s="36"/>
      <c r="L1487" s="26" t="str">
        <f>IF(OR(F1487 = "", G1487 = ""), "", IF(F1487 = "Vara", IFERROR(_xlfn.SINGLE(_xlfn.XLOOKUP(G1487, Vöruskrá!A:A, Vöruskrá!E:E, "")), ""), IF(F1487 = "Réttur", IFERROR(_xlfn.SINGLE(_xlfn.XLOOKUP(G1487, Réttabanki!A:A, Réttabanki!AS:AS, "")), ""), "")))</f>
        <v/>
      </c>
      <c r="M1487" s="26" t="str">
        <f>IF(OR(F1487 = "", G1487 = ""), "", IF(F1487 = "Vara", IFERROR(_xlfn.SINGLE(_xlfn.XLOOKUP(G1487, Vöruskrá!A:A, Vöruskrá!F:F, "")), ""), IF(F1487 = "Réttur", IFERROR(_xlfn.SINGLE(_xlfn.XLOOKUP(G1487, Réttabanki!A:A, Réttabanki!AT:AT, "")), ""), "")))</f>
        <v/>
      </c>
      <c r="N1487" s="26" t="str">
        <f>IF(OR(F1487 = "", G1487 = ""), "", IF(F1487 = "Vara", IFERROR(_xlfn.SINGLE(_xlfn.XLOOKUP(G1487, Vöruskrá!A:A, Vöruskrá!G:G, "")), ""), IF(F1487 = "Réttur", IFERROR(_xlfn.SINGLE(_xlfn.XLOOKUP(G1487, Réttabanki!A:A, Réttabanki!AU:AU, "")), ""), "")))</f>
        <v/>
      </c>
      <c r="O1487" s="26" t="str">
        <f>IF(OR(F1487 = "", G1487 = "", I1487 = ""), "", IF(F1487 = "Vara", IFERROR(_xlfn.SINGLE(_xlfn.XLOOKUP(G1487, Vöruskrá!A:A, Vöruskrá!I:I, "")) * I1487 / 100, ""), IF(F1487 = "Réttur", IFERROR(_xlfn.SINGLE(_xlfn.XLOOKUP(G1487, Réttabanki!A:A, Réttabanki!AV:AV, "")) * I1487 / 100, ""), "")))</f>
        <v/>
      </c>
      <c r="P1487" s="26" t="str">
        <f>IF(OR(F1487 = "", G1487 = "", I1487 = ""), "", IF(F1487 = "Vara", IFERROR(_xlfn.SINGLE(_xlfn.XLOOKUP(G1487, Vöruskrá!A:A, Vöruskrá!J:J, "")) * I1487 / 100, ""), IF(F1487 = "Réttur", IFERROR(_xlfn.SINGLE(_xlfn.XLOOKUP(G1487, Réttabanki!A:A, Réttabanki!AW:AW, "")) * I1487 / 100, ""), "")))</f>
        <v/>
      </c>
      <c r="Q1487" s="26" t="str">
        <f>IF(OR(F1487 = "", G1487 = "", I1487 = ""), "", IF(F1487 = "Vara", IFERROR(_xlfn.SINGLE(_xlfn.XLOOKUP(G1487, Vöruskrá!A:A, Vöruskrá!N:N, "")) * I1487 / 100, ""), IF(F1487 = "Réttur", IFERROR(_xlfn.SINGLE(_xlfn.XLOOKUP(G1487, Réttabanki!A:A, Réttabanki!BB:BB, "")) * I1487 / 100, ""), "")))</f>
        <v/>
      </c>
    </row>
    <row r="1488" spans="2:17">
      <c r="B1488" s="33" t="str">
        <f>IF(A1488&lt;&gt;"",CHOOSE(WEEKDAY(A1488,2),"Mánudagur","Þriðjudagur","Miðvikudagur","Fimmtudagur","Föstudagur","Laugardagur","Sunnudagur"),IF(B1487&lt;&gt;"",B1487,""))</f>
        <v>Fimmtudagur</v>
      </c>
      <c r="C1488" s="33">
        <f>IF(A1488&lt;&gt;"",WEEKNUM(A1488,21),IF(C1487&lt;&gt;"",C1487,""))</f>
        <v>27</v>
      </c>
      <c r="D1488" s="34"/>
      <c r="E1488" s="34"/>
      <c r="F1488" s="34"/>
      <c r="G1488" s="34"/>
      <c r="H1488" s="34"/>
      <c r="I1488" s="35"/>
      <c r="J1488" s="35"/>
      <c r="K1488" s="36"/>
      <c r="L1488" s="26" t="str">
        <f>IF(OR(F1488 = "", G1488 = ""), "", IF(F1488 = "Vara", IFERROR(_xlfn.SINGLE(_xlfn.XLOOKUP(G1488, Vöruskrá!A:A, Vöruskrá!E:E, "")), ""), IF(F1488 = "Réttur", IFERROR(_xlfn.SINGLE(_xlfn.XLOOKUP(G1488, Réttabanki!A:A, Réttabanki!AS:AS, "")), ""), "")))</f>
        <v/>
      </c>
      <c r="M1488" s="26" t="str">
        <f>IF(OR(F1488 = "", G1488 = ""), "", IF(F1488 = "Vara", IFERROR(_xlfn.SINGLE(_xlfn.XLOOKUP(G1488, Vöruskrá!A:A, Vöruskrá!F:F, "")), ""), IF(F1488 = "Réttur", IFERROR(_xlfn.SINGLE(_xlfn.XLOOKUP(G1488, Réttabanki!A:A, Réttabanki!AT:AT, "")), ""), "")))</f>
        <v/>
      </c>
      <c r="N1488" s="26" t="str">
        <f>IF(OR(F1488 = "", G1488 = ""), "", IF(F1488 = "Vara", IFERROR(_xlfn.SINGLE(_xlfn.XLOOKUP(G1488, Vöruskrá!A:A, Vöruskrá!G:G, "")), ""), IF(F1488 = "Réttur", IFERROR(_xlfn.SINGLE(_xlfn.XLOOKUP(G1488, Réttabanki!A:A, Réttabanki!AU:AU, "")), ""), "")))</f>
        <v/>
      </c>
      <c r="O1488" s="26" t="str">
        <f>IF(OR(F1488 = "", G1488 = "", I1488 = ""), "", IF(F1488 = "Vara", IFERROR(_xlfn.SINGLE(_xlfn.XLOOKUP(G1488, Vöruskrá!A:A, Vöruskrá!I:I, "")) * I1488 / 100, ""), IF(F1488 = "Réttur", IFERROR(_xlfn.SINGLE(_xlfn.XLOOKUP(G1488, Réttabanki!A:A, Réttabanki!AV:AV, "")) * I1488 / 100, ""), "")))</f>
        <v/>
      </c>
      <c r="P1488" s="26" t="str">
        <f>IF(OR(F1488 = "", G1488 = "", I1488 = ""), "", IF(F1488 = "Vara", IFERROR(_xlfn.SINGLE(_xlfn.XLOOKUP(G1488, Vöruskrá!A:A, Vöruskrá!J:J, "")) * I1488 / 100, ""), IF(F1488 = "Réttur", IFERROR(_xlfn.SINGLE(_xlfn.XLOOKUP(G1488, Réttabanki!A:A, Réttabanki!AW:AW, "")) * I1488 / 100, ""), "")))</f>
        <v/>
      </c>
      <c r="Q1488" s="26" t="str">
        <f>IF(OR(F1488 = "", G1488 = "", I1488 = ""), "", IF(F1488 = "Vara", IFERROR(_xlfn.SINGLE(_xlfn.XLOOKUP(G1488, Vöruskrá!A:A, Vöruskrá!N:N, "")) * I1488 / 100, ""), IF(F1488 = "Réttur", IFERROR(_xlfn.SINGLE(_xlfn.XLOOKUP(G1488, Réttabanki!A:A, Réttabanki!BB:BB, "")) * I1488 / 100, ""), "")))</f>
        <v/>
      </c>
    </row>
    <row r="1489" spans="2:17">
      <c r="B1489" s="33" t="str">
        <f>IF(A1489&lt;&gt;"",CHOOSE(WEEKDAY(A1489,2),"Mánudagur","Þriðjudagur","Miðvikudagur","Fimmtudagur","Föstudagur","Laugardagur","Sunnudagur"),IF(B1488&lt;&gt;"",B1488,""))</f>
        <v>Fimmtudagur</v>
      </c>
      <c r="C1489" s="33">
        <f>IF(A1489&lt;&gt;"",WEEKNUM(A1489,21),IF(C1488&lt;&gt;"",C1488,""))</f>
        <v>27</v>
      </c>
      <c r="D1489" s="34"/>
      <c r="E1489" s="34"/>
      <c r="F1489" s="34"/>
      <c r="G1489" s="34"/>
      <c r="H1489" s="34"/>
      <c r="I1489" s="35"/>
      <c r="J1489" s="35"/>
      <c r="K1489" s="36"/>
      <c r="L1489" s="26" t="str">
        <f>IF(OR(F1489 = "", G1489 = ""), "", IF(F1489 = "Vara", IFERROR(_xlfn.SINGLE(_xlfn.XLOOKUP(G1489, Vöruskrá!A:A, Vöruskrá!E:E, "")), ""), IF(F1489 = "Réttur", IFERROR(_xlfn.SINGLE(_xlfn.XLOOKUP(G1489, Réttabanki!A:A, Réttabanki!AS:AS, "")), ""), "")))</f>
        <v/>
      </c>
      <c r="M1489" s="26" t="str">
        <f>IF(OR(F1489 = "", G1489 = ""), "", IF(F1489 = "Vara", IFERROR(_xlfn.SINGLE(_xlfn.XLOOKUP(G1489, Vöruskrá!A:A, Vöruskrá!F:F, "")), ""), IF(F1489 = "Réttur", IFERROR(_xlfn.SINGLE(_xlfn.XLOOKUP(G1489, Réttabanki!A:A, Réttabanki!AT:AT, "")), ""), "")))</f>
        <v/>
      </c>
      <c r="N1489" s="26" t="str">
        <f>IF(OR(F1489 = "", G1489 = ""), "", IF(F1489 = "Vara", IFERROR(_xlfn.SINGLE(_xlfn.XLOOKUP(G1489, Vöruskrá!A:A, Vöruskrá!G:G, "")), ""), IF(F1489 = "Réttur", IFERROR(_xlfn.SINGLE(_xlfn.XLOOKUP(G1489, Réttabanki!A:A, Réttabanki!AU:AU, "")), ""), "")))</f>
        <v/>
      </c>
      <c r="O1489" s="26" t="str">
        <f>IF(OR(F1489 = "", G1489 = "", I1489 = ""), "", IF(F1489 = "Vara", IFERROR(_xlfn.SINGLE(_xlfn.XLOOKUP(G1489, Vöruskrá!A:A, Vöruskrá!I:I, "")) * I1489 / 100, ""), IF(F1489 = "Réttur", IFERROR(_xlfn.SINGLE(_xlfn.XLOOKUP(G1489, Réttabanki!A:A, Réttabanki!AV:AV, "")) * I1489 / 100, ""), "")))</f>
        <v/>
      </c>
      <c r="P1489" s="26" t="str">
        <f>IF(OR(F1489 = "", G1489 = "", I1489 = ""), "", IF(F1489 = "Vara", IFERROR(_xlfn.SINGLE(_xlfn.XLOOKUP(G1489, Vöruskrá!A:A, Vöruskrá!J:J, "")) * I1489 / 100, ""), IF(F1489 = "Réttur", IFERROR(_xlfn.SINGLE(_xlfn.XLOOKUP(G1489, Réttabanki!A:A, Réttabanki!AW:AW, "")) * I1489 / 100, ""), "")))</f>
        <v/>
      </c>
      <c r="Q1489" s="26" t="str">
        <f>IF(OR(F1489 = "", G1489 = "", I1489 = ""), "", IF(F1489 = "Vara", IFERROR(_xlfn.SINGLE(_xlfn.XLOOKUP(G1489, Vöruskrá!A:A, Vöruskrá!N:N, "")) * I1489 / 100, ""), IF(F1489 = "Réttur", IFERROR(_xlfn.SINGLE(_xlfn.XLOOKUP(G1489, Réttabanki!A:A, Réttabanki!BB:BB, "")) * I1489 / 100, ""), "")))</f>
        <v/>
      </c>
    </row>
    <row r="1490" spans="2:17">
      <c r="B1490" s="33" t="str">
        <f>IF(A1490&lt;&gt;"",CHOOSE(WEEKDAY(A1490,2),"Mánudagur","Þriðjudagur","Miðvikudagur","Fimmtudagur","Föstudagur","Laugardagur","Sunnudagur"),IF(B1489&lt;&gt;"",B1489,""))</f>
        <v>Fimmtudagur</v>
      </c>
      <c r="C1490" s="33">
        <f>IF(A1490&lt;&gt;"",WEEKNUM(A1490,21),IF(C1489&lt;&gt;"",C1489,""))</f>
        <v>27</v>
      </c>
      <c r="D1490" s="34"/>
      <c r="E1490" s="34"/>
      <c r="F1490" s="34"/>
      <c r="G1490" s="34"/>
      <c r="H1490" s="34"/>
      <c r="I1490" s="35"/>
      <c r="J1490" s="35"/>
      <c r="K1490" s="36"/>
      <c r="L1490" s="26" t="str">
        <f>IF(OR(F1490 = "", G1490 = ""), "", IF(F1490 = "Vara", IFERROR(_xlfn.SINGLE(_xlfn.XLOOKUP(G1490, Vöruskrá!A:A, Vöruskrá!E:E, "")), ""), IF(F1490 = "Réttur", IFERROR(_xlfn.SINGLE(_xlfn.XLOOKUP(G1490, Réttabanki!A:A, Réttabanki!AS:AS, "")), ""), "")))</f>
        <v/>
      </c>
      <c r="M1490" s="26" t="str">
        <f>IF(OR(F1490 = "", G1490 = ""), "", IF(F1490 = "Vara", IFERROR(_xlfn.SINGLE(_xlfn.XLOOKUP(G1490, Vöruskrá!A:A, Vöruskrá!F:F, "")), ""), IF(F1490 = "Réttur", IFERROR(_xlfn.SINGLE(_xlfn.XLOOKUP(G1490, Réttabanki!A:A, Réttabanki!AT:AT, "")), ""), "")))</f>
        <v/>
      </c>
      <c r="N1490" s="26" t="str">
        <f>IF(OR(F1490 = "", G1490 = ""), "", IF(F1490 = "Vara", IFERROR(_xlfn.SINGLE(_xlfn.XLOOKUP(G1490, Vöruskrá!A:A, Vöruskrá!G:G, "")), ""), IF(F1490 = "Réttur", IFERROR(_xlfn.SINGLE(_xlfn.XLOOKUP(G1490, Réttabanki!A:A, Réttabanki!AU:AU, "")), ""), "")))</f>
        <v/>
      </c>
      <c r="O1490" s="26" t="str">
        <f>IF(OR(F1490 = "", G1490 = "", I1490 = ""), "", IF(F1490 = "Vara", IFERROR(_xlfn.SINGLE(_xlfn.XLOOKUP(G1490, Vöruskrá!A:A, Vöruskrá!I:I, "")) * I1490 / 100, ""), IF(F1490 = "Réttur", IFERROR(_xlfn.SINGLE(_xlfn.XLOOKUP(G1490, Réttabanki!A:A, Réttabanki!AV:AV, "")) * I1490 / 100, ""), "")))</f>
        <v/>
      </c>
      <c r="P1490" s="26" t="str">
        <f>IF(OR(F1490 = "", G1490 = "", I1490 = ""), "", IF(F1490 = "Vara", IFERROR(_xlfn.SINGLE(_xlfn.XLOOKUP(G1490, Vöruskrá!A:A, Vöruskrá!J:J, "")) * I1490 / 100, ""), IF(F1490 = "Réttur", IFERROR(_xlfn.SINGLE(_xlfn.XLOOKUP(G1490, Réttabanki!A:A, Réttabanki!AW:AW, "")) * I1490 / 100, ""), "")))</f>
        <v/>
      </c>
      <c r="Q1490" s="26" t="str">
        <f>IF(OR(F1490 = "", G1490 = "", I1490 = ""), "", IF(F1490 = "Vara", IFERROR(_xlfn.SINGLE(_xlfn.XLOOKUP(G1490, Vöruskrá!A:A, Vöruskrá!N:N, "")) * I1490 / 100, ""), IF(F1490 = "Réttur", IFERROR(_xlfn.SINGLE(_xlfn.XLOOKUP(G1490, Réttabanki!A:A, Réttabanki!BB:BB, "")) * I1490 / 100, ""), "")))</f>
        <v/>
      </c>
    </row>
    <row r="1491" spans="2:17">
      <c r="B1491" s="33" t="str">
        <f>IF(A1491&lt;&gt;"",CHOOSE(WEEKDAY(A1491,2),"Mánudagur","Þriðjudagur","Miðvikudagur","Fimmtudagur","Föstudagur","Laugardagur","Sunnudagur"),IF(B1490&lt;&gt;"",B1490,""))</f>
        <v>Fimmtudagur</v>
      </c>
      <c r="C1491" s="33">
        <f>IF(A1491&lt;&gt;"",WEEKNUM(A1491,21),IF(C1490&lt;&gt;"",C1490,""))</f>
        <v>27</v>
      </c>
      <c r="D1491" s="34"/>
      <c r="E1491" s="34"/>
      <c r="F1491" s="34"/>
      <c r="G1491" s="34"/>
      <c r="H1491" s="34"/>
      <c r="I1491" s="35"/>
      <c r="J1491" s="35"/>
      <c r="K1491" s="36"/>
      <c r="L1491" s="26" t="str">
        <f>IF(OR(F1491 = "", G1491 = ""), "", IF(F1491 = "Vara", IFERROR(_xlfn.SINGLE(_xlfn.XLOOKUP(G1491, Vöruskrá!A:A, Vöruskrá!E:E, "")), ""), IF(F1491 = "Réttur", IFERROR(_xlfn.SINGLE(_xlfn.XLOOKUP(G1491, Réttabanki!A:A, Réttabanki!AS:AS, "")), ""), "")))</f>
        <v/>
      </c>
      <c r="M1491" s="26" t="str">
        <f>IF(OR(F1491 = "", G1491 = ""), "", IF(F1491 = "Vara", IFERROR(_xlfn.SINGLE(_xlfn.XLOOKUP(G1491, Vöruskrá!A:A, Vöruskrá!F:F, "")), ""), IF(F1491 = "Réttur", IFERROR(_xlfn.SINGLE(_xlfn.XLOOKUP(G1491, Réttabanki!A:A, Réttabanki!AT:AT, "")), ""), "")))</f>
        <v/>
      </c>
      <c r="N1491" s="26" t="str">
        <f>IF(OR(F1491 = "", G1491 = ""), "", IF(F1491 = "Vara", IFERROR(_xlfn.SINGLE(_xlfn.XLOOKUP(G1491, Vöruskrá!A:A, Vöruskrá!G:G, "")), ""), IF(F1491 = "Réttur", IFERROR(_xlfn.SINGLE(_xlfn.XLOOKUP(G1491, Réttabanki!A:A, Réttabanki!AU:AU, "")), ""), "")))</f>
        <v/>
      </c>
      <c r="O1491" s="26" t="str">
        <f>IF(OR(F1491 = "", G1491 = "", I1491 = ""), "", IF(F1491 = "Vara", IFERROR(_xlfn.SINGLE(_xlfn.XLOOKUP(G1491, Vöruskrá!A:A, Vöruskrá!I:I, "")) * I1491 / 100, ""), IF(F1491 = "Réttur", IFERROR(_xlfn.SINGLE(_xlfn.XLOOKUP(G1491, Réttabanki!A:A, Réttabanki!AV:AV, "")) * I1491 / 100, ""), "")))</f>
        <v/>
      </c>
      <c r="P1491" s="26" t="str">
        <f>IF(OR(F1491 = "", G1491 = "", I1491 = ""), "", IF(F1491 = "Vara", IFERROR(_xlfn.SINGLE(_xlfn.XLOOKUP(G1491, Vöruskrá!A:A, Vöruskrá!J:J, "")) * I1491 / 100, ""), IF(F1491 = "Réttur", IFERROR(_xlfn.SINGLE(_xlfn.XLOOKUP(G1491, Réttabanki!A:A, Réttabanki!AW:AW, "")) * I1491 / 100, ""), "")))</f>
        <v/>
      </c>
      <c r="Q1491" s="26" t="str">
        <f>IF(OR(F1491 = "", G1491 = "", I1491 = ""), "", IF(F1491 = "Vara", IFERROR(_xlfn.SINGLE(_xlfn.XLOOKUP(G1491, Vöruskrá!A:A, Vöruskrá!N:N, "")) * I1491 / 100, ""), IF(F1491 = "Réttur", IFERROR(_xlfn.SINGLE(_xlfn.XLOOKUP(G1491, Réttabanki!A:A, Réttabanki!BB:BB, "")) * I1491 / 100, ""), "")))</f>
        <v/>
      </c>
    </row>
    <row r="1492" spans="2:17">
      <c r="B1492" s="33" t="str">
        <f>IF(A1492&lt;&gt;"",CHOOSE(WEEKDAY(A1492,2),"Mánudagur","Þriðjudagur","Miðvikudagur","Fimmtudagur","Föstudagur","Laugardagur","Sunnudagur"),IF(B1491&lt;&gt;"",B1491,""))</f>
        <v>Fimmtudagur</v>
      </c>
      <c r="C1492" s="33">
        <f>IF(A1492&lt;&gt;"",WEEKNUM(A1492,21),IF(C1491&lt;&gt;"",C1491,""))</f>
        <v>27</v>
      </c>
      <c r="D1492" s="34"/>
      <c r="E1492" s="34"/>
      <c r="F1492" s="34"/>
      <c r="G1492" s="34"/>
      <c r="H1492" s="34"/>
      <c r="I1492" s="35"/>
      <c r="J1492" s="35"/>
      <c r="K1492" s="36"/>
      <c r="L1492" s="26" t="str">
        <f>IF(OR(F1492 = "", G1492 = ""), "", IF(F1492 = "Vara", IFERROR(_xlfn.SINGLE(_xlfn.XLOOKUP(G1492, Vöruskrá!A:A, Vöruskrá!E:E, "")), ""), IF(F1492 = "Réttur", IFERROR(_xlfn.SINGLE(_xlfn.XLOOKUP(G1492, Réttabanki!A:A, Réttabanki!AS:AS, "")), ""), "")))</f>
        <v/>
      </c>
      <c r="M1492" s="26" t="str">
        <f>IF(OR(F1492 = "", G1492 = ""), "", IF(F1492 = "Vara", IFERROR(_xlfn.SINGLE(_xlfn.XLOOKUP(G1492, Vöruskrá!A:A, Vöruskrá!F:F, "")), ""), IF(F1492 = "Réttur", IFERROR(_xlfn.SINGLE(_xlfn.XLOOKUP(G1492, Réttabanki!A:A, Réttabanki!AT:AT, "")), ""), "")))</f>
        <v/>
      </c>
      <c r="N1492" s="26" t="str">
        <f>IF(OR(F1492 = "", G1492 = ""), "", IF(F1492 = "Vara", IFERROR(_xlfn.SINGLE(_xlfn.XLOOKUP(G1492, Vöruskrá!A:A, Vöruskrá!G:G, "")), ""), IF(F1492 = "Réttur", IFERROR(_xlfn.SINGLE(_xlfn.XLOOKUP(G1492, Réttabanki!A:A, Réttabanki!AU:AU, "")), ""), "")))</f>
        <v/>
      </c>
      <c r="O1492" s="26" t="str">
        <f>IF(OR(F1492 = "", G1492 = "", I1492 = ""), "", IF(F1492 = "Vara", IFERROR(_xlfn.SINGLE(_xlfn.XLOOKUP(G1492, Vöruskrá!A:A, Vöruskrá!I:I, "")) * I1492 / 100, ""), IF(F1492 = "Réttur", IFERROR(_xlfn.SINGLE(_xlfn.XLOOKUP(G1492, Réttabanki!A:A, Réttabanki!AV:AV, "")) * I1492 / 100, ""), "")))</f>
        <v/>
      </c>
      <c r="P1492" s="26" t="str">
        <f>IF(OR(F1492 = "", G1492 = "", I1492 = ""), "", IF(F1492 = "Vara", IFERROR(_xlfn.SINGLE(_xlfn.XLOOKUP(G1492, Vöruskrá!A:A, Vöruskrá!J:J, "")) * I1492 / 100, ""), IF(F1492 = "Réttur", IFERROR(_xlfn.SINGLE(_xlfn.XLOOKUP(G1492, Réttabanki!A:A, Réttabanki!AW:AW, "")) * I1492 / 100, ""), "")))</f>
        <v/>
      </c>
      <c r="Q1492" s="26" t="str">
        <f>IF(OR(F1492 = "", G1492 = "", I1492 = ""), "", IF(F1492 = "Vara", IFERROR(_xlfn.SINGLE(_xlfn.XLOOKUP(G1492, Vöruskrá!A:A, Vöruskrá!N:N, "")) * I1492 / 100, ""), IF(F1492 = "Réttur", IFERROR(_xlfn.SINGLE(_xlfn.XLOOKUP(G1492, Réttabanki!A:A, Réttabanki!BB:BB, "")) * I1492 / 100, ""), "")))</f>
        <v/>
      </c>
    </row>
    <row r="1493" spans="2:17">
      <c r="B1493" s="33" t="str">
        <f>IF(A1493&lt;&gt;"",CHOOSE(WEEKDAY(A1493,2),"Mánudagur","Þriðjudagur","Miðvikudagur","Fimmtudagur","Föstudagur","Laugardagur","Sunnudagur"),IF(B1492&lt;&gt;"",B1492,""))</f>
        <v>Fimmtudagur</v>
      </c>
      <c r="C1493" s="33">
        <f>IF(A1493&lt;&gt;"",WEEKNUM(A1493,21),IF(C1492&lt;&gt;"",C1492,""))</f>
        <v>27</v>
      </c>
      <c r="D1493" s="34"/>
      <c r="E1493" s="34"/>
      <c r="F1493" s="34"/>
      <c r="G1493" s="34"/>
      <c r="H1493" s="34"/>
      <c r="I1493" s="35"/>
      <c r="J1493" s="35"/>
      <c r="K1493" s="36"/>
      <c r="L1493" s="26" t="str">
        <f>IF(OR(F1493 = "", G1493 = ""), "", IF(F1493 = "Vara", IFERROR(_xlfn.SINGLE(_xlfn.XLOOKUP(G1493, Vöruskrá!A:A, Vöruskrá!E:E, "")), ""), IF(F1493 = "Réttur", IFERROR(_xlfn.SINGLE(_xlfn.XLOOKUP(G1493, Réttabanki!A:A, Réttabanki!AS:AS, "")), ""), "")))</f>
        <v/>
      </c>
      <c r="M1493" s="26" t="str">
        <f>IF(OR(F1493 = "", G1493 = ""), "", IF(F1493 = "Vara", IFERROR(_xlfn.SINGLE(_xlfn.XLOOKUP(G1493, Vöruskrá!A:A, Vöruskrá!F:F, "")), ""), IF(F1493 = "Réttur", IFERROR(_xlfn.SINGLE(_xlfn.XLOOKUP(G1493, Réttabanki!A:A, Réttabanki!AT:AT, "")), ""), "")))</f>
        <v/>
      </c>
      <c r="N1493" s="26" t="str">
        <f>IF(OR(F1493 = "", G1493 = ""), "", IF(F1493 = "Vara", IFERROR(_xlfn.SINGLE(_xlfn.XLOOKUP(G1493, Vöruskrá!A:A, Vöruskrá!G:G, "")), ""), IF(F1493 = "Réttur", IFERROR(_xlfn.SINGLE(_xlfn.XLOOKUP(G1493, Réttabanki!A:A, Réttabanki!AU:AU, "")), ""), "")))</f>
        <v/>
      </c>
      <c r="O1493" s="26" t="str">
        <f>IF(OR(F1493 = "", G1493 = "", I1493 = ""), "", IF(F1493 = "Vara", IFERROR(_xlfn.SINGLE(_xlfn.XLOOKUP(G1493, Vöruskrá!A:A, Vöruskrá!I:I, "")) * I1493 / 100, ""), IF(F1493 = "Réttur", IFERROR(_xlfn.SINGLE(_xlfn.XLOOKUP(G1493, Réttabanki!A:A, Réttabanki!AV:AV, "")) * I1493 / 100, ""), "")))</f>
        <v/>
      </c>
      <c r="P1493" s="26" t="str">
        <f>IF(OR(F1493 = "", G1493 = "", I1493 = ""), "", IF(F1493 = "Vara", IFERROR(_xlfn.SINGLE(_xlfn.XLOOKUP(G1493, Vöruskrá!A:A, Vöruskrá!J:J, "")) * I1493 / 100, ""), IF(F1493 = "Réttur", IFERROR(_xlfn.SINGLE(_xlfn.XLOOKUP(G1493, Réttabanki!A:A, Réttabanki!AW:AW, "")) * I1493 / 100, ""), "")))</f>
        <v/>
      </c>
      <c r="Q1493" s="26" t="str">
        <f>IF(OR(F1493 = "", G1493 = "", I1493 = ""), "", IF(F1493 = "Vara", IFERROR(_xlfn.SINGLE(_xlfn.XLOOKUP(G1493, Vöruskrá!A:A, Vöruskrá!N:N, "")) * I1493 / 100, ""), IF(F1493 = "Réttur", IFERROR(_xlfn.SINGLE(_xlfn.XLOOKUP(G1493, Réttabanki!A:A, Réttabanki!BB:BB, "")) * I1493 / 100, ""), "")))</f>
        <v/>
      </c>
    </row>
    <row r="1494" spans="2:17">
      <c r="B1494" s="33" t="str">
        <f>IF(A1494&lt;&gt;"",CHOOSE(WEEKDAY(A1494,2),"Mánudagur","Þriðjudagur","Miðvikudagur","Fimmtudagur","Föstudagur","Laugardagur","Sunnudagur"),IF(B1493&lt;&gt;"",B1493,""))</f>
        <v>Fimmtudagur</v>
      </c>
      <c r="C1494" s="33">
        <f>IF(A1494&lt;&gt;"",WEEKNUM(A1494,21),IF(C1493&lt;&gt;"",C1493,""))</f>
        <v>27</v>
      </c>
      <c r="D1494" s="34"/>
      <c r="E1494" s="34"/>
      <c r="F1494" s="34"/>
      <c r="G1494" s="34"/>
      <c r="H1494" s="34"/>
      <c r="I1494" s="35"/>
      <c r="J1494" s="35"/>
      <c r="K1494" s="36"/>
      <c r="L1494" s="26" t="str">
        <f>IF(OR(F1494 = "", G1494 = ""), "", IF(F1494 = "Vara", IFERROR(_xlfn.SINGLE(_xlfn.XLOOKUP(G1494, Vöruskrá!A:A, Vöruskrá!E:E, "")), ""), IF(F1494 = "Réttur", IFERROR(_xlfn.SINGLE(_xlfn.XLOOKUP(G1494, Réttabanki!A:A, Réttabanki!AS:AS, "")), ""), "")))</f>
        <v/>
      </c>
      <c r="M1494" s="26" t="str">
        <f>IF(OR(F1494 = "", G1494 = ""), "", IF(F1494 = "Vara", IFERROR(_xlfn.SINGLE(_xlfn.XLOOKUP(G1494, Vöruskrá!A:A, Vöruskrá!F:F, "")), ""), IF(F1494 = "Réttur", IFERROR(_xlfn.SINGLE(_xlfn.XLOOKUP(G1494, Réttabanki!A:A, Réttabanki!AT:AT, "")), ""), "")))</f>
        <v/>
      </c>
      <c r="N1494" s="26" t="str">
        <f>IF(OR(F1494 = "", G1494 = ""), "", IF(F1494 = "Vara", IFERROR(_xlfn.SINGLE(_xlfn.XLOOKUP(G1494, Vöruskrá!A:A, Vöruskrá!G:G, "")), ""), IF(F1494 = "Réttur", IFERROR(_xlfn.SINGLE(_xlfn.XLOOKUP(G1494, Réttabanki!A:A, Réttabanki!AU:AU, "")), ""), "")))</f>
        <v/>
      </c>
      <c r="O1494" s="26" t="str">
        <f>IF(OR(F1494 = "", G1494 = "", I1494 = ""), "", IF(F1494 = "Vara", IFERROR(_xlfn.SINGLE(_xlfn.XLOOKUP(G1494, Vöruskrá!A:A, Vöruskrá!I:I, "")) * I1494 / 100, ""), IF(F1494 = "Réttur", IFERROR(_xlfn.SINGLE(_xlfn.XLOOKUP(G1494, Réttabanki!A:A, Réttabanki!AV:AV, "")) * I1494 / 100, ""), "")))</f>
        <v/>
      </c>
      <c r="P1494" s="26" t="str">
        <f>IF(OR(F1494 = "", G1494 = "", I1494 = ""), "", IF(F1494 = "Vara", IFERROR(_xlfn.SINGLE(_xlfn.XLOOKUP(G1494, Vöruskrá!A:A, Vöruskrá!J:J, "")) * I1494 / 100, ""), IF(F1494 = "Réttur", IFERROR(_xlfn.SINGLE(_xlfn.XLOOKUP(G1494, Réttabanki!A:A, Réttabanki!AW:AW, "")) * I1494 / 100, ""), "")))</f>
        <v/>
      </c>
      <c r="Q1494" s="26" t="str">
        <f>IF(OR(F1494 = "", G1494 = "", I1494 = ""), "", IF(F1494 = "Vara", IFERROR(_xlfn.SINGLE(_xlfn.XLOOKUP(G1494, Vöruskrá!A:A, Vöruskrá!N:N, "")) * I1494 / 100, ""), IF(F1494 = "Réttur", IFERROR(_xlfn.SINGLE(_xlfn.XLOOKUP(G1494, Réttabanki!A:A, Réttabanki!BB:BB, "")) * I1494 / 100, ""), "")))</f>
        <v/>
      </c>
    </row>
    <row r="1495" spans="2:17">
      <c r="B1495" s="33" t="str">
        <f>IF(A1495&lt;&gt;"",CHOOSE(WEEKDAY(A1495,2),"Mánudagur","Þriðjudagur","Miðvikudagur","Fimmtudagur","Föstudagur","Laugardagur","Sunnudagur"),IF(B1494&lt;&gt;"",B1494,""))</f>
        <v>Fimmtudagur</v>
      </c>
      <c r="C1495" s="33">
        <f>IF(A1495&lt;&gt;"",WEEKNUM(A1495,21),IF(C1494&lt;&gt;"",C1494,""))</f>
        <v>27</v>
      </c>
      <c r="D1495" s="34"/>
      <c r="E1495" s="34"/>
      <c r="F1495" s="34"/>
      <c r="G1495" s="34"/>
      <c r="H1495" s="34"/>
      <c r="I1495" s="35"/>
      <c r="J1495" s="35"/>
      <c r="K1495" s="36"/>
      <c r="L1495" s="26" t="str">
        <f>IF(OR(F1495 = "", G1495 = ""), "", IF(F1495 = "Vara", IFERROR(_xlfn.SINGLE(_xlfn.XLOOKUP(G1495, Vöruskrá!A:A, Vöruskrá!E:E, "")), ""), IF(F1495 = "Réttur", IFERROR(_xlfn.SINGLE(_xlfn.XLOOKUP(G1495, Réttabanki!A:A, Réttabanki!AS:AS, "")), ""), "")))</f>
        <v/>
      </c>
      <c r="M1495" s="26" t="str">
        <f>IF(OR(F1495 = "", G1495 = ""), "", IF(F1495 = "Vara", IFERROR(_xlfn.SINGLE(_xlfn.XLOOKUP(G1495, Vöruskrá!A:A, Vöruskrá!F:F, "")), ""), IF(F1495 = "Réttur", IFERROR(_xlfn.SINGLE(_xlfn.XLOOKUP(G1495, Réttabanki!A:A, Réttabanki!AT:AT, "")), ""), "")))</f>
        <v/>
      </c>
      <c r="N1495" s="26" t="str">
        <f>IF(OR(F1495 = "", G1495 = ""), "", IF(F1495 = "Vara", IFERROR(_xlfn.SINGLE(_xlfn.XLOOKUP(G1495, Vöruskrá!A:A, Vöruskrá!G:G, "")), ""), IF(F1495 = "Réttur", IFERROR(_xlfn.SINGLE(_xlfn.XLOOKUP(G1495, Réttabanki!A:A, Réttabanki!AU:AU, "")), ""), "")))</f>
        <v/>
      </c>
      <c r="O1495" s="26" t="str">
        <f>IF(OR(F1495 = "", G1495 = "", I1495 = ""), "", IF(F1495 = "Vara", IFERROR(_xlfn.SINGLE(_xlfn.XLOOKUP(G1495, Vöruskrá!A:A, Vöruskrá!I:I, "")) * I1495 / 100, ""), IF(F1495 = "Réttur", IFERROR(_xlfn.SINGLE(_xlfn.XLOOKUP(G1495, Réttabanki!A:A, Réttabanki!AV:AV, "")) * I1495 / 100, ""), "")))</f>
        <v/>
      </c>
      <c r="P1495" s="26" t="str">
        <f>IF(OR(F1495 = "", G1495 = "", I1495 = ""), "", IF(F1495 = "Vara", IFERROR(_xlfn.SINGLE(_xlfn.XLOOKUP(G1495, Vöruskrá!A:A, Vöruskrá!J:J, "")) * I1495 / 100, ""), IF(F1495 = "Réttur", IFERROR(_xlfn.SINGLE(_xlfn.XLOOKUP(G1495, Réttabanki!A:A, Réttabanki!AW:AW, "")) * I1495 / 100, ""), "")))</f>
        <v/>
      </c>
      <c r="Q1495" s="26" t="str">
        <f>IF(OR(F1495 = "", G1495 = "", I1495 = ""), "", IF(F1495 = "Vara", IFERROR(_xlfn.SINGLE(_xlfn.XLOOKUP(G1495, Vöruskrá!A:A, Vöruskrá!N:N, "")) * I1495 / 100, ""), IF(F1495 = "Réttur", IFERROR(_xlfn.SINGLE(_xlfn.XLOOKUP(G1495, Réttabanki!A:A, Réttabanki!BB:BB, "")) * I1495 / 100, ""), "")))</f>
        <v/>
      </c>
    </row>
    <row r="1496" spans="2:17">
      <c r="B1496" s="33" t="str">
        <f>IF(A1496&lt;&gt;"",CHOOSE(WEEKDAY(A1496,2),"Mánudagur","Þriðjudagur","Miðvikudagur","Fimmtudagur","Föstudagur","Laugardagur","Sunnudagur"),IF(B1495&lt;&gt;"",B1495,""))</f>
        <v>Fimmtudagur</v>
      </c>
      <c r="C1496" s="33">
        <f>IF(A1496&lt;&gt;"",WEEKNUM(A1496,21),IF(C1495&lt;&gt;"",C1495,""))</f>
        <v>27</v>
      </c>
      <c r="D1496" s="34"/>
      <c r="E1496" s="34"/>
      <c r="F1496" s="34"/>
      <c r="G1496" s="34"/>
      <c r="H1496" s="34"/>
      <c r="I1496" s="35"/>
      <c r="J1496" s="35"/>
      <c r="K1496" s="36"/>
      <c r="L1496" s="26" t="str">
        <f>IF(OR(F1496 = "", G1496 = ""), "", IF(F1496 = "Vara", IFERROR(_xlfn.SINGLE(_xlfn.XLOOKUP(G1496, Vöruskrá!A:A, Vöruskrá!E:E, "")), ""), IF(F1496 = "Réttur", IFERROR(_xlfn.SINGLE(_xlfn.XLOOKUP(G1496, Réttabanki!A:A, Réttabanki!AS:AS, "")), ""), "")))</f>
        <v/>
      </c>
      <c r="M1496" s="26" t="str">
        <f>IF(OR(F1496 = "", G1496 = ""), "", IF(F1496 = "Vara", IFERROR(_xlfn.SINGLE(_xlfn.XLOOKUP(G1496, Vöruskrá!A:A, Vöruskrá!F:F, "")), ""), IF(F1496 = "Réttur", IFERROR(_xlfn.SINGLE(_xlfn.XLOOKUP(G1496, Réttabanki!A:A, Réttabanki!AT:AT, "")), ""), "")))</f>
        <v/>
      </c>
      <c r="N1496" s="26" t="str">
        <f>IF(OR(F1496 = "", G1496 = ""), "", IF(F1496 = "Vara", IFERROR(_xlfn.SINGLE(_xlfn.XLOOKUP(G1496, Vöruskrá!A:A, Vöruskrá!G:G, "")), ""), IF(F1496 = "Réttur", IFERROR(_xlfn.SINGLE(_xlfn.XLOOKUP(G1496, Réttabanki!A:A, Réttabanki!AU:AU, "")), ""), "")))</f>
        <v/>
      </c>
      <c r="O1496" s="26" t="str">
        <f>IF(OR(F1496 = "", G1496 = "", I1496 = ""), "", IF(F1496 = "Vara", IFERROR(_xlfn.SINGLE(_xlfn.XLOOKUP(G1496, Vöruskrá!A:A, Vöruskrá!I:I, "")) * I1496 / 100, ""), IF(F1496 = "Réttur", IFERROR(_xlfn.SINGLE(_xlfn.XLOOKUP(G1496, Réttabanki!A:A, Réttabanki!AV:AV, "")) * I1496 / 100, ""), "")))</f>
        <v/>
      </c>
      <c r="P1496" s="26" t="str">
        <f>IF(OR(F1496 = "", G1496 = "", I1496 = ""), "", IF(F1496 = "Vara", IFERROR(_xlfn.SINGLE(_xlfn.XLOOKUP(G1496, Vöruskrá!A:A, Vöruskrá!J:J, "")) * I1496 / 100, ""), IF(F1496 = "Réttur", IFERROR(_xlfn.SINGLE(_xlfn.XLOOKUP(G1496, Réttabanki!A:A, Réttabanki!AW:AW, "")) * I1496 / 100, ""), "")))</f>
        <v/>
      </c>
      <c r="Q1496" s="26" t="str">
        <f>IF(OR(F1496 = "", G1496 = "", I1496 = ""), "", IF(F1496 = "Vara", IFERROR(_xlfn.SINGLE(_xlfn.XLOOKUP(G1496, Vöruskrá!A:A, Vöruskrá!N:N, "")) * I1496 / 100, ""), IF(F1496 = "Réttur", IFERROR(_xlfn.SINGLE(_xlfn.XLOOKUP(G1496, Réttabanki!A:A, Réttabanki!BB:BB, "")) * I1496 / 100, ""), "")))</f>
        <v/>
      </c>
    </row>
    <row r="1497" spans="2:17">
      <c r="B1497" s="33" t="str">
        <f>IF(A1497&lt;&gt;"",CHOOSE(WEEKDAY(A1497,2),"Mánudagur","Þriðjudagur","Miðvikudagur","Fimmtudagur","Föstudagur","Laugardagur","Sunnudagur"),IF(B1496&lt;&gt;"",B1496,""))</f>
        <v>Fimmtudagur</v>
      </c>
      <c r="C1497" s="33">
        <f>IF(A1497&lt;&gt;"",WEEKNUM(A1497,21),IF(C1496&lt;&gt;"",C1496,""))</f>
        <v>27</v>
      </c>
      <c r="D1497" s="34"/>
      <c r="E1497" s="34"/>
      <c r="F1497" s="34"/>
      <c r="G1497" s="34"/>
      <c r="H1497" s="34"/>
      <c r="I1497" s="35"/>
      <c r="J1497" s="35"/>
      <c r="K1497" s="36"/>
      <c r="L1497" s="26" t="str">
        <f>IF(OR(F1497 = "", G1497 = ""), "", IF(F1497 = "Vara", IFERROR(_xlfn.SINGLE(_xlfn.XLOOKUP(G1497, Vöruskrá!A:A, Vöruskrá!E:E, "")), ""), IF(F1497 = "Réttur", IFERROR(_xlfn.SINGLE(_xlfn.XLOOKUP(G1497, Réttabanki!A:A, Réttabanki!AS:AS, "")), ""), "")))</f>
        <v/>
      </c>
      <c r="M1497" s="26" t="str">
        <f>IF(OR(F1497 = "", G1497 = ""), "", IF(F1497 = "Vara", IFERROR(_xlfn.SINGLE(_xlfn.XLOOKUP(G1497, Vöruskrá!A:A, Vöruskrá!F:F, "")), ""), IF(F1497 = "Réttur", IFERROR(_xlfn.SINGLE(_xlfn.XLOOKUP(G1497, Réttabanki!A:A, Réttabanki!AT:AT, "")), ""), "")))</f>
        <v/>
      </c>
      <c r="N1497" s="26" t="str">
        <f>IF(OR(F1497 = "", G1497 = ""), "", IF(F1497 = "Vara", IFERROR(_xlfn.SINGLE(_xlfn.XLOOKUP(G1497, Vöruskrá!A:A, Vöruskrá!G:G, "")), ""), IF(F1497 = "Réttur", IFERROR(_xlfn.SINGLE(_xlfn.XLOOKUP(G1497, Réttabanki!A:A, Réttabanki!AU:AU, "")), ""), "")))</f>
        <v/>
      </c>
      <c r="O1497" s="26" t="str">
        <f>IF(OR(F1497 = "", G1497 = "", I1497 = ""), "", IF(F1497 = "Vara", IFERROR(_xlfn.SINGLE(_xlfn.XLOOKUP(G1497, Vöruskrá!A:A, Vöruskrá!I:I, "")) * I1497 / 100, ""), IF(F1497 = "Réttur", IFERROR(_xlfn.SINGLE(_xlfn.XLOOKUP(G1497, Réttabanki!A:A, Réttabanki!AV:AV, "")) * I1497 / 100, ""), "")))</f>
        <v/>
      </c>
      <c r="P1497" s="26" t="str">
        <f>IF(OR(F1497 = "", G1497 = "", I1497 = ""), "", IF(F1497 = "Vara", IFERROR(_xlfn.SINGLE(_xlfn.XLOOKUP(G1497, Vöruskrá!A:A, Vöruskrá!J:J, "")) * I1497 / 100, ""), IF(F1497 = "Réttur", IFERROR(_xlfn.SINGLE(_xlfn.XLOOKUP(G1497, Réttabanki!A:A, Réttabanki!AW:AW, "")) * I1497 / 100, ""), "")))</f>
        <v/>
      </c>
      <c r="Q1497" s="26" t="str">
        <f>IF(OR(F1497 = "", G1497 = "", I1497 = ""), "", IF(F1497 = "Vara", IFERROR(_xlfn.SINGLE(_xlfn.XLOOKUP(G1497, Vöruskrá!A:A, Vöruskrá!N:N, "")) * I1497 / 100, ""), IF(F1497 = "Réttur", IFERROR(_xlfn.SINGLE(_xlfn.XLOOKUP(G1497, Réttabanki!A:A, Réttabanki!BB:BB, "")) * I1497 / 100, ""), "")))</f>
        <v/>
      </c>
    </row>
    <row r="1498" spans="2:17">
      <c r="B1498" s="33" t="str">
        <f>IF(A1498&lt;&gt;"",CHOOSE(WEEKDAY(A1498,2),"Mánudagur","Þriðjudagur","Miðvikudagur","Fimmtudagur","Föstudagur","Laugardagur","Sunnudagur"),IF(B1497&lt;&gt;"",B1497,""))</f>
        <v>Fimmtudagur</v>
      </c>
      <c r="C1498" s="33">
        <f>IF(A1498&lt;&gt;"",WEEKNUM(A1498,21),IF(C1497&lt;&gt;"",C1497,""))</f>
        <v>27</v>
      </c>
      <c r="D1498" s="34"/>
      <c r="E1498" s="34"/>
      <c r="F1498" s="34"/>
      <c r="G1498" s="34"/>
      <c r="H1498" s="34"/>
      <c r="I1498" s="35"/>
      <c r="J1498" s="35"/>
      <c r="K1498" s="36"/>
      <c r="L1498" s="26" t="str">
        <f>IF(OR(F1498 = "", G1498 = ""), "", IF(F1498 = "Vara", IFERROR(_xlfn.SINGLE(_xlfn.XLOOKUP(G1498, Vöruskrá!A:A, Vöruskrá!E:E, "")), ""), IF(F1498 = "Réttur", IFERROR(_xlfn.SINGLE(_xlfn.XLOOKUP(G1498, Réttabanki!A:A, Réttabanki!AS:AS, "")), ""), "")))</f>
        <v/>
      </c>
      <c r="M1498" s="26" t="str">
        <f>IF(OR(F1498 = "", G1498 = ""), "", IF(F1498 = "Vara", IFERROR(_xlfn.SINGLE(_xlfn.XLOOKUP(G1498, Vöruskrá!A:A, Vöruskrá!F:F, "")), ""), IF(F1498 = "Réttur", IFERROR(_xlfn.SINGLE(_xlfn.XLOOKUP(G1498, Réttabanki!A:A, Réttabanki!AT:AT, "")), ""), "")))</f>
        <v/>
      </c>
      <c r="N1498" s="26" t="str">
        <f>IF(OR(F1498 = "", G1498 = ""), "", IF(F1498 = "Vara", IFERROR(_xlfn.SINGLE(_xlfn.XLOOKUP(G1498, Vöruskrá!A:A, Vöruskrá!G:G, "")), ""), IF(F1498 = "Réttur", IFERROR(_xlfn.SINGLE(_xlfn.XLOOKUP(G1498, Réttabanki!A:A, Réttabanki!AU:AU, "")), ""), "")))</f>
        <v/>
      </c>
      <c r="O1498" s="26" t="str">
        <f>IF(OR(F1498 = "", G1498 = "", I1498 = ""), "", IF(F1498 = "Vara", IFERROR(_xlfn.SINGLE(_xlfn.XLOOKUP(G1498, Vöruskrá!A:A, Vöruskrá!I:I, "")) * I1498 / 100, ""), IF(F1498 = "Réttur", IFERROR(_xlfn.SINGLE(_xlfn.XLOOKUP(G1498, Réttabanki!A:A, Réttabanki!AV:AV, "")) * I1498 / 100, ""), "")))</f>
        <v/>
      </c>
      <c r="P1498" s="26" t="str">
        <f>IF(OR(F1498 = "", G1498 = "", I1498 = ""), "", IF(F1498 = "Vara", IFERROR(_xlfn.SINGLE(_xlfn.XLOOKUP(G1498, Vöruskrá!A:A, Vöruskrá!J:J, "")) * I1498 / 100, ""), IF(F1498 = "Réttur", IFERROR(_xlfn.SINGLE(_xlfn.XLOOKUP(G1498, Réttabanki!A:A, Réttabanki!AW:AW, "")) * I1498 / 100, ""), "")))</f>
        <v/>
      </c>
      <c r="Q1498" s="26" t="str">
        <f>IF(OR(F1498 = "", G1498 = "", I1498 = ""), "", IF(F1498 = "Vara", IFERROR(_xlfn.SINGLE(_xlfn.XLOOKUP(G1498, Vöruskrá!A:A, Vöruskrá!N:N, "")) * I1498 / 100, ""), IF(F1498 = "Réttur", IFERROR(_xlfn.SINGLE(_xlfn.XLOOKUP(G1498, Réttabanki!A:A, Réttabanki!BB:BB, "")) * I1498 / 100, ""), "")))</f>
        <v/>
      </c>
    </row>
    <row r="1499" spans="2:17">
      <c r="B1499" s="33" t="str">
        <f>IF(A1499&lt;&gt;"",CHOOSE(WEEKDAY(A1499,2),"Mánudagur","Þriðjudagur","Miðvikudagur","Fimmtudagur","Föstudagur","Laugardagur","Sunnudagur"),IF(B1498&lt;&gt;"",B1498,""))</f>
        <v>Fimmtudagur</v>
      </c>
      <c r="C1499" s="33">
        <f>IF(A1499&lt;&gt;"",WEEKNUM(A1499,21),IF(C1498&lt;&gt;"",C1498,""))</f>
        <v>27</v>
      </c>
      <c r="D1499" s="34"/>
      <c r="E1499" s="34"/>
      <c r="F1499" s="34"/>
      <c r="G1499" s="34"/>
      <c r="H1499" s="34"/>
      <c r="I1499" s="35"/>
      <c r="J1499" s="35"/>
      <c r="K1499" s="36"/>
      <c r="L1499" s="26" t="str">
        <f>IF(OR(F1499 = "", G1499 = ""), "", IF(F1499 = "Vara", IFERROR(_xlfn.SINGLE(_xlfn.XLOOKUP(G1499, Vöruskrá!A:A, Vöruskrá!E:E, "")), ""), IF(F1499 = "Réttur", IFERROR(_xlfn.SINGLE(_xlfn.XLOOKUP(G1499, Réttabanki!A:A, Réttabanki!AS:AS, "")), ""), "")))</f>
        <v/>
      </c>
      <c r="M1499" s="26" t="str">
        <f>IF(OR(F1499 = "", G1499 = ""), "", IF(F1499 = "Vara", IFERROR(_xlfn.SINGLE(_xlfn.XLOOKUP(G1499, Vöruskrá!A:A, Vöruskrá!F:F, "")), ""), IF(F1499 = "Réttur", IFERROR(_xlfn.SINGLE(_xlfn.XLOOKUP(G1499, Réttabanki!A:A, Réttabanki!AT:AT, "")), ""), "")))</f>
        <v/>
      </c>
      <c r="N1499" s="26" t="str">
        <f>IF(OR(F1499 = "", G1499 = ""), "", IF(F1499 = "Vara", IFERROR(_xlfn.SINGLE(_xlfn.XLOOKUP(G1499, Vöruskrá!A:A, Vöruskrá!G:G, "")), ""), IF(F1499 = "Réttur", IFERROR(_xlfn.SINGLE(_xlfn.XLOOKUP(G1499, Réttabanki!A:A, Réttabanki!AU:AU, "")), ""), "")))</f>
        <v/>
      </c>
      <c r="O1499" s="26" t="str">
        <f>IF(OR(F1499 = "", G1499 = "", I1499 = ""), "", IF(F1499 = "Vara", IFERROR(_xlfn.SINGLE(_xlfn.XLOOKUP(G1499, Vöruskrá!A:A, Vöruskrá!I:I, "")) * I1499 / 100, ""), IF(F1499 = "Réttur", IFERROR(_xlfn.SINGLE(_xlfn.XLOOKUP(G1499, Réttabanki!A:A, Réttabanki!AV:AV, "")) * I1499 / 100, ""), "")))</f>
        <v/>
      </c>
      <c r="P1499" s="26" t="str">
        <f>IF(OR(F1499 = "", G1499 = "", I1499 = ""), "", IF(F1499 = "Vara", IFERROR(_xlfn.SINGLE(_xlfn.XLOOKUP(G1499, Vöruskrá!A:A, Vöruskrá!J:J, "")) * I1499 / 100, ""), IF(F1499 = "Réttur", IFERROR(_xlfn.SINGLE(_xlfn.XLOOKUP(G1499, Réttabanki!A:A, Réttabanki!AW:AW, "")) * I1499 / 100, ""), "")))</f>
        <v/>
      </c>
      <c r="Q1499" s="26" t="str">
        <f>IF(OR(F1499 = "", G1499 = "", I1499 = ""), "", IF(F1499 = "Vara", IFERROR(_xlfn.SINGLE(_xlfn.XLOOKUP(G1499, Vöruskrá!A:A, Vöruskrá!N:N, "")) * I1499 / 100, ""), IF(F1499 = "Réttur", IFERROR(_xlfn.SINGLE(_xlfn.XLOOKUP(G1499, Réttabanki!A:A, Réttabanki!BB:BB, "")) * I1499 / 100, ""), "")))</f>
        <v/>
      </c>
    </row>
    <row r="1500" spans="2:17">
      <c r="B1500" s="33" t="str">
        <f>IF(A1500&lt;&gt;"",CHOOSE(WEEKDAY(A1500,2),"Mánudagur","Þriðjudagur","Miðvikudagur","Fimmtudagur","Föstudagur","Laugardagur","Sunnudagur"),IF(B1499&lt;&gt;"",B1499,""))</f>
        <v>Fimmtudagur</v>
      </c>
      <c r="C1500" s="33">
        <f>IF(A1500&lt;&gt;"",WEEKNUM(A1500,21),IF(C1499&lt;&gt;"",C1499,""))</f>
        <v>27</v>
      </c>
      <c r="D1500" s="34"/>
      <c r="E1500" s="34"/>
      <c r="F1500" s="34"/>
      <c r="G1500" s="34"/>
      <c r="H1500" s="34"/>
      <c r="I1500" s="35"/>
      <c r="J1500" s="35"/>
      <c r="K1500" s="36"/>
      <c r="L1500" s="26" t="str">
        <f>IF(OR(F1500 = "", G1500 = ""), "", IF(F1500 = "Vara", IFERROR(_xlfn.SINGLE(_xlfn.XLOOKUP(G1500, Vöruskrá!A:A, Vöruskrá!E:E, "")), ""), IF(F1500 = "Réttur", IFERROR(_xlfn.SINGLE(_xlfn.XLOOKUP(G1500, Réttabanki!A:A, Réttabanki!AS:AS, "")), ""), "")))</f>
        <v/>
      </c>
      <c r="M1500" s="26" t="str">
        <f>IF(OR(F1500 = "", G1500 = ""), "", IF(F1500 = "Vara", IFERROR(_xlfn.SINGLE(_xlfn.XLOOKUP(G1500, Vöruskrá!A:A, Vöruskrá!F:F, "")), ""), IF(F1500 = "Réttur", IFERROR(_xlfn.SINGLE(_xlfn.XLOOKUP(G1500, Réttabanki!A:A, Réttabanki!AT:AT, "")), ""), "")))</f>
        <v/>
      </c>
      <c r="N1500" s="26" t="str">
        <f>IF(OR(F1500 = "", G1500 = ""), "", IF(F1500 = "Vara", IFERROR(_xlfn.SINGLE(_xlfn.XLOOKUP(G1500, Vöruskrá!A:A, Vöruskrá!G:G, "")), ""), IF(F1500 = "Réttur", IFERROR(_xlfn.SINGLE(_xlfn.XLOOKUP(G1500, Réttabanki!A:A, Réttabanki!AU:AU, "")), ""), "")))</f>
        <v/>
      </c>
      <c r="O1500" s="26" t="str">
        <f>IF(OR(F1500 = "", G1500 = "", I1500 = ""), "", IF(F1500 = "Vara", IFERROR(_xlfn.SINGLE(_xlfn.XLOOKUP(G1500, Vöruskrá!A:A, Vöruskrá!I:I, "")) * I1500 / 100, ""), IF(F1500 = "Réttur", IFERROR(_xlfn.SINGLE(_xlfn.XLOOKUP(G1500, Réttabanki!A:A, Réttabanki!AV:AV, "")) * I1500 / 100, ""), "")))</f>
        <v/>
      </c>
      <c r="P1500" s="26" t="str">
        <f>IF(OR(F1500 = "", G1500 = "", I1500 = ""), "", IF(F1500 = "Vara", IFERROR(_xlfn.SINGLE(_xlfn.XLOOKUP(G1500, Vöruskrá!A:A, Vöruskrá!J:J, "")) * I1500 / 100, ""), IF(F1500 = "Réttur", IFERROR(_xlfn.SINGLE(_xlfn.XLOOKUP(G1500, Réttabanki!A:A, Réttabanki!AW:AW, "")) * I1500 / 100, ""), "")))</f>
        <v/>
      </c>
      <c r="Q1500" s="26" t="str">
        <f>IF(OR(F1500 = "", G1500 = "", I1500 = ""), "", IF(F1500 = "Vara", IFERROR(_xlfn.SINGLE(_xlfn.XLOOKUP(G1500, Vöruskrá!A:A, Vöruskrá!N:N, "")) * I1500 / 100, ""), IF(F1500 = "Réttur", IFERROR(_xlfn.SINGLE(_xlfn.XLOOKUP(G1500, Réttabanki!A:A, Réttabanki!BB:BB, "")) * I1500 / 100, ""), "")))</f>
        <v/>
      </c>
    </row>
    <row r="1501" spans="2:17">
      <c r="B1501" s="33" t="str">
        <f>IF(A1501&lt;&gt;"",CHOOSE(WEEKDAY(A1501,2),"Mánudagur","Þriðjudagur","Miðvikudagur","Fimmtudagur","Föstudagur","Laugardagur","Sunnudagur"),IF(B1500&lt;&gt;"",B1500,""))</f>
        <v>Fimmtudagur</v>
      </c>
      <c r="C1501" s="33">
        <f>IF(A1501&lt;&gt;"",WEEKNUM(A1501,21),IF(C1500&lt;&gt;"",C1500,""))</f>
        <v>27</v>
      </c>
      <c r="D1501" s="34"/>
      <c r="E1501" s="34"/>
      <c r="F1501" s="34"/>
      <c r="G1501" s="34"/>
      <c r="H1501" s="34"/>
      <c r="I1501" s="35"/>
      <c r="J1501" s="35"/>
      <c r="K1501" s="36"/>
      <c r="L1501" s="26" t="str">
        <f>IF(OR(F1501 = "", G1501 = ""), "", IF(F1501 = "Vara", IFERROR(_xlfn.SINGLE(_xlfn.XLOOKUP(G1501, Vöruskrá!A:A, Vöruskrá!E:E, "")), ""), IF(F1501 = "Réttur", IFERROR(_xlfn.SINGLE(_xlfn.XLOOKUP(G1501, Réttabanki!A:A, Réttabanki!AS:AS, "")), ""), "")))</f>
        <v/>
      </c>
      <c r="M1501" s="26" t="str">
        <f>IF(OR(F1501 = "", G1501 = ""), "", IF(F1501 = "Vara", IFERROR(_xlfn.SINGLE(_xlfn.XLOOKUP(G1501, Vöruskrá!A:A, Vöruskrá!F:F, "")), ""), IF(F1501 = "Réttur", IFERROR(_xlfn.SINGLE(_xlfn.XLOOKUP(G1501, Réttabanki!A:A, Réttabanki!AT:AT, "")), ""), "")))</f>
        <v/>
      </c>
      <c r="N1501" s="26" t="str">
        <f>IF(OR(F1501 = "", G1501 = ""), "", IF(F1501 = "Vara", IFERROR(_xlfn.SINGLE(_xlfn.XLOOKUP(G1501, Vöruskrá!A:A, Vöruskrá!G:G, "")), ""), IF(F1501 = "Réttur", IFERROR(_xlfn.SINGLE(_xlfn.XLOOKUP(G1501, Réttabanki!A:A, Réttabanki!AU:AU, "")), ""), "")))</f>
        <v/>
      </c>
      <c r="O1501" s="26" t="str">
        <f>IF(OR(F1501 = "", G1501 = "", I1501 = ""), "", IF(F1501 = "Vara", IFERROR(_xlfn.SINGLE(_xlfn.XLOOKUP(G1501, Vöruskrá!A:A, Vöruskrá!I:I, "")) * I1501 / 100, ""), IF(F1501 = "Réttur", IFERROR(_xlfn.SINGLE(_xlfn.XLOOKUP(G1501, Réttabanki!A:A, Réttabanki!AV:AV, "")) * I1501 / 100, ""), "")))</f>
        <v/>
      </c>
      <c r="P1501" s="26" t="str">
        <f>IF(OR(F1501 = "", G1501 = "", I1501 = ""), "", IF(F1501 = "Vara", IFERROR(_xlfn.SINGLE(_xlfn.XLOOKUP(G1501, Vöruskrá!A:A, Vöruskrá!J:J, "")) * I1501 / 100, ""), IF(F1501 = "Réttur", IFERROR(_xlfn.SINGLE(_xlfn.XLOOKUP(G1501, Réttabanki!A:A, Réttabanki!AW:AW, "")) * I1501 / 100, ""), "")))</f>
        <v/>
      </c>
      <c r="Q1501" s="26" t="str">
        <f>IF(OR(F1501 = "", G1501 = "", I1501 = ""), "", IF(F1501 = "Vara", IFERROR(_xlfn.SINGLE(_xlfn.XLOOKUP(G1501, Vöruskrá!A:A, Vöruskrá!N:N, "")) * I1501 / 100, ""), IF(F1501 = "Réttur", IFERROR(_xlfn.SINGLE(_xlfn.XLOOKUP(G1501, Réttabanki!A:A, Réttabanki!BB:BB, "")) * I1501 / 100, ""), "")))</f>
        <v/>
      </c>
    </row>
    <row r="1502" spans="2:17">
      <c r="B1502" s="33" t="str">
        <f>IF(A1502&lt;&gt;"",CHOOSE(WEEKDAY(A1502,2),"Mánudagur","Þriðjudagur","Miðvikudagur","Fimmtudagur","Föstudagur","Laugardagur","Sunnudagur"),IF(B1501&lt;&gt;"",B1501,""))</f>
        <v>Fimmtudagur</v>
      </c>
      <c r="C1502" s="33">
        <f>IF(A1502&lt;&gt;"",WEEKNUM(A1502,21),IF(C1501&lt;&gt;"",C1501,""))</f>
        <v>27</v>
      </c>
      <c r="D1502" s="34"/>
      <c r="E1502" s="34"/>
      <c r="F1502" s="34"/>
      <c r="G1502" s="34"/>
      <c r="H1502" s="34"/>
      <c r="I1502" s="35"/>
      <c r="J1502" s="35"/>
      <c r="K1502" s="36"/>
      <c r="L1502" s="26" t="str">
        <f>IF(OR(F1502 = "", G1502 = ""), "", IF(F1502 = "Vara", IFERROR(_xlfn.SINGLE(_xlfn.XLOOKUP(G1502, Vöruskrá!A:A, Vöruskrá!E:E, "")), ""), IF(F1502 = "Réttur", IFERROR(_xlfn.SINGLE(_xlfn.XLOOKUP(G1502, Réttabanki!A:A, Réttabanki!AS:AS, "")), ""), "")))</f>
        <v/>
      </c>
      <c r="M1502" s="26" t="str">
        <f>IF(OR(F1502 = "", G1502 = ""), "", IF(F1502 = "Vara", IFERROR(_xlfn.SINGLE(_xlfn.XLOOKUP(G1502, Vöruskrá!A:A, Vöruskrá!F:F, "")), ""), IF(F1502 = "Réttur", IFERROR(_xlfn.SINGLE(_xlfn.XLOOKUP(G1502, Réttabanki!A:A, Réttabanki!AT:AT, "")), ""), "")))</f>
        <v/>
      </c>
      <c r="N1502" s="26" t="str">
        <f>IF(OR(F1502 = "", G1502 = ""), "", IF(F1502 = "Vara", IFERROR(_xlfn.SINGLE(_xlfn.XLOOKUP(G1502, Vöruskrá!A:A, Vöruskrá!G:G, "")), ""), IF(F1502 = "Réttur", IFERROR(_xlfn.SINGLE(_xlfn.XLOOKUP(G1502, Réttabanki!A:A, Réttabanki!AU:AU, "")), ""), "")))</f>
        <v/>
      </c>
      <c r="O1502" s="26" t="str">
        <f>IF(OR(F1502 = "", G1502 = "", I1502 = ""), "", IF(F1502 = "Vara", IFERROR(_xlfn.SINGLE(_xlfn.XLOOKUP(G1502, Vöruskrá!A:A, Vöruskrá!I:I, "")) * I1502 / 100, ""), IF(F1502 = "Réttur", IFERROR(_xlfn.SINGLE(_xlfn.XLOOKUP(G1502, Réttabanki!A:A, Réttabanki!AV:AV, "")) * I1502 / 100, ""), "")))</f>
        <v/>
      </c>
      <c r="P1502" s="26" t="str">
        <f>IF(OR(F1502 = "", G1502 = "", I1502 = ""), "", IF(F1502 = "Vara", IFERROR(_xlfn.SINGLE(_xlfn.XLOOKUP(G1502, Vöruskrá!A:A, Vöruskrá!J:J, "")) * I1502 / 100, ""), IF(F1502 = "Réttur", IFERROR(_xlfn.SINGLE(_xlfn.XLOOKUP(G1502, Réttabanki!A:A, Réttabanki!AW:AW, "")) * I1502 / 100, ""), "")))</f>
        <v/>
      </c>
      <c r="Q1502" s="26" t="str">
        <f>IF(OR(F1502 = "", G1502 = "", I1502 = ""), "", IF(F1502 = "Vara", IFERROR(_xlfn.SINGLE(_xlfn.XLOOKUP(G1502, Vöruskrá!A:A, Vöruskrá!N:N, "")) * I1502 / 100, ""), IF(F1502 = "Réttur", IFERROR(_xlfn.SINGLE(_xlfn.XLOOKUP(G1502, Réttabanki!A:A, Réttabanki!BB:BB, "")) * I1502 / 100, ""), "")))</f>
        <v/>
      </c>
    </row>
    <row r="1503" spans="2:17">
      <c r="B1503" s="33" t="str">
        <f>IF(A1503&lt;&gt;"",CHOOSE(WEEKDAY(A1503,2),"Mánudagur","Þriðjudagur","Miðvikudagur","Fimmtudagur","Föstudagur","Laugardagur","Sunnudagur"),IF(B1502&lt;&gt;"",B1502,""))</f>
        <v>Fimmtudagur</v>
      </c>
      <c r="C1503" s="33">
        <f>IF(A1503&lt;&gt;"",WEEKNUM(A1503,21),IF(C1502&lt;&gt;"",C1502,""))</f>
        <v>27</v>
      </c>
      <c r="D1503" s="34"/>
      <c r="E1503" s="34"/>
      <c r="F1503" s="34"/>
      <c r="G1503" s="34"/>
      <c r="H1503" s="34"/>
      <c r="I1503" s="35"/>
      <c r="J1503" s="35"/>
      <c r="K1503" s="36"/>
      <c r="L1503" s="26" t="str">
        <f>IF(OR(F1503 = "", G1503 = ""), "", IF(F1503 = "Vara", IFERROR(_xlfn.SINGLE(_xlfn.XLOOKUP(G1503, Vöruskrá!A:A, Vöruskrá!E:E, "")), ""), IF(F1503 = "Réttur", IFERROR(_xlfn.SINGLE(_xlfn.XLOOKUP(G1503, Réttabanki!A:A, Réttabanki!AS:AS, "")), ""), "")))</f>
        <v/>
      </c>
      <c r="M1503" s="26" t="str">
        <f>IF(OR(F1503 = "", G1503 = ""), "", IF(F1503 = "Vara", IFERROR(_xlfn.SINGLE(_xlfn.XLOOKUP(G1503, Vöruskrá!A:A, Vöruskrá!F:F, "")), ""), IF(F1503 = "Réttur", IFERROR(_xlfn.SINGLE(_xlfn.XLOOKUP(G1503, Réttabanki!A:A, Réttabanki!AT:AT, "")), ""), "")))</f>
        <v/>
      </c>
      <c r="N1503" s="26" t="str">
        <f>IF(OR(F1503 = "", G1503 = ""), "", IF(F1503 = "Vara", IFERROR(_xlfn.SINGLE(_xlfn.XLOOKUP(G1503, Vöruskrá!A:A, Vöruskrá!G:G, "")), ""), IF(F1503 = "Réttur", IFERROR(_xlfn.SINGLE(_xlfn.XLOOKUP(G1503, Réttabanki!A:A, Réttabanki!AU:AU, "")), ""), "")))</f>
        <v/>
      </c>
      <c r="O1503" s="26" t="str">
        <f>IF(OR(F1503 = "", G1503 = "", I1503 = ""), "", IF(F1503 = "Vara", IFERROR(_xlfn.SINGLE(_xlfn.XLOOKUP(G1503, Vöruskrá!A:A, Vöruskrá!I:I, "")) * I1503 / 100, ""), IF(F1503 = "Réttur", IFERROR(_xlfn.SINGLE(_xlfn.XLOOKUP(G1503, Réttabanki!A:A, Réttabanki!AV:AV, "")) * I1503 / 100, ""), "")))</f>
        <v/>
      </c>
      <c r="P1503" s="26" t="str">
        <f>IF(OR(F1503 = "", G1503 = "", I1503 = ""), "", IF(F1503 = "Vara", IFERROR(_xlfn.SINGLE(_xlfn.XLOOKUP(G1503, Vöruskrá!A:A, Vöruskrá!J:J, "")) * I1503 / 100, ""), IF(F1503 = "Réttur", IFERROR(_xlfn.SINGLE(_xlfn.XLOOKUP(G1503, Réttabanki!A:A, Réttabanki!AW:AW, "")) * I1503 / 100, ""), "")))</f>
        <v/>
      </c>
      <c r="Q1503" s="26" t="str">
        <f>IF(OR(F1503 = "", G1503 = "", I1503 = ""), "", IF(F1503 = "Vara", IFERROR(_xlfn.SINGLE(_xlfn.XLOOKUP(G1503, Vöruskrá!A:A, Vöruskrá!N:N, "")) * I1503 / 100, ""), IF(F1503 = "Réttur", IFERROR(_xlfn.SINGLE(_xlfn.XLOOKUP(G1503, Réttabanki!A:A, Réttabanki!BB:BB, "")) * I1503 / 100, ""), "")))</f>
        <v/>
      </c>
    </row>
    <row r="1504" spans="2:17">
      <c r="B1504" s="33" t="str">
        <f>IF(A1504&lt;&gt;"",CHOOSE(WEEKDAY(A1504,2),"Mánudagur","Þriðjudagur","Miðvikudagur","Fimmtudagur","Föstudagur","Laugardagur","Sunnudagur"),IF(B1503&lt;&gt;"",B1503,""))</f>
        <v>Fimmtudagur</v>
      </c>
      <c r="C1504" s="33">
        <f>IF(A1504&lt;&gt;"",WEEKNUM(A1504,21),IF(C1503&lt;&gt;"",C1503,""))</f>
        <v>27</v>
      </c>
      <c r="D1504" s="34"/>
      <c r="E1504" s="34"/>
      <c r="F1504" s="34"/>
      <c r="G1504" s="34"/>
      <c r="H1504" s="34"/>
      <c r="I1504" s="35"/>
      <c r="J1504" s="35"/>
      <c r="K1504" s="36"/>
      <c r="L1504" s="26" t="str">
        <f>IF(OR(F1504 = "", G1504 = ""), "", IF(F1504 = "Vara", IFERROR(_xlfn.SINGLE(_xlfn.XLOOKUP(G1504, Vöruskrá!A:A, Vöruskrá!E:E, "")), ""), IF(F1504 = "Réttur", IFERROR(_xlfn.SINGLE(_xlfn.XLOOKUP(G1504, Réttabanki!A:A, Réttabanki!AS:AS, "")), ""), "")))</f>
        <v/>
      </c>
      <c r="M1504" s="26" t="str">
        <f>IF(OR(F1504 = "", G1504 = ""), "", IF(F1504 = "Vara", IFERROR(_xlfn.SINGLE(_xlfn.XLOOKUP(G1504, Vöruskrá!A:A, Vöruskrá!F:F, "")), ""), IF(F1504 = "Réttur", IFERROR(_xlfn.SINGLE(_xlfn.XLOOKUP(G1504, Réttabanki!A:A, Réttabanki!AT:AT, "")), ""), "")))</f>
        <v/>
      </c>
      <c r="N1504" s="26" t="str">
        <f>IF(OR(F1504 = "", G1504 = ""), "", IF(F1504 = "Vara", IFERROR(_xlfn.SINGLE(_xlfn.XLOOKUP(G1504, Vöruskrá!A:A, Vöruskrá!G:G, "")), ""), IF(F1504 = "Réttur", IFERROR(_xlfn.SINGLE(_xlfn.XLOOKUP(G1504, Réttabanki!A:A, Réttabanki!AU:AU, "")), ""), "")))</f>
        <v/>
      </c>
      <c r="O1504" s="26" t="str">
        <f>IF(OR(F1504 = "", G1504 = "", I1504 = ""), "", IF(F1504 = "Vara", IFERROR(_xlfn.SINGLE(_xlfn.XLOOKUP(G1504, Vöruskrá!A:A, Vöruskrá!I:I, "")) * I1504 / 100, ""), IF(F1504 = "Réttur", IFERROR(_xlfn.SINGLE(_xlfn.XLOOKUP(G1504, Réttabanki!A:A, Réttabanki!AV:AV, "")) * I1504 / 100, ""), "")))</f>
        <v/>
      </c>
      <c r="P1504" s="26" t="str">
        <f>IF(OR(F1504 = "", G1504 = "", I1504 = ""), "", IF(F1504 = "Vara", IFERROR(_xlfn.SINGLE(_xlfn.XLOOKUP(G1504, Vöruskrá!A:A, Vöruskrá!J:J, "")) * I1504 / 100, ""), IF(F1504 = "Réttur", IFERROR(_xlfn.SINGLE(_xlfn.XLOOKUP(G1504, Réttabanki!A:A, Réttabanki!AW:AW, "")) * I1504 / 100, ""), "")))</f>
        <v/>
      </c>
      <c r="Q1504" s="26" t="str">
        <f>IF(OR(F1504 = "", G1504 = "", I1504 = ""), "", IF(F1504 = "Vara", IFERROR(_xlfn.SINGLE(_xlfn.XLOOKUP(G1504, Vöruskrá!A:A, Vöruskrá!N:N, "")) * I1504 / 100, ""), IF(F1504 = "Réttur", IFERROR(_xlfn.SINGLE(_xlfn.XLOOKUP(G1504, Réttabanki!A:A, Réttabanki!BB:BB, "")) * I1504 / 100, ""), "")))</f>
        <v/>
      </c>
    </row>
    <row r="1505" spans="2:17">
      <c r="B1505" s="33" t="str">
        <f>IF(A1505&lt;&gt;"",CHOOSE(WEEKDAY(A1505,2),"Mánudagur","Þriðjudagur","Miðvikudagur","Fimmtudagur","Föstudagur","Laugardagur","Sunnudagur"),IF(B1504&lt;&gt;"",B1504,""))</f>
        <v>Fimmtudagur</v>
      </c>
      <c r="C1505" s="33">
        <f>IF(A1505&lt;&gt;"",WEEKNUM(A1505,21),IF(C1504&lt;&gt;"",C1504,""))</f>
        <v>27</v>
      </c>
      <c r="D1505" s="34"/>
      <c r="E1505" s="34"/>
      <c r="F1505" s="34"/>
      <c r="G1505" s="34"/>
      <c r="H1505" s="34"/>
      <c r="I1505" s="35"/>
      <c r="J1505" s="35"/>
      <c r="K1505" s="36"/>
      <c r="L1505" s="26" t="str">
        <f>IF(OR(F1505 = "", G1505 = ""), "", IF(F1505 = "Vara", IFERROR(_xlfn.SINGLE(_xlfn.XLOOKUP(G1505, Vöruskrá!A:A, Vöruskrá!E:E, "")), ""), IF(F1505 = "Réttur", IFERROR(_xlfn.SINGLE(_xlfn.XLOOKUP(G1505, Réttabanki!A:A, Réttabanki!AS:AS, "")), ""), "")))</f>
        <v/>
      </c>
      <c r="M1505" s="26" t="str">
        <f>IF(OR(F1505 = "", G1505 = ""), "", IF(F1505 = "Vara", IFERROR(_xlfn.SINGLE(_xlfn.XLOOKUP(G1505, Vöruskrá!A:A, Vöruskrá!F:F, "")), ""), IF(F1505 = "Réttur", IFERROR(_xlfn.SINGLE(_xlfn.XLOOKUP(G1505, Réttabanki!A:A, Réttabanki!AT:AT, "")), ""), "")))</f>
        <v/>
      </c>
      <c r="N1505" s="26" t="str">
        <f>IF(OR(F1505 = "", G1505 = ""), "", IF(F1505 = "Vara", IFERROR(_xlfn.SINGLE(_xlfn.XLOOKUP(G1505, Vöruskrá!A:A, Vöruskrá!G:G, "")), ""), IF(F1505 = "Réttur", IFERROR(_xlfn.SINGLE(_xlfn.XLOOKUP(G1505, Réttabanki!A:A, Réttabanki!AU:AU, "")), ""), "")))</f>
        <v/>
      </c>
      <c r="O1505" s="26" t="str">
        <f>IF(OR(F1505 = "", G1505 = "", I1505 = ""), "", IF(F1505 = "Vara", IFERROR(_xlfn.SINGLE(_xlfn.XLOOKUP(G1505, Vöruskrá!A:A, Vöruskrá!I:I, "")) * I1505 / 100, ""), IF(F1505 = "Réttur", IFERROR(_xlfn.SINGLE(_xlfn.XLOOKUP(G1505, Réttabanki!A:A, Réttabanki!AV:AV, "")) * I1505 / 100, ""), "")))</f>
        <v/>
      </c>
      <c r="P1505" s="26" t="str">
        <f>IF(OR(F1505 = "", G1505 = "", I1505 = ""), "", IF(F1505 = "Vara", IFERROR(_xlfn.SINGLE(_xlfn.XLOOKUP(G1505, Vöruskrá!A:A, Vöruskrá!J:J, "")) * I1505 / 100, ""), IF(F1505 = "Réttur", IFERROR(_xlfn.SINGLE(_xlfn.XLOOKUP(G1505, Réttabanki!A:A, Réttabanki!AW:AW, "")) * I1505 / 100, ""), "")))</f>
        <v/>
      </c>
      <c r="Q1505" s="26" t="str">
        <f>IF(OR(F1505 = "", G1505 = "", I1505 = ""), "", IF(F1505 = "Vara", IFERROR(_xlfn.SINGLE(_xlfn.XLOOKUP(G1505, Vöruskrá!A:A, Vöruskrá!N:N, "")) * I1505 / 100, ""), IF(F1505 = "Réttur", IFERROR(_xlfn.SINGLE(_xlfn.XLOOKUP(G1505, Réttabanki!A:A, Réttabanki!BB:BB, "")) * I1505 / 100, ""), "")))</f>
        <v/>
      </c>
    </row>
    <row r="1506" spans="2:17">
      <c r="B1506" s="33" t="str">
        <f>IF(A1506&lt;&gt;"",CHOOSE(WEEKDAY(A1506,2),"Mánudagur","Þriðjudagur","Miðvikudagur","Fimmtudagur","Föstudagur","Laugardagur","Sunnudagur"),IF(B1505&lt;&gt;"",B1505,""))</f>
        <v>Fimmtudagur</v>
      </c>
      <c r="C1506" s="33">
        <f>IF(A1506&lt;&gt;"",WEEKNUM(A1506,21),IF(C1505&lt;&gt;"",C1505,""))</f>
        <v>27</v>
      </c>
      <c r="D1506" s="34"/>
      <c r="E1506" s="34"/>
      <c r="F1506" s="34"/>
      <c r="G1506" s="34"/>
      <c r="H1506" s="34"/>
      <c r="I1506" s="35"/>
      <c r="J1506" s="35"/>
      <c r="K1506" s="36"/>
      <c r="L1506" s="26" t="str">
        <f>IF(OR(F1506 = "", G1506 = ""), "", IF(F1506 = "Vara", IFERROR(_xlfn.SINGLE(_xlfn.XLOOKUP(G1506, Vöruskrá!A:A, Vöruskrá!E:E, "")), ""), IF(F1506 = "Réttur", IFERROR(_xlfn.SINGLE(_xlfn.XLOOKUP(G1506, Réttabanki!A:A, Réttabanki!AS:AS, "")), ""), "")))</f>
        <v/>
      </c>
      <c r="M1506" s="26" t="str">
        <f>IF(OR(F1506 = "", G1506 = ""), "", IF(F1506 = "Vara", IFERROR(_xlfn.SINGLE(_xlfn.XLOOKUP(G1506, Vöruskrá!A:A, Vöruskrá!F:F, "")), ""), IF(F1506 = "Réttur", IFERROR(_xlfn.SINGLE(_xlfn.XLOOKUP(G1506, Réttabanki!A:A, Réttabanki!AT:AT, "")), ""), "")))</f>
        <v/>
      </c>
      <c r="N1506" s="26" t="str">
        <f>IF(OR(F1506 = "", G1506 = ""), "", IF(F1506 = "Vara", IFERROR(_xlfn.SINGLE(_xlfn.XLOOKUP(G1506, Vöruskrá!A:A, Vöruskrá!G:G, "")), ""), IF(F1506 = "Réttur", IFERROR(_xlfn.SINGLE(_xlfn.XLOOKUP(G1506, Réttabanki!A:A, Réttabanki!AU:AU, "")), ""), "")))</f>
        <v/>
      </c>
      <c r="O1506" s="26" t="str">
        <f>IF(OR(F1506 = "", G1506 = "", I1506 = ""), "", IF(F1506 = "Vara", IFERROR(_xlfn.SINGLE(_xlfn.XLOOKUP(G1506, Vöruskrá!A:A, Vöruskrá!I:I, "")) * I1506 / 100, ""), IF(F1506 = "Réttur", IFERROR(_xlfn.SINGLE(_xlfn.XLOOKUP(G1506, Réttabanki!A:A, Réttabanki!AV:AV, "")) * I1506 / 100, ""), "")))</f>
        <v/>
      </c>
      <c r="P1506" s="26" t="str">
        <f>IF(OR(F1506 = "", G1506 = "", I1506 = ""), "", IF(F1506 = "Vara", IFERROR(_xlfn.SINGLE(_xlfn.XLOOKUP(G1506, Vöruskrá!A:A, Vöruskrá!J:J, "")) * I1506 / 100, ""), IF(F1506 = "Réttur", IFERROR(_xlfn.SINGLE(_xlfn.XLOOKUP(G1506, Réttabanki!A:A, Réttabanki!AW:AW, "")) * I1506 / 100, ""), "")))</f>
        <v/>
      </c>
      <c r="Q1506" s="26" t="str">
        <f>IF(OR(F1506 = "", G1506 = "", I1506 = ""), "", IF(F1506 = "Vara", IFERROR(_xlfn.SINGLE(_xlfn.XLOOKUP(G1506, Vöruskrá!A:A, Vöruskrá!N:N, "")) * I1506 / 100, ""), IF(F1506 = "Réttur", IFERROR(_xlfn.SINGLE(_xlfn.XLOOKUP(G1506, Réttabanki!A:A, Réttabanki!BB:BB, "")) * I1506 / 100, ""), "")))</f>
        <v/>
      </c>
    </row>
    <row r="1507" spans="2:17">
      <c r="B1507" s="33" t="str">
        <f>IF(A1507&lt;&gt;"",CHOOSE(WEEKDAY(A1507,2),"Mánudagur","Þriðjudagur","Miðvikudagur","Fimmtudagur","Föstudagur","Laugardagur","Sunnudagur"),IF(B1506&lt;&gt;"",B1506,""))</f>
        <v>Fimmtudagur</v>
      </c>
      <c r="C1507" s="33">
        <f>IF(A1507&lt;&gt;"",WEEKNUM(A1507,21),IF(C1506&lt;&gt;"",C1506,""))</f>
        <v>27</v>
      </c>
      <c r="D1507" s="34"/>
      <c r="E1507" s="34"/>
      <c r="F1507" s="34"/>
      <c r="G1507" s="34"/>
      <c r="H1507" s="34"/>
      <c r="I1507" s="35"/>
      <c r="J1507" s="35"/>
      <c r="K1507" s="36"/>
      <c r="L1507" s="26" t="str">
        <f>IF(OR(F1507 = "", G1507 = ""), "", IF(F1507 = "Vara", IFERROR(_xlfn.SINGLE(_xlfn.XLOOKUP(G1507, Vöruskrá!A:A, Vöruskrá!E:E, "")), ""), IF(F1507 = "Réttur", IFERROR(_xlfn.SINGLE(_xlfn.XLOOKUP(G1507, Réttabanki!A:A, Réttabanki!AS:AS, "")), ""), "")))</f>
        <v/>
      </c>
      <c r="M1507" s="26" t="str">
        <f>IF(OR(F1507 = "", G1507 = ""), "", IF(F1507 = "Vara", IFERROR(_xlfn.SINGLE(_xlfn.XLOOKUP(G1507, Vöruskrá!A:A, Vöruskrá!F:F, "")), ""), IF(F1507 = "Réttur", IFERROR(_xlfn.SINGLE(_xlfn.XLOOKUP(G1507, Réttabanki!A:A, Réttabanki!AT:AT, "")), ""), "")))</f>
        <v/>
      </c>
      <c r="N1507" s="26" t="str">
        <f>IF(OR(F1507 = "", G1507 = ""), "", IF(F1507 = "Vara", IFERROR(_xlfn.SINGLE(_xlfn.XLOOKUP(G1507, Vöruskrá!A:A, Vöruskrá!G:G, "")), ""), IF(F1507 = "Réttur", IFERROR(_xlfn.SINGLE(_xlfn.XLOOKUP(G1507, Réttabanki!A:A, Réttabanki!AU:AU, "")), ""), "")))</f>
        <v/>
      </c>
      <c r="O1507" s="26" t="str">
        <f>IF(OR(F1507 = "", G1507 = "", I1507 = ""), "", IF(F1507 = "Vara", IFERROR(_xlfn.SINGLE(_xlfn.XLOOKUP(G1507, Vöruskrá!A:A, Vöruskrá!I:I, "")) * I1507 / 100, ""), IF(F1507 = "Réttur", IFERROR(_xlfn.SINGLE(_xlfn.XLOOKUP(G1507, Réttabanki!A:A, Réttabanki!AV:AV, "")) * I1507 / 100, ""), "")))</f>
        <v/>
      </c>
      <c r="P1507" s="26" t="str">
        <f>IF(OR(F1507 = "", G1507 = "", I1507 = ""), "", IF(F1507 = "Vara", IFERROR(_xlfn.SINGLE(_xlfn.XLOOKUP(G1507, Vöruskrá!A:A, Vöruskrá!J:J, "")) * I1507 / 100, ""), IF(F1507 = "Réttur", IFERROR(_xlfn.SINGLE(_xlfn.XLOOKUP(G1507, Réttabanki!A:A, Réttabanki!AW:AW, "")) * I1507 / 100, ""), "")))</f>
        <v/>
      </c>
      <c r="Q1507" s="26" t="str">
        <f>IF(OR(F1507 = "", G1507 = "", I1507 = ""), "", IF(F1507 = "Vara", IFERROR(_xlfn.SINGLE(_xlfn.XLOOKUP(G1507, Vöruskrá!A:A, Vöruskrá!N:N, "")) * I1507 / 100, ""), IF(F1507 = "Réttur", IFERROR(_xlfn.SINGLE(_xlfn.XLOOKUP(G1507, Réttabanki!A:A, Réttabanki!BB:BB, "")) * I1507 / 100, ""), "")))</f>
        <v/>
      </c>
    </row>
    <row r="1508" spans="2:17">
      <c r="B1508" s="33" t="str">
        <f>IF(A1508&lt;&gt;"",CHOOSE(WEEKDAY(A1508,2),"Mánudagur","Þriðjudagur","Miðvikudagur","Fimmtudagur","Föstudagur","Laugardagur","Sunnudagur"),IF(B1507&lt;&gt;"",B1507,""))</f>
        <v>Fimmtudagur</v>
      </c>
      <c r="C1508" s="33">
        <f>IF(A1508&lt;&gt;"",WEEKNUM(A1508,21),IF(C1507&lt;&gt;"",C1507,""))</f>
        <v>27</v>
      </c>
      <c r="D1508" s="34"/>
      <c r="E1508" s="34"/>
      <c r="F1508" s="34"/>
      <c r="G1508" s="34"/>
      <c r="H1508" s="34"/>
      <c r="I1508" s="35"/>
      <c r="J1508" s="35"/>
      <c r="K1508" s="36"/>
      <c r="L1508" s="26" t="str">
        <f>IF(OR(F1508 = "", G1508 = ""), "", IF(F1508 = "Vara", IFERROR(_xlfn.SINGLE(_xlfn.XLOOKUP(G1508, Vöruskrá!A:A, Vöruskrá!E:E, "")), ""), IF(F1508 = "Réttur", IFERROR(_xlfn.SINGLE(_xlfn.XLOOKUP(G1508, Réttabanki!A:A, Réttabanki!AS:AS, "")), ""), "")))</f>
        <v/>
      </c>
      <c r="M1508" s="26" t="str">
        <f>IF(OR(F1508 = "", G1508 = ""), "", IF(F1508 = "Vara", IFERROR(_xlfn.SINGLE(_xlfn.XLOOKUP(G1508, Vöruskrá!A:A, Vöruskrá!F:F, "")), ""), IF(F1508 = "Réttur", IFERROR(_xlfn.SINGLE(_xlfn.XLOOKUP(G1508, Réttabanki!A:A, Réttabanki!AT:AT, "")), ""), "")))</f>
        <v/>
      </c>
      <c r="N1508" s="26" t="str">
        <f>IF(OR(F1508 = "", G1508 = ""), "", IF(F1508 = "Vara", IFERROR(_xlfn.SINGLE(_xlfn.XLOOKUP(G1508, Vöruskrá!A:A, Vöruskrá!G:G, "")), ""), IF(F1508 = "Réttur", IFERROR(_xlfn.SINGLE(_xlfn.XLOOKUP(G1508, Réttabanki!A:A, Réttabanki!AU:AU, "")), ""), "")))</f>
        <v/>
      </c>
      <c r="O1508" s="26" t="str">
        <f>IF(OR(F1508 = "", G1508 = "", I1508 = ""), "", IF(F1508 = "Vara", IFERROR(_xlfn.SINGLE(_xlfn.XLOOKUP(G1508, Vöruskrá!A:A, Vöruskrá!I:I, "")) * I1508 / 100, ""), IF(F1508 = "Réttur", IFERROR(_xlfn.SINGLE(_xlfn.XLOOKUP(G1508, Réttabanki!A:A, Réttabanki!AV:AV, "")) * I1508 / 100, ""), "")))</f>
        <v/>
      </c>
      <c r="P1508" s="26" t="str">
        <f>IF(OR(F1508 = "", G1508 = "", I1508 = ""), "", IF(F1508 = "Vara", IFERROR(_xlfn.SINGLE(_xlfn.XLOOKUP(G1508, Vöruskrá!A:A, Vöruskrá!J:J, "")) * I1508 / 100, ""), IF(F1508 = "Réttur", IFERROR(_xlfn.SINGLE(_xlfn.XLOOKUP(G1508, Réttabanki!A:A, Réttabanki!AW:AW, "")) * I1508 / 100, ""), "")))</f>
        <v/>
      </c>
      <c r="Q1508" s="26" t="str">
        <f>IF(OR(F1508 = "", G1508 = "", I1508 = ""), "", IF(F1508 = "Vara", IFERROR(_xlfn.SINGLE(_xlfn.XLOOKUP(G1508, Vöruskrá!A:A, Vöruskrá!N:N, "")) * I1508 / 100, ""), IF(F1508 = "Réttur", IFERROR(_xlfn.SINGLE(_xlfn.XLOOKUP(G1508, Réttabanki!A:A, Réttabanki!BB:BB, "")) * I1508 / 100, ""), "")))</f>
        <v/>
      </c>
    </row>
    <row r="1509" spans="2:17">
      <c r="B1509" s="33" t="str">
        <f>IF(A1509&lt;&gt;"",CHOOSE(WEEKDAY(A1509,2),"Mánudagur","Þriðjudagur","Miðvikudagur","Fimmtudagur","Föstudagur","Laugardagur","Sunnudagur"),IF(B1508&lt;&gt;"",B1508,""))</f>
        <v>Fimmtudagur</v>
      </c>
      <c r="C1509" s="33">
        <f>IF(A1509&lt;&gt;"",WEEKNUM(A1509,21),IF(C1508&lt;&gt;"",C1508,""))</f>
        <v>27</v>
      </c>
      <c r="D1509" s="34"/>
      <c r="E1509" s="34"/>
      <c r="F1509" s="34"/>
      <c r="G1509" s="34"/>
      <c r="H1509" s="34"/>
      <c r="I1509" s="35"/>
      <c r="J1509" s="35"/>
      <c r="K1509" s="36"/>
      <c r="L1509" s="26" t="str">
        <f>IF(OR(F1509 = "", G1509 = ""), "", IF(F1509 = "Vara", IFERROR(_xlfn.SINGLE(_xlfn.XLOOKUP(G1509, Vöruskrá!A:A, Vöruskrá!E:E, "")), ""), IF(F1509 = "Réttur", IFERROR(_xlfn.SINGLE(_xlfn.XLOOKUP(G1509, Réttabanki!A:A, Réttabanki!AS:AS, "")), ""), "")))</f>
        <v/>
      </c>
      <c r="M1509" s="26" t="str">
        <f>IF(OR(F1509 = "", G1509 = ""), "", IF(F1509 = "Vara", IFERROR(_xlfn.SINGLE(_xlfn.XLOOKUP(G1509, Vöruskrá!A:A, Vöruskrá!F:F, "")), ""), IF(F1509 = "Réttur", IFERROR(_xlfn.SINGLE(_xlfn.XLOOKUP(G1509, Réttabanki!A:A, Réttabanki!AT:AT, "")), ""), "")))</f>
        <v/>
      </c>
      <c r="N1509" s="26" t="str">
        <f>IF(OR(F1509 = "", G1509 = ""), "", IF(F1509 = "Vara", IFERROR(_xlfn.SINGLE(_xlfn.XLOOKUP(G1509, Vöruskrá!A:A, Vöruskrá!G:G, "")), ""), IF(F1509 = "Réttur", IFERROR(_xlfn.SINGLE(_xlfn.XLOOKUP(G1509, Réttabanki!A:A, Réttabanki!AU:AU, "")), ""), "")))</f>
        <v/>
      </c>
      <c r="O1509" s="26" t="str">
        <f>IF(OR(F1509 = "", G1509 = "", I1509 = ""), "", IF(F1509 = "Vara", IFERROR(_xlfn.SINGLE(_xlfn.XLOOKUP(G1509, Vöruskrá!A:A, Vöruskrá!I:I, "")) * I1509 / 100, ""), IF(F1509 = "Réttur", IFERROR(_xlfn.SINGLE(_xlfn.XLOOKUP(G1509, Réttabanki!A:A, Réttabanki!AV:AV, "")) * I1509 / 100, ""), "")))</f>
        <v/>
      </c>
      <c r="P1509" s="26" t="str">
        <f>IF(OR(F1509 = "", G1509 = "", I1509 = ""), "", IF(F1509 = "Vara", IFERROR(_xlfn.SINGLE(_xlfn.XLOOKUP(G1509, Vöruskrá!A:A, Vöruskrá!J:J, "")) * I1509 / 100, ""), IF(F1509 = "Réttur", IFERROR(_xlfn.SINGLE(_xlfn.XLOOKUP(G1509, Réttabanki!A:A, Réttabanki!AW:AW, "")) * I1509 / 100, ""), "")))</f>
        <v/>
      </c>
      <c r="Q1509" s="26" t="str">
        <f>IF(OR(F1509 = "", G1509 = "", I1509 = ""), "", IF(F1509 = "Vara", IFERROR(_xlfn.SINGLE(_xlfn.XLOOKUP(G1509, Vöruskrá!A:A, Vöruskrá!N:N, "")) * I1509 / 100, ""), IF(F1509 = "Réttur", IFERROR(_xlfn.SINGLE(_xlfn.XLOOKUP(G1509, Réttabanki!A:A, Réttabanki!BB:BB, "")) * I1509 / 100, ""), "")))</f>
        <v/>
      </c>
    </row>
    <row r="1510" spans="2:17">
      <c r="B1510" s="33" t="str">
        <f>IF(A1510&lt;&gt;"",CHOOSE(WEEKDAY(A1510,2),"Mánudagur","Þriðjudagur","Miðvikudagur","Fimmtudagur","Föstudagur","Laugardagur","Sunnudagur"),IF(B1509&lt;&gt;"",B1509,""))</f>
        <v>Fimmtudagur</v>
      </c>
      <c r="C1510" s="33">
        <f>IF(A1510&lt;&gt;"",WEEKNUM(A1510,21),IF(C1509&lt;&gt;"",C1509,""))</f>
        <v>27</v>
      </c>
      <c r="D1510" s="34"/>
      <c r="E1510" s="34"/>
      <c r="F1510" s="34"/>
      <c r="G1510" s="34"/>
      <c r="H1510" s="34"/>
      <c r="I1510" s="35"/>
      <c r="J1510" s="35"/>
      <c r="K1510" s="36"/>
      <c r="L1510" s="26" t="str">
        <f>IF(OR(F1510 = "", G1510 = ""), "", IF(F1510 = "Vara", IFERROR(_xlfn.SINGLE(_xlfn.XLOOKUP(G1510, Vöruskrá!A:A, Vöruskrá!E:E, "")), ""), IF(F1510 = "Réttur", IFERROR(_xlfn.SINGLE(_xlfn.XLOOKUP(G1510, Réttabanki!A:A, Réttabanki!AS:AS, "")), ""), "")))</f>
        <v/>
      </c>
      <c r="M1510" s="26" t="str">
        <f>IF(OR(F1510 = "", G1510 = ""), "", IF(F1510 = "Vara", IFERROR(_xlfn.SINGLE(_xlfn.XLOOKUP(G1510, Vöruskrá!A:A, Vöruskrá!F:F, "")), ""), IF(F1510 = "Réttur", IFERROR(_xlfn.SINGLE(_xlfn.XLOOKUP(G1510, Réttabanki!A:A, Réttabanki!AT:AT, "")), ""), "")))</f>
        <v/>
      </c>
      <c r="N1510" s="26" t="str">
        <f>IF(OR(F1510 = "", G1510 = ""), "", IF(F1510 = "Vara", IFERROR(_xlfn.SINGLE(_xlfn.XLOOKUP(G1510, Vöruskrá!A:A, Vöruskrá!G:G, "")), ""), IF(F1510 = "Réttur", IFERROR(_xlfn.SINGLE(_xlfn.XLOOKUP(G1510, Réttabanki!A:A, Réttabanki!AU:AU, "")), ""), "")))</f>
        <v/>
      </c>
      <c r="O1510" s="26" t="str">
        <f>IF(OR(F1510 = "", G1510 = "", I1510 = ""), "", IF(F1510 = "Vara", IFERROR(_xlfn.SINGLE(_xlfn.XLOOKUP(G1510, Vöruskrá!A:A, Vöruskrá!I:I, "")) * I1510 / 100, ""), IF(F1510 = "Réttur", IFERROR(_xlfn.SINGLE(_xlfn.XLOOKUP(G1510, Réttabanki!A:A, Réttabanki!AV:AV, "")) * I1510 / 100, ""), "")))</f>
        <v/>
      </c>
      <c r="P1510" s="26" t="str">
        <f>IF(OR(F1510 = "", G1510 = "", I1510 = ""), "", IF(F1510 = "Vara", IFERROR(_xlfn.SINGLE(_xlfn.XLOOKUP(G1510, Vöruskrá!A:A, Vöruskrá!J:J, "")) * I1510 / 100, ""), IF(F1510 = "Réttur", IFERROR(_xlfn.SINGLE(_xlfn.XLOOKUP(G1510, Réttabanki!A:A, Réttabanki!AW:AW, "")) * I1510 / 100, ""), "")))</f>
        <v/>
      </c>
      <c r="Q1510" s="26" t="str">
        <f>IF(OR(F1510 = "", G1510 = "", I1510 = ""), "", IF(F1510 = "Vara", IFERROR(_xlfn.SINGLE(_xlfn.XLOOKUP(G1510, Vöruskrá!A:A, Vöruskrá!N:N, "")) * I1510 / 100, ""), IF(F1510 = "Réttur", IFERROR(_xlfn.SINGLE(_xlfn.XLOOKUP(G1510, Réttabanki!A:A, Réttabanki!BB:BB, "")) * I1510 / 100, ""), "")))</f>
        <v/>
      </c>
    </row>
    <row r="1511" spans="2:17">
      <c r="B1511" s="33" t="str">
        <f>IF(A1511&lt;&gt;"",CHOOSE(WEEKDAY(A1511,2),"Mánudagur","Þriðjudagur","Miðvikudagur","Fimmtudagur","Föstudagur","Laugardagur","Sunnudagur"),IF(B1510&lt;&gt;"",B1510,""))</f>
        <v>Fimmtudagur</v>
      </c>
      <c r="C1511" s="33">
        <f>IF(A1511&lt;&gt;"",WEEKNUM(A1511,21),IF(C1510&lt;&gt;"",C1510,""))</f>
        <v>27</v>
      </c>
      <c r="D1511" s="34"/>
      <c r="E1511" s="34"/>
      <c r="F1511" s="34"/>
      <c r="G1511" s="34"/>
      <c r="H1511" s="34"/>
      <c r="I1511" s="35"/>
      <c r="J1511" s="35"/>
      <c r="K1511" s="36"/>
      <c r="L1511" s="26" t="str">
        <f>IF(OR(F1511 = "", G1511 = ""), "", IF(F1511 = "Vara", IFERROR(_xlfn.SINGLE(_xlfn.XLOOKUP(G1511, Vöruskrá!A:A, Vöruskrá!E:E, "")), ""), IF(F1511 = "Réttur", IFERROR(_xlfn.SINGLE(_xlfn.XLOOKUP(G1511, Réttabanki!A:A, Réttabanki!AS:AS, "")), ""), "")))</f>
        <v/>
      </c>
      <c r="M1511" s="26" t="str">
        <f>IF(OR(F1511 = "", G1511 = ""), "", IF(F1511 = "Vara", IFERROR(_xlfn.SINGLE(_xlfn.XLOOKUP(G1511, Vöruskrá!A:A, Vöruskrá!F:F, "")), ""), IF(F1511 = "Réttur", IFERROR(_xlfn.SINGLE(_xlfn.XLOOKUP(G1511, Réttabanki!A:A, Réttabanki!AT:AT, "")), ""), "")))</f>
        <v/>
      </c>
      <c r="N1511" s="26" t="str">
        <f>IF(OR(F1511 = "", G1511 = ""), "", IF(F1511 = "Vara", IFERROR(_xlfn.SINGLE(_xlfn.XLOOKUP(G1511, Vöruskrá!A:A, Vöruskrá!G:G, "")), ""), IF(F1511 = "Réttur", IFERROR(_xlfn.SINGLE(_xlfn.XLOOKUP(G1511, Réttabanki!A:A, Réttabanki!AU:AU, "")), ""), "")))</f>
        <v/>
      </c>
      <c r="O1511" s="26" t="str">
        <f>IF(OR(F1511 = "", G1511 = "", I1511 = ""), "", IF(F1511 = "Vara", IFERROR(_xlfn.SINGLE(_xlfn.XLOOKUP(G1511, Vöruskrá!A:A, Vöruskrá!I:I, "")) * I1511 / 100, ""), IF(F1511 = "Réttur", IFERROR(_xlfn.SINGLE(_xlfn.XLOOKUP(G1511, Réttabanki!A:A, Réttabanki!AV:AV, "")) * I1511 / 100, ""), "")))</f>
        <v/>
      </c>
      <c r="P1511" s="26" t="str">
        <f>IF(OR(F1511 = "", G1511 = "", I1511 = ""), "", IF(F1511 = "Vara", IFERROR(_xlfn.SINGLE(_xlfn.XLOOKUP(G1511, Vöruskrá!A:A, Vöruskrá!J:J, "")) * I1511 / 100, ""), IF(F1511 = "Réttur", IFERROR(_xlfn.SINGLE(_xlfn.XLOOKUP(G1511, Réttabanki!A:A, Réttabanki!AW:AW, "")) * I1511 / 100, ""), "")))</f>
        <v/>
      </c>
      <c r="Q1511" s="26" t="str">
        <f>IF(OR(F1511 = "", G1511 = "", I1511 = ""), "", IF(F1511 = "Vara", IFERROR(_xlfn.SINGLE(_xlfn.XLOOKUP(G1511, Vöruskrá!A:A, Vöruskrá!N:N, "")) * I1511 / 100, ""), IF(F1511 = "Réttur", IFERROR(_xlfn.SINGLE(_xlfn.XLOOKUP(G1511, Réttabanki!A:A, Réttabanki!BB:BB, "")) * I1511 / 100, ""), "")))</f>
        <v/>
      </c>
    </row>
    <row r="1512" spans="2:17">
      <c r="B1512" s="33" t="str">
        <f>IF(A1512&lt;&gt;"",CHOOSE(WEEKDAY(A1512,2),"Mánudagur","Þriðjudagur","Miðvikudagur","Fimmtudagur","Föstudagur","Laugardagur","Sunnudagur"),IF(B1511&lt;&gt;"",B1511,""))</f>
        <v>Fimmtudagur</v>
      </c>
      <c r="C1512" s="33">
        <f>IF(A1512&lt;&gt;"",WEEKNUM(A1512,21),IF(C1511&lt;&gt;"",C1511,""))</f>
        <v>27</v>
      </c>
      <c r="D1512" s="34"/>
      <c r="E1512" s="34"/>
      <c r="F1512" s="34"/>
      <c r="G1512" s="34"/>
      <c r="H1512" s="34"/>
      <c r="I1512" s="35"/>
      <c r="J1512" s="35"/>
      <c r="K1512" s="36"/>
      <c r="L1512" s="26" t="str">
        <f>IF(OR(F1512 = "", G1512 = ""), "", IF(F1512 = "Vara", IFERROR(_xlfn.SINGLE(_xlfn.XLOOKUP(G1512, Vöruskrá!A:A, Vöruskrá!E:E, "")), ""), IF(F1512 = "Réttur", IFERROR(_xlfn.SINGLE(_xlfn.XLOOKUP(G1512, Réttabanki!A:A, Réttabanki!AS:AS, "")), ""), "")))</f>
        <v/>
      </c>
      <c r="M1512" s="26" t="str">
        <f>IF(OR(F1512 = "", G1512 = ""), "", IF(F1512 = "Vara", IFERROR(_xlfn.SINGLE(_xlfn.XLOOKUP(G1512, Vöruskrá!A:A, Vöruskrá!F:F, "")), ""), IF(F1512 = "Réttur", IFERROR(_xlfn.SINGLE(_xlfn.XLOOKUP(G1512, Réttabanki!A:A, Réttabanki!AT:AT, "")), ""), "")))</f>
        <v/>
      </c>
      <c r="N1512" s="26" t="str">
        <f>IF(OR(F1512 = "", G1512 = ""), "", IF(F1512 = "Vara", IFERROR(_xlfn.SINGLE(_xlfn.XLOOKUP(G1512, Vöruskrá!A:A, Vöruskrá!G:G, "")), ""), IF(F1512 = "Réttur", IFERROR(_xlfn.SINGLE(_xlfn.XLOOKUP(G1512, Réttabanki!A:A, Réttabanki!AU:AU, "")), ""), "")))</f>
        <v/>
      </c>
      <c r="O1512" s="26" t="str">
        <f>IF(OR(F1512 = "", G1512 = "", I1512 = ""), "", IF(F1512 = "Vara", IFERROR(_xlfn.SINGLE(_xlfn.XLOOKUP(G1512, Vöruskrá!A:A, Vöruskrá!I:I, "")) * I1512 / 100, ""), IF(F1512 = "Réttur", IFERROR(_xlfn.SINGLE(_xlfn.XLOOKUP(G1512, Réttabanki!A:A, Réttabanki!AV:AV, "")) * I1512 / 100, ""), "")))</f>
        <v/>
      </c>
      <c r="P1512" s="26" t="str">
        <f>IF(OR(F1512 = "", G1512 = "", I1512 = ""), "", IF(F1512 = "Vara", IFERROR(_xlfn.SINGLE(_xlfn.XLOOKUP(G1512, Vöruskrá!A:A, Vöruskrá!J:J, "")) * I1512 / 100, ""), IF(F1512 = "Réttur", IFERROR(_xlfn.SINGLE(_xlfn.XLOOKUP(G1512, Réttabanki!A:A, Réttabanki!AW:AW, "")) * I1512 / 100, ""), "")))</f>
        <v/>
      </c>
      <c r="Q1512" s="26" t="str">
        <f>IF(OR(F1512 = "", G1512 = "", I1512 = ""), "", IF(F1512 = "Vara", IFERROR(_xlfn.SINGLE(_xlfn.XLOOKUP(G1512, Vöruskrá!A:A, Vöruskrá!N:N, "")) * I1512 / 100, ""), IF(F1512 = "Réttur", IFERROR(_xlfn.SINGLE(_xlfn.XLOOKUP(G1512, Réttabanki!A:A, Réttabanki!BB:BB, "")) * I1512 / 100, ""), "")))</f>
        <v/>
      </c>
    </row>
    <row r="1513" spans="2:17">
      <c r="B1513" s="33" t="str">
        <f>IF(A1513&lt;&gt;"",CHOOSE(WEEKDAY(A1513,2),"Mánudagur","Þriðjudagur","Miðvikudagur","Fimmtudagur","Föstudagur","Laugardagur","Sunnudagur"),IF(B1512&lt;&gt;"",B1512,""))</f>
        <v>Fimmtudagur</v>
      </c>
      <c r="C1513" s="33">
        <f>IF(A1513&lt;&gt;"",WEEKNUM(A1513,21),IF(C1512&lt;&gt;"",C1512,""))</f>
        <v>27</v>
      </c>
      <c r="D1513" s="34"/>
      <c r="E1513" s="34"/>
      <c r="F1513" s="34"/>
      <c r="G1513" s="34"/>
      <c r="H1513" s="34"/>
      <c r="I1513" s="35"/>
      <c r="J1513" s="35"/>
      <c r="K1513" s="36"/>
      <c r="L1513" s="26" t="str">
        <f>IF(OR(F1513 = "", G1513 = ""), "", IF(F1513 = "Vara", IFERROR(_xlfn.SINGLE(_xlfn.XLOOKUP(G1513, Vöruskrá!A:A, Vöruskrá!E:E, "")), ""), IF(F1513 = "Réttur", IFERROR(_xlfn.SINGLE(_xlfn.XLOOKUP(G1513, Réttabanki!A:A, Réttabanki!AS:AS, "")), ""), "")))</f>
        <v/>
      </c>
      <c r="M1513" s="26" t="str">
        <f>IF(OR(F1513 = "", G1513 = ""), "", IF(F1513 = "Vara", IFERROR(_xlfn.SINGLE(_xlfn.XLOOKUP(G1513, Vöruskrá!A:A, Vöruskrá!F:F, "")), ""), IF(F1513 = "Réttur", IFERROR(_xlfn.SINGLE(_xlfn.XLOOKUP(G1513, Réttabanki!A:A, Réttabanki!AT:AT, "")), ""), "")))</f>
        <v/>
      </c>
      <c r="N1513" s="26" t="str">
        <f>IF(OR(F1513 = "", G1513 = ""), "", IF(F1513 = "Vara", IFERROR(_xlfn.SINGLE(_xlfn.XLOOKUP(G1513, Vöruskrá!A:A, Vöruskrá!G:G, "")), ""), IF(F1513 = "Réttur", IFERROR(_xlfn.SINGLE(_xlfn.XLOOKUP(G1513, Réttabanki!A:A, Réttabanki!AU:AU, "")), ""), "")))</f>
        <v/>
      </c>
      <c r="O1513" s="26" t="str">
        <f>IF(OR(F1513 = "", G1513 = "", I1513 = ""), "", IF(F1513 = "Vara", IFERROR(_xlfn.SINGLE(_xlfn.XLOOKUP(G1513, Vöruskrá!A:A, Vöruskrá!I:I, "")) * I1513 / 100, ""), IF(F1513 = "Réttur", IFERROR(_xlfn.SINGLE(_xlfn.XLOOKUP(G1513, Réttabanki!A:A, Réttabanki!AV:AV, "")) * I1513 / 100, ""), "")))</f>
        <v/>
      </c>
      <c r="P1513" s="26" t="str">
        <f>IF(OR(F1513 = "", G1513 = "", I1513 = ""), "", IF(F1513 = "Vara", IFERROR(_xlfn.SINGLE(_xlfn.XLOOKUP(G1513, Vöruskrá!A:A, Vöruskrá!J:J, "")) * I1513 / 100, ""), IF(F1513 = "Réttur", IFERROR(_xlfn.SINGLE(_xlfn.XLOOKUP(G1513, Réttabanki!A:A, Réttabanki!AW:AW, "")) * I1513 / 100, ""), "")))</f>
        <v/>
      </c>
      <c r="Q1513" s="26" t="str">
        <f>IF(OR(F1513 = "", G1513 = "", I1513 = ""), "", IF(F1513 = "Vara", IFERROR(_xlfn.SINGLE(_xlfn.XLOOKUP(G1513, Vöruskrá!A:A, Vöruskrá!N:N, "")) * I1513 / 100, ""), IF(F1513 = "Réttur", IFERROR(_xlfn.SINGLE(_xlfn.XLOOKUP(G1513, Réttabanki!A:A, Réttabanki!BB:BB, "")) * I1513 / 100, ""), "")))</f>
        <v/>
      </c>
    </row>
    <row r="1514" spans="2:17">
      <c r="B1514" s="33" t="str">
        <f>IF(A1514&lt;&gt;"",CHOOSE(WEEKDAY(A1514,2),"Mánudagur","Þriðjudagur","Miðvikudagur","Fimmtudagur","Föstudagur","Laugardagur","Sunnudagur"),IF(B1513&lt;&gt;"",B1513,""))</f>
        <v>Fimmtudagur</v>
      </c>
      <c r="C1514" s="33">
        <f>IF(A1514&lt;&gt;"",WEEKNUM(A1514,21),IF(C1513&lt;&gt;"",C1513,""))</f>
        <v>27</v>
      </c>
      <c r="D1514" s="34"/>
      <c r="E1514" s="34"/>
      <c r="F1514" s="34"/>
      <c r="G1514" s="34"/>
      <c r="H1514" s="34"/>
      <c r="I1514" s="35"/>
      <c r="J1514" s="35"/>
      <c r="K1514" s="36"/>
      <c r="L1514" s="26" t="str">
        <f>IF(OR(F1514 = "", G1514 = ""), "", IF(F1514 = "Vara", IFERROR(_xlfn.SINGLE(_xlfn.XLOOKUP(G1514, Vöruskrá!A:A, Vöruskrá!E:E, "")), ""), IF(F1514 = "Réttur", IFERROR(_xlfn.SINGLE(_xlfn.XLOOKUP(G1514, Réttabanki!A:A, Réttabanki!AS:AS, "")), ""), "")))</f>
        <v/>
      </c>
      <c r="M1514" s="26" t="str">
        <f>IF(OR(F1514 = "", G1514 = ""), "", IF(F1514 = "Vara", IFERROR(_xlfn.SINGLE(_xlfn.XLOOKUP(G1514, Vöruskrá!A:A, Vöruskrá!F:F, "")), ""), IF(F1514 = "Réttur", IFERROR(_xlfn.SINGLE(_xlfn.XLOOKUP(G1514, Réttabanki!A:A, Réttabanki!AT:AT, "")), ""), "")))</f>
        <v/>
      </c>
      <c r="N1514" s="26" t="str">
        <f>IF(OR(F1514 = "", G1514 = ""), "", IF(F1514 = "Vara", IFERROR(_xlfn.SINGLE(_xlfn.XLOOKUP(G1514, Vöruskrá!A:A, Vöruskrá!G:G, "")), ""), IF(F1514 = "Réttur", IFERROR(_xlfn.SINGLE(_xlfn.XLOOKUP(G1514, Réttabanki!A:A, Réttabanki!AU:AU, "")), ""), "")))</f>
        <v/>
      </c>
      <c r="O1514" s="26" t="str">
        <f>IF(OR(F1514 = "", G1514 = "", I1514 = ""), "", IF(F1514 = "Vara", IFERROR(_xlfn.SINGLE(_xlfn.XLOOKUP(G1514, Vöruskrá!A:A, Vöruskrá!I:I, "")) * I1514 / 100, ""), IF(F1514 = "Réttur", IFERROR(_xlfn.SINGLE(_xlfn.XLOOKUP(G1514, Réttabanki!A:A, Réttabanki!AV:AV, "")) * I1514 / 100, ""), "")))</f>
        <v/>
      </c>
      <c r="P1514" s="26" t="str">
        <f>IF(OR(F1514 = "", G1514 = "", I1514 = ""), "", IF(F1514 = "Vara", IFERROR(_xlfn.SINGLE(_xlfn.XLOOKUP(G1514, Vöruskrá!A:A, Vöruskrá!J:J, "")) * I1514 / 100, ""), IF(F1514 = "Réttur", IFERROR(_xlfn.SINGLE(_xlfn.XLOOKUP(G1514, Réttabanki!A:A, Réttabanki!AW:AW, "")) * I1514 / 100, ""), "")))</f>
        <v/>
      </c>
      <c r="Q1514" s="26" t="str">
        <f>IF(OR(F1514 = "", G1514 = "", I1514 = ""), "", IF(F1514 = "Vara", IFERROR(_xlfn.SINGLE(_xlfn.XLOOKUP(G1514, Vöruskrá!A:A, Vöruskrá!N:N, "")) * I1514 / 100, ""), IF(F1514 = "Réttur", IFERROR(_xlfn.SINGLE(_xlfn.XLOOKUP(G1514, Réttabanki!A:A, Réttabanki!BB:BB, "")) * I1514 / 100, ""), "")))</f>
        <v/>
      </c>
    </row>
    <row r="1515" spans="2:17">
      <c r="B1515" s="33" t="str">
        <f>IF(A1515&lt;&gt;"",CHOOSE(WEEKDAY(A1515,2),"Mánudagur","Þriðjudagur","Miðvikudagur","Fimmtudagur","Föstudagur","Laugardagur","Sunnudagur"),IF(B1514&lt;&gt;"",B1514,""))</f>
        <v>Fimmtudagur</v>
      </c>
      <c r="C1515" s="33">
        <f>IF(A1515&lt;&gt;"",WEEKNUM(A1515,21),IF(C1514&lt;&gt;"",C1514,""))</f>
        <v>27</v>
      </c>
      <c r="D1515" s="34"/>
      <c r="E1515" s="34"/>
      <c r="F1515" s="34"/>
      <c r="G1515" s="34"/>
      <c r="H1515" s="34"/>
      <c r="I1515" s="35"/>
      <c r="J1515" s="35"/>
      <c r="K1515" s="36"/>
      <c r="L1515" s="26" t="str">
        <f>IF(OR(F1515 = "", G1515 = ""), "", IF(F1515 = "Vara", IFERROR(_xlfn.SINGLE(_xlfn.XLOOKUP(G1515, Vöruskrá!A:A, Vöruskrá!E:E, "")), ""), IF(F1515 = "Réttur", IFERROR(_xlfn.SINGLE(_xlfn.XLOOKUP(G1515, Réttabanki!A:A, Réttabanki!AS:AS, "")), ""), "")))</f>
        <v/>
      </c>
      <c r="M1515" s="26" t="str">
        <f>IF(OR(F1515 = "", G1515 = ""), "", IF(F1515 = "Vara", IFERROR(_xlfn.SINGLE(_xlfn.XLOOKUP(G1515, Vöruskrá!A:A, Vöruskrá!F:F, "")), ""), IF(F1515 = "Réttur", IFERROR(_xlfn.SINGLE(_xlfn.XLOOKUP(G1515, Réttabanki!A:A, Réttabanki!AT:AT, "")), ""), "")))</f>
        <v/>
      </c>
      <c r="N1515" s="26" t="str">
        <f>IF(OR(F1515 = "", G1515 = ""), "", IF(F1515 = "Vara", IFERROR(_xlfn.SINGLE(_xlfn.XLOOKUP(G1515, Vöruskrá!A:A, Vöruskrá!G:G, "")), ""), IF(F1515 = "Réttur", IFERROR(_xlfn.SINGLE(_xlfn.XLOOKUP(G1515, Réttabanki!A:A, Réttabanki!AU:AU, "")), ""), "")))</f>
        <v/>
      </c>
      <c r="O1515" s="26" t="str">
        <f>IF(OR(F1515 = "", G1515 = "", I1515 = ""), "", IF(F1515 = "Vara", IFERROR(_xlfn.SINGLE(_xlfn.XLOOKUP(G1515, Vöruskrá!A:A, Vöruskrá!I:I, "")) * I1515 / 100, ""), IF(F1515 = "Réttur", IFERROR(_xlfn.SINGLE(_xlfn.XLOOKUP(G1515, Réttabanki!A:A, Réttabanki!AV:AV, "")) * I1515 / 100, ""), "")))</f>
        <v/>
      </c>
      <c r="P1515" s="26" t="str">
        <f>IF(OR(F1515 = "", G1515 = "", I1515 = ""), "", IF(F1515 = "Vara", IFERROR(_xlfn.SINGLE(_xlfn.XLOOKUP(G1515, Vöruskrá!A:A, Vöruskrá!J:J, "")) * I1515 / 100, ""), IF(F1515 = "Réttur", IFERROR(_xlfn.SINGLE(_xlfn.XLOOKUP(G1515, Réttabanki!A:A, Réttabanki!AW:AW, "")) * I1515 / 100, ""), "")))</f>
        <v/>
      </c>
      <c r="Q1515" s="26" t="str">
        <f>IF(OR(F1515 = "", G1515 = "", I1515 = ""), "", IF(F1515 = "Vara", IFERROR(_xlfn.SINGLE(_xlfn.XLOOKUP(G1515, Vöruskrá!A:A, Vöruskrá!N:N, "")) * I1515 / 100, ""), IF(F1515 = "Réttur", IFERROR(_xlfn.SINGLE(_xlfn.XLOOKUP(G1515, Réttabanki!A:A, Réttabanki!BB:BB, "")) * I1515 / 100, ""), "")))</f>
        <v/>
      </c>
    </row>
    <row r="1516" spans="2:17">
      <c r="B1516" s="33" t="str">
        <f>IF(A1516&lt;&gt;"",CHOOSE(WEEKDAY(A1516,2),"Mánudagur","Þriðjudagur","Miðvikudagur","Fimmtudagur","Föstudagur","Laugardagur","Sunnudagur"),IF(B1515&lt;&gt;"",B1515,""))</f>
        <v>Fimmtudagur</v>
      </c>
      <c r="C1516" s="33">
        <f>IF(A1516&lt;&gt;"",WEEKNUM(A1516,21),IF(C1515&lt;&gt;"",C1515,""))</f>
        <v>27</v>
      </c>
      <c r="D1516" s="34"/>
      <c r="E1516" s="34"/>
      <c r="F1516" s="34"/>
      <c r="G1516" s="34"/>
      <c r="H1516" s="34"/>
      <c r="I1516" s="35"/>
      <c r="J1516" s="35"/>
      <c r="K1516" s="36"/>
      <c r="L1516" s="26" t="str">
        <f>IF(OR(F1516 = "", G1516 = ""), "", IF(F1516 = "Vara", IFERROR(_xlfn.SINGLE(_xlfn.XLOOKUP(G1516, Vöruskrá!A:A, Vöruskrá!E:E, "")), ""), IF(F1516 = "Réttur", IFERROR(_xlfn.SINGLE(_xlfn.XLOOKUP(G1516, Réttabanki!A:A, Réttabanki!AS:AS, "")), ""), "")))</f>
        <v/>
      </c>
      <c r="M1516" s="26" t="str">
        <f>IF(OR(F1516 = "", G1516 = ""), "", IF(F1516 = "Vara", IFERROR(_xlfn.SINGLE(_xlfn.XLOOKUP(G1516, Vöruskrá!A:A, Vöruskrá!F:F, "")), ""), IF(F1516 = "Réttur", IFERROR(_xlfn.SINGLE(_xlfn.XLOOKUP(G1516, Réttabanki!A:A, Réttabanki!AT:AT, "")), ""), "")))</f>
        <v/>
      </c>
      <c r="N1516" s="26" t="str">
        <f>IF(OR(F1516 = "", G1516 = ""), "", IF(F1516 = "Vara", IFERROR(_xlfn.SINGLE(_xlfn.XLOOKUP(G1516, Vöruskrá!A:A, Vöruskrá!G:G, "")), ""), IF(F1516 = "Réttur", IFERROR(_xlfn.SINGLE(_xlfn.XLOOKUP(G1516, Réttabanki!A:A, Réttabanki!AU:AU, "")), ""), "")))</f>
        <v/>
      </c>
      <c r="O1516" s="26" t="str">
        <f>IF(OR(F1516 = "", G1516 = "", I1516 = ""), "", IF(F1516 = "Vara", IFERROR(_xlfn.SINGLE(_xlfn.XLOOKUP(G1516, Vöruskrá!A:A, Vöruskrá!I:I, "")) * I1516 / 100, ""), IF(F1516 = "Réttur", IFERROR(_xlfn.SINGLE(_xlfn.XLOOKUP(G1516, Réttabanki!A:A, Réttabanki!AV:AV, "")) * I1516 / 100, ""), "")))</f>
        <v/>
      </c>
      <c r="P1516" s="26" t="str">
        <f>IF(OR(F1516 = "", G1516 = "", I1516 = ""), "", IF(F1516 = "Vara", IFERROR(_xlfn.SINGLE(_xlfn.XLOOKUP(G1516, Vöruskrá!A:A, Vöruskrá!J:J, "")) * I1516 / 100, ""), IF(F1516 = "Réttur", IFERROR(_xlfn.SINGLE(_xlfn.XLOOKUP(G1516, Réttabanki!A:A, Réttabanki!AW:AW, "")) * I1516 / 100, ""), "")))</f>
        <v/>
      </c>
      <c r="Q1516" s="26" t="str">
        <f>IF(OR(F1516 = "", G1516 = "", I1516 = ""), "", IF(F1516 = "Vara", IFERROR(_xlfn.SINGLE(_xlfn.XLOOKUP(G1516, Vöruskrá!A:A, Vöruskrá!N:N, "")) * I1516 / 100, ""), IF(F1516 = "Réttur", IFERROR(_xlfn.SINGLE(_xlfn.XLOOKUP(G1516, Réttabanki!A:A, Réttabanki!BB:BB, "")) * I1516 / 100, ""), "")))</f>
        <v/>
      </c>
    </row>
    <row r="1517" spans="2:17">
      <c r="B1517" s="33" t="str">
        <f>IF(A1517&lt;&gt;"",CHOOSE(WEEKDAY(A1517,2),"Mánudagur","Þriðjudagur","Miðvikudagur","Fimmtudagur","Föstudagur","Laugardagur","Sunnudagur"),IF(B1516&lt;&gt;"",B1516,""))</f>
        <v>Fimmtudagur</v>
      </c>
      <c r="C1517" s="33">
        <f>IF(A1517&lt;&gt;"",WEEKNUM(A1517,21),IF(C1516&lt;&gt;"",C1516,""))</f>
        <v>27</v>
      </c>
      <c r="D1517" s="34"/>
      <c r="E1517" s="34"/>
      <c r="F1517" s="34"/>
      <c r="G1517" s="34"/>
      <c r="H1517" s="34"/>
      <c r="I1517" s="35"/>
      <c r="J1517" s="35"/>
      <c r="K1517" s="36"/>
      <c r="L1517" s="26" t="str">
        <f>IF(OR(F1517 = "", G1517 = ""), "", IF(F1517 = "Vara", IFERROR(_xlfn.SINGLE(_xlfn.XLOOKUP(G1517, Vöruskrá!A:A, Vöruskrá!E:E, "")), ""), IF(F1517 = "Réttur", IFERROR(_xlfn.SINGLE(_xlfn.XLOOKUP(G1517, Réttabanki!A:A, Réttabanki!AS:AS, "")), ""), "")))</f>
        <v/>
      </c>
      <c r="M1517" s="26" t="str">
        <f>IF(OR(F1517 = "", G1517 = ""), "", IF(F1517 = "Vara", IFERROR(_xlfn.SINGLE(_xlfn.XLOOKUP(G1517, Vöruskrá!A:A, Vöruskrá!F:F, "")), ""), IF(F1517 = "Réttur", IFERROR(_xlfn.SINGLE(_xlfn.XLOOKUP(G1517, Réttabanki!A:A, Réttabanki!AT:AT, "")), ""), "")))</f>
        <v/>
      </c>
      <c r="N1517" s="26" t="str">
        <f>IF(OR(F1517 = "", G1517 = ""), "", IF(F1517 = "Vara", IFERROR(_xlfn.SINGLE(_xlfn.XLOOKUP(G1517, Vöruskrá!A:A, Vöruskrá!G:G, "")), ""), IF(F1517 = "Réttur", IFERROR(_xlfn.SINGLE(_xlfn.XLOOKUP(G1517, Réttabanki!A:A, Réttabanki!AU:AU, "")), ""), "")))</f>
        <v/>
      </c>
      <c r="O1517" s="26" t="str">
        <f>IF(OR(F1517 = "", G1517 = "", I1517 = ""), "", IF(F1517 = "Vara", IFERROR(_xlfn.SINGLE(_xlfn.XLOOKUP(G1517, Vöruskrá!A:A, Vöruskrá!I:I, "")) * I1517 / 100, ""), IF(F1517 = "Réttur", IFERROR(_xlfn.SINGLE(_xlfn.XLOOKUP(G1517, Réttabanki!A:A, Réttabanki!AV:AV, "")) * I1517 / 100, ""), "")))</f>
        <v/>
      </c>
      <c r="P1517" s="26" t="str">
        <f>IF(OR(F1517 = "", G1517 = "", I1517 = ""), "", IF(F1517 = "Vara", IFERROR(_xlfn.SINGLE(_xlfn.XLOOKUP(G1517, Vöruskrá!A:A, Vöruskrá!J:J, "")) * I1517 / 100, ""), IF(F1517 = "Réttur", IFERROR(_xlfn.SINGLE(_xlfn.XLOOKUP(G1517, Réttabanki!A:A, Réttabanki!AW:AW, "")) * I1517 / 100, ""), "")))</f>
        <v/>
      </c>
      <c r="Q1517" s="26" t="str">
        <f>IF(OR(F1517 = "", G1517 = "", I1517 = ""), "", IF(F1517 = "Vara", IFERROR(_xlfn.SINGLE(_xlfn.XLOOKUP(G1517, Vöruskrá!A:A, Vöruskrá!N:N, "")) * I1517 / 100, ""), IF(F1517 = "Réttur", IFERROR(_xlfn.SINGLE(_xlfn.XLOOKUP(G1517, Réttabanki!A:A, Réttabanki!BB:BB, "")) * I1517 / 100, ""), "")))</f>
        <v/>
      </c>
    </row>
    <row r="1518" spans="2:17">
      <c r="B1518" s="33" t="str">
        <f>IF(A1518&lt;&gt;"",CHOOSE(WEEKDAY(A1518,2),"Mánudagur","Þriðjudagur","Miðvikudagur","Fimmtudagur","Föstudagur","Laugardagur","Sunnudagur"),IF(B1517&lt;&gt;"",B1517,""))</f>
        <v>Fimmtudagur</v>
      </c>
      <c r="C1518" s="33">
        <f>IF(A1518&lt;&gt;"",WEEKNUM(A1518,21),IF(C1517&lt;&gt;"",C1517,""))</f>
        <v>27</v>
      </c>
      <c r="D1518" s="34"/>
      <c r="E1518" s="34"/>
      <c r="F1518" s="34"/>
      <c r="G1518" s="34"/>
      <c r="H1518" s="34"/>
      <c r="I1518" s="35"/>
      <c r="J1518" s="35"/>
      <c r="K1518" s="36"/>
      <c r="L1518" s="26" t="str">
        <f>IF(OR(F1518 = "", G1518 = ""), "", IF(F1518 = "Vara", IFERROR(_xlfn.SINGLE(_xlfn.XLOOKUP(G1518, Vöruskrá!A:A, Vöruskrá!E:E, "")), ""), IF(F1518 = "Réttur", IFERROR(_xlfn.SINGLE(_xlfn.XLOOKUP(G1518, Réttabanki!A:A, Réttabanki!AS:AS, "")), ""), "")))</f>
        <v/>
      </c>
      <c r="M1518" s="26" t="str">
        <f>IF(OR(F1518 = "", G1518 = ""), "", IF(F1518 = "Vara", IFERROR(_xlfn.SINGLE(_xlfn.XLOOKUP(G1518, Vöruskrá!A:A, Vöruskrá!F:F, "")), ""), IF(F1518 = "Réttur", IFERROR(_xlfn.SINGLE(_xlfn.XLOOKUP(G1518, Réttabanki!A:A, Réttabanki!AT:AT, "")), ""), "")))</f>
        <v/>
      </c>
      <c r="N1518" s="26" t="str">
        <f>IF(OR(F1518 = "", G1518 = ""), "", IF(F1518 = "Vara", IFERROR(_xlfn.SINGLE(_xlfn.XLOOKUP(G1518, Vöruskrá!A:A, Vöruskrá!G:G, "")), ""), IF(F1518 = "Réttur", IFERROR(_xlfn.SINGLE(_xlfn.XLOOKUP(G1518, Réttabanki!A:A, Réttabanki!AU:AU, "")), ""), "")))</f>
        <v/>
      </c>
      <c r="O1518" s="26" t="str">
        <f>IF(OR(F1518 = "", G1518 = "", I1518 = ""), "", IF(F1518 = "Vara", IFERROR(_xlfn.SINGLE(_xlfn.XLOOKUP(G1518, Vöruskrá!A:A, Vöruskrá!I:I, "")) * I1518 / 100, ""), IF(F1518 = "Réttur", IFERROR(_xlfn.SINGLE(_xlfn.XLOOKUP(G1518, Réttabanki!A:A, Réttabanki!AV:AV, "")) * I1518 / 100, ""), "")))</f>
        <v/>
      </c>
      <c r="P1518" s="26" t="str">
        <f>IF(OR(F1518 = "", G1518 = "", I1518 = ""), "", IF(F1518 = "Vara", IFERROR(_xlfn.SINGLE(_xlfn.XLOOKUP(G1518, Vöruskrá!A:A, Vöruskrá!J:J, "")) * I1518 / 100, ""), IF(F1518 = "Réttur", IFERROR(_xlfn.SINGLE(_xlfn.XLOOKUP(G1518, Réttabanki!A:A, Réttabanki!AW:AW, "")) * I1518 / 100, ""), "")))</f>
        <v/>
      </c>
      <c r="Q1518" s="26" t="str">
        <f>IF(OR(F1518 = "", G1518 = "", I1518 = ""), "", IF(F1518 = "Vara", IFERROR(_xlfn.SINGLE(_xlfn.XLOOKUP(G1518, Vöruskrá!A:A, Vöruskrá!N:N, "")) * I1518 / 100, ""), IF(F1518 = "Réttur", IFERROR(_xlfn.SINGLE(_xlfn.XLOOKUP(G1518, Réttabanki!A:A, Réttabanki!BB:BB, "")) * I1518 / 100, ""), "")))</f>
        <v/>
      </c>
    </row>
    <row r="1519" spans="2:17">
      <c r="B1519" s="33" t="str">
        <f>IF(A1519&lt;&gt;"",CHOOSE(WEEKDAY(A1519,2),"Mánudagur","Þriðjudagur","Miðvikudagur","Fimmtudagur","Föstudagur","Laugardagur","Sunnudagur"),IF(B1518&lt;&gt;"",B1518,""))</f>
        <v>Fimmtudagur</v>
      </c>
      <c r="C1519" s="33">
        <f>IF(A1519&lt;&gt;"",WEEKNUM(A1519,21),IF(C1518&lt;&gt;"",C1518,""))</f>
        <v>27</v>
      </c>
      <c r="D1519" s="34"/>
      <c r="E1519" s="34"/>
      <c r="F1519" s="34"/>
      <c r="G1519" s="34"/>
      <c r="H1519" s="34"/>
      <c r="I1519" s="35"/>
      <c r="J1519" s="35"/>
      <c r="K1519" s="36"/>
      <c r="L1519" s="26" t="str">
        <f>IF(OR(F1519 = "", G1519 = ""), "", IF(F1519 = "Vara", IFERROR(_xlfn.SINGLE(_xlfn.XLOOKUP(G1519, Vöruskrá!A:A, Vöruskrá!E:E, "")), ""), IF(F1519 = "Réttur", IFERROR(_xlfn.SINGLE(_xlfn.XLOOKUP(G1519, Réttabanki!A:A, Réttabanki!AS:AS, "")), ""), "")))</f>
        <v/>
      </c>
      <c r="M1519" s="26" t="str">
        <f>IF(OR(F1519 = "", G1519 = ""), "", IF(F1519 = "Vara", IFERROR(_xlfn.SINGLE(_xlfn.XLOOKUP(G1519, Vöruskrá!A:A, Vöruskrá!F:F, "")), ""), IF(F1519 = "Réttur", IFERROR(_xlfn.SINGLE(_xlfn.XLOOKUP(G1519, Réttabanki!A:A, Réttabanki!AT:AT, "")), ""), "")))</f>
        <v/>
      </c>
      <c r="N1519" s="26" t="str">
        <f>IF(OR(F1519 = "", G1519 = ""), "", IF(F1519 = "Vara", IFERROR(_xlfn.SINGLE(_xlfn.XLOOKUP(G1519, Vöruskrá!A:A, Vöruskrá!G:G, "")), ""), IF(F1519 = "Réttur", IFERROR(_xlfn.SINGLE(_xlfn.XLOOKUP(G1519, Réttabanki!A:A, Réttabanki!AU:AU, "")), ""), "")))</f>
        <v/>
      </c>
      <c r="O1519" s="26" t="str">
        <f>IF(OR(F1519 = "", G1519 = "", I1519 = ""), "", IF(F1519 = "Vara", IFERROR(_xlfn.SINGLE(_xlfn.XLOOKUP(G1519, Vöruskrá!A:A, Vöruskrá!I:I, "")) * I1519 / 100, ""), IF(F1519 = "Réttur", IFERROR(_xlfn.SINGLE(_xlfn.XLOOKUP(G1519, Réttabanki!A:A, Réttabanki!AV:AV, "")) * I1519 / 100, ""), "")))</f>
        <v/>
      </c>
      <c r="P1519" s="26" t="str">
        <f>IF(OR(F1519 = "", G1519 = "", I1519 = ""), "", IF(F1519 = "Vara", IFERROR(_xlfn.SINGLE(_xlfn.XLOOKUP(G1519, Vöruskrá!A:A, Vöruskrá!J:J, "")) * I1519 / 100, ""), IF(F1519 = "Réttur", IFERROR(_xlfn.SINGLE(_xlfn.XLOOKUP(G1519, Réttabanki!A:A, Réttabanki!AW:AW, "")) * I1519 / 100, ""), "")))</f>
        <v/>
      </c>
      <c r="Q1519" s="26" t="str">
        <f>IF(OR(F1519 = "", G1519 = "", I1519 = ""), "", IF(F1519 = "Vara", IFERROR(_xlfn.SINGLE(_xlfn.XLOOKUP(G1519, Vöruskrá!A:A, Vöruskrá!N:N, "")) * I1519 / 100, ""), IF(F1519 = "Réttur", IFERROR(_xlfn.SINGLE(_xlfn.XLOOKUP(G1519, Réttabanki!A:A, Réttabanki!BB:BB, "")) * I1519 / 100, ""), "")))</f>
        <v/>
      </c>
    </row>
    <row r="1520" spans="2:17">
      <c r="B1520" s="33" t="str">
        <f>IF(A1520&lt;&gt;"",CHOOSE(WEEKDAY(A1520,2),"Mánudagur","Þriðjudagur","Miðvikudagur","Fimmtudagur","Föstudagur","Laugardagur","Sunnudagur"),IF(B1519&lt;&gt;"",B1519,""))</f>
        <v>Fimmtudagur</v>
      </c>
      <c r="C1520" s="33">
        <f>IF(A1520&lt;&gt;"",WEEKNUM(A1520,21),IF(C1519&lt;&gt;"",C1519,""))</f>
        <v>27</v>
      </c>
      <c r="D1520" s="34"/>
      <c r="E1520" s="34"/>
      <c r="F1520" s="34"/>
      <c r="G1520" s="34"/>
      <c r="H1520" s="34"/>
      <c r="I1520" s="35"/>
      <c r="J1520" s="35"/>
      <c r="K1520" s="36"/>
      <c r="L1520" s="26" t="str">
        <f>IF(OR(F1520 = "", G1520 = ""), "", IF(F1520 = "Vara", IFERROR(_xlfn.SINGLE(_xlfn.XLOOKUP(G1520, Vöruskrá!A:A, Vöruskrá!E:E, "")), ""), IF(F1520 = "Réttur", IFERROR(_xlfn.SINGLE(_xlfn.XLOOKUP(G1520, Réttabanki!A:A, Réttabanki!AS:AS, "")), ""), "")))</f>
        <v/>
      </c>
      <c r="M1520" s="26" t="str">
        <f>IF(OR(F1520 = "", G1520 = ""), "", IF(F1520 = "Vara", IFERROR(_xlfn.SINGLE(_xlfn.XLOOKUP(G1520, Vöruskrá!A:A, Vöruskrá!F:F, "")), ""), IF(F1520 = "Réttur", IFERROR(_xlfn.SINGLE(_xlfn.XLOOKUP(G1520, Réttabanki!A:A, Réttabanki!AT:AT, "")), ""), "")))</f>
        <v/>
      </c>
      <c r="N1520" s="26" t="str">
        <f>IF(OR(F1520 = "", G1520 = ""), "", IF(F1520 = "Vara", IFERROR(_xlfn.SINGLE(_xlfn.XLOOKUP(G1520, Vöruskrá!A:A, Vöruskrá!G:G, "")), ""), IF(F1520 = "Réttur", IFERROR(_xlfn.SINGLE(_xlfn.XLOOKUP(G1520, Réttabanki!A:A, Réttabanki!AU:AU, "")), ""), "")))</f>
        <v/>
      </c>
      <c r="O1520" s="26" t="str">
        <f>IF(OR(F1520 = "", G1520 = "", I1520 = ""), "", IF(F1520 = "Vara", IFERROR(_xlfn.SINGLE(_xlfn.XLOOKUP(G1520, Vöruskrá!A:A, Vöruskrá!I:I, "")) * I1520 / 100, ""), IF(F1520 = "Réttur", IFERROR(_xlfn.SINGLE(_xlfn.XLOOKUP(G1520, Réttabanki!A:A, Réttabanki!AV:AV, "")) * I1520 / 100, ""), "")))</f>
        <v/>
      </c>
      <c r="P1520" s="26" t="str">
        <f>IF(OR(F1520 = "", G1520 = "", I1520 = ""), "", IF(F1520 = "Vara", IFERROR(_xlfn.SINGLE(_xlfn.XLOOKUP(G1520, Vöruskrá!A:A, Vöruskrá!J:J, "")) * I1520 / 100, ""), IF(F1520 = "Réttur", IFERROR(_xlfn.SINGLE(_xlfn.XLOOKUP(G1520, Réttabanki!A:A, Réttabanki!AW:AW, "")) * I1520 / 100, ""), "")))</f>
        <v/>
      </c>
      <c r="Q1520" s="26" t="str">
        <f>IF(OR(F1520 = "", G1520 = "", I1520 = ""), "", IF(F1520 = "Vara", IFERROR(_xlfn.SINGLE(_xlfn.XLOOKUP(G1520, Vöruskrá!A:A, Vöruskrá!N:N, "")) * I1520 / 100, ""), IF(F1520 = "Réttur", IFERROR(_xlfn.SINGLE(_xlfn.XLOOKUP(G1520, Réttabanki!A:A, Réttabanki!BB:BB, "")) * I1520 / 100, ""), "")))</f>
        <v/>
      </c>
    </row>
    <row r="1521" spans="2:17">
      <c r="B1521" s="33" t="str">
        <f>IF(A1521&lt;&gt;"",CHOOSE(WEEKDAY(A1521,2),"Mánudagur","Þriðjudagur","Miðvikudagur","Fimmtudagur","Föstudagur","Laugardagur","Sunnudagur"),IF(B1520&lt;&gt;"",B1520,""))</f>
        <v>Fimmtudagur</v>
      </c>
      <c r="C1521" s="33">
        <f>IF(A1521&lt;&gt;"",WEEKNUM(A1521,21),IF(C1520&lt;&gt;"",C1520,""))</f>
        <v>27</v>
      </c>
      <c r="D1521" s="34"/>
      <c r="E1521" s="34"/>
      <c r="F1521" s="34"/>
      <c r="G1521" s="34"/>
      <c r="H1521" s="34"/>
      <c r="I1521" s="35"/>
      <c r="J1521" s="35"/>
      <c r="K1521" s="36"/>
      <c r="L1521" s="26" t="str">
        <f>IF(OR(F1521 = "", G1521 = ""), "", IF(F1521 = "Vara", IFERROR(_xlfn.SINGLE(_xlfn.XLOOKUP(G1521, Vöruskrá!A:A, Vöruskrá!E:E, "")), ""), IF(F1521 = "Réttur", IFERROR(_xlfn.SINGLE(_xlfn.XLOOKUP(G1521, Réttabanki!A:A, Réttabanki!AS:AS, "")), ""), "")))</f>
        <v/>
      </c>
      <c r="M1521" s="26" t="str">
        <f>IF(OR(F1521 = "", G1521 = ""), "", IF(F1521 = "Vara", IFERROR(_xlfn.SINGLE(_xlfn.XLOOKUP(G1521, Vöruskrá!A:A, Vöruskrá!F:F, "")), ""), IF(F1521 = "Réttur", IFERROR(_xlfn.SINGLE(_xlfn.XLOOKUP(G1521, Réttabanki!A:A, Réttabanki!AT:AT, "")), ""), "")))</f>
        <v/>
      </c>
      <c r="N1521" s="26" t="str">
        <f>IF(OR(F1521 = "", G1521 = ""), "", IF(F1521 = "Vara", IFERROR(_xlfn.SINGLE(_xlfn.XLOOKUP(G1521, Vöruskrá!A:A, Vöruskrá!G:G, "")), ""), IF(F1521 = "Réttur", IFERROR(_xlfn.SINGLE(_xlfn.XLOOKUP(G1521, Réttabanki!A:A, Réttabanki!AU:AU, "")), ""), "")))</f>
        <v/>
      </c>
      <c r="O1521" s="26" t="str">
        <f>IF(OR(F1521 = "", G1521 = "", I1521 = ""), "", IF(F1521 = "Vara", IFERROR(_xlfn.SINGLE(_xlfn.XLOOKUP(G1521, Vöruskrá!A:A, Vöruskrá!I:I, "")) * I1521 / 100, ""), IF(F1521 = "Réttur", IFERROR(_xlfn.SINGLE(_xlfn.XLOOKUP(G1521, Réttabanki!A:A, Réttabanki!AV:AV, "")) * I1521 / 100, ""), "")))</f>
        <v/>
      </c>
      <c r="P1521" s="26" t="str">
        <f>IF(OR(F1521 = "", G1521 = "", I1521 = ""), "", IF(F1521 = "Vara", IFERROR(_xlfn.SINGLE(_xlfn.XLOOKUP(G1521, Vöruskrá!A:A, Vöruskrá!J:J, "")) * I1521 / 100, ""), IF(F1521 = "Réttur", IFERROR(_xlfn.SINGLE(_xlfn.XLOOKUP(G1521, Réttabanki!A:A, Réttabanki!AW:AW, "")) * I1521 / 100, ""), "")))</f>
        <v/>
      </c>
      <c r="Q1521" s="26" t="str">
        <f>IF(OR(F1521 = "", G1521 = "", I1521 = ""), "", IF(F1521 = "Vara", IFERROR(_xlfn.SINGLE(_xlfn.XLOOKUP(G1521, Vöruskrá!A:A, Vöruskrá!N:N, "")) * I1521 / 100, ""), IF(F1521 = "Réttur", IFERROR(_xlfn.SINGLE(_xlfn.XLOOKUP(G1521, Réttabanki!A:A, Réttabanki!BB:BB, "")) * I1521 / 100, ""), "")))</f>
        <v/>
      </c>
    </row>
    <row r="1522" spans="2:17">
      <c r="B1522" s="33" t="str">
        <f>IF(A1522&lt;&gt;"",CHOOSE(WEEKDAY(A1522,2),"Mánudagur","Þriðjudagur","Miðvikudagur","Fimmtudagur","Föstudagur","Laugardagur","Sunnudagur"),IF(B1521&lt;&gt;"",B1521,""))</f>
        <v>Fimmtudagur</v>
      </c>
      <c r="C1522" s="33">
        <f>IF(A1522&lt;&gt;"",WEEKNUM(A1522,21),IF(C1521&lt;&gt;"",C1521,""))</f>
        <v>27</v>
      </c>
      <c r="D1522" s="34"/>
      <c r="E1522" s="34"/>
      <c r="F1522" s="34"/>
      <c r="G1522" s="34"/>
      <c r="H1522" s="34"/>
      <c r="I1522" s="35"/>
      <c r="J1522" s="35"/>
      <c r="K1522" s="36"/>
      <c r="L1522" s="26" t="str">
        <f>IF(OR(F1522 = "", G1522 = ""), "", IF(F1522 = "Vara", IFERROR(_xlfn.SINGLE(_xlfn.XLOOKUP(G1522, Vöruskrá!A:A, Vöruskrá!E:E, "")), ""), IF(F1522 = "Réttur", IFERROR(_xlfn.SINGLE(_xlfn.XLOOKUP(G1522, Réttabanki!A:A, Réttabanki!AS:AS, "")), ""), "")))</f>
        <v/>
      </c>
      <c r="M1522" s="26" t="str">
        <f>IF(OR(F1522 = "", G1522 = ""), "", IF(F1522 = "Vara", IFERROR(_xlfn.SINGLE(_xlfn.XLOOKUP(G1522, Vöruskrá!A:A, Vöruskrá!F:F, "")), ""), IF(F1522 = "Réttur", IFERROR(_xlfn.SINGLE(_xlfn.XLOOKUP(G1522, Réttabanki!A:A, Réttabanki!AT:AT, "")), ""), "")))</f>
        <v/>
      </c>
      <c r="N1522" s="26" t="str">
        <f>IF(OR(F1522 = "", G1522 = ""), "", IF(F1522 = "Vara", IFERROR(_xlfn.SINGLE(_xlfn.XLOOKUP(G1522, Vöruskrá!A:A, Vöruskrá!G:G, "")), ""), IF(F1522 = "Réttur", IFERROR(_xlfn.SINGLE(_xlfn.XLOOKUP(G1522, Réttabanki!A:A, Réttabanki!AU:AU, "")), ""), "")))</f>
        <v/>
      </c>
      <c r="O1522" s="26" t="str">
        <f>IF(OR(F1522 = "", G1522 = "", I1522 = ""), "", IF(F1522 = "Vara", IFERROR(_xlfn.SINGLE(_xlfn.XLOOKUP(G1522, Vöruskrá!A:A, Vöruskrá!I:I, "")) * I1522 / 100, ""), IF(F1522 = "Réttur", IFERROR(_xlfn.SINGLE(_xlfn.XLOOKUP(G1522, Réttabanki!A:A, Réttabanki!AV:AV, "")) * I1522 / 100, ""), "")))</f>
        <v/>
      </c>
      <c r="P1522" s="26" t="str">
        <f>IF(OR(F1522 = "", G1522 = "", I1522 = ""), "", IF(F1522 = "Vara", IFERROR(_xlfn.SINGLE(_xlfn.XLOOKUP(G1522, Vöruskrá!A:A, Vöruskrá!J:J, "")) * I1522 / 100, ""), IF(F1522 = "Réttur", IFERROR(_xlfn.SINGLE(_xlfn.XLOOKUP(G1522, Réttabanki!A:A, Réttabanki!AW:AW, "")) * I1522 / 100, ""), "")))</f>
        <v/>
      </c>
      <c r="Q1522" s="26" t="str">
        <f>IF(OR(F1522 = "", G1522 = "", I1522 = ""), "", IF(F1522 = "Vara", IFERROR(_xlfn.SINGLE(_xlfn.XLOOKUP(G1522, Vöruskrá!A:A, Vöruskrá!N:N, "")) * I1522 / 100, ""), IF(F1522 = "Réttur", IFERROR(_xlfn.SINGLE(_xlfn.XLOOKUP(G1522, Réttabanki!A:A, Réttabanki!BB:BB, "")) * I1522 / 100, ""), "")))</f>
        <v/>
      </c>
    </row>
    <row r="1523" spans="2:17">
      <c r="B1523" s="33" t="str">
        <f>IF(A1523&lt;&gt;"",CHOOSE(WEEKDAY(A1523,2),"Mánudagur","Þriðjudagur","Miðvikudagur","Fimmtudagur","Föstudagur","Laugardagur","Sunnudagur"),IF(B1522&lt;&gt;"",B1522,""))</f>
        <v>Fimmtudagur</v>
      </c>
      <c r="C1523" s="33">
        <f>IF(A1523&lt;&gt;"",WEEKNUM(A1523,21),IF(C1522&lt;&gt;"",C1522,""))</f>
        <v>27</v>
      </c>
      <c r="D1523" s="34"/>
      <c r="E1523" s="34"/>
      <c r="F1523" s="34"/>
      <c r="G1523" s="34"/>
      <c r="H1523" s="34"/>
      <c r="I1523" s="35"/>
      <c r="J1523" s="35"/>
      <c r="K1523" s="36"/>
      <c r="L1523" s="26" t="str">
        <f>IF(OR(F1523 = "", G1523 = ""), "", IF(F1523 = "Vara", IFERROR(_xlfn.SINGLE(_xlfn.XLOOKUP(G1523, Vöruskrá!A:A, Vöruskrá!E:E, "")), ""), IF(F1523 = "Réttur", IFERROR(_xlfn.SINGLE(_xlfn.XLOOKUP(G1523, Réttabanki!A:A, Réttabanki!AS:AS, "")), ""), "")))</f>
        <v/>
      </c>
      <c r="M1523" s="26" t="str">
        <f>IF(OR(F1523 = "", G1523 = ""), "", IF(F1523 = "Vara", IFERROR(_xlfn.SINGLE(_xlfn.XLOOKUP(G1523, Vöruskrá!A:A, Vöruskrá!F:F, "")), ""), IF(F1523 = "Réttur", IFERROR(_xlfn.SINGLE(_xlfn.XLOOKUP(G1523, Réttabanki!A:A, Réttabanki!AT:AT, "")), ""), "")))</f>
        <v/>
      </c>
      <c r="N1523" s="26" t="str">
        <f>IF(OR(F1523 = "", G1523 = ""), "", IF(F1523 = "Vara", IFERROR(_xlfn.SINGLE(_xlfn.XLOOKUP(G1523, Vöruskrá!A:A, Vöruskrá!G:G, "")), ""), IF(F1523 = "Réttur", IFERROR(_xlfn.SINGLE(_xlfn.XLOOKUP(G1523, Réttabanki!A:A, Réttabanki!AU:AU, "")), ""), "")))</f>
        <v/>
      </c>
      <c r="O1523" s="26" t="str">
        <f>IF(OR(F1523 = "", G1523 = "", I1523 = ""), "", IF(F1523 = "Vara", IFERROR(_xlfn.SINGLE(_xlfn.XLOOKUP(G1523, Vöruskrá!A:A, Vöruskrá!I:I, "")) * I1523 / 100, ""), IF(F1523 = "Réttur", IFERROR(_xlfn.SINGLE(_xlfn.XLOOKUP(G1523, Réttabanki!A:A, Réttabanki!AV:AV, "")) * I1523 / 100, ""), "")))</f>
        <v/>
      </c>
      <c r="P1523" s="26" t="str">
        <f>IF(OR(F1523 = "", G1523 = "", I1523 = ""), "", IF(F1523 = "Vara", IFERROR(_xlfn.SINGLE(_xlfn.XLOOKUP(G1523, Vöruskrá!A:A, Vöruskrá!J:J, "")) * I1523 / 100, ""), IF(F1523 = "Réttur", IFERROR(_xlfn.SINGLE(_xlfn.XLOOKUP(G1523, Réttabanki!A:A, Réttabanki!AW:AW, "")) * I1523 / 100, ""), "")))</f>
        <v/>
      </c>
      <c r="Q1523" s="26" t="str">
        <f>IF(OR(F1523 = "", G1523 = "", I1523 = ""), "", IF(F1523 = "Vara", IFERROR(_xlfn.SINGLE(_xlfn.XLOOKUP(G1523, Vöruskrá!A:A, Vöruskrá!N:N, "")) * I1523 / 100, ""), IF(F1523 = "Réttur", IFERROR(_xlfn.SINGLE(_xlfn.XLOOKUP(G1523, Réttabanki!A:A, Réttabanki!BB:BB, "")) * I1523 / 100, ""), "")))</f>
        <v/>
      </c>
    </row>
    <row r="1524" spans="2:17">
      <c r="B1524" s="33" t="str">
        <f>IF(A1524&lt;&gt;"",CHOOSE(WEEKDAY(A1524,2),"Mánudagur","Þriðjudagur","Miðvikudagur","Fimmtudagur","Föstudagur","Laugardagur","Sunnudagur"),IF(B1523&lt;&gt;"",B1523,""))</f>
        <v>Fimmtudagur</v>
      </c>
      <c r="C1524" s="33">
        <f>IF(A1524&lt;&gt;"",WEEKNUM(A1524,21),IF(C1523&lt;&gt;"",C1523,""))</f>
        <v>27</v>
      </c>
      <c r="D1524" s="34"/>
      <c r="E1524" s="34"/>
      <c r="F1524" s="34"/>
      <c r="G1524" s="34"/>
      <c r="H1524" s="34"/>
      <c r="I1524" s="35"/>
      <c r="J1524" s="35"/>
      <c r="K1524" s="36"/>
      <c r="L1524" s="26" t="str">
        <f>IF(OR(F1524 = "", G1524 = ""), "", IF(F1524 = "Vara", IFERROR(_xlfn.SINGLE(_xlfn.XLOOKUP(G1524, Vöruskrá!A:A, Vöruskrá!E:E, "")), ""), IF(F1524 = "Réttur", IFERROR(_xlfn.SINGLE(_xlfn.XLOOKUP(G1524, Réttabanki!A:A, Réttabanki!AS:AS, "")), ""), "")))</f>
        <v/>
      </c>
      <c r="M1524" s="26" t="str">
        <f>IF(OR(F1524 = "", G1524 = ""), "", IF(F1524 = "Vara", IFERROR(_xlfn.SINGLE(_xlfn.XLOOKUP(G1524, Vöruskrá!A:A, Vöruskrá!F:F, "")), ""), IF(F1524 = "Réttur", IFERROR(_xlfn.SINGLE(_xlfn.XLOOKUP(G1524, Réttabanki!A:A, Réttabanki!AT:AT, "")), ""), "")))</f>
        <v/>
      </c>
      <c r="N1524" s="26" t="str">
        <f>IF(OR(F1524 = "", G1524 = ""), "", IF(F1524 = "Vara", IFERROR(_xlfn.SINGLE(_xlfn.XLOOKUP(G1524, Vöruskrá!A:A, Vöruskrá!G:G, "")), ""), IF(F1524 = "Réttur", IFERROR(_xlfn.SINGLE(_xlfn.XLOOKUP(G1524, Réttabanki!A:A, Réttabanki!AU:AU, "")), ""), "")))</f>
        <v/>
      </c>
      <c r="O1524" s="26" t="str">
        <f>IF(OR(F1524 = "", G1524 = "", I1524 = ""), "", IF(F1524 = "Vara", IFERROR(_xlfn.SINGLE(_xlfn.XLOOKUP(G1524, Vöruskrá!A:A, Vöruskrá!I:I, "")) * I1524 / 100, ""), IF(F1524 = "Réttur", IFERROR(_xlfn.SINGLE(_xlfn.XLOOKUP(G1524, Réttabanki!A:A, Réttabanki!AV:AV, "")) * I1524 / 100, ""), "")))</f>
        <v/>
      </c>
      <c r="P1524" s="26" t="str">
        <f>IF(OR(F1524 = "", G1524 = "", I1524 = ""), "", IF(F1524 = "Vara", IFERROR(_xlfn.SINGLE(_xlfn.XLOOKUP(G1524, Vöruskrá!A:A, Vöruskrá!J:J, "")) * I1524 / 100, ""), IF(F1524 = "Réttur", IFERROR(_xlfn.SINGLE(_xlfn.XLOOKUP(G1524, Réttabanki!A:A, Réttabanki!AW:AW, "")) * I1524 / 100, ""), "")))</f>
        <v/>
      </c>
      <c r="Q1524" s="26" t="str">
        <f>IF(OR(F1524 = "", G1524 = "", I1524 = ""), "", IF(F1524 = "Vara", IFERROR(_xlfn.SINGLE(_xlfn.XLOOKUP(G1524, Vöruskrá!A:A, Vöruskrá!N:N, "")) * I1524 / 100, ""), IF(F1524 = "Réttur", IFERROR(_xlfn.SINGLE(_xlfn.XLOOKUP(G1524, Réttabanki!A:A, Réttabanki!BB:BB, "")) * I1524 / 100, ""), "")))</f>
        <v/>
      </c>
    </row>
    <row r="1525" spans="2:17">
      <c r="B1525" s="33" t="str">
        <f>IF(A1525&lt;&gt;"",CHOOSE(WEEKDAY(A1525,2),"Mánudagur","Þriðjudagur","Miðvikudagur","Fimmtudagur","Föstudagur","Laugardagur","Sunnudagur"),IF(B1524&lt;&gt;"",B1524,""))</f>
        <v>Fimmtudagur</v>
      </c>
      <c r="C1525" s="33">
        <f>IF(A1525&lt;&gt;"",WEEKNUM(A1525,21),IF(C1524&lt;&gt;"",C1524,""))</f>
        <v>27</v>
      </c>
      <c r="D1525" s="34"/>
      <c r="E1525" s="34"/>
      <c r="F1525" s="34"/>
      <c r="G1525" s="34"/>
      <c r="H1525" s="34"/>
      <c r="I1525" s="35"/>
      <c r="J1525" s="35"/>
      <c r="K1525" s="36"/>
      <c r="L1525" s="26" t="str">
        <f>IF(OR(F1525 = "", G1525 = ""), "", IF(F1525 = "Vara", IFERROR(_xlfn.SINGLE(_xlfn.XLOOKUP(G1525, Vöruskrá!A:A, Vöruskrá!E:E, "")), ""), IF(F1525 = "Réttur", IFERROR(_xlfn.SINGLE(_xlfn.XLOOKUP(G1525, Réttabanki!A:A, Réttabanki!AS:AS, "")), ""), "")))</f>
        <v/>
      </c>
      <c r="M1525" s="26" t="str">
        <f>IF(OR(F1525 = "", G1525 = ""), "", IF(F1525 = "Vara", IFERROR(_xlfn.SINGLE(_xlfn.XLOOKUP(G1525, Vöruskrá!A:A, Vöruskrá!F:F, "")), ""), IF(F1525 = "Réttur", IFERROR(_xlfn.SINGLE(_xlfn.XLOOKUP(G1525, Réttabanki!A:A, Réttabanki!AT:AT, "")), ""), "")))</f>
        <v/>
      </c>
      <c r="N1525" s="26" t="str">
        <f>IF(OR(F1525 = "", G1525 = ""), "", IF(F1525 = "Vara", IFERROR(_xlfn.SINGLE(_xlfn.XLOOKUP(G1525, Vöruskrá!A:A, Vöruskrá!G:G, "")), ""), IF(F1525 = "Réttur", IFERROR(_xlfn.SINGLE(_xlfn.XLOOKUP(G1525, Réttabanki!A:A, Réttabanki!AU:AU, "")), ""), "")))</f>
        <v/>
      </c>
      <c r="O1525" s="26" t="str">
        <f>IF(OR(F1525 = "", G1525 = "", I1525 = ""), "", IF(F1525 = "Vara", IFERROR(_xlfn.SINGLE(_xlfn.XLOOKUP(G1525, Vöruskrá!A:A, Vöruskrá!I:I, "")) * I1525 / 100, ""), IF(F1525 = "Réttur", IFERROR(_xlfn.SINGLE(_xlfn.XLOOKUP(G1525, Réttabanki!A:A, Réttabanki!AV:AV, "")) * I1525 / 100, ""), "")))</f>
        <v/>
      </c>
      <c r="P1525" s="26" t="str">
        <f>IF(OR(F1525 = "", G1525 = "", I1525 = ""), "", IF(F1525 = "Vara", IFERROR(_xlfn.SINGLE(_xlfn.XLOOKUP(G1525, Vöruskrá!A:A, Vöruskrá!J:J, "")) * I1525 / 100, ""), IF(F1525 = "Réttur", IFERROR(_xlfn.SINGLE(_xlfn.XLOOKUP(G1525, Réttabanki!A:A, Réttabanki!AW:AW, "")) * I1525 / 100, ""), "")))</f>
        <v/>
      </c>
      <c r="Q1525" s="26" t="str">
        <f>IF(OR(F1525 = "", G1525 = "", I1525 = ""), "", IF(F1525 = "Vara", IFERROR(_xlfn.SINGLE(_xlfn.XLOOKUP(G1525, Vöruskrá!A:A, Vöruskrá!N:N, "")) * I1525 / 100, ""), IF(F1525 = "Réttur", IFERROR(_xlfn.SINGLE(_xlfn.XLOOKUP(G1525, Réttabanki!A:A, Réttabanki!BB:BB, "")) * I1525 / 100, ""), "")))</f>
        <v/>
      </c>
    </row>
    <row r="1526" spans="2:17">
      <c r="B1526" s="33" t="str">
        <f>IF(A1526&lt;&gt;"",CHOOSE(WEEKDAY(A1526,2),"Mánudagur","Þriðjudagur","Miðvikudagur","Fimmtudagur","Föstudagur","Laugardagur","Sunnudagur"),IF(B1525&lt;&gt;"",B1525,""))</f>
        <v>Fimmtudagur</v>
      </c>
      <c r="C1526" s="33">
        <f>IF(A1526&lt;&gt;"",WEEKNUM(A1526,21),IF(C1525&lt;&gt;"",C1525,""))</f>
        <v>27</v>
      </c>
      <c r="D1526" s="34"/>
      <c r="E1526" s="34"/>
      <c r="F1526" s="34"/>
      <c r="G1526" s="34"/>
      <c r="H1526" s="34"/>
      <c r="I1526" s="35"/>
      <c r="J1526" s="35"/>
      <c r="K1526" s="36"/>
      <c r="L1526" s="26" t="str">
        <f>IF(OR(F1526 = "", G1526 = ""), "", IF(F1526 = "Vara", IFERROR(_xlfn.SINGLE(_xlfn.XLOOKUP(G1526, Vöruskrá!A:A, Vöruskrá!E:E, "")), ""), IF(F1526 = "Réttur", IFERROR(_xlfn.SINGLE(_xlfn.XLOOKUP(G1526, Réttabanki!A:A, Réttabanki!AS:AS, "")), ""), "")))</f>
        <v/>
      </c>
      <c r="M1526" s="26" t="str">
        <f>IF(OR(F1526 = "", G1526 = ""), "", IF(F1526 = "Vara", IFERROR(_xlfn.SINGLE(_xlfn.XLOOKUP(G1526, Vöruskrá!A:A, Vöruskrá!F:F, "")), ""), IF(F1526 = "Réttur", IFERROR(_xlfn.SINGLE(_xlfn.XLOOKUP(G1526, Réttabanki!A:A, Réttabanki!AT:AT, "")), ""), "")))</f>
        <v/>
      </c>
      <c r="N1526" s="26" t="str">
        <f>IF(OR(F1526 = "", G1526 = ""), "", IF(F1526 = "Vara", IFERROR(_xlfn.SINGLE(_xlfn.XLOOKUP(G1526, Vöruskrá!A:A, Vöruskrá!G:G, "")), ""), IF(F1526 = "Réttur", IFERROR(_xlfn.SINGLE(_xlfn.XLOOKUP(G1526, Réttabanki!A:A, Réttabanki!AU:AU, "")), ""), "")))</f>
        <v/>
      </c>
      <c r="O1526" s="26" t="str">
        <f>IF(OR(F1526 = "", G1526 = "", I1526 = ""), "", IF(F1526 = "Vara", IFERROR(_xlfn.SINGLE(_xlfn.XLOOKUP(G1526, Vöruskrá!A:A, Vöruskrá!I:I, "")) * I1526 / 100, ""), IF(F1526 = "Réttur", IFERROR(_xlfn.SINGLE(_xlfn.XLOOKUP(G1526, Réttabanki!A:A, Réttabanki!AV:AV, "")) * I1526 / 100, ""), "")))</f>
        <v/>
      </c>
      <c r="P1526" s="26" t="str">
        <f>IF(OR(F1526 = "", G1526 = "", I1526 = ""), "", IF(F1526 = "Vara", IFERROR(_xlfn.SINGLE(_xlfn.XLOOKUP(G1526, Vöruskrá!A:A, Vöruskrá!J:J, "")) * I1526 / 100, ""), IF(F1526 = "Réttur", IFERROR(_xlfn.SINGLE(_xlfn.XLOOKUP(G1526, Réttabanki!A:A, Réttabanki!AW:AW, "")) * I1526 / 100, ""), "")))</f>
        <v/>
      </c>
      <c r="Q1526" s="26" t="str">
        <f>IF(OR(F1526 = "", G1526 = "", I1526 = ""), "", IF(F1526 = "Vara", IFERROR(_xlfn.SINGLE(_xlfn.XLOOKUP(G1526, Vöruskrá!A:A, Vöruskrá!N:N, "")) * I1526 / 100, ""), IF(F1526 = "Réttur", IFERROR(_xlfn.SINGLE(_xlfn.XLOOKUP(G1526, Réttabanki!A:A, Réttabanki!BB:BB, "")) * I1526 / 100, ""), "")))</f>
        <v/>
      </c>
    </row>
    <row r="1527" spans="2:17">
      <c r="B1527" s="33" t="str">
        <f>IF(A1527&lt;&gt;"",CHOOSE(WEEKDAY(A1527,2),"Mánudagur","Þriðjudagur","Miðvikudagur","Fimmtudagur","Föstudagur","Laugardagur","Sunnudagur"),IF(B1526&lt;&gt;"",B1526,""))</f>
        <v>Fimmtudagur</v>
      </c>
      <c r="C1527" s="33">
        <f>IF(A1527&lt;&gt;"",WEEKNUM(A1527,21),IF(C1526&lt;&gt;"",C1526,""))</f>
        <v>27</v>
      </c>
      <c r="D1527" s="34"/>
      <c r="E1527" s="34"/>
      <c r="F1527" s="34"/>
      <c r="G1527" s="34"/>
      <c r="H1527" s="34"/>
      <c r="I1527" s="35"/>
      <c r="J1527" s="35"/>
      <c r="K1527" s="36"/>
      <c r="L1527" s="26" t="str">
        <f>IF(OR(F1527 = "", G1527 = ""), "", IF(F1527 = "Vara", IFERROR(_xlfn.SINGLE(_xlfn.XLOOKUP(G1527, Vöruskrá!A:A, Vöruskrá!E:E, "")), ""), IF(F1527 = "Réttur", IFERROR(_xlfn.SINGLE(_xlfn.XLOOKUP(G1527, Réttabanki!A:A, Réttabanki!AS:AS, "")), ""), "")))</f>
        <v/>
      </c>
      <c r="M1527" s="26" t="str">
        <f>IF(OR(F1527 = "", G1527 = ""), "", IF(F1527 = "Vara", IFERROR(_xlfn.SINGLE(_xlfn.XLOOKUP(G1527, Vöruskrá!A:A, Vöruskrá!F:F, "")), ""), IF(F1527 = "Réttur", IFERROR(_xlfn.SINGLE(_xlfn.XLOOKUP(G1527, Réttabanki!A:A, Réttabanki!AT:AT, "")), ""), "")))</f>
        <v/>
      </c>
      <c r="N1527" s="26" t="str">
        <f>IF(OR(F1527 = "", G1527 = ""), "", IF(F1527 = "Vara", IFERROR(_xlfn.SINGLE(_xlfn.XLOOKUP(G1527, Vöruskrá!A:A, Vöruskrá!G:G, "")), ""), IF(F1527 = "Réttur", IFERROR(_xlfn.SINGLE(_xlfn.XLOOKUP(G1527, Réttabanki!A:A, Réttabanki!AU:AU, "")), ""), "")))</f>
        <v/>
      </c>
      <c r="O1527" s="26" t="str">
        <f>IF(OR(F1527 = "", G1527 = "", I1527 = ""), "", IF(F1527 = "Vara", IFERROR(_xlfn.SINGLE(_xlfn.XLOOKUP(G1527, Vöruskrá!A:A, Vöruskrá!I:I, "")) * I1527 / 100, ""), IF(F1527 = "Réttur", IFERROR(_xlfn.SINGLE(_xlfn.XLOOKUP(G1527, Réttabanki!A:A, Réttabanki!AV:AV, "")) * I1527 / 100, ""), "")))</f>
        <v/>
      </c>
      <c r="P1527" s="26" t="str">
        <f>IF(OR(F1527 = "", G1527 = "", I1527 = ""), "", IF(F1527 = "Vara", IFERROR(_xlfn.SINGLE(_xlfn.XLOOKUP(G1527, Vöruskrá!A:A, Vöruskrá!J:J, "")) * I1527 / 100, ""), IF(F1527 = "Réttur", IFERROR(_xlfn.SINGLE(_xlfn.XLOOKUP(G1527, Réttabanki!A:A, Réttabanki!AW:AW, "")) * I1527 / 100, ""), "")))</f>
        <v/>
      </c>
      <c r="Q1527" s="26" t="str">
        <f>IF(OR(F1527 = "", G1527 = "", I1527 = ""), "", IF(F1527 = "Vara", IFERROR(_xlfn.SINGLE(_xlfn.XLOOKUP(G1527, Vöruskrá!A:A, Vöruskrá!N:N, "")) * I1527 / 100, ""), IF(F1527 = "Réttur", IFERROR(_xlfn.SINGLE(_xlfn.XLOOKUP(G1527, Réttabanki!A:A, Réttabanki!BB:BB, "")) * I1527 / 100, ""), "")))</f>
        <v/>
      </c>
    </row>
    <row r="1528" spans="2:17">
      <c r="B1528" s="33" t="str">
        <f>IF(A1528&lt;&gt;"",CHOOSE(WEEKDAY(A1528,2),"Mánudagur","Þriðjudagur","Miðvikudagur","Fimmtudagur","Föstudagur","Laugardagur","Sunnudagur"),IF(B1527&lt;&gt;"",B1527,""))</f>
        <v>Fimmtudagur</v>
      </c>
      <c r="C1528" s="33">
        <f>IF(A1528&lt;&gt;"",WEEKNUM(A1528,21),IF(C1527&lt;&gt;"",C1527,""))</f>
        <v>27</v>
      </c>
      <c r="D1528" s="34"/>
      <c r="E1528" s="34"/>
      <c r="F1528" s="34"/>
      <c r="G1528" s="34"/>
      <c r="H1528" s="34"/>
      <c r="I1528" s="35"/>
      <c r="J1528" s="35"/>
      <c r="K1528" s="36"/>
      <c r="L1528" s="26" t="str">
        <f>IF(OR(F1528 = "", G1528 = ""), "", IF(F1528 = "Vara", IFERROR(_xlfn.SINGLE(_xlfn.XLOOKUP(G1528, Vöruskrá!A:A, Vöruskrá!E:E, "")), ""), IF(F1528 = "Réttur", IFERROR(_xlfn.SINGLE(_xlfn.XLOOKUP(G1528, Réttabanki!A:A, Réttabanki!AS:AS, "")), ""), "")))</f>
        <v/>
      </c>
      <c r="M1528" s="26" t="str">
        <f>IF(OR(F1528 = "", G1528 = ""), "", IF(F1528 = "Vara", IFERROR(_xlfn.SINGLE(_xlfn.XLOOKUP(G1528, Vöruskrá!A:A, Vöruskrá!F:F, "")), ""), IF(F1528 = "Réttur", IFERROR(_xlfn.SINGLE(_xlfn.XLOOKUP(G1528, Réttabanki!A:A, Réttabanki!AT:AT, "")), ""), "")))</f>
        <v/>
      </c>
      <c r="N1528" s="26" t="str">
        <f>IF(OR(F1528 = "", G1528 = ""), "", IF(F1528 = "Vara", IFERROR(_xlfn.SINGLE(_xlfn.XLOOKUP(G1528, Vöruskrá!A:A, Vöruskrá!G:G, "")), ""), IF(F1528 = "Réttur", IFERROR(_xlfn.SINGLE(_xlfn.XLOOKUP(G1528, Réttabanki!A:A, Réttabanki!AU:AU, "")), ""), "")))</f>
        <v/>
      </c>
      <c r="O1528" s="26" t="str">
        <f>IF(OR(F1528 = "", G1528 = "", I1528 = ""), "", IF(F1528 = "Vara", IFERROR(_xlfn.SINGLE(_xlfn.XLOOKUP(G1528, Vöruskrá!A:A, Vöruskrá!I:I, "")) * I1528 / 100, ""), IF(F1528 = "Réttur", IFERROR(_xlfn.SINGLE(_xlfn.XLOOKUP(G1528, Réttabanki!A:A, Réttabanki!AV:AV, "")) * I1528 / 100, ""), "")))</f>
        <v/>
      </c>
      <c r="P1528" s="26" t="str">
        <f>IF(OR(F1528 = "", G1528 = "", I1528 = ""), "", IF(F1528 = "Vara", IFERROR(_xlfn.SINGLE(_xlfn.XLOOKUP(G1528, Vöruskrá!A:A, Vöruskrá!J:J, "")) * I1528 / 100, ""), IF(F1528 = "Réttur", IFERROR(_xlfn.SINGLE(_xlfn.XLOOKUP(G1528, Réttabanki!A:A, Réttabanki!AW:AW, "")) * I1528 / 100, ""), "")))</f>
        <v/>
      </c>
      <c r="Q1528" s="26" t="str">
        <f>IF(OR(F1528 = "", G1528 = "", I1528 = ""), "", IF(F1528 = "Vara", IFERROR(_xlfn.SINGLE(_xlfn.XLOOKUP(G1528, Vöruskrá!A:A, Vöruskrá!N:N, "")) * I1528 / 100, ""), IF(F1528 = "Réttur", IFERROR(_xlfn.SINGLE(_xlfn.XLOOKUP(G1528, Réttabanki!A:A, Réttabanki!BB:BB, "")) * I1528 / 100, ""), "")))</f>
        <v/>
      </c>
    </row>
    <row r="1529" spans="2:17">
      <c r="B1529" s="33" t="str">
        <f>IF(A1529&lt;&gt;"",CHOOSE(WEEKDAY(A1529,2),"Mánudagur","Þriðjudagur","Miðvikudagur","Fimmtudagur","Föstudagur","Laugardagur","Sunnudagur"),IF(B1528&lt;&gt;"",B1528,""))</f>
        <v>Fimmtudagur</v>
      </c>
      <c r="C1529" s="33">
        <f>IF(A1529&lt;&gt;"",WEEKNUM(A1529,21),IF(C1528&lt;&gt;"",C1528,""))</f>
        <v>27</v>
      </c>
      <c r="D1529" s="34"/>
      <c r="E1529" s="34"/>
      <c r="F1529" s="34"/>
      <c r="G1529" s="34"/>
      <c r="H1529" s="34"/>
      <c r="I1529" s="35"/>
      <c r="J1529" s="35"/>
      <c r="K1529" s="36"/>
      <c r="L1529" s="26" t="str">
        <f>IF(OR(F1529 = "", G1529 = ""), "", IF(F1529 = "Vara", IFERROR(_xlfn.SINGLE(_xlfn.XLOOKUP(G1529, Vöruskrá!A:A, Vöruskrá!E:E, "")), ""), IF(F1529 = "Réttur", IFERROR(_xlfn.SINGLE(_xlfn.XLOOKUP(G1529, Réttabanki!A:A, Réttabanki!AS:AS, "")), ""), "")))</f>
        <v/>
      </c>
      <c r="M1529" s="26" t="str">
        <f>IF(OR(F1529 = "", G1529 = ""), "", IF(F1529 = "Vara", IFERROR(_xlfn.SINGLE(_xlfn.XLOOKUP(G1529, Vöruskrá!A:A, Vöruskrá!F:F, "")), ""), IF(F1529 = "Réttur", IFERROR(_xlfn.SINGLE(_xlfn.XLOOKUP(G1529, Réttabanki!A:A, Réttabanki!AT:AT, "")), ""), "")))</f>
        <v/>
      </c>
      <c r="N1529" s="26" t="str">
        <f>IF(OR(F1529 = "", G1529 = ""), "", IF(F1529 = "Vara", IFERROR(_xlfn.SINGLE(_xlfn.XLOOKUP(G1529, Vöruskrá!A:A, Vöruskrá!G:G, "")), ""), IF(F1529 = "Réttur", IFERROR(_xlfn.SINGLE(_xlfn.XLOOKUP(G1529, Réttabanki!A:A, Réttabanki!AU:AU, "")), ""), "")))</f>
        <v/>
      </c>
      <c r="O1529" s="26" t="str">
        <f>IF(OR(F1529 = "", G1529 = "", I1529 = ""), "", IF(F1529 = "Vara", IFERROR(_xlfn.SINGLE(_xlfn.XLOOKUP(G1529, Vöruskrá!A:A, Vöruskrá!I:I, "")) * I1529 / 100, ""), IF(F1529 = "Réttur", IFERROR(_xlfn.SINGLE(_xlfn.XLOOKUP(G1529, Réttabanki!A:A, Réttabanki!AV:AV, "")) * I1529 / 100, ""), "")))</f>
        <v/>
      </c>
      <c r="P1529" s="26" t="str">
        <f>IF(OR(F1529 = "", G1529 = "", I1529 = ""), "", IF(F1529 = "Vara", IFERROR(_xlfn.SINGLE(_xlfn.XLOOKUP(G1529, Vöruskrá!A:A, Vöruskrá!J:J, "")) * I1529 / 100, ""), IF(F1529 = "Réttur", IFERROR(_xlfn.SINGLE(_xlfn.XLOOKUP(G1529, Réttabanki!A:A, Réttabanki!AW:AW, "")) * I1529 / 100, ""), "")))</f>
        <v/>
      </c>
      <c r="Q1529" s="26" t="str">
        <f>IF(OR(F1529 = "", G1529 = "", I1529 = ""), "", IF(F1529 = "Vara", IFERROR(_xlfn.SINGLE(_xlfn.XLOOKUP(G1529, Vöruskrá!A:A, Vöruskrá!N:N, "")) * I1529 / 100, ""), IF(F1529 = "Réttur", IFERROR(_xlfn.SINGLE(_xlfn.XLOOKUP(G1529, Réttabanki!A:A, Réttabanki!BB:BB, "")) * I1529 / 100, ""), "")))</f>
        <v/>
      </c>
    </row>
    <row r="1530" spans="2:17">
      <c r="B1530" s="33" t="str">
        <f>IF(A1530&lt;&gt;"",CHOOSE(WEEKDAY(A1530,2),"Mánudagur","Þriðjudagur","Miðvikudagur","Fimmtudagur","Föstudagur","Laugardagur","Sunnudagur"),IF(B1529&lt;&gt;"",B1529,""))</f>
        <v>Fimmtudagur</v>
      </c>
      <c r="C1530" s="33">
        <f>IF(A1530&lt;&gt;"",WEEKNUM(A1530,21),IF(C1529&lt;&gt;"",C1529,""))</f>
        <v>27</v>
      </c>
      <c r="D1530" s="34"/>
      <c r="E1530" s="34"/>
      <c r="F1530" s="34"/>
      <c r="G1530" s="34"/>
      <c r="H1530" s="34"/>
      <c r="I1530" s="35"/>
      <c r="J1530" s="35"/>
      <c r="K1530" s="36"/>
      <c r="L1530" s="26" t="str">
        <f>IF(OR(F1530 = "", G1530 = ""), "", IF(F1530 = "Vara", IFERROR(_xlfn.SINGLE(_xlfn.XLOOKUP(G1530, Vöruskrá!A:A, Vöruskrá!E:E, "")), ""), IF(F1530 = "Réttur", IFERROR(_xlfn.SINGLE(_xlfn.XLOOKUP(G1530, Réttabanki!A:A, Réttabanki!AS:AS, "")), ""), "")))</f>
        <v/>
      </c>
      <c r="M1530" s="26" t="str">
        <f>IF(OR(F1530 = "", G1530 = ""), "", IF(F1530 = "Vara", IFERROR(_xlfn.SINGLE(_xlfn.XLOOKUP(G1530, Vöruskrá!A:A, Vöruskrá!F:F, "")), ""), IF(F1530 = "Réttur", IFERROR(_xlfn.SINGLE(_xlfn.XLOOKUP(G1530, Réttabanki!A:A, Réttabanki!AT:AT, "")), ""), "")))</f>
        <v/>
      </c>
      <c r="N1530" s="26" t="str">
        <f>IF(OR(F1530 = "", G1530 = ""), "", IF(F1530 = "Vara", IFERROR(_xlfn.SINGLE(_xlfn.XLOOKUP(G1530, Vöruskrá!A:A, Vöruskrá!G:G, "")), ""), IF(F1530 = "Réttur", IFERROR(_xlfn.SINGLE(_xlfn.XLOOKUP(G1530, Réttabanki!A:A, Réttabanki!AU:AU, "")), ""), "")))</f>
        <v/>
      </c>
      <c r="O1530" s="26" t="str">
        <f>IF(OR(F1530 = "", G1530 = "", I1530 = ""), "", IF(F1530 = "Vara", IFERROR(_xlfn.SINGLE(_xlfn.XLOOKUP(G1530, Vöruskrá!A:A, Vöruskrá!I:I, "")) * I1530 / 100, ""), IF(F1530 = "Réttur", IFERROR(_xlfn.SINGLE(_xlfn.XLOOKUP(G1530, Réttabanki!A:A, Réttabanki!AV:AV, "")) * I1530 / 100, ""), "")))</f>
        <v/>
      </c>
      <c r="P1530" s="26" t="str">
        <f>IF(OR(F1530 = "", G1530 = "", I1530 = ""), "", IF(F1530 = "Vara", IFERROR(_xlfn.SINGLE(_xlfn.XLOOKUP(G1530, Vöruskrá!A:A, Vöruskrá!J:J, "")) * I1530 / 100, ""), IF(F1530 = "Réttur", IFERROR(_xlfn.SINGLE(_xlfn.XLOOKUP(G1530, Réttabanki!A:A, Réttabanki!AW:AW, "")) * I1530 / 100, ""), "")))</f>
        <v/>
      </c>
      <c r="Q1530" s="26" t="str">
        <f>IF(OR(F1530 = "", G1530 = "", I1530 = ""), "", IF(F1530 = "Vara", IFERROR(_xlfn.SINGLE(_xlfn.XLOOKUP(G1530, Vöruskrá!A:A, Vöruskrá!N:N, "")) * I1530 / 100, ""), IF(F1530 = "Réttur", IFERROR(_xlfn.SINGLE(_xlfn.XLOOKUP(G1530, Réttabanki!A:A, Réttabanki!BB:BB, "")) * I1530 / 100, ""), "")))</f>
        <v/>
      </c>
    </row>
    <row r="1531" spans="2:17">
      <c r="B1531" s="33" t="str">
        <f>IF(A1531&lt;&gt;"",CHOOSE(WEEKDAY(A1531,2),"Mánudagur","Þriðjudagur","Miðvikudagur","Fimmtudagur","Föstudagur","Laugardagur","Sunnudagur"),IF(B1530&lt;&gt;"",B1530,""))</f>
        <v>Fimmtudagur</v>
      </c>
      <c r="C1531" s="33">
        <f>IF(A1531&lt;&gt;"",WEEKNUM(A1531,21),IF(C1530&lt;&gt;"",C1530,""))</f>
        <v>27</v>
      </c>
      <c r="D1531" s="34"/>
      <c r="E1531" s="34"/>
      <c r="F1531" s="34"/>
      <c r="G1531" s="34"/>
      <c r="H1531" s="34"/>
      <c r="I1531" s="35"/>
      <c r="J1531" s="35"/>
      <c r="K1531" s="36"/>
      <c r="L1531" s="26" t="str">
        <f>IF(OR(F1531 = "", G1531 = ""), "", IF(F1531 = "Vara", IFERROR(_xlfn.SINGLE(_xlfn.XLOOKUP(G1531, Vöruskrá!A:A, Vöruskrá!E:E, "")), ""), IF(F1531 = "Réttur", IFERROR(_xlfn.SINGLE(_xlfn.XLOOKUP(G1531, Réttabanki!A:A, Réttabanki!AS:AS, "")), ""), "")))</f>
        <v/>
      </c>
      <c r="M1531" s="26" t="str">
        <f>IF(OR(F1531 = "", G1531 = ""), "", IF(F1531 = "Vara", IFERROR(_xlfn.SINGLE(_xlfn.XLOOKUP(G1531, Vöruskrá!A:A, Vöruskrá!F:F, "")), ""), IF(F1531 = "Réttur", IFERROR(_xlfn.SINGLE(_xlfn.XLOOKUP(G1531, Réttabanki!A:A, Réttabanki!AT:AT, "")), ""), "")))</f>
        <v/>
      </c>
      <c r="N1531" s="26" t="str">
        <f>IF(OR(F1531 = "", G1531 = ""), "", IF(F1531 = "Vara", IFERROR(_xlfn.SINGLE(_xlfn.XLOOKUP(G1531, Vöruskrá!A:A, Vöruskrá!G:G, "")), ""), IF(F1531 = "Réttur", IFERROR(_xlfn.SINGLE(_xlfn.XLOOKUP(G1531, Réttabanki!A:A, Réttabanki!AU:AU, "")), ""), "")))</f>
        <v/>
      </c>
      <c r="O1531" s="26" t="str">
        <f>IF(OR(F1531 = "", G1531 = "", I1531 = ""), "", IF(F1531 = "Vara", IFERROR(_xlfn.SINGLE(_xlfn.XLOOKUP(G1531, Vöruskrá!A:A, Vöruskrá!I:I, "")) * I1531 / 100, ""), IF(F1531 = "Réttur", IFERROR(_xlfn.SINGLE(_xlfn.XLOOKUP(G1531, Réttabanki!A:A, Réttabanki!AV:AV, "")) * I1531 / 100, ""), "")))</f>
        <v/>
      </c>
      <c r="P1531" s="26" t="str">
        <f>IF(OR(F1531 = "", G1531 = "", I1531 = ""), "", IF(F1531 = "Vara", IFERROR(_xlfn.SINGLE(_xlfn.XLOOKUP(G1531, Vöruskrá!A:A, Vöruskrá!J:J, "")) * I1531 / 100, ""), IF(F1531 = "Réttur", IFERROR(_xlfn.SINGLE(_xlfn.XLOOKUP(G1531, Réttabanki!A:A, Réttabanki!AW:AW, "")) * I1531 / 100, ""), "")))</f>
        <v/>
      </c>
      <c r="Q1531" s="26" t="str">
        <f>IF(OR(F1531 = "", G1531 = "", I1531 = ""), "", IF(F1531 = "Vara", IFERROR(_xlfn.SINGLE(_xlfn.XLOOKUP(G1531, Vöruskrá!A:A, Vöruskrá!N:N, "")) * I1531 / 100, ""), IF(F1531 = "Réttur", IFERROR(_xlfn.SINGLE(_xlfn.XLOOKUP(G1531, Réttabanki!A:A, Réttabanki!BB:BB, "")) * I1531 / 100, ""), "")))</f>
        <v/>
      </c>
    </row>
    <row r="1532" spans="2:17">
      <c r="B1532" s="33" t="str">
        <f>IF(A1532&lt;&gt;"",CHOOSE(WEEKDAY(A1532,2),"Mánudagur","Þriðjudagur","Miðvikudagur","Fimmtudagur","Föstudagur","Laugardagur","Sunnudagur"),IF(B1531&lt;&gt;"",B1531,""))</f>
        <v>Fimmtudagur</v>
      </c>
      <c r="C1532" s="33">
        <f>IF(A1532&lt;&gt;"",WEEKNUM(A1532,21),IF(C1531&lt;&gt;"",C1531,""))</f>
        <v>27</v>
      </c>
      <c r="D1532" s="34"/>
      <c r="E1532" s="34"/>
      <c r="F1532" s="34"/>
      <c r="G1532" s="34"/>
      <c r="H1532" s="34"/>
      <c r="I1532" s="35"/>
      <c r="J1532" s="35"/>
      <c r="K1532" s="36"/>
      <c r="L1532" s="26" t="str">
        <f>IF(OR(F1532 = "", G1532 = ""), "", IF(F1532 = "Vara", IFERROR(_xlfn.SINGLE(_xlfn.XLOOKUP(G1532, Vöruskrá!A:A, Vöruskrá!E:E, "")), ""), IF(F1532 = "Réttur", IFERROR(_xlfn.SINGLE(_xlfn.XLOOKUP(G1532, Réttabanki!A:A, Réttabanki!AS:AS, "")), ""), "")))</f>
        <v/>
      </c>
      <c r="M1532" s="26" t="str">
        <f>IF(OR(F1532 = "", G1532 = ""), "", IF(F1532 = "Vara", IFERROR(_xlfn.SINGLE(_xlfn.XLOOKUP(G1532, Vöruskrá!A:A, Vöruskrá!F:F, "")), ""), IF(F1532 = "Réttur", IFERROR(_xlfn.SINGLE(_xlfn.XLOOKUP(G1532, Réttabanki!A:A, Réttabanki!AT:AT, "")), ""), "")))</f>
        <v/>
      </c>
      <c r="N1532" s="26" t="str">
        <f>IF(OR(F1532 = "", G1532 = ""), "", IF(F1532 = "Vara", IFERROR(_xlfn.SINGLE(_xlfn.XLOOKUP(G1532, Vöruskrá!A:A, Vöruskrá!G:G, "")), ""), IF(F1532 = "Réttur", IFERROR(_xlfn.SINGLE(_xlfn.XLOOKUP(G1532, Réttabanki!A:A, Réttabanki!AU:AU, "")), ""), "")))</f>
        <v/>
      </c>
      <c r="O1532" s="26" t="str">
        <f>IF(OR(F1532 = "", G1532 = "", I1532 = ""), "", IF(F1532 = "Vara", IFERROR(_xlfn.SINGLE(_xlfn.XLOOKUP(G1532, Vöruskrá!A:A, Vöruskrá!I:I, "")) * I1532 / 100, ""), IF(F1532 = "Réttur", IFERROR(_xlfn.SINGLE(_xlfn.XLOOKUP(G1532, Réttabanki!A:A, Réttabanki!AV:AV, "")) * I1532 / 100, ""), "")))</f>
        <v/>
      </c>
      <c r="P1532" s="26" t="str">
        <f>IF(OR(F1532 = "", G1532 = "", I1532 = ""), "", IF(F1532 = "Vara", IFERROR(_xlfn.SINGLE(_xlfn.XLOOKUP(G1532, Vöruskrá!A:A, Vöruskrá!J:J, "")) * I1532 / 100, ""), IF(F1532 = "Réttur", IFERROR(_xlfn.SINGLE(_xlfn.XLOOKUP(G1532, Réttabanki!A:A, Réttabanki!AW:AW, "")) * I1532 / 100, ""), "")))</f>
        <v/>
      </c>
      <c r="Q1532" s="26" t="str">
        <f>IF(OR(F1532 = "", G1532 = "", I1532 = ""), "", IF(F1532 = "Vara", IFERROR(_xlfn.SINGLE(_xlfn.XLOOKUP(G1532, Vöruskrá!A:A, Vöruskrá!N:N, "")) * I1532 / 100, ""), IF(F1532 = "Réttur", IFERROR(_xlfn.SINGLE(_xlfn.XLOOKUP(G1532, Réttabanki!A:A, Réttabanki!BB:BB, "")) * I1532 / 100, ""), "")))</f>
        <v/>
      </c>
    </row>
    <row r="1533" spans="2:17">
      <c r="B1533" s="33" t="str">
        <f>IF(A1533&lt;&gt;"",CHOOSE(WEEKDAY(A1533,2),"Mánudagur","Þriðjudagur","Miðvikudagur","Fimmtudagur","Föstudagur","Laugardagur","Sunnudagur"),IF(B1532&lt;&gt;"",B1532,""))</f>
        <v>Fimmtudagur</v>
      </c>
      <c r="C1533" s="33">
        <f>IF(A1533&lt;&gt;"",WEEKNUM(A1533,21),IF(C1532&lt;&gt;"",C1532,""))</f>
        <v>27</v>
      </c>
      <c r="D1533" s="34"/>
      <c r="E1533" s="34"/>
      <c r="F1533" s="34"/>
      <c r="G1533" s="34"/>
      <c r="H1533" s="34"/>
      <c r="I1533" s="35"/>
      <c r="J1533" s="35"/>
      <c r="K1533" s="36"/>
      <c r="L1533" s="26" t="str">
        <f>IF(OR(F1533 = "", G1533 = ""), "", IF(F1533 = "Vara", IFERROR(_xlfn.SINGLE(_xlfn.XLOOKUP(G1533, Vöruskrá!A:A, Vöruskrá!E:E, "")), ""), IF(F1533 = "Réttur", IFERROR(_xlfn.SINGLE(_xlfn.XLOOKUP(G1533, Réttabanki!A:A, Réttabanki!AS:AS, "")), ""), "")))</f>
        <v/>
      </c>
      <c r="M1533" s="26" t="str">
        <f>IF(OR(F1533 = "", G1533 = ""), "", IF(F1533 = "Vara", IFERROR(_xlfn.SINGLE(_xlfn.XLOOKUP(G1533, Vöruskrá!A:A, Vöruskrá!F:F, "")), ""), IF(F1533 = "Réttur", IFERROR(_xlfn.SINGLE(_xlfn.XLOOKUP(G1533, Réttabanki!A:A, Réttabanki!AT:AT, "")), ""), "")))</f>
        <v/>
      </c>
      <c r="N1533" s="26" t="str">
        <f>IF(OR(F1533 = "", G1533 = ""), "", IF(F1533 = "Vara", IFERROR(_xlfn.SINGLE(_xlfn.XLOOKUP(G1533, Vöruskrá!A:A, Vöruskrá!G:G, "")), ""), IF(F1533 = "Réttur", IFERROR(_xlfn.SINGLE(_xlfn.XLOOKUP(G1533, Réttabanki!A:A, Réttabanki!AU:AU, "")), ""), "")))</f>
        <v/>
      </c>
      <c r="O1533" s="26" t="str">
        <f>IF(OR(F1533 = "", G1533 = "", I1533 = ""), "", IF(F1533 = "Vara", IFERROR(_xlfn.SINGLE(_xlfn.XLOOKUP(G1533, Vöruskrá!A:A, Vöruskrá!I:I, "")) * I1533 / 100, ""), IF(F1533 = "Réttur", IFERROR(_xlfn.SINGLE(_xlfn.XLOOKUP(G1533, Réttabanki!A:A, Réttabanki!AV:AV, "")) * I1533 / 100, ""), "")))</f>
        <v/>
      </c>
      <c r="P1533" s="26" t="str">
        <f>IF(OR(F1533 = "", G1533 = "", I1533 = ""), "", IF(F1533 = "Vara", IFERROR(_xlfn.SINGLE(_xlfn.XLOOKUP(G1533, Vöruskrá!A:A, Vöruskrá!J:J, "")) * I1533 / 100, ""), IF(F1533 = "Réttur", IFERROR(_xlfn.SINGLE(_xlfn.XLOOKUP(G1533, Réttabanki!A:A, Réttabanki!AW:AW, "")) * I1533 / 100, ""), "")))</f>
        <v/>
      </c>
      <c r="Q1533" s="26" t="str">
        <f>IF(OR(F1533 = "", G1533 = "", I1533 = ""), "", IF(F1533 = "Vara", IFERROR(_xlfn.SINGLE(_xlfn.XLOOKUP(G1533, Vöruskrá!A:A, Vöruskrá!N:N, "")) * I1533 / 100, ""), IF(F1533 = "Réttur", IFERROR(_xlfn.SINGLE(_xlfn.XLOOKUP(G1533, Réttabanki!A:A, Réttabanki!BB:BB, "")) * I1533 / 100, ""), "")))</f>
        <v/>
      </c>
    </row>
    <row r="1534" spans="2:17">
      <c r="B1534" s="33" t="str">
        <f>IF(A1534&lt;&gt;"",CHOOSE(WEEKDAY(A1534,2),"Mánudagur","Þriðjudagur","Miðvikudagur","Fimmtudagur","Föstudagur","Laugardagur","Sunnudagur"),IF(B1533&lt;&gt;"",B1533,""))</f>
        <v>Fimmtudagur</v>
      </c>
      <c r="C1534" s="33">
        <f>IF(A1534&lt;&gt;"",WEEKNUM(A1534,21),IF(C1533&lt;&gt;"",C1533,""))</f>
        <v>27</v>
      </c>
      <c r="D1534" s="34"/>
      <c r="E1534" s="34"/>
      <c r="F1534" s="34"/>
      <c r="G1534" s="34"/>
      <c r="H1534" s="34"/>
      <c r="I1534" s="35"/>
      <c r="J1534" s="35"/>
      <c r="K1534" s="36"/>
      <c r="L1534" s="26" t="str">
        <f>IF(OR(F1534 = "", G1534 = ""), "", IF(F1534 = "Vara", IFERROR(_xlfn.SINGLE(_xlfn.XLOOKUP(G1534, Vöruskrá!A:A, Vöruskrá!E:E, "")), ""), IF(F1534 = "Réttur", IFERROR(_xlfn.SINGLE(_xlfn.XLOOKUP(G1534, Réttabanki!A:A, Réttabanki!AS:AS, "")), ""), "")))</f>
        <v/>
      </c>
      <c r="M1534" s="26" t="str">
        <f>IF(OR(F1534 = "", G1534 = ""), "", IF(F1534 = "Vara", IFERROR(_xlfn.SINGLE(_xlfn.XLOOKUP(G1534, Vöruskrá!A:A, Vöruskrá!F:F, "")), ""), IF(F1534 = "Réttur", IFERROR(_xlfn.SINGLE(_xlfn.XLOOKUP(G1534, Réttabanki!A:A, Réttabanki!AT:AT, "")), ""), "")))</f>
        <v/>
      </c>
      <c r="N1534" s="26" t="str">
        <f>IF(OR(F1534 = "", G1534 = ""), "", IF(F1534 = "Vara", IFERROR(_xlfn.SINGLE(_xlfn.XLOOKUP(G1534, Vöruskrá!A:A, Vöruskrá!G:G, "")), ""), IF(F1534 = "Réttur", IFERROR(_xlfn.SINGLE(_xlfn.XLOOKUP(G1534, Réttabanki!A:A, Réttabanki!AU:AU, "")), ""), "")))</f>
        <v/>
      </c>
      <c r="O1534" s="26" t="str">
        <f>IF(OR(F1534 = "", G1534 = "", I1534 = ""), "", IF(F1534 = "Vara", IFERROR(_xlfn.SINGLE(_xlfn.XLOOKUP(G1534, Vöruskrá!A:A, Vöruskrá!I:I, "")) * I1534 / 100, ""), IF(F1534 = "Réttur", IFERROR(_xlfn.SINGLE(_xlfn.XLOOKUP(G1534, Réttabanki!A:A, Réttabanki!AV:AV, "")) * I1534 / 100, ""), "")))</f>
        <v/>
      </c>
      <c r="P1534" s="26" t="str">
        <f>IF(OR(F1534 = "", G1534 = "", I1534 = ""), "", IF(F1534 = "Vara", IFERROR(_xlfn.SINGLE(_xlfn.XLOOKUP(G1534, Vöruskrá!A:A, Vöruskrá!J:J, "")) * I1534 / 100, ""), IF(F1534 = "Réttur", IFERROR(_xlfn.SINGLE(_xlfn.XLOOKUP(G1534, Réttabanki!A:A, Réttabanki!AW:AW, "")) * I1534 / 100, ""), "")))</f>
        <v/>
      </c>
      <c r="Q1534" s="26" t="str">
        <f>IF(OR(F1534 = "", G1534 = "", I1534 = ""), "", IF(F1534 = "Vara", IFERROR(_xlfn.SINGLE(_xlfn.XLOOKUP(G1534, Vöruskrá!A:A, Vöruskrá!N:N, "")) * I1534 / 100, ""), IF(F1534 = "Réttur", IFERROR(_xlfn.SINGLE(_xlfn.XLOOKUP(G1534, Réttabanki!A:A, Réttabanki!BB:BB, "")) * I1534 / 100, ""), "")))</f>
        <v/>
      </c>
    </row>
    <row r="1535" spans="2:17">
      <c r="B1535" s="33" t="str">
        <f>IF(A1535&lt;&gt;"",CHOOSE(WEEKDAY(A1535,2),"Mánudagur","Þriðjudagur","Miðvikudagur","Fimmtudagur","Föstudagur","Laugardagur","Sunnudagur"),IF(B1534&lt;&gt;"",B1534,""))</f>
        <v>Fimmtudagur</v>
      </c>
      <c r="C1535" s="33">
        <f>IF(A1535&lt;&gt;"",WEEKNUM(A1535,21),IF(C1534&lt;&gt;"",C1534,""))</f>
        <v>27</v>
      </c>
      <c r="D1535" s="34"/>
      <c r="E1535" s="34"/>
      <c r="F1535" s="34"/>
      <c r="G1535" s="34"/>
      <c r="H1535" s="34"/>
      <c r="I1535" s="35"/>
      <c r="J1535" s="35"/>
      <c r="K1535" s="36"/>
      <c r="L1535" s="26" t="str">
        <f>IF(OR(F1535 = "", G1535 = ""), "", IF(F1535 = "Vara", IFERROR(_xlfn.SINGLE(_xlfn.XLOOKUP(G1535, Vöruskrá!A:A, Vöruskrá!E:E, "")), ""), IF(F1535 = "Réttur", IFERROR(_xlfn.SINGLE(_xlfn.XLOOKUP(G1535, Réttabanki!A:A, Réttabanki!AS:AS, "")), ""), "")))</f>
        <v/>
      </c>
      <c r="M1535" s="26" t="str">
        <f>IF(OR(F1535 = "", G1535 = ""), "", IF(F1535 = "Vara", IFERROR(_xlfn.SINGLE(_xlfn.XLOOKUP(G1535, Vöruskrá!A:A, Vöruskrá!F:F, "")), ""), IF(F1535 = "Réttur", IFERROR(_xlfn.SINGLE(_xlfn.XLOOKUP(G1535, Réttabanki!A:A, Réttabanki!AT:AT, "")), ""), "")))</f>
        <v/>
      </c>
      <c r="N1535" s="26" t="str">
        <f>IF(OR(F1535 = "", G1535 = ""), "", IF(F1535 = "Vara", IFERROR(_xlfn.SINGLE(_xlfn.XLOOKUP(G1535, Vöruskrá!A:A, Vöruskrá!G:G, "")), ""), IF(F1535 = "Réttur", IFERROR(_xlfn.SINGLE(_xlfn.XLOOKUP(G1535, Réttabanki!A:A, Réttabanki!AU:AU, "")), ""), "")))</f>
        <v/>
      </c>
      <c r="O1535" s="26" t="str">
        <f>IF(OR(F1535 = "", G1535 = "", I1535 = ""), "", IF(F1535 = "Vara", IFERROR(_xlfn.SINGLE(_xlfn.XLOOKUP(G1535, Vöruskrá!A:A, Vöruskrá!I:I, "")) * I1535 / 100, ""), IF(F1535 = "Réttur", IFERROR(_xlfn.SINGLE(_xlfn.XLOOKUP(G1535, Réttabanki!A:A, Réttabanki!AV:AV, "")) * I1535 / 100, ""), "")))</f>
        <v/>
      </c>
      <c r="P1535" s="26" t="str">
        <f>IF(OR(F1535 = "", G1535 = "", I1535 = ""), "", IF(F1535 = "Vara", IFERROR(_xlfn.SINGLE(_xlfn.XLOOKUP(G1535, Vöruskrá!A:A, Vöruskrá!J:J, "")) * I1535 / 100, ""), IF(F1535 = "Réttur", IFERROR(_xlfn.SINGLE(_xlfn.XLOOKUP(G1535, Réttabanki!A:A, Réttabanki!AW:AW, "")) * I1535 / 100, ""), "")))</f>
        <v/>
      </c>
      <c r="Q1535" s="26" t="str">
        <f>IF(OR(F1535 = "", G1535 = "", I1535 = ""), "", IF(F1535 = "Vara", IFERROR(_xlfn.SINGLE(_xlfn.XLOOKUP(G1535, Vöruskrá!A:A, Vöruskrá!N:N, "")) * I1535 / 100, ""), IF(F1535 = "Réttur", IFERROR(_xlfn.SINGLE(_xlfn.XLOOKUP(G1535, Réttabanki!A:A, Réttabanki!BB:BB, "")) * I1535 / 100, ""), "")))</f>
        <v/>
      </c>
    </row>
    <row r="1536" spans="2:17">
      <c r="B1536" s="33" t="str">
        <f>IF(A1536&lt;&gt;"",CHOOSE(WEEKDAY(A1536,2),"Mánudagur","Þriðjudagur","Miðvikudagur","Fimmtudagur","Föstudagur","Laugardagur","Sunnudagur"),IF(B1535&lt;&gt;"",B1535,""))</f>
        <v>Fimmtudagur</v>
      </c>
      <c r="C1536" s="33">
        <f>IF(A1536&lt;&gt;"",WEEKNUM(A1536,21),IF(C1535&lt;&gt;"",C1535,""))</f>
        <v>27</v>
      </c>
      <c r="D1536" s="34"/>
      <c r="E1536" s="34"/>
      <c r="F1536" s="34"/>
      <c r="G1536" s="34"/>
      <c r="H1536" s="34"/>
      <c r="I1536" s="35"/>
      <c r="J1536" s="35"/>
      <c r="K1536" s="36"/>
      <c r="L1536" s="26" t="str">
        <f>IF(OR(F1536 = "", G1536 = ""), "", IF(F1536 = "Vara", IFERROR(_xlfn.SINGLE(_xlfn.XLOOKUP(G1536, Vöruskrá!A:A, Vöruskrá!E:E, "")), ""), IF(F1536 = "Réttur", IFERROR(_xlfn.SINGLE(_xlfn.XLOOKUP(G1536, Réttabanki!A:A, Réttabanki!AS:AS, "")), ""), "")))</f>
        <v/>
      </c>
      <c r="M1536" s="26" t="str">
        <f>IF(OR(F1536 = "", G1536 = ""), "", IF(F1536 = "Vara", IFERROR(_xlfn.SINGLE(_xlfn.XLOOKUP(G1536, Vöruskrá!A:A, Vöruskrá!F:F, "")), ""), IF(F1536 = "Réttur", IFERROR(_xlfn.SINGLE(_xlfn.XLOOKUP(G1536, Réttabanki!A:A, Réttabanki!AT:AT, "")), ""), "")))</f>
        <v/>
      </c>
      <c r="N1536" s="26" t="str">
        <f>IF(OR(F1536 = "", G1536 = ""), "", IF(F1536 = "Vara", IFERROR(_xlfn.SINGLE(_xlfn.XLOOKUP(G1536, Vöruskrá!A:A, Vöruskrá!G:G, "")), ""), IF(F1536 = "Réttur", IFERROR(_xlfn.SINGLE(_xlfn.XLOOKUP(G1536, Réttabanki!A:A, Réttabanki!AU:AU, "")), ""), "")))</f>
        <v/>
      </c>
      <c r="O1536" s="26" t="str">
        <f>IF(OR(F1536 = "", G1536 = "", I1536 = ""), "", IF(F1536 = "Vara", IFERROR(_xlfn.SINGLE(_xlfn.XLOOKUP(G1536, Vöruskrá!A:A, Vöruskrá!I:I, "")) * I1536 / 100, ""), IF(F1536 = "Réttur", IFERROR(_xlfn.SINGLE(_xlfn.XLOOKUP(G1536, Réttabanki!A:A, Réttabanki!AV:AV, "")) * I1536 / 100, ""), "")))</f>
        <v/>
      </c>
      <c r="P1536" s="26" t="str">
        <f>IF(OR(F1536 = "", G1536 = "", I1536 = ""), "", IF(F1536 = "Vara", IFERROR(_xlfn.SINGLE(_xlfn.XLOOKUP(G1536, Vöruskrá!A:A, Vöruskrá!J:J, "")) * I1536 / 100, ""), IF(F1536 = "Réttur", IFERROR(_xlfn.SINGLE(_xlfn.XLOOKUP(G1536, Réttabanki!A:A, Réttabanki!AW:AW, "")) * I1536 / 100, ""), "")))</f>
        <v/>
      </c>
      <c r="Q1536" s="26" t="str">
        <f>IF(OR(F1536 = "", G1536 = "", I1536 = ""), "", IF(F1536 = "Vara", IFERROR(_xlfn.SINGLE(_xlfn.XLOOKUP(G1536, Vöruskrá!A:A, Vöruskrá!N:N, "")) * I1536 / 100, ""), IF(F1536 = "Réttur", IFERROR(_xlfn.SINGLE(_xlfn.XLOOKUP(G1536, Réttabanki!A:A, Réttabanki!BB:BB, "")) * I1536 / 100, ""), "")))</f>
        <v/>
      </c>
    </row>
    <row r="1537" spans="2:17">
      <c r="B1537" s="33" t="str">
        <f>IF(A1537&lt;&gt;"",CHOOSE(WEEKDAY(A1537,2),"Mánudagur","Þriðjudagur","Miðvikudagur","Fimmtudagur","Föstudagur","Laugardagur","Sunnudagur"),IF(B1536&lt;&gt;"",B1536,""))</f>
        <v>Fimmtudagur</v>
      </c>
      <c r="C1537" s="33">
        <f>IF(A1537&lt;&gt;"",WEEKNUM(A1537,21),IF(C1536&lt;&gt;"",C1536,""))</f>
        <v>27</v>
      </c>
      <c r="D1537" s="34"/>
      <c r="E1537" s="34"/>
      <c r="F1537" s="34"/>
      <c r="G1537" s="34"/>
      <c r="H1537" s="34"/>
      <c r="I1537" s="35"/>
      <c r="J1537" s="35"/>
      <c r="K1537" s="36"/>
      <c r="L1537" s="26" t="str">
        <f>IF(OR(F1537 = "", G1537 = ""), "", IF(F1537 = "Vara", IFERROR(_xlfn.SINGLE(_xlfn.XLOOKUP(G1537, Vöruskrá!A:A, Vöruskrá!E:E, "")), ""), IF(F1537 = "Réttur", IFERROR(_xlfn.SINGLE(_xlfn.XLOOKUP(G1537, Réttabanki!A:A, Réttabanki!AS:AS, "")), ""), "")))</f>
        <v/>
      </c>
      <c r="M1537" s="26" t="str">
        <f>IF(OR(F1537 = "", G1537 = ""), "", IF(F1537 = "Vara", IFERROR(_xlfn.SINGLE(_xlfn.XLOOKUP(G1537, Vöruskrá!A:A, Vöruskrá!F:F, "")), ""), IF(F1537 = "Réttur", IFERROR(_xlfn.SINGLE(_xlfn.XLOOKUP(G1537, Réttabanki!A:A, Réttabanki!AT:AT, "")), ""), "")))</f>
        <v/>
      </c>
      <c r="N1537" s="26" t="str">
        <f>IF(OR(F1537 = "", G1537 = ""), "", IF(F1537 = "Vara", IFERROR(_xlfn.SINGLE(_xlfn.XLOOKUP(G1537, Vöruskrá!A:A, Vöruskrá!G:G, "")), ""), IF(F1537 = "Réttur", IFERROR(_xlfn.SINGLE(_xlfn.XLOOKUP(G1537, Réttabanki!A:A, Réttabanki!AU:AU, "")), ""), "")))</f>
        <v/>
      </c>
      <c r="O1537" s="26" t="str">
        <f>IF(OR(F1537 = "", G1537 = "", I1537 = ""), "", IF(F1537 = "Vara", IFERROR(_xlfn.SINGLE(_xlfn.XLOOKUP(G1537, Vöruskrá!A:A, Vöruskrá!I:I, "")) * I1537 / 100, ""), IF(F1537 = "Réttur", IFERROR(_xlfn.SINGLE(_xlfn.XLOOKUP(G1537, Réttabanki!A:A, Réttabanki!AV:AV, "")) * I1537 / 100, ""), "")))</f>
        <v/>
      </c>
      <c r="P1537" s="26" t="str">
        <f>IF(OR(F1537 = "", G1537 = "", I1537 = ""), "", IF(F1537 = "Vara", IFERROR(_xlfn.SINGLE(_xlfn.XLOOKUP(G1537, Vöruskrá!A:A, Vöruskrá!J:J, "")) * I1537 / 100, ""), IF(F1537 = "Réttur", IFERROR(_xlfn.SINGLE(_xlfn.XLOOKUP(G1537, Réttabanki!A:A, Réttabanki!AW:AW, "")) * I1537 / 100, ""), "")))</f>
        <v/>
      </c>
      <c r="Q1537" s="26" t="str">
        <f>IF(OR(F1537 = "", G1537 = "", I1537 = ""), "", IF(F1537 = "Vara", IFERROR(_xlfn.SINGLE(_xlfn.XLOOKUP(G1537, Vöruskrá!A:A, Vöruskrá!N:N, "")) * I1537 / 100, ""), IF(F1537 = "Réttur", IFERROR(_xlfn.SINGLE(_xlfn.XLOOKUP(G1537, Réttabanki!A:A, Réttabanki!BB:BB, "")) * I1537 / 100, ""), "")))</f>
        <v/>
      </c>
    </row>
    <row r="1538" spans="2:17">
      <c r="B1538" s="33" t="str">
        <f>IF(A1538&lt;&gt;"",CHOOSE(WEEKDAY(A1538,2),"Mánudagur","Þriðjudagur","Miðvikudagur","Fimmtudagur","Föstudagur","Laugardagur","Sunnudagur"),IF(B1537&lt;&gt;"",B1537,""))</f>
        <v>Fimmtudagur</v>
      </c>
      <c r="C1538" s="33">
        <f>IF(A1538&lt;&gt;"",WEEKNUM(A1538,21),IF(C1537&lt;&gt;"",C1537,""))</f>
        <v>27</v>
      </c>
      <c r="D1538" s="34"/>
      <c r="E1538" s="34"/>
      <c r="F1538" s="34"/>
      <c r="G1538" s="34"/>
      <c r="H1538" s="34"/>
      <c r="I1538" s="35"/>
      <c r="J1538" s="35"/>
      <c r="K1538" s="36"/>
      <c r="L1538" s="26" t="str">
        <f>IF(OR(F1538 = "", G1538 = ""), "", IF(F1538 = "Vara", IFERROR(_xlfn.SINGLE(_xlfn.XLOOKUP(G1538, Vöruskrá!A:A, Vöruskrá!E:E, "")), ""), IF(F1538 = "Réttur", IFERROR(_xlfn.SINGLE(_xlfn.XLOOKUP(G1538, Réttabanki!A:A, Réttabanki!AS:AS, "")), ""), "")))</f>
        <v/>
      </c>
      <c r="M1538" s="26" t="str">
        <f>IF(OR(F1538 = "", G1538 = ""), "", IF(F1538 = "Vara", IFERROR(_xlfn.SINGLE(_xlfn.XLOOKUP(G1538, Vöruskrá!A:A, Vöruskrá!F:F, "")), ""), IF(F1538 = "Réttur", IFERROR(_xlfn.SINGLE(_xlfn.XLOOKUP(G1538, Réttabanki!A:A, Réttabanki!AT:AT, "")), ""), "")))</f>
        <v/>
      </c>
      <c r="N1538" s="26" t="str">
        <f>IF(OR(F1538 = "", G1538 = ""), "", IF(F1538 = "Vara", IFERROR(_xlfn.SINGLE(_xlfn.XLOOKUP(G1538, Vöruskrá!A:A, Vöruskrá!G:G, "")), ""), IF(F1538 = "Réttur", IFERROR(_xlfn.SINGLE(_xlfn.XLOOKUP(G1538, Réttabanki!A:A, Réttabanki!AU:AU, "")), ""), "")))</f>
        <v/>
      </c>
      <c r="O1538" s="26" t="str">
        <f>IF(OR(F1538 = "", G1538 = "", I1538 = ""), "", IF(F1538 = "Vara", IFERROR(_xlfn.SINGLE(_xlfn.XLOOKUP(G1538, Vöruskrá!A:A, Vöruskrá!I:I, "")) * I1538 / 100, ""), IF(F1538 = "Réttur", IFERROR(_xlfn.SINGLE(_xlfn.XLOOKUP(G1538, Réttabanki!A:A, Réttabanki!AV:AV, "")) * I1538 / 100, ""), "")))</f>
        <v/>
      </c>
      <c r="P1538" s="26" t="str">
        <f>IF(OR(F1538 = "", G1538 = "", I1538 = ""), "", IF(F1538 = "Vara", IFERROR(_xlfn.SINGLE(_xlfn.XLOOKUP(G1538, Vöruskrá!A:A, Vöruskrá!J:J, "")) * I1538 / 100, ""), IF(F1538 = "Réttur", IFERROR(_xlfn.SINGLE(_xlfn.XLOOKUP(G1538, Réttabanki!A:A, Réttabanki!AW:AW, "")) * I1538 / 100, ""), "")))</f>
        <v/>
      </c>
      <c r="Q1538" s="26" t="str">
        <f>IF(OR(F1538 = "", G1538 = "", I1538 = ""), "", IF(F1538 = "Vara", IFERROR(_xlfn.SINGLE(_xlfn.XLOOKUP(G1538, Vöruskrá!A:A, Vöruskrá!N:N, "")) * I1538 / 100, ""), IF(F1538 = "Réttur", IFERROR(_xlfn.SINGLE(_xlfn.XLOOKUP(G1538, Réttabanki!A:A, Réttabanki!BB:BB, "")) * I1538 / 100, ""), "")))</f>
        <v/>
      </c>
    </row>
    <row r="1539" spans="2:17">
      <c r="B1539" s="33" t="str">
        <f>IF(A1539&lt;&gt;"",CHOOSE(WEEKDAY(A1539,2),"Mánudagur","Þriðjudagur","Miðvikudagur","Fimmtudagur","Föstudagur","Laugardagur","Sunnudagur"),IF(B1538&lt;&gt;"",B1538,""))</f>
        <v>Fimmtudagur</v>
      </c>
      <c r="C1539" s="33">
        <f>IF(A1539&lt;&gt;"",WEEKNUM(A1539,21),IF(C1538&lt;&gt;"",C1538,""))</f>
        <v>27</v>
      </c>
      <c r="D1539" s="34"/>
      <c r="E1539" s="34"/>
      <c r="F1539" s="34"/>
      <c r="G1539" s="34"/>
      <c r="H1539" s="34"/>
      <c r="I1539" s="35"/>
      <c r="J1539" s="35"/>
      <c r="K1539" s="36"/>
      <c r="L1539" s="26" t="str">
        <f>IF(OR(F1539 = "", G1539 = ""), "", IF(F1539 = "Vara", IFERROR(_xlfn.SINGLE(_xlfn.XLOOKUP(G1539, Vöruskrá!A:A, Vöruskrá!E:E, "")), ""), IF(F1539 = "Réttur", IFERROR(_xlfn.SINGLE(_xlfn.XLOOKUP(G1539, Réttabanki!A:A, Réttabanki!AS:AS, "")), ""), "")))</f>
        <v/>
      </c>
      <c r="M1539" s="26" t="str">
        <f>IF(OR(F1539 = "", G1539 = ""), "", IF(F1539 = "Vara", IFERROR(_xlfn.SINGLE(_xlfn.XLOOKUP(G1539, Vöruskrá!A:A, Vöruskrá!F:F, "")), ""), IF(F1539 = "Réttur", IFERROR(_xlfn.SINGLE(_xlfn.XLOOKUP(G1539, Réttabanki!A:A, Réttabanki!AT:AT, "")), ""), "")))</f>
        <v/>
      </c>
      <c r="N1539" s="26" t="str">
        <f>IF(OR(F1539 = "", G1539 = ""), "", IF(F1539 = "Vara", IFERROR(_xlfn.SINGLE(_xlfn.XLOOKUP(G1539, Vöruskrá!A:A, Vöruskrá!G:G, "")), ""), IF(F1539 = "Réttur", IFERROR(_xlfn.SINGLE(_xlfn.XLOOKUP(G1539, Réttabanki!A:A, Réttabanki!AU:AU, "")), ""), "")))</f>
        <v/>
      </c>
      <c r="O1539" s="26" t="str">
        <f>IF(OR(F1539 = "", G1539 = "", I1539 = ""), "", IF(F1539 = "Vara", IFERROR(_xlfn.SINGLE(_xlfn.XLOOKUP(G1539, Vöruskrá!A:A, Vöruskrá!I:I, "")) * I1539 / 100, ""), IF(F1539 = "Réttur", IFERROR(_xlfn.SINGLE(_xlfn.XLOOKUP(G1539, Réttabanki!A:A, Réttabanki!AV:AV, "")) * I1539 / 100, ""), "")))</f>
        <v/>
      </c>
      <c r="P1539" s="26" t="str">
        <f>IF(OR(F1539 = "", G1539 = "", I1539 = ""), "", IF(F1539 = "Vara", IFERROR(_xlfn.SINGLE(_xlfn.XLOOKUP(G1539, Vöruskrá!A:A, Vöruskrá!J:J, "")) * I1539 / 100, ""), IF(F1539 = "Réttur", IFERROR(_xlfn.SINGLE(_xlfn.XLOOKUP(G1539, Réttabanki!A:A, Réttabanki!AW:AW, "")) * I1539 / 100, ""), "")))</f>
        <v/>
      </c>
      <c r="Q1539" s="26" t="str">
        <f>IF(OR(F1539 = "", G1539 = "", I1539 = ""), "", IF(F1539 = "Vara", IFERROR(_xlfn.SINGLE(_xlfn.XLOOKUP(G1539, Vöruskrá!A:A, Vöruskrá!N:N, "")) * I1539 / 100, ""), IF(F1539 = "Réttur", IFERROR(_xlfn.SINGLE(_xlfn.XLOOKUP(G1539, Réttabanki!A:A, Réttabanki!BB:BB, "")) * I1539 / 100, ""), "")))</f>
        <v/>
      </c>
    </row>
    <row r="1540" spans="2:17">
      <c r="B1540" s="33" t="str">
        <f>IF(A1540&lt;&gt;"",CHOOSE(WEEKDAY(A1540,2),"Mánudagur","Þriðjudagur","Miðvikudagur","Fimmtudagur","Föstudagur","Laugardagur","Sunnudagur"),IF(B1539&lt;&gt;"",B1539,""))</f>
        <v>Fimmtudagur</v>
      </c>
      <c r="C1540" s="33">
        <f>IF(A1540&lt;&gt;"",WEEKNUM(A1540,21),IF(C1539&lt;&gt;"",C1539,""))</f>
        <v>27</v>
      </c>
      <c r="D1540" s="34"/>
      <c r="E1540" s="34"/>
      <c r="F1540" s="34"/>
      <c r="G1540" s="34"/>
      <c r="H1540" s="34"/>
      <c r="I1540" s="35"/>
      <c r="J1540" s="35"/>
      <c r="K1540" s="36"/>
      <c r="L1540" s="26" t="str">
        <f>IF(OR(F1540 = "", G1540 = ""), "", IF(F1540 = "Vara", IFERROR(_xlfn.SINGLE(_xlfn.XLOOKUP(G1540, Vöruskrá!A:A, Vöruskrá!E:E, "")), ""), IF(F1540 = "Réttur", IFERROR(_xlfn.SINGLE(_xlfn.XLOOKUP(G1540, Réttabanki!A:A, Réttabanki!AS:AS, "")), ""), "")))</f>
        <v/>
      </c>
      <c r="M1540" s="26" t="str">
        <f>IF(OR(F1540 = "", G1540 = ""), "", IF(F1540 = "Vara", IFERROR(_xlfn.SINGLE(_xlfn.XLOOKUP(G1540, Vöruskrá!A:A, Vöruskrá!F:F, "")), ""), IF(F1540 = "Réttur", IFERROR(_xlfn.SINGLE(_xlfn.XLOOKUP(G1540, Réttabanki!A:A, Réttabanki!AT:AT, "")), ""), "")))</f>
        <v/>
      </c>
      <c r="N1540" s="26" t="str">
        <f>IF(OR(F1540 = "", G1540 = ""), "", IF(F1540 = "Vara", IFERROR(_xlfn.SINGLE(_xlfn.XLOOKUP(G1540, Vöruskrá!A:A, Vöruskrá!G:G, "")), ""), IF(F1540 = "Réttur", IFERROR(_xlfn.SINGLE(_xlfn.XLOOKUP(G1540, Réttabanki!A:A, Réttabanki!AU:AU, "")), ""), "")))</f>
        <v/>
      </c>
      <c r="O1540" s="26" t="str">
        <f>IF(OR(F1540 = "", G1540 = "", I1540 = ""), "", IF(F1540 = "Vara", IFERROR(_xlfn.SINGLE(_xlfn.XLOOKUP(G1540, Vöruskrá!A:A, Vöruskrá!I:I, "")) * I1540 / 100, ""), IF(F1540 = "Réttur", IFERROR(_xlfn.SINGLE(_xlfn.XLOOKUP(G1540, Réttabanki!A:A, Réttabanki!AV:AV, "")) * I1540 / 100, ""), "")))</f>
        <v/>
      </c>
      <c r="P1540" s="26" t="str">
        <f>IF(OR(F1540 = "", G1540 = "", I1540 = ""), "", IF(F1540 = "Vara", IFERROR(_xlfn.SINGLE(_xlfn.XLOOKUP(G1540, Vöruskrá!A:A, Vöruskrá!J:J, "")) * I1540 / 100, ""), IF(F1540 = "Réttur", IFERROR(_xlfn.SINGLE(_xlfn.XLOOKUP(G1540, Réttabanki!A:A, Réttabanki!AW:AW, "")) * I1540 / 100, ""), "")))</f>
        <v/>
      </c>
      <c r="Q1540" s="26" t="str">
        <f>IF(OR(F1540 = "", G1540 = "", I1540 = ""), "", IF(F1540 = "Vara", IFERROR(_xlfn.SINGLE(_xlfn.XLOOKUP(G1540, Vöruskrá!A:A, Vöruskrá!N:N, "")) * I1540 / 100, ""), IF(F1540 = "Réttur", IFERROR(_xlfn.SINGLE(_xlfn.XLOOKUP(G1540, Réttabanki!A:A, Réttabanki!BB:BB, "")) * I1540 / 100, ""), "")))</f>
        <v/>
      </c>
    </row>
    <row r="1541" spans="2:17">
      <c r="B1541" s="33" t="str">
        <f>IF(A1541&lt;&gt;"",CHOOSE(WEEKDAY(A1541,2),"Mánudagur","Þriðjudagur","Miðvikudagur","Fimmtudagur","Föstudagur","Laugardagur","Sunnudagur"),IF(B1540&lt;&gt;"",B1540,""))</f>
        <v>Fimmtudagur</v>
      </c>
      <c r="C1541" s="33">
        <f>IF(A1541&lt;&gt;"",WEEKNUM(A1541,21),IF(C1540&lt;&gt;"",C1540,""))</f>
        <v>27</v>
      </c>
      <c r="D1541" s="34"/>
      <c r="E1541" s="34"/>
      <c r="F1541" s="34"/>
      <c r="G1541" s="34"/>
      <c r="H1541" s="34"/>
      <c r="I1541" s="35"/>
      <c r="J1541" s="35"/>
      <c r="K1541" s="36"/>
      <c r="L1541" s="26" t="str">
        <f>IF(OR(F1541 = "", G1541 = ""), "", IF(F1541 = "Vara", IFERROR(_xlfn.SINGLE(_xlfn.XLOOKUP(G1541, Vöruskrá!A:A, Vöruskrá!E:E, "")), ""), IF(F1541 = "Réttur", IFERROR(_xlfn.SINGLE(_xlfn.XLOOKUP(G1541, Réttabanki!A:A, Réttabanki!AS:AS, "")), ""), "")))</f>
        <v/>
      </c>
      <c r="M1541" s="26" t="str">
        <f>IF(OR(F1541 = "", G1541 = ""), "", IF(F1541 = "Vara", IFERROR(_xlfn.SINGLE(_xlfn.XLOOKUP(G1541, Vöruskrá!A:A, Vöruskrá!F:F, "")), ""), IF(F1541 = "Réttur", IFERROR(_xlfn.SINGLE(_xlfn.XLOOKUP(G1541, Réttabanki!A:A, Réttabanki!AT:AT, "")), ""), "")))</f>
        <v/>
      </c>
      <c r="N1541" s="26" t="str">
        <f>IF(OR(F1541 = "", G1541 = ""), "", IF(F1541 = "Vara", IFERROR(_xlfn.SINGLE(_xlfn.XLOOKUP(G1541, Vöruskrá!A:A, Vöruskrá!G:G, "")), ""), IF(F1541 = "Réttur", IFERROR(_xlfn.SINGLE(_xlfn.XLOOKUP(G1541, Réttabanki!A:A, Réttabanki!AU:AU, "")), ""), "")))</f>
        <v/>
      </c>
      <c r="O1541" s="26" t="str">
        <f>IF(OR(F1541 = "", G1541 = "", I1541 = ""), "", IF(F1541 = "Vara", IFERROR(_xlfn.SINGLE(_xlfn.XLOOKUP(G1541, Vöruskrá!A:A, Vöruskrá!I:I, "")) * I1541 / 100, ""), IF(F1541 = "Réttur", IFERROR(_xlfn.SINGLE(_xlfn.XLOOKUP(G1541, Réttabanki!A:A, Réttabanki!AV:AV, "")) * I1541 / 100, ""), "")))</f>
        <v/>
      </c>
      <c r="P1541" s="26" t="str">
        <f>IF(OR(F1541 = "", G1541 = "", I1541 = ""), "", IF(F1541 = "Vara", IFERROR(_xlfn.SINGLE(_xlfn.XLOOKUP(G1541, Vöruskrá!A:A, Vöruskrá!J:J, "")) * I1541 / 100, ""), IF(F1541 = "Réttur", IFERROR(_xlfn.SINGLE(_xlfn.XLOOKUP(G1541, Réttabanki!A:A, Réttabanki!AW:AW, "")) * I1541 / 100, ""), "")))</f>
        <v/>
      </c>
      <c r="Q1541" s="26" t="str">
        <f>IF(OR(F1541 = "", G1541 = "", I1541 = ""), "", IF(F1541 = "Vara", IFERROR(_xlfn.SINGLE(_xlfn.XLOOKUP(G1541, Vöruskrá!A:A, Vöruskrá!N:N, "")) * I1541 / 100, ""), IF(F1541 = "Réttur", IFERROR(_xlfn.SINGLE(_xlfn.XLOOKUP(G1541, Réttabanki!A:A, Réttabanki!BB:BB, "")) * I1541 / 100, ""), "")))</f>
        <v/>
      </c>
    </row>
    <row r="1542" spans="2:17">
      <c r="B1542" s="33" t="str">
        <f>IF(A1542&lt;&gt;"",CHOOSE(WEEKDAY(A1542,2),"Mánudagur","Þriðjudagur","Miðvikudagur","Fimmtudagur","Föstudagur","Laugardagur","Sunnudagur"),IF(B1541&lt;&gt;"",B1541,""))</f>
        <v>Fimmtudagur</v>
      </c>
      <c r="C1542" s="33">
        <f>IF(A1542&lt;&gt;"",WEEKNUM(A1542,21),IF(C1541&lt;&gt;"",C1541,""))</f>
        <v>27</v>
      </c>
      <c r="D1542" s="34"/>
      <c r="E1542" s="34"/>
      <c r="F1542" s="34"/>
      <c r="G1542" s="34"/>
      <c r="H1542" s="34"/>
      <c r="I1542" s="35"/>
      <c r="J1542" s="35"/>
      <c r="K1542" s="36"/>
      <c r="L1542" s="26" t="str">
        <f>IF(OR(F1542 = "", G1542 = ""), "", IF(F1542 = "Vara", IFERROR(_xlfn.SINGLE(_xlfn.XLOOKUP(G1542, Vöruskrá!A:A, Vöruskrá!E:E, "")), ""), IF(F1542 = "Réttur", IFERROR(_xlfn.SINGLE(_xlfn.XLOOKUP(G1542, Réttabanki!A:A, Réttabanki!AS:AS, "")), ""), "")))</f>
        <v/>
      </c>
      <c r="M1542" s="26" t="str">
        <f>IF(OR(F1542 = "", G1542 = ""), "", IF(F1542 = "Vara", IFERROR(_xlfn.SINGLE(_xlfn.XLOOKUP(G1542, Vöruskrá!A:A, Vöruskrá!F:F, "")), ""), IF(F1542 = "Réttur", IFERROR(_xlfn.SINGLE(_xlfn.XLOOKUP(G1542, Réttabanki!A:A, Réttabanki!AT:AT, "")), ""), "")))</f>
        <v/>
      </c>
      <c r="N1542" s="26" t="str">
        <f>IF(OR(F1542 = "", G1542 = ""), "", IF(F1542 = "Vara", IFERROR(_xlfn.SINGLE(_xlfn.XLOOKUP(G1542, Vöruskrá!A:A, Vöruskrá!G:G, "")), ""), IF(F1542 = "Réttur", IFERROR(_xlfn.SINGLE(_xlfn.XLOOKUP(G1542, Réttabanki!A:A, Réttabanki!AU:AU, "")), ""), "")))</f>
        <v/>
      </c>
      <c r="O1542" s="26" t="str">
        <f>IF(OR(F1542 = "", G1542 = "", I1542 = ""), "", IF(F1542 = "Vara", IFERROR(_xlfn.SINGLE(_xlfn.XLOOKUP(G1542, Vöruskrá!A:A, Vöruskrá!I:I, "")) * I1542 / 100, ""), IF(F1542 = "Réttur", IFERROR(_xlfn.SINGLE(_xlfn.XLOOKUP(G1542, Réttabanki!A:A, Réttabanki!AV:AV, "")) * I1542 / 100, ""), "")))</f>
        <v/>
      </c>
      <c r="P1542" s="26" t="str">
        <f>IF(OR(F1542 = "", G1542 = "", I1542 = ""), "", IF(F1542 = "Vara", IFERROR(_xlfn.SINGLE(_xlfn.XLOOKUP(G1542, Vöruskrá!A:A, Vöruskrá!J:J, "")) * I1542 / 100, ""), IF(F1542 = "Réttur", IFERROR(_xlfn.SINGLE(_xlfn.XLOOKUP(G1542, Réttabanki!A:A, Réttabanki!AW:AW, "")) * I1542 / 100, ""), "")))</f>
        <v/>
      </c>
      <c r="Q1542" s="26" t="str">
        <f>IF(OR(F1542 = "", G1542 = "", I1542 = ""), "", IF(F1542 = "Vara", IFERROR(_xlfn.SINGLE(_xlfn.XLOOKUP(G1542, Vöruskrá!A:A, Vöruskrá!N:N, "")) * I1542 / 100, ""), IF(F1542 = "Réttur", IFERROR(_xlfn.SINGLE(_xlfn.XLOOKUP(G1542, Réttabanki!A:A, Réttabanki!BB:BB, "")) * I1542 / 100, ""), "")))</f>
        <v/>
      </c>
    </row>
    <row r="1543" spans="2:17">
      <c r="B1543" s="33" t="str">
        <f>IF(A1543&lt;&gt;"",CHOOSE(WEEKDAY(A1543,2),"Mánudagur","Þriðjudagur","Miðvikudagur","Fimmtudagur","Föstudagur","Laugardagur","Sunnudagur"),IF(B1542&lt;&gt;"",B1542,""))</f>
        <v>Fimmtudagur</v>
      </c>
      <c r="C1543" s="33">
        <f>IF(A1543&lt;&gt;"",WEEKNUM(A1543,21),IF(C1542&lt;&gt;"",C1542,""))</f>
        <v>27</v>
      </c>
      <c r="D1543" s="34"/>
      <c r="E1543" s="34"/>
      <c r="F1543" s="34"/>
      <c r="G1543" s="34"/>
      <c r="H1543" s="34"/>
      <c r="I1543" s="35"/>
      <c r="J1543" s="35"/>
      <c r="K1543" s="36"/>
      <c r="L1543" s="26" t="str">
        <f>IF(OR(F1543 = "", G1543 = ""), "", IF(F1543 = "Vara", IFERROR(_xlfn.SINGLE(_xlfn.XLOOKUP(G1543, Vöruskrá!A:A, Vöruskrá!E:E, "")), ""), IF(F1543 = "Réttur", IFERROR(_xlfn.SINGLE(_xlfn.XLOOKUP(G1543, Réttabanki!A:A, Réttabanki!AS:AS, "")), ""), "")))</f>
        <v/>
      </c>
      <c r="M1543" s="26" t="str">
        <f>IF(OR(F1543 = "", G1543 = ""), "", IF(F1543 = "Vara", IFERROR(_xlfn.SINGLE(_xlfn.XLOOKUP(G1543, Vöruskrá!A:A, Vöruskrá!F:F, "")), ""), IF(F1543 = "Réttur", IFERROR(_xlfn.SINGLE(_xlfn.XLOOKUP(G1543, Réttabanki!A:A, Réttabanki!AT:AT, "")), ""), "")))</f>
        <v/>
      </c>
      <c r="N1543" s="26" t="str">
        <f>IF(OR(F1543 = "", G1543 = ""), "", IF(F1543 = "Vara", IFERROR(_xlfn.SINGLE(_xlfn.XLOOKUP(G1543, Vöruskrá!A:A, Vöruskrá!G:G, "")), ""), IF(F1543 = "Réttur", IFERROR(_xlfn.SINGLE(_xlfn.XLOOKUP(G1543, Réttabanki!A:A, Réttabanki!AU:AU, "")), ""), "")))</f>
        <v/>
      </c>
      <c r="O1543" s="26" t="str">
        <f>IF(OR(F1543 = "", G1543 = "", I1543 = ""), "", IF(F1543 = "Vara", IFERROR(_xlfn.SINGLE(_xlfn.XLOOKUP(G1543, Vöruskrá!A:A, Vöruskrá!I:I, "")) * I1543 / 100, ""), IF(F1543 = "Réttur", IFERROR(_xlfn.SINGLE(_xlfn.XLOOKUP(G1543, Réttabanki!A:A, Réttabanki!AV:AV, "")) * I1543 / 100, ""), "")))</f>
        <v/>
      </c>
      <c r="P1543" s="26" t="str">
        <f>IF(OR(F1543 = "", G1543 = "", I1543 = ""), "", IF(F1543 = "Vara", IFERROR(_xlfn.SINGLE(_xlfn.XLOOKUP(G1543, Vöruskrá!A:A, Vöruskrá!J:J, "")) * I1543 / 100, ""), IF(F1543 = "Réttur", IFERROR(_xlfn.SINGLE(_xlfn.XLOOKUP(G1543, Réttabanki!A:A, Réttabanki!AW:AW, "")) * I1543 / 100, ""), "")))</f>
        <v/>
      </c>
      <c r="Q1543" s="26" t="str">
        <f>IF(OR(F1543 = "", G1543 = "", I1543 = ""), "", IF(F1543 = "Vara", IFERROR(_xlfn.SINGLE(_xlfn.XLOOKUP(G1543, Vöruskrá!A:A, Vöruskrá!N:N, "")) * I1543 / 100, ""), IF(F1543 = "Réttur", IFERROR(_xlfn.SINGLE(_xlfn.XLOOKUP(G1543, Réttabanki!A:A, Réttabanki!BB:BB, "")) * I1543 / 100, ""), "")))</f>
        <v/>
      </c>
    </row>
    <row r="1544" spans="2:17">
      <c r="B1544" s="33" t="str">
        <f>IF(A1544&lt;&gt;"",CHOOSE(WEEKDAY(A1544,2),"Mánudagur","Þriðjudagur","Miðvikudagur","Fimmtudagur","Föstudagur","Laugardagur","Sunnudagur"),IF(B1543&lt;&gt;"",B1543,""))</f>
        <v>Fimmtudagur</v>
      </c>
      <c r="C1544" s="33">
        <f>IF(A1544&lt;&gt;"",WEEKNUM(A1544,21),IF(C1543&lt;&gt;"",C1543,""))</f>
        <v>27</v>
      </c>
      <c r="D1544" s="34"/>
      <c r="E1544" s="34"/>
      <c r="F1544" s="34"/>
      <c r="G1544" s="34"/>
      <c r="H1544" s="34"/>
      <c r="I1544" s="35"/>
      <c r="J1544" s="35"/>
      <c r="K1544" s="36"/>
      <c r="L1544" s="26" t="str">
        <f>IF(OR(F1544 = "", G1544 = ""), "", IF(F1544 = "Vara", IFERROR(_xlfn.SINGLE(_xlfn.XLOOKUP(G1544, Vöruskrá!A:A, Vöruskrá!E:E, "")), ""), IF(F1544 = "Réttur", IFERROR(_xlfn.SINGLE(_xlfn.XLOOKUP(G1544, Réttabanki!A:A, Réttabanki!AS:AS, "")), ""), "")))</f>
        <v/>
      </c>
      <c r="M1544" s="26" t="str">
        <f>IF(OR(F1544 = "", G1544 = ""), "", IF(F1544 = "Vara", IFERROR(_xlfn.SINGLE(_xlfn.XLOOKUP(G1544, Vöruskrá!A:A, Vöruskrá!F:F, "")), ""), IF(F1544 = "Réttur", IFERROR(_xlfn.SINGLE(_xlfn.XLOOKUP(G1544, Réttabanki!A:A, Réttabanki!AT:AT, "")), ""), "")))</f>
        <v/>
      </c>
      <c r="N1544" s="26" t="str">
        <f>IF(OR(F1544 = "", G1544 = ""), "", IF(F1544 = "Vara", IFERROR(_xlfn.SINGLE(_xlfn.XLOOKUP(G1544, Vöruskrá!A:A, Vöruskrá!G:G, "")), ""), IF(F1544 = "Réttur", IFERROR(_xlfn.SINGLE(_xlfn.XLOOKUP(G1544, Réttabanki!A:A, Réttabanki!AU:AU, "")), ""), "")))</f>
        <v/>
      </c>
      <c r="O1544" s="26" t="str">
        <f>IF(OR(F1544 = "", G1544 = "", I1544 = ""), "", IF(F1544 = "Vara", IFERROR(_xlfn.SINGLE(_xlfn.XLOOKUP(G1544, Vöruskrá!A:A, Vöruskrá!I:I, "")) * I1544 / 100, ""), IF(F1544 = "Réttur", IFERROR(_xlfn.SINGLE(_xlfn.XLOOKUP(G1544, Réttabanki!A:A, Réttabanki!AV:AV, "")) * I1544 / 100, ""), "")))</f>
        <v/>
      </c>
      <c r="P1544" s="26" t="str">
        <f>IF(OR(F1544 = "", G1544 = "", I1544 = ""), "", IF(F1544 = "Vara", IFERROR(_xlfn.SINGLE(_xlfn.XLOOKUP(G1544, Vöruskrá!A:A, Vöruskrá!J:J, "")) * I1544 / 100, ""), IF(F1544 = "Réttur", IFERROR(_xlfn.SINGLE(_xlfn.XLOOKUP(G1544, Réttabanki!A:A, Réttabanki!AW:AW, "")) * I1544 / 100, ""), "")))</f>
        <v/>
      </c>
      <c r="Q1544" s="26" t="str">
        <f>IF(OR(F1544 = "", G1544 = "", I1544 = ""), "", IF(F1544 = "Vara", IFERROR(_xlfn.SINGLE(_xlfn.XLOOKUP(G1544, Vöruskrá!A:A, Vöruskrá!N:N, "")) * I1544 / 100, ""), IF(F1544 = "Réttur", IFERROR(_xlfn.SINGLE(_xlfn.XLOOKUP(G1544, Réttabanki!A:A, Réttabanki!BB:BB, "")) * I1544 / 100, ""), "")))</f>
        <v/>
      </c>
    </row>
    <row r="1545" spans="2:17">
      <c r="B1545" s="33" t="str">
        <f>IF(A1545&lt;&gt;"",CHOOSE(WEEKDAY(A1545,2),"Mánudagur","Þriðjudagur","Miðvikudagur","Fimmtudagur","Föstudagur","Laugardagur","Sunnudagur"),IF(B1544&lt;&gt;"",B1544,""))</f>
        <v>Fimmtudagur</v>
      </c>
      <c r="C1545" s="33">
        <f>IF(A1545&lt;&gt;"",WEEKNUM(A1545,21),IF(C1544&lt;&gt;"",C1544,""))</f>
        <v>27</v>
      </c>
      <c r="D1545" s="34"/>
      <c r="E1545" s="34"/>
      <c r="F1545" s="34"/>
      <c r="G1545" s="34"/>
      <c r="H1545" s="34"/>
      <c r="I1545" s="35"/>
      <c r="J1545" s="35"/>
      <c r="K1545" s="36"/>
      <c r="L1545" s="26" t="str">
        <f>IF(OR(F1545 = "", G1545 = ""), "", IF(F1545 = "Vara", IFERROR(_xlfn.SINGLE(_xlfn.XLOOKUP(G1545, Vöruskrá!A:A, Vöruskrá!E:E, "")), ""), IF(F1545 = "Réttur", IFERROR(_xlfn.SINGLE(_xlfn.XLOOKUP(G1545, Réttabanki!A:A, Réttabanki!AS:AS, "")), ""), "")))</f>
        <v/>
      </c>
      <c r="M1545" s="26" t="str">
        <f>IF(OR(F1545 = "", G1545 = ""), "", IF(F1545 = "Vara", IFERROR(_xlfn.SINGLE(_xlfn.XLOOKUP(G1545, Vöruskrá!A:A, Vöruskrá!F:F, "")), ""), IF(F1545 = "Réttur", IFERROR(_xlfn.SINGLE(_xlfn.XLOOKUP(G1545, Réttabanki!A:A, Réttabanki!AT:AT, "")), ""), "")))</f>
        <v/>
      </c>
      <c r="N1545" s="26" t="str">
        <f>IF(OR(F1545 = "", G1545 = ""), "", IF(F1545 = "Vara", IFERROR(_xlfn.SINGLE(_xlfn.XLOOKUP(G1545, Vöruskrá!A:A, Vöruskrá!G:G, "")), ""), IF(F1545 = "Réttur", IFERROR(_xlfn.SINGLE(_xlfn.XLOOKUP(G1545, Réttabanki!A:A, Réttabanki!AU:AU, "")), ""), "")))</f>
        <v/>
      </c>
      <c r="O1545" s="26" t="str">
        <f>IF(OR(F1545 = "", G1545 = "", I1545 = ""), "", IF(F1545 = "Vara", IFERROR(_xlfn.SINGLE(_xlfn.XLOOKUP(G1545, Vöruskrá!A:A, Vöruskrá!I:I, "")) * I1545 / 100, ""), IF(F1545 = "Réttur", IFERROR(_xlfn.SINGLE(_xlfn.XLOOKUP(G1545, Réttabanki!A:A, Réttabanki!AV:AV, "")) * I1545 / 100, ""), "")))</f>
        <v/>
      </c>
      <c r="P1545" s="26" t="str">
        <f>IF(OR(F1545 = "", G1545 = "", I1545 = ""), "", IF(F1545 = "Vara", IFERROR(_xlfn.SINGLE(_xlfn.XLOOKUP(G1545, Vöruskrá!A:A, Vöruskrá!J:J, "")) * I1545 / 100, ""), IF(F1545 = "Réttur", IFERROR(_xlfn.SINGLE(_xlfn.XLOOKUP(G1545, Réttabanki!A:A, Réttabanki!AW:AW, "")) * I1545 / 100, ""), "")))</f>
        <v/>
      </c>
      <c r="Q1545" s="26" t="str">
        <f>IF(OR(F1545 = "", G1545 = "", I1545 = ""), "", IF(F1545 = "Vara", IFERROR(_xlfn.SINGLE(_xlfn.XLOOKUP(G1545, Vöruskrá!A:A, Vöruskrá!N:N, "")) * I1545 / 100, ""), IF(F1545 = "Réttur", IFERROR(_xlfn.SINGLE(_xlfn.XLOOKUP(G1545, Réttabanki!A:A, Réttabanki!BB:BB, "")) * I1545 / 100, ""), "")))</f>
        <v/>
      </c>
    </row>
    <row r="1546" spans="2:17">
      <c r="B1546" s="33" t="str">
        <f>IF(A1546&lt;&gt;"",CHOOSE(WEEKDAY(A1546,2),"Mánudagur","Þriðjudagur","Miðvikudagur","Fimmtudagur","Föstudagur","Laugardagur","Sunnudagur"),IF(B1545&lt;&gt;"",B1545,""))</f>
        <v>Fimmtudagur</v>
      </c>
      <c r="C1546" s="33">
        <f>IF(A1546&lt;&gt;"",WEEKNUM(A1546,21),IF(C1545&lt;&gt;"",C1545,""))</f>
        <v>27</v>
      </c>
      <c r="D1546" s="34"/>
      <c r="E1546" s="34"/>
      <c r="F1546" s="34"/>
      <c r="G1546" s="34"/>
      <c r="H1546" s="34"/>
      <c r="I1546" s="35"/>
      <c r="J1546" s="35"/>
      <c r="K1546" s="36"/>
      <c r="L1546" s="26" t="str">
        <f>IF(OR(F1546 = "", G1546 = ""), "", IF(F1546 = "Vara", IFERROR(_xlfn.SINGLE(_xlfn.XLOOKUP(G1546, Vöruskrá!A:A, Vöruskrá!E:E, "")), ""), IF(F1546 = "Réttur", IFERROR(_xlfn.SINGLE(_xlfn.XLOOKUP(G1546, Réttabanki!A:A, Réttabanki!AS:AS, "")), ""), "")))</f>
        <v/>
      </c>
      <c r="M1546" s="26" t="str">
        <f>IF(OR(F1546 = "", G1546 = ""), "", IF(F1546 = "Vara", IFERROR(_xlfn.SINGLE(_xlfn.XLOOKUP(G1546, Vöruskrá!A:A, Vöruskrá!F:F, "")), ""), IF(F1546 = "Réttur", IFERROR(_xlfn.SINGLE(_xlfn.XLOOKUP(G1546, Réttabanki!A:A, Réttabanki!AT:AT, "")), ""), "")))</f>
        <v/>
      </c>
      <c r="N1546" s="26" t="str">
        <f>IF(OR(F1546 = "", G1546 = ""), "", IF(F1546 = "Vara", IFERROR(_xlfn.SINGLE(_xlfn.XLOOKUP(G1546, Vöruskrá!A:A, Vöruskrá!G:G, "")), ""), IF(F1546 = "Réttur", IFERROR(_xlfn.SINGLE(_xlfn.XLOOKUP(G1546, Réttabanki!A:A, Réttabanki!AU:AU, "")), ""), "")))</f>
        <v/>
      </c>
      <c r="O1546" s="26" t="str">
        <f>IF(OR(F1546 = "", G1546 = "", I1546 = ""), "", IF(F1546 = "Vara", IFERROR(_xlfn.SINGLE(_xlfn.XLOOKUP(G1546, Vöruskrá!A:A, Vöruskrá!I:I, "")) * I1546 / 100, ""), IF(F1546 = "Réttur", IFERROR(_xlfn.SINGLE(_xlfn.XLOOKUP(G1546, Réttabanki!A:A, Réttabanki!AV:AV, "")) * I1546 / 100, ""), "")))</f>
        <v/>
      </c>
      <c r="P1546" s="26" t="str">
        <f>IF(OR(F1546 = "", G1546 = "", I1546 = ""), "", IF(F1546 = "Vara", IFERROR(_xlfn.SINGLE(_xlfn.XLOOKUP(G1546, Vöruskrá!A:A, Vöruskrá!J:J, "")) * I1546 / 100, ""), IF(F1546 = "Réttur", IFERROR(_xlfn.SINGLE(_xlfn.XLOOKUP(G1546, Réttabanki!A:A, Réttabanki!AW:AW, "")) * I1546 / 100, ""), "")))</f>
        <v/>
      </c>
      <c r="Q1546" s="26" t="str">
        <f>IF(OR(F1546 = "", G1546 = "", I1546 = ""), "", IF(F1546 = "Vara", IFERROR(_xlfn.SINGLE(_xlfn.XLOOKUP(G1546, Vöruskrá!A:A, Vöruskrá!N:N, "")) * I1546 / 100, ""), IF(F1546 = "Réttur", IFERROR(_xlfn.SINGLE(_xlfn.XLOOKUP(G1546, Réttabanki!A:A, Réttabanki!BB:BB, "")) * I1546 / 100, ""), "")))</f>
        <v/>
      </c>
    </row>
    <row r="1547" spans="2:17">
      <c r="B1547" s="33" t="str">
        <f>IF(A1547&lt;&gt;"",CHOOSE(WEEKDAY(A1547,2),"Mánudagur","Þriðjudagur","Miðvikudagur","Fimmtudagur","Föstudagur","Laugardagur","Sunnudagur"),IF(B1546&lt;&gt;"",B1546,""))</f>
        <v>Fimmtudagur</v>
      </c>
      <c r="C1547" s="33">
        <f>IF(A1547&lt;&gt;"",WEEKNUM(A1547,21),IF(C1546&lt;&gt;"",C1546,""))</f>
        <v>27</v>
      </c>
      <c r="D1547" s="34"/>
      <c r="E1547" s="34"/>
      <c r="F1547" s="34"/>
      <c r="G1547" s="34"/>
      <c r="H1547" s="34"/>
      <c r="I1547" s="35"/>
      <c r="J1547" s="35"/>
      <c r="K1547" s="36"/>
      <c r="L1547" s="26" t="str">
        <f>IF(OR(F1547 = "", G1547 = ""), "", IF(F1547 = "Vara", IFERROR(_xlfn.SINGLE(_xlfn.XLOOKUP(G1547, Vöruskrá!A:A, Vöruskrá!E:E, "")), ""), IF(F1547 = "Réttur", IFERROR(_xlfn.SINGLE(_xlfn.XLOOKUP(G1547, Réttabanki!A:A, Réttabanki!AS:AS, "")), ""), "")))</f>
        <v/>
      </c>
      <c r="M1547" s="26" t="str">
        <f>IF(OR(F1547 = "", G1547 = ""), "", IF(F1547 = "Vara", IFERROR(_xlfn.SINGLE(_xlfn.XLOOKUP(G1547, Vöruskrá!A:A, Vöruskrá!F:F, "")), ""), IF(F1547 = "Réttur", IFERROR(_xlfn.SINGLE(_xlfn.XLOOKUP(G1547, Réttabanki!A:A, Réttabanki!AT:AT, "")), ""), "")))</f>
        <v/>
      </c>
      <c r="N1547" s="26" t="str">
        <f>IF(OR(F1547 = "", G1547 = ""), "", IF(F1547 = "Vara", IFERROR(_xlfn.SINGLE(_xlfn.XLOOKUP(G1547, Vöruskrá!A:A, Vöruskrá!G:G, "")), ""), IF(F1547 = "Réttur", IFERROR(_xlfn.SINGLE(_xlfn.XLOOKUP(G1547, Réttabanki!A:A, Réttabanki!AU:AU, "")), ""), "")))</f>
        <v/>
      </c>
      <c r="O1547" s="26" t="str">
        <f>IF(OR(F1547 = "", G1547 = "", I1547 = ""), "", IF(F1547 = "Vara", IFERROR(_xlfn.SINGLE(_xlfn.XLOOKUP(G1547, Vöruskrá!A:A, Vöruskrá!I:I, "")) * I1547 / 100, ""), IF(F1547 = "Réttur", IFERROR(_xlfn.SINGLE(_xlfn.XLOOKUP(G1547, Réttabanki!A:A, Réttabanki!AV:AV, "")) * I1547 / 100, ""), "")))</f>
        <v/>
      </c>
      <c r="P1547" s="26" t="str">
        <f>IF(OR(F1547 = "", G1547 = "", I1547 = ""), "", IF(F1547 = "Vara", IFERROR(_xlfn.SINGLE(_xlfn.XLOOKUP(G1547, Vöruskrá!A:A, Vöruskrá!J:J, "")) * I1547 / 100, ""), IF(F1547 = "Réttur", IFERROR(_xlfn.SINGLE(_xlfn.XLOOKUP(G1547, Réttabanki!A:A, Réttabanki!AW:AW, "")) * I1547 / 100, ""), "")))</f>
        <v/>
      </c>
      <c r="Q1547" s="26" t="str">
        <f>IF(OR(F1547 = "", G1547 = "", I1547 = ""), "", IF(F1547 = "Vara", IFERROR(_xlfn.SINGLE(_xlfn.XLOOKUP(G1547, Vöruskrá!A:A, Vöruskrá!N:N, "")) * I1547 / 100, ""), IF(F1547 = "Réttur", IFERROR(_xlfn.SINGLE(_xlfn.XLOOKUP(G1547, Réttabanki!A:A, Réttabanki!BB:BB, "")) * I1547 / 100, ""), "")))</f>
        <v/>
      </c>
    </row>
    <row r="1548" spans="2:17">
      <c r="B1548" s="33" t="str">
        <f>IF(A1548&lt;&gt;"",CHOOSE(WEEKDAY(A1548,2),"Mánudagur","Þriðjudagur","Miðvikudagur","Fimmtudagur","Föstudagur","Laugardagur","Sunnudagur"),IF(B1547&lt;&gt;"",B1547,""))</f>
        <v>Fimmtudagur</v>
      </c>
      <c r="C1548" s="33">
        <f>IF(A1548&lt;&gt;"",WEEKNUM(A1548,21),IF(C1547&lt;&gt;"",C1547,""))</f>
        <v>27</v>
      </c>
      <c r="D1548" s="34"/>
      <c r="E1548" s="34"/>
      <c r="F1548" s="34"/>
      <c r="G1548" s="34"/>
      <c r="H1548" s="34"/>
      <c r="I1548" s="35"/>
      <c r="J1548" s="35"/>
      <c r="K1548" s="36"/>
      <c r="L1548" s="26" t="str">
        <f>IF(OR(F1548 = "", G1548 = ""), "", IF(F1548 = "Vara", IFERROR(_xlfn.SINGLE(_xlfn.XLOOKUP(G1548, Vöruskrá!A:A, Vöruskrá!E:E, "")), ""), IF(F1548 = "Réttur", IFERROR(_xlfn.SINGLE(_xlfn.XLOOKUP(G1548, Réttabanki!A:A, Réttabanki!AS:AS, "")), ""), "")))</f>
        <v/>
      </c>
      <c r="M1548" s="26" t="str">
        <f>IF(OR(F1548 = "", G1548 = ""), "", IF(F1548 = "Vara", IFERROR(_xlfn.SINGLE(_xlfn.XLOOKUP(G1548, Vöruskrá!A:A, Vöruskrá!F:F, "")), ""), IF(F1548 = "Réttur", IFERROR(_xlfn.SINGLE(_xlfn.XLOOKUP(G1548, Réttabanki!A:A, Réttabanki!AT:AT, "")), ""), "")))</f>
        <v/>
      </c>
      <c r="N1548" s="26" t="str">
        <f>IF(OR(F1548 = "", G1548 = ""), "", IF(F1548 = "Vara", IFERROR(_xlfn.SINGLE(_xlfn.XLOOKUP(G1548, Vöruskrá!A:A, Vöruskrá!G:G, "")), ""), IF(F1548 = "Réttur", IFERROR(_xlfn.SINGLE(_xlfn.XLOOKUP(G1548, Réttabanki!A:A, Réttabanki!AU:AU, "")), ""), "")))</f>
        <v/>
      </c>
      <c r="O1548" s="26" t="str">
        <f>IF(OR(F1548 = "", G1548 = "", I1548 = ""), "", IF(F1548 = "Vara", IFERROR(_xlfn.SINGLE(_xlfn.XLOOKUP(G1548, Vöruskrá!A:A, Vöruskrá!I:I, "")) * I1548 / 100, ""), IF(F1548 = "Réttur", IFERROR(_xlfn.SINGLE(_xlfn.XLOOKUP(G1548, Réttabanki!A:A, Réttabanki!AV:AV, "")) * I1548 / 100, ""), "")))</f>
        <v/>
      </c>
      <c r="P1548" s="26" t="str">
        <f>IF(OR(F1548 = "", G1548 = "", I1548 = ""), "", IF(F1548 = "Vara", IFERROR(_xlfn.SINGLE(_xlfn.XLOOKUP(G1548, Vöruskrá!A:A, Vöruskrá!J:J, "")) * I1548 / 100, ""), IF(F1548 = "Réttur", IFERROR(_xlfn.SINGLE(_xlfn.XLOOKUP(G1548, Réttabanki!A:A, Réttabanki!AW:AW, "")) * I1548 / 100, ""), "")))</f>
        <v/>
      </c>
      <c r="Q1548" s="26" t="str">
        <f>IF(OR(F1548 = "", G1548 = "", I1548 = ""), "", IF(F1548 = "Vara", IFERROR(_xlfn.SINGLE(_xlfn.XLOOKUP(G1548, Vöruskrá!A:A, Vöruskrá!N:N, "")) * I1548 / 100, ""), IF(F1548 = "Réttur", IFERROR(_xlfn.SINGLE(_xlfn.XLOOKUP(G1548, Réttabanki!A:A, Réttabanki!BB:BB, "")) * I1548 / 100, ""), "")))</f>
        <v/>
      </c>
    </row>
    <row r="1549" spans="2:17">
      <c r="B1549" s="33" t="str">
        <f>IF(A1549&lt;&gt;"",CHOOSE(WEEKDAY(A1549,2),"Mánudagur","Þriðjudagur","Miðvikudagur","Fimmtudagur","Föstudagur","Laugardagur","Sunnudagur"),IF(B1548&lt;&gt;"",B1548,""))</f>
        <v>Fimmtudagur</v>
      </c>
      <c r="C1549" s="33">
        <f>IF(A1549&lt;&gt;"",WEEKNUM(A1549,21),IF(C1548&lt;&gt;"",C1548,""))</f>
        <v>27</v>
      </c>
      <c r="D1549" s="34"/>
      <c r="E1549" s="34"/>
      <c r="F1549" s="34"/>
      <c r="G1549" s="34"/>
      <c r="H1549" s="34"/>
      <c r="I1549" s="35"/>
      <c r="J1549" s="35"/>
      <c r="K1549" s="36"/>
      <c r="L1549" s="26" t="str">
        <f>IF(OR(F1549 = "", G1549 = ""), "", IF(F1549 = "Vara", IFERROR(_xlfn.SINGLE(_xlfn.XLOOKUP(G1549, Vöruskrá!A:A, Vöruskrá!E:E, "")), ""), IF(F1549 = "Réttur", IFERROR(_xlfn.SINGLE(_xlfn.XLOOKUP(G1549, Réttabanki!A:A, Réttabanki!AS:AS, "")), ""), "")))</f>
        <v/>
      </c>
      <c r="M1549" s="26" t="str">
        <f>IF(OR(F1549 = "", G1549 = ""), "", IF(F1549 = "Vara", IFERROR(_xlfn.SINGLE(_xlfn.XLOOKUP(G1549, Vöruskrá!A:A, Vöruskrá!F:F, "")), ""), IF(F1549 = "Réttur", IFERROR(_xlfn.SINGLE(_xlfn.XLOOKUP(G1549, Réttabanki!A:A, Réttabanki!AT:AT, "")), ""), "")))</f>
        <v/>
      </c>
      <c r="N1549" s="26" t="str">
        <f>IF(OR(F1549 = "", G1549 = ""), "", IF(F1549 = "Vara", IFERROR(_xlfn.SINGLE(_xlfn.XLOOKUP(G1549, Vöruskrá!A:A, Vöruskrá!G:G, "")), ""), IF(F1549 = "Réttur", IFERROR(_xlfn.SINGLE(_xlfn.XLOOKUP(G1549, Réttabanki!A:A, Réttabanki!AU:AU, "")), ""), "")))</f>
        <v/>
      </c>
      <c r="O1549" s="26" t="str">
        <f>IF(OR(F1549 = "", G1549 = "", I1549 = ""), "", IF(F1549 = "Vara", IFERROR(_xlfn.SINGLE(_xlfn.XLOOKUP(G1549, Vöruskrá!A:A, Vöruskrá!I:I, "")) * I1549 / 100, ""), IF(F1549 = "Réttur", IFERROR(_xlfn.SINGLE(_xlfn.XLOOKUP(G1549, Réttabanki!A:A, Réttabanki!AV:AV, "")) * I1549 / 100, ""), "")))</f>
        <v/>
      </c>
      <c r="P1549" s="26" t="str">
        <f>IF(OR(F1549 = "", G1549 = "", I1549 = ""), "", IF(F1549 = "Vara", IFERROR(_xlfn.SINGLE(_xlfn.XLOOKUP(G1549, Vöruskrá!A:A, Vöruskrá!J:J, "")) * I1549 / 100, ""), IF(F1549 = "Réttur", IFERROR(_xlfn.SINGLE(_xlfn.XLOOKUP(G1549, Réttabanki!A:A, Réttabanki!AW:AW, "")) * I1549 / 100, ""), "")))</f>
        <v/>
      </c>
      <c r="Q1549" s="26" t="str">
        <f>IF(OR(F1549 = "", G1549 = "", I1549 = ""), "", IF(F1549 = "Vara", IFERROR(_xlfn.SINGLE(_xlfn.XLOOKUP(G1549, Vöruskrá!A:A, Vöruskrá!N:N, "")) * I1549 / 100, ""), IF(F1549 = "Réttur", IFERROR(_xlfn.SINGLE(_xlfn.XLOOKUP(G1549, Réttabanki!A:A, Réttabanki!BB:BB, "")) * I1549 / 100, ""), "")))</f>
        <v/>
      </c>
    </row>
    <row r="1550" spans="2:17">
      <c r="B1550" s="33" t="str">
        <f>IF(A1550&lt;&gt;"",CHOOSE(WEEKDAY(A1550,2),"Mánudagur","Þriðjudagur","Miðvikudagur","Fimmtudagur","Föstudagur","Laugardagur","Sunnudagur"),IF(B1549&lt;&gt;"",B1549,""))</f>
        <v>Fimmtudagur</v>
      </c>
      <c r="C1550" s="33">
        <f>IF(A1550&lt;&gt;"",WEEKNUM(A1550,21),IF(C1549&lt;&gt;"",C1549,""))</f>
        <v>27</v>
      </c>
      <c r="D1550" s="34"/>
      <c r="E1550" s="34"/>
      <c r="F1550" s="34"/>
      <c r="G1550" s="34"/>
      <c r="H1550" s="34"/>
      <c r="I1550" s="35"/>
      <c r="J1550" s="35"/>
      <c r="K1550" s="36"/>
      <c r="L1550" s="26" t="str">
        <f>IF(OR(F1550 = "", G1550 = ""), "", IF(F1550 = "Vara", IFERROR(_xlfn.SINGLE(_xlfn.XLOOKUP(G1550, Vöruskrá!A:A, Vöruskrá!E:E, "")), ""), IF(F1550 = "Réttur", IFERROR(_xlfn.SINGLE(_xlfn.XLOOKUP(G1550, Réttabanki!A:A, Réttabanki!AS:AS, "")), ""), "")))</f>
        <v/>
      </c>
      <c r="M1550" s="26" t="str">
        <f>IF(OR(F1550 = "", G1550 = ""), "", IF(F1550 = "Vara", IFERROR(_xlfn.SINGLE(_xlfn.XLOOKUP(G1550, Vöruskrá!A:A, Vöruskrá!F:F, "")), ""), IF(F1550 = "Réttur", IFERROR(_xlfn.SINGLE(_xlfn.XLOOKUP(G1550, Réttabanki!A:A, Réttabanki!AT:AT, "")), ""), "")))</f>
        <v/>
      </c>
      <c r="N1550" s="26" t="str">
        <f>IF(OR(F1550 = "", G1550 = ""), "", IF(F1550 = "Vara", IFERROR(_xlfn.SINGLE(_xlfn.XLOOKUP(G1550, Vöruskrá!A:A, Vöruskrá!G:G, "")), ""), IF(F1550 = "Réttur", IFERROR(_xlfn.SINGLE(_xlfn.XLOOKUP(G1550, Réttabanki!A:A, Réttabanki!AU:AU, "")), ""), "")))</f>
        <v/>
      </c>
      <c r="O1550" s="26" t="str">
        <f>IF(OR(F1550 = "", G1550 = "", I1550 = ""), "", IF(F1550 = "Vara", IFERROR(_xlfn.SINGLE(_xlfn.XLOOKUP(G1550, Vöruskrá!A:A, Vöruskrá!I:I, "")) * I1550 / 100, ""), IF(F1550 = "Réttur", IFERROR(_xlfn.SINGLE(_xlfn.XLOOKUP(G1550, Réttabanki!A:A, Réttabanki!AV:AV, "")) * I1550 / 100, ""), "")))</f>
        <v/>
      </c>
      <c r="P1550" s="26" t="str">
        <f>IF(OR(F1550 = "", G1550 = "", I1550 = ""), "", IF(F1550 = "Vara", IFERROR(_xlfn.SINGLE(_xlfn.XLOOKUP(G1550, Vöruskrá!A:A, Vöruskrá!J:J, "")) * I1550 / 100, ""), IF(F1550 = "Réttur", IFERROR(_xlfn.SINGLE(_xlfn.XLOOKUP(G1550, Réttabanki!A:A, Réttabanki!AW:AW, "")) * I1550 / 100, ""), "")))</f>
        <v/>
      </c>
      <c r="Q1550" s="26" t="str">
        <f>IF(OR(F1550 = "", G1550 = "", I1550 = ""), "", IF(F1550 = "Vara", IFERROR(_xlfn.SINGLE(_xlfn.XLOOKUP(G1550, Vöruskrá!A:A, Vöruskrá!N:N, "")) * I1550 / 100, ""), IF(F1550 = "Réttur", IFERROR(_xlfn.SINGLE(_xlfn.XLOOKUP(G1550, Réttabanki!A:A, Réttabanki!BB:BB, "")) * I1550 / 100, ""), "")))</f>
        <v/>
      </c>
    </row>
    <row r="1551" spans="2:17">
      <c r="B1551" s="33" t="str">
        <f>IF(A1551&lt;&gt;"",CHOOSE(WEEKDAY(A1551,2),"Mánudagur","Þriðjudagur","Miðvikudagur","Fimmtudagur","Föstudagur","Laugardagur","Sunnudagur"),IF(B1550&lt;&gt;"",B1550,""))</f>
        <v>Fimmtudagur</v>
      </c>
      <c r="C1551" s="33">
        <f>IF(A1551&lt;&gt;"",WEEKNUM(A1551,21),IF(C1550&lt;&gt;"",C1550,""))</f>
        <v>27</v>
      </c>
      <c r="D1551" s="34"/>
      <c r="E1551" s="34"/>
      <c r="F1551" s="34"/>
      <c r="G1551" s="34"/>
      <c r="H1551" s="34"/>
      <c r="I1551" s="35"/>
      <c r="J1551" s="35"/>
      <c r="K1551" s="36"/>
      <c r="L1551" s="26" t="str">
        <f>IF(OR(F1551 = "", G1551 = ""), "", IF(F1551 = "Vara", IFERROR(_xlfn.SINGLE(_xlfn.XLOOKUP(G1551, Vöruskrá!A:A, Vöruskrá!E:E, "")), ""), IF(F1551 = "Réttur", IFERROR(_xlfn.SINGLE(_xlfn.XLOOKUP(G1551, Réttabanki!A:A, Réttabanki!AS:AS, "")), ""), "")))</f>
        <v/>
      </c>
      <c r="M1551" s="26" t="str">
        <f>IF(OR(F1551 = "", G1551 = ""), "", IF(F1551 = "Vara", IFERROR(_xlfn.SINGLE(_xlfn.XLOOKUP(G1551, Vöruskrá!A:A, Vöruskrá!F:F, "")), ""), IF(F1551 = "Réttur", IFERROR(_xlfn.SINGLE(_xlfn.XLOOKUP(G1551, Réttabanki!A:A, Réttabanki!AT:AT, "")), ""), "")))</f>
        <v/>
      </c>
      <c r="N1551" s="26" t="str">
        <f>IF(OR(F1551 = "", G1551 = ""), "", IF(F1551 = "Vara", IFERROR(_xlfn.SINGLE(_xlfn.XLOOKUP(G1551, Vöruskrá!A:A, Vöruskrá!G:G, "")), ""), IF(F1551 = "Réttur", IFERROR(_xlfn.SINGLE(_xlfn.XLOOKUP(G1551, Réttabanki!A:A, Réttabanki!AU:AU, "")), ""), "")))</f>
        <v/>
      </c>
      <c r="O1551" s="26" t="str">
        <f>IF(OR(F1551 = "", G1551 = "", I1551 = ""), "", IF(F1551 = "Vara", IFERROR(_xlfn.SINGLE(_xlfn.XLOOKUP(G1551, Vöruskrá!A:A, Vöruskrá!I:I, "")) * I1551 / 100, ""), IF(F1551 = "Réttur", IFERROR(_xlfn.SINGLE(_xlfn.XLOOKUP(G1551, Réttabanki!A:A, Réttabanki!AV:AV, "")) * I1551 / 100, ""), "")))</f>
        <v/>
      </c>
      <c r="P1551" s="26" t="str">
        <f>IF(OR(F1551 = "", G1551 = "", I1551 = ""), "", IF(F1551 = "Vara", IFERROR(_xlfn.SINGLE(_xlfn.XLOOKUP(G1551, Vöruskrá!A:A, Vöruskrá!J:J, "")) * I1551 / 100, ""), IF(F1551 = "Réttur", IFERROR(_xlfn.SINGLE(_xlfn.XLOOKUP(G1551, Réttabanki!A:A, Réttabanki!AW:AW, "")) * I1551 / 100, ""), "")))</f>
        <v/>
      </c>
      <c r="Q1551" s="26" t="str">
        <f>IF(OR(F1551 = "", G1551 = "", I1551 = ""), "", IF(F1551 = "Vara", IFERROR(_xlfn.SINGLE(_xlfn.XLOOKUP(G1551, Vöruskrá!A:A, Vöruskrá!N:N, "")) * I1551 / 100, ""), IF(F1551 = "Réttur", IFERROR(_xlfn.SINGLE(_xlfn.XLOOKUP(G1551, Réttabanki!A:A, Réttabanki!BB:BB, "")) * I1551 / 100, ""), "")))</f>
        <v/>
      </c>
    </row>
    <row r="1552" spans="2:17">
      <c r="B1552" s="33" t="str">
        <f>IF(A1552&lt;&gt;"",CHOOSE(WEEKDAY(A1552,2),"Mánudagur","Þriðjudagur","Miðvikudagur","Fimmtudagur","Föstudagur","Laugardagur","Sunnudagur"),IF(B1551&lt;&gt;"",B1551,""))</f>
        <v>Fimmtudagur</v>
      </c>
      <c r="C1552" s="33">
        <f>IF(A1552&lt;&gt;"",WEEKNUM(A1552,21),IF(C1551&lt;&gt;"",C1551,""))</f>
        <v>27</v>
      </c>
      <c r="D1552" s="34"/>
      <c r="E1552" s="34"/>
      <c r="F1552" s="34"/>
      <c r="G1552" s="34"/>
      <c r="H1552" s="34"/>
      <c r="I1552" s="35"/>
      <c r="J1552" s="35"/>
      <c r="K1552" s="36"/>
      <c r="L1552" s="26" t="str">
        <f>IF(OR(F1552 = "", G1552 = ""), "", IF(F1552 = "Vara", IFERROR(_xlfn.SINGLE(_xlfn.XLOOKUP(G1552, Vöruskrá!A:A, Vöruskrá!E:E, "")), ""), IF(F1552 = "Réttur", IFERROR(_xlfn.SINGLE(_xlfn.XLOOKUP(G1552, Réttabanki!A:A, Réttabanki!AS:AS, "")), ""), "")))</f>
        <v/>
      </c>
      <c r="M1552" s="26" t="str">
        <f>IF(OR(F1552 = "", G1552 = ""), "", IF(F1552 = "Vara", IFERROR(_xlfn.SINGLE(_xlfn.XLOOKUP(G1552, Vöruskrá!A:A, Vöruskrá!F:F, "")), ""), IF(F1552 = "Réttur", IFERROR(_xlfn.SINGLE(_xlfn.XLOOKUP(G1552, Réttabanki!A:A, Réttabanki!AT:AT, "")), ""), "")))</f>
        <v/>
      </c>
      <c r="N1552" s="26" t="str">
        <f>IF(OR(F1552 = "", G1552 = ""), "", IF(F1552 = "Vara", IFERROR(_xlfn.SINGLE(_xlfn.XLOOKUP(G1552, Vöruskrá!A:A, Vöruskrá!G:G, "")), ""), IF(F1552 = "Réttur", IFERROR(_xlfn.SINGLE(_xlfn.XLOOKUP(G1552, Réttabanki!A:A, Réttabanki!AU:AU, "")), ""), "")))</f>
        <v/>
      </c>
      <c r="O1552" s="26" t="str">
        <f>IF(OR(F1552 = "", G1552 = "", I1552 = ""), "", IF(F1552 = "Vara", IFERROR(_xlfn.SINGLE(_xlfn.XLOOKUP(G1552, Vöruskrá!A:A, Vöruskrá!I:I, "")) * I1552 / 100, ""), IF(F1552 = "Réttur", IFERROR(_xlfn.SINGLE(_xlfn.XLOOKUP(G1552, Réttabanki!A:A, Réttabanki!AV:AV, "")) * I1552 / 100, ""), "")))</f>
        <v/>
      </c>
      <c r="P1552" s="26" t="str">
        <f>IF(OR(F1552 = "", G1552 = "", I1552 = ""), "", IF(F1552 = "Vara", IFERROR(_xlfn.SINGLE(_xlfn.XLOOKUP(G1552, Vöruskrá!A:A, Vöruskrá!J:J, "")) * I1552 / 100, ""), IF(F1552 = "Réttur", IFERROR(_xlfn.SINGLE(_xlfn.XLOOKUP(G1552, Réttabanki!A:A, Réttabanki!AW:AW, "")) * I1552 / 100, ""), "")))</f>
        <v/>
      </c>
      <c r="Q1552" s="26" t="str">
        <f>IF(OR(F1552 = "", G1552 = "", I1552 = ""), "", IF(F1552 = "Vara", IFERROR(_xlfn.SINGLE(_xlfn.XLOOKUP(G1552, Vöruskrá!A:A, Vöruskrá!N:N, "")) * I1552 / 100, ""), IF(F1552 = "Réttur", IFERROR(_xlfn.SINGLE(_xlfn.XLOOKUP(G1552, Réttabanki!A:A, Réttabanki!BB:BB, "")) * I1552 / 100, ""), "")))</f>
        <v/>
      </c>
    </row>
    <row r="1553" spans="2:17">
      <c r="B1553" s="33" t="str">
        <f>IF(A1553&lt;&gt;"",CHOOSE(WEEKDAY(A1553,2),"Mánudagur","Þriðjudagur","Miðvikudagur","Fimmtudagur","Föstudagur","Laugardagur","Sunnudagur"),IF(B1552&lt;&gt;"",B1552,""))</f>
        <v>Fimmtudagur</v>
      </c>
      <c r="C1553" s="33">
        <f>IF(A1553&lt;&gt;"",WEEKNUM(A1553,21),IF(C1552&lt;&gt;"",C1552,""))</f>
        <v>27</v>
      </c>
      <c r="D1553" s="34"/>
      <c r="E1553" s="34"/>
      <c r="F1553" s="34"/>
      <c r="G1553" s="34"/>
      <c r="H1553" s="34"/>
      <c r="I1553" s="35"/>
      <c r="J1553" s="35"/>
      <c r="K1553" s="36"/>
      <c r="L1553" s="26" t="str">
        <f>IF(OR(F1553 = "", G1553 = ""), "", IF(F1553 = "Vara", IFERROR(_xlfn.SINGLE(_xlfn.XLOOKUP(G1553, Vöruskrá!A:A, Vöruskrá!E:E, "")), ""), IF(F1553 = "Réttur", IFERROR(_xlfn.SINGLE(_xlfn.XLOOKUP(G1553, Réttabanki!A:A, Réttabanki!AS:AS, "")), ""), "")))</f>
        <v/>
      </c>
      <c r="M1553" s="26" t="str">
        <f>IF(OR(F1553 = "", G1553 = ""), "", IF(F1553 = "Vara", IFERROR(_xlfn.SINGLE(_xlfn.XLOOKUP(G1553, Vöruskrá!A:A, Vöruskrá!F:F, "")), ""), IF(F1553 = "Réttur", IFERROR(_xlfn.SINGLE(_xlfn.XLOOKUP(G1553, Réttabanki!A:A, Réttabanki!AT:AT, "")), ""), "")))</f>
        <v/>
      </c>
      <c r="N1553" s="26" t="str">
        <f>IF(OR(F1553 = "", G1553 = ""), "", IF(F1553 = "Vara", IFERROR(_xlfn.SINGLE(_xlfn.XLOOKUP(G1553, Vöruskrá!A:A, Vöruskrá!G:G, "")), ""), IF(F1553 = "Réttur", IFERROR(_xlfn.SINGLE(_xlfn.XLOOKUP(G1553, Réttabanki!A:A, Réttabanki!AU:AU, "")), ""), "")))</f>
        <v/>
      </c>
      <c r="O1553" s="26" t="str">
        <f>IF(OR(F1553 = "", G1553 = "", I1553 = ""), "", IF(F1553 = "Vara", IFERROR(_xlfn.SINGLE(_xlfn.XLOOKUP(G1553, Vöruskrá!A:A, Vöruskrá!I:I, "")) * I1553 / 100, ""), IF(F1553 = "Réttur", IFERROR(_xlfn.SINGLE(_xlfn.XLOOKUP(G1553, Réttabanki!A:A, Réttabanki!AV:AV, "")) * I1553 / 100, ""), "")))</f>
        <v/>
      </c>
      <c r="P1553" s="26" t="str">
        <f>IF(OR(F1553 = "", G1553 = "", I1553 = ""), "", IF(F1553 = "Vara", IFERROR(_xlfn.SINGLE(_xlfn.XLOOKUP(G1553, Vöruskrá!A:A, Vöruskrá!J:J, "")) * I1553 / 100, ""), IF(F1553 = "Réttur", IFERROR(_xlfn.SINGLE(_xlfn.XLOOKUP(G1553, Réttabanki!A:A, Réttabanki!AW:AW, "")) * I1553 / 100, ""), "")))</f>
        <v/>
      </c>
      <c r="Q1553" s="26" t="str">
        <f>IF(OR(F1553 = "", G1553 = "", I1553 = ""), "", IF(F1553 = "Vara", IFERROR(_xlfn.SINGLE(_xlfn.XLOOKUP(G1553, Vöruskrá!A:A, Vöruskrá!N:N, "")) * I1553 / 100, ""), IF(F1553 = "Réttur", IFERROR(_xlfn.SINGLE(_xlfn.XLOOKUP(G1553, Réttabanki!A:A, Réttabanki!BB:BB, "")) * I1553 / 100, ""), "")))</f>
        <v/>
      </c>
    </row>
    <row r="1554" spans="2:17">
      <c r="B1554" s="33" t="str">
        <f>IF(A1554&lt;&gt;"",CHOOSE(WEEKDAY(A1554,2),"Mánudagur","Þriðjudagur","Miðvikudagur","Fimmtudagur","Föstudagur","Laugardagur","Sunnudagur"),IF(B1553&lt;&gt;"",B1553,""))</f>
        <v>Fimmtudagur</v>
      </c>
      <c r="C1554" s="33">
        <f>IF(A1554&lt;&gt;"",WEEKNUM(A1554,21),IF(C1553&lt;&gt;"",C1553,""))</f>
        <v>27</v>
      </c>
      <c r="D1554" s="34"/>
      <c r="E1554" s="34"/>
      <c r="F1554" s="34"/>
      <c r="G1554" s="34"/>
      <c r="H1554" s="34"/>
      <c r="I1554" s="35"/>
      <c r="J1554" s="35"/>
      <c r="K1554" s="36"/>
      <c r="L1554" s="26" t="str">
        <f>IF(OR(F1554 = "", G1554 = ""), "", IF(F1554 = "Vara", IFERROR(_xlfn.SINGLE(_xlfn.XLOOKUP(G1554, Vöruskrá!A:A, Vöruskrá!E:E, "")), ""), IF(F1554 = "Réttur", IFERROR(_xlfn.SINGLE(_xlfn.XLOOKUP(G1554, Réttabanki!A:A, Réttabanki!AS:AS, "")), ""), "")))</f>
        <v/>
      </c>
      <c r="M1554" s="26" t="str">
        <f>IF(OR(F1554 = "", G1554 = ""), "", IF(F1554 = "Vara", IFERROR(_xlfn.SINGLE(_xlfn.XLOOKUP(G1554, Vöruskrá!A:A, Vöruskrá!F:F, "")), ""), IF(F1554 = "Réttur", IFERROR(_xlfn.SINGLE(_xlfn.XLOOKUP(G1554, Réttabanki!A:A, Réttabanki!AT:AT, "")), ""), "")))</f>
        <v/>
      </c>
      <c r="N1554" s="26" t="str">
        <f>IF(OR(F1554 = "", G1554 = ""), "", IF(F1554 = "Vara", IFERROR(_xlfn.SINGLE(_xlfn.XLOOKUP(G1554, Vöruskrá!A:A, Vöruskrá!G:G, "")), ""), IF(F1554 = "Réttur", IFERROR(_xlfn.SINGLE(_xlfn.XLOOKUP(G1554, Réttabanki!A:A, Réttabanki!AU:AU, "")), ""), "")))</f>
        <v/>
      </c>
      <c r="O1554" s="26" t="str">
        <f>IF(OR(F1554 = "", G1554 = "", I1554 = ""), "", IF(F1554 = "Vara", IFERROR(_xlfn.SINGLE(_xlfn.XLOOKUP(G1554, Vöruskrá!A:A, Vöruskrá!I:I, "")) * I1554 / 100, ""), IF(F1554 = "Réttur", IFERROR(_xlfn.SINGLE(_xlfn.XLOOKUP(G1554, Réttabanki!A:A, Réttabanki!AV:AV, "")) * I1554 / 100, ""), "")))</f>
        <v/>
      </c>
      <c r="P1554" s="26" t="str">
        <f>IF(OR(F1554 = "", G1554 = "", I1554 = ""), "", IF(F1554 = "Vara", IFERROR(_xlfn.SINGLE(_xlfn.XLOOKUP(G1554, Vöruskrá!A:A, Vöruskrá!J:J, "")) * I1554 / 100, ""), IF(F1554 = "Réttur", IFERROR(_xlfn.SINGLE(_xlfn.XLOOKUP(G1554, Réttabanki!A:A, Réttabanki!AW:AW, "")) * I1554 / 100, ""), "")))</f>
        <v/>
      </c>
      <c r="Q1554" s="26" t="str">
        <f>IF(OR(F1554 = "", G1554 = "", I1554 = ""), "", IF(F1554 = "Vara", IFERROR(_xlfn.SINGLE(_xlfn.XLOOKUP(G1554, Vöruskrá!A:A, Vöruskrá!N:N, "")) * I1554 / 100, ""), IF(F1554 = "Réttur", IFERROR(_xlfn.SINGLE(_xlfn.XLOOKUP(G1554, Réttabanki!A:A, Réttabanki!BB:BB, "")) * I1554 / 100, ""), "")))</f>
        <v/>
      </c>
    </row>
    <row r="1555" spans="2:17">
      <c r="B1555" s="33" t="str">
        <f>IF(A1555&lt;&gt;"",CHOOSE(WEEKDAY(A1555,2),"Mánudagur","Þriðjudagur","Miðvikudagur","Fimmtudagur","Föstudagur","Laugardagur","Sunnudagur"),IF(B1554&lt;&gt;"",B1554,""))</f>
        <v>Fimmtudagur</v>
      </c>
      <c r="C1555" s="33">
        <f>IF(A1555&lt;&gt;"",WEEKNUM(A1555,21),IF(C1554&lt;&gt;"",C1554,""))</f>
        <v>27</v>
      </c>
      <c r="D1555" s="34"/>
      <c r="E1555" s="34"/>
      <c r="F1555" s="34"/>
      <c r="G1555" s="34"/>
      <c r="H1555" s="34"/>
      <c r="I1555" s="35"/>
      <c r="J1555" s="35"/>
      <c r="K1555" s="36"/>
      <c r="L1555" s="26" t="str">
        <f>IF(OR(F1555 = "", G1555 = ""), "", IF(F1555 = "Vara", IFERROR(_xlfn.SINGLE(_xlfn.XLOOKUP(G1555, Vöruskrá!A:A, Vöruskrá!E:E, "")), ""), IF(F1555 = "Réttur", IFERROR(_xlfn.SINGLE(_xlfn.XLOOKUP(G1555, Réttabanki!A:A, Réttabanki!AS:AS, "")), ""), "")))</f>
        <v/>
      </c>
      <c r="M1555" s="26" t="str">
        <f>IF(OR(F1555 = "", G1555 = ""), "", IF(F1555 = "Vara", IFERROR(_xlfn.SINGLE(_xlfn.XLOOKUP(G1555, Vöruskrá!A:A, Vöruskrá!F:F, "")), ""), IF(F1555 = "Réttur", IFERROR(_xlfn.SINGLE(_xlfn.XLOOKUP(G1555, Réttabanki!A:A, Réttabanki!AT:AT, "")), ""), "")))</f>
        <v/>
      </c>
      <c r="N1555" s="26" t="str">
        <f>IF(OR(F1555 = "", G1555 = ""), "", IF(F1555 = "Vara", IFERROR(_xlfn.SINGLE(_xlfn.XLOOKUP(G1555, Vöruskrá!A:A, Vöruskrá!G:G, "")), ""), IF(F1555 = "Réttur", IFERROR(_xlfn.SINGLE(_xlfn.XLOOKUP(G1555, Réttabanki!A:A, Réttabanki!AU:AU, "")), ""), "")))</f>
        <v/>
      </c>
      <c r="O1555" s="26" t="str">
        <f>IF(OR(F1555 = "", G1555 = "", I1555 = ""), "", IF(F1555 = "Vara", IFERROR(_xlfn.SINGLE(_xlfn.XLOOKUP(G1555, Vöruskrá!A:A, Vöruskrá!I:I, "")) * I1555 / 100, ""), IF(F1555 = "Réttur", IFERROR(_xlfn.SINGLE(_xlfn.XLOOKUP(G1555, Réttabanki!A:A, Réttabanki!AV:AV, "")) * I1555 / 100, ""), "")))</f>
        <v/>
      </c>
      <c r="P1555" s="26" t="str">
        <f>IF(OR(F1555 = "", G1555 = "", I1555 = ""), "", IF(F1555 = "Vara", IFERROR(_xlfn.SINGLE(_xlfn.XLOOKUP(G1555, Vöruskrá!A:A, Vöruskrá!J:J, "")) * I1555 / 100, ""), IF(F1555 = "Réttur", IFERROR(_xlfn.SINGLE(_xlfn.XLOOKUP(G1555, Réttabanki!A:A, Réttabanki!AW:AW, "")) * I1555 / 100, ""), "")))</f>
        <v/>
      </c>
      <c r="Q1555" s="26" t="str">
        <f>IF(OR(F1555 = "", G1555 = "", I1555 = ""), "", IF(F1555 = "Vara", IFERROR(_xlfn.SINGLE(_xlfn.XLOOKUP(G1555, Vöruskrá!A:A, Vöruskrá!N:N, "")) * I1555 / 100, ""), IF(F1555 = "Réttur", IFERROR(_xlfn.SINGLE(_xlfn.XLOOKUP(G1555, Réttabanki!A:A, Réttabanki!BB:BB, "")) * I1555 / 100, ""), "")))</f>
        <v/>
      </c>
    </row>
    <row r="1556" spans="2:17">
      <c r="B1556" s="33" t="str">
        <f>IF(A1556&lt;&gt;"",CHOOSE(WEEKDAY(A1556,2),"Mánudagur","Þriðjudagur","Miðvikudagur","Fimmtudagur","Föstudagur","Laugardagur","Sunnudagur"),IF(B1555&lt;&gt;"",B1555,""))</f>
        <v>Fimmtudagur</v>
      </c>
      <c r="C1556" s="33">
        <f>IF(A1556&lt;&gt;"",WEEKNUM(A1556,21),IF(C1555&lt;&gt;"",C1555,""))</f>
        <v>27</v>
      </c>
      <c r="D1556" s="34"/>
      <c r="E1556" s="34"/>
      <c r="F1556" s="34"/>
      <c r="G1556" s="34"/>
      <c r="H1556" s="34"/>
      <c r="I1556" s="35"/>
      <c r="J1556" s="35"/>
      <c r="K1556" s="36"/>
      <c r="L1556" s="26" t="str">
        <f>IF(OR(F1556 = "", G1556 = ""), "", IF(F1556 = "Vara", IFERROR(_xlfn.SINGLE(_xlfn.XLOOKUP(G1556, Vöruskrá!A:A, Vöruskrá!E:E, "")), ""), IF(F1556 = "Réttur", IFERROR(_xlfn.SINGLE(_xlfn.XLOOKUP(G1556, Réttabanki!A:A, Réttabanki!AS:AS, "")), ""), "")))</f>
        <v/>
      </c>
      <c r="M1556" s="26" t="str">
        <f>IF(OR(F1556 = "", G1556 = ""), "", IF(F1556 = "Vara", IFERROR(_xlfn.SINGLE(_xlfn.XLOOKUP(G1556, Vöruskrá!A:A, Vöruskrá!F:F, "")), ""), IF(F1556 = "Réttur", IFERROR(_xlfn.SINGLE(_xlfn.XLOOKUP(G1556, Réttabanki!A:A, Réttabanki!AT:AT, "")), ""), "")))</f>
        <v/>
      </c>
      <c r="N1556" s="26" t="str">
        <f>IF(OR(F1556 = "", G1556 = ""), "", IF(F1556 = "Vara", IFERROR(_xlfn.SINGLE(_xlfn.XLOOKUP(G1556, Vöruskrá!A:A, Vöruskrá!G:G, "")), ""), IF(F1556 = "Réttur", IFERROR(_xlfn.SINGLE(_xlfn.XLOOKUP(G1556, Réttabanki!A:A, Réttabanki!AU:AU, "")), ""), "")))</f>
        <v/>
      </c>
      <c r="O1556" s="26" t="str">
        <f>IF(OR(F1556 = "", G1556 = "", I1556 = ""), "", IF(F1556 = "Vara", IFERROR(_xlfn.SINGLE(_xlfn.XLOOKUP(G1556, Vöruskrá!A:A, Vöruskrá!I:I, "")) * I1556 / 100, ""), IF(F1556 = "Réttur", IFERROR(_xlfn.SINGLE(_xlfn.XLOOKUP(G1556, Réttabanki!A:A, Réttabanki!AV:AV, "")) * I1556 / 100, ""), "")))</f>
        <v/>
      </c>
      <c r="P1556" s="26" t="str">
        <f>IF(OR(F1556 = "", G1556 = "", I1556 = ""), "", IF(F1556 = "Vara", IFERROR(_xlfn.SINGLE(_xlfn.XLOOKUP(G1556, Vöruskrá!A:A, Vöruskrá!J:J, "")) * I1556 / 100, ""), IF(F1556 = "Réttur", IFERROR(_xlfn.SINGLE(_xlfn.XLOOKUP(G1556, Réttabanki!A:A, Réttabanki!AW:AW, "")) * I1556 / 100, ""), "")))</f>
        <v/>
      </c>
      <c r="Q1556" s="26" t="str">
        <f>IF(OR(F1556 = "", G1556 = "", I1556 = ""), "", IF(F1556 = "Vara", IFERROR(_xlfn.SINGLE(_xlfn.XLOOKUP(G1556, Vöruskrá!A:A, Vöruskrá!N:N, "")) * I1556 / 100, ""), IF(F1556 = "Réttur", IFERROR(_xlfn.SINGLE(_xlfn.XLOOKUP(G1556, Réttabanki!A:A, Réttabanki!BB:BB, "")) * I1556 / 100, ""), "")))</f>
        <v/>
      </c>
    </row>
    <row r="1557" spans="2:17">
      <c r="B1557" s="33" t="str">
        <f>IF(A1557&lt;&gt;"",CHOOSE(WEEKDAY(A1557,2),"Mánudagur","Þriðjudagur","Miðvikudagur","Fimmtudagur","Föstudagur","Laugardagur","Sunnudagur"),IF(B1556&lt;&gt;"",B1556,""))</f>
        <v>Fimmtudagur</v>
      </c>
      <c r="C1557" s="33">
        <f>IF(A1557&lt;&gt;"",WEEKNUM(A1557,21),IF(C1556&lt;&gt;"",C1556,""))</f>
        <v>27</v>
      </c>
      <c r="D1557" s="34"/>
      <c r="E1557" s="34"/>
      <c r="F1557" s="34"/>
      <c r="G1557" s="34"/>
      <c r="H1557" s="34"/>
      <c r="I1557" s="35"/>
      <c r="J1557" s="35"/>
      <c r="K1557" s="36"/>
      <c r="L1557" s="26" t="str">
        <f>IF(OR(F1557 = "", G1557 = ""), "", IF(F1557 = "Vara", IFERROR(_xlfn.SINGLE(_xlfn.XLOOKUP(G1557, Vöruskrá!A:A, Vöruskrá!E:E, "")), ""), IF(F1557 = "Réttur", IFERROR(_xlfn.SINGLE(_xlfn.XLOOKUP(G1557, Réttabanki!A:A, Réttabanki!AS:AS, "")), ""), "")))</f>
        <v/>
      </c>
      <c r="M1557" s="26" t="str">
        <f>IF(OR(F1557 = "", G1557 = ""), "", IF(F1557 = "Vara", IFERROR(_xlfn.SINGLE(_xlfn.XLOOKUP(G1557, Vöruskrá!A:A, Vöruskrá!F:F, "")), ""), IF(F1557 = "Réttur", IFERROR(_xlfn.SINGLE(_xlfn.XLOOKUP(G1557, Réttabanki!A:A, Réttabanki!AT:AT, "")), ""), "")))</f>
        <v/>
      </c>
      <c r="N1557" s="26" t="str">
        <f>IF(OR(F1557 = "", G1557 = ""), "", IF(F1557 = "Vara", IFERROR(_xlfn.SINGLE(_xlfn.XLOOKUP(G1557, Vöruskrá!A:A, Vöruskrá!G:G, "")), ""), IF(F1557 = "Réttur", IFERROR(_xlfn.SINGLE(_xlfn.XLOOKUP(G1557, Réttabanki!A:A, Réttabanki!AU:AU, "")), ""), "")))</f>
        <v/>
      </c>
      <c r="O1557" s="26" t="str">
        <f>IF(OR(F1557 = "", G1557 = "", I1557 = ""), "", IF(F1557 = "Vara", IFERROR(_xlfn.SINGLE(_xlfn.XLOOKUP(G1557, Vöruskrá!A:A, Vöruskrá!I:I, "")) * I1557 / 100, ""), IF(F1557 = "Réttur", IFERROR(_xlfn.SINGLE(_xlfn.XLOOKUP(G1557, Réttabanki!A:A, Réttabanki!AV:AV, "")) * I1557 / 100, ""), "")))</f>
        <v/>
      </c>
      <c r="P1557" s="26" t="str">
        <f>IF(OR(F1557 = "", G1557 = "", I1557 = ""), "", IF(F1557 = "Vara", IFERROR(_xlfn.SINGLE(_xlfn.XLOOKUP(G1557, Vöruskrá!A:A, Vöruskrá!J:J, "")) * I1557 / 100, ""), IF(F1557 = "Réttur", IFERROR(_xlfn.SINGLE(_xlfn.XLOOKUP(G1557, Réttabanki!A:A, Réttabanki!AW:AW, "")) * I1557 / 100, ""), "")))</f>
        <v/>
      </c>
      <c r="Q1557" s="26" t="str">
        <f>IF(OR(F1557 = "", G1557 = "", I1557 = ""), "", IF(F1557 = "Vara", IFERROR(_xlfn.SINGLE(_xlfn.XLOOKUP(G1557, Vöruskrá!A:A, Vöruskrá!N:N, "")) * I1557 / 100, ""), IF(F1557 = "Réttur", IFERROR(_xlfn.SINGLE(_xlfn.XLOOKUP(G1557, Réttabanki!A:A, Réttabanki!BB:BB, "")) * I1557 / 100, ""), "")))</f>
        <v/>
      </c>
    </row>
    <row r="1558" spans="2:17">
      <c r="B1558" s="33" t="str">
        <f>IF(A1558&lt;&gt;"",CHOOSE(WEEKDAY(A1558,2),"Mánudagur","Þriðjudagur","Miðvikudagur","Fimmtudagur","Föstudagur","Laugardagur","Sunnudagur"),IF(B1557&lt;&gt;"",B1557,""))</f>
        <v>Fimmtudagur</v>
      </c>
      <c r="C1558" s="33">
        <f>IF(A1558&lt;&gt;"",WEEKNUM(A1558,21),IF(C1557&lt;&gt;"",C1557,""))</f>
        <v>27</v>
      </c>
      <c r="D1558" s="34"/>
      <c r="E1558" s="34"/>
      <c r="F1558" s="34"/>
      <c r="G1558" s="34"/>
      <c r="H1558" s="34"/>
      <c r="I1558" s="35"/>
      <c r="J1558" s="35"/>
      <c r="K1558" s="36"/>
      <c r="L1558" s="26" t="str">
        <f>IF(OR(F1558 = "", G1558 = ""), "", IF(F1558 = "Vara", IFERROR(_xlfn.SINGLE(_xlfn.XLOOKUP(G1558, Vöruskrá!A:A, Vöruskrá!E:E, "")), ""), IF(F1558 = "Réttur", IFERROR(_xlfn.SINGLE(_xlfn.XLOOKUP(G1558, Réttabanki!A:A, Réttabanki!AS:AS, "")), ""), "")))</f>
        <v/>
      </c>
      <c r="M1558" s="26" t="str">
        <f>IF(OR(F1558 = "", G1558 = ""), "", IF(F1558 = "Vara", IFERROR(_xlfn.SINGLE(_xlfn.XLOOKUP(G1558, Vöruskrá!A:A, Vöruskrá!F:F, "")), ""), IF(F1558 = "Réttur", IFERROR(_xlfn.SINGLE(_xlfn.XLOOKUP(G1558, Réttabanki!A:A, Réttabanki!AT:AT, "")), ""), "")))</f>
        <v/>
      </c>
      <c r="N1558" s="26" t="str">
        <f>IF(OR(F1558 = "", G1558 = ""), "", IF(F1558 = "Vara", IFERROR(_xlfn.SINGLE(_xlfn.XLOOKUP(G1558, Vöruskrá!A:A, Vöruskrá!G:G, "")), ""), IF(F1558 = "Réttur", IFERROR(_xlfn.SINGLE(_xlfn.XLOOKUP(G1558, Réttabanki!A:A, Réttabanki!AU:AU, "")), ""), "")))</f>
        <v/>
      </c>
      <c r="O1558" s="26" t="str">
        <f>IF(OR(F1558 = "", G1558 = "", I1558 = ""), "", IF(F1558 = "Vara", IFERROR(_xlfn.SINGLE(_xlfn.XLOOKUP(G1558, Vöruskrá!A:A, Vöruskrá!I:I, "")) * I1558 / 100, ""), IF(F1558 = "Réttur", IFERROR(_xlfn.SINGLE(_xlfn.XLOOKUP(G1558, Réttabanki!A:A, Réttabanki!AV:AV, "")) * I1558 / 100, ""), "")))</f>
        <v/>
      </c>
      <c r="P1558" s="26" t="str">
        <f>IF(OR(F1558 = "", G1558 = "", I1558 = ""), "", IF(F1558 = "Vara", IFERROR(_xlfn.SINGLE(_xlfn.XLOOKUP(G1558, Vöruskrá!A:A, Vöruskrá!J:J, "")) * I1558 / 100, ""), IF(F1558 = "Réttur", IFERROR(_xlfn.SINGLE(_xlfn.XLOOKUP(G1558, Réttabanki!A:A, Réttabanki!AW:AW, "")) * I1558 / 100, ""), "")))</f>
        <v/>
      </c>
      <c r="Q1558" s="26" t="str">
        <f>IF(OR(F1558 = "", G1558 = "", I1558 = ""), "", IF(F1558 = "Vara", IFERROR(_xlfn.SINGLE(_xlfn.XLOOKUP(G1558, Vöruskrá!A:A, Vöruskrá!N:N, "")) * I1558 / 100, ""), IF(F1558 = "Réttur", IFERROR(_xlfn.SINGLE(_xlfn.XLOOKUP(G1558, Réttabanki!A:A, Réttabanki!BB:BB, "")) * I1558 / 100, ""), "")))</f>
        <v/>
      </c>
    </row>
    <row r="1559" spans="2:17">
      <c r="B1559" s="33" t="str">
        <f>IF(A1559&lt;&gt;"",CHOOSE(WEEKDAY(A1559,2),"Mánudagur","Þriðjudagur","Miðvikudagur","Fimmtudagur","Föstudagur","Laugardagur","Sunnudagur"),IF(B1558&lt;&gt;"",B1558,""))</f>
        <v>Fimmtudagur</v>
      </c>
      <c r="C1559" s="33">
        <f>IF(A1559&lt;&gt;"",WEEKNUM(A1559,21),IF(C1558&lt;&gt;"",C1558,""))</f>
        <v>27</v>
      </c>
      <c r="D1559" s="34"/>
      <c r="E1559" s="34"/>
      <c r="F1559" s="34"/>
      <c r="G1559" s="34"/>
      <c r="H1559" s="34"/>
      <c r="I1559" s="35"/>
      <c r="J1559" s="35"/>
      <c r="K1559" s="36"/>
      <c r="L1559" s="26" t="str">
        <f>IF(OR(F1559 = "", G1559 = ""), "", IF(F1559 = "Vara", IFERROR(_xlfn.SINGLE(_xlfn.XLOOKUP(G1559, Vöruskrá!A:A, Vöruskrá!E:E, "")), ""), IF(F1559 = "Réttur", IFERROR(_xlfn.SINGLE(_xlfn.XLOOKUP(G1559, Réttabanki!A:A, Réttabanki!AS:AS, "")), ""), "")))</f>
        <v/>
      </c>
      <c r="M1559" s="26" t="str">
        <f>IF(OR(F1559 = "", G1559 = ""), "", IF(F1559 = "Vara", IFERROR(_xlfn.SINGLE(_xlfn.XLOOKUP(G1559, Vöruskrá!A:A, Vöruskrá!F:F, "")), ""), IF(F1559 = "Réttur", IFERROR(_xlfn.SINGLE(_xlfn.XLOOKUP(G1559, Réttabanki!A:A, Réttabanki!AT:AT, "")), ""), "")))</f>
        <v/>
      </c>
      <c r="N1559" s="26" t="str">
        <f>IF(OR(F1559 = "", G1559 = ""), "", IF(F1559 = "Vara", IFERROR(_xlfn.SINGLE(_xlfn.XLOOKUP(G1559, Vöruskrá!A:A, Vöruskrá!G:G, "")), ""), IF(F1559 = "Réttur", IFERROR(_xlfn.SINGLE(_xlfn.XLOOKUP(G1559, Réttabanki!A:A, Réttabanki!AU:AU, "")), ""), "")))</f>
        <v/>
      </c>
      <c r="O1559" s="26" t="str">
        <f>IF(OR(F1559 = "", G1559 = "", I1559 = ""), "", IF(F1559 = "Vara", IFERROR(_xlfn.SINGLE(_xlfn.XLOOKUP(G1559, Vöruskrá!A:A, Vöruskrá!I:I, "")) * I1559 / 100, ""), IF(F1559 = "Réttur", IFERROR(_xlfn.SINGLE(_xlfn.XLOOKUP(G1559, Réttabanki!A:A, Réttabanki!AV:AV, "")) * I1559 / 100, ""), "")))</f>
        <v/>
      </c>
      <c r="P1559" s="26" t="str">
        <f>IF(OR(F1559 = "", G1559 = "", I1559 = ""), "", IF(F1559 = "Vara", IFERROR(_xlfn.SINGLE(_xlfn.XLOOKUP(G1559, Vöruskrá!A:A, Vöruskrá!J:J, "")) * I1559 / 100, ""), IF(F1559 = "Réttur", IFERROR(_xlfn.SINGLE(_xlfn.XLOOKUP(G1559, Réttabanki!A:A, Réttabanki!AW:AW, "")) * I1559 / 100, ""), "")))</f>
        <v/>
      </c>
      <c r="Q1559" s="26" t="str">
        <f>IF(OR(F1559 = "", G1559 = "", I1559 = ""), "", IF(F1559 = "Vara", IFERROR(_xlfn.SINGLE(_xlfn.XLOOKUP(G1559, Vöruskrá!A:A, Vöruskrá!N:N, "")) * I1559 / 100, ""), IF(F1559 = "Réttur", IFERROR(_xlfn.SINGLE(_xlfn.XLOOKUP(G1559, Réttabanki!A:A, Réttabanki!BB:BB, "")) * I1559 / 100, ""), "")))</f>
        <v/>
      </c>
    </row>
    <row r="1560" spans="2:17">
      <c r="B1560" s="33" t="str">
        <f>IF(A1560&lt;&gt;"",CHOOSE(WEEKDAY(A1560,2),"Mánudagur","Þriðjudagur","Miðvikudagur","Fimmtudagur","Föstudagur","Laugardagur","Sunnudagur"),IF(B1559&lt;&gt;"",B1559,""))</f>
        <v>Fimmtudagur</v>
      </c>
      <c r="C1560" s="33">
        <f>IF(A1560&lt;&gt;"",WEEKNUM(A1560,21),IF(C1559&lt;&gt;"",C1559,""))</f>
        <v>27</v>
      </c>
      <c r="D1560" s="34"/>
      <c r="E1560" s="34"/>
      <c r="F1560" s="34"/>
      <c r="G1560" s="34"/>
      <c r="H1560" s="34"/>
      <c r="I1560" s="35"/>
      <c r="J1560" s="35"/>
      <c r="K1560" s="36"/>
      <c r="L1560" s="26" t="str">
        <f>IF(OR(F1560 = "", G1560 = ""), "", IF(F1560 = "Vara", IFERROR(_xlfn.SINGLE(_xlfn.XLOOKUP(G1560, Vöruskrá!A:A, Vöruskrá!E:E, "")), ""), IF(F1560 = "Réttur", IFERROR(_xlfn.SINGLE(_xlfn.XLOOKUP(G1560, Réttabanki!A:A, Réttabanki!AS:AS, "")), ""), "")))</f>
        <v/>
      </c>
      <c r="M1560" s="26" t="str">
        <f>IF(OR(F1560 = "", G1560 = ""), "", IF(F1560 = "Vara", IFERROR(_xlfn.SINGLE(_xlfn.XLOOKUP(G1560, Vöruskrá!A:A, Vöruskrá!F:F, "")), ""), IF(F1560 = "Réttur", IFERROR(_xlfn.SINGLE(_xlfn.XLOOKUP(G1560, Réttabanki!A:A, Réttabanki!AT:AT, "")), ""), "")))</f>
        <v/>
      </c>
      <c r="N1560" s="26" t="str">
        <f>IF(OR(F1560 = "", G1560 = ""), "", IF(F1560 = "Vara", IFERROR(_xlfn.SINGLE(_xlfn.XLOOKUP(G1560, Vöruskrá!A:A, Vöruskrá!G:G, "")), ""), IF(F1560 = "Réttur", IFERROR(_xlfn.SINGLE(_xlfn.XLOOKUP(G1560, Réttabanki!A:A, Réttabanki!AU:AU, "")), ""), "")))</f>
        <v/>
      </c>
      <c r="O1560" s="26" t="str">
        <f>IF(OR(F1560 = "", G1560 = "", I1560 = ""), "", IF(F1560 = "Vara", IFERROR(_xlfn.SINGLE(_xlfn.XLOOKUP(G1560, Vöruskrá!A:A, Vöruskrá!I:I, "")) * I1560 / 100, ""), IF(F1560 = "Réttur", IFERROR(_xlfn.SINGLE(_xlfn.XLOOKUP(G1560, Réttabanki!A:A, Réttabanki!AV:AV, "")) * I1560 / 100, ""), "")))</f>
        <v/>
      </c>
      <c r="P1560" s="26" t="str">
        <f>IF(OR(F1560 = "", G1560 = "", I1560 = ""), "", IF(F1560 = "Vara", IFERROR(_xlfn.SINGLE(_xlfn.XLOOKUP(G1560, Vöruskrá!A:A, Vöruskrá!J:J, "")) * I1560 / 100, ""), IF(F1560 = "Réttur", IFERROR(_xlfn.SINGLE(_xlfn.XLOOKUP(G1560, Réttabanki!A:A, Réttabanki!AW:AW, "")) * I1560 / 100, ""), "")))</f>
        <v/>
      </c>
      <c r="Q1560" s="26" t="str">
        <f>IF(OR(F1560 = "", G1560 = "", I1560 = ""), "", IF(F1560 = "Vara", IFERROR(_xlfn.SINGLE(_xlfn.XLOOKUP(G1560, Vöruskrá!A:A, Vöruskrá!N:N, "")) * I1560 / 100, ""), IF(F1560 = "Réttur", IFERROR(_xlfn.SINGLE(_xlfn.XLOOKUP(G1560, Réttabanki!A:A, Réttabanki!BB:BB, "")) * I1560 / 100, ""), "")))</f>
        <v/>
      </c>
    </row>
    <row r="1561" spans="2:17">
      <c r="B1561" s="33" t="str">
        <f>IF(A1561&lt;&gt;"",CHOOSE(WEEKDAY(A1561,2),"Mánudagur","Þriðjudagur","Miðvikudagur","Fimmtudagur","Föstudagur","Laugardagur","Sunnudagur"),IF(B1560&lt;&gt;"",B1560,""))</f>
        <v>Fimmtudagur</v>
      </c>
      <c r="C1561" s="33">
        <f>IF(A1561&lt;&gt;"",WEEKNUM(A1561,21),IF(C1560&lt;&gt;"",C1560,""))</f>
        <v>27</v>
      </c>
      <c r="D1561" s="34"/>
      <c r="E1561" s="34"/>
      <c r="F1561" s="34"/>
      <c r="G1561" s="34"/>
      <c r="H1561" s="34"/>
      <c r="I1561" s="35"/>
      <c r="J1561" s="35"/>
      <c r="K1561" s="36"/>
      <c r="L1561" s="26" t="str">
        <f>IF(OR(F1561 = "", G1561 = ""), "", IF(F1561 = "Vara", IFERROR(_xlfn.SINGLE(_xlfn.XLOOKUP(G1561, Vöruskrá!A:A, Vöruskrá!E:E, "")), ""), IF(F1561 = "Réttur", IFERROR(_xlfn.SINGLE(_xlfn.XLOOKUP(G1561, Réttabanki!A:A, Réttabanki!AS:AS, "")), ""), "")))</f>
        <v/>
      </c>
      <c r="M1561" s="26" t="str">
        <f>IF(OR(F1561 = "", G1561 = ""), "", IF(F1561 = "Vara", IFERROR(_xlfn.SINGLE(_xlfn.XLOOKUP(G1561, Vöruskrá!A:A, Vöruskrá!F:F, "")), ""), IF(F1561 = "Réttur", IFERROR(_xlfn.SINGLE(_xlfn.XLOOKUP(G1561, Réttabanki!A:A, Réttabanki!AT:AT, "")), ""), "")))</f>
        <v/>
      </c>
      <c r="N1561" s="26" t="str">
        <f>IF(OR(F1561 = "", G1561 = ""), "", IF(F1561 = "Vara", IFERROR(_xlfn.SINGLE(_xlfn.XLOOKUP(G1561, Vöruskrá!A:A, Vöruskrá!G:G, "")), ""), IF(F1561 = "Réttur", IFERROR(_xlfn.SINGLE(_xlfn.XLOOKUP(G1561, Réttabanki!A:A, Réttabanki!AU:AU, "")), ""), "")))</f>
        <v/>
      </c>
      <c r="O1561" s="26" t="str">
        <f>IF(OR(F1561 = "", G1561 = "", I1561 = ""), "", IF(F1561 = "Vara", IFERROR(_xlfn.SINGLE(_xlfn.XLOOKUP(G1561, Vöruskrá!A:A, Vöruskrá!I:I, "")) * I1561 / 100, ""), IF(F1561 = "Réttur", IFERROR(_xlfn.SINGLE(_xlfn.XLOOKUP(G1561, Réttabanki!A:A, Réttabanki!AV:AV, "")) * I1561 / 100, ""), "")))</f>
        <v/>
      </c>
      <c r="P1561" s="26" t="str">
        <f>IF(OR(F1561 = "", G1561 = "", I1561 = ""), "", IF(F1561 = "Vara", IFERROR(_xlfn.SINGLE(_xlfn.XLOOKUP(G1561, Vöruskrá!A:A, Vöruskrá!J:J, "")) * I1561 / 100, ""), IF(F1561 = "Réttur", IFERROR(_xlfn.SINGLE(_xlfn.XLOOKUP(G1561, Réttabanki!A:A, Réttabanki!AW:AW, "")) * I1561 / 100, ""), "")))</f>
        <v/>
      </c>
      <c r="Q1561" s="26" t="str">
        <f>IF(OR(F1561 = "", G1561 = "", I1561 = ""), "", IF(F1561 = "Vara", IFERROR(_xlfn.SINGLE(_xlfn.XLOOKUP(G1561, Vöruskrá!A:A, Vöruskrá!N:N, "")) * I1561 / 100, ""), IF(F1561 = "Réttur", IFERROR(_xlfn.SINGLE(_xlfn.XLOOKUP(G1561, Réttabanki!A:A, Réttabanki!BB:BB, "")) * I1561 / 100, ""), "")))</f>
        <v/>
      </c>
    </row>
    <row r="1562" spans="2:17">
      <c r="B1562" s="33" t="str">
        <f>IF(A1562&lt;&gt;"",CHOOSE(WEEKDAY(A1562,2),"Mánudagur","Þriðjudagur","Miðvikudagur","Fimmtudagur","Föstudagur","Laugardagur","Sunnudagur"),IF(B1561&lt;&gt;"",B1561,""))</f>
        <v>Fimmtudagur</v>
      </c>
      <c r="C1562" s="33">
        <f>IF(A1562&lt;&gt;"",WEEKNUM(A1562,21),IF(C1561&lt;&gt;"",C1561,""))</f>
        <v>27</v>
      </c>
      <c r="D1562" s="34"/>
      <c r="E1562" s="34"/>
      <c r="F1562" s="34"/>
      <c r="G1562" s="34"/>
      <c r="H1562" s="34"/>
      <c r="I1562" s="35"/>
      <c r="J1562" s="35"/>
      <c r="K1562" s="36"/>
      <c r="L1562" s="26" t="str">
        <f>IF(OR(F1562 = "", G1562 = ""), "", IF(F1562 = "Vara", IFERROR(_xlfn.SINGLE(_xlfn.XLOOKUP(G1562, Vöruskrá!A:A, Vöruskrá!E:E, "")), ""), IF(F1562 = "Réttur", IFERROR(_xlfn.SINGLE(_xlfn.XLOOKUP(G1562, Réttabanki!A:A, Réttabanki!AS:AS, "")), ""), "")))</f>
        <v/>
      </c>
      <c r="M1562" s="26" t="str">
        <f>IF(OR(F1562 = "", G1562 = ""), "", IF(F1562 = "Vara", IFERROR(_xlfn.SINGLE(_xlfn.XLOOKUP(G1562, Vöruskrá!A:A, Vöruskrá!F:F, "")), ""), IF(F1562 = "Réttur", IFERROR(_xlfn.SINGLE(_xlfn.XLOOKUP(G1562, Réttabanki!A:A, Réttabanki!AT:AT, "")), ""), "")))</f>
        <v/>
      </c>
      <c r="N1562" s="26" t="str">
        <f>IF(OR(F1562 = "", G1562 = ""), "", IF(F1562 = "Vara", IFERROR(_xlfn.SINGLE(_xlfn.XLOOKUP(G1562, Vöruskrá!A:A, Vöruskrá!G:G, "")), ""), IF(F1562 = "Réttur", IFERROR(_xlfn.SINGLE(_xlfn.XLOOKUP(G1562, Réttabanki!A:A, Réttabanki!AU:AU, "")), ""), "")))</f>
        <v/>
      </c>
      <c r="O1562" s="26" t="str">
        <f>IF(OR(F1562 = "", G1562 = "", I1562 = ""), "", IF(F1562 = "Vara", IFERROR(_xlfn.SINGLE(_xlfn.XLOOKUP(G1562, Vöruskrá!A:A, Vöruskrá!I:I, "")) * I1562 / 100, ""), IF(F1562 = "Réttur", IFERROR(_xlfn.SINGLE(_xlfn.XLOOKUP(G1562, Réttabanki!A:A, Réttabanki!AV:AV, "")) * I1562 / 100, ""), "")))</f>
        <v/>
      </c>
      <c r="P1562" s="26" t="str">
        <f>IF(OR(F1562 = "", G1562 = "", I1562 = ""), "", IF(F1562 = "Vara", IFERROR(_xlfn.SINGLE(_xlfn.XLOOKUP(G1562, Vöruskrá!A:A, Vöruskrá!J:J, "")) * I1562 / 100, ""), IF(F1562 = "Réttur", IFERROR(_xlfn.SINGLE(_xlfn.XLOOKUP(G1562, Réttabanki!A:A, Réttabanki!AW:AW, "")) * I1562 / 100, ""), "")))</f>
        <v/>
      </c>
      <c r="Q1562" s="26" t="str">
        <f>IF(OR(F1562 = "", G1562 = "", I1562 = ""), "", IF(F1562 = "Vara", IFERROR(_xlfn.SINGLE(_xlfn.XLOOKUP(G1562, Vöruskrá!A:A, Vöruskrá!N:N, "")) * I1562 / 100, ""), IF(F1562 = "Réttur", IFERROR(_xlfn.SINGLE(_xlfn.XLOOKUP(G1562, Réttabanki!A:A, Réttabanki!BB:BB, "")) * I1562 / 100, ""), "")))</f>
        <v/>
      </c>
    </row>
    <row r="1563" spans="2:17">
      <c r="B1563" s="33" t="str">
        <f>IF(A1563&lt;&gt;"",CHOOSE(WEEKDAY(A1563,2),"Mánudagur","Þriðjudagur","Miðvikudagur","Fimmtudagur","Föstudagur","Laugardagur","Sunnudagur"),IF(B1562&lt;&gt;"",B1562,""))</f>
        <v>Fimmtudagur</v>
      </c>
      <c r="C1563" s="33">
        <f>IF(A1563&lt;&gt;"",WEEKNUM(A1563,21),IF(C1562&lt;&gt;"",C1562,""))</f>
        <v>27</v>
      </c>
      <c r="D1563" s="34"/>
      <c r="E1563" s="34"/>
      <c r="F1563" s="34"/>
      <c r="G1563" s="34"/>
      <c r="H1563" s="34"/>
      <c r="I1563" s="35"/>
      <c r="J1563" s="35"/>
      <c r="K1563" s="36"/>
      <c r="L1563" s="26" t="str">
        <f>IF(OR(F1563 = "", G1563 = ""), "", IF(F1563 = "Vara", IFERROR(_xlfn.SINGLE(_xlfn.XLOOKUP(G1563, Vöruskrá!A:A, Vöruskrá!E:E, "")), ""), IF(F1563 = "Réttur", IFERROR(_xlfn.SINGLE(_xlfn.XLOOKUP(G1563, Réttabanki!A:A, Réttabanki!AS:AS, "")), ""), "")))</f>
        <v/>
      </c>
      <c r="M1563" s="26" t="str">
        <f>IF(OR(F1563 = "", G1563 = ""), "", IF(F1563 = "Vara", IFERROR(_xlfn.SINGLE(_xlfn.XLOOKUP(G1563, Vöruskrá!A:A, Vöruskrá!F:F, "")), ""), IF(F1563 = "Réttur", IFERROR(_xlfn.SINGLE(_xlfn.XLOOKUP(G1563, Réttabanki!A:A, Réttabanki!AT:AT, "")), ""), "")))</f>
        <v/>
      </c>
      <c r="N1563" s="26" t="str">
        <f>IF(OR(F1563 = "", G1563 = ""), "", IF(F1563 = "Vara", IFERROR(_xlfn.SINGLE(_xlfn.XLOOKUP(G1563, Vöruskrá!A:A, Vöruskrá!G:G, "")), ""), IF(F1563 = "Réttur", IFERROR(_xlfn.SINGLE(_xlfn.XLOOKUP(G1563, Réttabanki!A:A, Réttabanki!AU:AU, "")), ""), "")))</f>
        <v/>
      </c>
      <c r="O1563" s="26" t="str">
        <f>IF(OR(F1563 = "", G1563 = "", I1563 = ""), "", IF(F1563 = "Vara", IFERROR(_xlfn.SINGLE(_xlfn.XLOOKUP(G1563, Vöruskrá!A:A, Vöruskrá!I:I, "")) * I1563 / 100, ""), IF(F1563 = "Réttur", IFERROR(_xlfn.SINGLE(_xlfn.XLOOKUP(G1563, Réttabanki!A:A, Réttabanki!AV:AV, "")) * I1563 / 100, ""), "")))</f>
        <v/>
      </c>
      <c r="P1563" s="26" t="str">
        <f>IF(OR(F1563 = "", G1563 = "", I1563 = ""), "", IF(F1563 = "Vara", IFERROR(_xlfn.SINGLE(_xlfn.XLOOKUP(G1563, Vöruskrá!A:A, Vöruskrá!J:J, "")) * I1563 / 100, ""), IF(F1563 = "Réttur", IFERROR(_xlfn.SINGLE(_xlfn.XLOOKUP(G1563, Réttabanki!A:A, Réttabanki!AW:AW, "")) * I1563 / 100, ""), "")))</f>
        <v/>
      </c>
      <c r="Q1563" s="26" t="str">
        <f>IF(OR(F1563 = "", G1563 = "", I1563 = ""), "", IF(F1563 = "Vara", IFERROR(_xlfn.SINGLE(_xlfn.XLOOKUP(G1563, Vöruskrá!A:A, Vöruskrá!N:N, "")) * I1563 / 100, ""), IF(F1563 = "Réttur", IFERROR(_xlfn.SINGLE(_xlfn.XLOOKUP(G1563, Réttabanki!A:A, Réttabanki!BB:BB, "")) * I1563 / 100, ""), "")))</f>
        <v/>
      </c>
    </row>
    <row r="1564" spans="2:17">
      <c r="B1564" s="33" t="str">
        <f>IF(A1564&lt;&gt;"",CHOOSE(WEEKDAY(A1564,2),"Mánudagur","Þriðjudagur","Miðvikudagur","Fimmtudagur","Föstudagur","Laugardagur","Sunnudagur"),IF(B1563&lt;&gt;"",B1563,""))</f>
        <v>Fimmtudagur</v>
      </c>
      <c r="C1564" s="33">
        <f>IF(A1564&lt;&gt;"",WEEKNUM(A1564,21),IF(C1563&lt;&gt;"",C1563,""))</f>
        <v>27</v>
      </c>
      <c r="D1564" s="34"/>
      <c r="E1564" s="34"/>
      <c r="F1564" s="34"/>
      <c r="G1564" s="34"/>
      <c r="H1564" s="34"/>
      <c r="I1564" s="35"/>
      <c r="J1564" s="35"/>
      <c r="K1564" s="36"/>
      <c r="L1564" s="26" t="str">
        <f>IF(OR(F1564 = "", G1564 = ""), "", IF(F1564 = "Vara", IFERROR(_xlfn.SINGLE(_xlfn.XLOOKUP(G1564, Vöruskrá!A:A, Vöruskrá!E:E, "")), ""), IF(F1564 = "Réttur", IFERROR(_xlfn.SINGLE(_xlfn.XLOOKUP(G1564, Réttabanki!A:A, Réttabanki!AS:AS, "")), ""), "")))</f>
        <v/>
      </c>
      <c r="M1564" s="26" t="str">
        <f>IF(OR(F1564 = "", G1564 = ""), "", IF(F1564 = "Vara", IFERROR(_xlfn.SINGLE(_xlfn.XLOOKUP(G1564, Vöruskrá!A:A, Vöruskrá!F:F, "")), ""), IF(F1564 = "Réttur", IFERROR(_xlfn.SINGLE(_xlfn.XLOOKUP(G1564, Réttabanki!A:A, Réttabanki!AT:AT, "")), ""), "")))</f>
        <v/>
      </c>
      <c r="N1564" s="26" t="str">
        <f>IF(OR(F1564 = "", G1564 = ""), "", IF(F1564 = "Vara", IFERROR(_xlfn.SINGLE(_xlfn.XLOOKUP(G1564, Vöruskrá!A:A, Vöruskrá!G:G, "")), ""), IF(F1564 = "Réttur", IFERROR(_xlfn.SINGLE(_xlfn.XLOOKUP(G1564, Réttabanki!A:A, Réttabanki!AU:AU, "")), ""), "")))</f>
        <v/>
      </c>
      <c r="O1564" s="26" t="str">
        <f>IF(OR(F1564 = "", G1564 = "", I1564 = ""), "", IF(F1564 = "Vara", IFERROR(_xlfn.SINGLE(_xlfn.XLOOKUP(G1564, Vöruskrá!A:A, Vöruskrá!I:I, "")) * I1564 / 100, ""), IF(F1564 = "Réttur", IFERROR(_xlfn.SINGLE(_xlfn.XLOOKUP(G1564, Réttabanki!A:A, Réttabanki!AV:AV, "")) * I1564 / 100, ""), "")))</f>
        <v/>
      </c>
      <c r="P1564" s="26" t="str">
        <f>IF(OR(F1564 = "", G1564 = "", I1564 = ""), "", IF(F1564 = "Vara", IFERROR(_xlfn.SINGLE(_xlfn.XLOOKUP(G1564, Vöruskrá!A:A, Vöruskrá!J:J, "")) * I1564 / 100, ""), IF(F1564 = "Réttur", IFERROR(_xlfn.SINGLE(_xlfn.XLOOKUP(G1564, Réttabanki!A:A, Réttabanki!AW:AW, "")) * I1564 / 100, ""), "")))</f>
        <v/>
      </c>
      <c r="Q1564" s="26" t="str">
        <f>IF(OR(F1564 = "", G1564 = "", I1564 = ""), "", IF(F1564 = "Vara", IFERROR(_xlfn.SINGLE(_xlfn.XLOOKUP(G1564, Vöruskrá!A:A, Vöruskrá!N:N, "")) * I1564 / 100, ""), IF(F1564 = "Réttur", IFERROR(_xlfn.SINGLE(_xlfn.XLOOKUP(G1564, Réttabanki!A:A, Réttabanki!BB:BB, "")) * I1564 / 100, ""), "")))</f>
        <v/>
      </c>
    </row>
    <row r="1565" spans="2:17">
      <c r="B1565" s="33" t="str">
        <f>IF(A1565&lt;&gt;"",CHOOSE(WEEKDAY(A1565,2),"Mánudagur","Þriðjudagur","Miðvikudagur","Fimmtudagur","Föstudagur","Laugardagur","Sunnudagur"),IF(B1564&lt;&gt;"",B1564,""))</f>
        <v>Fimmtudagur</v>
      </c>
      <c r="C1565" s="33">
        <f>IF(A1565&lt;&gt;"",WEEKNUM(A1565,21),IF(C1564&lt;&gt;"",C1564,""))</f>
        <v>27</v>
      </c>
      <c r="D1565" s="34"/>
      <c r="E1565" s="34"/>
      <c r="F1565" s="34"/>
      <c r="G1565" s="34"/>
      <c r="H1565" s="34"/>
      <c r="I1565" s="35"/>
      <c r="J1565" s="35"/>
      <c r="K1565" s="36"/>
      <c r="L1565" s="26" t="str">
        <f>IF(OR(F1565 = "", G1565 = ""), "", IF(F1565 = "Vara", IFERROR(_xlfn.SINGLE(_xlfn.XLOOKUP(G1565, Vöruskrá!A:A, Vöruskrá!E:E, "")), ""), IF(F1565 = "Réttur", IFERROR(_xlfn.SINGLE(_xlfn.XLOOKUP(G1565, Réttabanki!A:A, Réttabanki!AS:AS, "")), ""), "")))</f>
        <v/>
      </c>
      <c r="M1565" s="26" t="str">
        <f>IF(OR(F1565 = "", G1565 = ""), "", IF(F1565 = "Vara", IFERROR(_xlfn.SINGLE(_xlfn.XLOOKUP(G1565, Vöruskrá!A:A, Vöruskrá!F:F, "")), ""), IF(F1565 = "Réttur", IFERROR(_xlfn.SINGLE(_xlfn.XLOOKUP(G1565, Réttabanki!A:A, Réttabanki!AT:AT, "")), ""), "")))</f>
        <v/>
      </c>
      <c r="N1565" s="26" t="str">
        <f>IF(OR(F1565 = "", G1565 = ""), "", IF(F1565 = "Vara", IFERROR(_xlfn.SINGLE(_xlfn.XLOOKUP(G1565, Vöruskrá!A:A, Vöruskrá!G:G, "")), ""), IF(F1565 = "Réttur", IFERROR(_xlfn.SINGLE(_xlfn.XLOOKUP(G1565, Réttabanki!A:A, Réttabanki!AU:AU, "")), ""), "")))</f>
        <v/>
      </c>
      <c r="O1565" s="26" t="str">
        <f>IF(OR(F1565 = "", G1565 = "", I1565 = ""), "", IF(F1565 = "Vara", IFERROR(_xlfn.SINGLE(_xlfn.XLOOKUP(G1565, Vöruskrá!A:A, Vöruskrá!I:I, "")) * I1565 / 100, ""), IF(F1565 = "Réttur", IFERROR(_xlfn.SINGLE(_xlfn.XLOOKUP(G1565, Réttabanki!A:A, Réttabanki!AV:AV, "")) * I1565 / 100, ""), "")))</f>
        <v/>
      </c>
      <c r="P1565" s="26" t="str">
        <f>IF(OR(F1565 = "", G1565 = "", I1565 = ""), "", IF(F1565 = "Vara", IFERROR(_xlfn.SINGLE(_xlfn.XLOOKUP(G1565, Vöruskrá!A:A, Vöruskrá!J:J, "")) * I1565 / 100, ""), IF(F1565 = "Réttur", IFERROR(_xlfn.SINGLE(_xlfn.XLOOKUP(G1565, Réttabanki!A:A, Réttabanki!AW:AW, "")) * I1565 / 100, ""), "")))</f>
        <v/>
      </c>
      <c r="Q1565" s="26" t="str">
        <f>IF(OR(F1565 = "", G1565 = "", I1565 = ""), "", IF(F1565 = "Vara", IFERROR(_xlfn.SINGLE(_xlfn.XLOOKUP(G1565, Vöruskrá!A:A, Vöruskrá!N:N, "")) * I1565 / 100, ""), IF(F1565 = "Réttur", IFERROR(_xlfn.SINGLE(_xlfn.XLOOKUP(G1565, Réttabanki!A:A, Réttabanki!BB:BB, "")) * I1565 / 100, ""), "")))</f>
        <v/>
      </c>
    </row>
    <row r="1566" spans="2:17">
      <c r="B1566" s="33" t="str">
        <f>IF(A1566&lt;&gt;"",CHOOSE(WEEKDAY(A1566,2),"Mánudagur","Þriðjudagur","Miðvikudagur","Fimmtudagur","Föstudagur","Laugardagur","Sunnudagur"),IF(B1565&lt;&gt;"",B1565,""))</f>
        <v>Fimmtudagur</v>
      </c>
      <c r="C1566" s="33">
        <f>IF(A1566&lt;&gt;"",WEEKNUM(A1566,21),IF(C1565&lt;&gt;"",C1565,""))</f>
        <v>27</v>
      </c>
      <c r="D1566" s="34"/>
      <c r="E1566" s="34"/>
      <c r="F1566" s="34"/>
      <c r="G1566" s="34"/>
      <c r="H1566" s="34"/>
      <c r="I1566" s="35"/>
      <c r="J1566" s="35"/>
      <c r="K1566" s="36"/>
      <c r="L1566" s="26" t="str">
        <f>IF(OR(F1566 = "", G1566 = ""), "", IF(F1566 = "Vara", IFERROR(_xlfn.SINGLE(_xlfn.XLOOKUP(G1566, Vöruskrá!A:A, Vöruskrá!E:E, "")), ""), IF(F1566 = "Réttur", IFERROR(_xlfn.SINGLE(_xlfn.XLOOKUP(G1566, Réttabanki!A:A, Réttabanki!AS:AS, "")), ""), "")))</f>
        <v/>
      </c>
      <c r="M1566" s="26" t="str">
        <f>IF(OR(F1566 = "", G1566 = ""), "", IF(F1566 = "Vara", IFERROR(_xlfn.SINGLE(_xlfn.XLOOKUP(G1566, Vöruskrá!A:A, Vöruskrá!F:F, "")), ""), IF(F1566 = "Réttur", IFERROR(_xlfn.SINGLE(_xlfn.XLOOKUP(G1566, Réttabanki!A:A, Réttabanki!AT:AT, "")), ""), "")))</f>
        <v/>
      </c>
      <c r="N1566" s="26" t="str">
        <f>IF(OR(F1566 = "", G1566 = ""), "", IF(F1566 = "Vara", IFERROR(_xlfn.SINGLE(_xlfn.XLOOKUP(G1566, Vöruskrá!A:A, Vöruskrá!G:G, "")), ""), IF(F1566 = "Réttur", IFERROR(_xlfn.SINGLE(_xlfn.XLOOKUP(G1566, Réttabanki!A:A, Réttabanki!AU:AU, "")), ""), "")))</f>
        <v/>
      </c>
      <c r="O1566" s="26" t="str">
        <f>IF(OR(F1566 = "", G1566 = "", I1566 = ""), "", IF(F1566 = "Vara", IFERROR(_xlfn.SINGLE(_xlfn.XLOOKUP(G1566, Vöruskrá!A:A, Vöruskrá!I:I, "")) * I1566 / 100, ""), IF(F1566 = "Réttur", IFERROR(_xlfn.SINGLE(_xlfn.XLOOKUP(G1566, Réttabanki!A:A, Réttabanki!AV:AV, "")) * I1566 / 100, ""), "")))</f>
        <v/>
      </c>
      <c r="P1566" s="26" t="str">
        <f>IF(OR(F1566 = "", G1566 = "", I1566 = ""), "", IF(F1566 = "Vara", IFERROR(_xlfn.SINGLE(_xlfn.XLOOKUP(G1566, Vöruskrá!A:A, Vöruskrá!J:J, "")) * I1566 / 100, ""), IF(F1566 = "Réttur", IFERROR(_xlfn.SINGLE(_xlfn.XLOOKUP(G1566, Réttabanki!A:A, Réttabanki!AW:AW, "")) * I1566 / 100, ""), "")))</f>
        <v/>
      </c>
      <c r="Q1566" s="26" t="str">
        <f>IF(OR(F1566 = "", G1566 = "", I1566 = ""), "", IF(F1566 = "Vara", IFERROR(_xlfn.SINGLE(_xlfn.XLOOKUP(G1566, Vöruskrá!A:A, Vöruskrá!N:N, "")) * I1566 / 100, ""), IF(F1566 = "Réttur", IFERROR(_xlfn.SINGLE(_xlfn.XLOOKUP(G1566, Réttabanki!A:A, Réttabanki!BB:BB, "")) * I1566 / 100, ""), "")))</f>
        <v/>
      </c>
    </row>
    <row r="1567" spans="2:17">
      <c r="B1567" s="33" t="str">
        <f>IF(A1567&lt;&gt;"",CHOOSE(WEEKDAY(A1567,2),"Mánudagur","Þriðjudagur","Miðvikudagur","Fimmtudagur","Föstudagur","Laugardagur","Sunnudagur"),IF(B1566&lt;&gt;"",B1566,""))</f>
        <v>Fimmtudagur</v>
      </c>
      <c r="C1567" s="33">
        <f>IF(A1567&lt;&gt;"",WEEKNUM(A1567,21),IF(C1566&lt;&gt;"",C1566,""))</f>
        <v>27</v>
      </c>
      <c r="D1567" s="34"/>
      <c r="E1567" s="34"/>
      <c r="F1567" s="34"/>
      <c r="G1567" s="34"/>
      <c r="H1567" s="34"/>
      <c r="I1567" s="35"/>
      <c r="J1567" s="35"/>
      <c r="K1567" s="36"/>
      <c r="L1567" s="26" t="str">
        <f>IF(OR(F1567 = "", G1567 = ""), "", IF(F1567 = "Vara", IFERROR(_xlfn.SINGLE(_xlfn.XLOOKUP(G1567, Vöruskrá!A:A, Vöruskrá!E:E, "")), ""), IF(F1567 = "Réttur", IFERROR(_xlfn.SINGLE(_xlfn.XLOOKUP(G1567, Réttabanki!A:A, Réttabanki!AS:AS, "")), ""), "")))</f>
        <v/>
      </c>
      <c r="M1567" s="26" t="str">
        <f>IF(OR(F1567 = "", G1567 = ""), "", IF(F1567 = "Vara", IFERROR(_xlfn.SINGLE(_xlfn.XLOOKUP(G1567, Vöruskrá!A:A, Vöruskrá!F:F, "")), ""), IF(F1567 = "Réttur", IFERROR(_xlfn.SINGLE(_xlfn.XLOOKUP(G1567, Réttabanki!A:A, Réttabanki!AT:AT, "")), ""), "")))</f>
        <v/>
      </c>
      <c r="N1567" s="26" t="str">
        <f>IF(OR(F1567 = "", G1567 = ""), "", IF(F1567 = "Vara", IFERROR(_xlfn.SINGLE(_xlfn.XLOOKUP(G1567, Vöruskrá!A:A, Vöruskrá!G:G, "")), ""), IF(F1567 = "Réttur", IFERROR(_xlfn.SINGLE(_xlfn.XLOOKUP(G1567, Réttabanki!A:A, Réttabanki!AU:AU, "")), ""), "")))</f>
        <v/>
      </c>
      <c r="O1567" s="26" t="str">
        <f>IF(OR(F1567 = "", G1567 = "", I1567 = ""), "", IF(F1567 = "Vara", IFERROR(_xlfn.SINGLE(_xlfn.XLOOKUP(G1567, Vöruskrá!A:A, Vöruskrá!I:I, "")) * I1567 / 100, ""), IF(F1567 = "Réttur", IFERROR(_xlfn.SINGLE(_xlfn.XLOOKUP(G1567, Réttabanki!A:A, Réttabanki!AV:AV, "")) * I1567 / 100, ""), "")))</f>
        <v/>
      </c>
      <c r="P1567" s="26" t="str">
        <f>IF(OR(F1567 = "", G1567 = "", I1567 = ""), "", IF(F1567 = "Vara", IFERROR(_xlfn.SINGLE(_xlfn.XLOOKUP(G1567, Vöruskrá!A:A, Vöruskrá!J:J, "")) * I1567 / 100, ""), IF(F1567 = "Réttur", IFERROR(_xlfn.SINGLE(_xlfn.XLOOKUP(G1567, Réttabanki!A:A, Réttabanki!AW:AW, "")) * I1567 / 100, ""), "")))</f>
        <v/>
      </c>
      <c r="Q1567" s="26" t="str">
        <f>IF(OR(F1567 = "", G1567 = "", I1567 = ""), "", IF(F1567 = "Vara", IFERROR(_xlfn.SINGLE(_xlfn.XLOOKUP(G1567, Vöruskrá!A:A, Vöruskrá!N:N, "")) * I1567 / 100, ""), IF(F1567 = "Réttur", IFERROR(_xlfn.SINGLE(_xlfn.XLOOKUP(G1567, Réttabanki!A:A, Réttabanki!BB:BB, "")) * I1567 / 100, ""), "")))</f>
        <v/>
      </c>
    </row>
    <row r="1568" spans="2:17">
      <c r="B1568" s="33" t="str">
        <f>IF(A1568&lt;&gt;"",CHOOSE(WEEKDAY(A1568,2),"Mánudagur","Þriðjudagur","Miðvikudagur","Fimmtudagur","Föstudagur","Laugardagur","Sunnudagur"),IF(B1567&lt;&gt;"",B1567,""))</f>
        <v>Fimmtudagur</v>
      </c>
      <c r="C1568" s="33">
        <f>IF(A1568&lt;&gt;"",WEEKNUM(A1568,21),IF(C1567&lt;&gt;"",C1567,""))</f>
        <v>27</v>
      </c>
      <c r="D1568" s="34"/>
      <c r="E1568" s="34"/>
      <c r="F1568" s="34"/>
      <c r="G1568" s="34"/>
      <c r="H1568" s="34"/>
      <c r="I1568" s="35"/>
      <c r="J1568" s="35"/>
      <c r="K1568" s="36"/>
      <c r="L1568" s="26" t="str">
        <f>IF(OR(F1568 = "", G1568 = ""), "", IF(F1568 = "Vara", IFERROR(_xlfn.SINGLE(_xlfn.XLOOKUP(G1568, Vöruskrá!A:A, Vöruskrá!E:E, "")), ""), IF(F1568 = "Réttur", IFERROR(_xlfn.SINGLE(_xlfn.XLOOKUP(G1568, Réttabanki!A:A, Réttabanki!AS:AS, "")), ""), "")))</f>
        <v/>
      </c>
      <c r="M1568" s="26" t="str">
        <f>IF(OR(F1568 = "", G1568 = ""), "", IF(F1568 = "Vara", IFERROR(_xlfn.SINGLE(_xlfn.XLOOKUP(G1568, Vöruskrá!A:A, Vöruskrá!F:F, "")), ""), IF(F1568 = "Réttur", IFERROR(_xlfn.SINGLE(_xlfn.XLOOKUP(G1568, Réttabanki!A:A, Réttabanki!AT:AT, "")), ""), "")))</f>
        <v/>
      </c>
      <c r="N1568" s="26" t="str">
        <f>IF(OR(F1568 = "", G1568 = ""), "", IF(F1568 = "Vara", IFERROR(_xlfn.SINGLE(_xlfn.XLOOKUP(G1568, Vöruskrá!A:A, Vöruskrá!G:G, "")), ""), IF(F1568 = "Réttur", IFERROR(_xlfn.SINGLE(_xlfn.XLOOKUP(G1568, Réttabanki!A:A, Réttabanki!AU:AU, "")), ""), "")))</f>
        <v/>
      </c>
      <c r="O1568" s="26" t="str">
        <f>IF(OR(F1568 = "", G1568 = "", I1568 = ""), "", IF(F1568 = "Vara", IFERROR(_xlfn.SINGLE(_xlfn.XLOOKUP(G1568, Vöruskrá!A:A, Vöruskrá!I:I, "")) * I1568 / 100, ""), IF(F1568 = "Réttur", IFERROR(_xlfn.SINGLE(_xlfn.XLOOKUP(G1568, Réttabanki!A:A, Réttabanki!AV:AV, "")) * I1568 / 100, ""), "")))</f>
        <v/>
      </c>
      <c r="P1568" s="26" t="str">
        <f>IF(OR(F1568 = "", G1568 = "", I1568 = ""), "", IF(F1568 = "Vara", IFERROR(_xlfn.SINGLE(_xlfn.XLOOKUP(G1568, Vöruskrá!A:A, Vöruskrá!J:J, "")) * I1568 / 100, ""), IF(F1568 = "Réttur", IFERROR(_xlfn.SINGLE(_xlfn.XLOOKUP(G1568, Réttabanki!A:A, Réttabanki!AW:AW, "")) * I1568 / 100, ""), "")))</f>
        <v/>
      </c>
      <c r="Q1568" s="26" t="str">
        <f>IF(OR(F1568 = "", G1568 = "", I1568 = ""), "", IF(F1568 = "Vara", IFERROR(_xlfn.SINGLE(_xlfn.XLOOKUP(G1568, Vöruskrá!A:A, Vöruskrá!N:N, "")) * I1568 / 100, ""), IF(F1568 = "Réttur", IFERROR(_xlfn.SINGLE(_xlfn.XLOOKUP(G1568, Réttabanki!A:A, Réttabanki!BB:BB, "")) * I1568 / 100, ""), "")))</f>
        <v/>
      </c>
    </row>
    <row r="1569" spans="2:17">
      <c r="B1569" s="33" t="str">
        <f>IF(A1569&lt;&gt;"",CHOOSE(WEEKDAY(A1569,2),"Mánudagur","Þriðjudagur","Miðvikudagur","Fimmtudagur","Föstudagur","Laugardagur","Sunnudagur"),IF(B1568&lt;&gt;"",B1568,""))</f>
        <v>Fimmtudagur</v>
      </c>
      <c r="C1569" s="33">
        <f>IF(A1569&lt;&gt;"",WEEKNUM(A1569,21),IF(C1568&lt;&gt;"",C1568,""))</f>
        <v>27</v>
      </c>
      <c r="D1569" s="34"/>
      <c r="E1569" s="34"/>
      <c r="F1569" s="34"/>
      <c r="G1569" s="34"/>
      <c r="H1569" s="34"/>
      <c r="I1569" s="35"/>
      <c r="J1569" s="35"/>
      <c r="K1569" s="36"/>
      <c r="L1569" s="26" t="str">
        <f>IF(OR(F1569 = "", G1569 = ""), "", IF(F1569 = "Vara", IFERROR(_xlfn.SINGLE(_xlfn.XLOOKUP(G1569, Vöruskrá!A:A, Vöruskrá!E:E, "")), ""), IF(F1569 = "Réttur", IFERROR(_xlfn.SINGLE(_xlfn.XLOOKUP(G1569, Réttabanki!A:A, Réttabanki!AS:AS, "")), ""), "")))</f>
        <v/>
      </c>
      <c r="M1569" s="26" t="str">
        <f>IF(OR(F1569 = "", G1569 = ""), "", IF(F1569 = "Vara", IFERROR(_xlfn.SINGLE(_xlfn.XLOOKUP(G1569, Vöruskrá!A:A, Vöruskrá!F:F, "")), ""), IF(F1569 = "Réttur", IFERROR(_xlfn.SINGLE(_xlfn.XLOOKUP(G1569, Réttabanki!A:A, Réttabanki!AT:AT, "")), ""), "")))</f>
        <v/>
      </c>
      <c r="N1569" s="26" t="str">
        <f>IF(OR(F1569 = "", G1569 = ""), "", IF(F1569 = "Vara", IFERROR(_xlfn.SINGLE(_xlfn.XLOOKUP(G1569, Vöruskrá!A:A, Vöruskrá!G:G, "")), ""), IF(F1569 = "Réttur", IFERROR(_xlfn.SINGLE(_xlfn.XLOOKUP(G1569, Réttabanki!A:A, Réttabanki!AU:AU, "")), ""), "")))</f>
        <v/>
      </c>
      <c r="O1569" s="26" t="str">
        <f>IF(OR(F1569 = "", G1569 = "", I1569 = ""), "", IF(F1569 = "Vara", IFERROR(_xlfn.SINGLE(_xlfn.XLOOKUP(G1569, Vöruskrá!A:A, Vöruskrá!I:I, "")) * I1569 / 100, ""), IF(F1569 = "Réttur", IFERROR(_xlfn.SINGLE(_xlfn.XLOOKUP(G1569, Réttabanki!A:A, Réttabanki!AV:AV, "")) * I1569 / 100, ""), "")))</f>
        <v/>
      </c>
      <c r="P1569" s="26" t="str">
        <f>IF(OR(F1569 = "", G1569 = "", I1569 = ""), "", IF(F1569 = "Vara", IFERROR(_xlfn.SINGLE(_xlfn.XLOOKUP(G1569, Vöruskrá!A:A, Vöruskrá!J:J, "")) * I1569 / 100, ""), IF(F1569 = "Réttur", IFERROR(_xlfn.SINGLE(_xlfn.XLOOKUP(G1569, Réttabanki!A:A, Réttabanki!AW:AW, "")) * I1569 / 100, ""), "")))</f>
        <v/>
      </c>
      <c r="Q1569" s="26" t="str">
        <f>IF(OR(F1569 = "", G1569 = "", I1569 = ""), "", IF(F1569 = "Vara", IFERROR(_xlfn.SINGLE(_xlfn.XLOOKUP(G1569, Vöruskrá!A:A, Vöruskrá!N:N, "")) * I1569 / 100, ""), IF(F1569 = "Réttur", IFERROR(_xlfn.SINGLE(_xlfn.XLOOKUP(G1569, Réttabanki!A:A, Réttabanki!BB:BB, "")) * I1569 / 100, ""), "")))</f>
        <v/>
      </c>
    </row>
    <row r="1570" spans="2:17">
      <c r="B1570" s="33" t="str">
        <f>IF(A1570&lt;&gt;"",CHOOSE(WEEKDAY(A1570,2),"Mánudagur","Þriðjudagur","Miðvikudagur","Fimmtudagur","Föstudagur","Laugardagur","Sunnudagur"),IF(B1569&lt;&gt;"",B1569,""))</f>
        <v>Fimmtudagur</v>
      </c>
      <c r="C1570" s="33">
        <f>IF(A1570&lt;&gt;"",WEEKNUM(A1570,21),IF(C1569&lt;&gt;"",C1569,""))</f>
        <v>27</v>
      </c>
      <c r="D1570" s="34"/>
      <c r="E1570" s="34"/>
      <c r="F1570" s="34"/>
      <c r="G1570" s="34"/>
      <c r="H1570" s="34"/>
      <c r="I1570" s="35"/>
      <c r="J1570" s="35"/>
      <c r="K1570" s="36"/>
      <c r="L1570" s="26" t="str">
        <f>IF(OR(F1570 = "", G1570 = ""), "", IF(F1570 = "Vara", IFERROR(_xlfn.SINGLE(_xlfn.XLOOKUP(G1570, Vöruskrá!A:A, Vöruskrá!E:E, "")), ""), IF(F1570 = "Réttur", IFERROR(_xlfn.SINGLE(_xlfn.XLOOKUP(G1570, Réttabanki!A:A, Réttabanki!AS:AS, "")), ""), "")))</f>
        <v/>
      </c>
      <c r="M1570" s="26" t="str">
        <f>IF(OR(F1570 = "", G1570 = ""), "", IF(F1570 = "Vara", IFERROR(_xlfn.SINGLE(_xlfn.XLOOKUP(G1570, Vöruskrá!A:A, Vöruskrá!F:F, "")), ""), IF(F1570 = "Réttur", IFERROR(_xlfn.SINGLE(_xlfn.XLOOKUP(G1570, Réttabanki!A:A, Réttabanki!AT:AT, "")), ""), "")))</f>
        <v/>
      </c>
      <c r="N1570" s="26" t="str">
        <f>IF(OR(F1570 = "", G1570 = ""), "", IF(F1570 = "Vara", IFERROR(_xlfn.SINGLE(_xlfn.XLOOKUP(G1570, Vöruskrá!A:A, Vöruskrá!G:G, "")), ""), IF(F1570 = "Réttur", IFERROR(_xlfn.SINGLE(_xlfn.XLOOKUP(G1570, Réttabanki!A:A, Réttabanki!AU:AU, "")), ""), "")))</f>
        <v/>
      </c>
      <c r="O1570" s="26" t="str">
        <f>IF(OR(F1570 = "", G1570 = "", I1570 = ""), "", IF(F1570 = "Vara", IFERROR(_xlfn.SINGLE(_xlfn.XLOOKUP(G1570, Vöruskrá!A:A, Vöruskrá!I:I, "")) * I1570 / 100, ""), IF(F1570 = "Réttur", IFERROR(_xlfn.SINGLE(_xlfn.XLOOKUP(G1570, Réttabanki!A:A, Réttabanki!AV:AV, "")) * I1570 / 100, ""), "")))</f>
        <v/>
      </c>
      <c r="P1570" s="26" t="str">
        <f>IF(OR(F1570 = "", G1570 = "", I1570 = ""), "", IF(F1570 = "Vara", IFERROR(_xlfn.SINGLE(_xlfn.XLOOKUP(G1570, Vöruskrá!A:A, Vöruskrá!J:J, "")) * I1570 / 100, ""), IF(F1570 = "Réttur", IFERROR(_xlfn.SINGLE(_xlfn.XLOOKUP(G1570, Réttabanki!A:A, Réttabanki!AW:AW, "")) * I1570 / 100, ""), "")))</f>
        <v/>
      </c>
      <c r="Q1570" s="26" t="str">
        <f>IF(OR(F1570 = "", G1570 = "", I1570 = ""), "", IF(F1570 = "Vara", IFERROR(_xlfn.SINGLE(_xlfn.XLOOKUP(G1570, Vöruskrá!A:A, Vöruskrá!N:N, "")) * I1570 / 100, ""), IF(F1570 = "Réttur", IFERROR(_xlfn.SINGLE(_xlfn.XLOOKUP(G1570, Réttabanki!A:A, Réttabanki!BB:BB, "")) * I1570 / 100, ""), "")))</f>
        <v/>
      </c>
    </row>
    <row r="1571" spans="2:17">
      <c r="B1571" s="33" t="str">
        <f>IF(A1571&lt;&gt;"",CHOOSE(WEEKDAY(A1571,2),"Mánudagur","Þriðjudagur","Miðvikudagur","Fimmtudagur","Föstudagur","Laugardagur","Sunnudagur"),IF(B1570&lt;&gt;"",B1570,""))</f>
        <v>Fimmtudagur</v>
      </c>
      <c r="C1571" s="33">
        <f>IF(A1571&lt;&gt;"",WEEKNUM(A1571,21),IF(C1570&lt;&gt;"",C1570,""))</f>
        <v>27</v>
      </c>
      <c r="D1571" s="34"/>
      <c r="E1571" s="34"/>
      <c r="F1571" s="34"/>
      <c r="G1571" s="34"/>
      <c r="H1571" s="34"/>
      <c r="I1571" s="35"/>
      <c r="J1571" s="35"/>
      <c r="K1571" s="36"/>
      <c r="L1571" s="26" t="str">
        <f>IF(OR(F1571 = "", G1571 = ""), "", IF(F1571 = "Vara", IFERROR(_xlfn.SINGLE(_xlfn.XLOOKUP(G1571, Vöruskrá!A:A, Vöruskrá!E:E, "")), ""), IF(F1571 = "Réttur", IFERROR(_xlfn.SINGLE(_xlfn.XLOOKUP(G1571, Réttabanki!A:A, Réttabanki!AS:AS, "")), ""), "")))</f>
        <v/>
      </c>
      <c r="M1571" s="26" t="str">
        <f>IF(OR(F1571 = "", G1571 = ""), "", IF(F1571 = "Vara", IFERROR(_xlfn.SINGLE(_xlfn.XLOOKUP(G1571, Vöruskrá!A:A, Vöruskrá!F:F, "")), ""), IF(F1571 = "Réttur", IFERROR(_xlfn.SINGLE(_xlfn.XLOOKUP(G1571, Réttabanki!A:A, Réttabanki!AT:AT, "")), ""), "")))</f>
        <v/>
      </c>
      <c r="N1571" s="26" t="str">
        <f>IF(OR(F1571 = "", G1571 = ""), "", IF(F1571 = "Vara", IFERROR(_xlfn.SINGLE(_xlfn.XLOOKUP(G1571, Vöruskrá!A:A, Vöruskrá!G:G, "")), ""), IF(F1571 = "Réttur", IFERROR(_xlfn.SINGLE(_xlfn.XLOOKUP(G1571, Réttabanki!A:A, Réttabanki!AU:AU, "")), ""), "")))</f>
        <v/>
      </c>
      <c r="O1571" s="26" t="str">
        <f>IF(OR(F1571 = "", G1571 = "", I1571 = ""), "", IF(F1571 = "Vara", IFERROR(_xlfn.SINGLE(_xlfn.XLOOKUP(G1571, Vöruskrá!A:A, Vöruskrá!I:I, "")) * I1571 / 100, ""), IF(F1571 = "Réttur", IFERROR(_xlfn.SINGLE(_xlfn.XLOOKUP(G1571, Réttabanki!A:A, Réttabanki!AV:AV, "")) * I1571 / 100, ""), "")))</f>
        <v/>
      </c>
      <c r="P1571" s="26" t="str">
        <f>IF(OR(F1571 = "", G1571 = "", I1571 = ""), "", IF(F1571 = "Vara", IFERROR(_xlfn.SINGLE(_xlfn.XLOOKUP(G1571, Vöruskrá!A:A, Vöruskrá!J:J, "")) * I1571 / 100, ""), IF(F1571 = "Réttur", IFERROR(_xlfn.SINGLE(_xlfn.XLOOKUP(G1571, Réttabanki!A:A, Réttabanki!AW:AW, "")) * I1571 / 100, ""), "")))</f>
        <v/>
      </c>
      <c r="Q1571" s="26" t="str">
        <f>IF(OR(F1571 = "", G1571 = "", I1571 = ""), "", IF(F1571 = "Vara", IFERROR(_xlfn.SINGLE(_xlfn.XLOOKUP(G1571, Vöruskrá!A:A, Vöruskrá!N:N, "")) * I1571 / 100, ""), IF(F1571 = "Réttur", IFERROR(_xlfn.SINGLE(_xlfn.XLOOKUP(G1571, Réttabanki!A:A, Réttabanki!BB:BB, "")) * I1571 / 100, ""), "")))</f>
        <v/>
      </c>
    </row>
    <row r="1572" spans="2:17">
      <c r="B1572" s="33" t="str">
        <f>IF(A1572&lt;&gt;"",CHOOSE(WEEKDAY(A1572,2),"Mánudagur","Þriðjudagur","Miðvikudagur","Fimmtudagur","Föstudagur","Laugardagur","Sunnudagur"),IF(B1571&lt;&gt;"",B1571,""))</f>
        <v>Fimmtudagur</v>
      </c>
      <c r="C1572" s="33">
        <f>IF(A1572&lt;&gt;"",WEEKNUM(A1572,21),IF(C1571&lt;&gt;"",C1571,""))</f>
        <v>27</v>
      </c>
      <c r="D1572" s="34"/>
      <c r="E1572" s="34"/>
      <c r="F1572" s="34"/>
      <c r="G1572" s="34"/>
      <c r="H1572" s="34"/>
      <c r="I1572" s="35"/>
      <c r="J1572" s="35"/>
      <c r="K1572" s="36"/>
      <c r="L1572" s="26" t="str">
        <f>IF(OR(F1572 = "", G1572 = ""), "", IF(F1572 = "Vara", IFERROR(_xlfn.SINGLE(_xlfn.XLOOKUP(G1572, Vöruskrá!A:A, Vöruskrá!E:E, "")), ""), IF(F1572 = "Réttur", IFERROR(_xlfn.SINGLE(_xlfn.XLOOKUP(G1572, Réttabanki!A:A, Réttabanki!AS:AS, "")), ""), "")))</f>
        <v/>
      </c>
      <c r="M1572" s="26" t="str">
        <f>IF(OR(F1572 = "", G1572 = ""), "", IF(F1572 = "Vara", IFERROR(_xlfn.SINGLE(_xlfn.XLOOKUP(G1572, Vöruskrá!A:A, Vöruskrá!F:F, "")), ""), IF(F1572 = "Réttur", IFERROR(_xlfn.SINGLE(_xlfn.XLOOKUP(G1572, Réttabanki!A:A, Réttabanki!AT:AT, "")), ""), "")))</f>
        <v/>
      </c>
      <c r="N1572" s="26" t="str">
        <f>IF(OR(F1572 = "", G1572 = ""), "", IF(F1572 = "Vara", IFERROR(_xlfn.SINGLE(_xlfn.XLOOKUP(G1572, Vöruskrá!A:A, Vöruskrá!G:G, "")), ""), IF(F1572 = "Réttur", IFERROR(_xlfn.SINGLE(_xlfn.XLOOKUP(G1572, Réttabanki!A:A, Réttabanki!AU:AU, "")), ""), "")))</f>
        <v/>
      </c>
      <c r="O1572" s="26" t="str">
        <f>IF(OR(F1572 = "", G1572 = "", I1572 = ""), "", IF(F1572 = "Vara", IFERROR(_xlfn.SINGLE(_xlfn.XLOOKUP(G1572, Vöruskrá!A:A, Vöruskrá!I:I, "")) * I1572 / 100, ""), IF(F1572 = "Réttur", IFERROR(_xlfn.SINGLE(_xlfn.XLOOKUP(G1572, Réttabanki!A:A, Réttabanki!AV:AV, "")) * I1572 / 100, ""), "")))</f>
        <v/>
      </c>
      <c r="P1572" s="26" t="str">
        <f>IF(OR(F1572 = "", G1572 = "", I1572 = ""), "", IF(F1572 = "Vara", IFERROR(_xlfn.SINGLE(_xlfn.XLOOKUP(G1572, Vöruskrá!A:A, Vöruskrá!J:J, "")) * I1572 / 100, ""), IF(F1572 = "Réttur", IFERROR(_xlfn.SINGLE(_xlfn.XLOOKUP(G1572, Réttabanki!A:A, Réttabanki!AW:AW, "")) * I1572 / 100, ""), "")))</f>
        <v/>
      </c>
      <c r="Q1572" s="26" t="str">
        <f>IF(OR(F1572 = "", G1572 = "", I1572 = ""), "", IF(F1572 = "Vara", IFERROR(_xlfn.SINGLE(_xlfn.XLOOKUP(G1572, Vöruskrá!A:A, Vöruskrá!N:N, "")) * I1572 / 100, ""), IF(F1572 = "Réttur", IFERROR(_xlfn.SINGLE(_xlfn.XLOOKUP(G1572, Réttabanki!A:A, Réttabanki!BB:BB, "")) * I1572 / 100, ""), "")))</f>
        <v/>
      </c>
    </row>
    <row r="1573" spans="2:17">
      <c r="B1573" s="33" t="str">
        <f>IF(A1573&lt;&gt;"",CHOOSE(WEEKDAY(A1573,2),"Mánudagur","Þriðjudagur","Miðvikudagur","Fimmtudagur","Föstudagur","Laugardagur","Sunnudagur"),IF(B1572&lt;&gt;"",B1572,""))</f>
        <v>Fimmtudagur</v>
      </c>
      <c r="C1573" s="33">
        <f>IF(A1573&lt;&gt;"",WEEKNUM(A1573,21),IF(C1572&lt;&gt;"",C1572,""))</f>
        <v>27</v>
      </c>
      <c r="D1573" s="34"/>
      <c r="E1573" s="34"/>
      <c r="F1573" s="34"/>
      <c r="G1573" s="34"/>
      <c r="H1573" s="34"/>
      <c r="I1573" s="35"/>
      <c r="J1573" s="35"/>
      <c r="K1573" s="36"/>
      <c r="L1573" s="26" t="str">
        <f>IF(OR(F1573 = "", G1573 = ""), "", IF(F1573 = "Vara", IFERROR(_xlfn.SINGLE(_xlfn.XLOOKUP(G1573, Vöruskrá!A:A, Vöruskrá!E:E, "")), ""), IF(F1573 = "Réttur", IFERROR(_xlfn.SINGLE(_xlfn.XLOOKUP(G1573, Réttabanki!A:A, Réttabanki!AS:AS, "")), ""), "")))</f>
        <v/>
      </c>
      <c r="M1573" s="26" t="str">
        <f>IF(OR(F1573 = "", G1573 = ""), "", IF(F1573 = "Vara", IFERROR(_xlfn.SINGLE(_xlfn.XLOOKUP(G1573, Vöruskrá!A:A, Vöruskrá!F:F, "")), ""), IF(F1573 = "Réttur", IFERROR(_xlfn.SINGLE(_xlfn.XLOOKUP(G1573, Réttabanki!A:A, Réttabanki!AT:AT, "")), ""), "")))</f>
        <v/>
      </c>
      <c r="N1573" s="26" t="str">
        <f>IF(OR(F1573 = "", G1573 = ""), "", IF(F1573 = "Vara", IFERROR(_xlfn.SINGLE(_xlfn.XLOOKUP(G1573, Vöruskrá!A:A, Vöruskrá!G:G, "")), ""), IF(F1573 = "Réttur", IFERROR(_xlfn.SINGLE(_xlfn.XLOOKUP(G1573, Réttabanki!A:A, Réttabanki!AU:AU, "")), ""), "")))</f>
        <v/>
      </c>
      <c r="O1573" s="26" t="str">
        <f>IF(OR(F1573 = "", G1573 = "", I1573 = ""), "", IF(F1573 = "Vara", IFERROR(_xlfn.SINGLE(_xlfn.XLOOKUP(G1573, Vöruskrá!A:A, Vöruskrá!I:I, "")) * I1573 / 100, ""), IF(F1573 = "Réttur", IFERROR(_xlfn.SINGLE(_xlfn.XLOOKUP(G1573, Réttabanki!A:A, Réttabanki!AV:AV, "")) * I1573 / 100, ""), "")))</f>
        <v/>
      </c>
      <c r="P1573" s="26" t="str">
        <f>IF(OR(F1573 = "", G1573 = "", I1573 = ""), "", IF(F1573 = "Vara", IFERROR(_xlfn.SINGLE(_xlfn.XLOOKUP(G1573, Vöruskrá!A:A, Vöruskrá!J:J, "")) * I1573 / 100, ""), IF(F1573 = "Réttur", IFERROR(_xlfn.SINGLE(_xlfn.XLOOKUP(G1573, Réttabanki!A:A, Réttabanki!AW:AW, "")) * I1573 / 100, ""), "")))</f>
        <v/>
      </c>
      <c r="Q1573" s="26" t="str">
        <f>IF(OR(F1573 = "", G1573 = "", I1573 = ""), "", IF(F1573 = "Vara", IFERROR(_xlfn.SINGLE(_xlfn.XLOOKUP(G1573, Vöruskrá!A:A, Vöruskrá!N:N, "")) * I1573 / 100, ""), IF(F1573 = "Réttur", IFERROR(_xlfn.SINGLE(_xlfn.XLOOKUP(G1573, Réttabanki!A:A, Réttabanki!BB:BB, "")) * I1573 / 100, ""), "")))</f>
        <v/>
      </c>
    </row>
    <row r="1574" spans="2:17">
      <c r="B1574" s="33" t="str">
        <f>IF(A1574&lt;&gt;"",CHOOSE(WEEKDAY(A1574,2),"Mánudagur","Þriðjudagur","Miðvikudagur","Fimmtudagur","Föstudagur","Laugardagur","Sunnudagur"),IF(B1573&lt;&gt;"",B1573,""))</f>
        <v>Fimmtudagur</v>
      </c>
      <c r="C1574" s="33">
        <f>IF(A1574&lt;&gt;"",WEEKNUM(A1574,21),IF(C1573&lt;&gt;"",C1573,""))</f>
        <v>27</v>
      </c>
      <c r="D1574" s="34"/>
      <c r="E1574" s="34"/>
      <c r="F1574" s="34"/>
      <c r="G1574" s="34"/>
      <c r="H1574" s="34"/>
      <c r="I1574" s="35"/>
      <c r="J1574" s="35"/>
      <c r="K1574" s="36"/>
      <c r="L1574" s="26" t="str">
        <f>IF(OR(F1574 = "", G1574 = ""), "", IF(F1574 = "Vara", IFERROR(_xlfn.SINGLE(_xlfn.XLOOKUP(G1574, Vöruskrá!A:A, Vöruskrá!E:E, "")), ""), IF(F1574 = "Réttur", IFERROR(_xlfn.SINGLE(_xlfn.XLOOKUP(G1574, Réttabanki!A:A, Réttabanki!AS:AS, "")), ""), "")))</f>
        <v/>
      </c>
      <c r="M1574" s="26" t="str">
        <f>IF(OR(F1574 = "", G1574 = ""), "", IF(F1574 = "Vara", IFERROR(_xlfn.SINGLE(_xlfn.XLOOKUP(G1574, Vöruskrá!A:A, Vöruskrá!F:F, "")), ""), IF(F1574 = "Réttur", IFERROR(_xlfn.SINGLE(_xlfn.XLOOKUP(G1574, Réttabanki!A:A, Réttabanki!AT:AT, "")), ""), "")))</f>
        <v/>
      </c>
      <c r="N1574" s="26" t="str">
        <f>IF(OR(F1574 = "", G1574 = ""), "", IF(F1574 = "Vara", IFERROR(_xlfn.SINGLE(_xlfn.XLOOKUP(G1574, Vöruskrá!A:A, Vöruskrá!G:G, "")), ""), IF(F1574 = "Réttur", IFERROR(_xlfn.SINGLE(_xlfn.XLOOKUP(G1574, Réttabanki!A:A, Réttabanki!AU:AU, "")), ""), "")))</f>
        <v/>
      </c>
      <c r="O1574" s="26" t="str">
        <f>IF(OR(F1574 = "", G1574 = "", I1574 = ""), "", IF(F1574 = "Vara", IFERROR(_xlfn.SINGLE(_xlfn.XLOOKUP(G1574, Vöruskrá!A:A, Vöruskrá!I:I, "")) * I1574 / 100, ""), IF(F1574 = "Réttur", IFERROR(_xlfn.SINGLE(_xlfn.XLOOKUP(G1574, Réttabanki!A:A, Réttabanki!AV:AV, "")) * I1574 / 100, ""), "")))</f>
        <v/>
      </c>
      <c r="P1574" s="26" t="str">
        <f>IF(OR(F1574 = "", G1574 = "", I1574 = ""), "", IF(F1574 = "Vara", IFERROR(_xlfn.SINGLE(_xlfn.XLOOKUP(G1574, Vöruskrá!A:A, Vöruskrá!J:J, "")) * I1574 / 100, ""), IF(F1574 = "Réttur", IFERROR(_xlfn.SINGLE(_xlfn.XLOOKUP(G1574, Réttabanki!A:A, Réttabanki!AW:AW, "")) * I1574 / 100, ""), "")))</f>
        <v/>
      </c>
      <c r="Q1574" s="26" t="str">
        <f>IF(OR(F1574 = "", G1574 = "", I1574 = ""), "", IF(F1574 = "Vara", IFERROR(_xlfn.SINGLE(_xlfn.XLOOKUP(G1574, Vöruskrá!A:A, Vöruskrá!N:N, "")) * I1574 / 100, ""), IF(F1574 = "Réttur", IFERROR(_xlfn.SINGLE(_xlfn.XLOOKUP(G1574, Réttabanki!A:A, Réttabanki!BB:BB, "")) * I1574 / 100, ""), "")))</f>
        <v/>
      </c>
    </row>
    <row r="1575" spans="2:17">
      <c r="B1575" s="33" t="str">
        <f>IF(A1575&lt;&gt;"",CHOOSE(WEEKDAY(A1575,2),"Mánudagur","Þriðjudagur","Miðvikudagur","Fimmtudagur","Föstudagur","Laugardagur","Sunnudagur"),IF(B1574&lt;&gt;"",B1574,""))</f>
        <v>Fimmtudagur</v>
      </c>
      <c r="C1575" s="33">
        <f>IF(A1575&lt;&gt;"",WEEKNUM(A1575,21),IF(C1574&lt;&gt;"",C1574,""))</f>
        <v>27</v>
      </c>
      <c r="D1575" s="34"/>
      <c r="E1575" s="34"/>
      <c r="F1575" s="34"/>
      <c r="G1575" s="34"/>
      <c r="H1575" s="34"/>
      <c r="I1575" s="35"/>
      <c r="J1575" s="35"/>
      <c r="K1575" s="36"/>
      <c r="L1575" s="26" t="str">
        <f>IF(OR(F1575 = "", G1575 = ""), "", IF(F1575 = "Vara", IFERROR(_xlfn.SINGLE(_xlfn.XLOOKUP(G1575, Vöruskrá!A:A, Vöruskrá!E:E, "")), ""), IF(F1575 = "Réttur", IFERROR(_xlfn.SINGLE(_xlfn.XLOOKUP(G1575, Réttabanki!A:A, Réttabanki!AS:AS, "")), ""), "")))</f>
        <v/>
      </c>
      <c r="M1575" s="26" t="str">
        <f>IF(OR(F1575 = "", G1575 = ""), "", IF(F1575 = "Vara", IFERROR(_xlfn.SINGLE(_xlfn.XLOOKUP(G1575, Vöruskrá!A:A, Vöruskrá!F:F, "")), ""), IF(F1575 = "Réttur", IFERROR(_xlfn.SINGLE(_xlfn.XLOOKUP(G1575, Réttabanki!A:A, Réttabanki!AT:AT, "")), ""), "")))</f>
        <v/>
      </c>
      <c r="N1575" s="26" t="str">
        <f>IF(OR(F1575 = "", G1575 = ""), "", IF(F1575 = "Vara", IFERROR(_xlfn.SINGLE(_xlfn.XLOOKUP(G1575, Vöruskrá!A:A, Vöruskrá!G:G, "")), ""), IF(F1575 = "Réttur", IFERROR(_xlfn.SINGLE(_xlfn.XLOOKUP(G1575, Réttabanki!A:A, Réttabanki!AU:AU, "")), ""), "")))</f>
        <v/>
      </c>
      <c r="O1575" s="26" t="str">
        <f>IF(OR(F1575 = "", G1575 = "", I1575 = ""), "", IF(F1575 = "Vara", IFERROR(_xlfn.SINGLE(_xlfn.XLOOKUP(G1575, Vöruskrá!A:A, Vöruskrá!I:I, "")) * I1575 / 100, ""), IF(F1575 = "Réttur", IFERROR(_xlfn.SINGLE(_xlfn.XLOOKUP(G1575, Réttabanki!A:A, Réttabanki!AV:AV, "")) * I1575 / 100, ""), "")))</f>
        <v/>
      </c>
      <c r="P1575" s="26" t="str">
        <f>IF(OR(F1575 = "", G1575 = "", I1575 = ""), "", IF(F1575 = "Vara", IFERROR(_xlfn.SINGLE(_xlfn.XLOOKUP(G1575, Vöruskrá!A:A, Vöruskrá!J:J, "")) * I1575 / 100, ""), IF(F1575 = "Réttur", IFERROR(_xlfn.SINGLE(_xlfn.XLOOKUP(G1575, Réttabanki!A:A, Réttabanki!AW:AW, "")) * I1575 / 100, ""), "")))</f>
        <v/>
      </c>
      <c r="Q1575" s="26" t="str">
        <f>IF(OR(F1575 = "", G1575 = "", I1575 = ""), "", IF(F1575 = "Vara", IFERROR(_xlfn.SINGLE(_xlfn.XLOOKUP(G1575, Vöruskrá!A:A, Vöruskrá!N:N, "")) * I1575 / 100, ""), IF(F1575 = "Réttur", IFERROR(_xlfn.SINGLE(_xlfn.XLOOKUP(G1575, Réttabanki!A:A, Réttabanki!BB:BB, "")) * I1575 / 100, ""), "")))</f>
        <v/>
      </c>
    </row>
    <row r="1576" spans="2:17">
      <c r="B1576" s="33" t="str">
        <f>IF(A1576&lt;&gt;"",CHOOSE(WEEKDAY(A1576,2),"Mánudagur","Þriðjudagur","Miðvikudagur","Fimmtudagur","Föstudagur","Laugardagur","Sunnudagur"),IF(B1575&lt;&gt;"",B1575,""))</f>
        <v>Fimmtudagur</v>
      </c>
      <c r="C1576" s="33">
        <f>IF(A1576&lt;&gt;"",WEEKNUM(A1576,21),IF(C1575&lt;&gt;"",C1575,""))</f>
        <v>27</v>
      </c>
      <c r="D1576" s="34"/>
      <c r="E1576" s="34"/>
      <c r="F1576" s="34"/>
      <c r="G1576" s="34"/>
      <c r="H1576" s="34"/>
      <c r="I1576" s="35"/>
      <c r="J1576" s="35"/>
      <c r="K1576" s="36"/>
      <c r="L1576" s="26" t="str">
        <f>IF(OR(F1576 = "", G1576 = ""), "", IF(F1576 = "Vara", IFERROR(_xlfn.SINGLE(_xlfn.XLOOKUP(G1576, Vöruskrá!A:A, Vöruskrá!E:E, "")), ""), IF(F1576 = "Réttur", IFERROR(_xlfn.SINGLE(_xlfn.XLOOKUP(G1576, Réttabanki!A:A, Réttabanki!AS:AS, "")), ""), "")))</f>
        <v/>
      </c>
      <c r="M1576" s="26" t="str">
        <f>IF(OR(F1576 = "", G1576 = ""), "", IF(F1576 = "Vara", IFERROR(_xlfn.SINGLE(_xlfn.XLOOKUP(G1576, Vöruskrá!A:A, Vöruskrá!F:F, "")), ""), IF(F1576 = "Réttur", IFERROR(_xlfn.SINGLE(_xlfn.XLOOKUP(G1576, Réttabanki!A:A, Réttabanki!AT:AT, "")), ""), "")))</f>
        <v/>
      </c>
      <c r="N1576" s="26" t="str">
        <f>IF(OR(F1576 = "", G1576 = ""), "", IF(F1576 = "Vara", IFERROR(_xlfn.SINGLE(_xlfn.XLOOKUP(G1576, Vöruskrá!A:A, Vöruskrá!G:G, "")), ""), IF(F1576 = "Réttur", IFERROR(_xlfn.SINGLE(_xlfn.XLOOKUP(G1576, Réttabanki!A:A, Réttabanki!AU:AU, "")), ""), "")))</f>
        <v/>
      </c>
      <c r="O1576" s="26" t="str">
        <f>IF(OR(F1576 = "", G1576 = "", I1576 = ""), "", IF(F1576 = "Vara", IFERROR(_xlfn.SINGLE(_xlfn.XLOOKUP(G1576, Vöruskrá!A:A, Vöruskrá!I:I, "")) * I1576 / 100, ""), IF(F1576 = "Réttur", IFERROR(_xlfn.SINGLE(_xlfn.XLOOKUP(G1576, Réttabanki!A:A, Réttabanki!AV:AV, "")) * I1576 / 100, ""), "")))</f>
        <v/>
      </c>
      <c r="P1576" s="26" t="str">
        <f>IF(OR(F1576 = "", G1576 = "", I1576 = ""), "", IF(F1576 = "Vara", IFERROR(_xlfn.SINGLE(_xlfn.XLOOKUP(G1576, Vöruskrá!A:A, Vöruskrá!J:J, "")) * I1576 / 100, ""), IF(F1576 = "Réttur", IFERROR(_xlfn.SINGLE(_xlfn.XLOOKUP(G1576, Réttabanki!A:A, Réttabanki!AW:AW, "")) * I1576 / 100, ""), "")))</f>
        <v/>
      </c>
      <c r="Q1576" s="26" t="str">
        <f>IF(OR(F1576 = "", G1576 = "", I1576 = ""), "", IF(F1576 = "Vara", IFERROR(_xlfn.SINGLE(_xlfn.XLOOKUP(G1576, Vöruskrá!A:A, Vöruskrá!N:N, "")) * I1576 / 100, ""), IF(F1576 = "Réttur", IFERROR(_xlfn.SINGLE(_xlfn.XLOOKUP(G1576, Réttabanki!A:A, Réttabanki!BB:BB, "")) * I1576 / 100, ""), "")))</f>
        <v/>
      </c>
    </row>
    <row r="1577" spans="2:17">
      <c r="B1577" s="33" t="str">
        <f>IF(A1577&lt;&gt;"",CHOOSE(WEEKDAY(A1577,2),"Mánudagur","Þriðjudagur","Miðvikudagur","Fimmtudagur","Föstudagur","Laugardagur","Sunnudagur"),IF(B1576&lt;&gt;"",B1576,""))</f>
        <v>Fimmtudagur</v>
      </c>
      <c r="C1577" s="33">
        <f>IF(A1577&lt;&gt;"",WEEKNUM(A1577,21),IF(C1576&lt;&gt;"",C1576,""))</f>
        <v>27</v>
      </c>
      <c r="D1577" s="34"/>
      <c r="E1577" s="34"/>
      <c r="F1577" s="34"/>
      <c r="G1577" s="34"/>
      <c r="H1577" s="34"/>
      <c r="I1577" s="35"/>
      <c r="J1577" s="35"/>
      <c r="K1577" s="36"/>
      <c r="L1577" s="26" t="str">
        <f>IF(OR(F1577 = "", G1577 = ""), "", IF(F1577 = "Vara", IFERROR(_xlfn.SINGLE(_xlfn.XLOOKUP(G1577, Vöruskrá!A:A, Vöruskrá!E:E, "")), ""), IF(F1577 = "Réttur", IFERROR(_xlfn.SINGLE(_xlfn.XLOOKUP(G1577, Réttabanki!A:A, Réttabanki!AS:AS, "")), ""), "")))</f>
        <v/>
      </c>
      <c r="M1577" s="26" t="str">
        <f>IF(OR(F1577 = "", G1577 = ""), "", IF(F1577 = "Vara", IFERROR(_xlfn.SINGLE(_xlfn.XLOOKUP(G1577, Vöruskrá!A:A, Vöruskrá!F:F, "")), ""), IF(F1577 = "Réttur", IFERROR(_xlfn.SINGLE(_xlfn.XLOOKUP(G1577, Réttabanki!A:A, Réttabanki!AT:AT, "")), ""), "")))</f>
        <v/>
      </c>
      <c r="N1577" s="26" t="str">
        <f>IF(OR(F1577 = "", G1577 = ""), "", IF(F1577 = "Vara", IFERROR(_xlfn.SINGLE(_xlfn.XLOOKUP(G1577, Vöruskrá!A:A, Vöruskrá!G:G, "")), ""), IF(F1577 = "Réttur", IFERROR(_xlfn.SINGLE(_xlfn.XLOOKUP(G1577, Réttabanki!A:A, Réttabanki!AU:AU, "")), ""), "")))</f>
        <v/>
      </c>
      <c r="O1577" s="26" t="str">
        <f>IF(OR(F1577 = "", G1577 = "", I1577 = ""), "", IF(F1577 = "Vara", IFERROR(_xlfn.SINGLE(_xlfn.XLOOKUP(G1577, Vöruskrá!A:A, Vöruskrá!I:I, "")) * I1577 / 100, ""), IF(F1577 = "Réttur", IFERROR(_xlfn.SINGLE(_xlfn.XLOOKUP(G1577, Réttabanki!A:A, Réttabanki!AV:AV, "")) * I1577 / 100, ""), "")))</f>
        <v/>
      </c>
      <c r="P1577" s="26" t="str">
        <f>IF(OR(F1577 = "", G1577 = "", I1577 = ""), "", IF(F1577 = "Vara", IFERROR(_xlfn.SINGLE(_xlfn.XLOOKUP(G1577, Vöruskrá!A:A, Vöruskrá!J:J, "")) * I1577 / 100, ""), IF(F1577 = "Réttur", IFERROR(_xlfn.SINGLE(_xlfn.XLOOKUP(G1577, Réttabanki!A:A, Réttabanki!AW:AW, "")) * I1577 / 100, ""), "")))</f>
        <v/>
      </c>
      <c r="Q1577" s="26" t="str">
        <f>IF(OR(F1577 = "", G1577 = "", I1577 = ""), "", IF(F1577 = "Vara", IFERROR(_xlfn.SINGLE(_xlfn.XLOOKUP(G1577, Vöruskrá!A:A, Vöruskrá!N:N, "")) * I1577 / 100, ""), IF(F1577 = "Réttur", IFERROR(_xlfn.SINGLE(_xlfn.XLOOKUP(G1577, Réttabanki!A:A, Réttabanki!BB:BB, "")) * I1577 / 100, ""), "")))</f>
        <v/>
      </c>
    </row>
    <row r="1578" spans="2:17">
      <c r="B1578" s="33" t="str">
        <f>IF(A1578&lt;&gt;"",CHOOSE(WEEKDAY(A1578,2),"Mánudagur","Þriðjudagur","Miðvikudagur","Fimmtudagur","Föstudagur","Laugardagur","Sunnudagur"),IF(B1577&lt;&gt;"",B1577,""))</f>
        <v>Fimmtudagur</v>
      </c>
      <c r="C1578" s="33">
        <f>IF(A1578&lt;&gt;"",WEEKNUM(A1578,21),IF(C1577&lt;&gt;"",C1577,""))</f>
        <v>27</v>
      </c>
      <c r="D1578" s="34"/>
      <c r="E1578" s="34"/>
      <c r="F1578" s="34"/>
      <c r="G1578" s="34"/>
      <c r="H1578" s="34"/>
      <c r="I1578" s="35"/>
      <c r="J1578" s="35"/>
      <c r="K1578" s="36"/>
      <c r="L1578" s="26" t="str">
        <f>IF(OR(F1578 = "", G1578 = ""), "", IF(F1578 = "Vara", IFERROR(_xlfn.SINGLE(_xlfn.XLOOKUP(G1578, Vöruskrá!A:A, Vöruskrá!E:E, "")), ""), IF(F1578 = "Réttur", IFERROR(_xlfn.SINGLE(_xlfn.XLOOKUP(G1578, Réttabanki!A:A, Réttabanki!AS:AS, "")), ""), "")))</f>
        <v/>
      </c>
      <c r="M1578" s="26" t="str">
        <f>IF(OR(F1578 = "", G1578 = ""), "", IF(F1578 = "Vara", IFERROR(_xlfn.SINGLE(_xlfn.XLOOKUP(G1578, Vöruskrá!A:A, Vöruskrá!F:F, "")), ""), IF(F1578 = "Réttur", IFERROR(_xlfn.SINGLE(_xlfn.XLOOKUP(G1578, Réttabanki!A:A, Réttabanki!AT:AT, "")), ""), "")))</f>
        <v/>
      </c>
      <c r="N1578" s="26" t="str">
        <f>IF(OR(F1578 = "", G1578 = ""), "", IF(F1578 = "Vara", IFERROR(_xlfn.SINGLE(_xlfn.XLOOKUP(G1578, Vöruskrá!A:A, Vöruskrá!G:G, "")), ""), IF(F1578 = "Réttur", IFERROR(_xlfn.SINGLE(_xlfn.XLOOKUP(G1578, Réttabanki!A:A, Réttabanki!AU:AU, "")), ""), "")))</f>
        <v/>
      </c>
      <c r="O1578" s="26" t="str">
        <f>IF(OR(F1578 = "", G1578 = "", I1578 = ""), "", IF(F1578 = "Vara", IFERROR(_xlfn.SINGLE(_xlfn.XLOOKUP(G1578, Vöruskrá!A:A, Vöruskrá!I:I, "")) * I1578 / 100, ""), IF(F1578 = "Réttur", IFERROR(_xlfn.SINGLE(_xlfn.XLOOKUP(G1578, Réttabanki!A:A, Réttabanki!AV:AV, "")) * I1578 / 100, ""), "")))</f>
        <v/>
      </c>
      <c r="P1578" s="26" t="str">
        <f>IF(OR(F1578 = "", G1578 = "", I1578 = ""), "", IF(F1578 = "Vara", IFERROR(_xlfn.SINGLE(_xlfn.XLOOKUP(G1578, Vöruskrá!A:A, Vöruskrá!J:J, "")) * I1578 / 100, ""), IF(F1578 = "Réttur", IFERROR(_xlfn.SINGLE(_xlfn.XLOOKUP(G1578, Réttabanki!A:A, Réttabanki!AW:AW, "")) * I1578 / 100, ""), "")))</f>
        <v/>
      </c>
      <c r="Q1578" s="26" t="str">
        <f>IF(OR(F1578 = "", G1578 = "", I1578 = ""), "", IF(F1578 = "Vara", IFERROR(_xlfn.SINGLE(_xlfn.XLOOKUP(G1578, Vöruskrá!A:A, Vöruskrá!N:N, "")) * I1578 / 100, ""), IF(F1578 = "Réttur", IFERROR(_xlfn.SINGLE(_xlfn.XLOOKUP(G1578, Réttabanki!A:A, Réttabanki!BB:BB, "")) * I1578 / 100, ""), "")))</f>
        <v/>
      </c>
    </row>
    <row r="1579" spans="2:17">
      <c r="B1579" s="33" t="str">
        <f>IF(A1579&lt;&gt;"",CHOOSE(WEEKDAY(A1579,2),"Mánudagur","Þriðjudagur","Miðvikudagur","Fimmtudagur","Föstudagur","Laugardagur","Sunnudagur"),IF(B1578&lt;&gt;"",B1578,""))</f>
        <v>Fimmtudagur</v>
      </c>
      <c r="C1579" s="33">
        <f>IF(A1579&lt;&gt;"",WEEKNUM(A1579,21),IF(C1578&lt;&gt;"",C1578,""))</f>
        <v>27</v>
      </c>
      <c r="D1579" s="34"/>
      <c r="E1579" s="34"/>
      <c r="F1579" s="34"/>
      <c r="G1579" s="34"/>
      <c r="H1579" s="34"/>
      <c r="I1579" s="35"/>
      <c r="J1579" s="35"/>
      <c r="K1579" s="36"/>
      <c r="L1579" s="26" t="str">
        <f>IF(OR(F1579 = "", G1579 = ""), "", IF(F1579 = "Vara", IFERROR(_xlfn.SINGLE(_xlfn.XLOOKUP(G1579, Vöruskrá!A:A, Vöruskrá!E:E, "")), ""), IF(F1579 = "Réttur", IFERROR(_xlfn.SINGLE(_xlfn.XLOOKUP(G1579, Réttabanki!A:A, Réttabanki!AS:AS, "")), ""), "")))</f>
        <v/>
      </c>
      <c r="M1579" s="26" t="str">
        <f>IF(OR(F1579 = "", G1579 = ""), "", IF(F1579 = "Vara", IFERROR(_xlfn.SINGLE(_xlfn.XLOOKUP(G1579, Vöruskrá!A:A, Vöruskrá!F:F, "")), ""), IF(F1579 = "Réttur", IFERROR(_xlfn.SINGLE(_xlfn.XLOOKUP(G1579, Réttabanki!A:A, Réttabanki!AT:AT, "")), ""), "")))</f>
        <v/>
      </c>
      <c r="N1579" s="26" t="str">
        <f>IF(OR(F1579 = "", G1579 = ""), "", IF(F1579 = "Vara", IFERROR(_xlfn.SINGLE(_xlfn.XLOOKUP(G1579, Vöruskrá!A:A, Vöruskrá!G:G, "")), ""), IF(F1579 = "Réttur", IFERROR(_xlfn.SINGLE(_xlfn.XLOOKUP(G1579, Réttabanki!A:A, Réttabanki!AU:AU, "")), ""), "")))</f>
        <v/>
      </c>
      <c r="O1579" s="26" t="str">
        <f>IF(OR(F1579 = "", G1579 = "", I1579 = ""), "", IF(F1579 = "Vara", IFERROR(_xlfn.SINGLE(_xlfn.XLOOKUP(G1579, Vöruskrá!A:A, Vöruskrá!I:I, "")) * I1579 / 100, ""), IF(F1579 = "Réttur", IFERROR(_xlfn.SINGLE(_xlfn.XLOOKUP(G1579, Réttabanki!A:A, Réttabanki!AV:AV, "")) * I1579 / 100, ""), "")))</f>
        <v/>
      </c>
      <c r="P1579" s="26" t="str">
        <f>IF(OR(F1579 = "", G1579 = "", I1579 = ""), "", IF(F1579 = "Vara", IFERROR(_xlfn.SINGLE(_xlfn.XLOOKUP(G1579, Vöruskrá!A:A, Vöruskrá!J:J, "")) * I1579 / 100, ""), IF(F1579 = "Réttur", IFERROR(_xlfn.SINGLE(_xlfn.XLOOKUP(G1579, Réttabanki!A:A, Réttabanki!AW:AW, "")) * I1579 / 100, ""), "")))</f>
        <v/>
      </c>
      <c r="Q1579" s="26" t="str">
        <f>IF(OR(F1579 = "", G1579 = "", I1579 = ""), "", IF(F1579 = "Vara", IFERROR(_xlfn.SINGLE(_xlfn.XLOOKUP(G1579, Vöruskrá!A:A, Vöruskrá!N:N, "")) * I1579 / 100, ""), IF(F1579 = "Réttur", IFERROR(_xlfn.SINGLE(_xlfn.XLOOKUP(G1579, Réttabanki!A:A, Réttabanki!BB:BB, "")) * I1579 / 100, ""), "")))</f>
        <v/>
      </c>
    </row>
    <row r="1580" spans="2:17">
      <c r="B1580" s="33" t="str">
        <f>IF(A1580&lt;&gt;"",CHOOSE(WEEKDAY(A1580,2),"Mánudagur","Þriðjudagur","Miðvikudagur","Fimmtudagur","Föstudagur","Laugardagur","Sunnudagur"),IF(B1579&lt;&gt;"",B1579,""))</f>
        <v>Fimmtudagur</v>
      </c>
      <c r="C1580" s="33">
        <f>IF(A1580&lt;&gt;"",WEEKNUM(A1580,21),IF(C1579&lt;&gt;"",C1579,""))</f>
        <v>27</v>
      </c>
      <c r="D1580" s="34"/>
      <c r="E1580" s="34"/>
      <c r="F1580" s="34"/>
      <c r="G1580" s="34"/>
      <c r="H1580" s="34"/>
      <c r="I1580" s="35"/>
      <c r="J1580" s="35"/>
      <c r="K1580" s="36"/>
      <c r="L1580" s="26" t="str">
        <f>IF(OR(F1580 = "", G1580 = ""), "", IF(F1580 = "Vara", IFERROR(_xlfn.SINGLE(_xlfn.XLOOKUP(G1580, Vöruskrá!A:A, Vöruskrá!E:E, "")), ""), IF(F1580 = "Réttur", IFERROR(_xlfn.SINGLE(_xlfn.XLOOKUP(G1580, Réttabanki!A:A, Réttabanki!AS:AS, "")), ""), "")))</f>
        <v/>
      </c>
      <c r="M1580" s="26" t="str">
        <f>IF(OR(F1580 = "", G1580 = ""), "", IF(F1580 = "Vara", IFERROR(_xlfn.SINGLE(_xlfn.XLOOKUP(G1580, Vöruskrá!A:A, Vöruskrá!F:F, "")), ""), IF(F1580 = "Réttur", IFERROR(_xlfn.SINGLE(_xlfn.XLOOKUP(G1580, Réttabanki!A:A, Réttabanki!AT:AT, "")), ""), "")))</f>
        <v/>
      </c>
      <c r="N1580" s="26" t="str">
        <f>IF(OR(F1580 = "", G1580 = ""), "", IF(F1580 = "Vara", IFERROR(_xlfn.SINGLE(_xlfn.XLOOKUP(G1580, Vöruskrá!A:A, Vöruskrá!G:G, "")), ""), IF(F1580 = "Réttur", IFERROR(_xlfn.SINGLE(_xlfn.XLOOKUP(G1580, Réttabanki!A:A, Réttabanki!AU:AU, "")), ""), "")))</f>
        <v/>
      </c>
      <c r="O1580" s="26" t="str">
        <f>IF(OR(F1580 = "", G1580 = "", I1580 = ""), "", IF(F1580 = "Vara", IFERROR(_xlfn.SINGLE(_xlfn.XLOOKUP(G1580, Vöruskrá!A:A, Vöruskrá!I:I, "")) * I1580 / 100, ""), IF(F1580 = "Réttur", IFERROR(_xlfn.SINGLE(_xlfn.XLOOKUP(G1580, Réttabanki!A:A, Réttabanki!AV:AV, "")) * I1580 / 100, ""), "")))</f>
        <v/>
      </c>
      <c r="P1580" s="26" t="str">
        <f>IF(OR(F1580 = "", G1580 = "", I1580 = ""), "", IF(F1580 = "Vara", IFERROR(_xlfn.SINGLE(_xlfn.XLOOKUP(G1580, Vöruskrá!A:A, Vöruskrá!J:J, "")) * I1580 / 100, ""), IF(F1580 = "Réttur", IFERROR(_xlfn.SINGLE(_xlfn.XLOOKUP(G1580, Réttabanki!A:A, Réttabanki!AW:AW, "")) * I1580 / 100, ""), "")))</f>
        <v/>
      </c>
      <c r="Q1580" s="26" t="str">
        <f>IF(OR(F1580 = "", G1580 = "", I1580 = ""), "", IF(F1580 = "Vara", IFERROR(_xlfn.SINGLE(_xlfn.XLOOKUP(G1580, Vöruskrá!A:A, Vöruskrá!N:N, "")) * I1580 / 100, ""), IF(F1580 = "Réttur", IFERROR(_xlfn.SINGLE(_xlfn.XLOOKUP(G1580, Réttabanki!A:A, Réttabanki!BB:BB, "")) * I1580 / 100, ""), "")))</f>
        <v/>
      </c>
    </row>
    <row r="1581" spans="2:17">
      <c r="B1581" s="33" t="str">
        <f>IF(A1581&lt;&gt;"",CHOOSE(WEEKDAY(A1581,2),"Mánudagur","Þriðjudagur","Miðvikudagur","Fimmtudagur","Föstudagur","Laugardagur","Sunnudagur"),IF(B1580&lt;&gt;"",B1580,""))</f>
        <v>Fimmtudagur</v>
      </c>
      <c r="C1581" s="33">
        <f>IF(A1581&lt;&gt;"",WEEKNUM(A1581,21),IF(C1580&lt;&gt;"",C1580,""))</f>
        <v>27</v>
      </c>
      <c r="D1581" s="34"/>
      <c r="E1581" s="34"/>
      <c r="F1581" s="34"/>
      <c r="G1581" s="34"/>
      <c r="H1581" s="34"/>
      <c r="I1581" s="35"/>
      <c r="J1581" s="35"/>
      <c r="K1581" s="36"/>
      <c r="L1581" s="26" t="str">
        <f>IF(OR(F1581 = "", G1581 = ""), "", IF(F1581 = "Vara", IFERROR(_xlfn.SINGLE(_xlfn.XLOOKUP(G1581, Vöruskrá!A:A, Vöruskrá!E:E, "")), ""), IF(F1581 = "Réttur", IFERROR(_xlfn.SINGLE(_xlfn.XLOOKUP(G1581, Réttabanki!A:A, Réttabanki!AS:AS, "")), ""), "")))</f>
        <v/>
      </c>
      <c r="M1581" s="26" t="str">
        <f>IF(OR(F1581 = "", G1581 = ""), "", IF(F1581 = "Vara", IFERROR(_xlfn.SINGLE(_xlfn.XLOOKUP(G1581, Vöruskrá!A:A, Vöruskrá!F:F, "")), ""), IF(F1581 = "Réttur", IFERROR(_xlfn.SINGLE(_xlfn.XLOOKUP(G1581, Réttabanki!A:A, Réttabanki!AT:AT, "")), ""), "")))</f>
        <v/>
      </c>
      <c r="N1581" s="26" t="str">
        <f>IF(OR(F1581 = "", G1581 = ""), "", IF(F1581 = "Vara", IFERROR(_xlfn.SINGLE(_xlfn.XLOOKUP(G1581, Vöruskrá!A:A, Vöruskrá!G:G, "")), ""), IF(F1581 = "Réttur", IFERROR(_xlfn.SINGLE(_xlfn.XLOOKUP(G1581, Réttabanki!A:A, Réttabanki!AU:AU, "")), ""), "")))</f>
        <v/>
      </c>
      <c r="O1581" s="26" t="str">
        <f>IF(OR(F1581 = "", G1581 = "", I1581 = ""), "", IF(F1581 = "Vara", IFERROR(_xlfn.SINGLE(_xlfn.XLOOKUP(G1581, Vöruskrá!A:A, Vöruskrá!I:I, "")) * I1581 / 100, ""), IF(F1581 = "Réttur", IFERROR(_xlfn.SINGLE(_xlfn.XLOOKUP(G1581, Réttabanki!A:A, Réttabanki!AV:AV, "")) * I1581 / 100, ""), "")))</f>
        <v/>
      </c>
      <c r="P1581" s="26" t="str">
        <f>IF(OR(F1581 = "", G1581 = "", I1581 = ""), "", IF(F1581 = "Vara", IFERROR(_xlfn.SINGLE(_xlfn.XLOOKUP(G1581, Vöruskrá!A:A, Vöruskrá!J:J, "")) * I1581 / 100, ""), IF(F1581 = "Réttur", IFERROR(_xlfn.SINGLE(_xlfn.XLOOKUP(G1581, Réttabanki!A:A, Réttabanki!AW:AW, "")) * I1581 / 100, ""), "")))</f>
        <v/>
      </c>
      <c r="Q1581" s="26" t="str">
        <f>IF(OR(F1581 = "", G1581 = "", I1581 = ""), "", IF(F1581 = "Vara", IFERROR(_xlfn.SINGLE(_xlfn.XLOOKUP(G1581, Vöruskrá!A:A, Vöruskrá!N:N, "")) * I1581 / 100, ""), IF(F1581 = "Réttur", IFERROR(_xlfn.SINGLE(_xlfn.XLOOKUP(G1581, Réttabanki!A:A, Réttabanki!BB:BB, "")) * I1581 / 100, ""), "")))</f>
        <v/>
      </c>
    </row>
    <row r="1582" spans="2:17">
      <c r="B1582" s="33" t="str">
        <f>IF(A1582&lt;&gt;"",CHOOSE(WEEKDAY(A1582,2),"Mánudagur","Þriðjudagur","Miðvikudagur","Fimmtudagur","Föstudagur","Laugardagur","Sunnudagur"),IF(B1581&lt;&gt;"",B1581,""))</f>
        <v>Fimmtudagur</v>
      </c>
      <c r="C1582" s="33">
        <f>IF(A1582&lt;&gt;"",WEEKNUM(A1582,21),IF(C1581&lt;&gt;"",C1581,""))</f>
        <v>27</v>
      </c>
      <c r="D1582" s="34"/>
      <c r="E1582" s="34"/>
      <c r="F1582" s="34"/>
      <c r="G1582" s="34"/>
      <c r="H1582" s="34"/>
      <c r="I1582" s="35"/>
      <c r="J1582" s="35"/>
      <c r="K1582" s="36"/>
      <c r="L1582" s="26" t="str">
        <f>IF(OR(F1582 = "", G1582 = ""), "", IF(F1582 = "Vara", IFERROR(_xlfn.SINGLE(_xlfn.XLOOKUP(G1582, Vöruskrá!A:A, Vöruskrá!E:E, "")), ""), IF(F1582 = "Réttur", IFERROR(_xlfn.SINGLE(_xlfn.XLOOKUP(G1582, Réttabanki!A:A, Réttabanki!AS:AS, "")), ""), "")))</f>
        <v/>
      </c>
      <c r="M1582" s="26" t="str">
        <f>IF(OR(F1582 = "", G1582 = ""), "", IF(F1582 = "Vara", IFERROR(_xlfn.SINGLE(_xlfn.XLOOKUP(G1582, Vöruskrá!A:A, Vöruskrá!F:F, "")), ""), IF(F1582 = "Réttur", IFERROR(_xlfn.SINGLE(_xlfn.XLOOKUP(G1582, Réttabanki!A:A, Réttabanki!AT:AT, "")), ""), "")))</f>
        <v/>
      </c>
      <c r="N1582" s="26" t="str">
        <f>IF(OR(F1582 = "", G1582 = ""), "", IF(F1582 = "Vara", IFERROR(_xlfn.SINGLE(_xlfn.XLOOKUP(G1582, Vöruskrá!A:A, Vöruskrá!G:G, "")), ""), IF(F1582 = "Réttur", IFERROR(_xlfn.SINGLE(_xlfn.XLOOKUP(G1582, Réttabanki!A:A, Réttabanki!AU:AU, "")), ""), "")))</f>
        <v/>
      </c>
      <c r="O1582" s="26" t="str">
        <f>IF(OR(F1582 = "", G1582 = "", I1582 = ""), "", IF(F1582 = "Vara", IFERROR(_xlfn.SINGLE(_xlfn.XLOOKUP(G1582, Vöruskrá!A:A, Vöruskrá!I:I, "")) * I1582 / 100, ""), IF(F1582 = "Réttur", IFERROR(_xlfn.SINGLE(_xlfn.XLOOKUP(G1582, Réttabanki!A:A, Réttabanki!AV:AV, "")) * I1582 / 100, ""), "")))</f>
        <v/>
      </c>
      <c r="P1582" s="26" t="str">
        <f>IF(OR(F1582 = "", G1582 = "", I1582 = ""), "", IF(F1582 = "Vara", IFERROR(_xlfn.SINGLE(_xlfn.XLOOKUP(G1582, Vöruskrá!A:A, Vöruskrá!J:J, "")) * I1582 / 100, ""), IF(F1582 = "Réttur", IFERROR(_xlfn.SINGLE(_xlfn.XLOOKUP(G1582, Réttabanki!A:A, Réttabanki!AW:AW, "")) * I1582 / 100, ""), "")))</f>
        <v/>
      </c>
      <c r="Q1582" s="26" t="str">
        <f>IF(OR(F1582 = "", G1582 = "", I1582 = ""), "", IF(F1582 = "Vara", IFERROR(_xlfn.SINGLE(_xlfn.XLOOKUP(G1582, Vöruskrá!A:A, Vöruskrá!N:N, "")) * I1582 / 100, ""), IF(F1582 = "Réttur", IFERROR(_xlfn.SINGLE(_xlfn.XLOOKUP(G1582, Réttabanki!A:A, Réttabanki!BB:BB, "")) * I1582 / 100, ""), "")))</f>
        <v/>
      </c>
    </row>
    <row r="1583" spans="2:17">
      <c r="B1583" s="33" t="str">
        <f>IF(A1583&lt;&gt;"",CHOOSE(WEEKDAY(A1583,2),"Mánudagur","Þriðjudagur","Miðvikudagur","Fimmtudagur","Föstudagur","Laugardagur","Sunnudagur"),IF(B1582&lt;&gt;"",B1582,""))</f>
        <v>Fimmtudagur</v>
      </c>
      <c r="C1583" s="33">
        <f>IF(A1583&lt;&gt;"",WEEKNUM(A1583,21),IF(C1582&lt;&gt;"",C1582,""))</f>
        <v>27</v>
      </c>
      <c r="D1583" s="34"/>
      <c r="E1583" s="34"/>
      <c r="F1583" s="34"/>
      <c r="G1583" s="34"/>
      <c r="H1583" s="34"/>
      <c r="I1583" s="35"/>
      <c r="J1583" s="35"/>
      <c r="K1583" s="36"/>
      <c r="L1583" s="26" t="str">
        <f>IF(OR(F1583 = "", G1583 = ""), "", IF(F1583 = "Vara", IFERROR(_xlfn.SINGLE(_xlfn.XLOOKUP(G1583, Vöruskrá!A:A, Vöruskrá!E:E, "")), ""), IF(F1583 = "Réttur", IFERROR(_xlfn.SINGLE(_xlfn.XLOOKUP(G1583, Réttabanki!A:A, Réttabanki!AS:AS, "")), ""), "")))</f>
        <v/>
      </c>
      <c r="M1583" s="26" t="str">
        <f>IF(OR(F1583 = "", G1583 = ""), "", IF(F1583 = "Vara", IFERROR(_xlfn.SINGLE(_xlfn.XLOOKUP(G1583, Vöruskrá!A:A, Vöruskrá!F:F, "")), ""), IF(F1583 = "Réttur", IFERROR(_xlfn.SINGLE(_xlfn.XLOOKUP(G1583, Réttabanki!A:A, Réttabanki!AT:AT, "")), ""), "")))</f>
        <v/>
      </c>
      <c r="N1583" s="26" t="str">
        <f>IF(OR(F1583 = "", G1583 = ""), "", IF(F1583 = "Vara", IFERROR(_xlfn.SINGLE(_xlfn.XLOOKUP(G1583, Vöruskrá!A:A, Vöruskrá!G:G, "")), ""), IF(F1583 = "Réttur", IFERROR(_xlfn.SINGLE(_xlfn.XLOOKUP(G1583, Réttabanki!A:A, Réttabanki!AU:AU, "")), ""), "")))</f>
        <v/>
      </c>
      <c r="O1583" s="26" t="str">
        <f>IF(OR(F1583 = "", G1583 = "", I1583 = ""), "", IF(F1583 = "Vara", IFERROR(_xlfn.SINGLE(_xlfn.XLOOKUP(G1583, Vöruskrá!A:A, Vöruskrá!I:I, "")) * I1583 / 100, ""), IF(F1583 = "Réttur", IFERROR(_xlfn.SINGLE(_xlfn.XLOOKUP(G1583, Réttabanki!A:A, Réttabanki!AV:AV, "")) * I1583 / 100, ""), "")))</f>
        <v/>
      </c>
      <c r="P1583" s="26" t="str">
        <f>IF(OR(F1583 = "", G1583 = "", I1583 = ""), "", IF(F1583 = "Vara", IFERROR(_xlfn.SINGLE(_xlfn.XLOOKUP(G1583, Vöruskrá!A:A, Vöruskrá!J:J, "")) * I1583 / 100, ""), IF(F1583 = "Réttur", IFERROR(_xlfn.SINGLE(_xlfn.XLOOKUP(G1583, Réttabanki!A:A, Réttabanki!AW:AW, "")) * I1583 / 100, ""), "")))</f>
        <v/>
      </c>
      <c r="Q1583" s="26" t="str">
        <f>IF(OR(F1583 = "", G1583 = "", I1583 = ""), "", IF(F1583 = "Vara", IFERROR(_xlfn.SINGLE(_xlfn.XLOOKUP(G1583, Vöruskrá!A:A, Vöruskrá!N:N, "")) * I1583 / 100, ""), IF(F1583 = "Réttur", IFERROR(_xlfn.SINGLE(_xlfn.XLOOKUP(G1583, Réttabanki!A:A, Réttabanki!BB:BB, "")) * I1583 / 100, ""), "")))</f>
        <v/>
      </c>
    </row>
    <row r="1584" spans="2:17">
      <c r="B1584" s="33" t="str">
        <f>IF(A1584&lt;&gt;"",CHOOSE(WEEKDAY(A1584,2),"Mánudagur","Þriðjudagur","Miðvikudagur","Fimmtudagur","Föstudagur","Laugardagur","Sunnudagur"),IF(B1583&lt;&gt;"",B1583,""))</f>
        <v>Fimmtudagur</v>
      </c>
      <c r="C1584" s="33">
        <f>IF(A1584&lt;&gt;"",WEEKNUM(A1584,21),IF(C1583&lt;&gt;"",C1583,""))</f>
        <v>27</v>
      </c>
      <c r="D1584" s="34"/>
      <c r="E1584" s="34"/>
      <c r="F1584" s="34"/>
      <c r="G1584" s="34"/>
      <c r="H1584" s="34"/>
      <c r="I1584" s="35"/>
      <c r="J1584" s="35"/>
      <c r="K1584" s="36"/>
      <c r="L1584" s="26" t="str">
        <f>IF(OR(F1584 = "", G1584 = ""), "", IF(F1584 = "Vara", IFERROR(_xlfn.SINGLE(_xlfn.XLOOKUP(G1584, Vöruskrá!A:A, Vöruskrá!E:E, "")), ""), IF(F1584 = "Réttur", IFERROR(_xlfn.SINGLE(_xlfn.XLOOKUP(G1584, Réttabanki!A:A, Réttabanki!AS:AS, "")), ""), "")))</f>
        <v/>
      </c>
      <c r="M1584" s="26" t="str">
        <f>IF(OR(F1584 = "", G1584 = ""), "", IF(F1584 = "Vara", IFERROR(_xlfn.SINGLE(_xlfn.XLOOKUP(G1584, Vöruskrá!A:A, Vöruskrá!F:F, "")), ""), IF(F1584 = "Réttur", IFERROR(_xlfn.SINGLE(_xlfn.XLOOKUP(G1584, Réttabanki!A:A, Réttabanki!AT:AT, "")), ""), "")))</f>
        <v/>
      </c>
      <c r="N1584" s="26" t="str">
        <f>IF(OR(F1584 = "", G1584 = ""), "", IF(F1584 = "Vara", IFERROR(_xlfn.SINGLE(_xlfn.XLOOKUP(G1584, Vöruskrá!A:A, Vöruskrá!G:G, "")), ""), IF(F1584 = "Réttur", IFERROR(_xlfn.SINGLE(_xlfn.XLOOKUP(G1584, Réttabanki!A:A, Réttabanki!AU:AU, "")), ""), "")))</f>
        <v/>
      </c>
      <c r="O1584" s="26" t="str">
        <f>IF(OR(F1584 = "", G1584 = "", I1584 = ""), "", IF(F1584 = "Vara", IFERROR(_xlfn.SINGLE(_xlfn.XLOOKUP(G1584, Vöruskrá!A:A, Vöruskrá!I:I, "")) * I1584 / 100, ""), IF(F1584 = "Réttur", IFERROR(_xlfn.SINGLE(_xlfn.XLOOKUP(G1584, Réttabanki!A:A, Réttabanki!AV:AV, "")) * I1584 / 100, ""), "")))</f>
        <v/>
      </c>
      <c r="P1584" s="26" t="str">
        <f>IF(OR(F1584 = "", G1584 = "", I1584 = ""), "", IF(F1584 = "Vara", IFERROR(_xlfn.SINGLE(_xlfn.XLOOKUP(G1584, Vöruskrá!A:A, Vöruskrá!J:J, "")) * I1584 / 100, ""), IF(F1584 = "Réttur", IFERROR(_xlfn.SINGLE(_xlfn.XLOOKUP(G1584, Réttabanki!A:A, Réttabanki!AW:AW, "")) * I1584 / 100, ""), "")))</f>
        <v/>
      </c>
      <c r="Q1584" s="26" t="str">
        <f>IF(OR(F1584 = "", G1584 = "", I1584 = ""), "", IF(F1584 = "Vara", IFERROR(_xlfn.SINGLE(_xlfn.XLOOKUP(G1584, Vöruskrá!A:A, Vöruskrá!N:N, "")) * I1584 / 100, ""), IF(F1584 = "Réttur", IFERROR(_xlfn.SINGLE(_xlfn.XLOOKUP(G1584, Réttabanki!A:A, Réttabanki!BB:BB, "")) * I1584 / 100, ""), "")))</f>
        <v/>
      </c>
    </row>
    <row r="1585" spans="2:17">
      <c r="B1585" s="33" t="str">
        <f>IF(A1585&lt;&gt;"",CHOOSE(WEEKDAY(A1585,2),"Mánudagur","Þriðjudagur","Miðvikudagur","Fimmtudagur","Föstudagur","Laugardagur","Sunnudagur"),IF(B1584&lt;&gt;"",B1584,""))</f>
        <v>Fimmtudagur</v>
      </c>
      <c r="C1585" s="33">
        <f>IF(A1585&lt;&gt;"",WEEKNUM(A1585,21),IF(C1584&lt;&gt;"",C1584,""))</f>
        <v>27</v>
      </c>
      <c r="D1585" s="34"/>
      <c r="E1585" s="34"/>
      <c r="F1585" s="34"/>
      <c r="G1585" s="34"/>
      <c r="H1585" s="34"/>
      <c r="I1585" s="35"/>
      <c r="J1585" s="35"/>
      <c r="K1585" s="36"/>
      <c r="L1585" s="26" t="str">
        <f>IF(OR(F1585 = "", G1585 = ""), "", IF(F1585 = "Vara", IFERROR(_xlfn.SINGLE(_xlfn.XLOOKUP(G1585, Vöruskrá!A:A, Vöruskrá!E:E, "")), ""), IF(F1585 = "Réttur", IFERROR(_xlfn.SINGLE(_xlfn.XLOOKUP(G1585, Réttabanki!A:A, Réttabanki!AS:AS, "")), ""), "")))</f>
        <v/>
      </c>
      <c r="M1585" s="26" t="str">
        <f>IF(OR(F1585 = "", G1585 = ""), "", IF(F1585 = "Vara", IFERROR(_xlfn.SINGLE(_xlfn.XLOOKUP(G1585, Vöruskrá!A:A, Vöruskrá!F:F, "")), ""), IF(F1585 = "Réttur", IFERROR(_xlfn.SINGLE(_xlfn.XLOOKUP(G1585, Réttabanki!A:A, Réttabanki!AT:AT, "")), ""), "")))</f>
        <v/>
      </c>
      <c r="N1585" s="26" t="str">
        <f>IF(OR(F1585 = "", G1585 = ""), "", IF(F1585 = "Vara", IFERROR(_xlfn.SINGLE(_xlfn.XLOOKUP(G1585, Vöruskrá!A:A, Vöruskrá!G:G, "")), ""), IF(F1585 = "Réttur", IFERROR(_xlfn.SINGLE(_xlfn.XLOOKUP(G1585, Réttabanki!A:A, Réttabanki!AU:AU, "")), ""), "")))</f>
        <v/>
      </c>
      <c r="O1585" s="26" t="str">
        <f>IF(OR(F1585 = "", G1585 = "", I1585 = ""), "", IF(F1585 = "Vara", IFERROR(_xlfn.SINGLE(_xlfn.XLOOKUP(G1585, Vöruskrá!A:A, Vöruskrá!I:I, "")) * I1585 / 100, ""), IF(F1585 = "Réttur", IFERROR(_xlfn.SINGLE(_xlfn.XLOOKUP(G1585, Réttabanki!A:A, Réttabanki!AV:AV, "")) * I1585 / 100, ""), "")))</f>
        <v/>
      </c>
      <c r="P1585" s="26" t="str">
        <f>IF(OR(F1585 = "", G1585 = "", I1585 = ""), "", IF(F1585 = "Vara", IFERROR(_xlfn.SINGLE(_xlfn.XLOOKUP(G1585, Vöruskrá!A:A, Vöruskrá!J:J, "")) * I1585 / 100, ""), IF(F1585 = "Réttur", IFERROR(_xlfn.SINGLE(_xlfn.XLOOKUP(G1585, Réttabanki!A:A, Réttabanki!AW:AW, "")) * I1585 / 100, ""), "")))</f>
        <v/>
      </c>
      <c r="Q1585" s="26" t="str">
        <f>IF(OR(F1585 = "", G1585 = "", I1585 = ""), "", IF(F1585 = "Vara", IFERROR(_xlfn.SINGLE(_xlfn.XLOOKUP(G1585, Vöruskrá!A:A, Vöruskrá!N:N, "")) * I1585 / 100, ""), IF(F1585 = "Réttur", IFERROR(_xlfn.SINGLE(_xlfn.XLOOKUP(G1585, Réttabanki!A:A, Réttabanki!BB:BB, "")) * I1585 / 100, ""), "")))</f>
        <v/>
      </c>
    </row>
    <row r="1586" spans="2:17">
      <c r="B1586" s="33" t="str">
        <f>IF(A1586&lt;&gt;"",CHOOSE(WEEKDAY(A1586,2),"Mánudagur","Þriðjudagur","Miðvikudagur","Fimmtudagur","Föstudagur","Laugardagur","Sunnudagur"),IF(B1585&lt;&gt;"",B1585,""))</f>
        <v>Fimmtudagur</v>
      </c>
      <c r="C1586" s="33">
        <f>IF(A1586&lt;&gt;"",WEEKNUM(A1586,21),IF(C1585&lt;&gt;"",C1585,""))</f>
        <v>27</v>
      </c>
      <c r="D1586" s="34"/>
      <c r="E1586" s="34"/>
      <c r="F1586" s="34"/>
      <c r="G1586" s="34"/>
      <c r="H1586" s="34"/>
      <c r="I1586" s="35"/>
      <c r="J1586" s="35"/>
      <c r="K1586" s="36"/>
      <c r="L1586" s="26" t="str">
        <f>IF(OR(F1586 = "", G1586 = ""), "", IF(F1586 = "Vara", IFERROR(_xlfn.SINGLE(_xlfn.XLOOKUP(G1586, Vöruskrá!A:A, Vöruskrá!E:E, "")), ""), IF(F1586 = "Réttur", IFERROR(_xlfn.SINGLE(_xlfn.XLOOKUP(G1586, Réttabanki!A:A, Réttabanki!AS:AS, "")), ""), "")))</f>
        <v/>
      </c>
      <c r="M1586" s="26" t="str">
        <f>IF(OR(F1586 = "", G1586 = ""), "", IF(F1586 = "Vara", IFERROR(_xlfn.SINGLE(_xlfn.XLOOKUP(G1586, Vöruskrá!A:A, Vöruskrá!F:F, "")), ""), IF(F1586 = "Réttur", IFERROR(_xlfn.SINGLE(_xlfn.XLOOKUP(G1586, Réttabanki!A:A, Réttabanki!AT:AT, "")), ""), "")))</f>
        <v/>
      </c>
      <c r="N1586" s="26" t="str">
        <f>IF(OR(F1586 = "", G1586 = ""), "", IF(F1586 = "Vara", IFERROR(_xlfn.SINGLE(_xlfn.XLOOKUP(G1586, Vöruskrá!A:A, Vöruskrá!G:G, "")), ""), IF(F1586 = "Réttur", IFERROR(_xlfn.SINGLE(_xlfn.XLOOKUP(G1586, Réttabanki!A:A, Réttabanki!AU:AU, "")), ""), "")))</f>
        <v/>
      </c>
      <c r="O1586" s="26" t="str">
        <f>IF(OR(F1586 = "", G1586 = "", I1586 = ""), "", IF(F1586 = "Vara", IFERROR(_xlfn.SINGLE(_xlfn.XLOOKUP(G1586, Vöruskrá!A:A, Vöruskrá!I:I, "")) * I1586 / 100, ""), IF(F1586 = "Réttur", IFERROR(_xlfn.SINGLE(_xlfn.XLOOKUP(G1586, Réttabanki!A:A, Réttabanki!AV:AV, "")) * I1586 / 100, ""), "")))</f>
        <v/>
      </c>
      <c r="P1586" s="26" t="str">
        <f>IF(OR(F1586 = "", G1586 = "", I1586 = ""), "", IF(F1586 = "Vara", IFERROR(_xlfn.SINGLE(_xlfn.XLOOKUP(G1586, Vöruskrá!A:A, Vöruskrá!J:J, "")) * I1586 / 100, ""), IF(F1586 = "Réttur", IFERROR(_xlfn.SINGLE(_xlfn.XLOOKUP(G1586, Réttabanki!A:A, Réttabanki!AW:AW, "")) * I1586 / 100, ""), "")))</f>
        <v/>
      </c>
      <c r="Q1586" s="26" t="str">
        <f>IF(OR(F1586 = "", G1586 = "", I1586 = ""), "", IF(F1586 = "Vara", IFERROR(_xlfn.SINGLE(_xlfn.XLOOKUP(G1586, Vöruskrá!A:A, Vöruskrá!N:N, "")) * I1586 / 100, ""), IF(F1586 = "Réttur", IFERROR(_xlfn.SINGLE(_xlfn.XLOOKUP(G1586, Réttabanki!A:A, Réttabanki!BB:BB, "")) * I1586 / 100, ""), "")))</f>
        <v/>
      </c>
    </row>
    <row r="1587" spans="2:17">
      <c r="B1587" s="33" t="str">
        <f>IF(A1587&lt;&gt;"",CHOOSE(WEEKDAY(A1587,2),"Mánudagur","Þriðjudagur","Miðvikudagur","Fimmtudagur","Föstudagur","Laugardagur","Sunnudagur"),IF(B1586&lt;&gt;"",B1586,""))</f>
        <v>Fimmtudagur</v>
      </c>
      <c r="C1587" s="33">
        <f>IF(A1587&lt;&gt;"",WEEKNUM(A1587,21),IF(C1586&lt;&gt;"",C1586,""))</f>
        <v>27</v>
      </c>
      <c r="D1587" s="34"/>
      <c r="E1587" s="34"/>
      <c r="F1587" s="34"/>
      <c r="G1587" s="34"/>
      <c r="H1587" s="34"/>
      <c r="I1587" s="35"/>
      <c r="J1587" s="35"/>
      <c r="K1587" s="36"/>
      <c r="L1587" s="26" t="str">
        <f>IF(OR(F1587 = "", G1587 = ""), "", IF(F1587 = "Vara", IFERROR(_xlfn.SINGLE(_xlfn.XLOOKUP(G1587, Vöruskrá!A:A, Vöruskrá!E:E, "")), ""), IF(F1587 = "Réttur", IFERROR(_xlfn.SINGLE(_xlfn.XLOOKUP(G1587, Réttabanki!A:A, Réttabanki!AS:AS, "")), ""), "")))</f>
        <v/>
      </c>
      <c r="M1587" s="26" t="str">
        <f>IF(OR(F1587 = "", G1587 = ""), "", IF(F1587 = "Vara", IFERROR(_xlfn.SINGLE(_xlfn.XLOOKUP(G1587, Vöruskrá!A:A, Vöruskrá!F:F, "")), ""), IF(F1587 = "Réttur", IFERROR(_xlfn.SINGLE(_xlfn.XLOOKUP(G1587, Réttabanki!A:A, Réttabanki!AT:AT, "")), ""), "")))</f>
        <v/>
      </c>
      <c r="N1587" s="26" t="str">
        <f>IF(OR(F1587 = "", G1587 = ""), "", IF(F1587 = "Vara", IFERROR(_xlfn.SINGLE(_xlfn.XLOOKUP(G1587, Vöruskrá!A:A, Vöruskrá!G:G, "")), ""), IF(F1587 = "Réttur", IFERROR(_xlfn.SINGLE(_xlfn.XLOOKUP(G1587, Réttabanki!A:A, Réttabanki!AU:AU, "")), ""), "")))</f>
        <v/>
      </c>
      <c r="O1587" s="26" t="str">
        <f>IF(OR(F1587 = "", G1587 = "", I1587 = ""), "", IF(F1587 = "Vara", IFERROR(_xlfn.SINGLE(_xlfn.XLOOKUP(G1587, Vöruskrá!A:A, Vöruskrá!I:I, "")) * I1587 / 100, ""), IF(F1587 = "Réttur", IFERROR(_xlfn.SINGLE(_xlfn.XLOOKUP(G1587, Réttabanki!A:A, Réttabanki!AV:AV, "")) * I1587 / 100, ""), "")))</f>
        <v/>
      </c>
      <c r="P1587" s="26" t="str">
        <f>IF(OR(F1587 = "", G1587 = "", I1587 = ""), "", IF(F1587 = "Vara", IFERROR(_xlfn.SINGLE(_xlfn.XLOOKUP(G1587, Vöruskrá!A:A, Vöruskrá!J:J, "")) * I1587 / 100, ""), IF(F1587 = "Réttur", IFERROR(_xlfn.SINGLE(_xlfn.XLOOKUP(G1587, Réttabanki!A:A, Réttabanki!AW:AW, "")) * I1587 / 100, ""), "")))</f>
        <v/>
      </c>
      <c r="Q1587" s="26" t="str">
        <f>IF(OR(F1587 = "", G1587 = "", I1587 = ""), "", IF(F1587 = "Vara", IFERROR(_xlfn.SINGLE(_xlfn.XLOOKUP(G1587, Vöruskrá!A:A, Vöruskrá!N:N, "")) * I1587 / 100, ""), IF(F1587 = "Réttur", IFERROR(_xlfn.SINGLE(_xlfn.XLOOKUP(G1587, Réttabanki!A:A, Réttabanki!BB:BB, "")) * I1587 / 100, ""), "")))</f>
        <v/>
      </c>
    </row>
    <row r="1588" spans="2:17">
      <c r="B1588" s="33" t="str">
        <f>IF(A1588&lt;&gt;"",CHOOSE(WEEKDAY(A1588,2),"Mánudagur","Þriðjudagur","Miðvikudagur","Fimmtudagur","Föstudagur","Laugardagur","Sunnudagur"),IF(B1587&lt;&gt;"",B1587,""))</f>
        <v>Fimmtudagur</v>
      </c>
      <c r="C1588" s="33">
        <f>IF(A1588&lt;&gt;"",WEEKNUM(A1588,21),IF(C1587&lt;&gt;"",C1587,""))</f>
        <v>27</v>
      </c>
      <c r="D1588" s="34"/>
      <c r="E1588" s="34"/>
      <c r="F1588" s="34"/>
      <c r="G1588" s="34"/>
      <c r="H1588" s="34"/>
      <c r="I1588" s="35"/>
      <c r="J1588" s="35"/>
      <c r="K1588" s="36"/>
      <c r="L1588" s="26" t="str">
        <f>IF(OR(F1588 = "", G1588 = ""), "", IF(F1588 = "Vara", IFERROR(_xlfn.SINGLE(_xlfn.XLOOKUP(G1588, Vöruskrá!A:A, Vöruskrá!E:E, "")), ""), IF(F1588 = "Réttur", IFERROR(_xlfn.SINGLE(_xlfn.XLOOKUP(G1588, Réttabanki!A:A, Réttabanki!AS:AS, "")), ""), "")))</f>
        <v/>
      </c>
      <c r="M1588" s="26" t="str">
        <f>IF(OR(F1588 = "", G1588 = ""), "", IF(F1588 = "Vara", IFERROR(_xlfn.SINGLE(_xlfn.XLOOKUP(G1588, Vöruskrá!A:A, Vöruskrá!F:F, "")), ""), IF(F1588 = "Réttur", IFERROR(_xlfn.SINGLE(_xlfn.XLOOKUP(G1588, Réttabanki!A:A, Réttabanki!AT:AT, "")), ""), "")))</f>
        <v/>
      </c>
      <c r="N1588" s="26" t="str">
        <f>IF(OR(F1588 = "", G1588 = ""), "", IF(F1588 = "Vara", IFERROR(_xlfn.SINGLE(_xlfn.XLOOKUP(G1588, Vöruskrá!A:A, Vöruskrá!G:G, "")), ""), IF(F1588 = "Réttur", IFERROR(_xlfn.SINGLE(_xlfn.XLOOKUP(G1588, Réttabanki!A:A, Réttabanki!AU:AU, "")), ""), "")))</f>
        <v/>
      </c>
      <c r="O1588" s="26" t="str">
        <f>IF(OR(F1588 = "", G1588 = "", I1588 = ""), "", IF(F1588 = "Vara", IFERROR(_xlfn.SINGLE(_xlfn.XLOOKUP(G1588, Vöruskrá!A:A, Vöruskrá!I:I, "")) * I1588 / 100, ""), IF(F1588 = "Réttur", IFERROR(_xlfn.SINGLE(_xlfn.XLOOKUP(G1588, Réttabanki!A:A, Réttabanki!AV:AV, "")) * I1588 / 100, ""), "")))</f>
        <v/>
      </c>
      <c r="P1588" s="26" t="str">
        <f>IF(OR(F1588 = "", G1588 = "", I1588 = ""), "", IF(F1588 = "Vara", IFERROR(_xlfn.SINGLE(_xlfn.XLOOKUP(G1588, Vöruskrá!A:A, Vöruskrá!J:J, "")) * I1588 / 100, ""), IF(F1588 = "Réttur", IFERROR(_xlfn.SINGLE(_xlfn.XLOOKUP(G1588, Réttabanki!A:A, Réttabanki!AW:AW, "")) * I1588 / 100, ""), "")))</f>
        <v/>
      </c>
      <c r="Q1588" s="26" t="str">
        <f>IF(OR(F1588 = "", G1588 = "", I1588 = ""), "", IF(F1588 = "Vara", IFERROR(_xlfn.SINGLE(_xlfn.XLOOKUP(G1588, Vöruskrá!A:A, Vöruskrá!N:N, "")) * I1588 / 100, ""), IF(F1588 = "Réttur", IFERROR(_xlfn.SINGLE(_xlfn.XLOOKUP(G1588, Réttabanki!A:A, Réttabanki!BB:BB, "")) * I1588 / 100, ""), "")))</f>
        <v/>
      </c>
    </row>
    <row r="1589" spans="2:17">
      <c r="B1589" s="33" t="str">
        <f>IF(A1589&lt;&gt;"",CHOOSE(WEEKDAY(A1589,2),"Mánudagur","Þriðjudagur","Miðvikudagur","Fimmtudagur","Föstudagur","Laugardagur","Sunnudagur"),IF(B1588&lt;&gt;"",B1588,""))</f>
        <v>Fimmtudagur</v>
      </c>
      <c r="C1589" s="33">
        <f>IF(A1589&lt;&gt;"",WEEKNUM(A1589,21),IF(C1588&lt;&gt;"",C1588,""))</f>
        <v>27</v>
      </c>
      <c r="D1589" s="34"/>
      <c r="E1589" s="34"/>
      <c r="F1589" s="34"/>
      <c r="G1589" s="34"/>
      <c r="H1589" s="34"/>
      <c r="I1589" s="35"/>
      <c r="J1589" s="35"/>
      <c r="K1589" s="36"/>
      <c r="L1589" s="26" t="str">
        <f>IF(OR(F1589 = "", G1589 = ""), "", IF(F1589 = "Vara", IFERROR(_xlfn.SINGLE(_xlfn.XLOOKUP(G1589, Vöruskrá!A:A, Vöruskrá!E:E, "")), ""), IF(F1589 = "Réttur", IFERROR(_xlfn.SINGLE(_xlfn.XLOOKUP(G1589, Réttabanki!A:A, Réttabanki!AS:AS, "")), ""), "")))</f>
        <v/>
      </c>
      <c r="M1589" s="26" t="str">
        <f>IF(OR(F1589 = "", G1589 = ""), "", IF(F1589 = "Vara", IFERROR(_xlfn.SINGLE(_xlfn.XLOOKUP(G1589, Vöruskrá!A:A, Vöruskrá!F:F, "")), ""), IF(F1589 = "Réttur", IFERROR(_xlfn.SINGLE(_xlfn.XLOOKUP(G1589, Réttabanki!A:A, Réttabanki!AT:AT, "")), ""), "")))</f>
        <v/>
      </c>
      <c r="N1589" s="26" t="str">
        <f>IF(OR(F1589 = "", G1589 = ""), "", IF(F1589 = "Vara", IFERROR(_xlfn.SINGLE(_xlfn.XLOOKUP(G1589, Vöruskrá!A:A, Vöruskrá!G:G, "")), ""), IF(F1589 = "Réttur", IFERROR(_xlfn.SINGLE(_xlfn.XLOOKUP(G1589, Réttabanki!A:A, Réttabanki!AU:AU, "")), ""), "")))</f>
        <v/>
      </c>
      <c r="O1589" s="26" t="str">
        <f>IF(OR(F1589 = "", G1589 = "", I1589 = ""), "", IF(F1589 = "Vara", IFERROR(_xlfn.SINGLE(_xlfn.XLOOKUP(G1589, Vöruskrá!A:A, Vöruskrá!I:I, "")) * I1589 / 100, ""), IF(F1589 = "Réttur", IFERROR(_xlfn.SINGLE(_xlfn.XLOOKUP(G1589, Réttabanki!A:A, Réttabanki!AV:AV, "")) * I1589 / 100, ""), "")))</f>
        <v/>
      </c>
      <c r="P1589" s="26" t="str">
        <f>IF(OR(F1589 = "", G1589 = "", I1589 = ""), "", IF(F1589 = "Vara", IFERROR(_xlfn.SINGLE(_xlfn.XLOOKUP(G1589, Vöruskrá!A:A, Vöruskrá!J:J, "")) * I1589 / 100, ""), IF(F1589 = "Réttur", IFERROR(_xlfn.SINGLE(_xlfn.XLOOKUP(G1589, Réttabanki!A:A, Réttabanki!AW:AW, "")) * I1589 / 100, ""), "")))</f>
        <v/>
      </c>
      <c r="Q1589" s="26" t="str">
        <f>IF(OR(F1589 = "", G1589 = "", I1589 = ""), "", IF(F1589 = "Vara", IFERROR(_xlfn.SINGLE(_xlfn.XLOOKUP(G1589, Vöruskrá!A:A, Vöruskrá!N:N, "")) * I1589 / 100, ""), IF(F1589 = "Réttur", IFERROR(_xlfn.SINGLE(_xlfn.XLOOKUP(G1589, Réttabanki!A:A, Réttabanki!BB:BB, "")) * I1589 / 100, ""), "")))</f>
        <v/>
      </c>
    </row>
    <row r="1590" spans="2:17">
      <c r="B1590" s="33" t="str">
        <f>IF(A1590&lt;&gt;"",CHOOSE(WEEKDAY(A1590,2),"Mánudagur","Þriðjudagur","Miðvikudagur","Fimmtudagur","Föstudagur","Laugardagur","Sunnudagur"),IF(B1589&lt;&gt;"",B1589,""))</f>
        <v>Fimmtudagur</v>
      </c>
      <c r="C1590" s="33">
        <f>IF(A1590&lt;&gt;"",WEEKNUM(A1590,21),IF(C1589&lt;&gt;"",C1589,""))</f>
        <v>27</v>
      </c>
      <c r="D1590" s="34"/>
      <c r="E1590" s="34"/>
      <c r="F1590" s="34"/>
      <c r="G1590" s="34"/>
      <c r="H1590" s="34"/>
      <c r="I1590" s="35"/>
      <c r="J1590" s="35"/>
      <c r="K1590" s="36"/>
      <c r="L1590" s="26" t="str">
        <f>IF(OR(F1590 = "", G1590 = ""), "", IF(F1590 = "Vara", IFERROR(_xlfn.SINGLE(_xlfn.XLOOKUP(G1590, Vöruskrá!A:A, Vöruskrá!E:E, "")), ""), IF(F1590 = "Réttur", IFERROR(_xlfn.SINGLE(_xlfn.XLOOKUP(G1590, Réttabanki!A:A, Réttabanki!AS:AS, "")), ""), "")))</f>
        <v/>
      </c>
      <c r="M1590" s="26" t="str">
        <f>IF(OR(F1590 = "", G1590 = ""), "", IF(F1590 = "Vara", IFERROR(_xlfn.SINGLE(_xlfn.XLOOKUP(G1590, Vöruskrá!A:A, Vöruskrá!F:F, "")), ""), IF(F1590 = "Réttur", IFERROR(_xlfn.SINGLE(_xlfn.XLOOKUP(G1590, Réttabanki!A:A, Réttabanki!AT:AT, "")), ""), "")))</f>
        <v/>
      </c>
      <c r="N1590" s="26" t="str">
        <f>IF(OR(F1590 = "", G1590 = ""), "", IF(F1590 = "Vara", IFERROR(_xlfn.SINGLE(_xlfn.XLOOKUP(G1590, Vöruskrá!A:A, Vöruskrá!G:G, "")), ""), IF(F1590 = "Réttur", IFERROR(_xlfn.SINGLE(_xlfn.XLOOKUP(G1590, Réttabanki!A:A, Réttabanki!AU:AU, "")), ""), "")))</f>
        <v/>
      </c>
      <c r="O1590" s="26" t="str">
        <f>IF(OR(F1590 = "", G1590 = "", I1590 = ""), "", IF(F1590 = "Vara", IFERROR(_xlfn.SINGLE(_xlfn.XLOOKUP(G1590, Vöruskrá!A:A, Vöruskrá!I:I, "")) * I1590 / 100, ""), IF(F1590 = "Réttur", IFERROR(_xlfn.SINGLE(_xlfn.XLOOKUP(G1590, Réttabanki!A:A, Réttabanki!AV:AV, "")) * I1590 / 100, ""), "")))</f>
        <v/>
      </c>
      <c r="P1590" s="26" t="str">
        <f>IF(OR(F1590 = "", G1590 = "", I1590 = ""), "", IF(F1590 = "Vara", IFERROR(_xlfn.SINGLE(_xlfn.XLOOKUP(G1590, Vöruskrá!A:A, Vöruskrá!J:J, "")) * I1590 / 100, ""), IF(F1590 = "Réttur", IFERROR(_xlfn.SINGLE(_xlfn.XLOOKUP(G1590, Réttabanki!A:A, Réttabanki!AW:AW, "")) * I1590 / 100, ""), "")))</f>
        <v/>
      </c>
      <c r="Q1590" s="26" t="str">
        <f>IF(OR(F1590 = "", G1590 = "", I1590 = ""), "", IF(F1590 = "Vara", IFERROR(_xlfn.SINGLE(_xlfn.XLOOKUP(G1590, Vöruskrá!A:A, Vöruskrá!N:N, "")) * I1590 / 100, ""), IF(F1590 = "Réttur", IFERROR(_xlfn.SINGLE(_xlfn.XLOOKUP(G1590, Réttabanki!A:A, Réttabanki!BB:BB, "")) * I1590 / 100, ""), "")))</f>
        <v/>
      </c>
    </row>
    <row r="1591" spans="2:17">
      <c r="B1591" s="33" t="str">
        <f>IF(A1591&lt;&gt;"",CHOOSE(WEEKDAY(A1591,2),"Mánudagur","Þriðjudagur","Miðvikudagur","Fimmtudagur","Föstudagur","Laugardagur","Sunnudagur"),IF(B1590&lt;&gt;"",B1590,""))</f>
        <v>Fimmtudagur</v>
      </c>
      <c r="C1591" s="33">
        <f>IF(A1591&lt;&gt;"",WEEKNUM(A1591,21),IF(C1590&lt;&gt;"",C1590,""))</f>
        <v>27</v>
      </c>
      <c r="D1591" s="34"/>
      <c r="E1591" s="34"/>
      <c r="F1591" s="34"/>
      <c r="G1591" s="34"/>
      <c r="H1591" s="34"/>
      <c r="I1591" s="35"/>
      <c r="J1591" s="35"/>
      <c r="K1591" s="36"/>
      <c r="L1591" s="26" t="str">
        <f>IF(OR(F1591 = "", G1591 = ""), "", IF(F1591 = "Vara", IFERROR(_xlfn.SINGLE(_xlfn.XLOOKUP(G1591, Vöruskrá!A:A, Vöruskrá!E:E, "")), ""), IF(F1591 = "Réttur", IFERROR(_xlfn.SINGLE(_xlfn.XLOOKUP(G1591, Réttabanki!A:A, Réttabanki!AS:AS, "")), ""), "")))</f>
        <v/>
      </c>
      <c r="M1591" s="26" t="str">
        <f>IF(OR(F1591 = "", G1591 = ""), "", IF(F1591 = "Vara", IFERROR(_xlfn.SINGLE(_xlfn.XLOOKUP(G1591, Vöruskrá!A:A, Vöruskrá!F:F, "")), ""), IF(F1591 = "Réttur", IFERROR(_xlfn.SINGLE(_xlfn.XLOOKUP(G1591, Réttabanki!A:A, Réttabanki!AT:AT, "")), ""), "")))</f>
        <v/>
      </c>
      <c r="N1591" s="26" t="str">
        <f>IF(OR(F1591 = "", G1591 = ""), "", IF(F1591 = "Vara", IFERROR(_xlfn.SINGLE(_xlfn.XLOOKUP(G1591, Vöruskrá!A:A, Vöruskrá!G:G, "")), ""), IF(F1591 = "Réttur", IFERROR(_xlfn.SINGLE(_xlfn.XLOOKUP(G1591, Réttabanki!A:A, Réttabanki!AU:AU, "")), ""), "")))</f>
        <v/>
      </c>
      <c r="O1591" s="26" t="str">
        <f>IF(OR(F1591 = "", G1591 = "", I1591 = ""), "", IF(F1591 = "Vara", IFERROR(_xlfn.SINGLE(_xlfn.XLOOKUP(G1591, Vöruskrá!A:A, Vöruskrá!I:I, "")) * I1591 / 100, ""), IF(F1591 = "Réttur", IFERROR(_xlfn.SINGLE(_xlfn.XLOOKUP(G1591, Réttabanki!A:A, Réttabanki!AV:AV, "")) * I1591 / 100, ""), "")))</f>
        <v/>
      </c>
      <c r="P1591" s="26" t="str">
        <f>IF(OR(F1591 = "", G1591 = "", I1591 = ""), "", IF(F1591 = "Vara", IFERROR(_xlfn.SINGLE(_xlfn.XLOOKUP(G1591, Vöruskrá!A:A, Vöruskrá!J:J, "")) * I1591 / 100, ""), IF(F1591 = "Réttur", IFERROR(_xlfn.SINGLE(_xlfn.XLOOKUP(G1591, Réttabanki!A:A, Réttabanki!AW:AW, "")) * I1591 / 100, ""), "")))</f>
        <v/>
      </c>
      <c r="Q1591" s="26" t="str">
        <f>IF(OR(F1591 = "", G1591 = "", I1591 = ""), "", IF(F1591 = "Vara", IFERROR(_xlfn.SINGLE(_xlfn.XLOOKUP(G1591, Vöruskrá!A:A, Vöruskrá!N:N, "")) * I1591 / 100, ""), IF(F1591 = "Réttur", IFERROR(_xlfn.SINGLE(_xlfn.XLOOKUP(G1591, Réttabanki!A:A, Réttabanki!BB:BB, "")) * I1591 / 100, ""), "")))</f>
        <v/>
      </c>
    </row>
    <row r="1592" spans="2:17">
      <c r="B1592" s="33" t="str">
        <f>IF(A1592&lt;&gt;"",CHOOSE(WEEKDAY(A1592,2),"Mánudagur","Þriðjudagur","Miðvikudagur","Fimmtudagur","Föstudagur","Laugardagur","Sunnudagur"),IF(B1591&lt;&gt;"",B1591,""))</f>
        <v>Fimmtudagur</v>
      </c>
      <c r="C1592" s="33">
        <f>IF(A1592&lt;&gt;"",WEEKNUM(A1592,21),IF(C1591&lt;&gt;"",C1591,""))</f>
        <v>27</v>
      </c>
      <c r="D1592" s="34"/>
      <c r="E1592" s="34"/>
      <c r="F1592" s="34"/>
      <c r="G1592" s="34"/>
      <c r="H1592" s="34"/>
      <c r="I1592" s="35"/>
      <c r="J1592" s="35"/>
      <c r="K1592" s="36"/>
      <c r="L1592" s="26" t="str">
        <f>IF(OR(F1592 = "", G1592 = ""), "", IF(F1592 = "Vara", IFERROR(_xlfn.SINGLE(_xlfn.XLOOKUP(G1592, Vöruskrá!A:A, Vöruskrá!E:E, "")), ""), IF(F1592 = "Réttur", IFERROR(_xlfn.SINGLE(_xlfn.XLOOKUP(G1592, Réttabanki!A:A, Réttabanki!AS:AS, "")), ""), "")))</f>
        <v/>
      </c>
      <c r="M1592" s="26" t="str">
        <f>IF(OR(F1592 = "", G1592 = ""), "", IF(F1592 = "Vara", IFERROR(_xlfn.SINGLE(_xlfn.XLOOKUP(G1592, Vöruskrá!A:A, Vöruskrá!F:F, "")), ""), IF(F1592 = "Réttur", IFERROR(_xlfn.SINGLE(_xlfn.XLOOKUP(G1592, Réttabanki!A:A, Réttabanki!AT:AT, "")), ""), "")))</f>
        <v/>
      </c>
      <c r="N1592" s="26" t="str">
        <f>IF(OR(F1592 = "", G1592 = ""), "", IF(F1592 = "Vara", IFERROR(_xlfn.SINGLE(_xlfn.XLOOKUP(G1592, Vöruskrá!A:A, Vöruskrá!G:G, "")), ""), IF(F1592 = "Réttur", IFERROR(_xlfn.SINGLE(_xlfn.XLOOKUP(G1592, Réttabanki!A:A, Réttabanki!AU:AU, "")), ""), "")))</f>
        <v/>
      </c>
      <c r="O1592" s="26" t="str">
        <f>IF(OR(F1592 = "", G1592 = "", I1592 = ""), "", IF(F1592 = "Vara", IFERROR(_xlfn.SINGLE(_xlfn.XLOOKUP(G1592, Vöruskrá!A:A, Vöruskrá!I:I, "")) * I1592 / 100, ""), IF(F1592 = "Réttur", IFERROR(_xlfn.SINGLE(_xlfn.XLOOKUP(G1592, Réttabanki!A:A, Réttabanki!AV:AV, "")) * I1592 / 100, ""), "")))</f>
        <v/>
      </c>
      <c r="P1592" s="26" t="str">
        <f>IF(OR(F1592 = "", G1592 = "", I1592 = ""), "", IF(F1592 = "Vara", IFERROR(_xlfn.SINGLE(_xlfn.XLOOKUP(G1592, Vöruskrá!A:A, Vöruskrá!J:J, "")) * I1592 / 100, ""), IF(F1592 = "Réttur", IFERROR(_xlfn.SINGLE(_xlfn.XLOOKUP(G1592, Réttabanki!A:A, Réttabanki!AW:AW, "")) * I1592 / 100, ""), "")))</f>
        <v/>
      </c>
      <c r="Q1592" s="26" t="str">
        <f>IF(OR(F1592 = "", G1592 = "", I1592 = ""), "", IF(F1592 = "Vara", IFERROR(_xlfn.SINGLE(_xlfn.XLOOKUP(G1592, Vöruskrá!A:A, Vöruskrá!N:N, "")) * I1592 / 100, ""), IF(F1592 = "Réttur", IFERROR(_xlfn.SINGLE(_xlfn.XLOOKUP(G1592, Réttabanki!A:A, Réttabanki!BB:BB, "")) * I1592 / 100, ""), "")))</f>
        <v/>
      </c>
    </row>
    <row r="1593" spans="2:17">
      <c r="B1593" s="33" t="str">
        <f>IF(A1593&lt;&gt;"",CHOOSE(WEEKDAY(A1593,2),"Mánudagur","Þriðjudagur","Miðvikudagur","Fimmtudagur","Föstudagur","Laugardagur","Sunnudagur"),IF(B1592&lt;&gt;"",B1592,""))</f>
        <v>Fimmtudagur</v>
      </c>
      <c r="C1593" s="33">
        <f>IF(A1593&lt;&gt;"",WEEKNUM(A1593,21),IF(C1592&lt;&gt;"",C1592,""))</f>
        <v>27</v>
      </c>
      <c r="D1593" s="34"/>
      <c r="E1593" s="34"/>
      <c r="F1593" s="34"/>
      <c r="G1593" s="34"/>
      <c r="H1593" s="34"/>
      <c r="I1593" s="35"/>
      <c r="J1593" s="35"/>
      <c r="K1593" s="36"/>
      <c r="L1593" s="26" t="str">
        <f>IF(OR(F1593 = "", G1593 = ""), "", IF(F1593 = "Vara", IFERROR(_xlfn.SINGLE(_xlfn.XLOOKUP(G1593, Vöruskrá!A:A, Vöruskrá!E:E, "")), ""), IF(F1593 = "Réttur", IFERROR(_xlfn.SINGLE(_xlfn.XLOOKUP(G1593, Réttabanki!A:A, Réttabanki!AS:AS, "")), ""), "")))</f>
        <v/>
      </c>
      <c r="M1593" s="26" t="str">
        <f>IF(OR(F1593 = "", G1593 = ""), "", IF(F1593 = "Vara", IFERROR(_xlfn.SINGLE(_xlfn.XLOOKUP(G1593, Vöruskrá!A:A, Vöruskrá!F:F, "")), ""), IF(F1593 = "Réttur", IFERROR(_xlfn.SINGLE(_xlfn.XLOOKUP(G1593, Réttabanki!A:A, Réttabanki!AT:AT, "")), ""), "")))</f>
        <v/>
      </c>
      <c r="N1593" s="26" t="str">
        <f>IF(OR(F1593 = "", G1593 = ""), "", IF(F1593 = "Vara", IFERROR(_xlfn.SINGLE(_xlfn.XLOOKUP(G1593, Vöruskrá!A:A, Vöruskrá!G:G, "")), ""), IF(F1593 = "Réttur", IFERROR(_xlfn.SINGLE(_xlfn.XLOOKUP(G1593, Réttabanki!A:A, Réttabanki!AU:AU, "")), ""), "")))</f>
        <v/>
      </c>
      <c r="O1593" s="26" t="str">
        <f>IF(OR(F1593 = "", G1593 = "", I1593 = ""), "", IF(F1593 = "Vara", IFERROR(_xlfn.SINGLE(_xlfn.XLOOKUP(G1593, Vöruskrá!A:A, Vöruskrá!I:I, "")) * I1593 / 100, ""), IF(F1593 = "Réttur", IFERROR(_xlfn.SINGLE(_xlfn.XLOOKUP(G1593, Réttabanki!A:A, Réttabanki!AV:AV, "")) * I1593 / 100, ""), "")))</f>
        <v/>
      </c>
      <c r="P1593" s="26" t="str">
        <f>IF(OR(F1593 = "", G1593 = "", I1593 = ""), "", IF(F1593 = "Vara", IFERROR(_xlfn.SINGLE(_xlfn.XLOOKUP(G1593, Vöruskrá!A:A, Vöruskrá!J:J, "")) * I1593 / 100, ""), IF(F1593 = "Réttur", IFERROR(_xlfn.SINGLE(_xlfn.XLOOKUP(G1593, Réttabanki!A:A, Réttabanki!AW:AW, "")) * I1593 / 100, ""), "")))</f>
        <v/>
      </c>
      <c r="Q1593" s="26" t="str">
        <f>IF(OR(F1593 = "", G1593 = "", I1593 = ""), "", IF(F1593 = "Vara", IFERROR(_xlfn.SINGLE(_xlfn.XLOOKUP(G1593, Vöruskrá!A:A, Vöruskrá!N:N, "")) * I1593 / 100, ""), IF(F1593 = "Réttur", IFERROR(_xlfn.SINGLE(_xlfn.XLOOKUP(G1593, Réttabanki!A:A, Réttabanki!BB:BB, "")) * I1593 / 100, ""), "")))</f>
        <v/>
      </c>
    </row>
    <row r="1594" spans="2:17">
      <c r="B1594" s="33" t="str">
        <f>IF(A1594&lt;&gt;"",CHOOSE(WEEKDAY(A1594,2),"Mánudagur","Þriðjudagur","Miðvikudagur","Fimmtudagur","Föstudagur","Laugardagur","Sunnudagur"),IF(B1593&lt;&gt;"",B1593,""))</f>
        <v>Fimmtudagur</v>
      </c>
      <c r="C1594" s="33">
        <f>IF(A1594&lt;&gt;"",WEEKNUM(A1594,21),IF(C1593&lt;&gt;"",C1593,""))</f>
        <v>27</v>
      </c>
      <c r="D1594" s="34"/>
      <c r="E1594" s="34"/>
      <c r="F1594" s="34"/>
      <c r="G1594" s="34"/>
      <c r="H1594" s="34"/>
      <c r="I1594" s="35"/>
      <c r="J1594" s="35"/>
      <c r="K1594" s="36"/>
      <c r="L1594" s="26" t="str">
        <f>IF(OR(F1594 = "", G1594 = ""), "", IF(F1594 = "Vara", IFERROR(_xlfn.SINGLE(_xlfn.XLOOKUP(G1594, Vöruskrá!A:A, Vöruskrá!E:E, "")), ""), IF(F1594 = "Réttur", IFERROR(_xlfn.SINGLE(_xlfn.XLOOKUP(G1594, Réttabanki!A:A, Réttabanki!AS:AS, "")), ""), "")))</f>
        <v/>
      </c>
      <c r="M1594" s="26" t="str">
        <f>IF(OR(F1594 = "", G1594 = ""), "", IF(F1594 = "Vara", IFERROR(_xlfn.SINGLE(_xlfn.XLOOKUP(G1594, Vöruskrá!A:A, Vöruskrá!F:F, "")), ""), IF(F1594 = "Réttur", IFERROR(_xlfn.SINGLE(_xlfn.XLOOKUP(G1594, Réttabanki!A:A, Réttabanki!AT:AT, "")), ""), "")))</f>
        <v/>
      </c>
      <c r="N1594" s="26" t="str">
        <f>IF(OR(F1594 = "", G1594 = ""), "", IF(F1594 = "Vara", IFERROR(_xlfn.SINGLE(_xlfn.XLOOKUP(G1594, Vöruskrá!A:A, Vöruskrá!G:G, "")), ""), IF(F1594 = "Réttur", IFERROR(_xlfn.SINGLE(_xlfn.XLOOKUP(G1594, Réttabanki!A:A, Réttabanki!AU:AU, "")), ""), "")))</f>
        <v/>
      </c>
      <c r="O1594" s="26" t="str">
        <f>IF(OR(F1594 = "", G1594 = "", I1594 = ""), "", IF(F1594 = "Vara", IFERROR(_xlfn.SINGLE(_xlfn.XLOOKUP(G1594, Vöruskrá!A:A, Vöruskrá!I:I, "")) * I1594 / 100, ""), IF(F1594 = "Réttur", IFERROR(_xlfn.SINGLE(_xlfn.XLOOKUP(G1594, Réttabanki!A:A, Réttabanki!AV:AV, "")) * I1594 / 100, ""), "")))</f>
        <v/>
      </c>
      <c r="P1594" s="26" t="str">
        <f>IF(OR(F1594 = "", G1594 = "", I1594 = ""), "", IF(F1594 = "Vara", IFERROR(_xlfn.SINGLE(_xlfn.XLOOKUP(G1594, Vöruskrá!A:A, Vöruskrá!J:J, "")) * I1594 / 100, ""), IF(F1594 = "Réttur", IFERROR(_xlfn.SINGLE(_xlfn.XLOOKUP(G1594, Réttabanki!A:A, Réttabanki!AW:AW, "")) * I1594 / 100, ""), "")))</f>
        <v/>
      </c>
      <c r="Q1594" s="26" t="str">
        <f>IF(OR(F1594 = "", G1594 = "", I1594 = ""), "", IF(F1594 = "Vara", IFERROR(_xlfn.SINGLE(_xlfn.XLOOKUP(G1594, Vöruskrá!A:A, Vöruskrá!N:N, "")) * I1594 / 100, ""), IF(F1594 = "Réttur", IFERROR(_xlfn.SINGLE(_xlfn.XLOOKUP(G1594, Réttabanki!A:A, Réttabanki!BB:BB, "")) * I1594 / 100, ""), "")))</f>
        <v/>
      </c>
    </row>
    <row r="1595" spans="2:17">
      <c r="B1595" s="33" t="str">
        <f>IF(A1595&lt;&gt;"",CHOOSE(WEEKDAY(A1595,2),"Mánudagur","Þriðjudagur","Miðvikudagur","Fimmtudagur","Föstudagur","Laugardagur","Sunnudagur"),IF(B1594&lt;&gt;"",B1594,""))</f>
        <v>Fimmtudagur</v>
      </c>
      <c r="C1595" s="33">
        <f>IF(A1595&lt;&gt;"",WEEKNUM(A1595,21),IF(C1594&lt;&gt;"",C1594,""))</f>
        <v>27</v>
      </c>
      <c r="D1595" s="34"/>
      <c r="E1595" s="34"/>
      <c r="F1595" s="34"/>
      <c r="G1595" s="34"/>
      <c r="H1595" s="34"/>
      <c r="I1595" s="35"/>
      <c r="J1595" s="35"/>
      <c r="K1595" s="36"/>
      <c r="L1595" s="26" t="str">
        <f>IF(OR(F1595 = "", G1595 = ""), "", IF(F1595 = "Vara", IFERROR(_xlfn.SINGLE(_xlfn.XLOOKUP(G1595, Vöruskrá!A:A, Vöruskrá!E:E, "")), ""), IF(F1595 = "Réttur", IFERROR(_xlfn.SINGLE(_xlfn.XLOOKUP(G1595, Réttabanki!A:A, Réttabanki!AS:AS, "")), ""), "")))</f>
        <v/>
      </c>
      <c r="M1595" s="26" t="str">
        <f>IF(OR(F1595 = "", G1595 = ""), "", IF(F1595 = "Vara", IFERROR(_xlfn.SINGLE(_xlfn.XLOOKUP(G1595, Vöruskrá!A:A, Vöruskrá!F:F, "")), ""), IF(F1595 = "Réttur", IFERROR(_xlfn.SINGLE(_xlfn.XLOOKUP(G1595, Réttabanki!A:A, Réttabanki!AT:AT, "")), ""), "")))</f>
        <v/>
      </c>
      <c r="N1595" s="26" t="str">
        <f>IF(OR(F1595 = "", G1595 = ""), "", IF(F1595 = "Vara", IFERROR(_xlfn.SINGLE(_xlfn.XLOOKUP(G1595, Vöruskrá!A:A, Vöruskrá!G:G, "")), ""), IF(F1595 = "Réttur", IFERROR(_xlfn.SINGLE(_xlfn.XLOOKUP(G1595, Réttabanki!A:A, Réttabanki!AU:AU, "")), ""), "")))</f>
        <v/>
      </c>
      <c r="O1595" s="26" t="str">
        <f>IF(OR(F1595 = "", G1595 = "", I1595 = ""), "", IF(F1595 = "Vara", IFERROR(_xlfn.SINGLE(_xlfn.XLOOKUP(G1595, Vöruskrá!A:A, Vöruskrá!I:I, "")) * I1595 / 100, ""), IF(F1595 = "Réttur", IFERROR(_xlfn.SINGLE(_xlfn.XLOOKUP(G1595, Réttabanki!A:A, Réttabanki!AV:AV, "")) * I1595 / 100, ""), "")))</f>
        <v/>
      </c>
      <c r="P1595" s="26" t="str">
        <f>IF(OR(F1595 = "", G1595 = "", I1595 = ""), "", IF(F1595 = "Vara", IFERROR(_xlfn.SINGLE(_xlfn.XLOOKUP(G1595, Vöruskrá!A:A, Vöruskrá!J:J, "")) * I1595 / 100, ""), IF(F1595 = "Réttur", IFERROR(_xlfn.SINGLE(_xlfn.XLOOKUP(G1595, Réttabanki!A:A, Réttabanki!AW:AW, "")) * I1595 / 100, ""), "")))</f>
        <v/>
      </c>
      <c r="Q1595" s="26" t="str">
        <f>IF(OR(F1595 = "", G1595 = "", I1595 = ""), "", IF(F1595 = "Vara", IFERROR(_xlfn.SINGLE(_xlfn.XLOOKUP(G1595, Vöruskrá!A:A, Vöruskrá!N:N, "")) * I1595 / 100, ""), IF(F1595 = "Réttur", IFERROR(_xlfn.SINGLE(_xlfn.XLOOKUP(G1595, Réttabanki!A:A, Réttabanki!BB:BB, "")) * I1595 / 100, ""), "")))</f>
        <v/>
      </c>
    </row>
    <row r="1596" spans="2:17">
      <c r="B1596" s="33" t="str">
        <f>IF(A1596&lt;&gt;"",CHOOSE(WEEKDAY(A1596,2),"Mánudagur","Þriðjudagur","Miðvikudagur","Fimmtudagur","Föstudagur","Laugardagur","Sunnudagur"),IF(B1595&lt;&gt;"",B1595,""))</f>
        <v>Fimmtudagur</v>
      </c>
      <c r="C1596" s="33">
        <f>IF(A1596&lt;&gt;"",WEEKNUM(A1596,21),IF(C1595&lt;&gt;"",C1595,""))</f>
        <v>27</v>
      </c>
      <c r="D1596" s="34"/>
      <c r="E1596" s="34"/>
      <c r="F1596" s="34"/>
      <c r="G1596" s="34"/>
      <c r="H1596" s="34"/>
      <c r="I1596" s="35"/>
      <c r="J1596" s="35"/>
      <c r="K1596" s="36"/>
      <c r="L1596" s="26" t="str">
        <f>IF(OR(F1596 = "", G1596 = ""), "", IF(F1596 = "Vara", IFERROR(_xlfn.SINGLE(_xlfn.XLOOKUP(G1596, Vöruskrá!A:A, Vöruskrá!E:E, "")), ""), IF(F1596 = "Réttur", IFERROR(_xlfn.SINGLE(_xlfn.XLOOKUP(G1596, Réttabanki!A:A, Réttabanki!AS:AS, "")), ""), "")))</f>
        <v/>
      </c>
      <c r="M1596" s="26" t="str">
        <f>IF(OR(F1596 = "", G1596 = ""), "", IF(F1596 = "Vara", IFERROR(_xlfn.SINGLE(_xlfn.XLOOKUP(G1596, Vöruskrá!A:A, Vöruskrá!F:F, "")), ""), IF(F1596 = "Réttur", IFERROR(_xlfn.SINGLE(_xlfn.XLOOKUP(G1596, Réttabanki!A:A, Réttabanki!AT:AT, "")), ""), "")))</f>
        <v/>
      </c>
      <c r="N1596" s="26" t="str">
        <f>IF(OR(F1596 = "", G1596 = ""), "", IF(F1596 = "Vara", IFERROR(_xlfn.SINGLE(_xlfn.XLOOKUP(G1596, Vöruskrá!A:A, Vöruskrá!G:G, "")), ""), IF(F1596 = "Réttur", IFERROR(_xlfn.SINGLE(_xlfn.XLOOKUP(G1596, Réttabanki!A:A, Réttabanki!AU:AU, "")), ""), "")))</f>
        <v/>
      </c>
      <c r="O1596" s="26" t="str">
        <f>IF(OR(F1596 = "", G1596 = "", I1596 = ""), "", IF(F1596 = "Vara", IFERROR(_xlfn.SINGLE(_xlfn.XLOOKUP(G1596, Vöruskrá!A:A, Vöruskrá!I:I, "")) * I1596 / 100, ""), IF(F1596 = "Réttur", IFERROR(_xlfn.SINGLE(_xlfn.XLOOKUP(G1596, Réttabanki!A:A, Réttabanki!AV:AV, "")) * I1596 / 100, ""), "")))</f>
        <v/>
      </c>
      <c r="P1596" s="26" t="str">
        <f>IF(OR(F1596 = "", G1596 = "", I1596 = ""), "", IF(F1596 = "Vara", IFERROR(_xlfn.SINGLE(_xlfn.XLOOKUP(G1596, Vöruskrá!A:A, Vöruskrá!J:J, "")) * I1596 / 100, ""), IF(F1596 = "Réttur", IFERROR(_xlfn.SINGLE(_xlfn.XLOOKUP(G1596, Réttabanki!A:A, Réttabanki!AW:AW, "")) * I1596 / 100, ""), "")))</f>
        <v/>
      </c>
      <c r="Q1596" s="26" t="str">
        <f>IF(OR(F1596 = "", G1596 = "", I1596 = ""), "", IF(F1596 = "Vara", IFERROR(_xlfn.SINGLE(_xlfn.XLOOKUP(G1596, Vöruskrá!A:A, Vöruskrá!N:N, "")) * I1596 / 100, ""), IF(F1596 = "Réttur", IFERROR(_xlfn.SINGLE(_xlfn.XLOOKUP(G1596, Réttabanki!A:A, Réttabanki!BB:BB, "")) * I1596 / 100, ""), "")))</f>
        <v/>
      </c>
    </row>
    <row r="1597" spans="2:17">
      <c r="B1597" s="33" t="str">
        <f>IF(A1597&lt;&gt;"",CHOOSE(WEEKDAY(A1597,2),"Mánudagur","Þriðjudagur","Miðvikudagur","Fimmtudagur","Föstudagur","Laugardagur","Sunnudagur"),IF(B1596&lt;&gt;"",B1596,""))</f>
        <v>Fimmtudagur</v>
      </c>
      <c r="C1597" s="33">
        <f>IF(A1597&lt;&gt;"",WEEKNUM(A1597,21),IF(C1596&lt;&gt;"",C1596,""))</f>
        <v>27</v>
      </c>
      <c r="D1597" s="34"/>
      <c r="E1597" s="34"/>
      <c r="F1597" s="34"/>
      <c r="G1597" s="34"/>
      <c r="H1597" s="34"/>
      <c r="I1597" s="35"/>
      <c r="J1597" s="35"/>
      <c r="K1597" s="36"/>
      <c r="L1597" s="26" t="str">
        <f>IF(OR(F1597 = "", G1597 = ""), "", IF(F1597 = "Vara", IFERROR(_xlfn.SINGLE(_xlfn.XLOOKUP(G1597, Vöruskrá!A:A, Vöruskrá!E:E, "")), ""), IF(F1597 = "Réttur", IFERROR(_xlfn.SINGLE(_xlfn.XLOOKUP(G1597, Réttabanki!A:A, Réttabanki!AS:AS, "")), ""), "")))</f>
        <v/>
      </c>
      <c r="M1597" s="26" t="str">
        <f>IF(OR(F1597 = "", G1597 = ""), "", IF(F1597 = "Vara", IFERROR(_xlfn.SINGLE(_xlfn.XLOOKUP(G1597, Vöruskrá!A:A, Vöruskrá!F:F, "")), ""), IF(F1597 = "Réttur", IFERROR(_xlfn.SINGLE(_xlfn.XLOOKUP(G1597, Réttabanki!A:A, Réttabanki!AT:AT, "")), ""), "")))</f>
        <v/>
      </c>
      <c r="N1597" s="26" t="str">
        <f>IF(OR(F1597 = "", G1597 = ""), "", IF(F1597 = "Vara", IFERROR(_xlfn.SINGLE(_xlfn.XLOOKUP(G1597, Vöruskrá!A:A, Vöruskrá!G:G, "")), ""), IF(F1597 = "Réttur", IFERROR(_xlfn.SINGLE(_xlfn.XLOOKUP(G1597, Réttabanki!A:A, Réttabanki!AU:AU, "")), ""), "")))</f>
        <v/>
      </c>
      <c r="O1597" s="26" t="str">
        <f>IF(OR(F1597 = "", G1597 = "", I1597 = ""), "", IF(F1597 = "Vara", IFERROR(_xlfn.SINGLE(_xlfn.XLOOKUP(G1597, Vöruskrá!A:A, Vöruskrá!I:I, "")) * I1597 / 100, ""), IF(F1597 = "Réttur", IFERROR(_xlfn.SINGLE(_xlfn.XLOOKUP(G1597, Réttabanki!A:A, Réttabanki!AV:AV, "")) * I1597 / 100, ""), "")))</f>
        <v/>
      </c>
      <c r="P1597" s="26" t="str">
        <f>IF(OR(F1597 = "", G1597 = "", I1597 = ""), "", IF(F1597 = "Vara", IFERROR(_xlfn.SINGLE(_xlfn.XLOOKUP(G1597, Vöruskrá!A:A, Vöruskrá!J:J, "")) * I1597 / 100, ""), IF(F1597 = "Réttur", IFERROR(_xlfn.SINGLE(_xlfn.XLOOKUP(G1597, Réttabanki!A:A, Réttabanki!AW:AW, "")) * I1597 / 100, ""), "")))</f>
        <v/>
      </c>
      <c r="Q1597" s="26" t="str">
        <f>IF(OR(F1597 = "", G1597 = "", I1597 = ""), "", IF(F1597 = "Vara", IFERROR(_xlfn.SINGLE(_xlfn.XLOOKUP(G1597, Vöruskrá!A:A, Vöruskrá!N:N, "")) * I1597 / 100, ""), IF(F1597 = "Réttur", IFERROR(_xlfn.SINGLE(_xlfn.XLOOKUP(G1597, Réttabanki!A:A, Réttabanki!BB:BB, "")) * I1597 / 100, ""), "")))</f>
        <v/>
      </c>
    </row>
    <row r="1598" spans="2:17">
      <c r="B1598" s="33" t="str">
        <f>IF(A1598&lt;&gt;"",CHOOSE(WEEKDAY(A1598,2),"Mánudagur","Þriðjudagur","Miðvikudagur","Fimmtudagur","Föstudagur","Laugardagur","Sunnudagur"),IF(B1597&lt;&gt;"",B1597,""))</f>
        <v>Fimmtudagur</v>
      </c>
      <c r="C1598" s="33">
        <f>IF(A1598&lt;&gt;"",WEEKNUM(A1598,21),IF(C1597&lt;&gt;"",C1597,""))</f>
        <v>27</v>
      </c>
      <c r="D1598" s="34"/>
      <c r="E1598" s="34"/>
      <c r="F1598" s="34"/>
      <c r="G1598" s="34"/>
      <c r="H1598" s="34"/>
      <c r="I1598" s="35"/>
      <c r="J1598" s="35"/>
      <c r="K1598" s="36"/>
      <c r="L1598" s="26" t="str">
        <f>IF(OR(F1598 = "", G1598 = ""), "", IF(F1598 = "Vara", IFERROR(_xlfn.SINGLE(_xlfn.XLOOKUP(G1598, Vöruskrá!A:A, Vöruskrá!E:E, "")), ""), IF(F1598 = "Réttur", IFERROR(_xlfn.SINGLE(_xlfn.XLOOKUP(G1598, Réttabanki!A:A, Réttabanki!AS:AS, "")), ""), "")))</f>
        <v/>
      </c>
      <c r="M1598" s="26" t="str">
        <f>IF(OR(F1598 = "", G1598 = ""), "", IF(F1598 = "Vara", IFERROR(_xlfn.SINGLE(_xlfn.XLOOKUP(G1598, Vöruskrá!A:A, Vöruskrá!F:F, "")), ""), IF(F1598 = "Réttur", IFERROR(_xlfn.SINGLE(_xlfn.XLOOKUP(G1598, Réttabanki!A:A, Réttabanki!AT:AT, "")), ""), "")))</f>
        <v/>
      </c>
      <c r="N1598" s="26" t="str">
        <f>IF(OR(F1598 = "", G1598 = ""), "", IF(F1598 = "Vara", IFERROR(_xlfn.SINGLE(_xlfn.XLOOKUP(G1598, Vöruskrá!A:A, Vöruskrá!G:G, "")), ""), IF(F1598 = "Réttur", IFERROR(_xlfn.SINGLE(_xlfn.XLOOKUP(G1598, Réttabanki!A:A, Réttabanki!AU:AU, "")), ""), "")))</f>
        <v/>
      </c>
      <c r="O1598" s="26" t="str">
        <f>IF(OR(F1598 = "", G1598 = "", I1598 = ""), "", IF(F1598 = "Vara", IFERROR(_xlfn.SINGLE(_xlfn.XLOOKUP(G1598, Vöruskrá!A:A, Vöruskrá!I:I, "")) * I1598 / 100, ""), IF(F1598 = "Réttur", IFERROR(_xlfn.SINGLE(_xlfn.XLOOKUP(G1598, Réttabanki!A:A, Réttabanki!AV:AV, "")) * I1598 / 100, ""), "")))</f>
        <v/>
      </c>
      <c r="P1598" s="26" t="str">
        <f>IF(OR(F1598 = "", G1598 = "", I1598 = ""), "", IF(F1598 = "Vara", IFERROR(_xlfn.SINGLE(_xlfn.XLOOKUP(G1598, Vöruskrá!A:A, Vöruskrá!J:J, "")) * I1598 / 100, ""), IF(F1598 = "Réttur", IFERROR(_xlfn.SINGLE(_xlfn.XLOOKUP(G1598, Réttabanki!A:A, Réttabanki!AW:AW, "")) * I1598 / 100, ""), "")))</f>
        <v/>
      </c>
      <c r="Q1598" s="26" t="str">
        <f>IF(OR(F1598 = "", G1598 = "", I1598 = ""), "", IF(F1598 = "Vara", IFERROR(_xlfn.SINGLE(_xlfn.XLOOKUP(G1598, Vöruskrá!A:A, Vöruskrá!N:N, "")) * I1598 / 100, ""), IF(F1598 = "Réttur", IFERROR(_xlfn.SINGLE(_xlfn.XLOOKUP(G1598, Réttabanki!A:A, Réttabanki!BB:BB, "")) * I1598 / 100, ""), "")))</f>
        <v/>
      </c>
    </row>
    <row r="1599" spans="2:17">
      <c r="B1599" s="33" t="str">
        <f>IF(A1599&lt;&gt;"",CHOOSE(WEEKDAY(A1599,2),"Mánudagur","Þriðjudagur","Miðvikudagur","Fimmtudagur","Föstudagur","Laugardagur","Sunnudagur"),IF(B1598&lt;&gt;"",B1598,""))</f>
        <v>Fimmtudagur</v>
      </c>
      <c r="C1599" s="33">
        <f>IF(A1599&lt;&gt;"",WEEKNUM(A1599,21),IF(C1598&lt;&gt;"",C1598,""))</f>
        <v>27</v>
      </c>
      <c r="D1599" s="34"/>
      <c r="E1599" s="34"/>
      <c r="F1599" s="34"/>
      <c r="G1599" s="34"/>
      <c r="H1599" s="34"/>
      <c r="I1599" s="35"/>
      <c r="J1599" s="35"/>
      <c r="K1599" s="36"/>
      <c r="L1599" s="26" t="str">
        <f>IF(OR(F1599 = "", G1599 = ""), "", IF(F1599 = "Vara", IFERROR(_xlfn.SINGLE(_xlfn.XLOOKUP(G1599, Vöruskrá!A:A, Vöruskrá!E:E, "")), ""), IF(F1599 = "Réttur", IFERROR(_xlfn.SINGLE(_xlfn.XLOOKUP(G1599, Réttabanki!A:A, Réttabanki!AS:AS, "")), ""), "")))</f>
        <v/>
      </c>
      <c r="M1599" s="26" t="str">
        <f>IF(OR(F1599 = "", G1599 = ""), "", IF(F1599 = "Vara", IFERROR(_xlfn.SINGLE(_xlfn.XLOOKUP(G1599, Vöruskrá!A:A, Vöruskrá!F:F, "")), ""), IF(F1599 = "Réttur", IFERROR(_xlfn.SINGLE(_xlfn.XLOOKUP(G1599, Réttabanki!A:A, Réttabanki!AT:AT, "")), ""), "")))</f>
        <v/>
      </c>
      <c r="N1599" s="26" t="str">
        <f>IF(OR(F1599 = "", G1599 = ""), "", IF(F1599 = "Vara", IFERROR(_xlfn.SINGLE(_xlfn.XLOOKUP(G1599, Vöruskrá!A:A, Vöruskrá!G:G, "")), ""), IF(F1599 = "Réttur", IFERROR(_xlfn.SINGLE(_xlfn.XLOOKUP(G1599, Réttabanki!A:A, Réttabanki!AU:AU, "")), ""), "")))</f>
        <v/>
      </c>
      <c r="O1599" s="26" t="str">
        <f>IF(OR(F1599 = "", G1599 = "", I1599 = ""), "", IF(F1599 = "Vara", IFERROR(_xlfn.SINGLE(_xlfn.XLOOKUP(G1599, Vöruskrá!A:A, Vöruskrá!I:I, "")) * I1599 / 100, ""), IF(F1599 = "Réttur", IFERROR(_xlfn.SINGLE(_xlfn.XLOOKUP(G1599, Réttabanki!A:A, Réttabanki!AV:AV, "")) * I1599 / 100, ""), "")))</f>
        <v/>
      </c>
      <c r="P1599" s="26" t="str">
        <f>IF(OR(F1599 = "", G1599 = "", I1599 = ""), "", IF(F1599 = "Vara", IFERROR(_xlfn.SINGLE(_xlfn.XLOOKUP(G1599, Vöruskrá!A:A, Vöruskrá!J:J, "")) * I1599 / 100, ""), IF(F1599 = "Réttur", IFERROR(_xlfn.SINGLE(_xlfn.XLOOKUP(G1599, Réttabanki!A:A, Réttabanki!AW:AW, "")) * I1599 / 100, ""), "")))</f>
        <v/>
      </c>
      <c r="Q1599" s="26" t="str">
        <f>IF(OR(F1599 = "", G1599 = "", I1599 = ""), "", IF(F1599 = "Vara", IFERROR(_xlfn.SINGLE(_xlfn.XLOOKUP(G1599, Vöruskrá!A:A, Vöruskrá!N:N, "")) * I1599 / 100, ""), IF(F1599 = "Réttur", IFERROR(_xlfn.SINGLE(_xlfn.XLOOKUP(G1599, Réttabanki!A:A, Réttabanki!BB:BB, "")) * I1599 / 100, ""), "")))</f>
        <v/>
      </c>
    </row>
    <row r="1600" spans="2:17">
      <c r="B1600" s="33" t="str">
        <f>IF(A1600&lt;&gt;"",CHOOSE(WEEKDAY(A1600,2),"Mánudagur","Þriðjudagur","Miðvikudagur","Fimmtudagur","Föstudagur","Laugardagur","Sunnudagur"),IF(B1599&lt;&gt;"",B1599,""))</f>
        <v>Fimmtudagur</v>
      </c>
      <c r="C1600" s="33">
        <f>IF(A1600&lt;&gt;"",WEEKNUM(A1600,21),IF(C1599&lt;&gt;"",C1599,""))</f>
        <v>27</v>
      </c>
      <c r="D1600" s="34"/>
      <c r="E1600" s="34"/>
      <c r="F1600" s="34"/>
      <c r="G1600" s="34"/>
      <c r="H1600" s="34"/>
      <c r="I1600" s="35"/>
      <c r="J1600" s="35"/>
      <c r="K1600" s="36"/>
      <c r="L1600" s="26" t="str">
        <f>IF(OR(F1600 = "", G1600 = ""), "", IF(F1600 = "Vara", IFERROR(_xlfn.SINGLE(_xlfn.XLOOKUP(G1600, Vöruskrá!A:A, Vöruskrá!E:E, "")), ""), IF(F1600 = "Réttur", IFERROR(_xlfn.SINGLE(_xlfn.XLOOKUP(G1600, Réttabanki!A:A, Réttabanki!AS:AS, "")), ""), "")))</f>
        <v/>
      </c>
      <c r="M1600" s="26" t="str">
        <f>IF(OR(F1600 = "", G1600 = ""), "", IF(F1600 = "Vara", IFERROR(_xlfn.SINGLE(_xlfn.XLOOKUP(G1600, Vöruskrá!A:A, Vöruskrá!F:F, "")), ""), IF(F1600 = "Réttur", IFERROR(_xlfn.SINGLE(_xlfn.XLOOKUP(G1600, Réttabanki!A:A, Réttabanki!AT:AT, "")), ""), "")))</f>
        <v/>
      </c>
      <c r="N1600" s="26" t="str">
        <f>IF(OR(F1600 = "", G1600 = ""), "", IF(F1600 = "Vara", IFERROR(_xlfn.SINGLE(_xlfn.XLOOKUP(G1600, Vöruskrá!A:A, Vöruskrá!G:G, "")), ""), IF(F1600 = "Réttur", IFERROR(_xlfn.SINGLE(_xlfn.XLOOKUP(G1600, Réttabanki!A:A, Réttabanki!AU:AU, "")), ""), "")))</f>
        <v/>
      </c>
      <c r="O1600" s="26" t="str">
        <f>IF(OR(F1600 = "", G1600 = "", I1600 = ""), "", IF(F1600 = "Vara", IFERROR(_xlfn.SINGLE(_xlfn.XLOOKUP(G1600, Vöruskrá!A:A, Vöruskrá!I:I, "")) * I1600 / 100, ""), IF(F1600 = "Réttur", IFERROR(_xlfn.SINGLE(_xlfn.XLOOKUP(G1600, Réttabanki!A:A, Réttabanki!AV:AV, "")) * I1600 / 100, ""), "")))</f>
        <v/>
      </c>
      <c r="P1600" s="26" t="str">
        <f>IF(OR(F1600 = "", G1600 = "", I1600 = ""), "", IF(F1600 = "Vara", IFERROR(_xlfn.SINGLE(_xlfn.XLOOKUP(G1600, Vöruskrá!A:A, Vöruskrá!J:J, "")) * I1600 / 100, ""), IF(F1600 = "Réttur", IFERROR(_xlfn.SINGLE(_xlfn.XLOOKUP(G1600, Réttabanki!A:A, Réttabanki!AW:AW, "")) * I1600 / 100, ""), "")))</f>
        <v/>
      </c>
      <c r="Q1600" s="26" t="str">
        <f>IF(OR(F1600 = "", G1600 = "", I1600 = ""), "", IF(F1600 = "Vara", IFERROR(_xlfn.SINGLE(_xlfn.XLOOKUP(G1600, Vöruskrá!A:A, Vöruskrá!N:N, "")) * I1600 / 100, ""), IF(F1600 = "Réttur", IFERROR(_xlfn.SINGLE(_xlfn.XLOOKUP(G1600, Réttabanki!A:A, Réttabanki!BB:BB, "")) * I1600 / 100, ""), "")))</f>
        <v/>
      </c>
    </row>
    <row r="1601" spans="2:17">
      <c r="B1601" s="33" t="str">
        <f>IF(A1601&lt;&gt;"",CHOOSE(WEEKDAY(A1601,2),"Mánudagur","Þriðjudagur","Miðvikudagur","Fimmtudagur","Föstudagur","Laugardagur","Sunnudagur"),IF(B1600&lt;&gt;"",B1600,""))</f>
        <v>Fimmtudagur</v>
      </c>
      <c r="C1601" s="33">
        <f>IF(A1601&lt;&gt;"",WEEKNUM(A1601,21),IF(C1600&lt;&gt;"",C1600,""))</f>
        <v>27</v>
      </c>
      <c r="D1601" s="34"/>
      <c r="E1601" s="34"/>
      <c r="F1601" s="34"/>
      <c r="G1601" s="34"/>
      <c r="H1601" s="34"/>
      <c r="I1601" s="35"/>
      <c r="J1601" s="35"/>
      <c r="K1601" s="36"/>
      <c r="L1601" s="26" t="str">
        <f>IF(OR(F1601 = "", G1601 = ""), "", IF(F1601 = "Vara", IFERROR(_xlfn.SINGLE(_xlfn.XLOOKUP(G1601, Vöruskrá!A:A, Vöruskrá!E:E, "")), ""), IF(F1601 = "Réttur", IFERROR(_xlfn.SINGLE(_xlfn.XLOOKUP(G1601, Réttabanki!A:A, Réttabanki!AS:AS, "")), ""), "")))</f>
        <v/>
      </c>
      <c r="M1601" s="26" t="str">
        <f>IF(OR(F1601 = "", G1601 = ""), "", IF(F1601 = "Vara", IFERROR(_xlfn.SINGLE(_xlfn.XLOOKUP(G1601, Vöruskrá!A:A, Vöruskrá!F:F, "")), ""), IF(F1601 = "Réttur", IFERROR(_xlfn.SINGLE(_xlfn.XLOOKUP(G1601, Réttabanki!A:A, Réttabanki!AT:AT, "")), ""), "")))</f>
        <v/>
      </c>
      <c r="N1601" s="26" t="str">
        <f>IF(OR(F1601 = "", G1601 = ""), "", IF(F1601 = "Vara", IFERROR(_xlfn.SINGLE(_xlfn.XLOOKUP(G1601, Vöruskrá!A:A, Vöruskrá!G:G, "")), ""), IF(F1601 = "Réttur", IFERROR(_xlfn.SINGLE(_xlfn.XLOOKUP(G1601, Réttabanki!A:A, Réttabanki!AU:AU, "")), ""), "")))</f>
        <v/>
      </c>
      <c r="O1601" s="26" t="str">
        <f>IF(OR(F1601 = "", G1601 = "", I1601 = ""), "", IF(F1601 = "Vara", IFERROR(_xlfn.SINGLE(_xlfn.XLOOKUP(G1601, Vöruskrá!A:A, Vöruskrá!I:I, "")) * I1601 / 100, ""), IF(F1601 = "Réttur", IFERROR(_xlfn.SINGLE(_xlfn.XLOOKUP(G1601, Réttabanki!A:A, Réttabanki!AV:AV, "")) * I1601 / 100, ""), "")))</f>
        <v/>
      </c>
      <c r="P1601" s="26" t="str">
        <f>IF(OR(F1601 = "", G1601 = "", I1601 = ""), "", IF(F1601 = "Vara", IFERROR(_xlfn.SINGLE(_xlfn.XLOOKUP(G1601, Vöruskrá!A:A, Vöruskrá!J:J, "")) * I1601 / 100, ""), IF(F1601 = "Réttur", IFERROR(_xlfn.SINGLE(_xlfn.XLOOKUP(G1601, Réttabanki!A:A, Réttabanki!AW:AW, "")) * I1601 / 100, ""), "")))</f>
        <v/>
      </c>
      <c r="Q1601" s="26" t="str">
        <f>IF(OR(F1601 = "", G1601 = "", I1601 = ""), "", IF(F1601 = "Vara", IFERROR(_xlfn.SINGLE(_xlfn.XLOOKUP(G1601, Vöruskrá!A:A, Vöruskrá!N:N, "")) * I1601 / 100, ""), IF(F1601 = "Réttur", IFERROR(_xlfn.SINGLE(_xlfn.XLOOKUP(G1601, Réttabanki!A:A, Réttabanki!BB:BB, "")) * I1601 / 100, ""), "")))</f>
        <v/>
      </c>
    </row>
    <row r="1602" spans="2:17">
      <c r="B1602" s="33" t="str">
        <f>IF(A1602&lt;&gt;"",CHOOSE(WEEKDAY(A1602,2),"Mánudagur","Þriðjudagur","Miðvikudagur","Fimmtudagur","Föstudagur","Laugardagur","Sunnudagur"),IF(B1601&lt;&gt;"",B1601,""))</f>
        <v>Fimmtudagur</v>
      </c>
      <c r="C1602" s="33">
        <f>IF(A1602&lt;&gt;"",WEEKNUM(A1602,21),IF(C1601&lt;&gt;"",C1601,""))</f>
        <v>27</v>
      </c>
      <c r="D1602" s="34"/>
      <c r="E1602" s="34"/>
      <c r="F1602" s="34"/>
      <c r="G1602" s="34"/>
      <c r="H1602" s="34"/>
      <c r="I1602" s="35"/>
      <c r="J1602" s="35"/>
      <c r="K1602" s="36"/>
      <c r="L1602" s="26" t="str">
        <f>IF(OR(F1602 = "", G1602 = ""), "", IF(F1602 = "Vara", IFERROR(_xlfn.SINGLE(_xlfn.XLOOKUP(G1602, Vöruskrá!A:A, Vöruskrá!E:E, "")), ""), IF(F1602 = "Réttur", IFERROR(_xlfn.SINGLE(_xlfn.XLOOKUP(G1602, Réttabanki!A:A, Réttabanki!AS:AS, "")), ""), "")))</f>
        <v/>
      </c>
      <c r="M1602" s="26" t="str">
        <f>IF(OR(F1602 = "", G1602 = ""), "", IF(F1602 = "Vara", IFERROR(_xlfn.SINGLE(_xlfn.XLOOKUP(G1602, Vöruskrá!A:A, Vöruskrá!F:F, "")), ""), IF(F1602 = "Réttur", IFERROR(_xlfn.SINGLE(_xlfn.XLOOKUP(G1602, Réttabanki!A:A, Réttabanki!AT:AT, "")), ""), "")))</f>
        <v/>
      </c>
      <c r="N1602" s="26" t="str">
        <f>IF(OR(F1602 = "", G1602 = ""), "", IF(F1602 = "Vara", IFERROR(_xlfn.SINGLE(_xlfn.XLOOKUP(G1602, Vöruskrá!A:A, Vöruskrá!G:G, "")), ""), IF(F1602 = "Réttur", IFERROR(_xlfn.SINGLE(_xlfn.XLOOKUP(G1602, Réttabanki!A:A, Réttabanki!AU:AU, "")), ""), "")))</f>
        <v/>
      </c>
      <c r="O1602" s="26" t="str">
        <f>IF(OR(F1602 = "", G1602 = "", I1602 = ""), "", IF(F1602 = "Vara", IFERROR(_xlfn.SINGLE(_xlfn.XLOOKUP(G1602, Vöruskrá!A:A, Vöruskrá!I:I, "")) * I1602 / 100, ""), IF(F1602 = "Réttur", IFERROR(_xlfn.SINGLE(_xlfn.XLOOKUP(G1602, Réttabanki!A:A, Réttabanki!AV:AV, "")) * I1602 / 100, ""), "")))</f>
        <v/>
      </c>
      <c r="P1602" s="26" t="str">
        <f>IF(OR(F1602 = "", G1602 = "", I1602 = ""), "", IF(F1602 = "Vara", IFERROR(_xlfn.SINGLE(_xlfn.XLOOKUP(G1602, Vöruskrá!A:A, Vöruskrá!J:J, "")) * I1602 / 100, ""), IF(F1602 = "Réttur", IFERROR(_xlfn.SINGLE(_xlfn.XLOOKUP(G1602, Réttabanki!A:A, Réttabanki!AW:AW, "")) * I1602 / 100, ""), "")))</f>
        <v/>
      </c>
      <c r="Q1602" s="26" t="str">
        <f>IF(OR(F1602 = "", G1602 = "", I1602 = ""), "", IF(F1602 = "Vara", IFERROR(_xlfn.SINGLE(_xlfn.XLOOKUP(G1602, Vöruskrá!A:A, Vöruskrá!N:N, "")) * I1602 / 100, ""), IF(F1602 = "Réttur", IFERROR(_xlfn.SINGLE(_xlfn.XLOOKUP(G1602, Réttabanki!A:A, Réttabanki!BB:BB, "")) * I1602 / 100, ""), "")))</f>
        <v/>
      </c>
    </row>
    <row r="1603" spans="2:17">
      <c r="B1603" s="33" t="str">
        <f>IF(A1603&lt;&gt;"",CHOOSE(WEEKDAY(A1603,2),"Mánudagur","Þriðjudagur","Miðvikudagur","Fimmtudagur","Föstudagur","Laugardagur","Sunnudagur"),IF(B1602&lt;&gt;"",B1602,""))</f>
        <v>Fimmtudagur</v>
      </c>
      <c r="C1603" s="33">
        <f>IF(A1603&lt;&gt;"",WEEKNUM(A1603,21),IF(C1602&lt;&gt;"",C1602,""))</f>
        <v>27</v>
      </c>
      <c r="D1603" s="34"/>
      <c r="E1603" s="34"/>
      <c r="F1603" s="34"/>
      <c r="G1603" s="34"/>
      <c r="H1603" s="34"/>
      <c r="I1603" s="35"/>
      <c r="J1603" s="35"/>
      <c r="K1603" s="36"/>
      <c r="L1603" s="26" t="str">
        <f>IF(OR(F1603 = "", G1603 = ""), "", IF(F1603 = "Vara", IFERROR(_xlfn.SINGLE(_xlfn.XLOOKUP(G1603, Vöruskrá!A:A, Vöruskrá!E:E, "")), ""), IF(F1603 = "Réttur", IFERROR(_xlfn.SINGLE(_xlfn.XLOOKUP(G1603, Réttabanki!A:A, Réttabanki!AS:AS, "")), ""), "")))</f>
        <v/>
      </c>
      <c r="M1603" s="26" t="str">
        <f>IF(OR(F1603 = "", G1603 = ""), "", IF(F1603 = "Vara", IFERROR(_xlfn.SINGLE(_xlfn.XLOOKUP(G1603, Vöruskrá!A:A, Vöruskrá!F:F, "")), ""), IF(F1603 = "Réttur", IFERROR(_xlfn.SINGLE(_xlfn.XLOOKUP(G1603, Réttabanki!A:A, Réttabanki!AT:AT, "")), ""), "")))</f>
        <v/>
      </c>
      <c r="N1603" s="26" t="str">
        <f>IF(OR(F1603 = "", G1603 = ""), "", IF(F1603 = "Vara", IFERROR(_xlfn.SINGLE(_xlfn.XLOOKUP(G1603, Vöruskrá!A:A, Vöruskrá!G:G, "")), ""), IF(F1603 = "Réttur", IFERROR(_xlfn.SINGLE(_xlfn.XLOOKUP(G1603, Réttabanki!A:A, Réttabanki!AU:AU, "")), ""), "")))</f>
        <v/>
      </c>
      <c r="O1603" s="26" t="str">
        <f>IF(OR(F1603 = "", G1603 = "", I1603 = ""), "", IF(F1603 = "Vara", IFERROR(_xlfn.SINGLE(_xlfn.XLOOKUP(G1603, Vöruskrá!A:A, Vöruskrá!I:I, "")) * I1603 / 100, ""), IF(F1603 = "Réttur", IFERROR(_xlfn.SINGLE(_xlfn.XLOOKUP(G1603, Réttabanki!A:A, Réttabanki!AV:AV, "")) * I1603 / 100, ""), "")))</f>
        <v/>
      </c>
      <c r="P1603" s="26" t="str">
        <f>IF(OR(F1603 = "", G1603 = "", I1603 = ""), "", IF(F1603 = "Vara", IFERROR(_xlfn.SINGLE(_xlfn.XLOOKUP(G1603, Vöruskrá!A:A, Vöruskrá!J:J, "")) * I1603 / 100, ""), IF(F1603 = "Réttur", IFERROR(_xlfn.SINGLE(_xlfn.XLOOKUP(G1603, Réttabanki!A:A, Réttabanki!AW:AW, "")) * I1603 / 100, ""), "")))</f>
        <v/>
      </c>
      <c r="Q1603" s="26" t="str">
        <f>IF(OR(F1603 = "", G1603 = "", I1603 = ""), "", IF(F1603 = "Vara", IFERROR(_xlfn.SINGLE(_xlfn.XLOOKUP(G1603, Vöruskrá!A:A, Vöruskrá!N:N, "")) * I1603 / 100, ""), IF(F1603 = "Réttur", IFERROR(_xlfn.SINGLE(_xlfn.XLOOKUP(G1603, Réttabanki!A:A, Réttabanki!BB:BB, "")) * I1603 / 100, ""), "")))</f>
        <v/>
      </c>
    </row>
    <row r="1604" spans="2:17">
      <c r="B1604" s="33" t="str">
        <f>IF(A1604&lt;&gt;"",CHOOSE(WEEKDAY(A1604,2),"Mánudagur","Þriðjudagur","Miðvikudagur","Fimmtudagur","Föstudagur","Laugardagur","Sunnudagur"),IF(B1603&lt;&gt;"",B1603,""))</f>
        <v>Fimmtudagur</v>
      </c>
      <c r="C1604" s="33">
        <f>IF(A1604&lt;&gt;"",WEEKNUM(A1604,21),IF(C1603&lt;&gt;"",C1603,""))</f>
        <v>27</v>
      </c>
      <c r="D1604" s="34"/>
      <c r="E1604" s="34"/>
      <c r="F1604" s="34"/>
      <c r="G1604" s="34"/>
      <c r="H1604" s="34"/>
      <c r="I1604" s="35"/>
      <c r="J1604" s="35"/>
      <c r="K1604" s="36"/>
      <c r="L1604" s="26" t="str">
        <f>IF(OR(F1604 = "", G1604 = ""), "", IF(F1604 = "Vara", IFERROR(_xlfn.SINGLE(_xlfn.XLOOKUP(G1604, Vöruskrá!A:A, Vöruskrá!E:E, "")), ""), IF(F1604 = "Réttur", IFERROR(_xlfn.SINGLE(_xlfn.XLOOKUP(G1604, Réttabanki!A:A, Réttabanki!AS:AS, "")), ""), "")))</f>
        <v/>
      </c>
      <c r="M1604" s="26" t="str">
        <f>IF(OR(F1604 = "", G1604 = ""), "", IF(F1604 = "Vara", IFERROR(_xlfn.SINGLE(_xlfn.XLOOKUP(G1604, Vöruskrá!A:A, Vöruskrá!F:F, "")), ""), IF(F1604 = "Réttur", IFERROR(_xlfn.SINGLE(_xlfn.XLOOKUP(G1604, Réttabanki!A:A, Réttabanki!AT:AT, "")), ""), "")))</f>
        <v/>
      </c>
      <c r="N1604" s="26" t="str">
        <f>IF(OR(F1604 = "", G1604 = ""), "", IF(F1604 = "Vara", IFERROR(_xlfn.SINGLE(_xlfn.XLOOKUP(G1604, Vöruskrá!A:A, Vöruskrá!G:G, "")), ""), IF(F1604 = "Réttur", IFERROR(_xlfn.SINGLE(_xlfn.XLOOKUP(G1604, Réttabanki!A:A, Réttabanki!AU:AU, "")), ""), "")))</f>
        <v/>
      </c>
      <c r="O1604" s="26" t="str">
        <f>IF(OR(F1604 = "", G1604 = "", I1604 = ""), "", IF(F1604 = "Vara", IFERROR(_xlfn.SINGLE(_xlfn.XLOOKUP(G1604, Vöruskrá!A:A, Vöruskrá!I:I, "")) * I1604 / 100, ""), IF(F1604 = "Réttur", IFERROR(_xlfn.SINGLE(_xlfn.XLOOKUP(G1604, Réttabanki!A:A, Réttabanki!AV:AV, "")) * I1604 / 100, ""), "")))</f>
        <v/>
      </c>
      <c r="P1604" s="26" t="str">
        <f>IF(OR(F1604 = "", G1604 = "", I1604 = ""), "", IF(F1604 = "Vara", IFERROR(_xlfn.SINGLE(_xlfn.XLOOKUP(G1604, Vöruskrá!A:A, Vöruskrá!J:J, "")) * I1604 / 100, ""), IF(F1604 = "Réttur", IFERROR(_xlfn.SINGLE(_xlfn.XLOOKUP(G1604, Réttabanki!A:A, Réttabanki!AW:AW, "")) * I1604 / 100, ""), "")))</f>
        <v/>
      </c>
      <c r="Q1604" s="26" t="str">
        <f>IF(OR(F1604 = "", G1604 = "", I1604 = ""), "", IF(F1604 = "Vara", IFERROR(_xlfn.SINGLE(_xlfn.XLOOKUP(G1604, Vöruskrá!A:A, Vöruskrá!N:N, "")) * I1604 / 100, ""), IF(F1604 = "Réttur", IFERROR(_xlfn.SINGLE(_xlfn.XLOOKUP(G1604, Réttabanki!A:A, Réttabanki!BB:BB, "")) * I1604 / 100, ""), "")))</f>
        <v/>
      </c>
    </row>
    <row r="1605" spans="2:17">
      <c r="B1605" s="33" t="str">
        <f>IF(A1605&lt;&gt;"",CHOOSE(WEEKDAY(A1605,2),"Mánudagur","Þriðjudagur","Miðvikudagur","Fimmtudagur","Föstudagur","Laugardagur","Sunnudagur"),IF(B1604&lt;&gt;"",B1604,""))</f>
        <v>Fimmtudagur</v>
      </c>
      <c r="C1605" s="33">
        <f>IF(A1605&lt;&gt;"",WEEKNUM(A1605,21),IF(C1604&lt;&gt;"",C1604,""))</f>
        <v>27</v>
      </c>
      <c r="D1605" s="34"/>
      <c r="E1605" s="34"/>
      <c r="F1605" s="34"/>
      <c r="G1605" s="34"/>
      <c r="H1605" s="34"/>
      <c r="I1605" s="35"/>
      <c r="J1605" s="35"/>
      <c r="K1605" s="36"/>
      <c r="L1605" s="26" t="str">
        <f>IF(OR(F1605 = "", G1605 = ""), "", IF(F1605 = "Vara", IFERROR(_xlfn.SINGLE(_xlfn.XLOOKUP(G1605, Vöruskrá!A:A, Vöruskrá!E:E, "")), ""), IF(F1605 = "Réttur", IFERROR(_xlfn.SINGLE(_xlfn.XLOOKUP(G1605, Réttabanki!A:A, Réttabanki!AS:AS, "")), ""), "")))</f>
        <v/>
      </c>
      <c r="M1605" s="26" t="str">
        <f>IF(OR(F1605 = "", G1605 = ""), "", IF(F1605 = "Vara", IFERROR(_xlfn.SINGLE(_xlfn.XLOOKUP(G1605, Vöruskrá!A:A, Vöruskrá!F:F, "")), ""), IF(F1605 = "Réttur", IFERROR(_xlfn.SINGLE(_xlfn.XLOOKUP(G1605, Réttabanki!A:A, Réttabanki!AT:AT, "")), ""), "")))</f>
        <v/>
      </c>
      <c r="N1605" s="26" t="str">
        <f>IF(OR(F1605 = "", G1605 = ""), "", IF(F1605 = "Vara", IFERROR(_xlfn.SINGLE(_xlfn.XLOOKUP(G1605, Vöruskrá!A:A, Vöruskrá!G:G, "")), ""), IF(F1605 = "Réttur", IFERROR(_xlfn.SINGLE(_xlfn.XLOOKUP(G1605, Réttabanki!A:A, Réttabanki!AU:AU, "")), ""), "")))</f>
        <v/>
      </c>
      <c r="O1605" s="26" t="str">
        <f>IF(OR(F1605 = "", G1605 = "", I1605 = ""), "", IF(F1605 = "Vara", IFERROR(_xlfn.SINGLE(_xlfn.XLOOKUP(G1605, Vöruskrá!A:A, Vöruskrá!I:I, "")) * I1605 / 100, ""), IF(F1605 = "Réttur", IFERROR(_xlfn.SINGLE(_xlfn.XLOOKUP(G1605, Réttabanki!A:A, Réttabanki!AV:AV, "")) * I1605 / 100, ""), "")))</f>
        <v/>
      </c>
      <c r="P1605" s="26" t="str">
        <f>IF(OR(F1605 = "", G1605 = "", I1605 = ""), "", IF(F1605 = "Vara", IFERROR(_xlfn.SINGLE(_xlfn.XLOOKUP(G1605, Vöruskrá!A:A, Vöruskrá!J:J, "")) * I1605 / 100, ""), IF(F1605 = "Réttur", IFERROR(_xlfn.SINGLE(_xlfn.XLOOKUP(G1605, Réttabanki!A:A, Réttabanki!AW:AW, "")) * I1605 / 100, ""), "")))</f>
        <v/>
      </c>
      <c r="Q1605" s="26" t="str">
        <f>IF(OR(F1605 = "", G1605 = "", I1605 = ""), "", IF(F1605 = "Vara", IFERROR(_xlfn.SINGLE(_xlfn.XLOOKUP(G1605, Vöruskrá!A:A, Vöruskrá!N:N, "")) * I1605 / 100, ""), IF(F1605 = "Réttur", IFERROR(_xlfn.SINGLE(_xlfn.XLOOKUP(G1605, Réttabanki!A:A, Réttabanki!BB:BB, "")) * I1605 / 100, ""), "")))</f>
        <v/>
      </c>
    </row>
    <row r="1606" spans="2:17">
      <c r="B1606" s="33" t="str">
        <f>IF(A1606&lt;&gt;"",CHOOSE(WEEKDAY(A1606,2),"Mánudagur","Þriðjudagur","Miðvikudagur","Fimmtudagur","Föstudagur","Laugardagur","Sunnudagur"),IF(B1605&lt;&gt;"",B1605,""))</f>
        <v>Fimmtudagur</v>
      </c>
      <c r="C1606" s="33">
        <f>IF(A1606&lt;&gt;"",WEEKNUM(A1606,21),IF(C1605&lt;&gt;"",C1605,""))</f>
        <v>27</v>
      </c>
      <c r="D1606" s="34"/>
      <c r="E1606" s="34"/>
      <c r="F1606" s="34"/>
      <c r="G1606" s="34"/>
      <c r="H1606" s="34"/>
      <c r="I1606" s="35"/>
      <c r="J1606" s="35"/>
      <c r="K1606" s="36"/>
      <c r="L1606" s="26" t="str">
        <f>IF(OR(F1606 = "", G1606 = ""), "", IF(F1606 = "Vara", IFERROR(_xlfn.SINGLE(_xlfn.XLOOKUP(G1606, Vöruskrá!A:A, Vöruskrá!E:E, "")), ""), IF(F1606 = "Réttur", IFERROR(_xlfn.SINGLE(_xlfn.XLOOKUP(G1606, Réttabanki!A:A, Réttabanki!AS:AS, "")), ""), "")))</f>
        <v/>
      </c>
      <c r="M1606" s="26" t="str">
        <f>IF(OR(F1606 = "", G1606 = ""), "", IF(F1606 = "Vara", IFERROR(_xlfn.SINGLE(_xlfn.XLOOKUP(G1606, Vöruskrá!A:A, Vöruskrá!F:F, "")), ""), IF(F1606 = "Réttur", IFERROR(_xlfn.SINGLE(_xlfn.XLOOKUP(G1606, Réttabanki!A:A, Réttabanki!AT:AT, "")), ""), "")))</f>
        <v/>
      </c>
      <c r="N1606" s="26" t="str">
        <f>IF(OR(F1606 = "", G1606 = ""), "", IF(F1606 = "Vara", IFERROR(_xlfn.SINGLE(_xlfn.XLOOKUP(G1606, Vöruskrá!A:A, Vöruskrá!G:G, "")), ""), IF(F1606 = "Réttur", IFERROR(_xlfn.SINGLE(_xlfn.XLOOKUP(G1606, Réttabanki!A:A, Réttabanki!AU:AU, "")), ""), "")))</f>
        <v/>
      </c>
      <c r="O1606" s="26" t="str">
        <f>IF(OR(F1606 = "", G1606 = "", I1606 = ""), "", IF(F1606 = "Vara", IFERROR(_xlfn.SINGLE(_xlfn.XLOOKUP(G1606, Vöruskrá!A:A, Vöruskrá!I:I, "")) * I1606 / 100, ""), IF(F1606 = "Réttur", IFERROR(_xlfn.SINGLE(_xlfn.XLOOKUP(G1606, Réttabanki!A:A, Réttabanki!AV:AV, "")) * I1606 / 100, ""), "")))</f>
        <v/>
      </c>
      <c r="P1606" s="26" t="str">
        <f>IF(OR(F1606 = "", G1606 = "", I1606 = ""), "", IF(F1606 = "Vara", IFERROR(_xlfn.SINGLE(_xlfn.XLOOKUP(G1606, Vöruskrá!A:A, Vöruskrá!J:J, "")) * I1606 / 100, ""), IF(F1606 = "Réttur", IFERROR(_xlfn.SINGLE(_xlfn.XLOOKUP(G1606, Réttabanki!A:A, Réttabanki!AW:AW, "")) * I1606 / 100, ""), "")))</f>
        <v/>
      </c>
      <c r="Q1606" s="26" t="str">
        <f>IF(OR(F1606 = "", G1606 = "", I1606 = ""), "", IF(F1606 = "Vara", IFERROR(_xlfn.SINGLE(_xlfn.XLOOKUP(G1606, Vöruskrá!A:A, Vöruskrá!N:N, "")) * I1606 / 100, ""), IF(F1606 = "Réttur", IFERROR(_xlfn.SINGLE(_xlfn.XLOOKUP(G1606, Réttabanki!A:A, Réttabanki!BB:BB, "")) * I1606 / 100, ""), "")))</f>
        <v/>
      </c>
    </row>
    <row r="1607" spans="2:17">
      <c r="B1607" s="33" t="str">
        <f>IF(A1607&lt;&gt;"",CHOOSE(WEEKDAY(A1607,2),"Mánudagur","Þriðjudagur","Miðvikudagur","Fimmtudagur","Föstudagur","Laugardagur","Sunnudagur"),IF(B1606&lt;&gt;"",B1606,""))</f>
        <v>Fimmtudagur</v>
      </c>
      <c r="C1607" s="33">
        <f>IF(A1607&lt;&gt;"",WEEKNUM(A1607,21),IF(C1606&lt;&gt;"",C1606,""))</f>
        <v>27</v>
      </c>
      <c r="D1607" s="34"/>
      <c r="E1607" s="34"/>
      <c r="F1607" s="34"/>
      <c r="G1607" s="34"/>
      <c r="H1607" s="34"/>
      <c r="I1607" s="35"/>
      <c r="J1607" s="35"/>
      <c r="K1607" s="36"/>
      <c r="L1607" s="26" t="str">
        <f>IF(OR(F1607 = "", G1607 = ""), "", IF(F1607 = "Vara", IFERROR(_xlfn.SINGLE(_xlfn.XLOOKUP(G1607, Vöruskrá!A:A, Vöruskrá!E:E, "")), ""), IF(F1607 = "Réttur", IFERROR(_xlfn.SINGLE(_xlfn.XLOOKUP(G1607, Réttabanki!A:A, Réttabanki!AS:AS, "")), ""), "")))</f>
        <v/>
      </c>
      <c r="M1607" s="26" t="str">
        <f>IF(OR(F1607 = "", G1607 = ""), "", IF(F1607 = "Vara", IFERROR(_xlfn.SINGLE(_xlfn.XLOOKUP(G1607, Vöruskrá!A:A, Vöruskrá!F:F, "")), ""), IF(F1607 = "Réttur", IFERROR(_xlfn.SINGLE(_xlfn.XLOOKUP(G1607, Réttabanki!A:A, Réttabanki!AT:AT, "")), ""), "")))</f>
        <v/>
      </c>
      <c r="N1607" s="26" t="str">
        <f>IF(OR(F1607 = "", G1607 = ""), "", IF(F1607 = "Vara", IFERROR(_xlfn.SINGLE(_xlfn.XLOOKUP(G1607, Vöruskrá!A:A, Vöruskrá!G:G, "")), ""), IF(F1607 = "Réttur", IFERROR(_xlfn.SINGLE(_xlfn.XLOOKUP(G1607, Réttabanki!A:A, Réttabanki!AU:AU, "")), ""), "")))</f>
        <v/>
      </c>
      <c r="O1607" s="26" t="str">
        <f>IF(OR(F1607 = "", G1607 = "", I1607 = ""), "", IF(F1607 = "Vara", IFERROR(_xlfn.SINGLE(_xlfn.XLOOKUP(G1607, Vöruskrá!A:A, Vöruskrá!I:I, "")) * I1607 / 100, ""), IF(F1607 = "Réttur", IFERROR(_xlfn.SINGLE(_xlfn.XLOOKUP(G1607, Réttabanki!A:A, Réttabanki!AV:AV, "")) * I1607 / 100, ""), "")))</f>
        <v/>
      </c>
      <c r="P1607" s="26" t="str">
        <f>IF(OR(F1607 = "", G1607 = "", I1607 = ""), "", IF(F1607 = "Vara", IFERROR(_xlfn.SINGLE(_xlfn.XLOOKUP(G1607, Vöruskrá!A:A, Vöruskrá!J:J, "")) * I1607 / 100, ""), IF(F1607 = "Réttur", IFERROR(_xlfn.SINGLE(_xlfn.XLOOKUP(G1607, Réttabanki!A:A, Réttabanki!AW:AW, "")) * I1607 / 100, ""), "")))</f>
        <v/>
      </c>
      <c r="Q1607" s="26" t="str">
        <f>IF(OR(F1607 = "", G1607 = "", I1607 = ""), "", IF(F1607 = "Vara", IFERROR(_xlfn.SINGLE(_xlfn.XLOOKUP(G1607, Vöruskrá!A:A, Vöruskrá!N:N, "")) * I1607 / 100, ""), IF(F1607 = "Réttur", IFERROR(_xlfn.SINGLE(_xlfn.XLOOKUP(G1607, Réttabanki!A:A, Réttabanki!BB:BB, "")) * I1607 / 100, ""), "")))</f>
        <v/>
      </c>
    </row>
    <row r="1608" spans="2:17">
      <c r="B1608" s="33" t="str">
        <f>IF(A1608&lt;&gt;"",CHOOSE(WEEKDAY(A1608,2),"Mánudagur","Þriðjudagur","Miðvikudagur","Fimmtudagur","Föstudagur","Laugardagur","Sunnudagur"),IF(B1607&lt;&gt;"",B1607,""))</f>
        <v>Fimmtudagur</v>
      </c>
      <c r="C1608" s="33">
        <f>IF(A1608&lt;&gt;"",WEEKNUM(A1608,21),IF(C1607&lt;&gt;"",C1607,""))</f>
        <v>27</v>
      </c>
      <c r="D1608" s="34"/>
      <c r="E1608" s="34"/>
      <c r="F1608" s="34"/>
      <c r="G1608" s="34"/>
      <c r="H1608" s="34"/>
      <c r="I1608" s="35"/>
      <c r="J1608" s="35"/>
      <c r="K1608" s="36"/>
      <c r="L1608" s="26" t="str">
        <f>IF(OR(F1608 = "", G1608 = ""), "", IF(F1608 = "Vara", IFERROR(_xlfn.SINGLE(_xlfn.XLOOKUP(G1608, Vöruskrá!A:A, Vöruskrá!E:E, "")), ""), IF(F1608 = "Réttur", IFERROR(_xlfn.SINGLE(_xlfn.XLOOKUP(G1608, Réttabanki!A:A, Réttabanki!AS:AS, "")), ""), "")))</f>
        <v/>
      </c>
      <c r="M1608" s="26" t="str">
        <f>IF(OR(F1608 = "", G1608 = ""), "", IF(F1608 = "Vara", IFERROR(_xlfn.SINGLE(_xlfn.XLOOKUP(G1608, Vöruskrá!A:A, Vöruskrá!F:F, "")), ""), IF(F1608 = "Réttur", IFERROR(_xlfn.SINGLE(_xlfn.XLOOKUP(G1608, Réttabanki!A:A, Réttabanki!AT:AT, "")), ""), "")))</f>
        <v/>
      </c>
      <c r="N1608" s="26" t="str">
        <f>IF(OR(F1608 = "", G1608 = ""), "", IF(F1608 = "Vara", IFERROR(_xlfn.SINGLE(_xlfn.XLOOKUP(G1608, Vöruskrá!A:A, Vöruskrá!G:G, "")), ""), IF(F1608 = "Réttur", IFERROR(_xlfn.SINGLE(_xlfn.XLOOKUP(G1608, Réttabanki!A:A, Réttabanki!AU:AU, "")), ""), "")))</f>
        <v/>
      </c>
      <c r="O1608" s="26" t="str">
        <f>IF(OR(F1608 = "", G1608 = "", I1608 = ""), "", IF(F1608 = "Vara", IFERROR(_xlfn.SINGLE(_xlfn.XLOOKUP(G1608, Vöruskrá!A:A, Vöruskrá!I:I, "")) * I1608 / 100, ""), IF(F1608 = "Réttur", IFERROR(_xlfn.SINGLE(_xlfn.XLOOKUP(G1608, Réttabanki!A:A, Réttabanki!AV:AV, "")) * I1608 / 100, ""), "")))</f>
        <v/>
      </c>
      <c r="P1608" s="26" t="str">
        <f>IF(OR(F1608 = "", G1608 = "", I1608 = ""), "", IF(F1608 = "Vara", IFERROR(_xlfn.SINGLE(_xlfn.XLOOKUP(G1608, Vöruskrá!A:A, Vöruskrá!J:J, "")) * I1608 / 100, ""), IF(F1608 = "Réttur", IFERROR(_xlfn.SINGLE(_xlfn.XLOOKUP(G1608, Réttabanki!A:A, Réttabanki!AW:AW, "")) * I1608 / 100, ""), "")))</f>
        <v/>
      </c>
      <c r="Q1608" s="26" t="str">
        <f>IF(OR(F1608 = "", G1608 = "", I1608 = ""), "", IF(F1608 = "Vara", IFERROR(_xlfn.SINGLE(_xlfn.XLOOKUP(G1608, Vöruskrá!A:A, Vöruskrá!N:N, "")) * I1608 / 100, ""), IF(F1608 = "Réttur", IFERROR(_xlfn.SINGLE(_xlfn.XLOOKUP(G1608, Réttabanki!A:A, Réttabanki!BB:BB, "")) * I1608 / 100, ""), "")))</f>
        <v/>
      </c>
    </row>
    <row r="1609" spans="2:17">
      <c r="B1609" s="33" t="str">
        <f>IF(A1609&lt;&gt;"",CHOOSE(WEEKDAY(A1609,2),"Mánudagur","Þriðjudagur","Miðvikudagur","Fimmtudagur","Föstudagur","Laugardagur","Sunnudagur"),IF(B1608&lt;&gt;"",B1608,""))</f>
        <v>Fimmtudagur</v>
      </c>
      <c r="C1609" s="33">
        <f>IF(A1609&lt;&gt;"",WEEKNUM(A1609,21),IF(C1608&lt;&gt;"",C1608,""))</f>
        <v>27</v>
      </c>
      <c r="D1609" s="34"/>
      <c r="E1609" s="34"/>
      <c r="F1609" s="34"/>
      <c r="G1609" s="34"/>
      <c r="H1609" s="34"/>
      <c r="I1609" s="35"/>
      <c r="J1609" s="35"/>
      <c r="K1609" s="36"/>
      <c r="L1609" s="26" t="str">
        <f>IF(OR(F1609 = "", G1609 = ""), "", IF(F1609 = "Vara", IFERROR(_xlfn.SINGLE(_xlfn.XLOOKUP(G1609, Vöruskrá!A:A, Vöruskrá!E:E, "")), ""), IF(F1609 = "Réttur", IFERROR(_xlfn.SINGLE(_xlfn.XLOOKUP(G1609, Réttabanki!A:A, Réttabanki!AS:AS, "")), ""), "")))</f>
        <v/>
      </c>
      <c r="M1609" s="26" t="str">
        <f>IF(OR(F1609 = "", G1609 = ""), "", IF(F1609 = "Vara", IFERROR(_xlfn.SINGLE(_xlfn.XLOOKUP(G1609, Vöruskrá!A:A, Vöruskrá!F:F, "")), ""), IF(F1609 = "Réttur", IFERROR(_xlfn.SINGLE(_xlfn.XLOOKUP(G1609, Réttabanki!A:A, Réttabanki!AT:AT, "")), ""), "")))</f>
        <v/>
      </c>
      <c r="N1609" s="26" t="str">
        <f>IF(OR(F1609 = "", G1609 = ""), "", IF(F1609 = "Vara", IFERROR(_xlfn.SINGLE(_xlfn.XLOOKUP(G1609, Vöruskrá!A:A, Vöruskrá!G:G, "")), ""), IF(F1609 = "Réttur", IFERROR(_xlfn.SINGLE(_xlfn.XLOOKUP(G1609, Réttabanki!A:A, Réttabanki!AU:AU, "")), ""), "")))</f>
        <v/>
      </c>
      <c r="O1609" s="26" t="str">
        <f>IF(OR(F1609 = "", G1609 = "", I1609 = ""), "", IF(F1609 = "Vara", IFERROR(_xlfn.SINGLE(_xlfn.XLOOKUP(G1609, Vöruskrá!A:A, Vöruskrá!I:I, "")) * I1609 / 100, ""), IF(F1609 = "Réttur", IFERROR(_xlfn.SINGLE(_xlfn.XLOOKUP(G1609, Réttabanki!A:A, Réttabanki!AV:AV, "")) * I1609 / 100, ""), "")))</f>
        <v/>
      </c>
      <c r="P1609" s="26" t="str">
        <f>IF(OR(F1609 = "", G1609 = "", I1609 = ""), "", IF(F1609 = "Vara", IFERROR(_xlfn.SINGLE(_xlfn.XLOOKUP(G1609, Vöruskrá!A:A, Vöruskrá!J:J, "")) * I1609 / 100, ""), IF(F1609 = "Réttur", IFERROR(_xlfn.SINGLE(_xlfn.XLOOKUP(G1609, Réttabanki!A:A, Réttabanki!AW:AW, "")) * I1609 / 100, ""), "")))</f>
        <v/>
      </c>
      <c r="Q1609" s="26" t="str">
        <f>IF(OR(F1609 = "", G1609 = "", I1609 = ""), "", IF(F1609 = "Vara", IFERROR(_xlfn.SINGLE(_xlfn.XLOOKUP(G1609, Vöruskrá!A:A, Vöruskrá!N:N, "")) * I1609 / 100, ""), IF(F1609 = "Réttur", IFERROR(_xlfn.SINGLE(_xlfn.XLOOKUP(G1609, Réttabanki!A:A, Réttabanki!BB:BB, "")) * I1609 / 100, ""), "")))</f>
        <v/>
      </c>
    </row>
    <row r="1610" spans="2:17">
      <c r="B1610" s="33" t="str">
        <f>IF(A1610&lt;&gt;"",CHOOSE(WEEKDAY(A1610,2),"Mánudagur","Þriðjudagur","Miðvikudagur","Fimmtudagur","Föstudagur","Laugardagur","Sunnudagur"),IF(B1609&lt;&gt;"",B1609,""))</f>
        <v>Fimmtudagur</v>
      </c>
      <c r="C1610" s="33">
        <f>IF(A1610&lt;&gt;"",WEEKNUM(A1610,21),IF(C1609&lt;&gt;"",C1609,""))</f>
        <v>27</v>
      </c>
      <c r="D1610" s="34"/>
      <c r="E1610" s="34"/>
      <c r="F1610" s="34"/>
      <c r="G1610" s="34"/>
      <c r="H1610" s="34"/>
      <c r="I1610" s="35"/>
      <c r="J1610" s="35"/>
      <c r="K1610" s="36"/>
      <c r="L1610" s="26" t="str">
        <f>IF(OR(F1610 = "", G1610 = ""), "", IF(F1610 = "Vara", IFERROR(_xlfn.SINGLE(_xlfn.XLOOKUP(G1610, Vöruskrá!A:A, Vöruskrá!E:E, "")), ""), IF(F1610 = "Réttur", IFERROR(_xlfn.SINGLE(_xlfn.XLOOKUP(G1610, Réttabanki!A:A, Réttabanki!AS:AS, "")), ""), "")))</f>
        <v/>
      </c>
      <c r="M1610" s="26" t="str">
        <f>IF(OR(F1610 = "", G1610 = ""), "", IF(F1610 = "Vara", IFERROR(_xlfn.SINGLE(_xlfn.XLOOKUP(G1610, Vöruskrá!A:A, Vöruskrá!F:F, "")), ""), IF(F1610 = "Réttur", IFERROR(_xlfn.SINGLE(_xlfn.XLOOKUP(G1610, Réttabanki!A:A, Réttabanki!AT:AT, "")), ""), "")))</f>
        <v/>
      </c>
      <c r="N1610" s="26" t="str">
        <f>IF(OR(F1610 = "", G1610 = ""), "", IF(F1610 = "Vara", IFERROR(_xlfn.SINGLE(_xlfn.XLOOKUP(G1610, Vöruskrá!A:A, Vöruskrá!G:G, "")), ""), IF(F1610 = "Réttur", IFERROR(_xlfn.SINGLE(_xlfn.XLOOKUP(G1610, Réttabanki!A:A, Réttabanki!AU:AU, "")), ""), "")))</f>
        <v/>
      </c>
      <c r="O1610" s="26" t="str">
        <f>IF(OR(F1610 = "", G1610 = "", I1610 = ""), "", IF(F1610 = "Vara", IFERROR(_xlfn.SINGLE(_xlfn.XLOOKUP(G1610, Vöruskrá!A:A, Vöruskrá!I:I, "")) * I1610 / 100, ""), IF(F1610 = "Réttur", IFERROR(_xlfn.SINGLE(_xlfn.XLOOKUP(G1610, Réttabanki!A:A, Réttabanki!AV:AV, "")) * I1610 / 100, ""), "")))</f>
        <v/>
      </c>
      <c r="P1610" s="26" t="str">
        <f>IF(OR(F1610 = "", G1610 = "", I1610 = ""), "", IF(F1610 = "Vara", IFERROR(_xlfn.SINGLE(_xlfn.XLOOKUP(G1610, Vöruskrá!A:A, Vöruskrá!J:J, "")) * I1610 / 100, ""), IF(F1610 = "Réttur", IFERROR(_xlfn.SINGLE(_xlfn.XLOOKUP(G1610, Réttabanki!A:A, Réttabanki!AW:AW, "")) * I1610 / 100, ""), "")))</f>
        <v/>
      </c>
      <c r="Q1610" s="26" t="str">
        <f>IF(OR(F1610 = "", G1610 = "", I1610 = ""), "", IF(F1610 = "Vara", IFERROR(_xlfn.SINGLE(_xlfn.XLOOKUP(G1610, Vöruskrá!A:A, Vöruskrá!N:N, "")) * I1610 / 100, ""), IF(F1610 = "Réttur", IFERROR(_xlfn.SINGLE(_xlfn.XLOOKUP(G1610, Réttabanki!A:A, Réttabanki!BB:BB, "")) * I1610 / 100, ""), "")))</f>
        <v/>
      </c>
    </row>
    <row r="1611" spans="2:17">
      <c r="B1611" s="33" t="str">
        <f>IF(A1611&lt;&gt;"",CHOOSE(WEEKDAY(A1611,2),"Mánudagur","Þriðjudagur","Miðvikudagur","Fimmtudagur","Föstudagur","Laugardagur","Sunnudagur"),IF(B1610&lt;&gt;"",B1610,""))</f>
        <v>Fimmtudagur</v>
      </c>
      <c r="C1611" s="33">
        <f>IF(A1611&lt;&gt;"",WEEKNUM(A1611,21),IF(C1610&lt;&gt;"",C1610,""))</f>
        <v>27</v>
      </c>
      <c r="D1611" s="34"/>
      <c r="E1611" s="34"/>
      <c r="F1611" s="34"/>
      <c r="G1611" s="34"/>
      <c r="H1611" s="34"/>
      <c r="I1611" s="35"/>
      <c r="J1611" s="35"/>
      <c r="K1611" s="36"/>
      <c r="L1611" s="26" t="str">
        <f>IF(OR(F1611 = "", G1611 = ""), "", IF(F1611 = "Vara", IFERROR(_xlfn.SINGLE(_xlfn.XLOOKUP(G1611, Vöruskrá!A:A, Vöruskrá!E:E, "")), ""), IF(F1611 = "Réttur", IFERROR(_xlfn.SINGLE(_xlfn.XLOOKUP(G1611, Réttabanki!A:A, Réttabanki!AS:AS, "")), ""), "")))</f>
        <v/>
      </c>
      <c r="M1611" s="26" t="str">
        <f>IF(OR(F1611 = "", G1611 = ""), "", IF(F1611 = "Vara", IFERROR(_xlfn.SINGLE(_xlfn.XLOOKUP(G1611, Vöruskrá!A:A, Vöruskrá!F:F, "")), ""), IF(F1611 = "Réttur", IFERROR(_xlfn.SINGLE(_xlfn.XLOOKUP(G1611, Réttabanki!A:A, Réttabanki!AT:AT, "")), ""), "")))</f>
        <v/>
      </c>
      <c r="N1611" s="26" t="str">
        <f>IF(OR(F1611 = "", G1611 = ""), "", IF(F1611 = "Vara", IFERROR(_xlfn.SINGLE(_xlfn.XLOOKUP(G1611, Vöruskrá!A:A, Vöruskrá!G:G, "")), ""), IF(F1611 = "Réttur", IFERROR(_xlfn.SINGLE(_xlfn.XLOOKUP(G1611, Réttabanki!A:A, Réttabanki!AU:AU, "")), ""), "")))</f>
        <v/>
      </c>
      <c r="O1611" s="26" t="str">
        <f>IF(OR(F1611 = "", G1611 = "", I1611 = ""), "", IF(F1611 = "Vara", IFERROR(_xlfn.SINGLE(_xlfn.XLOOKUP(G1611, Vöruskrá!A:A, Vöruskrá!I:I, "")) * I1611 / 100, ""), IF(F1611 = "Réttur", IFERROR(_xlfn.SINGLE(_xlfn.XLOOKUP(G1611, Réttabanki!A:A, Réttabanki!AV:AV, "")) * I1611 / 100, ""), "")))</f>
        <v/>
      </c>
      <c r="P1611" s="26" t="str">
        <f>IF(OR(F1611 = "", G1611 = "", I1611 = ""), "", IF(F1611 = "Vara", IFERROR(_xlfn.SINGLE(_xlfn.XLOOKUP(G1611, Vöruskrá!A:A, Vöruskrá!J:J, "")) * I1611 / 100, ""), IF(F1611 = "Réttur", IFERROR(_xlfn.SINGLE(_xlfn.XLOOKUP(G1611, Réttabanki!A:A, Réttabanki!AW:AW, "")) * I1611 / 100, ""), "")))</f>
        <v/>
      </c>
      <c r="Q1611" s="26" t="str">
        <f>IF(OR(F1611 = "", G1611 = "", I1611 = ""), "", IF(F1611 = "Vara", IFERROR(_xlfn.SINGLE(_xlfn.XLOOKUP(G1611, Vöruskrá!A:A, Vöruskrá!N:N, "")) * I1611 / 100, ""), IF(F1611 = "Réttur", IFERROR(_xlfn.SINGLE(_xlfn.XLOOKUP(G1611, Réttabanki!A:A, Réttabanki!BB:BB, "")) * I1611 / 100, ""), "")))</f>
        <v/>
      </c>
    </row>
    <row r="1612" spans="2:17">
      <c r="B1612" s="33" t="str">
        <f>IF(A1612&lt;&gt;"",CHOOSE(WEEKDAY(A1612,2),"Mánudagur","Þriðjudagur","Miðvikudagur","Fimmtudagur","Föstudagur","Laugardagur","Sunnudagur"),IF(B1611&lt;&gt;"",B1611,""))</f>
        <v>Fimmtudagur</v>
      </c>
      <c r="C1612" s="33">
        <f>IF(A1612&lt;&gt;"",WEEKNUM(A1612,21),IF(C1611&lt;&gt;"",C1611,""))</f>
        <v>27</v>
      </c>
      <c r="D1612" s="34"/>
      <c r="E1612" s="34"/>
      <c r="F1612" s="34"/>
      <c r="G1612" s="34"/>
      <c r="H1612" s="34"/>
      <c r="I1612" s="35"/>
      <c r="J1612" s="35"/>
      <c r="K1612" s="36"/>
      <c r="L1612" s="26" t="str">
        <f>IF(OR(F1612 = "", G1612 = ""), "", IF(F1612 = "Vara", IFERROR(_xlfn.SINGLE(_xlfn.XLOOKUP(G1612, Vöruskrá!A:A, Vöruskrá!E:E, "")), ""), IF(F1612 = "Réttur", IFERROR(_xlfn.SINGLE(_xlfn.XLOOKUP(G1612, Réttabanki!A:A, Réttabanki!AS:AS, "")), ""), "")))</f>
        <v/>
      </c>
      <c r="M1612" s="26" t="str">
        <f>IF(OR(F1612 = "", G1612 = ""), "", IF(F1612 = "Vara", IFERROR(_xlfn.SINGLE(_xlfn.XLOOKUP(G1612, Vöruskrá!A:A, Vöruskrá!F:F, "")), ""), IF(F1612 = "Réttur", IFERROR(_xlfn.SINGLE(_xlfn.XLOOKUP(G1612, Réttabanki!A:A, Réttabanki!AT:AT, "")), ""), "")))</f>
        <v/>
      </c>
      <c r="N1612" s="26" t="str">
        <f>IF(OR(F1612 = "", G1612 = ""), "", IF(F1612 = "Vara", IFERROR(_xlfn.SINGLE(_xlfn.XLOOKUP(G1612, Vöruskrá!A:A, Vöruskrá!G:G, "")), ""), IF(F1612 = "Réttur", IFERROR(_xlfn.SINGLE(_xlfn.XLOOKUP(G1612, Réttabanki!A:A, Réttabanki!AU:AU, "")), ""), "")))</f>
        <v/>
      </c>
      <c r="O1612" s="26" t="str">
        <f>IF(OR(F1612 = "", G1612 = "", I1612 = ""), "", IF(F1612 = "Vara", IFERROR(_xlfn.SINGLE(_xlfn.XLOOKUP(G1612, Vöruskrá!A:A, Vöruskrá!I:I, "")) * I1612 / 100, ""), IF(F1612 = "Réttur", IFERROR(_xlfn.SINGLE(_xlfn.XLOOKUP(G1612, Réttabanki!A:A, Réttabanki!AV:AV, "")) * I1612 / 100, ""), "")))</f>
        <v/>
      </c>
      <c r="P1612" s="26" t="str">
        <f>IF(OR(F1612 = "", G1612 = "", I1612 = ""), "", IF(F1612 = "Vara", IFERROR(_xlfn.SINGLE(_xlfn.XLOOKUP(G1612, Vöruskrá!A:A, Vöruskrá!J:J, "")) * I1612 / 100, ""), IF(F1612 = "Réttur", IFERROR(_xlfn.SINGLE(_xlfn.XLOOKUP(G1612, Réttabanki!A:A, Réttabanki!AW:AW, "")) * I1612 / 100, ""), "")))</f>
        <v/>
      </c>
      <c r="Q1612" s="26" t="str">
        <f>IF(OR(F1612 = "", G1612 = "", I1612 = ""), "", IF(F1612 = "Vara", IFERROR(_xlfn.SINGLE(_xlfn.XLOOKUP(G1612, Vöruskrá!A:A, Vöruskrá!N:N, "")) * I1612 / 100, ""), IF(F1612 = "Réttur", IFERROR(_xlfn.SINGLE(_xlfn.XLOOKUP(G1612, Réttabanki!A:A, Réttabanki!BB:BB, "")) * I1612 / 100, ""), "")))</f>
        <v/>
      </c>
    </row>
    <row r="1613" spans="2:17">
      <c r="B1613" s="33" t="str">
        <f>IF(A1613&lt;&gt;"",CHOOSE(WEEKDAY(A1613,2),"Mánudagur","Þriðjudagur","Miðvikudagur","Fimmtudagur","Föstudagur","Laugardagur","Sunnudagur"),IF(B1612&lt;&gt;"",B1612,""))</f>
        <v>Fimmtudagur</v>
      </c>
      <c r="C1613" s="33">
        <f>IF(A1613&lt;&gt;"",WEEKNUM(A1613,21),IF(C1612&lt;&gt;"",C1612,""))</f>
        <v>27</v>
      </c>
      <c r="D1613" s="34"/>
      <c r="E1613" s="34"/>
      <c r="F1613" s="34"/>
      <c r="G1613" s="34"/>
      <c r="H1613" s="34"/>
      <c r="I1613" s="35"/>
      <c r="J1613" s="35"/>
      <c r="K1613" s="36"/>
      <c r="L1613" s="26" t="str">
        <f>IF(OR(F1613 = "", G1613 = ""), "", IF(F1613 = "Vara", IFERROR(_xlfn.SINGLE(_xlfn.XLOOKUP(G1613, Vöruskrá!A:A, Vöruskrá!E:E, "")), ""), IF(F1613 = "Réttur", IFERROR(_xlfn.SINGLE(_xlfn.XLOOKUP(G1613, Réttabanki!A:A, Réttabanki!AS:AS, "")), ""), "")))</f>
        <v/>
      </c>
      <c r="M1613" s="26" t="str">
        <f>IF(OR(F1613 = "", G1613 = ""), "", IF(F1613 = "Vara", IFERROR(_xlfn.SINGLE(_xlfn.XLOOKUP(G1613, Vöruskrá!A:A, Vöruskrá!F:F, "")), ""), IF(F1613 = "Réttur", IFERROR(_xlfn.SINGLE(_xlfn.XLOOKUP(G1613, Réttabanki!A:A, Réttabanki!AT:AT, "")), ""), "")))</f>
        <v/>
      </c>
      <c r="N1613" s="26" t="str">
        <f>IF(OR(F1613 = "", G1613 = ""), "", IF(F1613 = "Vara", IFERROR(_xlfn.SINGLE(_xlfn.XLOOKUP(G1613, Vöruskrá!A:A, Vöruskrá!G:G, "")), ""), IF(F1613 = "Réttur", IFERROR(_xlfn.SINGLE(_xlfn.XLOOKUP(G1613, Réttabanki!A:A, Réttabanki!AU:AU, "")), ""), "")))</f>
        <v/>
      </c>
      <c r="O1613" s="26" t="str">
        <f>IF(OR(F1613 = "", G1613 = "", I1613 = ""), "", IF(F1613 = "Vara", IFERROR(_xlfn.SINGLE(_xlfn.XLOOKUP(G1613, Vöruskrá!A:A, Vöruskrá!I:I, "")) * I1613 / 100, ""), IF(F1613 = "Réttur", IFERROR(_xlfn.SINGLE(_xlfn.XLOOKUP(G1613, Réttabanki!A:A, Réttabanki!AV:AV, "")) * I1613 / 100, ""), "")))</f>
        <v/>
      </c>
      <c r="P1613" s="26" t="str">
        <f>IF(OR(F1613 = "", G1613 = "", I1613 = ""), "", IF(F1613 = "Vara", IFERROR(_xlfn.SINGLE(_xlfn.XLOOKUP(G1613, Vöruskrá!A:A, Vöruskrá!J:J, "")) * I1613 / 100, ""), IF(F1613 = "Réttur", IFERROR(_xlfn.SINGLE(_xlfn.XLOOKUP(G1613, Réttabanki!A:A, Réttabanki!AW:AW, "")) * I1613 / 100, ""), "")))</f>
        <v/>
      </c>
      <c r="Q1613" s="26" t="str">
        <f>IF(OR(F1613 = "", G1613 = "", I1613 = ""), "", IF(F1613 = "Vara", IFERROR(_xlfn.SINGLE(_xlfn.XLOOKUP(G1613, Vöruskrá!A:A, Vöruskrá!N:N, "")) * I1613 / 100, ""), IF(F1613 = "Réttur", IFERROR(_xlfn.SINGLE(_xlfn.XLOOKUP(G1613, Réttabanki!A:A, Réttabanki!BB:BB, "")) * I1613 / 100, ""), "")))</f>
        <v/>
      </c>
    </row>
    <row r="1614" spans="2:17">
      <c r="B1614" s="33" t="str">
        <f>IF(A1614&lt;&gt;"",CHOOSE(WEEKDAY(A1614,2),"Mánudagur","Þriðjudagur","Miðvikudagur","Fimmtudagur","Föstudagur","Laugardagur","Sunnudagur"),IF(B1613&lt;&gt;"",B1613,""))</f>
        <v>Fimmtudagur</v>
      </c>
      <c r="C1614" s="33">
        <f>IF(A1614&lt;&gt;"",WEEKNUM(A1614,21),IF(C1613&lt;&gt;"",C1613,""))</f>
        <v>27</v>
      </c>
      <c r="D1614" s="34"/>
      <c r="E1614" s="34"/>
      <c r="F1614" s="34"/>
      <c r="G1614" s="34"/>
      <c r="H1614" s="34"/>
      <c r="I1614" s="35"/>
      <c r="J1614" s="35"/>
      <c r="K1614" s="36"/>
      <c r="L1614" s="26" t="str">
        <f>IF(OR(F1614 = "", G1614 = ""), "", IF(F1614 = "Vara", IFERROR(_xlfn.SINGLE(_xlfn.XLOOKUP(G1614, Vöruskrá!A:A, Vöruskrá!E:E, "")), ""), IF(F1614 = "Réttur", IFERROR(_xlfn.SINGLE(_xlfn.XLOOKUP(G1614, Réttabanki!A:A, Réttabanki!AS:AS, "")), ""), "")))</f>
        <v/>
      </c>
      <c r="M1614" s="26" t="str">
        <f>IF(OR(F1614 = "", G1614 = ""), "", IF(F1614 = "Vara", IFERROR(_xlfn.SINGLE(_xlfn.XLOOKUP(G1614, Vöruskrá!A:A, Vöruskrá!F:F, "")), ""), IF(F1614 = "Réttur", IFERROR(_xlfn.SINGLE(_xlfn.XLOOKUP(G1614, Réttabanki!A:A, Réttabanki!AT:AT, "")), ""), "")))</f>
        <v/>
      </c>
      <c r="N1614" s="26" t="str">
        <f>IF(OR(F1614 = "", G1614 = ""), "", IF(F1614 = "Vara", IFERROR(_xlfn.SINGLE(_xlfn.XLOOKUP(G1614, Vöruskrá!A:A, Vöruskrá!G:G, "")), ""), IF(F1614 = "Réttur", IFERROR(_xlfn.SINGLE(_xlfn.XLOOKUP(G1614, Réttabanki!A:A, Réttabanki!AU:AU, "")), ""), "")))</f>
        <v/>
      </c>
      <c r="O1614" s="26" t="str">
        <f>IF(OR(F1614 = "", G1614 = "", I1614 = ""), "", IF(F1614 = "Vara", IFERROR(_xlfn.SINGLE(_xlfn.XLOOKUP(G1614, Vöruskrá!A:A, Vöruskrá!I:I, "")) * I1614 / 100, ""), IF(F1614 = "Réttur", IFERROR(_xlfn.SINGLE(_xlfn.XLOOKUP(G1614, Réttabanki!A:A, Réttabanki!AV:AV, "")) * I1614 / 100, ""), "")))</f>
        <v/>
      </c>
      <c r="P1614" s="26" t="str">
        <f>IF(OR(F1614 = "", G1614 = "", I1614 = ""), "", IF(F1614 = "Vara", IFERROR(_xlfn.SINGLE(_xlfn.XLOOKUP(G1614, Vöruskrá!A:A, Vöruskrá!J:J, "")) * I1614 / 100, ""), IF(F1614 = "Réttur", IFERROR(_xlfn.SINGLE(_xlfn.XLOOKUP(G1614, Réttabanki!A:A, Réttabanki!AW:AW, "")) * I1614 / 100, ""), "")))</f>
        <v/>
      </c>
      <c r="Q1614" s="26" t="str">
        <f>IF(OR(F1614 = "", G1614 = "", I1614 = ""), "", IF(F1614 = "Vara", IFERROR(_xlfn.SINGLE(_xlfn.XLOOKUP(G1614, Vöruskrá!A:A, Vöruskrá!N:N, "")) * I1614 / 100, ""), IF(F1614 = "Réttur", IFERROR(_xlfn.SINGLE(_xlfn.XLOOKUP(G1614, Réttabanki!A:A, Réttabanki!BB:BB, "")) * I1614 / 100, ""), "")))</f>
        <v/>
      </c>
    </row>
    <row r="1615" spans="2:17">
      <c r="B1615" s="33" t="str">
        <f>IF(A1615&lt;&gt;"",CHOOSE(WEEKDAY(A1615,2),"Mánudagur","Þriðjudagur","Miðvikudagur","Fimmtudagur","Föstudagur","Laugardagur","Sunnudagur"),IF(B1614&lt;&gt;"",B1614,""))</f>
        <v>Fimmtudagur</v>
      </c>
      <c r="C1615" s="33">
        <f>IF(A1615&lt;&gt;"",WEEKNUM(A1615,21),IF(C1614&lt;&gt;"",C1614,""))</f>
        <v>27</v>
      </c>
      <c r="D1615" s="34"/>
      <c r="E1615" s="34"/>
      <c r="F1615" s="34"/>
      <c r="G1615" s="34"/>
      <c r="H1615" s="34"/>
      <c r="I1615" s="35"/>
      <c r="J1615" s="35"/>
      <c r="K1615" s="36"/>
      <c r="L1615" s="26" t="str">
        <f>IF(OR(F1615 = "", G1615 = ""), "", IF(F1615 = "Vara", IFERROR(_xlfn.SINGLE(_xlfn.XLOOKUP(G1615, Vöruskrá!A:A, Vöruskrá!E:E, "")), ""), IF(F1615 = "Réttur", IFERROR(_xlfn.SINGLE(_xlfn.XLOOKUP(G1615, Réttabanki!A:A, Réttabanki!AS:AS, "")), ""), "")))</f>
        <v/>
      </c>
      <c r="M1615" s="26" t="str">
        <f>IF(OR(F1615 = "", G1615 = ""), "", IF(F1615 = "Vara", IFERROR(_xlfn.SINGLE(_xlfn.XLOOKUP(G1615, Vöruskrá!A:A, Vöruskrá!F:F, "")), ""), IF(F1615 = "Réttur", IFERROR(_xlfn.SINGLE(_xlfn.XLOOKUP(G1615, Réttabanki!A:A, Réttabanki!AT:AT, "")), ""), "")))</f>
        <v/>
      </c>
      <c r="N1615" s="26" t="str">
        <f>IF(OR(F1615 = "", G1615 = ""), "", IF(F1615 = "Vara", IFERROR(_xlfn.SINGLE(_xlfn.XLOOKUP(G1615, Vöruskrá!A:A, Vöruskrá!G:G, "")), ""), IF(F1615 = "Réttur", IFERROR(_xlfn.SINGLE(_xlfn.XLOOKUP(G1615, Réttabanki!A:A, Réttabanki!AU:AU, "")), ""), "")))</f>
        <v/>
      </c>
      <c r="O1615" s="26" t="str">
        <f>IF(OR(F1615 = "", G1615 = "", I1615 = ""), "", IF(F1615 = "Vara", IFERROR(_xlfn.SINGLE(_xlfn.XLOOKUP(G1615, Vöruskrá!A:A, Vöruskrá!I:I, "")) * I1615 / 100, ""), IF(F1615 = "Réttur", IFERROR(_xlfn.SINGLE(_xlfn.XLOOKUP(G1615, Réttabanki!A:A, Réttabanki!AV:AV, "")) * I1615 / 100, ""), "")))</f>
        <v/>
      </c>
      <c r="P1615" s="26" t="str">
        <f>IF(OR(F1615 = "", G1615 = "", I1615 = ""), "", IF(F1615 = "Vara", IFERROR(_xlfn.SINGLE(_xlfn.XLOOKUP(G1615, Vöruskrá!A:A, Vöruskrá!J:J, "")) * I1615 / 100, ""), IF(F1615 = "Réttur", IFERROR(_xlfn.SINGLE(_xlfn.XLOOKUP(G1615, Réttabanki!A:A, Réttabanki!AW:AW, "")) * I1615 / 100, ""), "")))</f>
        <v/>
      </c>
      <c r="Q1615" s="26" t="str">
        <f>IF(OR(F1615 = "", G1615 = "", I1615 = ""), "", IF(F1615 = "Vara", IFERROR(_xlfn.SINGLE(_xlfn.XLOOKUP(G1615, Vöruskrá!A:A, Vöruskrá!N:N, "")) * I1615 / 100, ""), IF(F1615 = "Réttur", IFERROR(_xlfn.SINGLE(_xlfn.XLOOKUP(G1615, Réttabanki!A:A, Réttabanki!BB:BB, "")) * I1615 / 100, ""), "")))</f>
        <v/>
      </c>
    </row>
    <row r="1616" spans="2:17">
      <c r="B1616" s="33" t="str">
        <f>IF(A1616&lt;&gt;"",CHOOSE(WEEKDAY(A1616,2),"Mánudagur","Þriðjudagur","Miðvikudagur","Fimmtudagur","Föstudagur","Laugardagur","Sunnudagur"),IF(B1615&lt;&gt;"",B1615,""))</f>
        <v>Fimmtudagur</v>
      </c>
      <c r="C1616" s="33">
        <f>IF(A1616&lt;&gt;"",WEEKNUM(A1616,21),IF(C1615&lt;&gt;"",C1615,""))</f>
        <v>27</v>
      </c>
      <c r="D1616" s="34"/>
      <c r="E1616" s="34"/>
      <c r="F1616" s="34"/>
      <c r="G1616" s="34"/>
      <c r="H1616" s="34"/>
      <c r="I1616" s="35"/>
      <c r="J1616" s="35"/>
      <c r="K1616" s="36"/>
      <c r="L1616" s="26" t="str">
        <f>IF(OR(F1616 = "", G1616 = ""), "", IF(F1616 = "Vara", IFERROR(_xlfn.SINGLE(_xlfn.XLOOKUP(G1616, Vöruskrá!A:A, Vöruskrá!E:E, "")), ""), IF(F1616 = "Réttur", IFERROR(_xlfn.SINGLE(_xlfn.XLOOKUP(G1616, Réttabanki!A:A, Réttabanki!AS:AS, "")), ""), "")))</f>
        <v/>
      </c>
      <c r="M1616" s="26" t="str">
        <f>IF(OR(F1616 = "", G1616 = ""), "", IF(F1616 = "Vara", IFERROR(_xlfn.SINGLE(_xlfn.XLOOKUP(G1616, Vöruskrá!A:A, Vöruskrá!F:F, "")), ""), IF(F1616 = "Réttur", IFERROR(_xlfn.SINGLE(_xlfn.XLOOKUP(G1616, Réttabanki!A:A, Réttabanki!AT:AT, "")), ""), "")))</f>
        <v/>
      </c>
      <c r="N1616" s="26" t="str">
        <f>IF(OR(F1616 = "", G1616 = ""), "", IF(F1616 = "Vara", IFERROR(_xlfn.SINGLE(_xlfn.XLOOKUP(G1616, Vöruskrá!A:A, Vöruskrá!G:G, "")), ""), IF(F1616 = "Réttur", IFERROR(_xlfn.SINGLE(_xlfn.XLOOKUP(G1616, Réttabanki!A:A, Réttabanki!AU:AU, "")), ""), "")))</f>
        <v/>
      </c>
      <c r="O1616" s="26" t="str">
        <f>IF(OR(F1616 = "", G1616 = "", I1616 = ""), "", IF(F1616 = "Vara", IFERROR(_xlfn.SINGLE(_xlfn.XLOOKUP(G1616, Vöruskrá!A:A, Vöruskrá!I:I, "")) * I1616 / 100, ""), IF(F1616 = "Réttur", IFERROR(_xlfn.SINGLE(_xlfn.XLOOKUP(G1616, Réttabanki!A:A, Réttabanki!AV:AV, "")) * I1616 / 100, ""), "")))</f>
        <v/>
      </c>
      <c r="P1616" s="26" t="str">
        <f>IF(OR(F1616 = "", G1616 = "", I1616 = ""), "", IF(F1616 = "Vara", IFERROR(_xlfn.SINGLE(_xlfn.XLOOKUP(G1616, Vöruskrá!A:A, Vöruskrá!J:J, "")) * I1616 / 100, ""), IF(F1616 = "Réttur", IFERROR(_xlfn.SINGLE(_xlfn.XLOOKUP(G1616, Réttabanki!A:A, Réttabanki!AW:AW, "")) * I1616 / 100, ""), "")))</f>
        <v/>
      </c>
      <c r="Q1616" s="26" t="str">
        <f>IF(OR(F1616 = "", G1616 = "", I1616 = ""), "", IF(F1616 = "Vara", IFERROR(_xlfn.SINGLE(_xlfn.XLOOKUP(G1616, Vöruskrá!A:A, Vöruskrá!N:N, "")) * I1616 / 100, ""), IF(F1616 = "Réttur", IFERROR(_xlfn.SINGLE(_xlfn.XLOOKUP(G1616, Réttabanki!A:A, Réttabanki!BB:BB, "")) * I1616 / 100, ""), "")))</f>
        <v/>
      </c>
    </row>
    <row r="1617" spans="2:17">
      <c r="B1617" s="33" t="str">
        <f>IF(A1617&lt;&gt;"",CHOOSE(WEEKDAY(A1617,2),"Mánudagur","Þriðjudagur","Miðvikudagur","Fimmtudagur","Föstudagur","Laugardagur","Sunnudagur"),IF(B1616&lt;&gt;"",B1616,""))</f>
        <v>Fimmtudagur</v>
      </c>
      <c r="C1617" s="33">
        <f>IF(A1617&lt;&gt;"",WEEKNUM(A1617,21),IF(C1616&lt;&gt;"",C1616,""))</f>
        <v>27</v>
      </c>
      <c r="D1617" s="34"/>
      <c r="E1617" s="34"/>
      <c r="F1617" s="34"/>
      <c r="G1617" s="34"/>
      <c r="H1617" s="34"/>
      <c r="I1617" s="35"/>
      <c r="J1617" s="35"/>
      <c r="K1617" s="36"/>
      <c r="L1617" s="26" t="str">
        <f>IF(OR(F1617 = "", G1617 = ""), "", IF(F1617 = "Vara", IFERROR(_xlfn.SINGLE(_xlfn.XLOOKUP(G1617, Vöruskrá!A:A, Vöruskrá!E:E, "")), ""), IF(F1617 = "Réttur", IFERROR(_xlfn.SINGLE(_xlfn.XLOOKUP(G1617, Réttabanki!A:A, Réttabanki!AS:AS, "")), ""), "")))</f>
        <v/>
      </c>
      <c r="M1617" s="26" t="str">
        <f>IF(OR(F1617 = "", G1617 = ""), "", IF(F1617 = "Vara", IFERROR(_xlfn.SINGLE(_xlfn.XLOOKUP(G1617, Vöruskrá!A:A, Vöruskrá!F:F, "")), ""), IF(F1617 = "Réttur", IFERROR(_xlfn.SINGLE(_xlfn.XLOOKUP(G1617, Réttabanki!A:A, Réttabanki!AT:AT, "")), ""), "")))</f>
        <v/>
      </c>
      <c r="N1617" s="26" t="str">
        <f>IF(OR(F1617 = "", G1617 = ""), "", IF(F1617 = "Vara", IFERROR(_xlfn.SINGLE(_xlfn.XLOOKUP(G1617, Vöruskrá!A:A, Vöruskrá!G:G, "")), ""), IF(F1617 = "Réttur", IFERROR(_xlfn.SINGLE(_xlfn.XLOOKUP(G1617, Réttabanki!A:A, Réttabanki!AU:AU, "")), ""), "")))</f>
        <v/>
      </c>
      <c r="O1617" s="26" t="str">
        <f>IF(OR(F1617 = "", G1617 = "", I1617 = ""), "", IF(F1617 = "Vara", IFERROR(_xlfn.SINGLE(_xlfn.XLOOKUP(G1617, Vöruskrá!A:A, Vöruskrá!I:I, "")) * I1617 / 100, ""), IF(F1617 = "Réttur", IFERROR(_xlfn.SINGLE(_xlfn.XLOOKUP(G1617, Réttabanki!A:A, Réttabanki!AV:AV, "")) * I1617 / 100, ""), "")))</f>
        <v/>
      </c>
      <c r="P1617" s="26" t="str">
        <f>IF(OR(F1617 = "", G1617 = "", I1617 = ""), "", IF(F1617 = "Vara", IFERROR(_xlfn.SINGLE(_xlfn.XLOOKUP(G1617, Vöruskrá!A:A, Vöruskrá!J:J, "")) * I1617 / 100, ""), IF(F1617 = "Réttur", IFERROR(_xlfn.SINGLE(_xlfn.XLOOKUP(G1617, Réttabanki!A:A, Réttabanki!AW:AW, "")) * I1617 / 100, ""), "")))</f>
        <v/>
      </c>
      <c r="Q1617" s="26" t="str">
        <f>IF(OR(F1617 = "", G1617 = "", I1617 = ""), "", IF(F1617 = "Vara", IFERROR(_xlfn.SINGLE(_xlfn.XLOOKUP(G1617, Vöruskrá!A:A, Vöruskrá!N:N, "")) * I1617 / 100, ""), IF(F1617 = "Réttur", IFERROR(_xlfn.SINGLE(_xlfn.XLOOKUP(G1617, Réttabanki!A:A, Réttabanki!BB:BB, "")) * I1617 / 100, ""), "")))</f>
        <v/>
      </c>
    </row>
    <row r="1618" spans="2:17">
      <c r="B1618" s="33" t="str">
        <f>IF(A1618&lt;&gt;"",CHOOSE(WEEKDAY(A1618,2),"Mánudagur","Þriðjudagur","Miðvikudagur","Fimmtudagur","Föstudagur","Laugardagur","Sunnudagur"),IF(B1617&lt;&gt;"",B1617,""))</f>
        <v>Fimmtudagur</v>
      </c>
      <c r="C1618" s="33">
        <f>IF(A1618&lt;&gt;"",WEEKNUM(A1618,21),IF(C1617&lt;&gt;"",C1617,""))</f>
        <v>27</v>
      </c>
      <c r="D1618" s="34"/>
      <c r="E1618" s="34"/>
      <c r="F1618" s="34"/>
      <c r="G1618" s="34"/>
      <c r="H1618" s="34"/>
      <c r="I1618" s="35"/>
      <c r="J1618" s="35"/>
      <c r="K1618" s="36"/>
      <c r="L1618" s="26" t="str">
        <f>IF(OR(F1618 = "", G1618 = ""), "", IF(F1618 = "Vara", IFERROR(_xlfn.SINGLE(_xlfn.XLOOKUP(G1618, Vöruskrá!A:A, Vöruskrá!E:E, "")), ""), IF(F1618 = "Réttur", IFERROR(_xlfn.SINGLE(_xlfn.XLOOKUP(G1618, Réttabanki!A:A, Réttabanki!AS:AS, "")), ""), "")))</f>
        <v/>
      </c>
      <c r="M1618" s="26" t="str">
        <f>IF(OR(F1618 = "", G1618 = ""), "", IF(F1618 = "Vara", IFERROR(_xlfn.SINGLE(_xlfn.XLOOKUP(G1618, Vöruskrá!A:A, Vöruskrá!F:F, "")), ""), IF(F1618 = "Réttur", IFERROR(_xlfn.SINGLE(_xlfn.XLOOKUP(G1618, Réttabanki!A:A, Réttabanki!AT:AT, "")), ""), "")))</f>
        <v/>
      </c>
      <c r="N1618" s="26" t="str">
        <f>IF(OR(F1618 = "", G1618 = ""), "", IF(F1618 = "Vara", IFERROR(_xlfn.SINGLE(_xlfn.XLOOKUP(G1618, Vöruskrá!A:A, Vöruskrá!G:G, "")), ""), IF(F1618 = "Réttur", IFERROR(_xlfn.SINGLE(_xlfn.XLOOKUP(G1618, Réttabanki!A:A, Réttabanki!AU:AU, "")), ""), "")))</f>
        <v/>
      </c>
      <c r="O1618" s="26" t="str">
        <f>IF(OR(F1618 = "", G1618 = "", I1618 = ""), "", IF(F1618 = "Vara", IFERROR(_xlfn.SINGLE(_xlfn.XLOOKUP(G1618, Vöruskrá!A:A, Vöruskrá!I:I, "")) * I1618 / 100, ""), IF(F1618 = "Réttur", IFERROR(_xlfn.SINGLE(_xlfn.XLOOKUP(G1618, Réttabanki!A:A, Réttabanki!AV:AV, "")) * I1618 / 100, ""), "")))</f>
        <v/>
      </c>
      <c r="P1618" s="26" t="str">
        <f>IF(OR(F1618 = "", G1618 = "", I1618 = ""), "", IF(F1618 = "Vara", IFERROR(_xlfn.SINGLE(_xlfn.XLOOKUP(G1618, Vöruskrá!A:A, Vöruskrá!J:J, "")) * I1618 / 100, ""), IF(F1618 = "Réttur", IFERROR(_xlfn.SINGLE(_xlfn.XLOOKUP(G1618, Réttabanki!A:A, Réttabanki!AW:AW, "")) * I1618 / 100, ""), "")))</f>
        <v/>
      </c>
      <c r="Q1618" s="26" t="str">
        <f>IF(OR(F1618 = "", G1618 = "", I1618 = ""), "", IF(F1618 = "Vara", IFERROR(_xlfn.SINGLE(_xlfn.XLOOKUP(G1618, Vöruskrá!A:A, Vöruskrá!N:N, "")) * I1618 / 100, ""), IF(F1618 = "Réttur", IFERROR(_xlfn.SINGLE(_xlfn.XLOOKUP(G1618, Réttabanki!A:A, Réttabanki!BB:BB, "")) * I1618 / 100, ""), "")))</f>
        <v/>
      </c>
    </row>
    <row r="1619" spans="2:17">
      <c r="B1619" s="33" t="str">
        <f>IF(A1619&lt;&gt;"",CHOOSE(WEEKDAY(A1619,2),"Mánudagur","Þriðjudagur","Miðvikudagur","Fimmtudagur","Föstudagur","Laugardagur","Sunnudagur"),IF(B1618&lt;&gt;"",B1618,""))</f>
        <v>Fimmtudagur</v>
      </c>
      <c r="C1619" s="33">
        <f>IF(A1619&lt;&gt;"",WEEKNUM(A1619,21),IF(C1618&lt;&gt;"",C1618,""))</f>
        <v>27</v>
      </c>
      <c r="D1619" s="34"/>
      <c r="E1619" s="34"/>
      <c r="F1619" s="34"/>
      <c r="G1619" s="34"/>
      <c r="H1619" s="34"/>
      <c r="I1619" s="35"/>
      <c r="J1619" s="35"/>
      <c r="K1619" s="36"/>
      <c r="L1619" s="26" t="str">
        <f>IF(OR(F1619 = "", G1619 = ""), "", IF(F1619 = "Vara", IFERROR(_xlfn.SINGLE(_xlfn.XLOOKUP(G1619, Vöruskrá!A:A, Vöruskrá!E:E, "")), ""), IF(F1619 = "Réttur", IFERROR(_xlfn.SINGLE(_xlfn.XLOOKUP(G1619, Réttabanki!A:A, Réttabanki!AS:AS, "")), ""), "")))</f>
        <v/>
      </c>
      <c r="M1619" s="26" t="str">
        <f>IF(OR(F1619 = "", G1619 = ""), "", IF(F1619 = "Vara", IFERROR(_xlfn.SINGLE(_xlfn.XLOOKUP(G1619, Vöruskrá!A:A, Vöruskrá!F:F, "")), ""), IF(F1619 = "Réttur", IFERROR(_xlfn.SINGLE(_xlfn.XLOOKUP(G1619, Réttabanki!A:A, Réttabanki!AT:AT, "")), ""), "")))</f>
        <v/>
      </c>
      <c r="N1619" s="26" t="str">
        <f>IF(OR(F1619 = "", G1619 = ""), "", IF(F1619 = "Vara", IFERROR(_xlfn.SINGLE(_xlfn.XLOOKUP(G1619, Vöruskrá!A:A, Vöruskrá!G:G, "")), ""), IF(F1619 = "Réttur", IFERROR(_xlfn.SINGLE(_xlfn.XLOOKUP(G1619, Réttabanki!A:A, Réttabanki!AU:AU, "")), ""), "")))</f>
        <v/>
      </c>
      <c r="O1619" s="26" t="str">
        <f>IF(OR(F1619 = "", G1619 = "", I1619 = ""), "", IF(F1619 = "Vara", IFERROR(_xlfn.SINGLE(_xlfn.XLOOKUP(G1619, Vöruskrá!A:A, Vöruskrá!I:I, "")) * I1619 / 100, ""), IF(F1619 = "Réttur", IFERROR(_xlfn.SINGLE(_xlfn.XLOOKUP(G1619, Réttabanki!A:A, Réttabanki!AV:AV, "")) * I1619 / 100, ""), "")))</f>
        <v/>
      </c>
      <c r="P1619" s="26" t="str">
        <f>IF(OR(F1619 = "", G1619 = "", I1619 = ""), "", IF(F1619 = "Vara", IFERROR(_xlfn.SINGLE(_xlfn.XLOOKUP(G1619, Vöruskrá!A:A, Vöruskrá!J:J, "")) * I1619 / 100, ""), IF(F1619 = "Réttur", IFERROR(_xlfn.SINGLE(_xlfn.XLOOKUP(G1619, Réttabanki!A:A, Réttabanki!AW:AW, "")) * I1619 / 100, ""), "")))</f>
        <v/>
      </c>
      <c r="Q1619" s="26" t="str">
        <f>IF(OR(F1619 = "", G1619 = "", I1619 = ""), "", IF(F1619 = "Vara", IFERROR(_xlfn.SINGLE(_xlfn.XLOOKUP(G1619, Vöruskrá!A:A, Vöruskrá!N:N, "")) * I1619 / 100, ""), IF(F1619 = "Réttur", IFERROR(_xlfn.SINGLE(_xlfn.XLOOKUP(G1619, Réttabanki!A:A, Réttabanki!BB:BB, "")) * I1619 / 100, ""), "")))</f>
        <v/>
      </c>
    </row>
    <row r="1620" spans="2:17">
      <c r="B1620" s="33" t="str">
        <f>IF(A1620&lt;&gt;"",CHOOSE(WEEKDAY(A1620,2),"Mánudagur","Þriðjudagur","Miðvikudagur","Fimmtudagur","Föstudagur","Laugardagur","Sunnudagur"),IF(B1619&lt;&gt;"",B1619,""))</f>
        <v>Fimmtudagur</v>
      </c>
      <c r="C1620" s="33">
        <f>IF(A1620&lt;&gt;"",WEEKNUM(A1620,21),IF(C1619&lt;&gt;"",C1619,""))</f>
        <v>27</v>
      </c>
      <c r="D1620" s="34"/>
      <c r="E1620" s="34"/>
      <c r="F1620" s="34"/>
      <c r="G1620" s="34"/>
      <c r="H1620" s="34"/>
      <c r="I1620" s="35"/>
      <c r="J1620" s="35"/>
      <c r="K1620" s="36"/>
      <c r="L1620" s="26" t="str">
        <f>IF(OR(F1620 = "", G1620 = ""), "", IF(F1620 = "Vara", IFERROR(_xlfn.SINGLE(_xlfn.XLOOKUP(G1620, Vöruskrá!A:A, Vöruskrá!E:E, "")), ""), IF(F1620 = "Réttur", IFERROR(_xlfn.SINGLE(_xlfn.XLOOKUP(G1620, Réttabanki!A:A, Réttabanki!AS:AS, "")), ""), "")))</f>
        <v/>
      </c>
      <c r="M1620" s="26" t="str">
        <f>IF(OR(F1620 = "", G1620 = ""), "", IF(F1620 = "Vara", IFERROR(_xlfn.SINGLE(_xlfn.XLOOKUP(G1620, Vöruskrá!A:A, Vöruskrá!F:F, "")), ""), IF(F1620 = "Réttur", IFERROR(_xlfn.SINGLE(_xlfn.XLOOKUP(G1620, Réttabanki!A:A, Réttabanki!AT:AT, "")), ""), "")))</f>
        <v/>
      </c>
      <c r="N1620" s="26" t="str">
        <f>IF(OR(F1620 = "", G1620 = ""), "", IF(F1620 = "Vara", IFERROR(_xlfn.SINGLE(_xlfn.XLOOKUP(G1620, Vöruskrá!A:A, Vöruskrá!G:G, "")), ""), IF(F1620 = "Réttur", IFERROR(_xlfn.SINGLE(_xlfn.XLOOKUP(G1620, Réttabanki!A:A, Réttabanki!AU:AU, "")), ""), "")))</f>
        <v/>
      </c>
      <c r="O1620" s="26" t="str">
        <f>IF(OR(F1620 = "", G1620 = "", I1620 = ""), "", IF(F1620 = "Vara", IFERROR(_xlfn.SINGLE(_xlfn.XLOOKUP(G1620, Vöruskrá!A:A, Vöruskrá!I:I, "")) * I1620 / 100, ""), IF(F1620 = "Réttur", IFERROR(_xlfn.SINGLE(_xlfn.XLOOKUP(G1620, Réttabanki!A:A, Réttabanki!AV:AV, "")) * I1620 / 100, ""), "")))</f>
        <v/>
      </c>
      <c r="P1620" s="26" t="str">
        <f>IF(OR(F1620 = "", G1620 = "", I1620 = ""), "", IF(F1620 = "Vara", IFERROR(_xlfn.SINGLE(_xlfn.XLOOKUP(G1620, Vöruskrá!A:A, Vöruskrá!J:J, "")) * I1620 / 100, ""), IF(F1620 = "Réttur", IFERROR(_xlfn.SINGLE(_xlfn.XLOOKUP(G1620, Réttabanki!A:A, Réttabanki!AW:AW, "")) * I1620 / 100, ""), "")))</f>
        <v/>
      </c>
      <c r="Q1620" s="26" t="str">
        <f>IF(OR(F1620 = "", G1620 = "", I1620 = ""), "", IF(F1620 = "Vara", IFERROR(_xlfn.SINGLE(_xlfn.XLOOKUP(G1620, Vöruskrá!A:A, Vöruskrá!N:N, "")) * I1620 / 100, ""), IF(F1620 = "Réttur", IFERROR(_xlfn.SINGLE(_xlfn.XLOOKUP(G1620, Réttabanki!A:A, Réttabanki!BB:BB, "")) * I1620 / 100, ""), "")))</f>
        <v/>
      </c>
    </row>
    <row r="1621" spans="2:17">
      <c r="B1621" s="33" t="str">
        <f>IF(A1621&lt;&gt;"",CHOOSE(WEEKDAY(A1621,2),"Mánudagur","Þriðjudagur","Miðvikudagur","Fimmtudagur","Föstudagur","Laugardagur","Sunnudagur"),IF(B1620&lt;&gt;"",B1620,""))</f>
        <v>Fimmtudagur</v>
      </c>
      <c r="C1621" s="33">
        <f>IF(A1621&lt;&gt;"",WEEKNUM(A1621,21),IF(C1620&lt;&gt;"",C1620,""))</f>
        <v>27</v>
      </c>
      <c r="D1621" s="34"/>
      <c r="E1621" s="34"/>
      <c r="F1621" s="34"/>
      <c r="G1621" s="34"/>
      <c r="H1621" s="34"/>
      <c r="I1621" s="35"/>
      <c r="J1621" s="35"/>
      <c r="K1621" s="36"/>
      <c r="L1621" s="26" t="str">
        <f>IF(OR(F1621 = "", G1621 = ""), "", IF(F1621 = "Vara", IFERROR(_xlfn.SINGLE(_xlfn.XLOOKUP(G1621, Vöruskrá!A:A, Vöruskrá!E:E, "")), ""), IF(F1621 = "Réttur", IFERROR(_xlfn.SINGLE(_xlfn.XLOOKUP(G1621, Réttabanki!A:A, Réttabanki!AS:AS, "")), ""), "")))</f>
        <v/>
      </c>
      <c r="M1621" s="26" t="str">
        <f>IF(OR(F1621 = "", G1621 = ""), "", IF(F1621 = "Vara", IFERROR(_xlfn.SINGLE(_xlfn.XLOOKUP(G1621, Vöruskrá!A:A, Vöruskrá!F:F, "")), ""), IF(F1621 = "Réttur", IFERROR(_xlfn.SINGLE(_xlfn.XLOOKUP(G1621, Réttabanki!A:A, Réttabanki!AT:AT, "")), ""), "")))</f>
        <v/>
      </c>
      <c r="N1621" s="26" t="str">
        <f>IF(OR(F1621 = "", G1621 = ""), "", IF(F1621 = "Vara", IFERROR(_xlfn.SINGLE(_xlfn.XLOOKUP(G1621, Vöruskrá!A:A, Vöruskrá!G:G, "")), ""), IF(F1621 = "Réttur", IFERROR(_xlfn.SINGLE(_xlfn.XLOOKUP(G1621, Réttabanki!A:A, Réttabanki!AU:AU, "")), ""), "")))</f>
        <v/>
      </c>
      <c r="O1621" s="26" t="str">
        <f>IF(OR(F1621 = "", G1621 = "", I1621 = ""), "", IF(F1621 = "Vara", IFERROR(_xlfn.SINGLE(_xlfn.XLOOKUP(G1621, Vöruskrá!A:A, Vöruskrá!I:I, "")) * I1621 / 100, ""), IF(F1621 = "Réttur", IFERROR(_xlfn.SINGLE(_xlfn.XLOOKUP(G1621, Réttabanki!A:A, Réttabanki!AV:AV, "")) * I1621 / 100, ""), "")))</f>
        <v/>
      </c>
      <c r="P1621" s="26" t="str">
        <f>IF(OR(F1621 = "", G1621 = "", I1621 = ""), "", IF(F1621 = "Vara", IFERROR(_xlfn.SINGLE(_xlfn.XLOOKUP(G1621, Vöruskrá!A:A, Vöruskrá!J:J, "")) * I1621 / 100, ""), IF(F1621 = "Réttur", IFERROR(_xlfn.SINGLE(_xlfn.XLOOKUP(G1621, Réttabanki!A:A, Réttabanki!AW:AW, "")) * I1621 / 100, ""), "")))</f>
        <v/>
      </c>
      <c r="Q1621" s="26" t="str">
        <f>IF(OR(F1621 = "", G1621 = "", I1621 = ""), "", IF(F1621 = "Vara", IFERROR(_xlfn.SINGLE(_xlfn.XLOOKUP(G1621, Vöruskrá!A:A, Vöruskrá!N:N, "")) * I1621 / 100, ""), IF(F1621 = "Réttur", IFERROR(_xlfn.SINGLE(_xlfn.XLOOKUP(G1621, Réttabanki!A:A, Réttabanki!BB:BB, "")) * I1621 / 100, ""), "")))</f>
        <v/>
      </c>
    </row>
    <row r="1622" spans="2:17">
      <c r="B1622" s="33" t="str">
        <f>IF(A1622&lt;&gt;"",CHOOSE(WEEKDAY(A1622,2),"Mánudagur","Þriðjudagur","Miðvikudagur","Fimmtudagur","Föstudagur","Laugardagur","Sunnudagur"),IF(B1621&lt;&gt;"",B1621,""))</f>
        <v>Fimmtudagur</v>
      </c>
      <c r="C1622" s="33">
        <f>IF(A1622&lt;&gt;"",WEEKNUM(A1622,21),IF(C1621&lt;&gt;"",C1621,""))</f>
        <v>27</v>
      </c>
      <c r="D1622" s="34"/>
      <c r="E1622" s="34"/>
      <c r="F1622" s="34"/>
      <c r="G1622" s="34"/>
      <c r="H1622" s="34"/>
      <c r="I1622" s="35"/>
      <c r="J1622" s="35"/>
      <c r="K1622" s="36"/>
      <c r="L1622" s="26" t="str">
        <f>IF(OR(F1622 = "", G1622 = ""), "", IF(F1622 = "Vara", IFERROR(_xlfn.SINGLE(_xlfn.XLOOKUP(G1622, Vöruskrá!A:A, Vöruskrá!E:E, "")), ""), IF(F1622 = "Réttur", IFERROR(_xlfn.SINGLE(_xlfn.XLOOKUP(G1622, Réttabanki!A:A, Réttabanki!AS:AS, "")), ""), "")))</f>
        <v/>
      </c>
      <c r="M1622" s="26" t="str">
        <f>IF(OR(F1622 = "", G1622 = ""), "", IF(F1622 = "Vara", IFERROR(_xlfn.SINGLE(_xlfn.XLOOKUP(G1622, Vöruskrá!A:A, Vöruskrá!F:F, "")), ""), IF(F1622 = "Réttur", IFERROR(_xlfn.SINGLE(_xlfn.XLOOKUP(G1622, Réttabanki!A:A, Réttabanki!AT:AT, "")), ""), "")))</f>
        <v/>
      </c>
      <c r="N1622" s="26" t="str">
        <f>IF(OR(F1622 = "", G1622 = ""), "", IF(F1622 = "Vara", IFERROR(_xlfn.SINGLE(_xlfn.XLOOKUP(G1622, Vöruskrá!A:A, Vöruskrá!G:G, "")), ""), IF(F1622 = "Réttur", IFERROR(_xlfn.SINGLE(_xlfn.XLOOKUP(G1622, Réttabanki!A:A, Réttabanki!AU:AU, "")), ""), "")))</f>
        <v/>
      </c>
      <c r="O1622" s="26" t="str">
        <f>IF(OR(F1622 = "", G1622 = "", I1622 = ""), "", IF(F1622 = "Vara", IFERROR(_xlfn.SINGLE(_xlfn.XLOOKUP(G1622, Vöruskrá!A:A, Vöruskrá!I:I, "")) * I1622 / 100, ""), IF(F1622 = "Réttur", IFERROR(_xlfn.SINGLE(_xlfn.XLOOKUP(G1622, Réttabanki!A:A, Réttabanki!AV:AV, "")) * I1622 / 100, ""), "")))</f>
        <v/>
      </c>
      <c r="P1622" s="26" t="str">
        <f>IF(OR(F1622 = "", G1622 = "", I1622 = ""), "", IF(F1622 = "Vara", IFERROR(_xlfn.SINGLE(_xlfn.XLOOKUP(G1622, Vöruskrá!A:A, Vöruskrá!J:J, "")) * I1622 / 100, ""), IF(F1622 = "Réttur", IFERROR(_xlfn.SINGLE(_xlfn.XLOOKUP(G1622, Réttabanki!A:A, Réttabanki!AW:AW, "")) * I1622 / 100, ""), "")))</f>
        <v/>
      </c>
      <c r="Q1622" s="26" t="str">
        <f>IF(OR(F1622 = "", G1622 = "", I1622 = ""), "", IF(F1622 = "Vara", IFERROR(_xlfn.SINGLE(_xlfn.XLOOKUP(G1622, Vöruskrá!A:A, Vöruskrá!N:N, "")) * I1622 / 100, ""), IF(F1622 = "Réttur", IFERROR(_xlfn.SINGLE(_xlfn.XLOOKUP(G1622, Réttabanki!A:A, Réttabanki!BB:BB, "")) * I1622 / 100, ""), "")))</f>
        <v/>
      </c>
    </row>
    <row r="1623" spans="2:17">
      <c r="B1623" s="33" t="str">
        <f>IF(A1623&lt;&gt;"",CHOOSE(WEEKDAY(A1623,2),"Mánudagur","Þriðjudagur","Miðvikudagur","Fimmtudagur","Föstudagur","Laugardagur","Sunnudagur"),IF(B1622&lt;&gt;"",B1622,""))</f>
        <v>Fimmtudagur</v>
      </c>
      <c r="C1623" s="33">
        <f>IF(A1623&lt;&gt;"",WEEKNUM(A1623,21),IF(C1622&lt;&gt;"",C1622,""))</f>
        <v>27</v>
      </c>
      <c r="D1623" s="34"/>
      <c r="E1623" s="34"/>
      <c r="F1623" s="34"/>
      <c r="G1623" s="34"/>
      <c r="H1623" s="34"/>
      <c r="I1623" s="35"/>
      <c r="J1623" s="35"/>
      <c r="K1623" s="36"/>
      <c r="L1623" s="26" t="str">
        <f>IF(OR(F1623 = "", G1623 = ""), "", IF(F1623 = "Vara", IFERROR(_xlfn.SINGLE(_xlfn.XLOOKUP(G1623, Vöruskrá!A:A, Vöruskrá!E:E, "")), ""), IF(F1623 = "Réttur", IFERROR(_xlfn.SINGLE(_xlfn.XLOOKUP(G1623, Réttabanki!A:A, Réttabanki!AS:AS, "")), ""), "")))</f>
        <v/>
      </c>
      <c r="M1623" s="26" t="str">
        <f>IF(OR(F1623 = "", G1623 = ""), "", IF(F1623 = "Vara", IFERROR(_xlfn.SINGLE(_xlfn.XLOOKUP(G1623, Vöruskrá!A:A, Vöruskrá!F:F, "")), ""), IF(F1623 = "Réttur", IFERROR(_xlfn.SINGLE(_xlfn.XLOOKUP(G1623, Réttabanki!A:A, Réttabanki!AT:AT, "")), ""), "")))</f>
        <v/>
      </c>
      <c r="N1623" s="26" t="str">
        <f>IF(OR(F1623 = "", G1623 = ""), "", IF(F1623 = "Vara", IFERROR(_xlfn.SINGLE(_xlfn.XLOOKUP(G1623, Vöruskrá!A:A, Vöruskrá!G:G, "")), ""), IF(F1623 = "Réttur", IFERROR(_xlfn.SINGLE(_xlfn.XLOOKUP(G1623, Réttabanki!A:A, Réttabanki!AU:AU, "")), ""), "")))</f>
        <v/>
      </c>
      <c r="O1623" s="26" t="str">
        <f>IF(OR(F1623 = "", G1623 = "", I1623 = ""), "", IF(F1623 = "Vara", IFERROR(_xlfn.SINGLE(_xlfn.XLOOKUP(G1623, Vöruskrá!A:A, Vöruskrá!I:I, "")) * I1623 / 100, ""), IF(F1623 = "Réttur", IFERROR(_xlfn.SINGLE(_xlfn.XLOOKUP(G1623, Réttabanki!A:A, Réttabanki!AV:AV, "")) * I1623 / 100, ""), "")))</f>
        <v/>
      </c>
      <c r="P1623" s="26" t="str">
        <f>IF(OR(F1623 = "", G1623 = "", I1623 = ""), "", IF(F1623 = "Vara", IFERROR(_xlfn.SINGLE(_xlfn.XLOOKUP(G1623, Vöruskrá!A:A, Vöruskrá!J:J, "")) * I1623 / 100, ""), IF(F1623 = "Réttur", IFERROR(_xlfn.SINGLE(_xlfn.XLOOKUP(G1623, Réttabanki!A:A, Réttabanki!AW:AW, "")) * I1623 / 100, ""), "")))</f>
        <v/>
      </c>
      <c r="Q1623" s="26" t="str">
        <f>IF(OR(F1623 = "", G1623 = "", I1623 = ""), "", IF(F1623 = "Vara", IFERROR(_xlfn.SINGLE(_xlfn.XLOOKUP(G1623, Vöruskrá!A:A, Vöruskrá!N:N, "")) * I1623 / 100, ""), IF(F1623 = "Réttur", IFERROR(_xlfn.SINGLE(_xlfn.XLOOKUP(G1623, Réttabanki!A:A, Réttabanki!BB:BB, "")) * I1623 / 100, ""), "")))</f>
        <v/>
      </c>
    </row>
    <row r="1624" spans="2:17">
      <c r="B1624" s="33" t="str">
        <f>IF(A1624&lt;&gt;"",CHOOSE(WEEKDAY(A1624,2),"Mánudagur","Þriðjudagur","Miðvikudagur","Fimmtudagur","Föstudagur","Laugardagur","Sunnudagur"),IF(B1623&lt;&gt;"",B1623,""))</f>
        <v>Fimmtudagur</v>
      </c>
      <c r="C1624" s="33">
        <f>IF(A1624&lt;&gt;"",WEEKNUM(A1624,21),IF(C1623&lt;&gt;"",C1623,""))</f>
        <v>27</v>
      </c>
      <c r="D1624" s="34"/>
      <c r="E1624" s="34"/>
      <c r="F1624" s="34"/>
      <c r="G1624" s="34"/>
      <c r="H1624" s="34"/>
      <c r="I1624" s="35"/>
      <c r="J1624" s="35"/>
      <c r="K1624" s="36"/>
      <c r="L1624" s="26" t="str">
        <f>IF(OR(F1624 = "", G1624 = ""), "", IF(F1624 = "Vara", IFERROR(_xlfn.SINGLE(_xlfn.XLOOKUP(G1624, Vöruskrá!A:A, Vöruskrá!E:E, "")), ""), IF(F1624 = "Réttur", IFERROR(_xlfn.SINGLE(_xlfn.XLOOKUP(G1624, Réttabanki!A:A, Réttabanki!AS:AS, "")), ""), "")))</f>
        <v/>
      </c>
      <c r="M1624" s="26" t="str">
        <f>IF(OR(F1624 = "", G1624 = ""), "", IF(F1624 = "Vara", IFERROR(_xlfn.SINGLE(_xlfn.XLOOKUP(G1624, Vöruskrá!A:A, Vöruskrá!F:F, "")), ""), IF(F1624 = "Réttur", IFERROR(_xlfn.SINGLE(_xlfn.XLOOKUP(G1624, Réttabanki!A:A, Réttabanki!AT:AT, "")), ""), "")))</f>
        <v/>
      </c>
      <c r="N1624" s="26" t="str">
        <f>IF(OR(F1624 = "", G1624 = ""), "", IF(F1624 = "Vara", IFERROR(_xlfn.SINGLE(_xlfn.XLOOKUP(G1624, Vöruskrá!A:A, Vöruskrá!G:G, "")), ""), IF(F1624 = "Réttur", IFERROR(_xlfn.SINGLE(_xlfn.XLOOKUP(G1624, Réttabanki!A:A, Réttabanki!AU:AU, "")), ""), "")))</f>
        <v/>
      </c>
      <c r="O1624" s="26" t="str">
        <f>IF(OR(F1624 = "", G1624 = "", I1624 = ""), "", IF(F1624 = "Vara", IFERROR(_xlfn.SINGLE(_xlfn.XLOOKUP(G1624, Vöruskrá!A:A, Vöruskrá!I:I, "")) * I1624 / 100, ""), IF(F1624 = "Réttur", IFERROR(_xlfn.SINGLE(_xlfn.XLOOKUP(G1624, Réttabanki!A:A, Réttabanki!AV:AV, "")) * I1624 / 100, ""), "")))</f>
        <v/>
      </c>
      <c r="P1624" s="26" t="str">
        <f>IF(OR(F1624 = "", G1624 = "", I1624 = ""), "", IF(F1624 = "Vara", IFERROR(_xlfn.SINGLE(_xlfn.XLOOKUP(G1624, Vöruskrá!A:A, Vöruskrá!J:J, "")) * I1624 / 100, ""), IF(F1624 = "Réttur", IFERROR(_xlfn.SINGLE(_xlfn.XLOOKUP(G1624, Réttabanki!A:A, Réttabanki!AW:AW, "")) * I1624 / 100, ""), "")))</f>
        <v/>
      </c>
      <c r="Q1624" s="26" t="str">
        <f>IF(OR(F1624 = "", G1624 = "", I1624 = ""), "", IF(F1624 = "Vara", IFERROR(_xlfn.SINGLE(_xlfn.XLOOKUP(G1624, Vöruskrá!A:A, Vöruskrá!N:N, "")) * I1624 / 100, ""), IF(F1624 = "Réttur", IFERROR(_xlfn.SINGLE(_xlfn.XLOOKUP(G1624, Réttabanki!A:A, Réttabanki!BB:BB, "")) * I1624 / 100, ""), "")))</f>
        <v/>
      </c>
    </row>
    <row r="1625" spans="2:17">
      <c r="B1625" s="33" t="str">
        <f>IF(A1625&lt;&gt;"",CHOOSE(WEEKDAY(A1625,2),"Mánudagur","Þriðjudagur","Miðvikudagur","Fimmtudagur","Föstudagur","Laugardagur","Sunnudagur"),IF(B1624&lt;&gt;"",B1624,""))</f>
        <v>Fimmtudagur</v>
      </c>
      <c r="C1625" s="33">
        <f>IF(A1625&lt;&gt;"",WEEKNUM(A1625,21),IF(C1624&lt;&gt;"",C1624,""))</f>
        <v>27</v>
      </c>
      <c r="D1625" s="34"/>
      <c r="E1625" s="34"/>
      <c r="F1625" s="34"/>
      <c r="G1625" s="34"/>
      <c r="H1625" s="34"/>
      <c r="I1625" s="35"/>
      <c r="J1625" s="35"/>
      <c r="K1625" s="36"/>
      <c r="L1625" s="26" t="str">
        <f>IF(OR(F1625 = "", G1625 = ""), "", IF(F1625 = "Vara", IFERROR(_xlfn.SINGLE(_xlfn.XLOOKUP(G1625, Vöruskrá!A:A, Vöruskrá!E:E, "")), ""), IF(F1625 = "Réttur", IFERROR(_xlfn.SINGLE(_xlfn.XLOOKUP(G1625, Réttabanki!A:A, Réttabanki!AS:AS, "")), ""), "")))</f>
        <v/>
      </c>
      <c r="M1625" s="26" t="str">
        <f>IF(OR(F1625 = "", G1625 = ""), "", IF(F1625 = "Vara", IFERROR(_xlfn.SINGLE(_xlfn.XLOOKUP(G1625, Vöruskrá!A:A, Vöruskrá!F:F, "")), ""), IF(F1625 = "Réttur", IFERROR(_xlfn.SINGLE(_xlfn.XLOOKUP(G1625, Réttabanki!A:A, Réttabanki!AT:AT, "")), ""), "")))</f>
        <v/>
      </c>
      <c r="N1625" s="26" t="str">
        <f>IF(OR(F1625 = "", G1625 = ""), "", IF(F1625 = "Vara", IFERROR(_xlfn.SINGLE(_xlfn.XLOOKUP(G1625, Vöruskrá!A:A, Vöruskrá!G:G, "")), ""), IF(F1625 = "Réttur", IFERROR(_xlfn.SINGLE(_xlfn.XLOOKUP(G1625, Réttabanki!A:A, Réttabanki!AU:AU, "")), ""), "")))</f>
        <v/>
      </c>
      <c r="O1625" s="26" t="str">
        <f>IF(OR(F1625 = "", G1625 = "", I1625 = ""), "", IF(F1625 = "Vara", IFERROR(_xlfn.SINGLE(_xlfn.XLOOKUP(G1625, Vöruskrá!A:A, Vöruskrá!I:I, "")) * I1625 / 100, ""), IF(F1625 = "Réttur", IFERROR(_xlfn.SINGLE(_xlfn.XLOOKUP(G1625, Réttabanki!A:A, Réttabanki!AV:AV, "")) * I1625 / 100, ""), "")))</f>
        <v/>
      </c>
      <c r="P1625" s="26" t="str">
        <f>IF(OR(F1625 = "", G1625 = "", I1625 = ""), "", IF(F1625 = "Vara", IFERROR(_xlfn.SINGLE(_xlfn.XLOOKUP(G1625, Vöruskrá!A:A, Vöruskrá!J:J, "")) * I1625 / 100, ""), IF(F1625 = "Réttur", IFERROR(_xlfn.SINGLE(_xlfn.XLOOKUP(G1625, Réttabanki!A:A, Réttabanki!AW:AW, "")) * I1625 / 100, ""), "")))</f>
        <v/>
      </c>
      <c r="Q1625" s="26" t="str">
        <f>IF(OR(F1625 = "", G1625 = "", I1625 = ""), "", IF(F1625 = "Vara", IFERROR(_xlfn.SINGLE(_xlfn.XLOOKUP(G1625, Vöruskrá!A:A, Vöruskrá!N:N, "")) * I1625 / 100, ""), IF(F1625 = "Réttur", IFERROR(_xlfn.SINGLE(_xlfn.XLOOKUP(G1625, Réttabanki!A:A, Réttabanki!BB:BB, "")) * I1625 / 100, ""), "")))</f>
        <v/>
      </c>
    </row>
    <row r="1626" spans="2:17">
      <c r="B1626" s="33" t="str">
        <f>IF(A1626&lt;&gt;"",CHOOSE(WEEKDAY(A1626,2),"Mánudagur","Þriðjudagur","Miðvikudagur","Fimmtudagur","Föstudagur","Laugardagur","Sunnudagur"),IF(B1625&lt;&gt;"",B1625,""))</f>
        <v>Fimmtudagur</v>
      </c>
      <c r="C1626" s="33">
        <f>IF(A1626&lt;&gt;"",WEEKNUM(A1626,21),IF(C1625&lt;&gt;"",C1625,""))</f>
        <v>27</v>
      </c>
      <c r="D1626" s="34"/>
      <c r="E1626" s="34"/>
      <c r="F1626" s="34"/>
      <c r="G1626" s="34"/>
      <c r="H1626" s="34"/>
      <c r="I1626" s="35"/>
      <c r="J1626" s="35"/>
      <c r="K1626" s="36"/>
      <c r="L1626" s="26" t="str">
        <f>IF(OR(F1626 = "", G1626 = ""), "", IF(F1626 = "Vara", IFERROR(_xlfn.SINGLE(_xlfn.XLOOKUP(G1626, Vöruskrá!A:A, Vöruskrá!E:E, "")), ""), IF(F1626 = "Réttur", IFERROR(_xlfn.SINGLE(_xlfn.XLOOKUP(G1626, Réttabanki!A:A, Réttabanki!AS:AS, "")), ""), "")))</f>
        <v/>
      </c>
      <c r="M1626" s="26" t="str">
        <f>IF(OR(F1626 = "", G1626 = ""), "", IF(F1626 = "Vara", IFERROR(_xlfn.SINGLE(_xlfn.XLOOKUP(G1626, Vöruskrá!A:A, Vöruskrá!F:F, "")), ""), IF(F1626 = "Réttur", IFERROR(_xlfn.SINGLE(_xlfn.XLOOKUP(G1626, Réttabanki!A:A, Réttabanki!AT:AT, "")), ""), "")))</f>
        <v/>
      </c>
      <c r="N1626" s="26" t="str">
        <f>IF(OR(F1626 = "", G1626 = ""), "", IF(F1626 = "Vara", IFERROR(_xlfn.SINGLE(_xlfn.XLOOKUP(G1626, Vöruskrá!A:A, Vöruskrá!G:G, "")), ""), IF(F1626 = "Réttur", IFERROR(_xlfn.SINGLE(_xlfn.XLOOKUP(G1626, Réttabanki!A:A, Réttabanki!AU:AU, "")), ""), "")))</f>
        <v/>
      </c>
      <c r="O1626" s="26" t="str">
        <f>IF(OR(F1626 = "", G1626 = "", I1626 = ""), "", IF(F1626 = "Vara", IFERROR(_xlfn.SINGLE(_xlfn.XLOOKUP(G1626, Vöruskrá!A:A, Vöruskrá!I:I, "")) * I1626 / 100, ""), IF(F1626 = "Réttur", IFERROR(_xlfn.SINGLE(_xlfn.XLOOKUP(G1626, Réttabanki!A:A, Réttabanki!AV:AV, "")) * I1626 / 100, ""), "")))</f>
        <v/>
      </c>
      <c r="P1626" s="26" t="str">
        <f>IF(OR(F1626 = "", G1626 = "", I1626 = ""), "", IF(F1626 = "Vara", IFERROR(_xlfn.SINGLE(_xlfn.XLOOKUP(G1626, Vöruskrá!A:A, Vöruskrá!J:J, "")) * I1626 / 100, ""), IF(F1626 = "Réttur", IFERROR(_xlfn.SINGLE(_xlfn.XLOOKUP(G1626, Réttabanki!A:A, Réttabanki!AW:AW, "")) * I1626 / 100, ""), "")))</f>
        <v/>
      </c>
      <c r="Q1626" s="26" t="str">
        <f>IF(OR(F1626 = "", G1626 = "", I1626 = ""), "", IF(F1626 = "Vara", IFERROR(_xlfn.SINGLE(_xlfn.XLOOKUP(G1626, Vöruskrá!A:A, Vöruskrá!N:N, "")) * I1626 / 100, ""), IF(F1626 = "Réttur", IFERROR(_xlfn.SINGLE(_xlfn.XLOOKUP(G1626, Réttabanki!A:A, Réttabanki!BB:BB, "")) * I1626 / 100, ""), "")))</f>
        <v/>
      </c>
    </row>
    <row r="1627" spans="2:17">
      <c r="B1627" s="33" t="str">
        <f>IF(A1627&lt;&gt;"",CHOOSE(WEEKDAY(A1627,2),"Mánudagur","Þriðjudagur","Miðvikudagur","Fimmtudagur","Föstudagur","Laugardagur","Sunnudagur"),IF(B1626&lt;&gt;"",B1626,""))</f>
        <v>Fimmtudagur</v>
      </c>
      <c r="C1627" s="33">
        <f>IF(A1627&lt;&gt;"",WEEKNUM(A1627,21),IF(C1626&lt;&gt;"",C1626,""))</f>
        <v>27</v>
      </c>
      <c r="D1627" s="34"/>
      <c r="E1627" s="34"/>
      <c r="F1627" s="34"/>
      <c r="G1627" s="34"/>
      <c r="H1627" s="34"/>
      <c r="I1627" s="35"/>
      <c r="J1627" s="35"/>
      <c r="K1627" s="36"/>
      <c r="L1627" s="26" t="str">
        <f>IF(OR(F1627 = "", G1627 = ""), "", IF(F1627 = "Vara", IFERROR(_xlfn.SINGLE(_xlfn.XLOOKUP(G1627, Vöruskrá!A:A, Vöruskrá!E:E, "")), ""), IF(F1627 = "Réttur", IFERROR(_xlfn.SINGLE(_xlfn.XLOOKUP(G1627, Réttabanki!A:A, Réttabanki!AS:AS, "")), ""), "")))</f>
        <v/>
      </c>
      <c r="M1627" s="26" t="str">
        <f>IF(OR(F1627 = "", G1627 = ""), "", IF(F1627 = "Vara", IFERROR(_xlfn.SINGLE(_xlfn.XLOOKUP(G1627, Vöruskrá!A:A, Vöruskrá!F:F, "")), ""), IF(F1627 = "Réttur", IFERROR(_xlfn.SINGLE(_xlfn.XLOOKUP(G1627, Réttabanki!A:A, Réttabanki!AT:AT, "")), ""), "")))</f>
        <v/>
      </c>
      <c r="N1627" s="26" t="str">
        <f>IF(OR(F1627 = "", G1627 = ""), "", IF(F1627 = "Vara", IFERROR(_xlfn.SINGLE(_xlfn.XLOOKUP(G1627, Vöruskrá!A:A, Vöruskrá!G:G, "")), ""), IF(F1627 = "Réttur", IFERROR(_xlfn.SINGLE(_xlfn.XLOOKUP(G1627, Réttabanki!A:A, Réttabanki!AU:AU, "")), ""), "")))</f>
        <v/>
      </c>
      <c r="O1627" s="26" t="str">
        <f>IF(OR(F1627 = "", G1627 = "", I1627 = ""), "", IF(F1627 = "Vara", IFERROR(_xlfn.SINGLE(_xlfn.XLOOKUP(G1627, Vöruskrá!A:A, Vöruskrá!I:I, "")) * I1627 / 100, ""), IF(F1627 = "Réttur", IFERROR(_xlfn.SINGLE(_xlfn.XLOOKUP(G1627, Réttabanki!A:A, Réttabanki!AV:AV, "")) * I1627 / 100, ""), "")))</f>
        <v/>
      </c>
      <c r="P1627" s="26" t="str">
        <f>IF(OR(F1627 = "", G1627 = "", I1627 = ""), "", IF(F1627 = "Vara", IFERROR(_xlfn.SINGLE(_xlfn.XLOOKUP(G1627, Vöruskrá!A:A, Vöruskrá!J:J, "")) * I1627 / 100, ""), IF(F1627 = "Réttur", IFERROR(_xlfn.SINGLE(_xlfn.XLOOKUP(G1627, Réttabanki!A:A, Réttabanki!AW:AW, "")) * I1627 / 100, ""), "")))</f>
        <v/>
      </c>
      <c r="Q1627" s="26" t="str">
        <f>IF(OR(F1627 = "", G1627 = "", I1627 = ""), "", IF(F1627 = "Vara", IFERROR(_xlfn.SINGLE(_xlfn.XLOOKUP(G1627, Vöruskrá!A:A, Vöruskrá!N:N, "")) * I1627 / 100, ""), IF(F1627 = "Réttur", IFERROR(_xlfn.SINGLE(_xlfn.XLOOKUP(G1627, Réttabanki!A:A, Réttabanki!BB:BB, "")) * I1627 / 100, ""), "")))</f>
        <v/>
      </c>
    </row>
    <row r="1628" spans="2:17">
      <c r="B1628" s="33" t="str">
        <f>IF(A1628&lt;&gt;"",CHOOSE(WEEKDAY(A1628,2),"Mánudagur","Þriðjudagur","Miðvikudagur","Fimmtudagur","Föstudagur","Laugardagur","Sunnudagur"),IF(B1627&lt;&gt;"",B1627,""))</f>
        <v>Fimmtudagur</v>
      </c>
      <c r="C1628" s="33">
        <f>IF(A1628&lt;&gt;"",WEEKNUM(A1628,21),IF(C1627&lt;&gt;"",C1627,""))</f>
        <v>27</v>
      </c>
      <c r="D1628" s="34"/>
      <c r="E1628" s="34"/>
      <c r="F1628" s="34"/>
      <c r="G1628" s="34"/>
      <c r="H1628" s="34"/>
      <c r="I1628" s="35"/>
      <c r="J1628" s="35"/>
      <c r="K1628" s="36"/>
      <c r="L1628" s="26" t="str">
        <f>IF(OR(F1628 = "", G1628 = ""), "", IF(F1628 = "Vara", IFERROR(_xlfn.SINGLE(_xlfn.XLOOKUP(G1628, Vöruskrá!A:A, Vöruskrá!E:E, "")), ""), IF(F1628 = "Réttur", IFERROR(_xlfn.SINGLE(_xlfn.XLOOKUP(G1628, Réttabanki!A:A, Réttabanki!AS:AS, "")), ""), "")))</f>
        <v/>
      </c>
      <c r="M1628" s="26" t="str">
        <f>IF(OR(F1628 = "", G1628 = ""), "", IF(F1628 = "Vara", IFERROR(_xlfn.SINGLE(_xlfn.XLOOKUP(G1628, Vöruskrá!A:A, Vöruskrá!F:F, "")), ""), IF(F1628 = "Réttur", IFERROR(_xlfn.SINGLE(_xlfn.XLOOKUP(G1628, Réttabanki!A:A, Réttabanki!AT:AT, "")), ""), "")))</f>
        <v/>
      </c>
      <c r="N1628" s="26" t="str">
        <f>IF(OR(F1628 = "", G1628 = ""), "", IF(F1628 = "Vara", IFERROR(_xlfn.SINGLE(_xlfn.XLOOKUP(G1628, Vöruskrá!A:A, Vöruskrá!G:G, "")), ""), IF(F1628 = "Réttur", IFERROR(_xlfn.SINGLE(_xlfn.XLOOKUP(G1628, Réttabanki!A:A, Réttabanki!AU:AU, "")), ""), "")))</f>
        <v/>
      </c>
      <c r="O1628" s="26" t="str">
        <f>IF(OR(F1628 = "", G1628 = "", I1628 = ""), "", IF(F1628 = "Vara", IFERROR(_xlfn.SINGLE(_xlfn.XLOOKUP(G1628, Vöruskrá!A:A, Vöruskrá!I:I, "")) * I1628 / 100, ""), IF(F1628 = "Réttur", IFERROR(_xlfn.SINGLE(_xlfn.XLOOKUP(G1628, Réttabanki!A:A, Réttabanki!AV:AV, "")) * I1628 / 100, ""), "")))</f>
        <v/>
      </c>
      <c r="P1628" s="26" t="str">
        <f>IF(OR(F1628 = "", G1628 = "", I1628 = ""), "", IF(F1628 = "Vara", IFERROR(_xlfn.SINGLE(_xlfn.XLOOKUP(G1628, Vöruskrá!A:A, Vöruskrá!J:J, "")) * I1628 / 100, ""), IF(F1628 = "Réttur", IFERROR(_xlfn.SINGLE(_xlfn.XLOOKUP(G1628, Réttabanki!A:A, Réttabanki!AW:AW, "")) * I1628 / 100, ""), "")))</f>
        <v/>
      </c>
      <c r="Q1628" s="26" t="str">
        <f>IF(OR(F1628 = "", G1628 = "", I1628 = ""), "", IF(F1628 = "Vara", IFERROR(_xlfn.SINGLE(_xlfn.XLOOKUP(G1628, Vöruskrá!A:A, Vöruskrá!N:N, "")) * I1628 / 100, ""), IF(F1628 = "Réttur", IFERROR(_xlfn.SINGLE(_xlfn.XLOOKUP(G1628, Réttabanki!A:A, Réttabanki!BB:BB, "")) * I1628 / 100, ""), "")))</f>
        <v/>
      </c>
    </row>
    <row r="1629" spans="2:17">
      <c r="B1629" s="33" t="str">
        <f>IF(A1629&lt;&gt;"",CHOOSE(WEEKDAY(A1629,2),"Mánudagur","Þriðjudagur","Miðvikudagur","Fimmtudagur","Föstudagur","Laugardagur","Sunnudagur"),IF(B1628&lt;&gt;"",B1628,""))</f>
        <v>Fimmtudagur</v>
      </c>
      <c r="C1629" s="33">
        <f>IF(A1629&lt;&gt;"",WEEKNUM(A1629,21),IF(C1628&lt;&gt;"",C1628,""))</f>
        <v>27</v>
      </c>
      <c r="D1629" s="34"/>
      <c r="E1629" s="34"/>
      <c r="F1629" s="34"/>
      <c r="G1629" s="34"/>
      <c r="H1629" s="34"/>
      <c r="I1629" s="35"/>
      <c r="J1629" s="35"/>
      <c r="K1629" s="36"/>
      <c r="L1629" s="26" t="str">
        <f>IF(OR(F1629 = "", G1629 = ""), "", IF(F1629 = "Vara", IFERROR(_xlfn.SINGLE(_xlfn.XLOOKUP(G1629, Vöruskrá!A:A, Vöruskrá!E:E, "")), ""), IF(F1629 = "Réttur", IFERROR(_xlfn.SINGLE(_xlfn.XLOOKUP(G1629, Réttabanki!A:A, Réttabanki!AS:AS, "")), ""), "")))</f>
        <v/>
      </c>
      <c r="M1629" s="26" t="str">
        <f>IF(OR(F1629 = "", G1629 = ""), "", IF(F1629 = "Vara", IFERROR(_xlfn.SINGLE(_xlfn.XLOOKUP(G1629, Vöruskrá!A:A, Vöruskrá!F:F, "")), ""), IF(F1629 = "Réttur", IFERROR(_xlfn.SINGLE(_xlfn.XLOOKUP(G1629, Réttabanki!A:A, Réttabanki!AT:AT, "")), ""), "")))</f>
        <v/>
      </c>
      <c r="N1629" s="26" t="str">
        <f>IF(OR(F1629 = "", G1629 = ""), "", IF(F1629 = "Vara", IFERROR(_xlfn.SINGLE(_xlfn.XLOOKUP(G1629, Vöruskrá!A:A, Vöruskrá!G:G, "")), ""), IF(F1629 = "Réttur", IFERROR(_xlfn.SINGLE(_xlfn.XLOOKUP(G1629, Réttabanki!A:A, Réttabanki!AU:AU, "")), ""), "")))</f>
        <v/>
      </c>
      <c r="O1629" s="26" t="str">
        <f>IF(OR(F1629 = "", G1629 = "", I1629 = ""), "", IF(F1629 = "Vara", IFERROR(_xlfn.SINGLE(_xlfn.XLOOKUP(G1629, Vöruskrá!A:A, Vöruskrá!I:I, "")) * I1629 / 100, ""), IF(F1629 = "Réttur", IFERROR(_xlfn.SINGLE(_xlfn.XLOOKUP(G1629, Réttabanki!A:A, Réttabanki!AV:AV, "")) * I1629 / 100, ""), "")))</f>
        <v/>
      </c>
      <c r="P1629" s="26" t="str">
        <f>IF(OR(F1629 = "", G1629 = "", I1629 = ""), "", IF(F1629 = "Vara", IFERROR(_xlfn.SINGLE(_xlfn.XLOOKUP(G1629, Vöruskrá!A:A, Vöruskrá!J:J, "")) * I1629 / 100, ""), IF(F1629 = "Réttur", IFERROR(_xlfn.SINGLE(_xlfn.XLOOKUP(G1629, Réttabanki!A:A, Réttabanki!AW:AW, "")) * I1629 / 100, ""), "")))</f>
        <v/>
      </c>
      <c r="Q1629" s="26" t="str">
        <f>IF(OR(F1629 = "", G1629 = "", I1629 = ""), "", IF(F1629 = "Vara", IFERROR(_xlfn.SINGLE(_xlfn.XLOOKUP(G1629, Vöruskrá!A:A, Vöruskrá!N:N, "")) * I1629 / 100, ""), IF(F1629 = "Réttur", IFERROR(_xlfn.SINGLE(_xlfn.XLOOKUP(G1629, Réttabanki!A:A, Réttabanki!BB:BB, "")) * I1629 / 100, ""), "")))</f>
        <v/>
      </c>
    </row>
    <row r="1630" spans="2:17">
      <c r="B1630" s="33" t="str">
        <f>IF(A1630&lt;&gt;"",CHOOSE(WEEKDAY(A1630,2),"Mánudagur","Þriðjudagur","Miðvikudagur","Fimmtudagur","Föstudagur","Laugardagur","Sunnudagur"),IF(B1629&lt;&gt;"",B1629,""))</f>
        <v>Fimmtudagur</v>
      </c>
      <c r="C1630" s="33">
        <f>IF(A1630&lt;&gt;"",WEEKNUM(A1630,21),IF(C1629&lt;&gt;"",C1629,""))</f>
        <v>27</v>
      </c>
      <c r="D1630" s="34"/>
      <c r="E1630" s="34"/>
      <c r="F1630" s="34"/>
      <c r="G1630" s="34"/>
      <c r="H1630" s="34"/>
      <c r="I1630" s="35"/>
      <c r="J1630" s="35"/>
      <c r="K1630" s="36"/>
      <c r="L1630" s="26" t="str">
        <f>IF(OR(F1630 = "", G1630 = ""), "", IF(F1630 = "Vara", IFERROR(_xlfn.SINGLE(_xlfn.XLOOKUP(G1630, Vöruskrá!A:A, Vöruskrá!E:E, "")), ""), IF(F1630 = "Réttur", IFERROR(_xlfn.SINGLE(_xlfn.XLOOKUP(G1630, Réttabanki!A:A, Réttabanki!AS:AS, "")), ""), "")))</f>
        <v/>
      </c>
      <c r="M1630" s="26" t="str">
        <f>IF(OR(F1630 = "", G1630 = ""), "", IF(F1630 = "Vara", IFERROR(_xlfn.SINGLE(_xlfn.XLOOKUP(G1630, Vöruskrá!A:A, Vöruskrá!F:F, "")), ""), IF(F1630 = "Réttur", IFERROR(_xlfn.SINGLE(_xlfn.XLOOKUP(G1630, Réttabanki!A:A, Réttabanki!AT:AT, "")), ""), "")))</f>
        <v/>
      </c>
      <c r="N1630" s="26" t="str">
        <f>IF(OR(F1630 = "", G1630 = ""), "", IF(F1630 = "Vara", IFERROR(_xlfn.SINGLE(_xlfn.XLOOKUP(G1630, Vöruskrá!A:A, Vöruskrá!G:G, "")), ""), IF(F1630 = "Réttur", IFERROR(_xlfn.SINGLE(_xlfn.XLOOKUP(G1630, Réttabanki!A:A, Réttabanki!AU:AU, "")), ""), "")))</f>
        <v/>
      </c>
      <c r="O1630" s="26" t="str">
        <f>IF(OR(F1630 = "", G1630 = "", I1630 = ""), "", IF(F1630 = "Vara", IFERROR(_xlfn.SINGLE(_xlfn.XLOOKUP(G1630, Vöruskrá!A:A, Vöruskrá!I:I, "")) * I1630 / 100, ""), IF(F1630 = "Réttur", IFERROR(_xlfn.SINGLE(_xlfn.XLOOKUP(G1630, Réttabanki!A:A, Réttabanki!AV:AV, "")) * I1630 / 100, ""), "")))</f>
        <v/>
      </c>
      <c r="P1630" s="26" t="str">
        <f>IF(OR(F1630 = "", G1630 = "", I1630 = ""), "", IF(F1630 = "Vara", IFERROR(_xlfn.SINGLE(_xlfn.XLOOKUP(G1630, Vöruskrá!A:A, Vöruskrá!J:J, "")) * I1630 / 100, ""), IF(F1630 = "Réttur", IFERROR(_xlfn.SINGLE(_xlfn.XLOOKUP(G1630, Réttabanki!A:A, Réttabanki!AW:AW, "")) * I1630 / 100, ""), "")))</f>
        <v/>
      </c>
      <c r="Q1630" s="26" t="str">
        <f>IF(OR(F1630 = "", G1630 = "", I1630 = ""), "", IF(F1630 = "Vara", IFERROR(_xlfn.SINGLE(_xlfn.XLOOKUP(G1630, Vöruskrá!A:A, Vöruskrá!N:N, "")) * I1630 / 100, ""), IF(F1630 = "Réttur", IFERROR(_xlfn.SINGLE(_xlfn.XLOOKUP(G1630, Réttabanki!A:A, Réttabanki!BB:BB, "")) * I1630 / 100, ""), "")))</f>
        <v/>
      </c>
    </row>
    <row r="1631" spans="2:17">
      <c r="B1631" s="33" t="str">
        <f>IF(A1631&lt;&gt;"",CHOOSE(WEEKDAY(A1631,2),"Mánudagur","Þriðjudagur","Miðvikudagur","Fimmtudagur","Föstudagur","Laugardagur","Sunnudagur"),IF(B1630&lt;&gt;"",B1630,""))</f>
        <v>Fimmtudagur</v>
      </c>
      <c r="C1631" s="33">
        <f>IF(A1631&lt;&gt;"",WEEKNUM(A1631,21),IF(C1630&lt;&gt;"",C1630,""))</f>
        <v>27</v>
      </c>
      <c r="D1631" s="34"/>
      <c r="E1631" s="34"/>
      <c r="F1631" s="34"/>
      <c r="G1631" s="34"/>
      <c r="H1631" s="34"/>
      <c r="I1631" s="35"/>
      <c r="J1631" s="35"/>
      <c r="K1631" s="36"/>
      <c r="L1631" s="26" t="str">
        <f>IF(OR(F1631 = "", G1631 = ""), "", IF(F1631 = "Vara", IFERROR(_xlfn.SINGLE(_xlfn.XLOOKUP(G1631, Vöruskrá!A:A, Vöruskrá!E:E, "")), ""), IF(F1631 = "Réttur", IFERROR(_xlfn.SINGLE(_xlfn.XLOOKUP(G1631, Réttabanki!A:A, Réttabanki!AS:AS, "")), ""), "")))</f>
        <v/>
      </c>
      <c r="M1631" s="26" t="str">
        <f>IF(OR(F1631 = "", G1631 = ""), "", IF(F1631 = "Vara", IFERROR(_xlfn.SINGLE(_xlfn.XLOOKUP(G1631, Vöruskrá!A:A, Vöruskrá!F:F, "")), ""), IF(F1631 = "Réttur", IFERROR(_xlfn.SINGLE(_xlfn.XLOOKUP(G1631, Réttabanki!A:A, Réttabanki!AT:AT, "")), ""), "")))</f>
        <v/>
      </c>
      <c r="N1631" s="26" t="str">
        <f>IF(OR(F1631 = "", G1631 = ""), "", IF(F1631 = "Vara", IFERROR(_xlfn.SINGLE(_xlfn.XLOOKUP(G1631, Vöruskrá!A:A, Vöruskrá!G:G, "")), ""), IF(F1631 = "Réttur", IFERROR(_xlfn.SINGLE(_xlfn.XLOOKUP(G1631, Réttabanki!A:A, Réttabanki!AU:AU, "")), ""), "")))</f>
        <v/>
      </c>
      <c r="O1631" s="26" t="str">
        <f>IF(OR(F1631 = "", G1631 = "", I1631 = ""), "", IF(F1631 = "Vara", IFERROR(_xlfn.SINGLE(_xlfn.XLOOKUP(G1631, Vöruskrá!A:A, Vöruskrá!I:I, "")) * I1631 / 100, ""), IF(F1631 = "Réttur", IFERROR(_xlfn.SINGLE(_xlfn.XLOOKUP(G1631, Réttabanki!A:A, Réttabanki!AV:AV, "")) * I1631 / 100, ""), "")))</f>
        <v/>
      </c>
      <c r="P1631" s="26" t="str">
        <f>IF(OR(F1631 = "", G1631 = "", I1631 = ""), "", IF(F1631 = "Vara", IFERROR(_xlfn.SINGLE(_xlfn.XLOOKUP(G1631, Vöruskrá!A:A, Vöruskrá!J:J, "")) * I1631 / 100, ""), IF(F1631 = "Réttur", IFERROR(_xlfn.SINGLE(_xlfn.XLOOKUP(G1631, Réttabanki!A:A, Réttabanki!AW:AW, "")) * I1631 / 100, ""), "")))</f>
        <v/>
      </c>
      <c r="Q1631" s="26" t="str">
        <f>IF(OR(F1631 = "", G1631 = "", I1631 = ""), "", IF(F1631 = "Vara", IFERROR(_xlfn.SINGLE(_xlfn.XLOOKUP(G1631, Vöruskrá!A:A, Vöruskrá!N:N, "")) * I1631 / 100, ""), IF(F1631 = "Réttur", IFERROR(_xlfn.SINGLE(_xlfn.XLOOKUP(G1631, Réttabanki!A:A, Réttabanki!BB:BB, "")) * I1631 / 100, ""), "")))</f>
        <v/>
      </c>
    </row>
    <row r="1632" spans="2:17">
      <c r="B1632" s="33" t="str">
        <f>IF(A1632&lt;&gt;"",CHOOSE(WEEKDAY(A1632,2),"Mánudagur","Þriðjudagur","Miðvikudagur","Fimmtudagur","Föstudagur","Laugardagur","Sunnudagur"),IF(B1631&lt;&gt;"",B1631,""))</f>
        <v>Fimmtudagur</v>
      </c>
      <c r="C1632" s="33">
        <f>IF(A1632&lt;&gt;"",WEEKNUM(A1632,21),IF(C1631&lt;&gt;"",C1631,""))</f>
        <v>27</v>
      </c>
      <c r="D1632" s="34"/>
      <c r="E1632" s="34"/>
      <c r="F1632" s="34"/>
      <c r="G1632" s="34"/>
      <c r="H1632" s="34"/>
      <c r="I1632" s="35"/>
      <c r="J1632" s="35"/>
      <c r="K1632" s="36"/>
      <c r="L1632" s="26" t="str">
        <f>IF(OR(F1632 = "", G1632 = ""), "", IF(F1632 = "Vara", IFERROR(_xlfn.SINGLE(_xlfn.XLOOKUP(G1632, Vöruskrá!A:A, Vöruskrá!E:E, "")), ""), IF(F1632 = "Réttur", IFERROR(_xlfn.SINGLE(_xlfn.XLOOKUP(G1632, Réttabanki!A:A, Réttabanki!AS:AS, "")), ""), "")))</f>
        <v/>
      </c>
      <c r="M1632" s="26" t="str">
        <f>IF(OR(F1632 = "", G1632 = ""), "", IF(F1632 = "Vara", IFERROR(_xlfn.SINGLE(_xlfn.XLOOKUP(G1632, Vöruskrá!A:A, Vöruskrá!F:F, "")), ""), IF(F1632 = "Réttur", IFERROR(_xlfn.SINGLE(_xlfn.XLOOKUP(G1632, Réttabanki!A:A, Réttabanki!AT:AT, "")), ""), "")))</f>
        <v/>
      </c>
      <c r="N1632" s="26" t="str">
        <f>IF(OR(F1632 = "", G1632 = ""), "", IF(F1632 = "Vara", IFERROR(_xlfn.SINGLE(_xlfn.XLOOKUP(G1632, Vöruskrá!A:A, Vöruskrá!G:G, "")), ""), IF(F1632 = "Réttur", IFERROR(_xlfn.SINGLE(_xlfn.XLOOKUP(G1632, Réttabanki!A:A, Réttabanki!AU:AU, "")), ""), "")))</f>
        <v/>
      </c>
      <c r="O1632" s="26" t="str">
        <f>IF(OR(F1632 = "", G1632 = "", I1632 = ""), "", IF(F1632 = "Vara", IFERROR(_xlfn.SINGLE(_xlfn.XLOOKUP(G1632, Vöruskrá!A:A, Vöruskrá!I:I, "")) * I1632 / 100, ""), IF(F1632 = "Réttur", IFERROR(_xlfn.SINGLE(_xlfn.XLOOKUP(G1632, Réttabanki!A:A, Réttabanki!AV:AV, "")) * I1632 / 100, ""), "")))</f>
        <v/>
      </c>
      <c r="P1632" s="26" t="str">
        <f>IF(OR(F1632 = "", G1632 = "", I1632 = ""), "", IF(F1632 = "Vara", IFERROR(_xlfn.SINGLE(_xlfn.XLOOKUP(G1632, Vöruskrá!A:A, Vöruskrá!J:J, "")) * I1632 / 100, ""), IF(F1632 = "Réttur", IFERROR(_xlfn.SINGLE(_xlfn.XLOOKUP(G1632, Réttabanki!A:A, Réttabanki!AW:AW, "")) * I1632 / 100, ""), "")))</f>
        <v/>
      </c>
      <c r="Q1632" s="26" t="str">
        <f>IF(OR(F1632 = "", G1632 = "", I1632 = ""), "", IF(F1632 = "Vara", IFERROR(_xlfn.SINGLE(_xlfn.XLOOKUP(G1632, Vöruskrá!A:A, Vöruskrá!N:N, "")) * I1632 / 100, ""), IF(F1632 = "Réttur", IFERROR(_xlfn.SINGLE(_xlfn.XLOOKUP(G1632, Réttabanki!A:A, Réttabanki!BB:BB, "")) * I1632 / 100, ""), "")))</f>
        <v/>
      </c>
    </row>
    <row r="1633" spans="2:17">
      <c r="B1633" s="33" t="str">
        <f>IF(A1633&lt;&gt;"",CHOOSE(WEEKDAY(A1633,2),"Mánudagur","Þriðjudagur","Miðvikudagur","Fimmtudagur","Föstudagur","Laugardagur","Sunnudagur"),IF(B1632&lt;&gt;"",B1632,""))</f>
        <v>Fimmtudagur</v>
      </c>
      <c r="C1633" s="33">
        <f>IF(A1633&lt;&gt;"",WEEKNUM(A1633,21),IF(C1632&lt;&gt;"",C1632,""))</f>
        <v>27</v>
      </c>
      <c r="D1633" s="34"/>
      <c r="E1633" s="34"/>
      <c r="F1633" s="34"/>
      <c r="G1633" s="34"/>
      <c r="H1633" s="34"/>
      <c r="I1633" s="35"/>
      <c r="J1633" s="35"/>
      <c r="K1633" s="36"/>
      <c r="L1633" s="26" t="str">
        <f>IF(OR(F1633 = "", G1633 = ""), "", IF(F1633 = "Vara", IFERROR(_xlfn.SINGLE(_xlfn.XLOOKUP(G1633, Vöruskrá!A:A, Vöruskrá!E:E, "")), ""), IF(F1633 = "Réttur", IFERROR(_xlfn.SINGLE(_xlfn.XLOOKUP(G1633, Réttabanki!A:A, Réttabanki!AS:AS, "")), ""), "")))</f>
        <v/>
      </c>
      <c r="M1633" s="26" t="str">
        <f>IF(OR(F1633 = "", G1633 = ""), "", IF(F1633 = "Vara", IFERROR(_xlfn.SINGLE(_xlfn.XLOOKUP(G1633, Vöruskrá!A:A, Vöruskrá!F:F, "")), ""), IF(F1633 = "Réttur", IFERROR(_xlfn.SINGLE(_xlfn.XLOOKUP(G1633, Réttabanki!A:A, Réttabanki!AT:AT, "")), ""), "")))</f>
        <v/>
      </c>
      <c r="N1633" s="26" t="str">
        <f>IF(OR(F1633 = "", G1633 = ""), "", IF(F1633 = "Vara", IFERROR(_xlfn.SINGLE(_xlfn.XLOOKUP(G1633, Vöruskrá!A:A, Vöruskrá!G:G, "")), ""), IF(F1633 = "Réttur", IFERROR(_xlfn.SINGLE(_xlfn.XLOOKUP(G1633, Réttabanki!A:A, Réttabanki!AU:AU, "")), ""), "")))</f>
        <v/>
      </c>
      <c r="O1633" s="26" t="str">
        <f>IF(OR(F1633 = "", G1633 = "", I1633 = ""), "", IF(F1633 = "Vara", IFERROR(_xlfn.SINGLE(_xlfn.XLOOKUP(G1633, Vöruskrá!A:A, Vöruskrá!I:I, "")) * I1633 / 100, ""), IF(F1633 = "Réttur", IFERROR(_xlfn.SINGLE(_xlfn.XLOOKUP(G1633, Réttabanki!A:A, Réttabanki!AV:AV, "")) * I1633 / 100, ""), "")))</f>
        <v/>
      </c>
      <c r="P1633" s="26" t="str">
        <f>IF(OR(F1633 = "", G1633 = "", I1633 = ""), "", IF(F1633 = "Vara", IFERROR(_xlfn.SINGLE(_xlfn.XLOOKUP(G1633, Vöruskrá!A:A, Vöruskrá!J:J, "")) * I1633 / 100, ""), IF(F1633 = "Réttur", IFERROR(_xlfn.SINGLE(_xlfn.XLOOKUP(G1633, Réttabanki!A:A, Réttabanki!AW:AW, "")) * I1633 / 100, ""), "")))</f>
        <v/>
      </c>
      <c r="Q1633" s="26" t="str">
        <f>IF(OR(F1633 = "", G1633 = "", I1633 = ""), "", IF(F1633 = "Vara", IFERROR(_xlfn.SINGLE(_xlfn.XLOOKUP(G1633, Vöruskrá!A:A, Vöruskrá!N:N, "")) * I1633 / 100, ""), IF(F1633 = "Réttur", IFERROR(_xlfn.SINGLE(_xlfn.XLOOKUP(G1633, Réttabanki!A:A, Réttabanki!BB:BB, "")) * I1633 / 100, ""), "")))</f>
        <v/>
      </c>
    </row>
    <row r="1634" spans="2:17">
      <c r="B1634" s="33" t="str">
        <f>IF(A1634&lt;&gt;"",CHOOSE(WEEKDAY(A1634,2),"Mánudagur","Þriðjudagur","Miðvikudagur","Fimmtudagur","Föstudagur","Laugardagur","Sunnudagur"),IF(B1633&lt;&gt;"",B1633,""))</f>
        <v>Fimmtudagur</v>
      </c>
      <c r="C1634" s="33">
        <f>IF(A1634&lt;&gt;"",WEEKNUM(A1634,21),IF(C1633&lt;&gt;"",C1633,""))</f>
        <v>27</v>
      </c>
      <c r="D1634" s="34"/>
      <c r="E1634" s="34"/>
      <c r="F1634" s="34"/>
      <c r="G1634" s="34"/>
      <c r="H1634" s="34"/>
      <c r="I1634" s="35"/>
      <c r="J1634" s="35"/>
      <c r="K1634" s="36"/>
      <c r="L1634" s="26" t="str">
        <f>IF(OR(F1634 = "", G1634 = ""), "", IF(F1634 = "Vara", IFERROR(_xlfn.SINGLE(_xlfn.XLOOKUP(G1634, Vöruskrá!A:A, Vöruskrá!E:E, "")), ""), IF(F1634 = "Réttur", IFERROR(_xlfn.SINGLE(_xlfn.XLOOKUP(G1634, Réttabanki!A:A, Réttabanki!AS:AS, "")), ""), "")))</f>
        <v/>
      </c>
      <c r="M1634" s="26" t="str">
        <f>IF(OR(F1634 = "", G1634 = ""), "", IF(F1634 = "Vara", IFERROR(_xlfn.SINGLE(_xlfn.XLOOKUP(G1634, Vöruskrá!A:A, Vöruskrá!F:F, "")), ""), IF(F1634 = "Réttur", IFERROR(_xlfn.SINGLE(_xlfn.XLOOKUP(G1634, Réttabanki!A:A, Réttabanki!AT:AT, "")), ""), "")))</f>
        <v/>
      </c>
      <c r="N1634" s="26" t="str">
        <f>IF(OR(F1634 = "", G1634 = ""), "", IF(F1634 = "Vara", IFERROR(_xlfn.SINGLE(_xlfn.XLOOKUP(G1634, Vöruskrá!A:A, Vöruskrá!G:G, "")), ""), IF(F1634 = "Réttur", IFERROR(_xlfn.SINGLE(_xlfn.XLOOKUP(G1634, Réttabanki!A:A, Réttabanki!AU:AU, "")), ""), "")))</f>
        <v/>
      </c>
      <c r="O1634" s="26" t="str">
        <f>IF(OR(F1634 = "", G1634 = "", I1634 = ""), "", IF(F1634 = "Vara", IFERROR(_xlfn.SINGLE(_xlfn.XLOOKUP(G1634, Vöruskrá!A:A, Vöruskrá!I:I, "")) * I1634 / 100, ""), IF(F1634 = "Réttur", IFERROR(_xlfn.SINGLE(_xlfn.XLOOKUP(G1634, Réttabanki!A:A, Réttabanki!AV:AV, "")) * I1634 / 100, ""), "")))</f>
        <v/>
      </c>
      <c r="P1634" s="26" t="str">
        <f>IF(OR(F1634 = "", G1634 = "", I1634 = ""), "", IF(F1634 = "Vara", IFERROR(_xlfn.SINGLE(_xlfn.XLOOKUP(G1634, Vöruskrá!A:A, Vöruskrá!J:J, "")) * I1634 / 100, ""), IF(F1634 = "Réttur", IFERROR(_xlfn.SINGLE(_xlfn.XLOOKUP(G1634, Réttabanki!A:A, Réttabanki!AW:AW, "")) * I1634 / 100, ""), "")))</f>
        <v/>
      </c>
      <c r="Q1634" s="26" t="str">
        <f>IF(OR(F1634 = "", G1634 = "", I1634 = ""), "", IF(F1634 = "Vara", IFERROR(_xlfn.SINGLE(_xlfn.XLOOKUP(G1634, Vöruskrá!A:A, Vöruskrá!N:N, "")) * I1634 / 100, ""), IF(F1634 = "Réttur", IFERROR(_xlfn.SINGLE(_xlfn.XLOOKUP(G1634, Réttabanki!A:A, Réttabanki!BB:BB, "")) * I1634 / 100, ""), "")))</f>
        <v/>
      </c>
    </row>
    <row r="1635" spans="2:17">
      <c r="B1635" s="33" t="str">
        <f>IF(A1635&lt;&gt;"",CHOOSE(WEEKDAY(A1635,2),"Mánudagur","Þriðjudagur","Miðvikudagur","Fimmtudagur","Föstudagur","Laugardagur","Sunnudagur"),IF(B1634&lt;&gt;"",B1634,""))</f>
        <v>Fimmtudagur</v>
      </c>
      <c r="C1635" s="33">
        <f>IF(A1635&lt;&gt;"",WEEKNUM(A1635,21),IF(C1634&lt;&gt;"",C1634,""))</f>
        <v>27</v>
      </c>
      <c r="D1635" s="34"/>
      <c r="E1635" s="34"/>
      <c r="F1635" s="34"/>
      <c r="G1635" s="34"/>
      <c r="H1635" s="34"/>
      <c r="I1635" s="35"/>
      <c r="J1635" s="35"/>
      <c r="K1635" s="36"/>
      <c r="L1635" s="26" t="str">
        <f>IF(OR(F1635 = "", G1635 = ""), "", IF(F1635 = "Vara", IFERROR(_xlfn.SINGLE(_xlfn.XLOOKUP(G1635, Vöruskrá!A:A, Vöruskrá!E:E, "")), ""), IF(F1635 = "Réttur", IFERROR(_xlfn.SINGLE(_xlfn.XLOOKUP(G1635, Réttabanki!A:A, Réttabanki!AS:AS, "")), ""), "")))</f>
        <v/>
      </c>
      <c r="M1635" s="26" t="str">
        <f>IF(OR(F1635 = "", G1635 = ""), "", IF(F1635 = "Vara", IFERROR(_xlfn.SINGLE(_xlfn.XLOOKUP(G1635, Vöruskrá!A:A, Vöruskrá!F:F, "")), ""), IF(F1635 = "Réttur", IFERROR(_xlfn.SINGLE(_xlfn.XLOOKUP(G1635, Réttabanki!A:A, Réttabanki!AT:AT, "")), ""), "")))</f>
        <v/>
      </c>
      <c r="N1635" s="26" t="str">
        <f>IF(OR(F1635 = "", G1635 = ""), "", IF(F1635 = "Vara", IFERROR(_xlfn.SINGLE(_xlfn.XLOOKUP(G1635, Vöruskrá!A:A, Vöruskrá!G:G, "")), ""), IF(F1635 = "Réttur", IFERROR(_xlfn.SINGLE(_xlfn.XLOOKUP(G1635, Réttabanki!A:A, Réttabanki!AU:AU, "")), ""), "")))</f>
        <v/>
      </c>
      <c r="O1635" s="26" t="str">
        <f>IF(OR(F1635 = "", G1635 = "", I1635 = ""), "", IF(F1635 = "Vara", IFERROR(_xlfn.SINGLE(_xlfn.XLOOKUP(G1635, Vöruskrá!A:A, Vöruskrá!I:I, "")) * I1635 / 100, ""), IF(F1635 = "Réttur", IFERROR(_xlfn.SINGLE(_xlfn.XLOOKUP(G1635, Réttabanki!A:A, Réttabanki!AV:AV, "")) * I1635 / 100, ""), "")))</f>
        <v/>
      </c>
      <c r="P1635" s="26" t="str">
        <f>IF(OR(F1635 = "", G1635 = "", I1635 = ""), "", IF(F1635 = "Vara", IFERROR(_xlfn.SINGLE(_xlfn.XLOOKUP(G1635, Vöruskrá!A:A, Vöruskrá!J:J, "")) * I1635 / 100, ""), IF(F1635 = "Réttur", IFERROR(_xlfn.SINGLE(_xlfn.XLOOKUP(G1635, Réttabanki!A:A, Réttabanki!AW:AW, "")) * I1635 / 100, ""), "")))</f>
        <v/>
      </c>
      <c r="Q1635" s="26" t="str">
        <f>IF(OR(F1635 = "", G1635 = "", I1635 = ""), "", IF(F1635 = "Vara", IFERROR(_xlfn.SINGLE(_xlfn.XLOOKUP(G1635, Vöruskrá!A:A, Vöruskrá!N:N, "")) * I1635 / 100, ""), IF(F1635 = "Réttur", IFERROR(_xlfn.SINGLE(_xlfn.XLOOKUP(G1635, Réttabanki!A:A, Réttabanki!BB:BB, "")) * I1635 / 100, ""), "")))</f>
        <v/>
      </c>
    </row>
    <row r="1636" spans="2:17">
      <c r="B1636" s="33" t="str">
        <f>IF(A1636&lt;&gt;"",CHOOSE(WEEKDAY(A1636,2),"Mánudagur","Þriðjudagur","Miðvikudagur","Fimmtudagur","Föstudagur","Laugardagur","Sunnudagur"),IF(B1635&lt;&gt;"",B1635,""))</f>
        <v>Fimmtudagur</v>
      </c>
      <c r="C1636" s="33">
        <f>IF(A1636&lt;&gt;"",WEEKNUM(A1636,21),IF(C1635&lt;&gt;"",C1635,""))</f>
        <v>27</v>
      </c>
      <c r="D1636" s="34"/>
      <c r="E1636" s="34"/>
      <c r="F1636" s="34"/>
      <c r="G1636" s="34"/>
      <c r="H1636" s="34"/>
      <c r="I1636" s="35"/>
      <c r="J1636" s="35"/>
      <c r="K1636" s="36"/>
      <c r="L1636" s="26" t="str">
        <f>IF(OR(F1636 = "", G1636 = ""), "", IF(F1636 = "Vara", IFERROR(_xlfn.SINGLE(_xlfn.XLOOKUP(G1636, Vöruskrá!A:A, Vöruskrá!E:E, "")), ""), IF(F1636 = "Réttur", IFERROR(_xlfn.SINGLE(_xlfn.XLOOKUP(G1636, Réttabanki!A:A, Réttabanki!AS:AS, "")), ""), "")))</f>
        <v/>
      </c>
      <c r="M1636" s="26" t="str">
        <f>IF(OR(F1636 = "", G1636 = ""), "", IF(F1636 = "Vara", IFERROR(_xlfn.SINGLE(_xlfn.XLOOKUP(G1636, Vöruskrá!A:A, Vöruskrá!F:F, "")), ""), IF(F1636 = "Réttur", IFERROR(_xlfn.SINGLE(_xlfn.XLOOKUP(G1636, Réttabanki!A:A, Réttabanki!AT:AT, "")), ""), "")))</f>
        <v/>
      </c>
      <c r="N1636" s="26" t="str">
        <f>IF(OR(F1636 = "", G1636 = ""), "", IF(F1636 = "Vara", IFERROR(_xlfn.SINGLE(_xlfn.XLOOKUP(G1636, Vöruskrá!A:A, Vöruskrá!G:G, "")), ""), IF(F1636 = "Réttur", IFERROR(_xlfn.SINGLE(_xlfn.XLOOKUP(G1636, Réttabanki!A:A, Réttabanki!AU:AU, "")), ""), "")))</f>
        <v/>
      </c>
      <c r="O1636" s="26" t="str">
        <f>IF(OR(F1636 = "", G1636 = "", I1636 = ""), "", IF(F1636 = "Vara", IFERROR(_xlfn.SINGLE(_xlfn.XLOOKUP(G1636, Vöruskrá!A:A, Vöruskrá!I:I, "")) * I1636 / 100, ""), IF(F1636 = "Réttur", IFERROR(_xlfn.SINGLE(_xlfn.XLOOKUP(G1636, Réttabanki!A:A, Réttabanki!AV:AV, "")) * I1636 / 100, ""), "")))</f>
        <v/>
      </c>
      <c r="P1636" s="26" t="str">
        <f>IF(OR(F1636 = "", G1636 = "", I1636 = ""), "", IF(F1636 = "Vara", IFERROR(_xlfn.SINGLE(_xlfn.XLOOKUP(G1636, Vöruskrá!A:A, Vöruskrá!J:J, "")) * I1636 / 100, ""), IF(F1636 = "Réttur", IFERROR(_xlfn.SINGLE(_xlfn.XLOOKUP(G1636, Réttabanki!A:A, Réttabanki!AW:AW, "")) * I1636 / 100, ""), "")))</f>
        <v/>
      </c>
      <c r="Q1636" s="26" t="str">
        <f>IF(OR(F1636 = "", G1636 = "", I1636 = ""), "", IF(F1636 = "Vara", IFERROR(_xlfn.SINGLE(_xlfn.XLOOKUP(G1636, Vöruskrá!A:A, Vöruskrá!N:N, "")) * I1636 / 100, ""), IF(F1636 = "Réttur", IFERROR(_xlfn.SINGLE(_xlfn.XLOOKUP(G1636, Réttabanki!A:A, Réttabanki!BB:BB, "")) * I1636 / 100, ""), "")))</f>
        <v/>
      </c>
    </row>
    <row r="1637" spans="2:17">
      <c r="B1637" s="33" t="str">
        <f>IF(A1637&lt;&gt;"",CHOOSE(WEEKDAY(A1637,2),"Mánudagur","Þriðjudagur","Miðvikudagur","Fimmtudagur","Föstudagur","Laugardagur","Sunnudagur"),IF(B1636&lt;&gt;"",B1636,""))</f>
        <v>Fimmtudagur</v>
      </c>
      <c r="C1637" s="33">
        <f>IF(A1637&lt;&gt;"",WEEKNUM(A1637,21),IF(C1636&lt;&gt;"",C1636,""))</f>
        <v>27</v>
      </c>
      <c r="D1637" s="34"/>
      <c r="E1637" s="34"/>
      <c r="F1637" s="34"/>
      <c r="G1637" s="34"/>
      <c r="H1637" s="34"/>
      <c r="I1637" s="35"/>
      <c r="J1637" s="35"/>
      <c r="K1637" s="36"/>
      <c r="L1637" s="26" t="str">
        <f>IF(OR(F1637 = "", G1637 = ""), "", IF(F1637 = "Vara", IFERROR(_xlfn.SINGLE(_xlfn.XLOOKUP(G1637, Vöruskrá!A:A, Vöruskrá!E:E, "")), ""), IF(F1637 = "Réttur", IFERROR(_xlfn.SINGLE(_xlfn.XLOOKUP(G1637, Réttabanki!A:A, Réttabanki!AS:AS, "")), ""), "")))</f>
        <v/>
      </c>
      <c r="M1637" s="26" t="str">
        <f>IF(OR(F1637 = "", G1637 = ""), "", IF(F1637 = "Vara", IFERROR(_xlfn.SINGLE(_xlfn.XLOOKUP(G1637, Vöruskrá!A:A, Vöruskrá!F:F, "")), ""), IF(F1637 = "Réttur", IFERROR(_xlfn.SINGLE(_xlfn.XLOOKUP(G1637, Réttabanki!A:A, Réttabanki!AT:AT, "")), ""), "")))</f>
        <v/>
      </c>
      <c r="N1637" s="26" t="str">
        <f>IF(OR(F1637 = "", G1637 = ""), "", IF(F1637 = "Vara", IFERROR(_xlfn.SINGLE(_xlfn.XLOOKUP(G1637, Vöruskrá!A:A, Vöruskrá!G:G, "")), ""), IF(F1637 = "Réttur", IFERROR(_xlfn.SINGLE(_xlfn.XLOOKUP(G1637, Réttabanki!A:A, Réttabanki!AU:AU, "")), ""), "")))</f>
        <v/>
      </c>
      <c r="O1637" s="26" t="str">
        <f>IF(OR(F1637 = "", G1637 = "", I1637 = ""), "", IF(F1637 = "Vara", IFERROR(_xlfn.SINGLE(_xlfn.XLOOKUP(G1637, Vöruskrá!A:A, Vöruskrá!I:I, "")) * I1637 / 100, ""), IF(F1637 = "Réttur", IFERROR(_xlfn.SINGLE(_xlfn.XLOOKUP(G1637, Réttabanki!A:A, Réttabanki!AV:AV, "")) * I1637 / 100, ""), "")))</f>
        <v/>
      </c>
      <c r="P1637" s="26" t="str">
        <f>IF(OR(F1637 = "", G1637 = "", I1637 = ""), "", IF(F1637 = "Vara", IFERROR(_xlfn.SINGLE(_xlfn.XLOOKUP(G1637, Vöruskrá!A:A, Vöruskrá!J:J, "")) * I1637 / 100, ""), IF(F1637 = "Réttur", IFERROR(_xlfn.SINGLE(_xlfn.XLOOKUP(G1637, Réttabanki!A:A, Réttabanki!AW:AW, "")) * I1637 / 100, ""), "")))</f>
        <v/>
      </c>
      <c r="Q1637" s="26" t="str">
        <f>IF(OR(F1637 = "", G1637 = "", I1637 = ""), "", IF(F1637 = "Vara", IFERROR(_xlfn.SINGLE(_xlfn.XLOOKUP(G1637, Vöruskrá!A:A, Vöruskrá!N:N, "")) * I1637 / 100, ""), IF(F1637 = "Réttur", IFERROR(_xlfn.SINGLE(_xlfn.XLOOKUP(G1637, Réttabanki!A:A, Réttabanki!BB:BB, "")) * I1637 / 100, ""), "")))</f>
        <v/>
      </c>
    </row>
    <row r="1638" spans="2:17">
      <c r="B1638" s="33" t="str">
        <f>IF(A1638&lt;&gt;"",CHOOSE(WEEKDAY(A1638,2),"Mánudagur","Þriðjudagur","Miðvikudagur","Fimmtudagur","Föstudagur","Laugardagur","Sunnudagur"),IF(B1637&lt;&gt;"",B1637,""))</f>
        <v>Fimmtudagur</v>
      </c>
      <c r="C1638" s="33">
        <f>IF(A1638&lt;&gt;"",WEEKNUM(A1638,21),IF(C1637&lt;&gt;"",C1637,""))</f>
        <v>27</v>
      </c>
      <c r="D1638" s="34"/>
      <c r="E1638" s="34"/>
      <c r="F1638" s="34"/>
      <c r="G1638" s="34"/>
      <c r="H1638" s="34"/>
      <c r="I1638" s="35"/>
      <c r="J1638" s="35"/>
      <c r="K1638" s="36"/>
      <c r="L1638" s="26" t="str">
        <f>IF(OR(F1638 = "", G1638 = ""), "", IF(F1638 = "Vara", IFERROR(_xlfn.SINGLE(_xlfn.XLOOKUP(G1638, Vöruskrá!A:A, Vöruskrá!E:E, "")), ""), IF(F1638 = "Réttur", IFERROR(_xlfn.SINGLE(_xlfn.XLOOKUP(G1638, Réttabanki!A:A, Réttabanki!AS:AS, "")), ""), "")))</f>
        <v/>
      </c>
      <c r="M1638" s="26" t="str">
        <f>IF(OR(F1638 = "", G1638 = ""), "", IF(F1638 = "Vara", IFERROR(_xlfn.SINGLE(_xlfn.XLOOKUP(G1638, Vöruskrá!A:A, Vöruskrá!F:F, "")), ""), IF(F1638 = "Réttur", IFERROR(_xlfn.SINGLE(_xlfn.XLOOKUP(G1638, Réttabanki!A:A, Réttabanki!AT:AT, "")), ""), "")))</f>
        <v/>
      </c>
      <c r="N1638" s="26" t="str">
        <f>IF(OR(F1638 = "", G1638 = ""), "", IF(F1638 = "Vara", IFERROR(_xlfn.SINGLE(_xlfn.XLOOKUP(G1638, Vöruskrá!A:A, Vöruskrá!G:G, "")), ""), IF(F1638 = "Réttur", IFERROR(_xlfn.SINGLE(_xlfn.XLOOKUP(G1638, Réttabanki!A:A, Réttabanki!AU:AU, "")), ""), "")))</f>
        <v/>
      </c>
      <c r="O1638" s="26" t="str">
        <f>IF(OR(F1638 = "", G1638 = "", I1638 = ""), "", IF(F1638 = "Vara", IFERROR(_xlfn.SINGLE(_xlfn.XLOOKUP(G1638, Vöruskrá!A:A, Vöruskrá!I:I, "")) * I1638 / 100, ""), IF(F1638 = "Réttur", IFERROR(_xlfn.SINGLE(_xlfn.XLOOKUP(G1638, Réttabanki!A:A, Réttabanki!AV:AV, "")) * I1638 / 100, ""), "")))</f>
        <v/>
      </c>
      <c r="P1638" s="26" t="str">
        <f>IF(OR(F1638 = "", G1638 = "", I1638 = ""), "", IF(F1638 = "Vara", IFERROR(_xlfn.SINGLE(_xlfn.XLOOKUP(G1638, Vöruskrá!A:A, Vöruskrá!J:J, "")) * I1638 / 100, ""), IF(F1638 = "Réttur", IFERROR(_xlfn.SINGLE(_xlfn.XLOOKUP(G1638, Réttabanki!A:A, Réttabanki!AW:AW, "")) * I1638 / 100, ""), "")))</f>
        <v/>
      </c>
      <c r="Q1638" s="26" t="str">
        <f>IF(OR(F1638 = "", G1638 = "", I1638 = ""), "", IF(F1638 = "Vara", IFERROR(_xlfn.SINGLE(_xlfn.XLOOKUP(G1638, Vöruskrá!A:A, Vöruskrá!N:N, "")) * I1638 / 100, ""), IF(F1638 = "Réttur", IFERROR(_xlfn.SINGLE(_xlfn.XLOOKUP(G1638, Réttabanki!A:A, Réttabanki!BB:BB, "")) * I1638 / 100, ""), "")))</f>
        <v/>
      </c>
    </row>
    <row r="1639" spans="2:17">
      <c r="B1639" s="33" t="str">
        <f>IF(A1639&lt;&gt;"",CHOOSE(WEEKDAY(A1639,2),"Mánudagur","Þriðjudagur","Miðvikudagur","Fimmtudagur","Föstudagur","Laugardagur","Sunnudagur"),IF(B1638&lt;&gt;"",B1638,""))</f>
        <v>Fimmtudagur</v>
      </c>
      <c r="C1639" s="33">
        <f>IF(A1639&lt;&gt;"",WEEKNUM(A1639,21),IF(C1638&lt;&gt;"",C1638,""))</f>
        <v>27</v>
      </c>
      <c r="D1639" s="34"/>
      <c r="E1639" s="34"/>
      <c r="F1639" s="34"/>
      <c r="G1639" s="34"/>
      <c r="H1639" s="34"/>
      <c r="I1639" s="35"/>
      <c r="J1639" s="35"/>
      <c r="K1639" s="36"/>
      <c r="L1639" s="26" t="str">
        <f>IF(OR(F1639 = "", G1639 = ""), "", IF(F1639 = "Vara", IFERROR(_xlfn.SINGLE(_xlfn.XLOOKUP(G1639, Vöruskrá!A:A, Vöruskrá!E:E, "")), ""), IF(F1639 = "Réttur", IFERROR(_xlfn.SINGLE(_xlfn.XLOOKUP(G1639, Réttabanki!A:A, Réttabanki!AS:AS, "")), ""), "")))</f>
        <v/>
      </c>
      <c r="M1639" s="26" t="str">
        <f>IF(OR(F1639 = "", G1639 = ""), "", IF(F1639 = "Vara", IFERROR(_xlfn.SINGLE(_xlfn.XLOOKUP(G1639, Vöruskrá!A:A, Vöruskrá!F:F, "")), ""), IF(F1639 = "Réttur", IFERROR(_xlfn.SINGLE(_xlfn.XLOOKUP(G1639, Réttabanki!A:A, Réttabanki!AT:AT, "")), ""), "")))</f>
        <v/>
      </c>
      <c r="N1639" s="26" t="str">
        <f>IF(OR(F1639 = "", G1639 = ""), "", IF(F1639 = "Vara", IFERROR(_xlfn.SINGLE(_xlfn.XLOOKUP(G1639, Vöruskrá!A:A, Vöruskrá!G:G, "")), ""), IF(F1639 = "Réttur", IFERROR(_xlfn.SINGLE(_xlfn.XLOOKUP(G1639, Réttabanki!A:A, Réttabanki!AU:AU, "")), ""), "")))</f>
        <v/>
      </c>
      <c r="O1639" s="26" t="str">
        <f>IF(OR(F1639 = "", G1639 = "", I1639 = ""), "", IF(F1639 = "Vara", IFERROR(_xlfn.SINGLE(_xlfn.XLOOKUP(G1639, Vöruskrá!A:A, Vöruskrá!I:I, "")) * I1639 / 100, ""), IF(F1639 = "Réttur", IFERROR(_xlfn.SINGLE(_xlfn.XLOOKUP(G1639, Réttabanki!A:A, Réttabanki!AV:AV, "")) * I1639 / 100, ""), "")))</f>
        <v/>
      </c>
      <c r="P1639" s="26" t="str">
        <f>IF(OR(F1639 = "", G1639 = "", I1639 = ""), "", IF(F1639 = "Vara", IFERROR(_xlfn.SINGLE(_xlfn.XLOOKUP(G1639, Vöruskrá!A:A, Vöruskrá!J:J, "")) * I1639 / 100, ""), IF(F1639 = "Réttur", IFERROR(_xlfn.SINGLE(_xlfn.XLOOKUP(G1639, Réttabanki!A:A, Réttabanki!AW:AW, "")) * I1639 / 100, ""), "")))</f>
        <v/>
      </c>
      <c r="Q1639" s="26" t="str">
        <f>IF(OR(F1639 = "", G1639 = "", I1639 = ""), "", IF(F1639 = "Vara", IFERROR(_xlfn.SINGLE(_xlfn.XLOOKUP(G1639, Vöruskrá!A:A, Vöruskrá!N:N, "")) * I1639 / 100, ""), IF(F1639 = "Réttur", IFERROR(_xlfn.SINGLE(_xlfn.XLOOKUP(G1639, Réttabanki!A:A, Réttabanki!BB:BB, "")) * I1639 / 100, ""), "")))</f>
        <v/>
      </c>
    </row>
    <row r="1640" spans="2:17">
      <c r="B1640" s="33" t="str">
        <f>IF(A1640&lt;&gt;"",CHOOSE(WEEKDAY(A1640,2),"Mánudagur","Þriðjudagur","Miðvikudagur","Fimmtudagur","Föstudagur","Laugardagur","Sunnudagur"),IF(B1639&lt;&gt;"",B1639,""))</f>
        <v>Fimmtudagur</v>
      </c>
      <c r="C1640" s="33">
        <f>IF(A1640&lt;&gt;"",WEEKNUM(A1640,21),IF(C1639&lt;&gt;"",C1639,""))</f>
        <v>27</v>
      </c>
      <c r="D1640" s="34"/>
      <c r="E1640" s="34"/>
      <c r="F1640" s="34"/>
      <c r="G1640" s="34"/>
      <c r="H1640" s="34"/>
      <c r="I1640" s="35"/>
      <c r="J1640" s="35"/>
      <c r="K1640" s="36"/>
      <c r="L1640" s="26" t="str">
        <f>IF(OR(F1640 = "", G1640 = ""), "", IF(F1640 = "Vara", IFERROR(_xlfn.SINGLE(_xlfn.XLOOKUP(G1640, Vöruskrá!A:A, Vöruskrá!E:E, "")), ""), IF(F1640 = "Réttur", IFERROR(_xlfn.SINGLE(_xlfn.XLOOKUP(G1640, Réttabanki!A:A, Réttabanki!AS:AS, "")), ""), "")))</f>
        <v/>
      </c>
      <c r="M1640" s="26" t="str">
        <f>IF(OR(F1640 = "", G1640 = ""), "", IF(F1640 = "Vara", IFERROR(_xlfn.SINGLE(_xlfn.XLOOKUP(G1640, Vöruskrá!A:A, Vöruskrá!F:F, "")), ""), IF(F1640 = "Réttur", IFERROR(_xlfn.SINGLE(_xlfn.XLOOKUP(G1640, Réttabanki!A:A, Réttabanki!AT:AT, "")), ""), "")))</f>
        <v/>
      </c>
      <c r="N1640" s="26" t="str">
        <f>IF(OR(F1640 = "", G1640 = ""), "", IF(F1640 = "Vara", IFERROR(_xlfn.SINGLE(_xlfn.XLOOKUP(G1640, Vöruskrá!A:A, Vöruskrá!G:G, "")), ""), IF(F1640 = "Réttur", IFERROR(_xlfn.SINGLE(_xlfn.XLOOKUP(G1640, Réttabanki!A:A, Réttabanki!AU:AU, "")), ""), "")))</f>
        <v/>
      </c>
      <c r="O1640" s="26" t="str">
        <f>IF(OR(F1640 = "", G1640 = "", I1640 = ""), "", IF(F1640 = "Vara", IFERROR(_xlfn.SINGLE(_xlfn.XLOOKUP(G1640, Vöruskrá!A:A, Vöruskrá!I:I, "")) * I1640 / 100, ""), IF(F1640 = "Réttur", IFERROR(_xlfn.SINGLE(_xlfn.XLOOKUP(G1640, Réttabanki!A:A, Réttabanki!AV:AV, "")) * I1640 / 100, ""), "")))</f>
        <v/>
      </c>
      <c r="P1640" s="26" t="str">
        <f>IF(OR(F1640 = "", G1640 = "", I1640 = ""), "", IF(F1640 = "Vara", IFERROR(_xlfn.SINGLE(_xlfn.XLOOKUP(G1640, Vöruskrá!A:A, Vöruskrá!J:J, "")) * I1640 / 100, ""), IF(F1640 = "Réttur", IFERROR(_xlfn.SINGLE(_xlfn.XLOOKUP(G1640, Réttabanki!A:A, Réttabanki!AW:AW, "")) * I1640 / 100, ""), "")))</f>
        <v/>
      </c>
      <c r="Q1640" s="26" t="str">
        <f>IF(OR(F1640 = "", G1640 = "", I1640 = ""), "", IF(F1640 = "Vara", IFERROR(_xlfn.SINGLE(_xlfn.XLOOKUP(G1640, Vöruskrá!A:A, Vöruskrá!N:N, "")) * I1640 / 100, ""), IF(F1640 = "Réttur", IFERROR(_xlfn.SINGLE(_xlfn.XLOOKUP(G1640, Réttabanki!A:A, Réttabanki!BB:BB, "")) * I1640 / 100, ""), "")))</f>
        <v/>
      </c>
    </row>
    <row r="1641" spans="2:17">
      <c r="B1641" s="33" t="str">
        <f>IF(A1641&lt;&gt;"",CHOOSE(WEEKDAY(A1641,2),"Mánudagur","Þriðjudagur","Miðvikudagur","Fimmtudagur","Föstudagur","Laugardagur","Sunnudagur"),IF(B1640&lt;&gt;"",B1640,""))</f>
        <v>Fimmtudagur</v>
      </c>
      <c r="C1641" s="33">
        <f>IF(A1641&lt;&gt;"",WEEKNUM(A1641,21),IF(C1640&lt;&gt;"",C1640,""))</f>
        <v>27</v>
      </c>
      <c r="D1641" s="34"/>
      <c r="E1641" s="34"/>
      <c r="F1641" s="34"/>
      <c r="G1641" s="34"/>
      <c r="H1641" s="34"/>
      <c r="I1641" s="35"/>
      <c r="J1641" s="35"/>
      <c r="K1641" s="36"/>
      <c r="L1641" s="26" t="str">
        <f>IF(OR(F1641 = "", G1641 = ""), "", IF(F1641 = "Vara", IFERROR(_xlfn.SINGLE(_xlfn.XLOOKUP(G1641, Vöruskrá!A:A, Vöruskrá!E:E, "")), ""), IF(F1641 = "Réttur", IFERROR(_xlfn.SINGLE(_xlfn.XLOOKUP(G1641, Réttabanki!A:A, Réttabanki!AS:AS, "")), ""), "")))</f>
        <v/>
      </c>
      <c r="M1641" s="26" t="str">
        <f>IF(OR(F1641 = "", G1641 = ""), "", IF(F1641 = "Vara", IFERROR(_xlfn.SINGLE(_xlfn.XLOOKUP(G1641, Vöruskrá!A:A, Vöruskrá!F:F, "")), ""), IF(F1641 = "Réttur", IFERROR(_xlfn.SINGLE(_xlfn.XLOOKUP(G1641, Réttabanki!A:A, Réttabanki!AT:AT, "")), ""), "")))</f>
        <v/>
      </c>
      <c r="N1641" s="26" t="str">
        <f>IF(OR(F1641 = "", G1641 = ""), "", IF(F1641 = "Vara", IFERROR(_xlfn.SINGLE(_xlfn.XLOOKUP(G1641, Vöruskrá!A:A, Vöruskrá!G:G, "")), ""), IF(F1641 = "Réttur", IFERROR(_xlfn.SINGLE(_xlfn.XLOOKUP(G1641, Réttabanki!A:A, Réttabanki!AU:AU, "")), ""), "")))</f>
        <v/>
      </c>
      <c r="O1641" s="26" t="str">
        <f>IF(OR(F1641 = "", G1641 = "", I1641 = ""), "", IF(F1641 = "Vara", IFERROR(_xlfn.SINGLE(_xlfn.XLOOKUP(G1641, Vöruskrá!A:A, Vöruskrá!I:I, "")) * I1641 / 100, ""), IF(F1641 = "Réttur", IFERROR(_xlfn.SINGLE(_xlfn.XLOOKUP(G1641, Réttabanki!A:A, Réttabanki!AV:AV, "")) * I1641 / 100, ""), "")))</f>
        <v/>
      </c>
      <c r="P1641" s="26" t="str">
        <f>IF(OR(F1641 = "", G1641 = "", I1641 = ""), "", IF(F1641 = "Vara", IFERROR(_xlfn.SINGLE(_xlfn.XLOOKUP(G1641, Vöruskrá!A:A, Vöruskrá!J:J, "")) * I1641 / 100, ""), IF(F1641 = "Réttur", IFERROR(_xlfn.SINGLE(_xlfn.XLOOKUP(G1641, Réttabanki!A:A, Réttabanki!AW:AW, "")) * I1641 / 100, ""), "")))</f>
        <v/>
      </c>
      <c r="Q1641" s="26" t="str">
        <f>IF(OR(F1641 = "", G1641 = "", I1641 = ""), "", IF(F1641 = "Vara", IFERROR(_xlfn.SINGLE(_xlfn.XLOOKUP(G1641, Vöruskrá!A:A, Vöruskrá!N:N, "")) * I1641 / 100, ""), IF(F1641 = "Réttur", IFERROR(_xlfn.SINGLE(_xlfn.XLOOKUP(G1641, Réttabanki!A:A, Réttabanki!BB:BB, "")) * I1641 / 100, ""), "")))</f>
        <v/>
      </c>
    </row>
    <row r="1642" spans="2:17">
      <c r="B1642" s="33" t="str">
        <f>IF(A1642&lt;&gt;"",CHOOSE(WEEKDAY(A1642,2),"Mánudagur","Þriðjudagur","Miðvikudagur","Fimmtudagur","Föstudagur","Laugardagur","Sunnudagur"),IF(B1641&lt;&gt;"",B1641,""))</f>
        <v>Fimmtudagur</v>
      </c>
      <c r="C1642" s="33">
        <f>IF(A1642&lt;&gt;"",WEEKNUM(A1642,21),IF(C1641&lt;&gt;"",C1641,""))</f>
        <v>27</v>
      </c>
      <c r="D1642" s="34"/>
      <c r="E1642" s="34"/>
      <c r="F1642" s="34"/>
      <c r="G1642" s="34"/>
      <c r="H1642" s="34"/>
      <c r="I1642" s="35"/>
      <c r="J1642" s="35"/>
      <c r="K1642" s="36"/>
      <c r="L1642" s="26" t="str">
        <f>IF(OR(F1642 = "", G1642 = ""), "", IF(F1642 = "Vara", IFERROR(_xlfn.SINGLE(_xlfn.XLOOKUP(G1642, Vöruskrá!A:A, Vöruskrá!E:E, "")), ""), IF(F1642 = "Réttur", IFERROR(_xlfn.SINGLE(_xlfn.XLOOKUP(G1642, Réttabanki!A:A, Réttabanki!AS:AS, "")), ""), "")))</f>
        <v/>
      </c>
      <c r="M1642" s="26" t="str">
        <f>IF(OR(F1642 = "", G1642 = ""), "", IF(F1642 = "Vara", IFERROR(_xlfn.SINGLE(_xlfn.XLOOKUP(G1642, Vöruskrá!A:A, Vöruskrá!F:F, "")), ""), IF(F1642 = "Réttur", IFERROR(_xlfn.SINGLE(_xlfn.XLOOKUP(G1642, Réttabanki!A:A, Réttabanki!AT:AT, "")), ""), "")))</f>
        <v/>
      </c>
      <c r="N1642" s="26" t="str">
        <f>IF(OR(F1642 = "", G1642 = ""), "", IF(F1642 = "Vara", IFERROR(_xlfn.SINGLE(_xlfn.XLOOKUP(G1642, Vöruskrá!A:A, Vöruskrá!G:G, "")), ""), IF(F1642 = "Réttur", IFERROR(_xlfn.SINGLE(_xlfn.XLOOKUP(G1642, Réttabanki!A:A, Réttabanki!AU:AU, "")), ""), "")))</f>
        <v/>
      </c>
      <c r="O1642" s="26" t="str">
        <f>IF(OR(F1642 = "", G1642 = "", I1642 = ""), "", IF(F1642 = "Vara", IFERROR(_xlfn.SINGLE(_xlfn.XLOOKUP(G1642, Vöruskrá!A:A, Vöruskrá!I:I, "")) * I1642 / 100, ""), IF(F1642 = "Réttur", IFERROR(_xlfn.SINGLE(_xlfn.XLOOKUP(G1642, Réttabanki!A:A, Réttabanki!AV:AV, "")) * I1642 / 100, ""), "")))</f>
        <v/>
      </c>
      <c r="P1642" s="26" t="str">
        <f>IF(OR(F1642 = "", G1642 = "", I1642 = ""), "", IF(F1642 = "Vara", IFERROR(_xlfn.SINGLE(_xlfn.XLOOKUP(G1642, Vöruskrá!A:A, Vöruskrá!J:J, "")) * I1642 / 100, ""), IF(F1642 = "Réttur", IFERROR(_xlfn.SINGLE(_xlfn.XLOOKUP(G1642, Réttabanki!A:A, Réttabanki!AW:AW, "")) * I1642 / 100, ""), "")))</f>
        <v/>
      </c>
      <c r="Q1642" s="26" t="str">
        <f>IF(OR(F1642 = "", G1642 = "", I1642 = ""), "", IF(F1642 = "Vara", IFERROR(_xlfn.SINGLE(_xlfn.XLOOKUP(G1642, Vöruskrá!A:A, Vöruskrá!N:N, "")) * I1642 / 100, ""), IF(F1642 = "Réttur", IFERROR(_xlfn.SINGLE(_xlfn.XLOOKUP(G1642, Réttabanki!A:A, Réttabanki!BB:BB, "")) * I1642 / 100, ""), "")))</f>
        <v/>
      </c>
    </row>
    <row r="1643" spans="2:17">
      <c r="B1643" s="33" t="str">
        <f>IF(A1643&lt;&gt;"",CHOOSE(WEEKDAY(A1643,2),"Mánudagur","Þriðjudagur","Miðvikudagur","Fimmtudagur","Föstudagur","Laugardagur","Sunnudagur"),IF(B1642&lt;&gt;"",B1642,""))</f>
        <v>Fimmtudagur</v>
      </c>
      <c r="C1643" s="33">
        <f>IF(A1643&lt;&gt;"",WEEKNUM(A1643,21),IF(C1642&lt;&gt;"",C1642,""))</f>
        <v>27</v>
      </c>
      <c r="D1643" s="34"/>
      <c r="E1643" s="34"/>
      <c r="F1643" s="34"/>
      <c r="G1643" s="34"/>
      <c r="H1643" s="34"/>
      <c r="I1643" s="35"/>
      <c r="J1643" s="35"/>
      <c r="K1643" s="36"/>
      <c r="L1643" s="26" t="str">
        <f>IF(OR(F1643 = "", G1643 = ""), "", IF(F1643 = "Vara", IFERROR(_xlfn.SINGLE(_xlfn.XLOOKUP(G1643, Vöruskrá!A:A, Vöruskrá!E:E, "")), ""), IF(F1643 = "Réttur", IFERROR(_xlfn.SINGLE(_xlfn.XLOOKUP(G1643, Réttabanki!A:A, Réttabanki!AS:AS, "")), ""), "")))</f>
        <v/>
      </c>
      <c r="M1643" s="26" t="str">
        <f>IF(OR(F1643 = "", G1643 = ""), "", IF(F1643 = "Vara", IFERROR(_xlfn.SINGLE(_xlfn.XLOOKUP(G1643, Vöruskrá!A:A, Vöruskrá!F:F, "")), ""), IF(F1643 = "Réttur", IFERROR(_xlfn.SINGLE(_xlfn.XLOOKUP(G1643, Réttabanki!A:A, Réttabanki!AT:AT, "")), ""), "")))</f>
        <v/>
      </c>
      <c r="N1643" s="26" t="str">
        <f>IF(OR(F1643 = "", G1643 = ""), "", IF(F1643 = "Vara", IFERROR(_xlfn.SINGLE(_xlfn.XLOOKUP(G1643, Vöruskrá!A:A, Vöruskrá!G:G, "")), ""), IF(F1643 = "Réttur", IFERROR(_xlfn.SINGLE(_xlfn.XLOOKUP(G1643, Réttabanki!A:A, Réttabanki!AU:AU, "")), ""), "")))</f>
        <v/>
      </c>
      <c r="O1643" s="26" t="str">
        <f>IF(OR(F1643 = "", G1643 = "", I1643 = ""), "", IF(F1643 = "Vara", IFERROR(_xlfn.SINGLE(_xlfn.XLOOKUP(G1643, Vöruskrá!A:A, Vöruskrá!I:I, "")) * I1643 / 100, ""), IF(F1643 = "Réttur", IFERROR(_xlfn.SINGLE(_xlfn.XLOOKUP(G1643, Réttabanki!A:A, Réttabanki!AV:AV, "")) * I1643 / 100, ""), "")))</f>
        <v/>
      </c>
      <c r="P1643" s="26" t="str">
        <f>IF(OR(F1643 = "", G1643 = "", I1643 = ""), "", IF(F1643 = "Vara", IFERROR(_xlfn.SINGLE(_xlfn.XLOOKUP(G1643, Vöruskrá!A:A, Vöruskrá!J:J, "")) * I1643 / 100, ""), IF(F1643 = "Réttur", IFERROR(_xlfn.SINGLE(_xlfn.XLOOKUP(G1643, Réttabanki!A:A, Réttabanki!AW:AW, "")) * I1643 / 100, ""), "")))</f>
        <v/>
      </c>
      <c r="Q1643" s="26" t="str">
        <f>IF(OR(F1643 = "", G1643 = "", I1643 = ""), "", IF(F1643 = "Vara", IFERROR(_xlfn.SINGLE(_xlfn.XLOOKUP(G1643, Vöruskrá!A:A, Vöruskrá!N:N, "")) * I1643 / 100, ""), IF(F1643 = "Réttur", IFERROR(_xlfn.SINGLE(_xlfn.XLOOKUP(G1643, Réttabanki!A:A, Réttabanki!BB:BB, "")) * I1643 / 100, ""), "")))</f>
        <v/>
      </c>
    </row>
    <row r="1644" spans="2:17">
      <c r="B1644" s="33" t="str">
        <f>IF(A1644&lt;&gt;"",CHOOSE(WEEKDAY(A1644,2),"Mánudagur","Þriðjudagur","Miðvikudagur","Fimmtudagur","Föstudagur","Laugardagur","Sunnudagur"),IF(B1643&lt;&gt;"",B1643,""))</f>
        <v>Fimmtudagur</v>
      </c>
      <c r="C1644" s="33">
        <f>IF(A1644&lt;&gt;"",WEEKNUM(A1644,21),IF(C1643&lt;&gt;"",C1643,""))</f>
        <v>27</v>
      </c>
      <c r="D1644" s="34"/>
      <c r="E1644" s="34"/>
      <c r="F1644" s="34"/>
      <c r="G1644" s="34"/>
      <c r="H1644" s="34"/>
      <c r="I1644" s="35"/>
      <c r="J1644" s="35"/>
      <c r="K1644" s="36"/>
      <c r="L1644" s="26" t="str">
        <f>IF(OR(F1644 = "", G1644 = ""), "", IF(F1644 = "Vara", IFERROR(_xlfn.SINGLE(_xlfn.XLOOKUP(G1644, Vöruskrá!A:A, Vöruskrá!E:E, "")), ""), IF(F1644 = "Réttur", IFERROR(_xlfn.SINGLE(_xlfn.XLOOKUP(G1644, Réttabanki!A:A, Réttabanki!AS:AS, "")), ""), "")))</f>
        <v/>
      </c>
      <c r="M1644" s="26" t="str">
        <f>IF(OR(F1644 = "", G1644 = ""), "", IF(F1644 = "Vara", IFERROR(_xlfn.SINGLE(_xlfn.XLOOKUP(G1644, Vöruskrá!A:A, Vöruskrá!F:F, "")), ""), IF(F1644 = "Réttur", IFERROR(_xlfn.SINGLE(_xlfn.XLOOKUP(G1644, Réttabanki!A:A, Réttabanki!AT:AT, "")), ""), "")))</f>
        <v/>
      </c>
      <c r="N1644" s="26" t="str">
        <f>IF(OR(F1644 = "", G1644 = ""), "", IF(F1644 = "Vara", IFERROR(_xlfn.SINGLE(_xlfn.XLOOKUP(G1644, Vöruskrá!A:A, Vöruskrá!G:G, "")), ""), IF(F1644 = "Réttur", IFERROR(_xlfn.SINGLE(_xlfn.XLOOKUP(G1644, Réttabanki!A:A, Réttabanki!AU:AU, "")), ""), "")))</f>
        <v/>
      </c>
      <c r="O1644" s="26" t="str">
        <f>IF(OR(F1644 = "", G1644 = "", I1644 = ""), "", IF(F1644 = "Vara", IFERROR(_xlfn.SINGLE(_xlfn.XLOOKUP(G1644, Vöruskrá!A:A, Vöruskrá!I:I, "")) * I1644 / 100, ""), IF(F1644 = "Réttur", IFERROR(_xlfn.SINGLE(_xlfn.XLOOKUP(G1644, Réttabanki!A:A, Réttabanki!AV:AV, "")) * I1644 / 100, ""), "")))</f>
        <v/>
      </c>
      <c r="P1644" s="26" t="str">
        <f>IF(OR(F1644 = "", G1644 = "", I1644 = ""), "", IF(F1644 = "Vara", IFERROR(_xlfn.SINGLE(_xlfn.XLOOKUP(G1644, Vöruskrá!A:A, Vöruskrá!J:J, "")) * I1644 / 100, ""), IF(F1644 = "Réttur", IFERROR(_xlfn.SINGLE(_xlfn.XLOOKUP(G1644, Réttabanki!A:A, Réttabanki!AW:AW, "")) * I1644 / 100, ""), "")))</f>
        <v/>
      </c>
      <c r="Q1644" s="26" t="str">
        <f>IF(OR(F1644 = "", G1644 = "", I1644 = ""), "", IF(F1644 = "Vara", IFERROR(_xlfn.SINGLE(_xlfn.XLOOKUP(G1644, Vöruskrá!A:A, Vöruskrá!N:N, "")) * I1644 / 100, ""), IF(F1644 = "Réttur", IFERROR(_xlfn.SINGLE(_xlfn.XLOOKUP(G1644, Réttabanki!A:A, Réttabanki!BB:BB, "")) * I1644 / 100, ""), "")))</f>
        <v/>
      </c>
    </row>
    <row r="1645" spans="2:17">
      <c r="B1645" s="33" t="str">
        <f>IF(A1645&lt;&gt;"",CHOOSE(WEEKDAY(A1645,2),"Mánudagur","Þriðjudagur","Miðvikudagur","Fimmtudagur","Föstudagur","Laugardagur","Sunnudagur"),IF(B1644&lt;&gt;"",B1644,""))</f>
        <v>Fimmtudagur</v>
      </c>
      <c r="C1645" s="33">
        <f>IF(A1645&lt;&gt;"",WEEKNUM(A1645,21),IF(C1644&lt;&gt;"",C1644,""))</f>
        <v>27</v>
      </c>
      <c r="D1645" s="34"/>
      <c r="E1645" s="34"/>
      <c r="F1645" s="34"/>
      <c r="G1645" s="34"/>
      <c r="H1645" s="34"/>
      <c r="I1645" s="35"/>
      <c r="J1645" s="35"/>
      <c r="K1645" s="36"/>
      <c r="L1645" s="26" t="str">
        <f>IF(OR(F1645 = "", G1645 = ""), "", IF(F1645 = "Vara", IFERROR(_xlfn.SINGLE(_xlfn.XLOOKUP(G1645, Vöruskrá!A:A, Vöruskrá!E:E, "")), ""), IF(F1645 = "Réttur", IFERROR(_xlfn.SINGLE(_xlfn.XLOOKUP(G1645, Réttabanki!A:A, Réttabanki!AS:AS, "")), ""), "")))</f>
        <v/>
      </c>
      <c r="M1645" s="26" t="str">
        <f>IF(OR(F1645 = "", G1645 = ""), "", IF(F1645 = "Vara", IFERROR(_xlfn.SINGLE(_xlfn.XLOOKUP(G1645, Vöruskrá!A:A, Vöruskrá!F:F, "")), ""), IF(F1645 = "Réttur", IFERROR(_xlfn.SINGLE(_xlfn.XLOOKUP(G1645, Réttabanki!A:A, Réttabanki!AT:AT, "")), ""), "")))</f>
        <v/>
      </c>
      <c r="N1645" s="26" t="str">
        <f>IF(OR(F1645 = "", G1645 = ""), "", IF(F1645 = "Vara", IFERROR(_xlfn.SINGLE(_xlfn.XLOOKUP(G1645, Vöruskrá!A:A, Vöruskrá!G:G, "")), ""), IF(F1645 = "Réttur", IFERROR(_xlfn.SINGLE(_xlfn.XLOOKUP(G1645, Réttabanki!A:A, Réttabanki!AU:AU, "")), ""), "")))</f>
        <v/>
      </c>
      <c r="O1645" s="26" t="str">
        <f>IF(OR(F1645 = "", G1645 = "", I1645 = ""), "", IF(F1645 = "Vara", IFERROR(_xlfn.SINGLE(_xlfn.XLOOKUP(G1645, Vöruskrá!A:A, Vöruskrá!I:I, "")) * I1645 / 100, ""), IF(F1645 = "Réttur", IFERROR(_xlfn.SINGLE(_xlfn.XLOOKUP(G1645, Réttabanki!A:A, Réttabanki!AV:AV, "")) * I1645 / 100, ""), "")))</f>
        <v/>
      </c>
      <c r="P1645" s="26" t="str">
        <f>IF(OR(F1645 = "", G1645 = "", I1645 = ""), "", IF(F1645 = "Vara", IFERROR(_xlfn.SINGLE(_xlfn.XLOOKUP(G1645, Vöruskrá!A:A, Vöruskrá!J:J, "")) * I1645 / 100, ""), IF(F1645 = "Réttur", IFERROR(_xlfn.SINGLE(_xlfn.XLOOKUP(G1645, Réttabanki!A:A, Réttabanki!AW:AW, "")) * I1645 / 100, ""), "")))</f>
        <v/>
      </c>
      <c r="Q1645" s="26" t="str">
        <f>IF(OR(F1645 = "", G1645 = "", I1645 = ""), "", IF(F1645 = "Vara", IFERROR(_xlfn.SINGLE(_xlfn.XLOOKUP(G1645, Vöruskrá!A:A, Vöruskrá!N:N, "")) * I1645 / 100, ""), IF(F1645 = "Réttur", IFERROR(_xlfn.SINGLE(_xlfn.XLOOKUP(G1645, Réttabanki!A:A, Réttabanki!BB:BB, "")) * I1645 / 100, ""), "")))</f>
        <v/>
      </c>
    </row>
    <row r="1646" spans="2:17">
      <c r="B1646" s="33" t="str">
        <f>IF(A1646&lt;&gt;"",CHOOSE(WEEKDAY(A1646,2),"Mánudagur","Þriðjudagur","Miðvikudagur","Fimmtudagur","Föstudagur","Laugardagur","Sunnudagur"),IF(B1645&lt;&gt;"",B1645,""))</f>
        <v>Fimmtudagur</v>
      </c>
      <c r="C1646" s="33">
        <f>IF(A1646&lt;&gt;"",WEEKNUM(A1646,21),IF(C1645&lt;&gt;"",C1645,""))</f>
        <v>27</v>
      </c>
      <c r="D1646" s="34"/>
      <c r="E1646" s="34"/>
      <c r="F1646" s="34"/>
      <c r="G1646" s="34"/>
      <c r="H1646" s="34"/>
      <c r="I1646" s="35"/>
      <c r="J1646" s="35"/>
      <c r="K1646" s="36"/>
      <c r="L1646" s="26" t="str">
        <f>IF(OR(F1646 = "", G1646 = ""), "", IF(F1646 = "Vara", IFERROR(_xlfn.SINGLE(_xlfn.XLOOKUP(G1646, Vöruskrá!A:A, Vöruskrá!E:E, "")), ""), IF(F1646 = "Réttur", IFERROR(_xlfn.SINGLE(_xlfn.XLOOKUP(G1646, Réttabanki!A:A, Réttabanki!AS:AS, "")), ""), "")))</f>
        <v/>
      </c>
      <c r="M1646" s="26" t="str">
        <f>IF(OR(F1646 = "", G1646 = ""), "", IF(F1646 = "Vara", IFERROR(_xlfn.SINGLE(_xlfn.XLOOKUP(G1646, Vöruskrá!A:A, Vöruskrá!F:F, "")), ""), IF(F1646 = "Réttur", IFERROR(_xlfn.SINGLE(_xlfn.XLOOKUP(G1646, Réttabanki!A:A, Réttabanki!AT:AT, "")), ""), "")))</f>
        <v/>
      </c>
      <c r="N1646" s="26" t="str">
        <f>IF(OR(F1646 = "", G1646 = ""), "", IF(F1646 = "Vara", IFERROR(_xlfn.SINGLE(_xlfn.XLOOKUP(G1646, Vöruskrá!A:A, Vöruskrá!G:G, "")), ""), IF(F1646 = "Réttur", IFERROR(_xlfn.SINGLE(_xlfn.XLOOKUP(G1646, Réttabanki!A:A, Réttabanki!AU:AU, "")), ""), "")))</f>
        <v/>
      </c>
      <c r="O1646" s="26" t="str">
        <f>IF(OR(F1646 = "", G1646 = "", I1646 = ""), "", IF(F1646 = "Vara", IFERROR(_xlfn.SINGLE(_xlfn.XLOOKUP(G1646, Vöruskrá!A:A, Vöruskrá!I:I, "")) * I1646 / 100, ""), IF(F1646 = "Réttur", IFERROR(_xlfn.SINGLE(_xlfn.XLOOKUP(G1646, Réttabanki!A:A, Réttabanki!AV:AV, "")) * I1646 / 100, ""), "")))</f>
        <v/>
      </c>
      <c r="P1646" s="26" t="str">
        <f>IF(OR(F1646 = "", G1646 = "", I1646 = ""), "", IF(F1646 = "Vara", IFERROR(_xlfn.SINGLE(_xlfn.XLOOKUP(G1646, Vöruskrá!A:A, Vöruskrá!J:J, "")) * I1646 / 100, ""), IF(F1646 = "Réttur", IFERROR(_xlfn.SINGLE(_xlfn.XLOOKUP(G1646, Réttabanki!A:A, Réttabanki!AW:AW, "")) * I1646 / 100, ""), "")))</f>
        <v/>
      </c>
      <c r="Q1646" s="26" t="str">
        <f>IF(OR(F1646 = "", G1646 = "", I1646 = ""), "", IF(F1646 = "Vara", IFERROR(_xlfn.SINGLE(_xlfn.XLOOKUP(G1646, Vöruskrá!A:A, Vöruskrá!N:N, "")) * I1646 / 100, ""), IF(F1646 = "Réttur", IFERROR(_xlfn.SINGLE(_xlfn.XLOOKUP(G1646, Réttabanki!A:A, Réttabanki!BB:BB, "")) * I1646 / 100, ""), "")))</f>
        <v/>
      </c>
    </row>
    <row r="1647" spans="2:17">
      <c r="B1647" s="33" t="str">
        <f>IF(A1647&lt;&gt;"",CHOOSE(WEEKDAY(A1647,2),"Mánudagur","Þriðjudagur","Miðvikudagur","Fimmtudagur","Föstudagur","Laugardagur","Sunnudagur"),IF(B1646&lt;&gt;"",B1646,""))</f>
        <v>Fimmtudagur</v>
      </c>
      <c r="C1647" s="33">
        <f>IF(A1647&lt;&gt;"",WEEKNUM(A1647,21),IF(C1646&lt;&gt;"",C1646,""))</f>
        <v>27</v>
      </c>
      <c r="D1647" s="34"/>
      <c r="E1647" s="34"/>
      <c r="F1647" s="34"/>
      <c r="G1647" s="34"/>
      <c r="H1647" s="34"/>
      <c r="I1647" s="35"/>
      <c r="J1647" s="35"/>
      <c r="K1647" s="36"/>
      <c r="L1647" s="26" t="str">
        <f>IF(OR(F1647 = "", G1647 = ""), "", IF(F1647 = "Vara", IFERROR(_xlfn.SINGLE(_xlfn.XLOOKUP(G1647, Vöruskrá!A:A, Vöruskrá!E:E, "")), ""), IF(F1647 = "Réttur", IFERROR(_xlfn.SINGLE(_xlfn.XLOOKUP(G1647, Réttabanki!A:A, Réttabanki!AS:AS, "")), ""), "")))</f>
        <v/>
      </c>
      <c r="M1647" s="26" t="str">
        <f>IF(OR(F1647 = "", G1647 = ""), "", IF(F1647 = "Vara", IFERROR(_xlfn.SINGLE(_xlfn.XLOOKUP(G1647, Vöruskrá!A:A, Vöruskrá!F:F, "")), ""), IF(F1647 = "Réttur", IFERROR(_xlfn.SINGLE(_xlfn.XLOOKUP(G1647, Réttabanki!A:A, Réttabanki!AT:AT, "")), ""), "")))</f>
        <v/>
      </c>
      <c r="N1647" s="26" t="str">
        <f>IF(OR(F1647 = "", G1647 = ""), "", IF(F1647 = "Vara", IFERROR(_xlfn.SINGLE(_xlfn.XLOOKUP(G1647, Vöruskrá!A:A, Vöruskrá!G:G, "")), ""), IF(F1647 = "Réttur", IFERROR(_xlfn.SINGLE(_xlfn.XLOOKUP(G1647, Réttabanki!A:A, Réttabanki!AU:AU, "")), ""), "")))</f>
        <v/>
      </c>
      <c r="O1647" s="26" t="str">
        <f>IF(OR(F1647 = "", G1647 = "", I1647 = ""), "", IF(F1647 = "Vara", IFERROR(_xlfn.SINGLE(_xlfn.XLOOKUP(G1647, Vöruskrá!A:A, Vöruskrá!I:I, "")) * I1647 / 100, ""), IF(F1647 = "Réttur", IFERROR(_xlfn.SINGLE(_xlfn.XLOOKUP(G1647, Réttabanki!A:A, Réttabanki!AV:AV, "")) * I1647 / 100, ""), "")))</f>
        <v/>
      </c>
      <c r="P1647" s="26" t="str">
        <f>IF(OR(F1647 = "", G1647 = "", I1647 = ""), "", IF(F1647 = "Vara", IFERROR(_xlfn.SINGLE(_xlfn.XLOOKUP(G1647, Vöruskrá!A:A, Vöruskrá!J:J, "")) * I1647 / 100, ""), IF(F1647 = "Réttur", IFERROR(_xlfn.SINGLE(_xlfn.XLOOKUP(G1647, Réttabanki!A:A, Réttabanki!AW:AW, "")) * I1647 / 100, ""), "")))</f>
        <v/>
      </c>
      <c r="Q1647" s="26" t="str">
        <f>IF(OR(F1647 = "", G1647 = "", I1647 = ""), "", IF(F1647 = "Vara", IFERROR(_xlfn.SINGLE(_xlfn.XLOOKUP(G1647, Vöruskrá!A:A, Vöruskrá!N:N, "")) * I1647 / 100, ""), IF(F1647 = "Réttur", IFERROR(_xlfn.SINGLE(_xlfn.XLOOKUP(G1647, Réttabanki!A:A, Réttabanki!BB:BB, "")) * I1647 / 100, ""), "")))</f>
        <v/>
      </c>
    </row>
    <row r="1648" spans="2:17">
      <c r="B1648" s="33" t="str">
        <f>IF(A1648&lt;&gt;"",CHOOSE(WEEKDAY(A1648,2),"Mánudagur","Þriðjudagur","Miðvikudagur","Fimmtudagur","Föstudagur","Laugardagur","Sunnudagur"),IF(B1647&lt;&gt;"",B1647,""))</f>
        <v>Fimmtudagur</v>
      </c>
      <c r="C1648" s="33">
        <f>IF(A1648&lt;&gt;"",WEEKNUM(A1648,21),IF(C1647&lt;&gt;"",C1647,""))</f>
        <v>27</v>
      </c>
      <c r="D1648" s="34"/>
      <c r="E1648" s="34"/>
      <c r="F1648" s="34"/>
      <c r="G1648" s="34"/>
      <c r="H1648" s="34"/>
      <c r="I1648" s="35"/>
      <c r="J1648" s="35"/>
      <c r="K1648" s="36"/>
      <c r="L1648" s="26" t="str">
        <f>IF(OR(F1648 = "", G1648 = ""), "", IF(F1648 = "Vara", IFERROR(_xlfn.SINGLE(_xlfn.XLOOKUP(G1648, Vöruskrá!A:A, Vöruskrá!E:E, "")), ""), IF(F1648 = "Réttur", IFERROR(_xlfn.SINGLE(_xlfn.XLOOKUP(G1648, Réttabanki!A:A, Réttabanki!AS:AS, "")), ""), "")))</f>
        <v/>
      </c>
      <c r="M1648" s="26" t="str">
        <f>IF(OR(F1648 = "", G1648 = ""), "", IF(F1648 = "Vara", IFERROR(_xlfn.SINGLE(_xlfn.XLOOKUP(G1648, Vöruskrá!A:A, Vöruskrá!F:F, "")), ""), IF(F1648 = "Réttur", IFERROR(_xlfn.SINGLE(_xlfn.XLOOKUP(G1648, Réttabanki!A:A, Réttabanki!AT:AT, "")), ""), "")))</f>
        <v/>
      </c>
      <c r="N1648" s="26" t="str">
        <f>IF(OR(F1648 = "", G1648 = ""), "", IF(F1648 = "Vara", IFERROR(_xlfn.SINGLE(_xlfn.XLOOKUP(G1648, Vöruskrá!A:A, Vöruskrá!G:G, "")), ""), IF(F1648 = "Réttur", IFERROR(_xlfn.SINGLE(_xlfn.XLOOKUP(G1648, Réttabanki!A:A, Réttabanki!AU:AU, "")), ""), "")))</f>
        <v/>
      </c>
      <c r="O1648" s="26" t="str">
        <f>IF(OR(F1648 = "", G1648 = "", I1648 = ""), "", IF(F1648 = "Vara", IFERROR(_xlfn.SINGLE(_xlfn.XLOOKUP(G1648, Vöruskrá!A:A, Vöruskrá!I:I, "")) * I1648 / 100, ""), IF(F1648 = "Réttur", IFERROR(_xlfn.SINGLE(_xlfn.XLOOKUP(G1648, Réttabanki!A:A, Réttabanki!AV:AV, "")) * I1648 / 100, ""), "")))</f>
        <v/>
      </c>
      <c r="P1648" s="26" t="str">
        <f>IF(OR(F1648 = "", G1648 = "", I1648 = ""), "", IF(F1648 = "Vara", IFERROR(_xlfn.SINGLE(_xlfn.XLOOKUP(G1648, Vöruskrá!A:A, Vöruskrá!J:J, "")) * I1648 / 100, ""), IF(F1648 = "Réttur", IFERROR(_xlfn.SINGLE(_xlfn.XLOOKUP(G1648, Réttabanki!A:A, Réttabanki!AW:AW, "")) * I1648 / 100, ""), "")))</f>
        <v/>
      </c>
      <c r="Q1648" s="26" t="str">
        <f>IF(OR(F1648 = "", G1648 = "", I1648 = ""), "", IF(F1648 = "Vara", IFERROR(_xlfn.SINGLE(_xlfn.XLOOKUP(G1648, Vöruskrá!A:A, Vöruskrá!N:N, "")) * I1648 / 100, ""), IF(F1648 = "Réttur", IFERROR(_xlfn.SINGLE(_xlfn.XLOOKUP(G1648, Réttabanki!A:A, Réttabanki!BB:BB, "")) * I1648 / 100, ""), "")))</f>
        <v/>
      </c>
    </row>
    <row r="1649" spans="2:17">
      <c r="B1649" s="33" t="str">
        <f>IF(A1649&lt;&gt;"",CHOOSE(WEEKDAY(A1649,2),"Mánudagur","Þriðjudagur","Miðvikudagur","Fimmtudagur","Föstudagur","Laugardagur","Sunnudagur"),IF(B1648&lt;&gt;"",B1648,""))</f>
        <v>Fimmtudagur</v>
      </c>
      <c r="C1649" s="33">
        <f>IF(A1649&lt;&gt;"",WEEKNUM(A1649,21),IF(C1648&lt;&gt;"",C1648,""))</f>
        <v>27</v>
      </c>
      <c r="D1649" s="34"/>
      <c r="E1649" s="34"/>
      <c r="F1649" s="34"/>
      <c r="G1649" s="34"/>
      <c r="H1649" s="34"/>
      <c r="I1649" s="35"/>
      <c r="J1649" s="35"/>
      <c r="K1649" s="36"/>
      <c r="L1649" s="26" t="str">
        <f>IF(OR(F1649 = "", G1649 = ""), "", IF(F1649 = "Vara", IFERROR(_xlfn.SINGLE(_xlfn.XLOOKUP(G1649, Vöruskrá!A:A, Vöruskrá!E:E, "")), ""), IF(F1649 = "Réttur", IFERROR(_xlfn.SINGLE(_xlfn.XLOOKUP(G1649, Réttabanki!A:A, Réttabanki!AS:AS, "")), ""), "")))</f>
        <v/>
      </c>
      <c r="M1649" s="26" t="str">
        <f>IF(OR(F1649 = "", G1649 = ""), "", IF(F1649 = "Vara", IFERROR(_xlfn.SINGLE(_xlfn.XLOOKUP(G1649, Vöruskrá!A:A, Vöruskrá!F:F, "")), ""), IF(F1649 = "Réttur", IFERROR(_xlfn.SINGLE(_xlfn.XLOOKUP(G1649, Réttabanki!A:A, Réttabanki!AT:AT, "")), ""), "")))</f>
        <v/>
      </c>
      <c r="N1649" s="26" t="str">
        <f>IF(OR(F1649 = "", G1649 = ""), "", IF(F1649 = "Vara", IFERROR(_xlfn.SINGLE(_xlfn.XLOOKUP(G1649, Vöruskrá!A:A, Vöruskrá!G:G, "")), ""), IF(F1649 = "Réttur", IFERROR(_xlfn.SINGLE(_xlfn.XLOOKUP(G1649, Réttabanki!A:A, Réttabanki!AU:AU, "")), ""), "")))</f>
        <v/>
      </c>
      <c r="O1649" s="26" t="str">
        <f>IF(OR(F1649 = "", G1649 = "", I1649 = ""), "", IF(F1649 = "Vara", IFERROR(_xlfn.SINGLE(_xlfn.XLOOKUP(G1649, Vöruskrá!A:A, Vöruskrá!I:I, "")) * I1649 / 100, ""), IF(F1649 = "Réttur", IFERROR(_xlfn.SINGLE(_xlfn.XLOOKUP(G1649, Réttabanki!A:A, Réttabanki!AV:AV, "")) * I1649 / 100, ""), "")))</f>
        <v/>
      </c>
      <c r="P1649" s="26" t="str">
        <f>IF(OR(F1649 = "", G1649 = "", I1649 = ""), "", IF(F1649 = "Vara", IFERROR(_xlfn.SINGLE(_xlfn.XLOOKUP(G1649, Vöruskrá!A:A, Vöruskrá!J:J, "")) * I1649 / 100, ""), IF(F1649 = "Réttur", IFERROR(_xlfn.SINGLE(_xlfn.XLOOKUP(G1649, Réttabanki!A:A, Réttabanki!AW:AW, "")) * I1649 / 100, ""), "")))</f>
        <v/>
      </c>
      <c r="Q1649" s="26" t="str">
        <f>IF(OR(F1649 = "", G1649 = "", I1649 = ""), "", IF(F1649 = "Vara", IFERROR(_xlfn.SINGLE(_xlfn.XLOOKUP(G1649, Vöruskrá!A:A, Vöruskrá!N:N, "")) * I1649 / 100, ""), IF(F1649 = "Réttur", IFERROR(_xlfn.SINGLE(_xlfn.XLOOKUP(G1649, Réttabanki!A:A, Réttabanki!BB:BB, "")) * I1649 / 100, ""), "")))</f>
        <v/>
      </c>
    </row>
    <row r="1650" spans="2:17">
      <c r="B1650" s="33" t="str">
        <f>IF(A1650&lt;&gt;"",CHOOSE(WEEKDAY(A1650,2),"Mánudagur","Þriðjudagur","Miðvikudagur","Fimmtudagur","Föstudagur","Laugardagur","Sunnudagur"),IF(B1649&lt;&gt;"",B1649,""))</f>
        <v>Fimmtudagur</v>
      </c>
      <c r="C1650" s="33">
        <f>IF(A1650&lt;&gt;"",WEEKNUM(A1650,21),IF(C1649&lt;&gt;"",C1649,""))</f>
        <v>27</v>
      </c>
      <c r="D1650" s="34"/>
      <c r="E1650" s="34"/>
      <c r="F1650" s="34"/>
      <c r="G1650" s="34"/>
      <c r="H1650" s="34"/>
      <c r="I1650" s="35"/>
      <c r="J1650" s="35"/>
      <c r="K1650" s="36"/>
      <c r="L1650" s="26" t="str">
        <f>IF(OR(F1650 = "", G1650 = ""), "", IF(F1650 = "Vara", IFERROR(_xlfn.SINGLE(_xlfn.XLOOKUP(G1650, Vöruskrá!A:A, Vöruskrá!E:E, "")), ""), IF(F1650 = "Réttur", IFERROR(_xlfn.SINGLE(_xlfn.XLOOKUP(G1650, Réttabanki!A:A, Réttabanki!AS:AS, "")), ""), "")))</f>
        <v/>
      </c>
      <c r="M1650" s="26" t="str">
        <f>IF(OR(F1650 = "", G1650 = ""), "", IF(F1650 = "Vara", IFERROR(_xlfn.SINGLE(_xlfn.XLOOKUP(G1650, Vöruskrá!A:A, Vöruskrá!F:F, "")), ""), IF(F1650 = "Réttur", IFERROR(_xlfn.SINGLE(_xlfn.XLOOKUP(G1650, Réttabanki!A:A, Réttabanki!AT:AT, "")), ""), "")))</f>
        <v/>
      </c>
      <c r="N1650" s="26" t="str">
        <f>IF(OR(F1650 = "", G1650 = ""), "", IF(F1650 = "Vara", IFERROR(_xlfn.SINGLE(_xlfn.XLOOKUP(G1650, Vöruskrá!A:A, Vöruskrá!G:G, "")), ""), IF(F1650 = "Réttur", IFERROR(_xlfn.SINGLE(_xlfn.XLOOKUP(G1650, Réttabanki!A:A, Réttabanki!AU:AU, "")), ""), "")))</f>
        <v/>
      </c>
      <c r="O1650" s="26" t="str">
        <f>IF(OR(F1650 = "", G1650 = "", I1650 = ""), "", IF(F1650 = "Vara", IFERROR(_xlfn.SINGLE(_xlfn.XLOOKUP(G1650, Vöruskrá!A:A, Vöruskrá!I:I, "")) * I1650 / 100, ""), IF(F1650 = "Réttur", IFERROR(_xlfn.SINGLE(_xlfn.XLOOKUP(G1650, Réttabanki!A:A, Réttabanki!AV:AV, "")) * I1650 / 100, ""), "")))</f>
        <v/>
      </c>
      <c r="P1650" s="26" t="str">
        <f>IF(OR(F1650 = "", G1650 = "", I1650 = ""), "", IF(F1650 = "Vara", IFERROR(_xlfn.SINGLE(_xlfn.XLOOKUP(G1650, Vöruskrá!A:A, Vöruskrá!J:J, "")) * I1650 / 100, ""), IF(F1650 = "Réttur", IFERROR(_xlfn.SINGLE(_xlfn.XLOOKUP(G1650, Réttabanki!A:A, Réttabanki!AW:AW, "")) * I1650 / 100, ""), "")))</f>
        <v/>
      </c>
      <c r="Q1650" s="26" t="str">
        <f>IF(OR(F1650 = "", G1650 = "", I1650 = ""), "", IF(F1650 = "Vara", IFERROR(_xlfn.SINGLE(_xlfn.XLOOKUP(G1650, Vöruskrá!A:A, Vöruskrá!N:N, "")) * I1650 / 100, ""), IF(F1650 = "Réttur", IFERROR(_xlfn.SINGLE(_xlfn.XLOOKUP(G1650, Réttabanki!A:A, Réttabanki!BB:BB, "")) * I1650 / 100, ""), "")))</f>
        <v/>
      </c>
    </row>
    <row r="1651" spans="2:17">
      <c r="B1651" s="33" t="str">
        <f>IF(A1651&lt;&gt;"",CHOOSE(WEEKDAY(A1651,2),"Mánudagur","Þriðjudagur","Miðvikudagur","Fimmtudagur","Föstudagur","Laugardagur","Sunnudagur"),IF(B1650&lt;&gt;"",B1650,""))</f>
        <v>Fimmtudagur</v>
      </c>
      <c r="C1651" s="33">
        <f>IF(A1651&lt;&gt;"",WEEKNUM(A1651,21),IF(C1650&lt;&gt;"",C1650,""))</f>
        <v>27</v>
      </c>
      <c r="D1651" s="34"/>
      <c r="E1651" s="34"/>
      <c r="F1651" s="34"/>
      <c r="G1651" s="34"/>
      <c r="H1651" s="34"/>
      <c r="I1651" s="35"/>
      <c r="J1651" s="35"/>
      <c r="K1651" s="36"/>
      <c r="L1651" s="26" t="str">
        <f>IF(OR(F1651 = "", G1651 = ""), "", IF(F1651 = "Vara", IFERROR(_xlfn.SINGLE(_xlfn.XLOOKUP(G1651, Vöruskrá!A:A, Vöruskrá!E:E, "")), ""), IF(F1651 = "Réttur", IFERROR(_xlfn.SINGLE(_xlfn.XLOOKUP(G1651, Réttabanki!A:A, Réttabanki!AS:AS, "")), ""), "")))</f>
        <v/>
      </c>
      <c r="M1651" s="26" t="str">
        <f>IF(OR(F1651 = "", G1651 = ""), "", IF(F1651 = "Vara", IFERROR(_xlfn.SINGLE(_xlfn.XLOOKUP(G1651, Vöruskrá!A:A, Vöruskrá!F:F, "")), ""), IF(F1651 = "Réttur", IFERROR(_xlfn.SINGLE(_xlfn.XLOOKUP(G1651, Réttabanki!A:A, Réttabanki!AT:AT, "")), ""), "")))</f>
        <v/>
      </c>
      <c r="N1651" s="26" t="str">
        <f>IF(OR(F1651 = "", G1651 = ""), "", IF(F1651 = "Vara", IFERROR(_xlfn.SINGLE(_xlfn.XLOOKUP(G1651, Vöruskrá!A:A, Vöruskrá!G:G, "")), ""), IF(F1651 = "Réttur", IFERROR(_xlfn.SINGLE(_xlfn.XLOOKUP(G1651, Réttabanki!A:A, Réttabanki!AU:AU, "")), ""), "")))</f>
        <v/>
      </c>
      <c r="O1651" s="26" t="str">
        <f>IF(OR(F1651 = "", G1651 = "", I1651 = ""), "", IF(F1651 = "Vara", IFERROR(_xlfn.SINGLE(_xlfn.XLOOKUP(G1651, Vöruskrá!A:A, Vöruskrá!I:I, "")) * I1651 / 100, ""), IF(F1651 = "Réttur", IFERROR(_xlfn.SINGLE(_xlfn.XLOOKUP(G1651, Réttabanki!A:A, Réttabanki!AV:AV, "")) * I1651 / 100, ""), "")))</f>
        <v/>
      </c>
      <c r="P1651" s="26" t="str">
        <f>IF(OR(F1651 = "", G1651 = "", I1651 = ""), "", IF(F1651 = "Vara", IFERROR(_xlfn.SINGLE(_xlfn.XLOOKUP(G1651, Vöruskrá!A:A, Vöruskrá!J:J, "")) * I1651 / 100, ""), IF(F1651 = "Réttur", IFERROR(_xlfn.SINGLE(_xlfn.XLOOKUP(G1651, Réttabanki!A:A, Réttabanki!AW:AW, "")) * I1651 / 100, ""), "")))</f>
        <v/>
      </c>
      <c r="Q1651" s="26" t="str">
        <f>IF(OR(F1651 = "", G1651 = "", I1651 = ""), "", IF(F1651 = "Vara", IFERROR(_xlfn.SINGLE(_xlfn.XLOOKUP(G1651, Vöruskrá!A:A, Vöruskrá!N:N, "")) * I1651 / 100, ""), IF(F1651 = "Réttur", IFERROR(_xlfn.SINGLE(_xlfn.XLOOKUP(G1651, Réttabanki!A:A, Réttabanki!BB:BB, "")) * I1651 / 100, ""), "")))</f>
        <v/>
      </c>
    </row>
    <row r="1652" spans="2:17">
      <c r="B1652" s="33" t="str">
        <f>IF(A1652&lt;&gt;"",CHOOSE(WEEKDAY(A1652,2),"Mánudagur","Þriðjudagur","Miðvikudagur","Fimmtudagur","Föstudagur","Laugardagur","Sunnudagur"),IF(B1651&lt;&gt;"",B1651,""))</f>
        <v>Fimmtudagur</v>
      </c>
      <c r="C1652" s="33">
        <f>IF(A1652&lt;&gt;"",WEEKNUM(A1652,21),IF(C1651&lt;&gt;"",C1651,""))</f>
        <v>27</v>
      </c>
      <c r="D1652" s="34"/>
      <c r="E1652" s="34"/>
      <c r="F1652" s="34"/>
      <c r="G1652" s="34"/>
      <c r="H1652" s="34"/>
      <c r="I1652" s="35"/>
      <c r="J1652" s="35"/>
      <c r="K1652" s="36"/>
      <c r="L1652" s="26" t="str">
        <f>IF(OR(F1652 = "", G1652 = ""), "", IF(F1652 = "Vara", IFERROR(_xlfn.SINGLE(_xlfn.XLOOKUP(G1652, Vöruskrá!A:A, Vöruskrá!E:E, "")), ""), IF(F1652 = "Réttur", IFERROR(_xlfn.SINGLE(_xlfn.XLOOKUP(G1652, Réttabanki!A:A, Réttabanki!AS:AS, "")), ""), "")))</f>
        <v/>
      </c>
      <c r="M1652" s="26" t="str">
        <f>IF(OR(F1652 = "", G1652 = ""), "", IF(F1652 = "Vara", IFERROR(_xlfn.SINGLE(_xlfn.XLOOKUP(G1652, Vöruskrá!A:A, Vöruskrá!F:F, "")), ""), IF(F1652 = "Réttur", IFERROR(_xlfn.SINGLE(_xlfn.XLOOKUP(G1652, Réttabanki!A:A, Réttabanki!AT:AT, "")), ""), "")))</f>
        <v/>
      </c>
      <c r="N1652" s="26" t="str">
        <f>IF(OR(F1652 = "", G1652 = ""), "", IF(F1652 = "Vara", IFERROR(_xlfn.SINGLE(_xlfn.XLOOKUP(G1652, Vöruskrá!A:A, Vöruskrá!G:G, "")), ""), IF(F1652 = "Réttur", IFERROR(_xlfn.SINGLE(_xlfn.XLOOKUP(G1652, Réttabanki!A:A, Réttabanki!AU:AU, "")), ""), "")))</f>
        <v/>
      </c>
      <c r="O1652" s="26" t="str">
        <f>IF(OR(F1652 = "", G1652 = "", I1652 = ""), "", IF(F1652 = "Vara", IFERROR(_xlfn.SINGLE(_xlfn.XLOOKUP(G1652, Vöruskrá!A:A, Vöruskrá!I:I, "")) * I1652 / 100, ""), IF(F1652 = "Réttur", IFERROR(_xlfn.SINGLE(_xlfn.XLOOKUP(G1652, Réttabanki!A:A, Réttabanki!AV:AV, "")) * I1652 / 100, ""), "")))</f>
        <v/>
      </c>
      <c r="P1652" s="26" t="str">
        <f>IF(OR(F1652 = "", G1652 = "", I1652 = ""), "", IF(F1652 = "Vara", IFERROR(_xlfn.SINGLE(_xlfn.XLOOKUP(G1652, Vöruskrá!A:A, Vöruskrá!J:J, "")) * I1652 / 100, ""), IF(F1652 = "Réttur", IFERROR(_xlfn.SINGLE(_xlfn.XLOOKUP(G1652, Réttabanki!A:A, Réttabanki!AW:AW, "")) * I1652 / 100, ""), "")))</f>
        <v/>
      </c>
      <c r="Q1652" s="26" t="str">
        <f>IF(OR(F1652 = "", G1652 = "", I1652 = ""), "", IF(F1652 = "Vara", IFERROR(_xlfn.SINGLE(_xlfn.XLOOKUP(G1652, Vöruskrá!A:A, Vöruskrá!N:N, "")) * I1652 / 100, ""), IF(F1652 = "Réttur", IFERROR(_xlfn.SINGLE(_xlfn.XLOOKUP(G1652, Réttabanki!A:A, Réttabanki!BB:BB, "")) * I1652 / 100, ""), "")))</f>
        <v/>
      </c>
    </row>
    <row r="1653" spans="2:17">
      <c r="B1653" s="33" t="str">
        <f>IF(A1653&lt;&gt;"",CHOOSE(WEEKDAY(A1653,2),"Mánudagur","Þriðjudagur","Miðvikudagur","Fimmtudagur","Föstudagur","Laugardagur","Sunnudagur"),IF(B1652&lt;&gt;"",B1652,""))</f>
        <v>Fimmtudagur</v>
      </c>
      <c r="C1653" s="33">
        <f>IF(A1653&lt;&gt;"",WEEKNUM(A1653,21),IF(C1652&lt;&gt;"",C1652,""))</f>
        <v>27</v>
      </c>
      <c r="D1653" s="34"/>
      <c r="E1653" s="34"/>
      <c r="F1653" s="34"/>
      <c r="G1653" s="34"/>
      <c r="H1653" s="34"/>
      <c r="I1653" s="35"/>
      <c r="J1653" s="35"/>
      <c r="K1653" s="36"/>
      <c r="L1653" s="26" t="str">
        <f>IF(OR(F1653 = "", G1653 = ""), "", IF(F1653 = "Vara", IFERROR(_xlfn.SINGLE(_xlfn.XLOOKUP(G1653, Vöruskrá!A:A, Vöruskrá!E:E, "")), ""), IF(F1653 = "Réttur", IFERROR(_xlfn.SINGLE(_xlfn.XLOOKUP(G1653, Réttabanki!A:A, Réttabanki!AS:AS, "")), ""), "")))</f>
        <v/>
      </c>
      <c r="M1653" s="26" t="str">
        <f>IF(OR(F1653 = "", G1653 = ""), "", IF(F1653 = "Vara", IFERROR(_xlfn.SINGLE(_xlfn.XLOOKUP(G1653, Vöruskrá!A:A, Vöruskrá!F:F, "")), ""), IF(F1653 = "Réttur", IFERROR(_xlfn.SINGLE(_xlfn.XLOOKUP(G1653, Réttabanki!A:A, Réttabanki!AT:AT, "")), ""), "")))</f>
        <v/>
      </c>
      <c r="N1653" s="26" t="str">
        <f>IF(OR(F1653 = "", G1653 = ""), "", IF(F1653 = "Vara", IFERROR(_xlfn.SINGLE(_xlfn.XLOOKUP(G1653, Vöruskrá!A:A, Vöruskrá!G:G, "")), ""), IF(F1653 = "Réttur", IFERROR(_xlfn.SINGLE(_xlfn.XLOOKUP(G1653, Réttabanki!A:A, Réttabanki!AU:AU, "")), ""), "")))</f>
        <v/>
      </c>
      <c r="O1653" s="26" t="str">
        <f>IF(OR(F1653 = "", G1653 = "", I1653 = ""), "", IF(F1653 = "Vara", IFERROR(_xlfn.SINGLE(_xlfn.XLOOKUP(G1653, Vöruskrá!A:A, Vöruskrá!I:I, "")) * I1653 / 100, ""), IF(F1653 = "Réttur", IFERROR(_xlfn.SINGLE(_xlfn.XLOOKUP(G1653, Réttabanki!A:A, Réttabanki!AV:AV, "")) * I1653 / 100, ""), "")))</f>
        <v/>
      </c>
      <c r="P1653" s="26" t="str">
        <f>IF(OR(F1653 = "", G1653 = "", I1653 = ""), "", IF(F1653 = "Vara", IFERROR(_xlfn.SINGLE(_xlfn.XLOOKUP(G1653, Vöruskrá!A:A, Vöruskrá!J:J, "")) * I1653 / 100, ""), IF(F1653 = "Réttur", IFERROR(_xlfn.SINGLE(_xlfn.XLOOKUP(G1653, Réttabanki!A:A, Réttabanki!AW:AW, "")) * I1653 / 100, ""), "")))</f>
        <v/>
      </c>
      <c r="Q1653" s="26" t="str">
        <f>IF(OR(F1653 = "", G1653 = "", I1653 = ""), "", IF(F1653 = "Vara", IFERROR(_xlfn.SINGLE(_xlfn.XLOOKUP(G1653, Vöruskrá!A:A, Vöruskrá!N:N, "")) * I1653 / 100, ""), IF(F1653 = "Réttur", IFERROR(_xlfn.SINGLE(_xlfn.XLOOKUP(G1653, Réttabanki!A:A, Réttabanki!BB:BB, "")) * I1653 / 100, ""), "")))</f>
        <v/>
      </c>
    </row>
    <row r="1654" spans="2:17">
      <c r="B1654" s="33" t="str">
        <f>IF(A1654&lt;&gt;"",CHOOSE(WEEKDAY(A1654,2),"Mánudagur","Þriðjudagur","Miðvikudagur","Fimmtudagur","Föstudagur","Laugardagur","Sunnudagur"),IF(B1653&lt;&gt;"",B1653,""))</f>
        <v>Fimmtudagur</v>
      </c>
      <c r="C1654" s="33">
        <f>IF(A1654&lt;&gt;"",WEEKNUM(A1654,21),IF(C1653&lt;&gt;"",C1653,""))</f>
        <v>27</v>
      </c>
      <c r="D1654" s="34"/>
      <c r="E1654" s="34"/>
      <c r="F1654" s="34"/>
      <c r="G1654" s="34"/>
      <c r="H1654" s="34"/>
      <c r="I1654" s="35"/>
      <c r="J1654" s="35"/>
      <c r="K1654" s="36"/>
      <c r="L1654" s="26" t="str">
        <f>IF(OR(F1654 = "", G1654 = ""), "", IF(F1654 = "Vara", IFERROR(_xlfn.SINGLE(_xlfn.XLOOKUP(G1654, Vöruskrá!A:A, Vöruskrá!E:E, "")), ""), IF(F1654 = "Réttur", IFERROR(_xlfn.SINGLE(_xlfn.XLOOKUP(G1654, Réttabanki!A:A, Réttabanki!AS:AS, "")), ""), "")))</f>
        <v/>
      </c>
      <c r="M1654" s="26" t="str">
        <f>IF(OR(F1654 = "", G1654 = ""), "", IF(F1654 = "Vara", IFERROR(_xlfn.SINGLE(_xlfn.XLOOKUP(G1654, Vöruskrá!A:A, Vöruskrá!F:F, "")), ""), IF(F1654 = "Réttur", IFERROR(_xlfn.SINGLE(_xlfn.XLOOKUP(G1654, Réttabanki!A:A, Réttabanki!AT:AT, "")), ""), "")))</f>
        <v/>
      </c>
      <c r="N1654" s="26" t="str">
        <f>IF(OR(F1654 = "", G1654 = ""), "", IF(F1654 = "Vara", IFERROR(_xlfn.SINGLE(_xlfn.XLOOKUP(G1654, Vöruskrá!A:A, Vöruskrá!G:G, "")), ""), IF(F1654 = "Réttur", IFERROR(_xlfn.SINGLE(_xlfn.XLOOKUP(G1654, Réttabanki!A:A, Réttabanki!AU:AU, "")), ""), "")))</f>
        <v/>
      </c>
      <c r="O1654" s="26" t="str">
        <f>IF(OR(F1654 = "", G1654 = "", I1654 = ""), "", IF(F1654 = "Vara", IFERROR(_xlfn.SINGLE(_xlfn.XLOOKUP(G1654, Vöruskrá!A:A, Vöruskrá!I:I, "")) * I1654 / 100, ""), IF(F1654 = "Réttur", IFERROR(_xlfn.SINGLE(_xlfn.XLOOKUP(G1654, Réttabanki!A:A, Réttabanki!AV:AV, "")) * I1654 / 100, ""), "")))</f>
        <v/>
      </c>
      <c r="P1654" s="26" t="str">
        <f>IF(OR(F1654 = "", G1654 = "", I1654 = ""), "", IF(F1654 = "Vara", IFERROR(_xlfn.SINGLE(_xlfn.XLOOKUP(G1654, Vöruskrá!A:A, Vöruskrá!J:J, "")) * I1654 / 100, ""), IF(F1654 = "Réttur", IFERROR(_xlfn.SINGLE(_xlfn.XLOOKUP(G1654, Réttabanki!A:A, Réttabanki!AW:AW, "")) * I1654 / 100, ""), "")))</f>
        <v/>
      </c>
      <c r="Q1654" s="26" t="str">
        <f>IF(OR(F1654 = "", G1654 = "", I1654 = ""), "", IF(F1654 = "Vara", IFERROR(_xlfn.SINGLE(_xlfn.XLOOKUP(G1654, Vöruskrá!A:A, Vöruskrá!N:N, "")) * I1654 / 100, ""), IF(F1654 = "Réttur", IFERROR(_xlfn.SINGLE(_xlfn.XLOOKUP(G1654, Réttabanki!A:A, Réttabanki!BB:BB, "")) * I1654 / 100, ""), "")))</f>
        <v/>
      </c>
    </row>
    <row r="1655" spans="2:17">
      <c r="B1655" s="33" t="str">
        <f>IF(A1655&lt;&gt;"",CHOOSE(WEEKDAY(A1655,2),"Mánudagur","Þriðjudagur","Miðvikudagur","Fimmtudagur","Föstudagur","Laugardagur","Sunnudagur"),IF(B1654&lt;&gt;"",B1654,""))</f>
        <v>Fimmtudagur</v>
      </c>
      <c r="C1655" s="33">
        <f>IF(A1655&lt;&gt;"",WEEKNUM(A1655,21),IF(C1654&lt;&gt;"",C1654,""))</f>
        <v>27</v>
      </c>
      <c r="D1655" s="34"/>
      <c r="E1655" s="34"/>
      <c r="F1655" s="34"/>
      <c r="G1655" s="34"/>
      <c r="H1655" s="34"/>
      <c r="I1655" s="35"/>
      <c r="J1655" s="35"/>
      <c r="K1655" s="36"/>
      <c r="L1655" s="26" t="str">
        <f>IF(OR(F1655 = "", G1655 = ""), "", IF(F1655 = "Vara", IFERROR(_xlfn.SINGLE(_xlfn.XLOOKUP(G1655, Vöruskrá!A:A, Vöruskrá!E:E, "")), ""), IF(F1655 = "Réttur", IFERROR(_xlfn.SINGLE(_xlfn.XLOOKUP(G1655, Réttabanki!A:A, Réttabanki!AS:AS, "")), ""), "")))</f>
        <v/>
      </c>
      <c r="M1655" s="26" t="str">
        <f>IF(OR(F1655 = "", G1655 = ""), "", IF(F1655 = "Vara", IFERROR(_xlfn.SINGLE(_xlfn.XLOOKUP(G1655, Vöruskrá!A:A, Vöruskrá!F:F, "")), ""), IF(F1655 = "Réttur", IFERROR(_xlfn.SINGLE(_xlfn.XLOOKUP(G1655, Réttabanki!A:A, Réttabanki!AT:AT, "")), ""), "")))</f>
        <v/>
      </c>
      <c r="N1655" s="26" t="str">
        <f>IF(OR(F1655 = "", G1655 = ""), "", IF(F1655 = "Vara", IFERROR(_xlfn.SINGLE(_xlfn.XLOOKUP(G1655, Vöruskrá!A:A, Vöruskrá!G:G, "")), ""), IF(F1655 = "Réttur", IFERROR(_xlfn.SINGLE(_xlfn.XLOOKUP(G1655, Réttabanki!A:A, Réttabanki!AU:AU, "")), ""), "")))</f>
        <v/>
      </c>
      <c r="O1655" s="26" t="str">
        <f>IF(OR(F1655 = "", G1655 = "", I1655 = ""), "", IF(F1655 = "Vara", IFERROR(_xlfn.SINGLE(_xlfn.XLOOKUP(G1655, Vöruskrá!A:A, Vöruskrá!I:I, "")) * I1655 / 100, ""), IF(F1655 = "Réttur", IFERROR(_xlfn.SINGLE(_xlfn.XLOOKUP(G1655, Réttabanki!A:A, Réttabanki!AV:AV, "")) * I1655 / 100, ""), "")))</f>
        <v/>
      </c>
      <c r="P1655" s="26" t="str">
        <f>IF(OR(F1655 = "", G1655 = "", I1655 = ""), "", IF(F1655 = "Vara", IFERROR(_xlfn.SINGLE(_xlfn.XLOOKUP(G1655, Vöruskrá!A:A, Vöruskrá!J:J, "")) * I1655 / 100, ""), IF(F1655 = "Réttur", IFERROR(_xlfn.SINGLE(_xlfn.XLOOKUP(G1655, Réttabanki!A:A, Réttabanki!AW:AW, "")) * I1655 / 100, ""), "")))</f>
        <v/>
      </c>
      <c r="Q1655" s="26" t="str">
        <f>IF(OR(F1655 = "", G1655 = "", I1655 = ""), "", IF(F1655 = "Vara", IFERROR(_xlfn.SINGLE(_xlfn.XLOOKUP(G1655, Vöruskrá!A:A, Vöruskrá!N:N, "")) * I1655 / 100, ""), IF(F1655 = "Réttur", IFERROR(_xlfn.SINGLE(_xlfn.XLOOKUP(G1655, Réttabanki!A:A, Réttabanki!BB:BB, "")) * I1655 / 100, ""), "")))</f>
        <v/>
      </c>
    </row>
    <row r="1656" spans="2:17">
      <c r="B1656" s="33" t="str">
        <f>IF(A1656&lt;&gt;"",CHOOSE(WEEKDAY(A1656,2),"Mánudagur","Þriðjudagur","Miðvikudagur","Fimmtudagur","Föstudagur","Laugardagur","Sunnudagur"),IF(B1655&lt;&gt;"",B1655,""))</f>
        <v>Fimmtudagur</v>
      </c>
      <c r="C1656" s="33">
        <f>IF(A1656&lt;&gt;"",WEEKNUM(A1656,21),IF(C1655&lt;&gt;"",C1655,""))</f>
        <v>27</v>
      </c>
      <c r="D1656" s="34"/>
      <c r="E1656" s="34"/>
      <c r="F1656" s="34"/>
      <c r="G1656" s="34"/>
      <c r="H1656" s="34"/>
      <c r="I1656" s="35"/>
      <c r="J1656" s="35"/>
      <c r="K1656" s="36"/>
      <c r="L1656" s="26" t="str">
        <f>IF(OR(F1656 = "", G1656 = ""), "", IF(F1656 = "Vara", IFERROR(_xlfn.SINGLE(_xlfn.XLOOKUP(G1656, Vöruskrá!A:A, Vöruskrá!E:E, "")), ""), IF(F1656 = "Réttur", IFERROR(_xlfn.SINGLE(_xlfn.XLOOKUP(G1656, Réttabanki!A:A, Réttabanki!AS:AS, "")), ""), "")))</f>
        <v/>
      </c>
      <c r="M1656" s="26" t="str">
        <f>IF(OR(F1656 = "", G1656 = ""), "", IF(F1656 = "Vara", IFERROR(_xlfn.SINGLE(_xlfn.XLOOKUP(G1656, Vöruskrá!A:A, Vöruskrá!F:F, "")), ""), IF(F1656 = "Réttur", IFERROR(_xlfn.SINGLE(_xlfn.XLOOKUP(G1656, Réttabanki!A:A, Réttabanki!AT:AT, "")), ""), "")))</f>
        <v/>
      </c>
      <c r="N1656" s="26" t="str">
        <f>IF(OR(F1656 = "", G1656 = ""), "", IF(F1656 = "Vara", IFERROR(_xlfn.SINGLE(_xlfn.XLOOKUP(G1656, Vöruskrá!A:A, Vöruskrá!G:G, "")), ""), IF(F1656 = "Réttur", IFERROR(_xlfn.SINGLE(_xlfn.XLOOKUP(G1656, Réttabanki!A:A, Réttabanki!AU:AU, "")), ""), "")))</f>
        <v/>
      </c>
      <c r="O1656" s="26" t="str">
        <f>IF(OR(F1656 = "", G1656 = "", I1656 = ""), "", IF(F1656 = "Vara", IFERROR(_xlfn.SINGLE(_xlfn.XLOOKUP(G1656, Vöruskrá!A:A, Vöruskrá!I:I, "")) * I1656 / 100, ""), IF(F1656 = "Réttur", IFERROR(_xlfn.SINGLE(_xlfn.XLOOKUP(G1656, Réttabanki!A:A, Réttabanki!AV:AV, "")) * I1656 / 100, ""), "")))</f>
        <v/>
      </c>
      <c r="P1656" s="26" t="str">
        <f>IF(OR(F1656 = "", G1656 = "", I1656 = ""), "", IF(F1656 = "Vara", IFERROR(_xlfn.SINGLE(_xlfn.XLOOKUP(G1656, Vöruskrá!A:A, Vöruskrá!J:J, "")) * I1656 / 100, ""), IF(F1656 = "Réttur", IFERROR(_xlfn.SINGLE(_xlfn.XLOOKUP(G1656, Réttabanki!A:A, Réttabanki!AW:AW, "")) * I1656 / 100, ""), "")))</f>
        <v/>
      </c>
      <c r="Q1656" s="26" t="str">
        <f>IF(OR(F1656 = "", G1656 = "", I1656 = ""), "", IF(F1656 = "Vara", IFERROR(_xlfn.SINGLE(_xlfn.XLOOKUP(G1656, Vöruskrá!A:A, Vöruskrá!N:N, "")) * I1656 / 100, ""), IF(F1656 = "Réttur", IFERROR(_xlfn.SINGLE(_xlfn.XLOOKUP(G1656, Réttabanki!A:A, Réttabanki!BB:BB, "")) * I1656 / 100, ""), "")))</f>
        <v/>
      </c>
    </row>
    <row r="1657" spans="2:17">
      <c r="B1657" s="33" t="str">
        <f>IF(A1657&lt;&gt;"",CHOOSE(WEEKDAY(A1657,2),"Mánudagur","Þriðjudagur","Miðvikudagur","Fimmtudagur","Föstudagur","Laugardagur","Sunnudagur"),IF(B1656&lt;&gt;"",B1656,""))</f>
        <v>Fimmtudagur</v>
      </c>
      <c r="C1657" s="33">
        <f>IF(A1657&lt;&gt;"",WEEKNUM(A1657,21),IF(C1656&lt;&gt;"",C1656,""))</f>
        <v>27</v>
      </c>
      <c r="D1657" s="34"/>
      <c r="E1657" s="34"/>
      <c r="F1657" s="34"/>
      <c r="G1657" s="34"/>
      <c r="H1657" s="34"/>
      <c r="I1657" s="35"/>
      <c r="J1657" s="35"/>
      <c r="K1657" s="36"/>
      <c r="L1657" s="26" t="str">
        <f>IF(OR(F1657 = "", G1657 = ""), "", IF(F1657 = "Vara", IFERROR(_xlfn.SINGLE(_xlfn.XLOOKUP(G1657, Vöruskrá!A:A, Vöruskrá!E:E, "")), ""), IF(F1657 = "Réttur", IFERROR(_xlfn.SINGLE(_xlfn.XLOOKUP(G1657, Réttabanki!A:A, Réttabanki!AS:AS, "")), ""), "")))</f>
        <v/>
      </c>
      <c r="M1657" s="26" t="str">
        <f>IF(OR(F1657 = "", G1657 = ""), "", IF(F1657 = "Vara", IFERROR(_xlfn.SINGLE(_xlfn.XLOOKUP(G1657, Vöruskrá!A:A, Vöruskrá!F:F, "")), ""), IF(F1657 = "Réttur", IFERROR(_xlfn.SINGLE(_xlfn.XLOOKUP(G1657, Réttabanki!A:A, Réttabanki!AT:AT, "")), ""), "")))</f>
        <v/>
      </c>
      <c r="N1657" s="26" t="str">
        <f>IF(OR(F1657 = "", G1657 = ""), "", IF(F1657 = "Vara", IFERROR(_xlfn.SINGLE(_xlfn.XLOOKUP(G1657, Vöruskrá!A:A, Vöruskrá!G:G, "")), ""), IF(F1657 = "Réttur", IFERROR(_xlfn.SINGLE(_xlfn.XLOOKUP(G1657, Réttabanki!A:A, Réttabanki!AU:AU, "")), ""), "")))</f>
        <v/>
      </c>
      <c r="O1657" s="26" t="str">
        <f>IF(OR(F1657 = "", G1657 = "", I1657 = ""), "", IF(F1657 = "Vara", IFERROR(_xlfn.SINGLE(_xlfn.XLOOKUP(G1657, Vöruskrá!A:A, Vöruskrá!I:I, "")) * I1657 / 100, ""), IF(F1657 = "Réttur", IFERROR(_xlfn.SINGLE(_xlfn.XLOOKUP(G1657, Réttabanki!A:A, Réttabanki!AV:AV, "")) * I1657 / 100, ""), "")))</f>
        <v/>
      </c>
      <c r="P1657" s="26" t="str">
        <f>IF(OR(F1657 = "", G1657 = "", I1657 = ""), "", IF(F1657 = "Vara", IFERROR(_xlfn.SINGLE(_xlfn.XLOOKUP(G1657, Vöruskrá!A:A, Vöruskrá!J:J, "")) * I1657 / 100, ""), IF(F1657 = "Réttur", IFERROR(_xlfn.SINGLE(_xlfn.XLOOKUP(G1657, Réttabanki!A:A, Réttabanki!AW:AW, "")) * I1657 / 100, ""), "")))</f>
        <v/>
      </c>
      <c r="Q1657" s="26" t="str">
        <f>IF(OR(F1657 = "", G1657 = "", I1657 = ""), "", IF(F1657 = "Vara", IFERROR(_xlfn.SINGLE(_xlfn.XLOOKUP(G1657, Vöruskrá!A:A, Vöruskrá!N:N, "")) * I1657 / 100, ""), IF(F1657 = "Réttur", IFERROR(_xlfn.SINGLE(_xlfn.XLOOKUP(G1657, Réttabanki!A:A, Réttabanki!BB:BB, "")) * I1657 / 100, ""), "")))</f>
        <v/>
      </c>
    </row>
    <row r="1658" spans="2:17">
      <c r="B1658" s="33" t="str">
        <f>IF(A1658&lt;&gt;"",CHOOSE(WEEKDAY(A1658,2),"Mánudagur","Þriðjudagur","Miðvikudagur","Fimmtudagur","Föstudagur","Laugardagur","Sunnudagur"),IF(B1657&lt;&gt;"",B1657,""))</f>
        <v>Fimmtudagur</v>
      </c>
      <c r="C1658" s="33">
        <f>IF(A1658&lt;&gt;"",WEEKNUM(A1658,21),IF(C1657&lt;&gt;"",C1657,""))</f>
        <v>27</v>
      </c>
      <c r="D1658" s="34"/>
      <c r="E1658" s="34"/>
      <c r="F1658" s="34"/>
      <c r="G1658" s="34"/>
      <c r="H1658" s="34"/>
      <c r="I1658" s="35"/>
      <c r="J1658" s="35"/>
      <c r="K1658" s="36"/>
      <c r="L1658" s="26" t="str">
        <f>IF(OR(F1658 = "", G1658 = ""), "", IF(F1658 = "Vara", IFERROR(_xlfn.SINGLE(_xlfn.XLOOKUP(G1658, Vöruskrá!A:A, Vöruskrá!E:E, "")), ""), IF(F1658 = "Réttur", IFERROR(_xlfn.SINGLE(_xlfn.XLOOKUP(G1658, Réttabanki!A:A, Réttabanki!AS:AS, "")), ""), "")))</f>
        <v/>
      </c>
      <c r="M1658" s="26" t="str">
        <f>IF(OR(F1658 = "", G1658 = ""), "", IF(F1658 = "Vara", IFERROR(_xlfn.SINGLE(_xlfn.XLOOKUP(G1658, Vöruskrá!A:A, Vöruskrá!F:F, "")), ""), IF(F1658 = "Réttur", IFERROR(_xlfn.SINGLE(_xlfn.XLOOKUP(G1658, Réttabanki!A:A, Réttabanki!AT:AT, "")), ""), "")))</f>
        <v/>
      </c>
      <c r="N1658" s="26" t="str">
        <f>IF(OR(F1658 = "", G1658 = ""), "", IF(F1658 = "Vara", IFERROR(_xlfn.SINGLE(_xlfn.XLOOKUP(G1658, Vöruskrá!A:A, Vöruskrá!G:G, "")), ""), IF(F1658 = "Réttur", IFERROR(_xlfn.SINGLE(_xlfn.XLOOKUP(G1658, Réttabanki!A:A, Réttabanki!AU:AU, "")), ""), "")))</f>
        <v/>
      </c>
      <c r="O1658" s="26" t="str">
        <f>IF(OR(F1658 = "", G1658 = "", I1658 = ""), "", IF(F1658 = "Vara", IFERROR(_xlfn.SINGLE(_xlfn.XLOOKUP(G1658, Vöruskrá!A:A, Vöruskrá!I:I, "")) * I1658 / 100, ""), IF(F1658 = "Réttur", IFERROR(_xlfn.SINGLE(_xlfn.XLOOKUP(G1658, Réttabanki!A:A, Réttabanki!AV:AV, "")) * I1658 / 100, ""), "")))</f>
        <v/>
      </c>
      <c r="P1658" s="26" t="str">
        <f>IF(OR(F1658 = "", G1658 = "", I1658 = ""), "", IF(F1658 = "Vara", IFERROR(_xlfn.SINGLE(_xlfn.XLOOKUP(G1658, Vöruskrá!A:A, Vöruskrá!J:J, "")) * I1658 / 100, ""), IF(F1658 = "Réttur", IFERROR(_xlfn.SINGLE(_xlfn.XLOOKUP(G1658, Réttabanki!A:A, Réttabanki!AW:AW, "")) * I1658 / 100, ""), "")))</f>
        <v/>
      </c>
      <c r="Q1658" s="26" t="str">
        <f>IF(OR(F1658 = "", G1658 = "", I1658 = ""), "", IF(F1658 = "Vara", IFERROR(_xlfn.SINGLE(_xlfn.XLOOKUP(G1658, Vöruskrá!A:A, Vöruskrá!N:N, "")) * I1658 / 100, ""), IF(F1658 = "Réttur", IFERROR(_xlfn.SINGLE(_xlfn.XLOOKUP(G1658, Réttabanki!A:A, Réttabanki!BB:BB, "")) * I1658 / 100, ""), "")))</f>
        <v/>
      </c>
    </row>
    <row r="1659" spans="2:17">
      <c r="B1659" s="33" t="str">
        <f>IF(A1659&lt;&gt;"",CHOOSE(WEEKDAY(A1659,2),"Mánudagur","Þriðjudagur","Miðvikudagur","Fimmtudagur","Föstudagur","Laugardagur","Sunnudagur"),IF(B1658&lt;&gt;"",B1658,""))</f>
        <v>Fimmtudagur</v>
      </c>
      <c r="C1659" s="33">
        <f>IF(A1659&lt;&gt;"",WEEKNUM(A1659,21),IF(C1658&lt;&gt;"",C1658,""))</f>
        <v>27</v>
      </c>
      <c r="D1659" s="34"/>
      <c r="E1659" s="34"/>
      <c r="F1659" s="34"/>
      <c r="G1659" s="34"/>
      <c r="H1659" s="34"/>
      <c r="I1659" s="35"/>
      <c r="J1659" s="35"/>
      <c r="K1659" s="36"/>
      <c r="L1659" s="26" t="str">
        <f>IF(OR(F1659 = "", G1659 = ""), "", IF(F1659 = "Vara", IFERROR(_xlfn.SINGLE(_xlfn.XLOOKUP(G1659, Vöruskrá!A:A, Vöruskrá!E:E, "")), ""), IF(F1659 = "Réttur", IFERROR(_xlfn.SINGLE(_xlfn.XLOOKUP(G1659, Réttabanki!A:A, Réttabanki!AS:AS, "")), ""), "")))</f>
        <v/>
      </c>
      <c r="M1659" s="26" t="str">
        <f>IF(OR(F1659 = "", G1659 = ""), "", IF(F1659 = "Vara", IFERROR(_xlfn.SINGLE(_xlfn.XLOOKUP(G1659, Vöruskrá!A:A, Vöruskrá!F:F, "")), ""), IF(F1659 = "Réttur", IFERROR(_xlfn.SINGLE(_xlfn.XLOOKUP(G1659, Réttabanki!A:A, Réttabanki!AT:AT, "")), ""), "")))</f>
        <v/>
      </c>
      <c r="N1659" s="26" t="str">
        <f>IF(OR(F1659 = "", G1659 = ""), "", IF(F1659 = "Vara", IFERROR(_xlfn.SINGLE(_xlfn.XLOOKUP(G1659, Vöruskrá!A:A, Vöruskrá!G:G, "")), ""), IF(F1659 = "Réttur", IFERROR(_xlfn.SINGLE(_xlfn.XLOOKUP(G1659, Réttabanki!A:A, Réttabanki!AU:AU, "")), ""), "")))</f>
        <v/>
      </c>
      <c r="O1659" s="26" t="str">
        <f>IF(OR(F1659 = "", G1659 = "", I1659 = ""), "", IF(F1659 = "Vara", IFERROR(_xlfn.SINGLE(_xlfn.XLOOKUP(G1659, Vöruskrá!A:A, Vöruskrá!I:I, "")) * I1659 / 100, ""), IF(F1659 = "Réttur", IFERROR(_xlfn.SINGLE(_xlfn.XLOOKUP(G1659, Réttabanki!A:A, Réttabanki!AV:AV, "")) * I1659 / 100, ""), "")))</f>
        <v/>
      </c>
      <c r="P1659" s="26" t="str">
        <f>IF(OR(F1659 = "", G1659 = "", I1659 = ""), "", IF(F1659 = "Vara", IFERROR(_xlfn.SINGLE(_xlfn.XLOOKUP(G1659, Vöruskrá!A:A, Vöruskrá!J:J, "")) * I1659 / 100, ""), IF(F1659 = "Réttur", IFERROR(_xlfn.SINGLE(_xlfn.XLOOKUP(G1659, Réttabanki!A:A, Réttabanki!AW:AW, "")) * I1659 / 100, ""), "")))</f>
        <v/>
      </c>
      <c r="Q1659" s="26" t="str">
        <f>IF(OR(F1659 = "", G1659 = "", I1659 = ""), "", IF(F1659 = "Vara", IFERROR(_xlfn.SINGLE(_xlfn.XLOOKUP(G1659, Vöruskrá!A:A, Vöruskrá!N:N, "")) * I1659 / 100, ""), IF(F1659 = "Réttur", IFERROR(_xlfn.SINGLE(_xlfn.XLOOKUP(G1659, Réttabanki!A:A, Réttabanki!BB:BB, "")) * I1659 / 100, ""), "")))</f>
        <v/>
      </c>
    </row>
    <row r="1660" spans="2:17">
      <c r="B1660" s="33" t="str">
        <f>IF(A1660&lt;&gt;"",CHOOSE(WEEKDAY(A1660,2),"Mánudagur","Þriðjudagur","Miðvikudagur","Fimmtudagur","Föstudagur","Laugardagur","Sunnudagur"),IF(B1659&lt;&gt;"",B1659,""))</f>
        <v>Fimmtudagur</v>
      </c>
      <c r="C1660" s="33">
        <f>IF(A1660&lt;&gt;"",WEEKNUM(A1660,21),IF(C1659&lt;&gt;"",C1659,""))</f>
        <v>27</v>
      </c>
      <c r="D1660" s="34"/>
      <c r="E1660" s="34"/>
      <c r="F1660" s="34"/>
      <c r="G1660" s="34"/>
      <c r="H1660" s="34"/>
      <c r="I1660" s="35"/>
      <c r="J1660" s="35"/>
      <c r="K1660" s="36"/>
      <c r="L1660" s="26" t="str">
        <f>IF(OR(F1660 = "", G1660 = ""), "", IF(F1660 = "Vara", IFERROR(_xlfn.SINGLE(_xlfn.XLOOKUP(G1660, Vöruskrá!A:A, Vöruskrá!E:E, "")), ""), IF(F1660 = "Réttur", IFERROR(_xlfn.SINGLE(_xlfn.XLOOKUP(G1660, Réttabanki!A:A, Réttabanki!AS:AS, "")), ""), "")))</f>
        <v/>
      </c>
      <c r="M1660" s="26" t="str">
        <f>IF(OR(F1660 = "", G1660 = ""), "", IF(F1660 = "Vara", IFERROR(_xlfn.SINGLE(_xlfn.XLOOKUP(G1660, Vöruskrá!A:A, Vöruskrá!F:F, "")), ""), IF(F1660 = "Réttur", IFERROR(_xlfn.SINGLE(_xlfn.XLOOKUP(G1660, Réttabanki!A:A, Réttabanki!AT:AT, "")), ""), "")))</f>
        <v/>
      </c>
      <c r="N1660" s="26" t="str">
        <f>IF(OR(F1660 = "", G1660 = ""), "", IF(F1660 = "Vara", IFERROR(_xlfn.SINGLE(_xlfn.XLOOKUP(G1660, Vöruskrá!A:A, Vöruskrá!G:G, "")), ""), IF(F1660 = "Réttur", IFERROR(_xlfn.SINGLE(_xlfn.XLOOKUP(G1660, Réttabanki!A:A, Réttabanki!AU:AU, "")), ""), "")))</f>
        <v/>
      </c>
      <c r="O1660" s="26" t="str">
        <f>IF(OR(F1660 = "", G1660 = "", I1660 = ""), "", IF(F1660 = "Vara", IFERROR(_xlfn.SINGLE(_xlfn.XLOOKUP(G1660, Vöruskrá!A:A, Vöruskrá!I:I, "")) * I1660 / 100, ""), IF(F1660 = "Réttur", IFERROR(_xlfn.SINGLE(_xlfn.XLOOKUP(G1660, Réttabanki!A:A, Réttabanki!AV:AV, "")) * I1660 / 100, ""), "")))</f>
        <v/>
      </c>
      <c r="P1660" s="26" t="str">
        <f>IF(OR(F1660 = "", G1660 = "", I1660 = ""), "", IF(F1660 = "Vara", IFERROR(_xlfn.SINGLE(_xlfn.XLOOKUP(G1660, Vöruskrá!A:A, Vöruskrá!J:J, "")) * I1660 / 100, ""), IF(F1660 = "Réttur", IFERROR(_xlfn.SINGLE(_xlfn.XLOOKUP(G1660, Réttabanki!A:A, Réttabanki!AW:AW, "")) * I1660 / 100, ""), "")))</f>
        <v/>
      </c>
      <c r="Q1660" s="26" t="str">
        <f>IF(OR(F1660 = "", G1660 = "", I1660 = ""), "", IF(F1660 = "Vara", IFERROR(_xlfn.SINGLE(_xlfn.XLOOKUP(G1660, Vöruskrá!A:A, Vöruskrá!N:N, "")) * I1660 / 100, ""), IF(F1660 = "Réttur", IFERROR(_xlfn.SINGLE(_xlfn.XLOOKUP(G1660, Réttabanki!A:A, Réttabanki!BB:BB, "")) * I1660 / 100, ""), "")))</f>
        <v/>
      </c>
    </row>
    <row r="1661" spans="2:17">
      <c r="B1661" s="33" t="str">
        <f>IF(A1661&lt;&gt;"",CHOOSE(WEEKDAY(A1661,2),"Mánudagur","Þriðjudagur","Miðvikudagur","Fimmtudagur","Föstudagur","Laugardagur","Sunnudagur"),IF(B1660&lt;&gt;"",B1660,""))</f>
        <v>Fimmtudagur</v>
      </c>
      <c r="C1661" s="33">
        <f>IF(A1661&lt;&gt;"",WEEKNUM(A1661,21),IF(C1660&lt;&gt;"",C1660,""))</f>
        <v>27</v>
      </c>
      <c r="D1661" s="34"/>
      <c r="E1661" s="34"/>
      <c r="F1661" s="34"/>
      <c r="G1661" s="34"/>
      <c r="H1661" s="34"/>
      <c r="I1661" s="35"/>
      <c r="J1661" s="35"/>
      <c r="K1661" s="36"/>
      <c r="L1661" s="26" t="str">
        <f>IF(OR(F1661 = "", G1661 = ""), "", IF(F1661 = "Vara", IFERROR(_xlfn.SINGLE(_xlfn.XLOOKUP(G1661, Vöruskrá!A:A, Vöruskrá!E:E, "")), ""), IF(F1661 = "Réttur", IFERROR(_xlfn.SINGLE(_xlfn.XLOOKUP(G1661, Réttabanki!A:A, Réttabanki!AS:AS, "")), ""), "")))</f>
        <v/>
      </c>
      <c r="M1661" s="26" t="str">
        <f>IF(OR(F1661 = "", G1661 = ""), "", IF(F1661 = "Vara", IFERROR(_xlfn.SINGLE(_xlfn.XLOOKUP(G1661, Vöruskrá!A:A, Vöruskrá!F:F, "")), ""), IF(F1661 = "Réttur", IFERROR(_xlfn.SINGLE(_xlfn.XLOOKUP(G1661, Réttabanki!A:A, Réttabanki!AT:AT, "")), ""), "")))</f>
        <v/>
      </c>
      <c r="N1661" s="26" t="str">
        <f>IF(OR(F1661 = "", G1661 = ""), "", IF(F1661 = "Vara", IFERROR(_xlfn.SINGLE(_xlfn.XLOOKUP(G1661, Vöruskrá!A:A, Vöruskrá!G:G, "")), ""), IF(F1661 = "Réttur", IFERROR(_xlfn.SINGLE(_xlfn.XLOOKUP(G1661, Réttabanki!A:A, Réttabanki!AU:AU, "")), ""), "")))</f>
        <v/>
      </c>
      <c r="O1661" s="26" t="str">
        <f>IF(OR(F1661 = "", G1661 = "", I1661 = ""), "", IF(F1661 = "Vara", IFERROR(_xlfn.SINGLE(_xlfn.XLOOKUP(G1661, Vöruskrá!A:A, Vöruskrá!I:I, "")) * I1661 / 100, ""), IF(F1661 = "Réttur", IFERROR(_xlfn.SINGLE(_xlfn.XLOOKUP(G1661, Réttabanki!A:A, Réttabanki!AV:AV, "")) * I1661 / 100, ""), "")))</f>
        <v/>
      </c>
      <c r="P1661" s="26" t="str">
        <f>IF(OR(F1661 = "", G1661 = "", I1661 = ""), "", IF(F1661 = "Vara", IFERROR(_xlfn.SINGLE(_xlfn.XLOOKUP(G1661, Vöruskrá!A:A, Vöruskrá!J:J, "")) * I1661 / 100, ""), IF(F1661 = "Réttur", IFERROR(_xlfn.SINGLE(_xlfn.XLOOKUP(G1661, Réttabanki!A:A, Réttabanki!AW:AW, "")) * I1661 / 100, ""), "")))</f>
        <v/>
      </c>
      <c r="Q1661" s="26" t="str">
        <f>IF(OR(F1661 = "", G1661 = "", I1661 = ""), "", IF(F1661 = "Vara", IFERROR(_xlfn.SINGLE(_xlfn.XLOOKUP(G1661, Vöruskrá!A:A, Vöruskrá!N:N, "")) * I1661 / 100, ""), IF(F1661 = "Réttur", IFERROR(_xlfn.SINGLE(_xlfn.XLOOKUP(G1661, Réttabanki!A:A, Réttabanki!BB:BB, "")) * I1661 / 100, ""), "")))</f>
        <v/>
      </c>
    </row>
    <row r="1662" spans="2:17">
      <c r="B1662" s="33" t="str">
        <f>IF(A1662&lt;&gt;"",CHOOSE(WEEKDAY(A1662,2),"Mánudagur","Þriðjudagur","Miðvikudagur","Fimmtudagur","Föstudagur","Laugardagur","Sunnudagur"),IF(B1661&lt;&gt;"",B1661,""))</f>
        <v>Fimmtudagur</v>
      </c>
      <c r="C1662" s="33">
        <f>IF(A1662&lt;&gt;"",WEEKNUM(A1662,21),IF(C1661&lt;&gt;"",C1661,""))</f>
        <v>27</v>
      </c>
      <c r="D1662" s="34"/>
      <c r="E1662" s="34"/>
      <c r="F1662" s="34"/>
      <c r="G1662" s="34"/>
      <c r="H1662" s="34"/>
      <c r="I1662" s="35"/>
      <c r="J1662" s="35"/>
      <c r="K1662" s="36"/>
      <c r="L1662" s="26" t="str">
        <f>IF(OR(F1662 = "", G1662 = ""), "", IF(F1662 = "Vara", IFERROR(_xlfn.SINGLE(_xlfn.XLOOKUP(G1662, Vöruskrá!A:A, Vöruskrá!E:E, "")), ""), IF(F1662 = "Réttur", IFERROR(_xlfn.SINGLE(_xlfn.XLOOKUP(G1662, Réttabanki!A:A, Réttabanki!AS:AS, "")), ""), "")))</f>
        <v/>
      </c>
      <c r="M1662" s="26" t="str">
        <f>IF(OR(F1662 = "", G1662 = ""), "", IF(F1662 = "Vara", IFERROR(_xlfn.SINGLE(_xlfn.XLOOKUP(G1662, Vöruskrá!A:A, Vöruskrá!F:F, "")), ""), IF(F1662 = "Réttur", IFERROR(_xlfn.SINGLE(_xlfn.XLOOKUP(G1662, Réttabanki!A:A, Réttabanki!AT:AT, "")), ""), "")))</f>
        <v/>
      </c>
      <c r="N1662" s="26" t="str">
        <f>IF(OR(F1662 = "", G1662 = ""), "", IF(F1662 = "Vara", IFERROR(_xlfn.SINGLE(_xlfn.XLOOKUP(G1662, Vöruskrá!A:A, Vöruskrá!G:G, "")), ""), IF(F1662 = "Réttur", IFERROR(_xlfn.SINGLE(_xlfn.XLOOKUP(G1662, Réttabanki!A:A, Réttabanki!AU:AU, "")), ""), "")))</f>
        <v/>
      </c>
      <c r="O1662" s="26" t="str">
        <f>IF(OR(F1662 = "", G1662 = "", I1662 = ""), "", IF(F1662 = "Vara", IFERROR(_xlfn.SINGLE(_xlfn.XLOOKUP(G1662, Vöruskrá!A:A, Vöruskrá!I:I, "")) * I1662 / 100, ""), IF(F1662 = "Réttur", IFERROR(_xlfn.SINGLE(_xlfn.XLOOKUP(G1662, Réttabanki!A:A, Réttabanki!AV:AV, "")) * I1662 / 100, ""), "")))</f>
        <v/>
      </c>
      <c r="P1662" s="26" t="str">
        <f>IF(OR(F1662 = "", G1662 = "", I1662 = ""), "", IF(F1662 = "Vara", IFERROR(_xlfn.SINGLE(_xlfn.XLOOKUP(G1662, Vöruskrá!A:A, Vöruskrá!J:J, "")) * I1662 / 100, ""), IF(F1662 = "Réttur", IFERROR(_xlfn.SINGLE(_xlfn.XLOOKUP(G1662, Réttabanki!A:A, Réttabanki!AW:AW, "")) * I1662 / 100, ""), "")))</f>
        <v/>
      </c>
      <c r="Q1662" s="26" t="str">
        <f>IF(OR(F1662 = "", G1662 = "", I1662 = ""), "", IF(F1662 = "Vara", IFERROR(_xlfn.SINGLE(_xlfn.XLOOKUP(G1662, Vöruskrá!A:A, Vöruskrá!N:N, "")) * I1662 / 100, ""), IF(F1662 = "Réttur", IFERROR(_xlfn.SINGLE(_xlfn.XLOOKUP(G1662, Réttabanki!A:A, Réttabanki!BB:BB, "")) * I1662 / 100, ""), "")))</f>
        <v/>
      </c>
    </row>
    <row r="1663" spans="2:17">
      <c r="B1663" s="33" t="str">
        <f>IF(A1663&lt;&gt;"",CHOOSE(WEEKDAY(A1663,2),"Mánudagur","Þriðjudagur","Miðvikudagur","Fimmtudagur","Föstudagur","Laugardagur","Sunnudagur"),IF(B1662&lt;&gt;"",B1662,""))</f>
        <v>Fimmtudagur</v>
      </c>
      <c r="C1663" s="33">
        <f>IF(A1663&lt;&gt;"",WEEKNUM(A1663,21),IF(C1662&lt;&gt;"",C1662,""))</f>
        <v>27</v>
      </c>
      <c r="D1663" s="34"/>
      <c r="E1663" s="34"/>
      <c r="F1663" s="34"/>
      <c r="G1663" s="34"/>
      <c r="H1663" s="34"/>
      <c r="I1663" s="35"/>
      <c r="J1663" s="35"/>
      <c r="K1663" s="36"/>
      <c r="L1663" s="26" t="str">
        <f>IF(OR(F1663 = "", G1663 = ""), "", IF(F1663 = "Vara", IFERROR(_xlfn.SINGLE(_xlfn.XLOOKUP(G1663, Vöruskrá!A:A, Vöruskrá!E:E, "")), ""), IF(F1663 = "Réttur", IFERROR(_xlfn.SINGLE(_xlfn.XLOOKUP(G1663, Réttabanki!A:A, Réttabanki!AS:AS, "")), ""), "")))</f>
        <v/>
      </c>
      <c r="M1663" s="26" t="str">
        <f>IF(OR(F1663 = "", G1663 = ""), "", IF(F1663 = "Vara", IFERROR(_xlfn.SINGLE(_xlfn.XLOOKUP(G1663, Vöruskrá!A:A, Vöruskrá!F:F, "")), ""), IF(F1663 = "Réttur", IFERROR(_xlfn.SINGLE(_xlfn.XLOOKUP(G1663, Réttabanki!A:A, Réttabanki!AT:AT, "")), ""), "")))</f>
        <v/>
      </c>
      <c r="N1663" s="26" t="str">
        <f>IF(OR(F1663 = "", G1663 = ""), "", IF(F1663 = "Vara", IFERROR(_xlfn.SINGLE(_xlfn.XLOOKUP(G1663, Vöruskrá!A:A, Vöruskrá!G:G, "")), ""), IF(F1663 = "Réttur", IFERROR(_xlfn.SINGLE(_xlfn.XLOOKUP(G1663, Réttabanki!A:A, Réttabanki!AU:AU, "")), ""), "")))</f>
        <v/>
      </c>
      <c r="O1663" s="26" t="str">
        <f>IF(OR(F1663 = "", G1663 = "", I1663 = ""), "", IF(F1663 = "Vara", IFERROR(_xlfn.SINGLE(_xlfn.XLOOKUP(G1663, Vöruskrá!A:A, Vöruskrá!I:I, "")) * I1663 / 100, ""), IF(F1663 = "Réttur", IFERROR(_xlfn.SINGLE(_xlfn.XLOOKUP(G1663, Réttabanki!A:A, Réttabanki!AV:AV, "")) * I1663 / 100, ""), "")))</f>
        <v/>
      </c>
      <c r="P1663" s="26" t="str">
        <f>IF(OR(F1663 = "", G1663 = "", I1663 = ""), "", IF(F1663 = "Vara", IFERROR(_xlfn.SINGLE(_xlfn.XLOOKUP(G1663, Vöruskrá!A:A, Vöruskrá!J:J, "")) * I1663 / 100, ""), IF(F1663 = "Réttur", IFERROR(_xlfn.SINGLE(_xlfn.XLOOKUP(G1663, Réttabanki!A:A, Réttabanki!AW:AW, "")) * I1663 / 100, ""), "")))</f>
        <v/>
      </c>
      <c r="Q1663" s="26" t="str">
        <f>IF(OR(F1663 = "", G1663 = "", I1663 = ""), "", IF(F1663 = "Vara", IFERROR(_xlfn.SINGLE(_xlfn.XLOOKUP(G1663, Vöruskrá!A:A, Vöruskrá!N:N, "")) * I1663 / 100, ""), IF(F1663 = "Réttur", IFERROR(_xlfn.SINGLE(_xlfn.XLOOKUP(G1663, Réttabanki!A:A, Réttabanki!BB:BB, "")) * I1663 / 100, ""), "")))</f>
        <v/>
      </c>
    </row>
    <row r="1664" spans="2:17">
      <c r="B1664" s="33" t="str">
        <f>IF(A1664&lt;&gt;"",CHOOSE(WEEKDAY(A1664,2),"Mánudagur","Þriðjudagur","Miðvikudagur","Fimmtudagur","Föstudagur","Laugardagur","Sunnudagur"),IF(B1663&lt;&gt;"",B1663,""))</f>
        <v>Fimmtudagur</v>
      </c>
      <c r="C1664" s="33">
        <f>IF(A1664&lt;&gt;"",WEEKNUM(A1664,21),IF(C1663&lt;&gt;"",C1663,""))</f>
        <v>27</v>
      </c>
      <c r="D1664" s="34"/>
      <c r="E1664" s="34"/>
      <c r="F1664" s="34"/>
      <c r="G1664" s="34"/>
      <c r="H1664" s="34"/>
      <c r="I1664" s="35"/>
      <c r="J1664" s="35"/>
      <c r="K1664" s="36"/>
      <c r="L1664" s="26" t="str">
        <f>IF(OR(F1664 = "", G1664 = ""), "", IF(F1664 = "Vara", IFERROR(_xlfn.SINGLE(_xlfn.XLOOKUP(G1664, Vöruskrá!A:A, Vöruskrá!E:E, "")), ""), IF(F1664 = "Réttur", IFERROR(_xlfn.SINGLE(_xlfn.XLOOKUP(G1664, Réttabanki!A:A, Réttabanki!AS:AS, "")), ""), "")))</f>
        <v/>
      </c>
      <c r="M1664" s="26" t="str">
        <f>IF(OR(F1664 = "", G1664 = ""), "", IF(F1664 = "Vara", IFERROR(_xlfn.SINGLE(_xlfn.XLOOKUP(G1664, Vöruskrá!A:A, Vöruskrá!F:F, "")), ""), IF(F1664 = "Réttur", IFERROR(_xlfn.SINGLE(_xlfn.XLOOKUP(G1664, Réttabanki!A:A, Réttabanki!AT:AT, "")), ""), "")))</f>
        <v/>
      </c>
      <c r="N1664" s="26" t="str">
        <f>IF(OR(F1664 = "", G1664 = ""), "", IF(F1664 = "Vara", IFERROR(_xlfn.SINGLE(_xlfn.XLOOKUP(G1664, Vöruskrá!A:A, Vöruskrá!G:G, "")), ""), IF(F1664 = "Réttur", IFERROR(_xlfn.SINGLE(_xlfn.XLOOKUP(G1664, Réttabanki!A:A, Réttabanki!AU:AU, "")), ""), "")))</f>
        <v/>
      </c>
      <c r="O1664" s="26" t="str">
        <f>IF(OR(F1664 = "", G1664 = "", I1664 = ""), "", IF(F1664 = "Vara", IFERROR(_xlfn.SINGLE(_xlfn.XLOOKUP(G1664, Vöruskrá!A:A, Vöruskrá!I:I, "")) * I1664 / 100, ""), IF(F1664 = "Réttur", IFERROR(_xlfn.SINGLE(_xlfn.XLOOKUP(G1664, Réttabanki!A:A, Réttabanki!AV:AV, "")) * I1664 / 100, ""), "")))</f>
        <v/>
      </c>
      <c r="P1664" s="26" t="str">
        <f>IF(OR(F1664 = "", G1664 = "", I1664 = ""), "", IF(F1664 = "Vara", IFERROR(_xlfn.SINGLE(_xlfn.XLOOKUP(G1664, Vöruskrá!A:A, Vöruskrá!J:J, "")) * I1664 / 100, ""), IF(F1664 = "Réttur", IFERROR(_xlfn.SINGLE(_xlfn.XLOOKUP(G1664, Réttabanki!A:A, Réttabanki!AW:AW, "")) * I1664 / 100, ""), "")))</f>
        <v/>
      </c>
      <c r="Q1664" s="26" t="str">
        <f>IF(OR(F1664 = "", G1664 = "", I1664 = ""), "", IF(F1664 = "Vara", IFERROR(_xlfn.SINGLE(_xlfn.XLOOKUP(G1664, Vöruskrá!A:A, Vöruskrá!N:N, "")) * I1664 / 100, ""), IF(F1664 = "Réttur", IFERROR(_xlfn.SINGLE(_xlfn.XLOOKUP(G1664, Réttabanki!A:A, Réttabanki!BB:BB, "")) * I1664 / 100, ""), "")))</f>
        <v/>
      </c>
    </row>
    <row r="1665" spans="2:17">
      <c r="B1665" s="33" t="str">
        <f>IF(A1665&lt;&gt;"",CHOOSE(WEEKDAY(A1665,2),"Mánudagur","Þriðjudagur","Miðvikudagur","Fimmtudagur","Föstudagur","Laugardagur","Sunnudagur"),IF(B1664&lt;&gt;"",B1664,""))</f>
        <v>Fimmtudagur</v>
      </c>
      <c r="C1665" s="33">
        <f>IF(A1665&lt;&gt;"",WEEKNUM(A1665,21),IF(C1664&lt;&gt;"",C1664,""))</f>
        <v>27</v>
      </c>
      <c r="D1665" s="34"/>
      <c r="E1665" s="34"/>
      <c r="F1665" s="34"/>
      <c r="G1665" s="34"/>
      <c r="H1665" s="34"/>
      <c r="I1665" s="35"/>
      <c r="J1665" s="35"/>
      <c r="K1665" s="36"/>
      <c r="L1665" s="26" t="str">
        <f>IF(OR(F1665 = "", G1665 = ""), "", IF(F1665 = "Vara", IFERROR(_xlfn.SINGLE(_xlfn.XLOOKUP(G1665, Vöruskrá!A:A, Vöruskrá!E:E, "")), ""), IF(F1665 = "Réttur", IFERROR(_xlfn.SINGLE(_xlfn.XLOOKUP(G1665, Réttabanki!A:A, Réttabanki!AS:AS, "")), ""), "")))</f>
        <v/>
      </c>
      <c r="M1665" s="26" t="str">
        <f>IF(OR(F1665 = "", G1665 = ""), "", IF(F1665 = "Vara", IFERROR(_xlfn.SINGLE(_xlfn.XLOOKUP(G1665, Vöruskrá!A:A, Vöruskrá!F:F, "")), ""), IF(F1665 = "Réttur", IFERROR(_xlfn.SINGLE(_xlfn.XLOOKUP(G1665, Réttabanki!A:A, Réttabanki!AT:AT, "")), ""), "")))</f>
        <v/>
      </c>
      <c r="N1665" s="26" t="str">
        <f>IF(OR(F1665 = "", G1665 = ""), "", IF(F1665 = "Vara", IFERROR(_xlfn.SINGLE(_xlfn.XLOOKUP(G1665, Vöruskrá!A:A, Vöruskrá!G:G, "")), ""), IF(F1665 = "Réttur", IFERROR(_xlfn.SINGLE(_xlfn.XLOOKUP(G1665, Réttabanki!A:A, Réttabanki!AU:AU, "")), ""), "")))</f>
        <v/>
      </c>
      <c r="O1665" s="26" t="str">
        <f>IF(OR(F1665 = "", G1665 = "", I1665 = ""), "", IF(F1665 = "Vara", IFERROR(_xlfn.SINGLE(_xlfn.XLOOKUP(G1665, Vöruskrá!A:A, Vöruskrá!I:I, "")) * I1665 / 100, ""), IF(F1665 = "Réttur", IFERROR(_xlfn.SINGLE(_xlfn.XLOOKUP(G1665, Réttabanki!A:A, Réttabanki!AV:AV, "")) * I1665 / 100, ""), "")))</f>
        <v/>
      </c>
      <c r="P1665" s="26" t="str">
        <f>IF(OR(F1665 = "", G1665 = "", I1665 = ""), "", IF(F1665 = "Vara", IFERROR(_xlfn.SINGLE(_xlfn.XLOOKUP(G1665, Vöruskrá!A:A, Vöruskrá!J:J, "")) * I1665 / 100, ""), IF(F1665 = "Réttur", IFERROR(_xlfn.SINGLE(_xlfn.XLOOKUP(G1665, Réttabanki!A:A, Réttabanki!AW:AW, "")) * I1665 / 100, ""), "")))</f>
        <v/>
      </c>
      <c r="Q1665" s="26" t="str">
        <f>IF(OR(F1665 = "", G1665 = "", I1665 = ""), "", IF(F1665 = "Vara", IFERROR(_xlfn.SINGLE(_xlfn.XLOOKUP(G1665, Vöruskrá!A:A, Vöruskrá!N:N, "")) * I1665 / 100, ""), IF(F1665 = "Réttur", IFERROR(_xlfn.SINGLE(_xlfn.XLOOKUP(G1665, Réttabanki!A:A, Réttabanki!BB:BB, "")) * I1665 / 100, ""), "")))</f>
        <v/>
      </c>
    </row>
    <row r="1666" spans="2:17">
      <c r="B1666" s="33" t="str">
        <f>IF(A1666&lt;&gt;"",CHOOSE(WEEKDAY(A1666,2),"Mánudagur","Þriðjudagur","Miðvikudagur","Fimmtudagur","Föstudagur","Laugardagur","Sunnudagur"),IF(B1665&lt;&gt;"",B1665,""))</f>
        <v>Fimmtudagur</v>
      </c>
      <c r="C1666" s="33">
        <f>IF(A1666&lt;&gt;"",WEEKNUM(A1666,21),IF(C1665&lt;&gt;"",C1665,""))</f>
        <v>27</v>
      </c>
      <c r="D1666" s="34"/>
      <c r="E1666" s="34"/>
      <c r="F1666" s="34"/>
      <c r="G1666" s="34"/>
      <c r="H1666" s="34"/>
      <c r="I1666" s="35"/>
      <c r="J1666" s="35"/>
      <c r="K1666" s="36"/>
      <c r="L1666" s="26" t="str">
        <f>IF(OR(F1666 = "", G1666 = ""), "", IF(F1666 = "Vara", IFERROR(_xlfn.SINGLE(_xlfn.XLOOKUP(G1666, Vöruskrá!A:A, Vöruskrá!E:E, "")), ""), IF(F1666 = "Réttur", IFERROR(_xlfn.SINGLE(_xlfn.XLOOKUP(G1666, Réttabanki!A:A, Réttabanki!AS:AS, "")), ""), "")))</f>
        <v/>
      </c>
      <c r="M1666" s="26" t="str">
        <f>IF(OR(F1666 = "", G1666 = ""), "", IF(F1666 = "Vara", IFERROR(_xlfn.SINGLE(_xlfn.XLOOKUP(G1666, Vöruskrá!A:A, Vöruskrá!F:F, "")), ""), IF(F1666 = "Réttur", IFERROR(_xlfn.SINGLE(_xlfn.XLOOKUP(G1666, Réttabanki!A:A, Réttabanki!AT:AT, "")), ""), "")))</f>
        <v/>
      </c>
      <c r="N1666" s="26" t="str">
        <f>IF(OR(F1666 = "", G1666 = ""), "", IF(F1666 = "Vara", IFERROR(_xlfn.SINGLE(_xlfn.XLOOKUP(G1666, Vöruskrá!A:A, Vöruskrá!G:G, "")), ""), IF(F1666 = "Réttur", IFERROR(_xlfn.SINGLE(_xlfn.XLOOKUP(G1666, Réttabanki!A:A, Réttabanki!AU:AU, "")), ""), "")))</f>
        <v/>
      </c>
      <c r="O1666" s="26" t="str">
        <f>IF(OR(F1666 = "", G1666 = "", I1666 = ""), "", IF(F1666 = "Vara", IFERROR(_xlfn.SINGLE(_xlfn.XLOOKUP(G1666, Vöruskrá!A:A, Vöruskrá!I:I, "")) * I1666 / 100, ""), IF(F1666 = "Réttur", IFERROR(_xlfn.SINGLE(_xlfn.XLOOKUP(G1666, Réttabanki!A:A, Réttabanki!AV:AV, "")) * I1666 / 100, ""), "")))</f>
        <v/>
      </c>
      <c r="P1666" s="26" t="str">
        <f>IF(OR(F1666 = "", G1666 = "", I1666 = ""), "", IF(F1666 = "Vara", IFERROR(_xlfn.SINGLE(_xlfn.XLOOKUP(G1666, Vöruskrá!A:A, Vöruskrá!J:J, "")) * I1666 / 100, ""), IF(F1666 = "Réttur", IFERROR(_xlfn.SINGLE(_xlfn.XLOOKUP(G1666, Réttabanki!A:A, Réttabanki!AW:AW, "")) * I1666 / 100, ""), "")))</f>
        <v/>
      </c>
      <c r="Q1666" s="26" t="str">
        <f>IF(OR(F1666 = "", G1666 = "", I1666 = ""), "", IF(F1666 = "Vara", IFERROR(_xlfn.SINGLE(_xlfn.XLOOKUP(G1666, Vöruskrá!A:A, Vöruskrá!N:N, "")) * I1666 / 100, ""), IF(F1666 = "Réttur", IFERROR(_xlfn.SINGLE(_xlfn.XLOOKUP(G1666, Réttabanki!A:A, Réttabanki!BB:BB, "")) * I1666 / 100, ""), "")))</f>
        <v/>
      </c>
    </row>
    <row r="1667" spans="2:17">
      <c r="B1667" s="33" t="str">
        <f>IF(A1667&lt;&gt;"",CHOOSE(WEEKDAY(A1667,2),"Mánudagur","Þriðjudagur","Miðvikudagur","Fimmtudagur","Föstudagur","Laugardagur","Sunnudagur"),IF(B1666&lt;&gt;"",B1666,""))</f>
        <v>Fimmtudagur</v>
      </c>
      <c r="C1667" s="33">
        <f>IF(A1667&lt;&gt;"",WEEKNUM(A1667,21),IF(C1666&lt;&gt;"",C1666,""))</f>
        <v>27</v>
      </c>
      <c r="D1667" s="34"/>
      <c r="E1667" s="34"/>
      <c r="F1667" s="34"/>
      <c r="G1667" s="34"/>
      <c r="H1667" s="34"/>
      <c r="I1667" s="35"/>
      <c r="J1667" s="35"/>
      <c r="K1667" s="36"/>
      <c r="L1667" s="26" t="str">
        <f>IF(OR(F1667 = "", G1667 = ""), "", IF(F1667 = "Vara", IFERROR(_xlfn.SINGLE(_xlfn.XLOOKUP(G1667, Vöruskrá!A:A, Vöruskrá!E:E, "")), ""), IF(F1667 = "Réttur", IFERROR(_xlfn.SINGLE(_xlfn.XLOOKUP(G1667, Réttabanki!A:A, Réttabanki!AS:AS, "")), ""), "")))</f>
        <v/>
      </c>
      <c r="M1667" s="26" t="str">
        <f>IF(OR(F1667 = "", G1667 = ""), "", IF(F1667 = "Vara", IFERROR(_xlfn.SINGLE(_xlfn.XLOOKUP(G1667, Vöruskrá!A:A, Vöruskrá!F:F, "")), ""), IF(F1667 = "Réttur", IFERROR(_xlfn.SINGLE(_xlfn.XLOOKUP(G1667, Réttabanki!A:A, Réttabanki!AT:AT, "")), ""), "")))</f>
        <v/>
      </c>
      <c r="N1667" s="26" t="str">
        <f>IF(OR(F1667 = "", G1667 = ""), "", IF(F1667 = "Vara", IFERROR(_xlfn.SINGLE(_xlfn.XLOOKUP(G1667, Vöruskrá!A:A, Vöruskrá!G:G, "")), ""), IF(F1667 = "Réttur", IFERROR(_xlfn.SINGLE(_xlfn.XLOOKUP(G1667, Réttabanki!A:A, Réttabanki!AU:AU, "")), ""), "")))</f>
        <v/>
      </c>
      <c r="O1667" s="26" t="str">
        <f>IF(OR(F1667 = "", G1667 = "", I1667 = ""), "", IF(F1667 = "Vara", IFERROR(_xlfn.SINGLE(_xlfn.XLOOKUP(G1667, Vöruskrá!A:A, Vöruskrá!I:I, "")) * I1667 / 100, ""), IF(F1667 = "Réttur", IFERROR(_xlfn.SINGLE(_xlfn.XLOOKUP(G1667, Réttabanki!A:A, Réttabanki!AV:AV, "")) * I1667 / 100, ""), "")))</f>
        <v/>
      </c>
      <c r="P1667" s="26" t="str">
        <f>IF(OR(F1667 = "", G1667 = "", I1667 = ""), "", IF(F1667 = "Vara", IFERROR(_xlfn.SINGLE(_xlfn.XLOOKUP(G1667, Vöruskrá!A:A, Vöruskrá!J:J, "")) * I1667 / 100, ""), IF(F1667 = "Réttur", IFERROR(_xlfn.SINGLE(_xlfn.XLOOKUP(G1667, Réttabanki!A:A, Réttabanki!AW:AW, "")) * I1667 / 100, ""), "")))</f>
        <v/>
      </c>
      <c r="Q1667" s="26" t="str">
        <f>IF(OR(F1667 = "", G1667 = "", I1667 = ""), "", IF(F1667 = "Vara", IFERROR(_xlfn.SINGLE(_xlfn.XLOOKUP(G1667, Vöruskrá!A:A, Vöruskrá!N:N, "")) * I1667 / 100, ""), IF(F1667 = "Réttur", IFERROR(_xlfn.SINGLE(_xlfn.XLOOKUP(G1667, Réttabanki!A:A, Réttabanki!BB:BB, "")) * I1667 / 100, ""), "")))</f>
        <v/>
      </c>
    </row>
    <row r="1668" spans="2:17">
      <c r="B1668" s="33" t="str">
        <f>IF(A1668&lt;&gt;"",CHOOSE(WEEKDAY(A1668,2),"Mánudagur","Þriðjudagur","Miðvikudagur","Fimmtudagur","Föstudagur","Laugardagur","Sunnudagur"),IF(B1667&lt;&gt;"",B1667,""))</f>
        <v>Fimmtudagur</v>
      </c>
      <c r="C1668" s="33">
        <f>IF(A1668&lt;&gt;"",WEEKNUM(A1668,21),IF(C1667&lt;&gt;"",C1667,""))</f>
        <v>27</v>
      </c>
      <c r="D1668" s="34"/>
      <c r="E1668" s="34"/>
      <c r="F1668" s="34"/>
      <c r="G1668" s="34"/>
      <c r="H1668" s="34"/>
      <c r="I1668" s="35"/>
      <c r="J1668" s="35"/>
      <c r="K1668" s="36"/>
      <c r="L1668" s="26" t="str">
        <f>IF(OR(F1668 = "", G1668 = ""), "", IF(F1668 = "Vara", IFERROR(_xlfn.SINGLE(_xlfn.XLOOKUP(G1668, Vöruskrá!A:A, Vöruskrá!E:E, "")), ""), IF(F1668 = "Réttur", IFERROR(_xlfn.SINGLE(_xlfn.XLOOKUP(G1668, Réttabanki!A:A, Réttabanki!AS:AS, "")), ""), "")))</f>
        <v/>
      </c>
      <c r="M1668" s="26" t="str">
        <f>IF(OR(F1668 = "", G1668 = ""), "", IF(F1668 = "Vara", IFERROR(_xlfn.SINGLE(_xlfn.XLOOKUP(G1668, Vöruskrá!A:A, Vöruskrá!F:F, "")), ""), IF(F1668 = "Réttur", IFERROR(_xlfn.SINGLE(_xlfn.XLOOKUP(G1668, Réttabanki!A:A, Réttabanki!AT:AT, "")), ""), "")))</f>
        <v/>
      </c>
      <c r="N1668" s="26" t="str">
        <f>IF(OR(F1668 = "", G1668 = ""), "", IF(F1668 = "Vara", IFERROR(_xlfn.SINGLE(_xlfn.XLOOKUP(G1668, Vöruskrá!A:A, Vöruskrá!G:G, "")), ""), IF(F1668 = "Réttur", IFERROR(_xlfn.SINGLE(_xlfn.XLOOKUP(G1668, Réttabanki!A:A, Réttabanki!AU:AU, "")), ""), "")))</f>
        <v/>
      </c>
      <c r="O1668" s="26" t="str">
        <f>IF(OR(F1668 = "", G1668 = "", I1668 = ""), "", IF(F1668 = "Vara", IFERROR(_xlfn.SINGLE(_xlfn.XLOOKUP(G1668, Vöruskrá!A:A, Vöruskrá!I:I, "")) * I1668 / 100, ""), IF(F1668 = "Réttur", IFERROR(_xlfn.SINGLE(_xlfn.XLOOKUP(G1668, Réttabanki!A:A, Réttabanki!AV:AV, "")) * I1668 / 100, ""), "")))</f>
        <v/>
      </c>
      <c r="P1668" s="26" t="str">
        <f>IF(OR(F1668 = "", G1668 = "", I1668 = ""), "", IF(F1668 = "Vara", IFERROR(_xlfn.SINGLE(_xlfn.XLOOKUP(G1668, Vöruskrá!A:A, Vöruskrá!J:J, "")) * I1668 / 100, ""), IF(F1668 = "Réttur", IFERROR(_xlfn.SINGLE(_xlfn.XLOOKUP(G1668, Réttabanki!A:A, Réttabanki!AW:AW, "")) * I1668 / 100, ""), "")))</f>
        <v/>
      </c>
      <c r="Q1668" s="26" t="str">
        <f>IF(OR(F1668 = "", G1668 = "", I1668 = ""), "", IF(F1668 = "Vara", IFERROR(_xlfn.SINGLE(_xlfn.XLOOKUP(G1668, Vöruskrá!A:A, Vöruskrá!N:N, "")) * I1668 / 100, ""), IF(F1668 = "Réttur", IFERROR(_xlfn.SINGLE(_xlfn.XLOOKUP(G1668, Réttabanki!A:A, Réttabanki!BB:BB, "")) * I1668 / 100, ""), "")))</f>
        <v/>
      </c>
    </row>
    <row r="1669" spans="2:17">
      <c r="B1669" s="33" t="str">
        <f>IF(A1669&lt;&gt;"",CHOOSE(WEEKDAY(A1669,2),"Mánudagur","Þriðjudagur","Miðvikudagur","Fimmtudagur","Föstudagur","Laugardagur","Sunnudagur"),IF(B1668&lt;&gt;"",B1668,""))</f>
        <v>Fimmtudagur</v>
      </c>
      <c r="C1669" s="33">
        <f>IF(A1669&lt;&gt;"",WEEKNUM(A1669,21),IF(C1668&lt;&gt;"",C1668,""))</f>
        <v>27</v>
      </c>
      <c r="D1669" s="34"/>
      <c r="E1669" s="34"/>
      <c r="F1669" s="34"/>
      <c r="G1669" s="34"/>
      <c r="H1669" s="34"/>
      <c r="I1669" s="35"/>
      <c r="J1669" s="35"/>
      <c r="K1669" s="36"/>
      <c r="L1669" s="26" t="str">
        <f>IF(OR(F1669 = "", G1669 = ""), "", IF(F1669 = "Vara", IFERROR(_xlfn.SINGLE(_xlfn.XLOOKUP(G1669, Vöruskrá!A:A, Vöruskrá!E:E, "")), ""), IF(F1669 = "Réttur", IFERROR(_xlfn.SINGLE(_xlfn.XLOOKUP(G1669, Réttabanki!A:A, Réttabanki!AS:AS, "")), ""), "")))</f>
        <v/>
      </c>
      <c r="M1669" s="26" t="str">
        <f>IF(OR(F1669 = "", G1669 = ""), "", IF(F1669 = "Vara", IFERROR(_xlfn.SINGLE(_xlfn.XLOOKUP(G1669, Vöruskrá!A:A, Vöruskrá!F:F, "")), ""), IF(F1669 = "Réttur", IFERROR(_xlfn.SINGLE(_xlfn.XLOOKUP(G1669, Réttabanki!A:A, Réttabanki!AT:AT, "")), ""), "")))</f>
        <v/>
      </c>
      <c r="N1669" s="26" t="str">
        <f>IF(OR(F1669 = "", G1669 = ""), "", IF(F1669 = "Vara", IFERROR(_xlfn.SINGLE(_xlfn.XLOOKUP(G1669, Vöruskrá!A:A, Vöruskrá!G:G, "")), ""), IF(F1669 = "Réttur", IFERROR(_xlfn.SINGLE(_xlfn.XLOOKUP(G1669, Réttabanki!A:A, Réttabanki!AU:AU, "")), ""), "")))</f>
        <v/>
      </c>
      <c r="O1669" s="26" t="str">
        <f>IF(OR(F1669 = "", G1669 = "", I1669 = ""), "", IF(F1669 = "Vara", IFERROR(_xlfn.SINGLE(_xlfn.XLOOKUP(G1669, Vöruskrá!A:A, Vöruskrá!I:I, "")) * I1669 / 100, ""), IF(F1669 = "Réttur", IFERROR(_xlfn.SINGLE(_xlfn.XLOOKUP(G1669, Réttabanki!A:A, Réttabanki!AV:AV, "")) * I1669 / 100, ""), "")))</f>
        <v/>
      </c>
      <c r="P1669" s="26" t="str">
        <f>IF(OR(F1669 = "", G1669 = "", I1669 = ""), "", IF(F1669 = "Vara", IFERROR(_xlfn.SINGLE(_xlfn.XLOOKUP(G1669, Vöruskrá!A:A, Vöruskrá!J:J, "")) * I1669 / 100, ""), IF(F1669 = "Réttur", IFERROR(_xlfn.SINGLE(_xlfn.XLOOKUP(G1669, Réttabanki!A:A, Réttabanki!AW:AW, "")) * I1669 / 100, ""), "")))</f>
        <v/>
      </c>
      <c r="Q1669" s="26" t="str">
        <f>IF(OR(F1669 = "", G1669 = "", I1669 = ""), "", IF(F1669 = "Vara", IFERROR(_xlfn.SINGLE(_xlfn.XLOOKUP(G1669, Vöruskrá!A:A, Vöruskrá!N:N, "")) * I1669 / 100, ""), IF(F1669 = "Réttur", IFERROR(_xlfn.SINGLE(_xlfn.XLOOKUP(G1669, Réttabanki!A:A, Réttabanki!BB:BB, "")) * I1669 / 100, ""), "")))</f>
        <v/>
      </c>
    </row>
    <row r="1670" spans="2:17">
      <c r="B1670" s="33" t="str">
        <f>IF(A1670&lt;&gt;"",CHOOSE(WEEKDAY(A1670,2),"Mánudagur","Þriðjudagur","Miðvikudagur","Fimmtudagur","Föstudagur","Laugardagur","Sunnudagur"),IF(B1669&lt;&gt;"",B1669,""))</f>
        <v>Fimmtudagur</v>
      </c>
      <c r="C1670" s="33">
        <f>IF(A1670&lt;&gt;"",WEEKNUM(A1670,21),IF(C1669&lt;&gt;"",C1669,""))</f>
        <v>27</v>
      </c>
      <c r="D1670" s="34"/>
      <c r="E1670" s="34"/>
      <c r="F1670" s="34"/>
      <c r="G1670" s="34"/>
      <c r="H1670" s="34"/>
      <c r="I1670" s="35"/>
      <c r="J1670" s="35"/>
      <c r="K1670" s="36"/>
      <c r="L1670" s="26" t="str">
        <f>IF(OR(F1670 = "", G1670 = ""), "", IF(F1670 = "Vara", IFERROR(_xlfn.SINGLE(_xlfn.XLOOKUP(G1670, Vöruskrá!A:A, Vöruskrá!E:E, "")), ""), IF(F1670 = "Réttur", IFERROR(_xlfn.SINGLE(_xlfn.XLOOKUP(G1670, Réttabanki!A:A, Réttabanki!AS:AS, "")), ""), "")))</f>
        <v/>
      </c>
      <c r="M1670" s="26" t="str">
        <f>IF(OR(F1670 = "", G1670 = ""), "", IF(F1670 = "Vara", IFERROR(_xlfn.SINGLE(_xlfn.XLOOKUP(G1670, Vöruskrá!A:A, Vöruskrá!F:F, "")), ""), IF(F1670 = "Réttur", IFERROR(_xlfn.SINGLE(_xlfn.XLOOKUP(G1670, Réttabanki!A:A, Réttabanki!AT:AT, "")), ""), "")))</f>
        <v/>
      </c>
      <c r="N1670" s="26" t="str">
        <f>IF(OR(F1670 = "", G1670 = ""), "", IF(F1670 = "Vara", IFERROR(_xlfn.SINGLE(_xlfn.XLOOKUP(G1670, Vöruskrá!A:A, Vöruskrá!G:G, "")), ""), IF(F1670 = "Réttur", IFERROR(_xlfn.SINGLE(_xlfn.XLOOKUP(G1670, Réttabanki!A:A, Réttabanki!AU:AU, "")), ""), "")))</f>
        <v/>
      </c>
      <c r="O1670" s="26" t="str">
        <f>IF(OR(F1670 = "", G1670 = "", I1670 = ""), "", IF(F1670 = "Vara", IFERROR(_xlfn.SINGLE(_xlfn.XLOOKUP(G1670, Vöruskrá!A:A, Vöruskrá!I:I, "")) * I1670 / 100, ""), IF(F1670 = "Réttur", IFERROR(_xlfn.SINGLE(_xlfn.XLOOKUP(G1670, Réttabanki!A:A, Réttabanki!AV:AV, "")) * I1670 / 100, ""), "")))</f>
        <v/>
      </c>
      <c r="P1670" s="26" t="str">
        <f>IF(OR(F1670 = "", G1670 = "", I1670 = ""), "", IF(F1670 = "Vara", IFERROR(_xlfn.SINGLE(_xlfn.XLOOKUP(G1670, Vöruskrá!A:A, Vöruskrá!J:J, "")) * I1670 / 100, ""), IF(F1670 = "Réttur", IFERROR(_xlfn.SINGLE(_xlfn.XLOOKUP(G1670, Réttabanki!A:A, Réttabanki!AW:AW, "")) * I1670 / 100, ""), "")))</f>
        <v/>
      </c>
      <c r="Q1670" s="26" t="str">
        <f>IF(OR(F1670 = "", G1670 = "", I1670 = ""), "", IF(F1670 = "Vara", IFERROR(_xlfn.SINGLE(_xlfn.XLOOKUP(G1670, Vöruskrá!A:A, Vöruskrá!N:N, "")) * I1670 / 100, ""), IF(F1670 = "Réttur", IFERROR(_xlfn.SINGLE(_xlfn.XLOOKUP(G1670, Réttabanki!A:A, Réttabanki!BB:BB, "")) * I1670 / 100, ""), "")))</f>
        <v/>
      </c>
    </row>
    <row r="1671" spans="2:17">
      <c r="B1671" s="33" t="str">
        <f>IF(A1671&lt;&gt;"",CHOOSE(WEEKDAY(A1671,2),"Mánudagur","Þriðjudagur","Miðvikudagur","Fimmtudagur","Föstudagur","Laugardagur","Sunnudagur"),IF(B1670&lt;&gt;"",B1670,""))</f>
        <v>Fimmtudagur</v>
      </c>
      <c r="C1671" s="33">
        <f>IF(A1671&lt;&gt;"",WEEKNUM(A1671,21),IF(C1670&lt;&gt;"",C1670,""))</f>
        <v>27</v>
      </c>
      <c r="D1671" s="34"/>
      <c r="E1671" s="34"/>
      <c r="F1671" s="34"/>
      <c r="G1671" s="34"/>
      <c r="H1671" s="34"/>
      <c r="I1671" s="35"/>
      <c r="J1671" s="35"/>
      <c r="K1671" s="36"/>
      <c r="L1671" s="26" t="str">
        <f>IF(OR(F1671 = "", G1671 = ""), "", IF(F1671 = "Vara", IFERROR(_xlfn.SINGLE(_xlfn.XLOOKUP(G1671, Vöruskrá!A:A, Vöruskrá!E:E, "")), ""), IF(F1671 = "Réttur", IFERROR(_xlfn.SINGLE(_xlfn.XLOOKUP(G1671, Réttabanki!A:A, Réttabanki!AS:AS, "")), ""), "")))</f>
        <v/>
      </c>
      <c r="M1671" s="26" t="str">
        <f>IF(OR(F1671 = "", G1671 = ""), "", IF(F1671 = "Vara", IFERROR(_xlfn.SINGLE(_xlfn.XLOOKUP(G1671, Vöruskrá!A:A, Vöruskrá!F:F, "")), ""), IF(F1671 = "Réttur", IFERROR(_xlfn.SINGLE(_xlfn.XLOOKUP(G1671, Réttabanki!A:A, Réttabanki!AT:AT, "")), ""), "")))</f>
        <v/>
      </c>
      <c r="N1671" s="26" t="str">
        <f>IF(OR(F1671 = "", G1671 = ""), "", IF(F1671 = "Vara", IFERROR(_xlfn.SINGLE(_xlfn.XLOOKUP(G1671, Vöruskrá!A:A, Vöruskrá!G:G, "")), ""), IF(F1671 = "Réttur", IFERROR(_xlfn.SINGLE(_xlfn.XLOOKUP(G1671, Réttabanki!A:A, Réttabanki!AU:AU, "")), ""), "")))</f>
        <v/>
      </c>
      <c r="O1671" s="26" t="str">
        <f>IF(OR(F1671 = "", G1671 = "", I1671 = ""), "", IF(F1671 = "Vara", IFERROR(_xlfn.SINGLE(_xlfn.XLOOKUP(G1671, Vöruskrá!A:A, Vöruskrá!I:I, "")) * I1671 / 100, ""), IF(F1671 = "Réttur", IFERROR(_xlfn.SINGLE(_xlfn.XLOOKUP(G1671, Réttabanki!A:A, Réttabanki!AV:AV, "")) * I1671 / 100, ""), "")))</f>
        <v/>
      </c>
      <c r="P1671" s="26" t="str">
        <f>IF(OR(F1671 = "", G1671 = "", I1671 = ""), "", IF(F1671 = "Vara", IFERROR(_xlfn.SINGLE(_xlfn.XLOOKUP(G1671, Vöruskrá!A:A, Vöruskrá!J:J, "")) * I1671 / 100, ""), IF(F1671 = "Réttur", IFERROR(_xlfn.SINGLE(_xlfn.XLOOKUP(G1671, Réttabanki!A:A, Réttabanki!AW:AW, "")) * I1671 / 100, ""), "")))</f>
        <v/>
      </c>
      <c r="Q1671" s="26" t="str">
        <f>IF(OR(F1671 = "", G1671 = "", I1671 = ""), "", IF(F1671 = "Vara", IFERROR(_xlfn.SINGLE(_xlfn.XLOOKUP(G1671, Vöruskrá!A:A, Vöruskrá!N:N, "")) * I1671 / 100, ""), IF(F1671 = "Réttur", IFERROR(_xlfn.SINGLE(_xlfn.XLOOKUP(G1671, Réttabanki!A:A, Réttabanki!BB:BB, "")) * I1671 / 100, ""), "")))</f>
        <v/>
      </c>
    </row>
    <row r="1672" spans="2:17">
      <c r="B1672" s="33" t="str">
        <f>IF(A1672&lt;&gt;"",CHOOSE(WEEKDAY(A1672,2),"Mánudagur","Þriðjudagur","Miðvikudagur","Fimmtudagur","Föstudagur","Laugardagur","Sunnudagur"),IF(B1671&lt;&gt;"",B1671,""))</f>
        <v>Fimmtudagur</v>
      </c>
      <c r="C1672" s="33">
        <f>IF(A1672&lt;&gt;"",WEEKNUM(A1672,21),IF(C1671&lt;&gt;"",C1671,""))</f>
        <v>27</v>
      </c>
      <c r="D1672" s="34"/>
      <c r="E1672" s="34"/>
      <c r="F1672" s="34"/>
      <c r="G1672" s="34"/>
      <c r="H1672" s="34"/>
      <c r="I1672" s="35"/>
      <c r="J1672" s="35"/>
      <c r="K1672" s="36"/>
      <c r="L1672" s="26" t="str">
        <f>IF(OR(F1672 = "", G1672 = ""), "", IF(F1672 = "Vara", IFERROR(_xlfn.SINGLE(_xlfn.XLOOKUP(G1672, Vöruskrá!A:A, Vöruskrá!E:E, "")), ""), IF(F1672 = "Réttur", IFERROR(_xlfn.SINGLE(_xlfn.XLOOKUP(G1672, Réttabanki!A:A, Réttabanki!AS:AS, "")), ""), "")))</f>
        <v/>
      </c>
      <c r="M1672" s="26" t="str">
        <f>IF(OR(F1672 = "", G1672 = ""), "", IF(F1672 = "Vara", IFERROR(_xlfn.SINGLE(_xlfn.XLOOKUP(G1672, Vöruskrá!A:A, Vöruskrá!F:F, "")), ""), IF(F1672 = "Réttur", IFERROR(_xlfn.SINGLE(_xlfn.XLOOKUP(G1672, Réttabanki!A:A, Réttabanki!AT:AT, "")), ""), "")))</f>
        <v/>
      </c>
      <c r="N1672" s="26" t="str">
        <f>IF(OR(F1672 = "", G1672 = ""), "", IF(F1672 = "Vara", IFERROR(_xlfn.SINGLE(_xlfn.XLOOKUP(G1672, Vöruskrá!A:A, Vöruskrá!G:G, "")), ""), IF(F1672 = "Réttur", IFERROR(_xlfn.SINGLE(_xlfn.XLOOKUP(G1672, Réttabanki!A:A, Réttabanki!AU:AU, "")), ""), "")))</f>
        <v/>
      </c>
      <c r="O1672" s="26" t="str">
        <f>IF(OR(F1672 = "", G1672 = "", I1672 = ""), "", IF(F1672 = "Vara", IFERROR(_xlfn.SINGLE(_xlfn.XLOOKUP(G1672, Vöruskrá!A:A, Vöruskrá!I:I, "")) * I1672 / 100, ""), IF(F1672 = "Réttur", IFERROR(_xlfn.SINGLE(_xlfn.XLOOKUP(G1672, Réttabanki!A:A, Réttabanki!AV:AV, "")) * I1672 / 100, ""), "")))</f>
        <v/>
      </c>
      <c r="P1672" s="26" t="str">
        <f>IF(OR(F1672 = "", G1672 = "", I1672 = ""), "", IF(F1672 = "Vara", IFERROR(_xlfn.SINGLE(_xlfn.XLOOKUP(G1672, Vöruskrá!A:A, Vöruskrá!J:J, "")) * I1672 / 100, ""), IF(F1672 = "Réttur", IFERROR(_xlfn.SINGLE(_xlfn.XLOOKUP(G1672, Réttabanki!A:A, Réttabanki!AW:AW, "")) * I1672 / 100, ""), "")))</f>
        <v/>
      </c>
      <c r="Q1672" s="26" t="str">
        <f>IF(OR(F1672 = "", G1672 = "", I1672 = ""), "", IF(F1672 = "Vara", IFERROR(_xlfn.SINGLE(_xlfn.XLOOKUP(G1672, Vöruskrá!A:A, Vöruskrá!N:N, "")) * I1672 / 100, ""), IF(F1672 = "Réttur", IFERROR(_xlfn.SINGLE(_xlfn.XLOOKUP(G1672, Réttabanki!A:A, Réttabanki!BB:BB, "")) * I1672 / 100, ""), "")))</f>
        <v/>
      </c>
    </row>
    <row r="1673" spans="2:17">
      <c r="B1673" s="33" t="str">
        <f>IF(A1673&lt;&gt;"",CHOOSE(WEEKDAY(A1673,2),"Mánudagur","Þriðjudagur","Miðvikudagur","Fimmtudagur","Föstudagur","Laugardagur","Sunnudagur"),IF(B1672&lt;&gt;"",B1672,""))</f>
        <v>Fimmtudagur</v>
      </c>
      <c r="C1673" s="33">
        <f>IF(A1673&lt;&gt;"",WEEKNUM(A1673,21),IF(C1672&lt;&gt;"",C1672,""))</f>
        <v>27</v>
      </c>
      <c r="D1673" s="34"/>
      <c r="E1673" s="34"/>
      <c r="F1673" s="34"/>
      <c r="G1673" s="34"/>
      <c r="H1673" s="34"/>
      <c r="I1673" s="35"/>
      <c r="J1673" s="35"/>
      <c r="K1673" s="36"/>
      <c r="L1673" s="26" t="str">
        <f>IF(OR(F1673 = "", G1673 = ""), "", IF(F1673 = "Vara", IFERROR(_xlfn.SINGLE(_xlfn.XLOOKUP(G1673, Vöruskrá!A:A, Vöruskrá!E:E, "")), ""), IF(F1673 = "Réttur", IFERROR(_xlfn.SINGLE(_xlfn.XLOOKUP(G1673, Réttabanki!A:A, Réttabanki!AS:AS, "")), ""), "")))</f>
        <v/>
      </c>
      <c r="M1673" s="26" t="str">
        <f>IF(OR(F1673 = "", G1673 = ""), "", IF(F1673 = "Vara", IFERROR(_xlfn.SINGLE(_xlfn.XLOOKUP(G1673, Vöruskrá!A:A, Vöruskrá!F:F, "")), ""), IF(F1673 = "Réttur", IFERROR(_xlfn.SINGLE(_xlfn.XLOOKUP(G1673, Réttabanki!A:A, Réttabanki!AT:AT, "")), ""), "")))</f>
        <v/>
      </c>
      <c r="N1673" s="26" t="str">
        <f>IF(OR(F1673 = "", G1673 = ""), "", IF(F1673 = "Vara", IFERROR(_xlfn.SINGLE(_xlfn.XLOOKUP(G1673, Vöruskrá!A:A, Vöruskrá!G:G, "")), ""), IF(F1673 = "Réttur", IFERROR(_xlfn.SINGLE(_xlfn.XLOOKUP(G1673, Réttabanki!A:A, Réttabanki!AU:AU, "")), ""), "")))</f>
        <v/>
      </c>
      <c r="O1673" s="26" t="str">
        <f>IF(OR(F1673 = "", G1673 = "", I1673 = ""), "", IF(F1673 = "Vara", IFERROR(_xlfn.SINGLE(_xlfn.XLOOKUP(G1673, Vöruskrá!A:A, Vöruskrá!I:I, "")) * I1673 / 100, ""), IF(F1673 = "Réttur", IFERROR(_xlfn.SINGLE(_xlfn.XLOOKUP(G1673, Réttabanki!A:A, Réttabanki!AV:AV, "")) * I1673 / 100, ""), "")))</f>
        <v/>
      </c>
      <c r="P1673" s="26" t="str">
        <f>IF(OR(F1673 = "", G1673 = "", I1673 = ""), "", IF(F1673 = "Vara", IFERROR(_xlfn.SINGLE(_xlfn.XLOOKUP(G1673, Vöruskrá!A:A, Vöruskrá!J:J, "")) * I1673 / 100, ""), IF(F1673 = "Réttur", IFERROR(_xlfn.SINGLE(_xlfn.XLOOKUP(G1673, Réttabanki!A:A, Réttabanki!AW:AW, "")) * I1673 / 100, ""), "")))</f>
        <v/>
      </c>
      <c r="Q1673" s="26" t="str">
        <f>IF(OR(F1673 = "", G1673 = "", I1673 = ""), "", IF(F1673 = "Vara", IFERROR(_xlfn.SINGLE(_xlfn.XLOOKUP(G1673, Vöruskrá!A:A, Vöruskrá!N:N, "")) * I1673 / 100, ""), IF(F1673 = "Réttur", IFERROR(_xlfn.SINGLE(_xlfn.XLOOKUP(G1673, Réttabanki!A:A, Réttabanki!BB:BB, "")) * I1673 / 100, ""), "")))</f>
        <v/>
      </c>
    </row>
    <row r="1674" spans="2:17">
      <c r="B1674" s="33" t="str">
        <f>IF(A1674&lt;&gt;"",CHOOSE(WEEKDAY(A1674,2),"Mánudagur","Þriðjudagur","Miðvikudagur","Fimmtudagur","Föstudagur","Laugardagur","Sunnudagur"),IF(B1673&lt;&gt;"",B1673,""))</f>
        <v>Fimmtudagur</v>
      </c>
      <c r="C1674" s="33">
        <f>IF(A1674&lt;&gt;"",WEEKNUM(A1674,21),IF(C1673&lt;&gt;"",C1673,""))</f>
        <v>27</v>
      </c>
      <c r="D1674" s="34"/>
      <c r="E1674" s="34"/>
      <c r="F1674" s="34"/>
      <c r="G1674" s="34"/>
      <c r="H1674" s="34"/>
      <c r="I1674" s="35"/>
      <c r="J1674" s="35"/>
      <c r="K1674" s="36"/>
      <c r="L1674" s="26" t="str">
        <f>IF(OR(F1674 = "", G1674 = ""), "", IF(F1674 = "Vara", IFERROR(_xlfn.SINGLE(_xlfn.XLOOKUP(G1674, Vöruskrá!A:A, Vöruskrá!E:E, "")), ""), IF(F1674 = "Réttur", IFERROR(_xlfn.SINGLE(_xlfn.XLOOKUP(G1674, Réttabanki!A:A, Réttabanki!AS:AS, "")), ""), "")))</f>
        <v/>
      </c>
      <c r="M1674" s="26" t="str">
        <f>IF(OR(F1674 = "", G1674 = ""), "", IF(F1674 = "Vara", IFERROR(_xlfn.SINGLE(_xlfn.XLOOKUP(G1674, Vöruskrá!A:A, Vöruskrá!F:F, "")), ""), IF(F1674 = "Réttur", IFERROR(_xlfn.SINGLE(_xlfn.XLOOKUP(G1674, Réttabanki!A:A, Réttabanki!AT:AT, "")), ""), "")))</f>
        <v/>
      </c>
      <c r="N1674" s="26" t="str">
        <f>IF(OR(F1674 = "", G1674 = ""), "", IF(F1674 = "Vara", IFERROR(_xlfn.SINGLE(_xlfn.XLOOKUP(G1674, Vöruskrá!A:A, Vöruskrá!G:G, "")), ""), IF(F1674 = "Réttur", IFERROR(_xlfn.SINGLE(_xlfn.XLOOKUP(G1674, Réttabanki!A:A, Réttabanki!AU:AU, "")), ""), "")))</f>
        <v/>
      </c>
      <c r="O1674" s="26" t="str">
        <f>IF(OR(F1674 = "", G1674 = "", I1674 = ""), "", IF(F1674 = "Vara", IFERROR(_xlfn.SINGLE(_xlfn.XLOOKUP(G1674, Vöruskrá!A:A, Vöruskrá!I:I, "")) * I1674 / 100, ""), IF(F1674 = "Réttur", IFERROR(_xlfn.SINGLE(_xlfn.XLOOKUP(G1674, Réttabanki!A:A, Réttabanki!AV:AV, "")) * I1674 / 100, ""), "")))</f>
        <v/>
      </c>
      <c r="P1674" s="26" t="str">
        <f>IF(OR(F1674 = "", G1674 = "", I1674 = ""), "", IF(F1674 = "Vara", IFERROR(_xlfn.SINGLE(_xlfn.XLOOKUP(G1674, Vöruskrá!A:A, Vöruskrá!J:J, "")) * I1674 / 100, ""), IF(F1674 = "Réttur", IFERROR(_xlfn.SINGLE(_xlfn.XLOOKUP(G1674, Réttabanki!A:A, Réttabanki!AW:AW, "")) * I1674 / 100, ""), "")))</f>
        <v/>
      </c>
      <c r="Q1674" s="26" t="str">
        <f>IF(OR(F1674 = "", G1674 = "", I1674 = ""), "", IF(F1674 = "Vara", IFERROR(_xlfn.SINGLE(_xlfn.XLOOKUP(G1674, Vöruskrá!A:A, Vöruskrá!N:N, "")) * I1674 / 100, ""), IF(F1674 = "Réttur", IFERROR(_xlfn.SINGLE(_xlfn.XLOOKUP(G1674, Réttabanki!A:A, Réttabanki!BB:BB, "")) * I1674 / 100, ""), "")))</f>
        <v/>
      </c>
    </row>
    <row r="1675" spans="2:17">
      <c r="B1675" s="33" t="str">
        <f>IF(A1675&lt;&gt;"",CHOOSE(WEEKDAY(A1675,2),"Mánudagur","Þriðjudagur","Miðvikudagur","Fimmtudagur","Föstudagur","Laugardagur","Sunnudagur"),IF(B1674&lt;&gt;"",B1674,""))</f>
        <v>Fimmtudagur</v>
      </c>
      <c r="C1675" s="33">
        <f>IF(A1675&lt;&gt;"",WEEKNUM(A1675,21),IF(C1674&lt;&gt;"",C1674,""))</f>
        <v>27</v>
      </c>
      <c r="D1675" s="34"/>
      <c r="E1675" s="34"/>
      <c r="F1675" s="34"/>
      <c r="G1675" s="34"/>
      <c r="H1675" s="34"/>
      <c r="I1675" s="35"/>
      <c r="J1675" s="35"/>
      <c r="K1675" s="36"/>
      <c r="L1675" s="26" t="str">
        <f>IF(OR(F1675 = "", G1675 = ""), "", IF(F1675 = "Vara", IFERROR(_xlfn.SINGLE(_xlfn.XLOOKUP(G1675, Vöruskrá!A:A, Vöruskrá!E:E, "")), ""), IF(F1675 = "Réttur", IFERROR(_xlfn.SINGLE(_xlfn.XLOOKUP(G1675, Réttabanki!A:A, Réttabanki!AS:AS, "")), ""), "")))</f>
        <v/>
      </c>
      <c r="M1675" s="26" t="str">
        <f>IF(OR(F1675 = "", G1675 = ""), "", IF(F1675 = "Vara", IFERROR(_xlfn.SINGLE(_xlfn.XLOOKUP(G1675, Vöruskrá!A:A, Vöruskrá!F:F, "")), ""), IF(F1675 = "Réttur", IFERROR(_xlfn.SINGLE(_xlfn.XLOOKUP(G1675, Réttabanki!A:A, Réttabanki!AT:AT, "")), ""), "")))</f>
        <v/>
      </c>
      <c r="N1675" s="26" t="str">
        <f>IF(OR(F1675 = "", G1675 = ""), "", IF(F1675 = "Vara", IFERROR(_xlfn.SINGLE(_xlfn.XLOOKUP(G1675, Vöruskrá!A:A, Vöruskrá!G:G, "")), ""), IF(F1675 = "Réttur", IFERROR(_xlfn.SINGLE(_xlfn.XLOOKUP(G1675, Réttabanki!A:A, Réttabanki!AU:AU, "")), ""), "")))</f>
        <v/>
      </c>
      <c r="O1675" s="26" t="str">
        <f>IF(OR(F1675 = "", G1675 = "", I1675 = ""), "", IF(F1675 = "Vara", IFERROR(_xlfn.SINGLE(_xlfn.XLOOKUP(G1675, Vöruskrá!A:A, Vöruskrá!I:I, "")) * I1675 / 100, ""), IF(F1675 = "Réttur", IFERROR(_xlfn.SINGLE(_xlfn.XLOOKUP(G1675, Réttabanki!A:A, Réttabanki!AV:AV, "")) * I1675 / 100, ""), "")))</f>
        <v/>
      </c>
      <c r="P1675" s="26" t="str">
        <f>IF(OR(F1675 = "", G1675 = "", I1675 = ""), "", IF(F1675 = "Vara", IFERROR(_xlfn.SINGLE(_xlfn.XLOOKUP(G1675, Vöruskrá!A:A, Vöruskrá!J:J, "")) * I1675 / 100, ""), IF(F1675 = "Réttur", IFERROR(_xlfn.SINGLE(_xlfn.XLOOKUP(G1675, Réttabanki!A:A, Réttabanki!AW:AW, "")) * I1675 / 100, ""), "")))</f>
        <v/>
      </c>
      <c r="Q1675" s="26" t="str">
        <f>IF(OR(F1675 = "", G1675 = "", I1675 = ""), "", IF(F1675 = "Vara", IFERROR(_xlfn.SINGLE(_xlfn.XLOOKUP(G1675, Vöruskrá!A:A, Vöruskrá!N:N, "")) * I1675 / 100, ""), IF(F1675 = "Réttur", IFERROR(_xlfn.SINGLE(_xlfn.XLOOKUP(G1675, Réttabanki!A:A, Réttabanki!BB:BB, "")) * I1675 / 100, ""), "")))</f>
        <v/>
      </c>
    </row>
    <row r="1676" spans="2:17">
      <c r="B1676" s="33" t="str">
        <f>IF(A1676&lt;&gt;"",CHOOSE(WEEKDAY(A1676,2),"Mánudagur","Þriðjudagur","Miðvikudagur","Fimmtudagur","Föstudagur","Laugardagur","Sunnudagur"),IF(B1675&lt;&gt;"",B1675,""))</f>
        <v>Fimmtudagur</v>
      </c>
      <c r="C1676" s="33">
        <f>IF(A1676&lt;&gt;"",WEEKNUM(A1676,21),IF(C1675&lt;&gt;"",C1675,""))</f>
        <v>27</v>
      </c>
      <c r="D1676" s="34"/>
      <c r="E1676" s="34"/>
      <c r="F1676" s="34"/>
      <c r="G1676" s="34"/>
      <c r="H1676" s="34"/>
      <c r="I1676" s="35"/>
      <c r="J1676" s="35"/>
      <c r="K1676" s="36"/>
      <c r="L1676" s="26" t="str">
        <f>IF(OR(F1676 = "", G1676 = ""), "", IF(F1676 = "Vara", IFERROR(_xlfn.SINGLE(_xlfn.XLOOKUP(G1676, Vöruskrá!A:A, Vöruskrá!E:E, "")), ""), IF(F1676 = "Réttur", IFERROR(_xlfn.SINGLE(_xlfn.XLOOKUP(G1676, Réttabanki!A:A, Réttabanki!AS:AS, "")), ""), "")))</f>
        <v/>
      </c>
      <c r="M1676" s="26" t="str">
        <f>IF(OR(F1676 = "", G1676 = ""), "", IF(F1676 = "Vara", IFERROR(_xlfn.SINGLE(_xlfn.XLOOKUP(G1676, Vöruskrá!A:A, Vöruskrá!F:F, "")), ""), IF(F1676 = "Réttur", IFERROR(_xlfn.SINGLE(_xlfn.XLOOKUP(G1676, Réttabanki!A:A, Réttabanki!AT:AT, "")), ""), "")))</f>
        <v/>
      </c>
      <c r="N1676" s="26" t="str">
        <f>IF(OR(F1676 = "", G1676 = ""), "", IF(F1676 = "Vara", IFERROR(_xlfn.SINGLE(_xlfn.XLOOKUP(G1676, Vöruskrá!A:A, Vöruskrá!G:G, "")), ""), IF(F1676 = "Réttur", IFERROR(_xlfn.SINGLE(_xlfn.XLOOKUP(G1676, Réttabanki!A:A, Réttabanki!AU:AU, "")), ""), "")))</f>
        <v/>
      </c>
      <c r="O1676" s="26" t="str">
        <f>IF(OR(F1676 = "", G1676 = "", I1676 = ""), "", IF(F1676 = "Vara", IFERROR(_xlfn.SINGLE(_xlfn.XLOOKUP(G1676, Vöruskrá!A:A, Vöruskrá!I:I, "")) * I1676 / 100, ""), IF(F1676 = "Réttur", IFERROR(_xlfn.SINGLE(_xlfn.XLOOKUP(G1676, Réttabanki!A:A, Réttabanki!AV:AV, "")) * I1676 / 100, ""), "")))</f>
        <v/>
      </c>
      <c r="P1676" s="26" t="str">
        <f>IF(OR(F1676 = "", G1676 = "", I1676 = ""), "", IF(F1676 = "Vara", IFERROR(_xlfn.SINGLE(_xlfn.XLOOKUP(G1676, Vöruskrá!A:A, Vöruskrá!J:J, "")) * I1676 / 100, ""), IF(F1676 = "Réttur", IFERROR(_xlfn.SINGLE(_xlfn.XLOOKUP(G1676, Réttabanki!A:A, Réttabanki!AW:AW, "")) * I1676 / 100, ""), "")))</f>
        <v/>
      </c>
      <c r="Q1676" s="26" t="str">
        <f>IF(OR(F1676 = "", G1676 = "", I1676 = ""), "", IF(F1676 = "Vara", IFERROR(_xlfn.SINGLE(_xlfn.XLOOKUP(G1676, Vöruskrá!A:A, Vöruskrá!N:N, "")) * I1676 / 100, ""), IF(F1676 = "Réttur", IFERROR(_xlfn.SINGLE(_xlfn.XLOOKUP(G1676, Réttabanki!A:A, Réttabanki!BB:BB, "")) * I1676 / 100, ""), "")))</f>
        <v/>
      </c>
    </row>
    <row r="1677" spans="2:17">
      <c r="B1677" s="33" t="str">
        <f>IF(A1677&lt;&gt;"",CHOOSE(WEEKDAY(A1677,2),"Mánudagur","Þriðjudagur","Miðvikudagur","Fimmtudagur","Föstudagur","Laugardagur","Sunnudagur"),IF(B1676&lt;&gt;"",B1676,""))</f>
        <v>Fimmtudagur</v>
      </c>
      <c r="C1677" s="33">
        <f>IF(A1677&lt;&gt;"",WEEKNUM(A1677,21),IF(C1676&lt;&gt;"",C1676,""))</f>
        <v>27</v>
      </c>
      <c r="D1677" s="34"/>
      <c r="E1677" s="34"/>
      <c r="F1677" s="34"/>
      <c r="G1677" s="34"/>
      <c r="H1677" s="34"/>
      <c r="I1677" s="35"/>
      <c r="J1677" s="35"/>
      <c r="K1677" s="36"/>
      <c r="L1677" s="26" t="str">
        <f>IF(OR(F1677 = "", G1677 = ""), "", IF(F1677 = "Vara", IFERROR(_xlfn.SINGLE(_xlfn.XLOOKUP(G1677, Vöruskrá!A:A, Vöruskrá!E:E, "")), ""), IF(F1677 = "Réttur", IFERROR(_xlfn.SINGLE(_xlfn.XLOOKUP(G1677, Réttabanki!A:A, Réttabanki!AS:AS, "")), ""), "")))</f>
        <v/>
      </c>
      <c r="M1677" s="26" t="str">
        <f>IF(OR(F1677 = "", G1677 = ""), "", IF(F1677 = "Vara", IFERROR(_xlfn.SINGLE(_xlfn.XLOOKUP(G1677, Vöruskrá!A:A, Vöruskrá!F:F, "")), ""), IF(F1677 = "Réttur", IFERROR(_xlfn.SINGLE(_xlfn.XLOOKUP(G1677, Réttabanki!A:A, Réttabanki!AT:AT, "")), ""), "")))</f>
        <v/>
      </c>
      <c r="N1677" s="26" t="str">
        <f>IF(OR(F1677 = "", G1677 = ""), "", IF(F1677 = "Vara", IFERROR(_xlfn.SINGLE(_xlfn.XLOOKUP(G1677, Vöruskrá!A:A, Vöruskrá!G:G, "")), ""), IF(F1677 = "Réttur", IFERROR(_xlfn.SINGLE(_xlfn.XLOOKUP(G1677, Réttabanki!A:A, Réttabanki!AU:AU, "")), ""), "")))</f>
        <v/>
      </c>
      <c r="O1677" s="26" t="str">
        <f>IF(OR(F1677 = "", G1677 = "", I1677 = ""), "", IF(F1677 = "Vara", IFERROR(_xlfn.SINGLE(_xlfn.XLOOKUP(G1677, Vöruskrá!A:A, Vöruskrá!I:I, "")) * I1677 / 100, ""), IF(F1677 = "Réttur", IFERROR(_xlfn.SINGLE(_xlfn.XLOOKUP(G1677, Réttabanki!A:A, Réttabanki!AV:AV, "")) * I1677 / 100, ""), "")))</f>
        <v/>
      </c>
      <c r="P1677" s="26" t="str">
        <f>IF(OR(F1677 = "", G1677 = "", I1677 = ""), "", IF(F1677 = "Vara", IFERROR(_xlfn.SINGLE(_xlfn.XLOOKUP(G1677, Vöruskrá!A:A, Vöruskrá!J:J, "")) * I1677 / 100, ""), IF(F1677 = "Réttur", IFERROR(_xlfn.SINGLE(_xlfn.XLOOKUP(G1677, Réttabanki!A:A, Réttabanki!AW:AW, "")) * I1677 / 100, ""), "")))</f>
        <v/>
      </c>
      <c r="Q1677" s="26" t="str">
        <f>IF(OR(F1677 = "", G1677 = "", I1677 = ""), "", IF(F1677 = "Vara", IFERROR(_xlfn.SINGLE(_xlfn.XLOOKUP(G1677, Vöruskrá!A:A, Vöruskrá!N:N, "")) * I1677 / 100, ""), IF(F1677 = "Réttur", IFERROR(_xlfn.SINGLE(_xlfn.XLOOKUP(G1677, Réttabanki!A:A, Réttabanki!BB:BB, "")) * I1677 / 100, ""), "")))</f>
        <v/>
      </c>
    </row>
    <row r="1678" spans="2:17">
      <c r="B1678" s="33" t="str">
        <f>IF(A1678&lt;&gt;"",CHOOSE(WEEKDAY(A1678,2),"Mánudagur","Þriðjudagur","Miðvikudagur","Fimmtudagur","Föstudagur","Laugardagur","Sunnudagur"),IF(B1677&lt;&gt;"",B1677,""))</f>
        <v>Fimmtudagur</v>
      </c>
      <c r="C1678" s="33">
        <f>IF(A1678&lt;&gt;"",WEEKNUM(A1678,21),IF(C1677&lt;&gt;"",C1677,""))</f>
        <v>27</v>
      </c>
      <c r="D1678" s="34"/>
      <c r="E1678" s="34"/>
      <c r="F1678" s="34"/>
      <c r="G1678" s="34"/>
      <c r="H1678" s="34"/>
      <c r="I1678" s="35"/>
      <c r="J1678" s="35"/>
      <c r="K1678" s="36"/>
      <c r="L1678" s="26" t="str">
        <f>IF(OR(F1678 = "", G1678 = ""), "", IF(F1678 = "Vara", IFERROR(_xlfn.SINGLE(_xlfn.XLOOKUP(G1678, Vöruskrá!A:A, Vöruskrá!E:E, "")), ""), IF(F1678 = "Réttur", IFERROR(_xlfn.SINGLE(_xlfn.XLOOKUP(G1678, Réttabanki!A:A, Réttabanki!AS:AS, "")), ""), "")))</f>
        <v/>
      </c>
      <c r="M1678" s="26" t="str">
        <f>IF(OR(F1678 = "", G1678 = ""), "", IF(F1678 = "Vara", IFERROR(_xlfn.SINGLE(_xlfn.XLOOKUP(G1678, Vöruskrá!A:A, Vöruskrá!F:F, "")), ""), IF(F1678 = "Réttur", IFERROR(_xlfn.SINGLE(_xlfn.XLOOKUP(G1678, Réttabanki!A:A, Réttabanki!AT:AT, "")), ""), "")))</f>
        <v/>
      </c>
      <c r="N1678" s="26" t="str">
        <f>IF(OR(F1678 = "", G1678 = ""), "", IF(F1678 = "Vara", IFERROR(_xlfn.SINGLE(_xlfn.XLOOKUP(G1678, Vöruskrá!A:A, Vöruskrá!G:G, "")), ""), IF(F1678 = "Réttur", IFERROR(_xlfn.SINGLE(_xlfn.XLOOKUP(G1678, Réttabanki!A:A, Réttabanki!AU:AU, "")), ""), "")))</f>
        <v/>
      </c>
      <c r="O1678" s="26" t="str">
        <f>IF(OR(F1678 = "", G1678 = "", I1678 = ""), "", IF(F1678 = "Vara", IFERROR(_xlfn.SINGLE(_xlfn.XLOOKUP(G1678, Vöruskrá!A:A, Vöruskrá!I:I, "")) * I1678 / 100, ""), IF(F1678 = "Réttur", IFERROR(_xlfn.SINGLE(_xlfn.XLOOKUP(G1678, Réttabanki!A:A, Réttabanki!AV:AV, "")) * I1678 / 100, ""), "")))</f>
        <v/>
      </c>
      <c r="P1678" s="26" t="str">
        <f>IF(OR(F1678 = "", G1678 = "", I1678 = ""), "", IF(F1678 = "Vara", IFERROR(_xlfn.SINGLE(_xlfn.XLOOKUP(G1678, Vöruskrá!A:A, Vöruskrá!J:J, "")) * I1678 / 100, ""), IF(F1678 = "Réttur", IFERROR(_xlfn.SINGLE(_xlfn.XLOOKUP(G1678, Réttabanki!A:A, Réttabanki!AW:AW, "")) * I1678 / 100, ""), "")))</f>
        <v/>
      </c>
      <c r="Q1678" s="26" t="str">
        <f>IF(OR(F1678 = "", G1678 = "", I1678 = ""), "", IF(F1678 = "Vara", IFERROR(_xlfn.SINGLE(_xlfn.XLOOKUP(G1678, Vöruskrá!A:A, Vöruskrá!N:N, "")) * I1678 / 100, ""), IF(F1678 = "Réttur", IFERROR(_xlfn.SINGLE(_xlfn.XLOOKUP(G1678, Réttabanki!A:A, Réttabanki!BB:BB, "")) * I1678 / 100, ""), "")))</f>
        <v/>
      </c>
    </row>
    <row r="1679" spans="2:17">
      <c r="B1679" s="33" t="str">
        <f>IF(A1679&lt;&gt;"",CHOOSE(WEEKDAY(A1679,2),"Mánudagur","Þriðjudagur","Miðvikudagur","Fimmtudagur","Föstudagur","Laugardagur","Sunnudagur"),IF(B1678&lt;&gt;"",B1678,""))</f>
        <v>Fimmtudagur</v>
      </c>
      <c r="C1679" s="33">
        <f>IF(A1679&lt;&gt;"",WEEKNUM(A1679,21),IF(C1678&lt;&gt;"",C1678,""))</f>
        <v>27</v>
      </c>
      <c r="D1679" s="34"/>
      <c r="E1679" s="34"/>
      <c r="F1679" s="34"/>
      <c r="G1679" s="34"/>
      <c r="H1679" s="34"/>
      <c r="I1679" s="35"/>
      <c r="J1679" s="35"/>
      <c r="K1679" s="36"/>
      <c r="L1679" s="26" t="str">
        <f>IF(OR(F1679 = "", G1679 = ""), "", IF(F1679 = "Vara", IFERROR(_xlfn.SINGLE(_xlfn.XLOOKUP(G1679, Vöruskrá!A:A, Vöruskrá!E:E, "")), ""), IF(F1679 = "Réttur", IFERROR(_xlfn.SINGLE(_xlfn.XLOOKUP(G1679, Réttabanki!A:A, Réttabanki!AS:AS, "")), ""), "")))</f>
        <v/>
      </c>
      <c r="M1679" s="26" t="str">
        <f>IF(OR(F1679 = "", G1679 = ""), "", IF(F1679 = "Vara", IFERROR(_xlfn.SINGLE(_xlfn.XLOOKUP(G1679, Vöruskrá!A:A, Vöruskrá!F:F, "")), ""), IF(F1679 = "Réttur", IFERROR(_xlfn.SINGLE(_xlfn.XLOOKUP(G1679, Réttabanki!A:A, Réttabanki!AT:AT, "")), ""), "")))</f>
        <v/>
      </c>
      <c r="N1679" s="26" t="str">
        <f>IF(OR(F1679 = "", G1679 = ""), "", IF(F1679 = "Vara", IFERROR(_xlfn.SINGLE(_xlfn.XLOOKUP(G1679, Vöruskrá!A:A, Vöruskrá!G:G, "")), ""), IF(F1679 = "Réttur", IFERROR(_xlfn.SINGLE(_xlfn.XLOOKUP(G1679, Réttabanki!A:A, Réttabanki!AU:AU, "")), ""), "")))</f>
        <v/>
      </c>
      <c r="O1679" s="26" t="str">
        <f>IF(OR(F1679 = "", G1679 = "", I1679 = ""), "", IF(F1679 = "Vara", IFERROR(_xlfn.SINGLE(_xlfn.XLOOKUP(G1679, Vöruskrá!A:A, Vöruskrá!I:I, "")) * I1679 / 100, ""), IF(F1679 = "Réttur", IFERROR(_xlfn.SINGLE(_xlfn.XLOOKUP(G1679, Réttabanki!A:A, Réttabanki!AV:AV, "")) * I1679 / 100, ""), "")))</f>
        <v/>
      </c>
      <c r="P1679" s="26" t="str">
        <f>IF(OR(F1679 = "", G1679 = "", I1679 = ""), "", IF(F1679 = "Vara", IFERROR(_xlfn.SINGLE(_xlfn.XLOOKUP(G1679, Vöruskrá!A:A, Vöruskrá!J:J, "")) * I1679 / 100, ""), IF(F1679 = "Réttur", IFERROR(_xlfn.SINGLE(_xlfn.XLOOKUP(G1679, Réttabanki!A:A, Réttabanki!AW:AW, "")) * I1679 / 100, ""), "")))</f>
        <v/>
      </c>
      <c r="Q1679" s="26" t="str">
        <f>IF(OR(F1679 = "", G1679 = "", I1679 = ""), "", IF(F1679 = "Vara", IFERROR(_xlfn.SINGLE(_xlfn.XLOOKUP(G1679, Vöruskrá!A:A, Vöruskrá!N:N, "")) * I1679 / 100, ""), IF(F1679 = "Réttur", IFERROR(_xlfn.SINGLE(_xlfn.XLOOKUP(G1679, Réttabanki!A:A, Réttabanki!BB:BB, "")) * I1679 / 100, ""), "")))</f>
        <v/>
      </c>
    </row>
    <row r="1680" spans="2:17">
      <c r="B1680" s="33" t="str">
        <f>IF(A1680&lt;&gt;"",CHOOSE(WEEKDAY(A1680,2),"Mánudagur","Þriðjudagur","Miðvikudagur","Fimmtudagur","Föstudagur","Laugardagur","Sunnudagur"),IF(B1679&lt;&gt;"",B1679,""))</f>
        <v>Fimmtudagur</v>
      </c>
      <c r="C1680" s="33">
        <f>IF(A1680&lt;&gt;"",WEEKNUM(A1680,21),IF(C1679&lt;&gt;"",C1679,""))</f>
        <v>27</v>
      </c>
      <c r="D1680" s="34"/>
      <c r="E1680" s="34"/>
      <c r="F1680" s="34"/>
      <c r="G1680" s="34"/>
      <c r="H1680" s="34"/>
      <c r="I1680" s="35"/>
      <c r="J1680" s="35"/>
      <c r="K1680" s="36"/>
      <c r="L1680" s="26" t="str">
        <f>IF(OR(F1680 = "", G1680 = ""), "", IF(F1680 = "Vara", IFERROR(_xlfn.SINGLE(_xlfn.XLOOKUP(G1680, Vöruskrá!A:A, Vöruskrá!E:E, "")), ""), IF(F1680 = "Réttur", IFERROR(_xlfn.SINGLE(_xlfn.XLOOKUP(G1680, Réttabanki!A:A, Réttabanki!AS:AS, "")), ""), "")))</f>
        <v/>
      </c>
      <c r="M1680" s="26" t="str">
        <f>IF(OR(F1680 = "", G1680 = ""), "", IF(F1680 = "Vara", IFERROR(_xlfn.SINGLE(_xlfn.XLOOKUP(G1680, Vöruskrá!A:A, Vöruskrá!F:F, "")), ""), IF(F1680 = "Réttur", IFERROR(_xlfn.SINGLE(_xlfn.XLOOKUP(G1680, Réttabanki!A:A, Réttabanki!AT:AT, "")), ""), "")))</f>
        <v/>
      </c>
      <c r="N1680" s="26" t="str">
        <f>IF(OR(F1680 = "", G1680 = ""), "", IF(F1680 = "Vara", IFERROR(_xlfn.SINGLE(_xlfn.XLOOKUP(G1680, Vöruskrá!A:A, Vöruskrá!G:G, "")), ""), IF(F1680 = "Réttur", IFERROR(_xlfn.SINGLE(_xlfn.XLOOKUP(G1680, Réttabanki!A:A, Réttabanki!AU:AU, "")), ""), "")))</f>
        <v/>
      </c>
      <c r="O1680" s="26" t="str">
        <f>IF(OR(F1680 = "", G1680 = "", I1680 = ""), "", IF(F1680 = "Vara", IFERROR(_xlfn.SINGLE(_xlfn.XLOOKUP(G1680, Vöruskrá!A:A, Vöruskrá!I:I, "")) * I1680 / 100, ""), IF(F1680 = "Réttur", IFERROR(_xlfn.SINGLE(_xlfn.XLOOKUP(G1680, Réttabanki!A:A, Réttabanki!AV:AV, "")) * I1680 / 100, ""), "")))</f>
        <v/>
      </c>
      <c r="P1680" s="26" t="str">
        <f>IF(OR(F1680 = "", G1680 = "", I1680 = ""), "", IF(F1680 = "Vara", IFERROR(_xlfn.SINGLE(_xlfn.XLOOKUP(G1680, Vöruskrá!A:A, Vöruskrá!J:J, "")) * I1680 / 100, ""), IF(F1680 = "Réttur", IFERROR(_xlfn.SINGLE(_xlfn.XLOOKUP(G1680, Réttabanki!A:A, Réttabanki!AW:AW, "")) * I1680 / 100, ""), "")))</f>
        <v/>
      </c>
      <c r="Q1680" s="26" t="str">
        <f>IF(OR(F1680 = "", G1680 = "", I1680 = ""), "", IF(F1680 = "Vara", IFERROR(_xlfn.SINGLE(_xlfn.XLOOKUP(G1680, Vöruskrá!A:A, Vöruskrá!N:N, "")) * I1680 / 100, ""), IF(F1680 = "Réttur", IFERROR(_xlfn.SINGLE(_xlfn.XLOOKUP(G1680, Réttabanki!A:A, Réttabanki!BB:BB, "")) * I1680 / 100, ""), "")))</f>
        <v/>
      </c>
    </row>
    <row r="1681" spans="2:17">
      <c r="B1681" s="33" t="str">
        <f>IF(A1681&lt;&gt;"",CHOOSE(WEEKDAY(A1681,2),"Mánudagur","Þriðjudagur","Miðvikudagur","Fimmtudagur","Föstudagur","Laugardagur","Sunnudagur"),IF(B1680&lt;&gt;"",B1680,""))</f>
        <v>Fimmtudagur</v>
      </c>
      <c r="C1681" s="33">
        <f>IF(A1681&lt;&gt;"",WEEKNUM(A1681,21),IF(C1680&lt;&gt;"",C1680,""))</f>
        <v>27</v>
      </c>
      <c r="D1681" s="34"/>
      <c r="E1681" s="34"/>
      <c r="F1681" s="34"/>
      <c r="G1681" s="34"/>
      <c r="H1681" s="34"/>
      <c r="I1681" s="35"/>
      <c r="J1681" s="35"/>
      <c r="K1681" s="36"/>
      <c r="L1681" s="26" t="str">
        <f>IF(OR(F1681 = "", G1681 = ""), "", IF(F1681 = "Vara", IFERROR(_xlfn.SINGLE(_xlfn.XLOOKUP(G1681, Vöruskrá!A:A, Vöruskrá!E:E, "")), ""), IF(F1681 = "Réttur", IFERROR(_xlfn.SINGLE(_xlfn.XLOOKUP(G1681, Réttabanki!A:A, Réttabanki!AS:AS, "")), ""), "")))</f>
        <v/>
      </c>
      <c r="M1681" s="26" t="str">
        <f>IF(OR(F1681 = "", G1681 = ""), "", IF(F1681 = "Vara", IFERROR(_xlfn.SINGLE(_xlfn.XLOOKUP(G1681, Vöruskrá!A:A, Vöruskrá!F:F, "")), ""), IF(F1681 = "Réttur", IFERROR(_xlfn.SINGLE(_xlfn.XLOOKUP(G1681, Réttabanki!A:A, Réttabanki!AT:AT, "")), ""), "")))</f>
        <v/>
      </c>
      <c r="N1681" s="26" t="str">
        <f>IF(OR(F1681 = "", G1681 = ""), "", IF(F1681 = "Vara", IFERROR(_xlfn.SINGLE(_xlfn.XLOOKUP(G1681, Vöruskrá!A:A, Vöruskrá!G:G, "")), ""), IF(F1681 = "Réttur", IFERROR(_xlfn.SINGLE(_xlfn.XLOOKUP(G1681, Réttabanki!A:A, Réttabanki!AU:AU, "")), ""), "")))</f>
        <v/>
      </c>
      <c r="O1681" s="26" t="str">
        <f>IF(OR(F1681 = "", G1681 = "", I1681 = ""), "", IF(F1681 = "Vara", IFERROR(_xlfn.SINGLE(_xlfn.XLOOKUP(G1681, Vöruskrá!A:A, Vöruskrá!I:I, "")) * I1681 / 100, ""), IF(F1681 = "Réttur", IFERROR(_xlfn.SINGLE(_xlfn.XLOOKUP(G1681, Réttabanki!A:A, Réttabanki!AV:AV, "")) * I1681 / 100, ""), "")))</f>
        <v/>
      </c>
      <c r="P1681" s="26" t="str">
        <f>IF(OR(F1681 = "", G1681 = "", I1681 = ""), "", IF(F1681 = "Vara", IFERROR(_xlfn.SINGLE(_xlfn.XLOOKUP(G1681, Vöruskrá!A:A, Vöruskrá!J:J, "")) * I1681 / 100, ""), IF(F1681 = "Réttur", IFERROR(_xlfn.SINGLE(_xlfn.XLOOKUP(G1681, Réttabanki!A:A, Réttabanki!AW:AW, "")) * I1681 / 100, ""), "")))</f>
        <v/>
      </c>
      <c r="Q1681" s="26" t="str">
        <f>IF(OR(F1681 = "", G1681 = "", I1681 = ""), "", IF(F1681 = "Vara", IFERROR(_xlfn.SINGLE(_xlfn.XLOOKUP(G1681, Vöruskrá!A:A, Vöruskrá!N:N, "")) * I1681 / 100, ""), IF(F1681 = "Réttur", IFERROR(_xlfn.SINGLE(_xlfn.XLOOKUP(G1681, Réttabanki!A:A, Réttabanki!BB:BB, "")) * I1681 / 100, ""), "")))</f>
        <v/>
      </c>
    </row>
    <row r="1682" spans="2:17">
      <c r="B1682" s="33" t="str">
        <f>IF(A1682&lt;&gt;"",CHOOSE(WEEKDAY(A1682,2),"Mánudagur","Þriðjudagur","Miðvikudagur","Fimmtudagur","Föstudagur","Laugardagur","Sunnudagur"),IF(B1681&lt;&gt;"",B1681,""))</f>
        <v>Fimmtudagur</v>
      </c>
      <c r="C1682" s="33">
        <f>IF(A1682&lt;&gt;"",WEEKNUM(A1682,21),IF(C1681&lt;&gt;"",C1681,""))</f>
        <v>27</v>
      </c>
      <c r="D1682" s="34"/>
      <c r="E1682" s="34"/>
      <c r="F1682" s="34"/>
      <c r="G1682" s="34"/>
      <c r="H1682" s="34"/>
      <c r="I1682" s="35"/>
      <c r="J1682" s="35"/>
      <c r="K1682" s="36"/>
      <c r="L1682" s="26" t="str">
        <f>IF(OR(F1682 = "", G1682 = ""), "", IF(F1682 = "Vara", IFERROR(_xlfn.SINGLE(_xlfn.XLOOKUP(G1682, Vöruskrá!A:A, Vöruskrá!E:E, "")), ""), IF(F1682 = "Réttur", IFERROR(_xlfn.SINGLE(_xlfn.XLOOKUP(G1682, Réttabanki!A:A, Réttabanki!AS:AS, "")), ""), "")))</f>
        <v/>
      </c>
      <c r="M1682" s="26" t="str">
        <f>IF(OR(F1682 = "", G1682 = ""), "", IF(F1682 = "Vara", IFERROR(_xlfn.SINGLE(_xlfn.XLOOKUP(G1682, Vöruskrá!A:A, Vöruskrá!F:F, "")), ""), IF(F1682 = "Réttur", IFERROR(_xlfn.SINGLE(_xlfn.XLOOKUP(G1682, Réttabanki!A:A, Réttabanki!AT:AT, "")), ""), "")))</f>
        <v/>
      </c>
      <c r="N1682" s="26" t="str">
        <f>IF(OR(F1682 = "", G1682 = ""), "", IF(F1682 = "Vara", IFERROR(_xlfn.SINGLE(_xlfn.XLOOKUP(G1682, Vöruskrá!A:A, Vöruskrá!G:G, "")), ""), IF(F1682 = "Réttur", IFERROR(_xlfn.SINGLE(_xlfn.XLOOKUP(G1682, Réttabanki!A:A, Réttabanki!AU:AU, "")), ""), "")))</f>
        <v/>
      </c>
      <c r="O1682" s="26" t="str">
        <f>IF(OR(F1682 = "", G1682 = "", I1682 = ""), "", IF(F1682 = "Vara", IFERROR(_xlfn.SINGLE(_xlfn.XLOOKUP(G1682, Vöruskrá!A:A, Vöruskrá!I:I, "")) * I1682 / 100, ""), IF(F1682 = "Réttur", IFERROR(_xlfn.SINGLE(_xlfn.XLOOKUP(G1682, Réttabanki!A:A, Réttabanki!AV:AV, "")) * I1682 / 100, ""), "")))</f>
        <v/>
      </c>
      <c r="P1682" s="26" t="str">
        <f>IF(OR(F1682 = "", G1682 = "", I1682 = ""), "", IF(F1682 = "Vara", IFERROR(_xlfn.SINGLE(_xlfn.XLOOKUP(G1682, Vöruskrá!A:A, Vöruskrá!J:J, "")) * I1682 / 100, ""), IF(F1682 = "Réttur", IFERROR(_xlfn.SINGLE(_xlfn.XLOOKUP(G1682, Réttabanki!A:A, Réttabanki!AW:AW, "")) * I1682 / 100, ""), "")))</f>
        <v/>
      </c>
      <c r="Q1682" s="26" t="str">
        <f>IF(OR(F1682 = "", G1682 = "", I1682 = ""), "", IF(F1682 = "Vara", IFERROR(_xlfn.SINGLE(_xlfn.XLOOKUP(G1682, Vöruskrá!A:A, Vöruskrá!N:N, "")) * I1682 / 100, ""), IF(F1682 = "Réttur", IFERROR(_xlfn.SINGLE(_xlfn.XLOOKUP(G1682, Réttabanki!A:A, Réttabanki!BB:BB, "")) * I1682 / 100, ""), "")))</f>
        <v/>
      </c>
    </row>
    <row r="1683" spans="2:17">
      <c r="B1683" s="33" t="str">
        <f>IF(A1683&lt;&gt;"",CHOOSE(WEEKDAY(A1683,2),"Mánudagur","Þriðjudagur","Miðvikudagur","Fimmtudagur","Föstudagur","Laugardagur","Sunnudagur"),IF(B1682&lt;&gt;"",B1682,""))</f>
        <v>Fimmtudagur</v>
      </c>
      <c r="C1683" s="33">
        <f>IF(A1683&lt;&gt;"",WEEKNUM(A1683,21),IF(C1682&lt;&gt;"",C1682,""))</f>
        <v>27</v>
      </c>
      <c r="D1683" s="34"/>
      <c r="E1683" s="34"/>
      <c r="F1683" s="34"/>
      <c r="G1683" s="34"/>
      <c r="H1683" s="34"/>
      <c r="I1683" s="35"/>
      <c r="J1683" s="35"/>
      <c r="K1683" s="36"/>
      <c r="L1683" s="26" t="str">
        <f>IF(OR(F1683 = "", G1683 = ""), "", IF(F1683 = "Vara", IFERROR(_xlfn.SINGLE(_xlfn.XLOOKUP(G1683, Vöruskrá!A:A, Vöruskrá!E:E, "")), ""), IF(F1683 = "Réttur", IFERROR(_xlfn.SINGLE(_xlfn.XLOOKUP(G1683, Réttabanki!A:A, Réttabanki!AS:AS, "")), ""), "")))</f>
        <v/>
      </c>
      <c r="M1683" s="26" t="str">
        <f>IF(OR(F1683 = "", G1683 = ""), "", IF(F1683 = "Vara", IFERROR(_xlfn.SINGLE(_xlfn.XLOOKUP(G1683, Vöruskrá!A:A, Vöruskrá!F:F, "")), ""), IF(F1683 = "Réttur", IFERROR(_xlfn.SINGLE(_xlfn.XLOOKUP(G1683, Réttabanki!A:A, Réttabanki!AT:AT, "")), ""), "")))</f>
        <v/>
      </c>
      <c r="N1683" s="26" t="str">
        <f>IF(OR(F1683 = "", G1683 = ""), "", IF(F1683 = "Vara", IFERROR(_xlfn.SINGLE(_xlfn.XLOOKUP(G1683, Vöruskrá!A:A, Vöruskrá!G:G, "")), ""), IF(F1683 = "Réttur", IFERROR(_xlfn.SINGLE(_xlfn.XLOOKUP(G1683, Réttabanki!A:A, Réttabanki!AU:AU, "")), ""), "")))</f>
        <v/>
      </c>
      <c r="O1683" s="26" t="str">
        <f>IF(OR(F1683 = "", G1683 = "", I1683 = ""), "", IF(F1683 = "Vara", IFERROR(_xlfn.SINGLE(_xlfn.XLOOKUP(G1683, Vöruskrá!A:A, Vöruskrá!I:I, "")) * I1683 / 100, ""), IF(F1683 = "Réttur", IFERROR(_xlfn.SINGLE(_xlfn.XLOOKUP(G1683, Réttabanki!A:A, Réttabanki!AV:AV, "")) * I1683 / 100, ""), "")))</f>
        <v/>
      </c>
      <c r="P1683" s="26" t="str">
        <f>IF(OR(F1683 = "", G1683 = "", I1683 = ""), "", IF(F1683 = "Vara", IFERROR(_xlfn.SINGLE(_xlfn.XLOOKUP(G1683, Vöruskrá!A:A, Vöruskrá!J:J, "")) * I1683 / 100, ""), IF(F1683 = "Réttur", IFERROR(_xlfn.SINGLE(_xlfn.XLOOKUP(G1683, Réttabanki!A:A, Réttabanki!AW:AW, "")) * I1683 / 100, ""), "")))</f>
        <v/>
      </c>
      <c r="Q1683" s="26" t="str">
        <f>IF(OR(F1683 = "", G1683 = "", I1683 = ""), "", IF(F1683 = "Vara", IFERROR(_xlfn.SINGLE(_xlfn.XLOOKUP(G1683, Vöruskrá!A:A, Vöruskrá!N:N, "")) * I1683 / 100, ""), IF(F1683 = "Réttur", IFERROR(_xlfn.SINGLE(_xlfn.XLOOKUP(G1683, Réttabanki!A:A, Réttabanki!BB:BB, "")) * I1683 / 100, ""), "")))</f>
        <v/>
      </c>
    </row>
    <row r="1684" spans="2:17">
      <c r="B1684" s="33" t="str">
        <f>IF(A1684&lt;&gt;"",CHOOSE(WEEKDAY(A1684,2),"Mánudagur","Þriðjudagur","Miðvikudagur","Fimmtudagur","Föstudagur","Laugardagur","Sunnudagur"),IF(B1683&lt;&gt;"",B1683,""))</f>
        <v>Fimmtudagur</v>
      </c>
      <c r="C1684" s="33">
        <f>IF(A1684&lt;&gt;"",WEEKNUM(A1684,21),IF(C1683&lt;&gt;"",C1683,""))</f>
        <v>27</v>
      </c>
      <c r="D1684" s="34"/>
      <c r="E1684" s="34"/>
      <c r="F1684" s="34"/>
      <c r="G1684" s="34"/>
      <c r="H1684" s="34"/>
      <c r="I1684" s="35"/>
      <c r="J1684" s="35"/>
      <c r="K1684" s="36"/>
      <c r="L1684" s="26" t="str">
        <f>IF(OR(F1684 = "", G1684 = ""), "", IF(F1684 = "Vara", IFERROR(_xlfn.SINGLE(_xlfn.XLOOKUP(G1684, Vöruskrá!A:A, Vöruskrá!E:E, "")), ""), IF(F1684 = "Réttur", IFERROR(_xlfn.SINGLE(_xlfn.XLOOKUP(G1684, Réttabanki!A:A, Réttabanki!AS:AS, "")), ""), "")))</f>
        <v/>
      </c>
      <c r="M1684" s="26" t="str">
        <f>IF(OR(F1684 = "", G1684 = ""), "", IF(F1684 = "Vara", IFERROR(_xlfn.SINGLE(_xlfn.XLOOKUP(G1684, Vöruskrá!A:A, Vöruskrá!F:F, "")), ""), IF(F1684 = "Réttur", IFERROR(_xlfn.SINGLE(_xlfn.XLOOKUP(G1684, Réttabanki!A:A, Réttabanki!AT:AT, "")), ""), "")))</f>
        <v/>
      </c>
      <c r="N1684" s="26" t="str">
        <f>IF(OR(F1684 = "", G1684 = ""), "", IF(F1684 = "Vara", IFERROR(_xlfn.SINGLE(_xlfn.XLOOKUP(G1684, Vöruskrá!A:A, Vöruskrá!G:G, "")), ""), IF(F1684 = "Réttur", IFERROR(_xlfn.SINGLE(_xlfn.XLOOKUP(G1684, Réttabanki!A:A, Réttabanki!AU:AU, "")), ""), "")))</f>
        <v/>
      </c>
      <c r="O1684" s="26" t="str">
        <f>IF(OR(F1684 = "", G1684 = "", I1684 = ""), "", IF(F1684 = "Vara", IFERROR(_xlfn.SINGLE(_xlfn.XLOOKUP(G1684, Vöruskrá!A:A, Vöruskrá!I:I, "")) * I1684 / 100, ""), IF(F1684 = "Réttur", IFERROR(_xlfn.SINGLE(_xlfn.XLOOKUP(G1684, Réttabanki!A:A, Réttabanki!AV:AV, "")) * I1684 / 100, ""), "")))</f>
        <v/>
      </c>
      <c r="P1684" s="26" t="str">
        <f>IF(OR(F1684 = "", G1684 = "", I1684 = ""), "", IF(F1684 = "Vara", IFERROR(_xlfn.SINGLE(_xlfn.XLOOKUP(G1684, Vöruskrá!A:A, Vöruskrá!J:J, "")) * I1684 / 100, ""), IF(F1684 = "Réttur", IFERROR(_xlfn.SINGLE(_xlfn.XLOOKUP(G1684, Réttabanki!A:A, Réttabanki!AW:AW, "")) * I1684 / 100, ""), "")))</f>
        <v/>
      </c>
      <c r="Q1684" s="26" t="str">
        <f>IF(OR(F1684 = "", G1684 = "", I1684 = ""), "", IF(F1684 = "Vara", IFERROR(_xlfn.SINGLE(_xlfn.XLOOKUP(G1684, Vöruskrá!A:A, Vöruskrá!N:N, "")) * I1684 / 100, ""), IF(F1684 = "Réttur", IFERROR(_xlfn.SINGLE(_xlfn.XLOOKUP(G1684, Réttabanki!A:A, Réttabanki!BB:BB, "")) * I1684 / 100, ""), "")))</f>
        <v/>
      </c>
    </row>
    <row r="1685" spans="2:17">
      <c r="B1685" s="33" t="str">
        <f>IF(A1685&lt;&gt;"",CHOOSE(WEEKDAY(A1685,2),"Mánudagur","Þriðjudagur","Miðvikudagur","Fimmtudagur","Föstudagur","Laugardagur","Sunnudagur"),IF(B1684&lt;&gt;"",B1684,""))</f>
        <v>Fimmtudagur</v>
      </c>
      <c r="C1685" s="33">
        <f>IF(A1685&lt;&gt;"",WEEKNUM(A1685,21),IF(C1684&lt;&gt;"",C1684,""))</f>
        <v>27</v>
      </c>
      <c r="D1685" s="34"/>
      <c r="E1685" s="34"/>
      <c r="F1685" s="34"/>
      <c r="G1685" s="34"/>
      <c r="H1685" s="34"/>
      <c r="I1685" s="35"/>
      <c r="J1685" s="35"/>
      <c r="K1685" s="36"/>
      <c r="L1685" s="26" t="str">
        <f>IF(OR(F1685 = "", G1685 = ""), "", IF(F1685 = "Vara", IFERROR(_xlfn.SINGLE(_xlfn.XLOOKUP(G1685, Vöruskrá!A:A, Vöruskrá!E:E, "")), ""), IF(F1685 = "Réttur", IFERROR(_xlfn.SINGLE(_xlfn.XLOOKUP(G1685, Réttabanki!A:A, Réttabanki!AS:AS, "")), ""), "")))</f>
        <v/>
      </c>
      <c r="M1685" s="26" t="str">
        <f>IF(OR(F1685 = "", G1685 = ""), "", IF(F1685 = "Vara", IFERROR(_xlfn.SINGLE(_xlfn.XLOOKUP(G1685, Vöruskrá!A:A, Vöruskrá!F:F, "")), ""), IF(F1685 = "Réttur", IFERROR(_xlfn.SINGLE(_xlfn.XLOOKUP(G1685, Réttabanki!A:A, Réttabanki!AT:AT, "")), ""), "")))</f>
        <v/>
      </c>
      <c r="N1685" s="26" t="str">
        <f>IF(OR(F1685 = "", G1685 = ""), "", IF(F1685 = "Vara", IFERROR(_xlfn.SINGLE(_xlfn.XLOOKUP(G1685, Vöruskrá!A:A, Vöruskrá!G:G, "")), ""), IF(F1685 = "Réttur", IFERROR(_xlfn.SINGLE(_xlfn.XLOOKUP(G1685, Réttabanki!A:A, Réttabanki!AU:AU, "")), ""), "")))</f>
        <v/>
      </c>
      <c r="O1685" s="26" t="str">
        <f>IF(OR(F1685 = "", G1685 = "", I1685 = ""), "", IF(F1685 = "Vara", IFERROR(_xlfn.SINGLE(_xlfn.XLOOKUP(G1685, Vöruskrá!A:A, Vöruskrá!I:I, "")) * I1685 / 100, ""), IF(F1685 = "Réttur", IFERROR(_xlfn.SINGLE(_xlfn.XLOOKUP(G1685, Réttabanki!A:A, Réttabanki!AV:AV, "")) * I1685 / 100, ""), "")))</f>
        <v/>
      </c>
      <c r="P1685" s="26" t="str">
        <f>IF(OR(F1685 = "", G1685 = "", I1685 = ""), "", IF(F1685 = "Vara", IFERROR(_xlfn.SINGLE(_xlfn.XLOOKUP(G1685, Vöruskrá!A:A, Vöruskrá!J:J, "")) * I1685 / 100, ""), IF(F1685 = "Réttur", IFERROR(_xlfn.SINGLE(_xlfn.XLOOKUP(G1685, Réttabanki!A:A, Réttabanki!AW:AW, "")) * I1685 / 100, ""), "")))</f>
        <v/>
      </c>
      <c r="Q1685" s="26" t="str">
        <f>IF(OR(F1685 = "", G1685 = "", I1685 = ""), "", IF(F1685 = "Vara", IFERROR(_xlfn.SINGLE(_xlfn.XLOOKUP(G1685, Vöruskrá!A:A, Vöruskrá!N:N, "")) * I1685 / 100, ""), IF(F1685 = "Réttur", IFERROR(_xlfn.SINGLE(_xlfn.XLOOKUP(G1685, Réttabanki!A:A, Réttabanki!BB:BB, "")) * I1685 / 100, ""), "")))</f>
        <v/>
      </c>
    </row>
    <row r="1686" spans="2:17">
      <c r="B1686" s="33" t="str">
        <f>IF(A1686&lt;&gt;"",CHOOSE(WEEKDAY(A1686,2),"Mánudagur","Þriðjudagur","Miðvikudagur","Fimmtudagur","Föstudagur","Laugardagur","Sunnudagur"),IF(B1685&lt;&gt;"",B1685,""))</f>
        <v>Fimmtudagur</v>
      </c>
      <c r="C1686" s="33">
        <f>IF(A1686&lt;&gt;"",WEEKNUM(A1686,21),IF(C1685&lt;&gt;"",C1685,""))</f>
        <v>27</v>
      </c>
      <c r="D1686" s="34"/>
      <c r="E1686" s="34"/>
      <c r="F1686" s="34"/>
      <c r="G1686" s="34"/>
      <c r="H1686" s="34"/>
      <c r="I1686" s="35"/>
      <c r="J1686" s="35"/>
      <c r="K1686" s="36"/>
      <c r="L1686" s="26" t="str">
        <f>IF(OR(F1686 = "", G1686 = ""), "", IF(F1686 = "Vara", IFERROR(_xlfn.SINGLE(_xlfn.XLOOKUP(G1686, Vöruskrá!A:A, Vöruskrá!E:E, "")), ""), IF(F1686 = "Réttur", IFERROR(_xlfn.SINGLE(_xlfn.XLOOKUP(G1686, Réttabanki!A:A, Réttabanki!AS:AS, "")), ""), "")))</f>
        <v/>
      </c>
      <c r="M1686" s="26" t="str">
        <f>IF(OR(F1686 = "", G1686 = ""), "", IF(F1686 = "Vara", IFERROR(_xlfn.SINGLE(_xlfn.XLOOKUP(G1686, Vöruskrá!A:A, Vöruskrá!F:F, "")), ""), IF(F1686 = "Réttur", IFERROR(_xlfn.SINGLE(_xlfn.XLOOKUP(G1686, Réttabanki!A:A, Réttabanki!AT:AT, "")), ""), "")))</f>
        <v/>
      </c>
      <c r="N1686" s="26" t="str">
        <f>IF(OR(F1686 = "", G1686 = ""), "", IF(F1686 = "Vara", IFERROR(_xlfn.SINGLE(_xlfn.XLOOKUP(G1686, Vöruskrá!A:A, Vöruskrá!G:G, "")), ""), IF(F1686 = "Réttur", IFERROR(_xlfn.SINGLE(_xlfn.XLOOKUP(G1686, Réttabanki!A:A, Réttabanki!AU:AU, "")), ""), "")))</f>
        <v/>
      </c>
      <c r="O1686" s="26" t="str">
        <f>IF(OR(F1686 = "", G1686 = "", I1686 = ""), "", IF(F1686 = "Vara", IFERROR(_xlfn.SINGLE(_xlfn.XLOOKUP(G1686, Vöruskrá!A:A, Vöruskrá!I:I, "")) * I1686 / 100, ""), IF(F1686 = "Réttur", IFERROR(_xlfn.SINGLE(_xlfn.XLOOKUP(G1686, Réttabanki!A:A, Réttabanki!AV:AV, "")) * I1686 / 100, ""), "")))</f>
        <v/>
      </c>
      <c r="P1686" s="26" t="str">
        <f>IF(OR(F1686 = "", G1686 = "", I1686 = ""), "", IF(F1686 = "Vara", IFERROR(_xlfn.SINGLE(_xlfn.XLOOKUP(G1686, Vöruskrá!A:A, Vöruskrá!J:J, "")) * I1686 / 100, ""), IF(F1686 = "Réttur", IFERROR(_xlfn.SINGLE(_xlfn.XLOOKUP(G1686, Réttabanki!A:A, Réttabanki!AW:AW, "")) * I1686 / 100, ""), "")))</f>
        <v/>
      </c>
      <c r="Q1686" s="26" t="str">
        <f>IF(OR(F1686 = "", G1686 = "", I1686 = ""), "", IF(F1686 = "Vara", IFERROR(_xlfn.SINGLE(_xlfn.XLOOKUP(G1686, Vöruskrá!A:A, Vöruskrá!N:N, "")) * I1686 / 100, ""), IF(F1686 = "Réttur", IFERROR(_xlfn.SINGLE(_xlfn.XLOOKUP(G1686, Réttabanki!A:A, Réttabanki!BB:BB, "")) * I1686 / 100, ""), "")))</f>
        <v/>
      </c>
    </row>
    <row r="1687" spans="2:17">
      <c r="B1687" s="33" t="str">
        <f>IF(A1687&lt;&gt;"",CHOOSE(WEEKDAY(A1687,2),"Mánudagur","Þriðjudagur","Miðvikudagur","Fimmtudagur","Föstudagur","Laugardagur","Sunnudagur"),IF(B1686&lt;&gt;"",B1686,""))</f>
        <v>Fimmtudagur</v>
      </c>
      <c r="C1687" s="33">
        <f>IF(A1687&lt;&gt;"",WEEKNUM(A1687,21),IF(C1686&lt;&gt;"",C1686,""))</f>
        <v>27</v>
      </c>
      <c r="D1687" s="34"/>
      <c r="E1687" s="34"/>
      <c r="F1687" s="34"/>
      <c r="G1687" s="34"/>
      <c r="H1687" s="34"/>
      <c r="I1687" s="35"/>
      <c r="J1687" s="35"/>
      <c r="K1687" s="36"/>
      <c r="L1687" s="26" t="str">
        <f>IF(OR(F1687 = "", G1687 = ""), "", IF(F1687 = "Vara", IFERROR(_xlfn.SINGLE(_xlfn.XLOOKUP(G1687, Vöruskrá!A:A, Vöruskrá!E:E, "")), ""), IF(F1687 = "Réttur", IFERROR(_xlfn.SINGLE(_xlfn.XLOOKUP(G1687, Réttabanki!A:A, Réttabanki!AS:AS, "")), ""), "")))</f>
        <v/>
      </c>
      <c r="M1687" s="26" t="str">
        <f>IF(OR(F1687 = "", G1687 = ""), "", IF(F1687 = "Vara", IFERROR(_xlfn.SINGLE(_xlfn.XLOOKUP(G1687, Vöruskrá!A:A, Vöruskrá!F:F, "")), ""), IF(F1687 = "Réttur", IFERROR(_xlfn.SINGLE(_xlfn.XLOOKUP(G1687, Réttabanki!A:A, Réttabanki!AT:AT, "")), ""), "")))</f>
        <v/>
      </c>
      <c r="N1687" s="26" t="str">
        <f>IF(OR(F1687 = "", G1687 = ""), "", IF(F1687 = "Vara", IFERROR(_xlfn.SINGLE(_xlfn.XLOOKUP(G1687, Vöruskrá!A:A, Vöruskrá!G:G, "")), ""), IF(F1687 = "Réttur", IFERROR(_xlfn.SINGLE(_xlfn.XLOOKUP(G1687, Réttabanki!A:A, Réttabanki!AU:AU, "")), ""), "")))</f>
        <v/>
      </c>
      <c r="O1687" s="26" t="str">
        <f>IF(OR(F1687 = "", G1687 = "", I1687 = ""), "", IF(F1687 = "Vara", IFERROR(_xlfn.SINGLE(_xlfn.XLOOKUP(G1687, Vöruskrá!A:A, Vöruskrá!I:I, "")) * I1687 / 100, ""), IF(F1687 = "Réttur", IFERROR(_xlfn.SINGLE(_xlfn.XLOOKUP(G1687, Réttabanki!A:A, Réttabanki!AV:AV, "")) * I1687 / 100, ""), "")))</f>
        <v/>
      </c>
      <c r="P1687" s="26" t="str">
        <f>IF(OR(F1687 = "", G1687 = "", I1687 = ""), "", IF(F1687 = "Vara", IFERROR(_xlfn.SINGLE(_xlfn.XLOOKUP(G1687, Vöruskrá!A:A, Vöruskrá!J:J, "")) * I1687 / 100, ""), IF(F1687 = "Réttur", IFERROR(_xlfn.SINGLE(_xlfn.XLOOKUP(G1687, Réttabanki!A:A, Réttabanki!AW:AW, "")) * I1687 / 100, ""), "")))</f>
        <v/>
      </c>
      <c r="Q1687" s="26" t="str">
        <f>IF(OR(F1687 = "", G1687 = "", I1687 = ""), "", IF(F1687 = "Vara", IFERROR(_xlfn.SINGLE(_xlfn.XLOOKUP(G1687, Vöruskrá!A:A, Vöruskrá!N:N, "")) * I1687 / 100, ""), IF(F1687 = "Réttur", IFERROR(_xlfn.SINGLE(_xlfn.XLOOKUP(G1687, Réttabanki!A:A, Réttabanki!BB:BB, "")) * I1687 / 100, ""), "")))</f>
        <v/>
      </c>
    </row>
    <row r="1688" spans="2:17">
      <c r="B1688" s="33" t="str">
        <f>IF(A1688&lt;&gt;"",CHOOSE(WEEKDAY(A1688,2),"Mánudagur","Þriðjudagur","Miðvikudagur","Fimmtudagur","Föstudagur","Laugardagur","Sunnudagur"),IF(B1687&lt;&gt;"",B1687,""))</f>
        <v>Fimmtudagur</v>
      </c>
      <c r="C1688" s="33">
        <f>IF(A1688&lt;&gt;"",WEEKNUM(A1688,21),IF(C1687&lt;&gt;"",C1687,""))</f>
        <v>27</v>
      </c>
      <c r="D1688" s="34"/>
      <c r="E1688" s="34"/>
      <c r="F1688" s="34"/>
      <c r="G1688" s="34"/>
      <c r="H1688" s="34"/>
      <c r="I1688" s="35"/>
      <c r="J1688" s="35"/>
      <c r="K1688" s="36"/>
      <c r="L1688" s="26" t="str">
        <f>IF(OR(F1688 = "", G1688 = ""), "", IF(F1688 = "Vara", IFERROR(_xlfn.SINGLE(_xlfn.XLOOKUP(G1688, Vöruskrá!A:A, Vöruskrá!E:E, "")), ""), IF(F1688 = "Réttur", IFERROR(_xlfn.SINGLE(_xlfn.XLOOKUP(G1688, Réttabanki!A:A, Réttabanki!AS:AS, "")), ""), "")))</f>
        <v/>
      </c>
      <c r="M1688" s="26" t="str">
        <f>IF(OR(F1688 = "", G1688 = ""), "", IF(F1688 = "Vara", IFERROR(_xlfn.SINGLE(_xlfn.XLOOKUP(G1688, Vöruskrá!A:A, Vöruskrá!F:F, "")), ""), IF(F1688 = "Réttur", IFERROR(_xlfn.SINGLE(_xlfn.XLOOKUP(G1688, Réttabanki!A:A, Réttabanki!AT:AT, "")), ""), "")))</f>
        <v/>
      </c>
      <c r="N1688" s="26" t="str">
        <f>IF(OR(F1688 = "", G1688 = ""), "", IF(F1688 = "Vara", IFERROR(_xlfn.SINGLE(_xlfn.XLOOKUP(G1688, Vöruskrá!A:A, Vöruskrá!G:G, "")), ""), IF(F1688 = "Réttur", IFERROR(_xlfn.SINGLE(_xlfn.XLOOKUP(G1688, Réttabanki!A:A, Réttabanki!AU:AU, "")), ""), "")))</f>
        <v/>
      </c>
      <c r="O1688" s="26" t="str">
        <f>IF(OR(F1688 = "", G1688 = "", I1688 = ""), "", IF(F1688 = "Vara", IFERROR(_xlfn.SINGLE(_xlfn.XLOOKUP(G1688, Vöruskrá!A:A, Vöruskrá!I:I, "")) * I1688 / 100, ""), IF(F1688 = "Réttur", IFERROR(_xlfn.SINGLE(_xlfn.XLOOKUP(G1688, Réttabanki!A:A, Réttabanki!AV:AV, "")) * I1688 / 100, ""), "")))</f>
        <v/>
      </c>
      <c r="P1688" s="26" t="str">
        <f>IF(OR(F1688 = "", G1688 = "", I1688 = ""), "", IF(F1688 = "Vara", IFERROR(_xlfn.SINGLE(_xlfn.XLOOKUP(G1688, Vöruskrá!A:A, Vöruskrá!J:J, "")) * I1688 / 100, ""), IF(F1688 = "Réttur", IFERROR(_xlfn.SINGLE(_xlfn.XLOOKUP(G1688, Réttabanki!A:A, Réttabanki!AW:AW, "")) * I1688 / 100, ""), "")))</f>
        <v/>
      </c>
      <c r="Q1688" s="26" t="str">
        <f>IF(OR(F1688 = "", G1688 = "", I1688 = ""), "", IF(F1688 = "Vara", IFERROR(_xlfn.SINGLE(_xlfn.XLOOKUP(G1688, Vöruskrá!A:A, Vöruskrá!N:N, "")) * I1688 / 100, ""), IF(F1688 = "Réttur", IFERROR(_xlfn.SINGLE(_xlfn.XLOOKUP(G1688, Réttabanki!A:A, Réttabanki!BB:BB, "")) * I1688 / 100, ""), "")))</f>
        <v/>
      </c>
    </row>
    <row r="1689" spans="2:17">
      <c r="B1689" s="33" t="str">
        <f>IF(A1689&lt;&gt;"",CHOOSE(WEEKDAY(A1689,2),"Mánudagur","Þriðjudagur","Miðvikudagur","Fimmtudagur","Föstudagur","Laugardagur","Sunnudagur"),IF(B1688&lt;&gt;"",B1688,""))</f>
        <v>Fimmtudagur</v>
      </c>
      <c r="C1689" s="33">
        <f>IF(A1689&lt;&gt;"",WEEKNUM(A1689,21),IF(C1688&lt;&gt;"",C1688,""))</f>
        <v>27</v>
      </c>
      <c r="D1689" s="34"/>
      <c r="E1689" s="34"/>
      <c r="F1689" s="34"/>
      <c r="G1689" s="34"/>
      <c r="H1689" s="34"/>
      <c r="I1689" s="35"/>
      <c r="J1689" s="35"/>
      <c r="K1689" s="36"/>
      <c r="L1689" s="26" t="str">
        <f>IF(OR(F1689 = "", G1689 = ""), "", IF(F1689 = "Vara", IFERROR(_xlfn.SINGLE(_xlfn.XLOOKUP(G1689, Vöruskrá!A:A, Vöruskrá!E:E, "")), ""), IF(F1689 = "Réttur", IFERROR(_xlfn.SINGLE(_xlfn.XLOOKUP(G1689, Réttabanki!A:A, Réttabanki!AS:AS, "")), ""), "")))</f>
        <v/>
      </c>
      <c r="M1689" s="26" t="str">
        <f>IF(OR(F1689 = "", G1689 = ""), "", IF(F1689 = "Vara", IFERROR(_xlfn.SINGLE(_xlfn.XLOOKUP(G1689, Vöruskrá!A:A, Vöruskrá!F:F, "")), ""), IF(F1689 = "Réttur", IFERROR(_xlfn.SINGLE(_xlfn.XLOOKUP(G1689, Réttabanki!A:A, Réttabanki!AT:AT, "")), ""), "")))</f>
        <v/>
      </c>
      <c r="N1689" s="26" t="str">
        <f>IF(OR(F1689 = "", G1689 = ""), "", IF(F1689 = "Vara", IFERROR(_xlfn.SINGLE(_xlfn.XLOOKUP(G1689, Vöruskrá!A:A, Vöruskrá!G:G, "")), ""), IF(F1689 = "Réttur", IFERROR(_xlfn.SINGLE(_xlfn.XLOOKUP(G1689, Réttabanki!A:A, Réttabanki!AU:AU, "")), ""), "")))</f>
        <v/>
      </c>
      <c r="O1689" s="26" t="str">
        <f>IF(OR(F1689 = "", G1689 = "", I1689 = ""), "", IF(F1689 = "Vara", IFERROR(_xlfn.SINGLE(_xlfn.XLOOKUP(G1689, Vöruskrá!A:A, Vöruskrá!I:I, "")) * I1689 / 100, ""), IF(F1689 = "Réttur", IFERROR(_xlfn.SINGLE(_xlfn.XLOOKUP(G1689, Réttabanki!A:A, Réttabanki!AV:AV, "")) * I1689 / 100, ""), "")))</f>
        <v/>
      </c>
      <c r="P1689" s="26" t="str">
        <f>IF(OR(F1689 = "", G1689 = "", I1689 = ""), "", IF(F1689 = "Vara", IFERROR(_xlfn.SINGLE(_xlfn.XLOOKUP(G1689, Vöruskrá!A:A, Vöruskrá!J:J, "")) * I1689 / 100, ""), IF(F1689 = "Réttur", IFERROR(_xlfn.SINGLE(_xlfn.XLOOKUP(G1689, Réttabanki!A:A, Réttabanki!AW:AW, "")) * I1689 / 100, ""), "")))</f>
        <v/>
      </c>
      <c r="Q1689" s="26" t="str">
        <f>IF(OR(F1689 = "", G1689 = "", I1689 = ""), "", IF(F1689 = "Vara", IFERROR(_xlfn.SINGLE(_xlfn.XLOOKUP(G1689, Vöruskrá!A:A, Vöruskrá!N:N, "")) * I1689 / 100, ""), IF(F1689 = "Réttur", IFERROR(_xlfn.SINGLE(_xlfn.XLOOKUP(G1689, Réttabanki!A:A, Réttabanki!BB:BB, "")) * I1689 / 100, ""), "")))</f>
        <v/>
      </c>
    </row>
    <row r="1690" spans="2:17">
      <c r="B1690" s="33" t="str">
        <f>IF(A1690&lt;&gt;"",CHOOSE(WEEKDAY(A1690,2),"Mánudagur","Þriðjudagur","Miðvikudagur","Fimmtudagur","Föstudagur","Laugardagur","Sunnudagur"),IF(B1689&lt;&gt;"",B1689,""))</f>
        <v>Fimmtudagur</v>
      </c>
      <c r="C1690" s="33">
        <f>IF(A1690&lt;&gt;"",WEEKNUM(A1690,21),IF(C1689&lt;&gt;"",C1689,""))</f>
        <v>27</v>
      </c>
      <c r="D1690" s="34"/>
      <c r="E1690" s="34"/>
      <c r="F1690" s="34"/>
      <c r="G1690" s="34"/>
      <c r="H1690" s="34"/>
      <c r="I1690" s="35"/>
      <c r="J1690" s="35"/>
      <c r="K1690" s="36"/>
      <c r="L1690" s="26" t="str">
        <f>IF(OR(F1690 = "", G1690 = ""), "", IF(F1690 = "Vara", IFERROR(_xlfn.SINGLE(_xlfn.XLOOKUP(G1690, Vöruskrá!A:A, Vöruskrá!E:E, "")), ""), IF(F1690 = "Réttur", IFERROR(_xlfn.SINGLE(_xlfn.XLOOKUP(G1690, Réttabanki!A:A, Réttabanki!AS:AS, "")), ""), "")))</f>
        <v/>
      </c>
      <c r="M1690" s="26" t="str">
        <f>IF(OR(F1690 = "", G1690 = ""), "", IF(F1690 = "Vara", IFERROR(_xlfn.SINGLE(_xlfn.XLOOKUP(G1690, Vöruskrá!A:A, Vöruskrá!F:F, "")), ""), IF(F1690 = "Réttur", IFERROR(_xlfn.SINGLE(_xlfn.XLOOKUP(G1690, Réttabanki!A:A, Réttabanki!AT:AT, "")), ""), "")))</f>
        <v/>
      </c>
      <c r="N1690" s="26" t="str">
        <f>IF(OR(F1690 = "", G1690 = ""), "", IF(F1690 = "Vara", IFERROR(_xlfn.SINGLE(_xlfn.XLOOKUP(G1690, Vöruskrá!A:A, Vöruskrá!G:G, "")), ""), IF(F1690 = "Réttur", IFERROR(_xlfn.SINGLE(_xlfn.XLOOKUP(G1690, Réttabanki!A:A, Réttabanki!AU:AU, "")), ""), "")))</f>
        <v/>
      </c>
      <c r="O1690" s="26" t="str">
        <f>IF(OR(F1690 = "", G1690 = "", I1690 = ""), "", IF(F1690 = "Vara", IFERROR(_xlfn.SINGLE(_xlfn.XLOOKUP(G1690, Vöruskrá!A:A, Vöruskrá!I:I, "")) * I1690 / 100, ""), IF(F1690 = "Réttur", IFERROR(_xlfn.SINGLE(_xlfn.XLOOKUP(G1690, Réttabanki!A:A, Réttabanki!AV:AV, "")) * I1690 / 100, ""), "")))</f>
        <v/>
      </c>
      <c r="P1690" s="26" t="str">
        <f>IF(OR(F1690 = "", G1690 = "", I1690 = ""), "", IF(F1690 = "Vara", IFERROR(_xlfn.SINGLE(_xlfn.XLOOKUP(G1690, Vöruskrá!A:A, Vöruskrá!J:J, "")) * I1690 / 100, ""), IF(F1690 = "Réttur", IFERROR(_xlfn.SINGLE(_xlfn.XLOOKUP(G1690, Réttabanki!A:A, Réttabanki!AW:AW, "")) * I1690 / 100, ""), "")))</f>
        <v/>
      </c>
      <c r="Q1690" s="26" t="str">
        <f>IF(OR(F1690 = "", G1690 = "", I1690 = ""), "", IF(F1690 = "Vara", IFERROR(_xlfn.SINGLE(_xlfn.XLOOKUP(G1690, Vöruskrá!A:A, Vöruskrá!N:N, "")) * I1690 / 100, ""), IF(F1690 = "Réttur", IFERROR(_xlfn.SINGLE(_xlfn.XLOOKUP(G1690, Réttabanki!A:A, Réttabanki!BB:BB, "")) * I1690 / 100, ""), "")))</f>
        <v/>
      </c>
    </row>
    <row r="1691" spans="2:17">
      <c r="B1691" s="33" t="str">
        <f>IF(A1691&lt;&gt;"",CHOOSE(WEEKDAY(A1691,2),"Mánudagur","Þriðjudagur","Miðvikudagur","Fimmtudagur","Föstudagur","Laugardagur","Sunnudagur"),IF(B1690&lt;&gt;"",B1690,""))</f>
        <v>Fimmtudagur</v>
      </c>
      <c r="C1691" s="33">
        <f>IF(A1691&lt;&gt;"",WEEKNUM(A1691,21),IF(C1690&lt;&gt;"",C1690,""))</f>
        <v>27</v>
      </c>
      <c r="D1691" s="34"/>
      <c r="E1691" s="34"/>
      <c r="F1691" s="34"/>
      <c r="G1691" s="34"/>
      <c r="H1691" s="34"/>
      <c r="I1691" s="35"/>
      <c r="J1691" s="35"/>
      <c r="K1691" s="36"/>
      <c r="L1691" s="26" t="str">
        <f>IF(OR(F1691 = "", G1691 = ""), "", IF(F1691 = "Vara", IFERROR(_xlfn.SINGLE(_xlfn.XLOOKUP(G1691, Vöruskrá!A:A, Vöruskrá!E:E, "")), ""), IF(F1691 = "Réttur", IFERROR(_xlfn.SINGLE(_xlfn.XLOOKUP(G1691, Réttabanki!A:A, Réttabanki!AS:AS, "")), ""), "")))</f>
        <v/>
      </c>
      <c r="M1691" s="26" t="str">
        <f>IF(OR(F1691 = "", G1691 = ""), "", IF(F1691 = "Vara", IFERROR(_xlfn.SINGLE(_xlfn.XLOOKUP(G1691, Vöruskrá!A:A, Vöruskrá!F:F, "")), ""), IF(F1691 = "Réttur", IFERROR(_xlfn.SINGLE(_xlfn.XLOOKUP(G1691, Réttabanki!A:A, Réttabanki!AT:AT, "")), ""), "")))</f>
        <v/>
      </c>
      <c r="N1691" s="26" t="str">
        <f>IF(OR(F1691 = "", G1691 = ""), "", IF(F1691 = "Vara", IFERROR(_xlfn.SINGLE(_xlfn.XLOOKUP(G1691, Vöruskrá!A:A, Vöruskrá!G:G, "")), ""), IF(F1691 = "Réttur", IFERROR(_xlfn.SINGLE(_xlfn.XLOOKUP(G1691, Réttabanki!A:A, Réttabanki!AU:AU, "")), ""), "")))</f>
        <v/>
      </c>
      <c r="O1691" s="26" t="str">
        <f>IF(OR(F1691 = "", G1691 = "", I1691 = ""), "", IF(F1691 = "Vara", IFERROR(_xlfn.SINGLE(_xlfn.XLOOKUP(G1691, Vöruskrá!A:A, Vöruskrá!I:I, "")) * I1691 / 100, ""), IF(F1691 = "Réttur", IFERROR(_xlfn.SINGLE(_xlfn.XLOOKUP(G1691, Réttabanki!A:A, Réttabanki!AV:AV, "")) * I1691 / 100, ""), "")))</f>
        <v/>
      </c>
      <c r="P1691" s="26" t="str">
        <f>IF(OR(F1691 = "", G1691 = "", I1691 = ""), "", IF(F1691 = "Vara", IFERROR(_xlfn.SINGLE(_xlfn.XLOOKUP(G1691, Vöruskrá!A:A, Vöruskrá!J:J, "")) * I1691 / 100, ""), IF(F1691 = "Réttur", IFERROR(_xlfn.SINGLE(_xlfn.XLOOKUP(G1691, Réttabanki!A:A, Réttabanki!AW:AW, "")) * I1691 / 100, ""), "")))</f>
        <v/>
      </c>
      <c r="Q1691" s="26" t="str">
        <f>IF(OR(F1691 = "", G1691 = "", I1691 = ""), "", IF(F1691 = "Vara", IFERROR(_xlfn.SINGLE(_xlfn.XLOOKUP(G1691, Vöruskrá!A:A, Vöruskrá!N:N, "")) * I1691 / 100, ""), IF(F1691 = "Réttur", IFERROR(_xlfn.SINGLE(_xlfn.XLOOKUP(G1691, Réttabanki!A:A, Réttabanki!BB:BB, "")) * I1691 / 100, ""), "")))</f>
        <v/>
      </c>
    </row>
    <row r="1692" spans="2:17">
      <c r="B1692" s="33" t="str">
        <f>IF(A1692&lt;&gt;"",CHOOSE(WEEKDAY(A1692,2),"Mánudagur","Þriðjudagur","Miðvikudagur","Fimmtudagur","Föstudagur","Laugardagur","Sunnudagur"),IF(B1691&lt;&gt;"",B1691,""))</f>
        <v>Fimmtudagur</v>
      </c>
      <c r="C1692" s="33">
        <f>IF(A1692&lt;&gt;"",WEEKNUM(A1692,21),IF(C1691&lt;&gt;"",C1691,""))</f>
        <v>27</v>
      </c>
      <c r="D1692" s="34"/>
      <c r="E1692" s="34"/>
      <c r="F1692" s="34"/>
      <c r="G1692" s="34"/>
      <c r="H1692" s="34"/>
      <c r="I1692" s="35"/>
      <c r="J1692" s="35"/>
      <c r="K1692" s="36"/>
      <c r="L1692" s="26" t="str">
        <f>IF(OR(F1692 = "", G1692 = ""), "", IF(F1692 = "Vara", IFERROR(_xlfn.SINGLE(_xlfn.XLOOKUP(G1692, Vöruskrá!A:A, Vöruskrá!E:E, "")), ""), IF(F1692 = "Réttur", IFERROR(_xlfn.SINGLE(_xlfn.XLOOKUP(G1692, Réttabanki!A:A, Réttabanki!AS:AS, "")), ""), "")))</f>
        <v/>
      </c>
      <c r="M1692" s="26" t="str">
        <f>IF(OR(F1692 = "", G1692 = ""), "", IF(F1692 = "Vara", IFERROR(_xlfn.SINGLE(_xlfn.XLOOKUP(G1692, Vöruskrá!A:A, Vöruskrá!F:F, "")), ""), IF(F1692 = "Réttur", IFERROR(_xlfn.SINGLE(_xlfn.XLOOKUP(G1692, Réttabanki!A:A, Réttabanki!AT:AT, "")), ""), "")))</f>
        <v/>
      </c>
      <c r="N1692" s="26" t="str">
        <f>IF(OR(F1692 = "", G1692 = ""), "", IF(F1692 = "Vara", IFERROR(_xlfn.SINGLE(_xlfn.XLOOKUP(G1692, Vöruskrá!A:A, Vöruskrá!G:G, "")), ""), IF(F1692 = "Réttur", IFERROR(_xlfn.SINGLE(_xlfn.XLOOKUP(G1692, Réttabanki!A:A, Réttabanki!AU:AU, "")), ""), "")))</f>
        <v/>
      </c>
      <c r="O1692" s="26" t="str">
        <f>IF(OR(F1692 = "", G1692 = "", I1692 = ""), "", IF(F1692 = "Vara", IFERROR(_xlfn.SINGLE(_xlfn.XLOOKUP(G1692, Vöruskrá!A:A, Vöruskrá!I:I, "")) * I1692 / 100, ""), IF(F1692 = "Réttur", IFERROR(_xlfn.SINGLE(_xlfn.XLOOKUP(G1692, Réttabanki!A:A, Réttabanki!AV:AV, "")) * I1692 / 100, ""), "")))</f>
        <v/>
      </c>
      <c r="P1692" s="26" t="str">
        <f>IF(OR(F1692 = "", G1692 = "", I1692 = ""), "", IF(F1692 = "Vara", IFERROR(_xlfn.SINGLE(_xlfn.XLOOKUP(G1692, Vöruskrá!A:A, Vöruskrá!J:J, "")) * I1692 / 100, ""), IF(F1692 = "Réttur", IFERROR(_xlfn.SINGLE(_xlfn.XLOOKUP(G1692, Réttabanki!A:A, Réttabanki!AW:AW, "")) * I1692 / 100, ""), "")))</f>
        <v/>
      </c>
      <c r="Q1692" s="26" t="str">
        <f>IF(OR(F1692 = "", G1692 = "", I1692 = ""), "", IF(F1692 = "Vara", IFERROR(_xlfn.SINGLE(_xlfn.XLOOKUP(G1692, Vöruskrá!A:A, Vöruskrá!N:N, "")) * I1692 / 100, ""), IF(F1692 = "Réttur", IFERROR(_xlfn.SINGLE(_xlfn.XLOOKUP(G1692, Réttabanki!A:A, Réttabanki!BB:BB, "")) * I1692 / 100, ""), "")))</f>
        <v/>
      </c>
    </row>
    <row r="1693" spans="2:17">
      <c r="B1693" s="33" t="str">
        <f>IF(A1693&lt;&gt;"",CHOOSE(WEEKDAY(A1693,2),"Mánudagur","Þriðjudagur","Miðvikudagur","Fimmtudagur","Föstudagur","Laugardagur","Sunnudagur"),IF(B1692&lt;&gt;"",B1692,""))</f>
        <v>Fimmtudagur</v>
      </c>
      <c r="C1693" s="33">
        <f>IF(A1693&lt;&gt;"",WEEKNUM(A1693,21),IF(C1692&lt;&gt;"",C1692,""))</f>
        <v>27</v>
      </c>
      <c r="D1693" s="34"/>
      <c r="E1693" s="34"/>
      <c r="F1693" s="34"/>
      <c r="G1693" s="34"/>
      <c r="H1693" s="34"/>
      <c r="I1693" s="35"/>
      <c r="J1693" s="35"/>
      <c r="K1693" s="36"/>
      <c r="L1693" s="26" t="str">
        <f>IF(OR(F1693 = "", G1693 = ""), "", IF(F1693 = "Vara", IFERROR(_xlfn.SINGLE(_xlfn.XLOOKUP(G1693, Vöruskrá!A:A, Vöruskrá!E:E, "")), ""), IF(F1693 = "Réttur", IFERROR(_xlfn.SINGLE(_xlfn.XLOOKUP(G1693, Réttabanki!A:A, Réttabanki!AS:AS, "")), ""), "")))</f>
        <v/>
      </c>
      <c r="M1693" s="26" t="str">
        <f>IF(OR(F1693 = "", G1693 = ""), "", IF(F1693 = "Vara", IFERROR(_xlfn.SINGLE(_xlfn.XLOOKUP(G1693, Vöruskrá!A:A, Vöruskrá!F:F, "")), ""), IF(F1693 = "Réttur", IFERROR(_xlfn.SINGLE(_xlfn.XLOOKUP(G1693, Réttabanki!A:A, Réttabanki!AT:AT, "")), ""), "")))</f>
        <v/>
      </c>
      <c r="N1693" s="26" t="str">
        <f>IF(OR(F1693 = "", G1693 = ""), "", IF(F1693 = "Vara", IFERROR(_xlfn.SINGLE(_xlfn.XLOOKUP(G1693, Vöruskrá!A:A, Vöruskrá!G:G, "")), ""), IF(F1693 = "Réttur", IFERROR(_xlfn.SINGLE(_xlfn.XLOOKUP(G1693, Réttabanki!A:A, Réttabanki!AU:AU, "")), ""), "")))</f>
        <v/>
      </c>
      <c r="O1693" s="26" t="str">
        <f>IF(OR(F1693 = "", G1693 = "", I1693 = ""), "", IF(F1693 = "Vara", IFERROR(_xlfn.SINGLE(_xlfn.XLOOKUP(G1693, Vöruskrá!A:A, Vöruskrá!I:I, "")) * I1693 / 100, ""), IF(F1693 = "Réttur", IFERROR(_xlfn.SINGLE(_xlfn.XLOOKUP(G1693, Réttabanki!A:A, Réttabanki!AV:AV, "")) * I1693 / 100, ""), "")))</f>
        <v/>
      </c>
      <c r="P1693" s="26" t="str">
        <f>IF(OR(F1693 = "", G1693 = "", I1693 = ""), "", IF(F1693 = "Vara", IFERROR(_xlfn.SINGLE(_xlfn.XLOOKUP(G1693, Vöruskrá!A:A, Vöruskrá!J:J, "")) * I1693 / 100, ""), IF(F1693 = "Réttur", IFERROR(_xlfn.SINGLE(_xlfn.XLOOKUP(G1693, Réttabanki!A:A, Réttabanki!AW:AW, "")) * I1693 / 100, ""), "")))</f>
        <v/>
      </c>
      <c r="Q1693" s="26" t="str">
        <f>IF(OR(F1693 = "", G1693 = "", I1693 = ""), "", IF(F1693 = "Vara", IFERROR(_xlfn.SINGLE(_xlfn.XLOOKUP(G1693, Vöruskrá!A:A, Vöruskrá!N:N, "")) * I1693 / 100, ""), IF(F1693 = "Réttur", IFERROR(_xlfn.SINGLE(_xlfn.XLOOKUP(G1693, Réttabanki!A:A, Réttabanki!BB:BB, "")) * I1693 / 100, ""), "")))</f>
        <v/>
      </c>
    </row>
    <row r="1694" spans="2:17">
      <c r="B1694" s="33" t="str">
        <f>IF(A1694&lt;&gt;"",CHOOSE(WEEKDAY(A1694,2),"Mánudagur","Þriðjudagur","Miðvikudagur","Fimmtudagur","Föstudagur","Laugardagur","Sunnudagur"),IF(B1693&lt;&gt;"",B1693,""))</f>
        <v>Fimmtudagur</v>
      </c>
      <c r="C1694" s="33">
        <f>IF(A1694&lt;&gt;"",WEEKNUM(A1694,21),IF(C1693&lt;&gt;"",C1693,""))</f>
        <v>27</v>
      </c>
      <c r="D1694" s="34"/>
      <c r="E1694" s="34"/>
      <c r="F1694" s="34"/>
      <c r="G1694" s="34"/>
      <c r="H1694" s="34"/>
      <c r="I1694" s="35"/>
      <c r="J1694" s="35"/>
      <c r="K1694" s="36"/>
      <c r="L1694" s="26" t="str">
        <f>IF(OR(F1694 = "", G1694 = ""), "", IF(F1694 = "Vara", IFERROR(_xlfn.SINGLE(_xlfn.XLOOKUP(G1694, Vöruskrá!A:A, Vöruskrá!E:E, "")), ""), IF(F1694 = "Réttur", IFERROR(_xlfn.SINGLE(_xlfn.XLOOKUP(G1694, Réttabanki!A:A, Réttabanki!AS:AS, "")), ""), "")))</f>
        <v/>
      </c>
      <c r="M1694" s="26" t="str">
        <f>IF(OR(F1694 = "", G1694 = ""), "", IF(F1694 = "Vara", IFERROR(_xlfn.SINGLE(_xlfn.XLOOKUP(G1694, Vöruskrá!A:A, Vöruskrá!F:F, "")), ""), IF(F1694 = "Réttur", IFERROR(_xlfn.SINGLE(_xlfn.XLOOKUP(G1694, Réttabanki!A:A, Réttabanki!AT:AT, "")), ""), "")))</f>
        <v/>
      </c>
      <c r="N1694" s="26" t="str">
        <f>IF(OR(F1694 = "", G1694 = ""), "", IF(F1694 = "Vara", IFERROR(_xlfn.SINGLE(_xlfn.XLOOKUP(G1694, Vöruskrá!A:A, Vöruskrá!G:G, "")), ""), IF(F1694 = "Réttur", IFERROR(_xlfn.SINGLE(_xlfn.XLOOKUP(G1694, Réttabanki!A:A, Réttabanki!AU:AU, "")), ""), "")))</f>
        <v/>
      </c>
      <c r="O1694" s="26" t="str">
        <f>IF(OR(F1694 = "", G1694 = "", I1694 = ""), "", IF(F1694 = "Vara", IFERROR(_xlfn.SINGLE(_xlfn.XLOOKUP(G1694, Vöruskrá!A:A, Vöruskrá!I:I, "")) * I1694 / 100, ""), IF(F1694 = "Réttur", IFERROR(_xlfn.SINGLE(_xlfn.XLOOKUP(G1694, Réttabanki!A:A, Réttabanki!AV:AV, "")) * I1694 / 100, ""), "")))</f>
        <v/>
      </c>
      <c r="P1694" s="26" t="str">
        <f>IF(OR(F1694 = "", G1694 = "", I1694 = ""), "", IF(F1694 = "Vara", IFERROR(_xlfn.SINGLE(_xlfn.XLOOKUP(G1694, Vöruskrá!A:A, Vöruskrá!J:J, "")) * I1694 / 100, ""), IF(F1694 = "Réttur", IFERROR(_xlfn.SINGLE(_xlfn.XLOOKUP(G1694, Réttabanki!A:A, Réttabanki!AW:AW, "")) * I1694 / 100, ""), "")))</f>
        <v/>
      </c>
      <c r="Q1694" s="26" t="str">
        <f>IF(OR(F1694 = "", G1694 = "", I1694 = ""), "", IF(F1694 = "Vara", IFERROR(_xlfn.SINGLE(_xlfn.XLOOKUP(G1694, Vöruskrá!A:A, Vöruskrá!N:N, "")) * I1694 / 100, ""), IF(F1694 = "Réttur", IFERROR(_xlfn.SINGLE(_xlfn.XLOOKUP(G1694, Réttabanki!A:A, Réttabanki!BB:BB, "")) * I1694 / 100, ""), "")))</f>
        <v/>
      </c>
    </row>
    <row r="1695" spans="2:17">
      <c r="B1695" s="33" t="str">
        <f>IF(A1695&lt;&gt;"",CHOOSE(WEEKDAY(A1695,2),"Mánudagur","Þriðjudagur","Miðvikudagur","Fimmtudagur","Föstudagur","Laugardagur","Sunnudagur"),IF(B1694&lt;&gt;"",B1694,""))</f>
        <v>Fimmtudagur</v>
      </c>
      <c r="C1695" s="33">
        <f>IF(A1695&lt;&gt;"",WEEKNUM(A1695,21),IF(C1694&lt;&gt;"",C1694,""))</f>
        <v>27</v>
      </c>
      <c r="D1695" s="34"/>
      <c r="E1695" s="34"/>
      <c r="F1695" s="34"/>
      <c r="G1695" s="34"/>
      <c r="H1695" s="34"/>
      <c r="I1695" s="35"/>
      <c r="J1695" s="35"/>
      <c r="K1695" s="36"/>
      <c r="L1695" s="26" t="str">
        <f>IF(OR(F1695 = "", G1695 = ""), "", IF(F1695 = "Vara", IFERROR(_xlfn.SINGLE(_xlfn.XLOOKUP(G1695, Vöruskrá!A:A, Vöruskrá!E:E, "")), ""), IF(F1695 = "Réttur", IFERROR(_xlfn.SINGLE(_xlfn.XLOOKUP(G1695, Réttabanki!A:A, Réttabanki!AS:AS, "")), ""), "")))</f>
        <v/>
      </c>
      <c r="M1695" s="26" t="str">
        <f>IF(OR(F1695 = "", G1695 = ""), "", IF(F1695 = "Vara", IFERROR(_xlfn.SINGLE(_xlfn.XLOOKUP(G1695, Vöruskrá!A:A, Vöruskrá!F:F, "")), ""), IF(F1695 = "Réttur", IFERROR(_xlfn.SINGLE(_xlfn.XLOOKUP(G1695, Réttabanki!A:A, Réttabanki!AT:AT, "")), ""), "")))</f>
        <v/>
      </c>
      <c r="N1695" s="26" t="str">
        <f>IF(OR(F1695 = "", G1695 = ""), "", IF(F1695 = "Vara", IFERROR(_xlfn.SINGLE(_xlfn.XLOOKUP(G1695, Vöruskrá!A:A, Vöruskrá!G:G, "")), ""), IF(F1695 = "Réttur", IFERROR(_xlfn.SINGLE(_xlfn.XLOOKUP(G1695, Réttabanki!A:A, Réttabanki!AU:AU, "")), ""), "")))</f>
        <v/>
      </c>
      <c r="O1695" s="26" t="str">
        <f>IF(OR(F1695 = "", G1695 = "", I1695 = ""), "", IF(F1695 = "Vara", IFERROR(_xlfn.SINGLE(_xlfn.XLOOKUP(G1695, Vöruskrá!A:A, Vöruskrá!I:I, "")) * I1695 / 100, ""), IF(F1695 = "Réttur", IFERROR(_xlfn.SINGLE(_xlfn.XLOOKUP(G1695, Réttabanki!A:A, Réttabanki!AV:AV, "")) * I1695 / 100, ""), "")))</f>
        <v/>
      </c>
      <c r="P1695" s="26" t="str">
        <f>IF(OR(F1695 = "", G1695 = "", I1695 = ""), "", IF(F1695 = "Vara", IFERROR(_xlfn.SINGLE(_xlfn.XLOOKUP(G1695, Vöruskrá!A:A, Vöruskrá!J:J, "")) * I1695 / 100, ""), IF(F1695 = "Réttur", IFERROR(_xlfn.SINGLE(_xlfn.XLOOKUP(G1695, Réttabanki!A:A, Réttabanki!AW:AW, "")) * I1695 / 100, ""), "")))</f>
        <v/>
      </c>
      <c r="Q1695" s="26" t="str">
        <f>IF(OR(F1695 = "", G1695 = "", I1695 = ""), "", IF(F1695 = "Vara", IFERROR(_xlfn.SINGLE(_xlfn.XLOOKUP(G1695, Vöruskrá!A:A, Vöruskrá!N:N, "")) * I1695 / 100, ""), IF(F1695 = "Réttur", IFERROR(_xlfn.SINGLE(_xlfn.XLOOKUP(G1695, Réttabanki!A:A, Réttabanki!BB:BB, "")) * I1695 / 100, ""), "")))</f>
        <v/>
      </c>
    </row>
    <row r="1696" spans="2:17">
      <c r="B1696" s="33" t="str">
        <f>IF(A1696&lt;&gt;"",CHOOSE(WEEKDAY(A1696,2),"Mánudagur","Þriðjudagur","Miðvikudagur","Fimmtudagur","Föstudagur","Laugardagur","Sunnudagur"),IF(B1695&lt;&gt;"",B1695,""))</f>
        <v>Fimmtudagur</v>
      </c>
      <c r="C1696" s="33">
        <f>IF(A1696&lt;&gt;"",WEEKNUM(A1696,21),IF(C1695&lt;&gt;"",C1695,""))</f>
        <v>27</v>
      </c>
      <c r="D1696" s="34"/>
      <c r="E1696" s="34"/>
      <c r="F1696" s="34"/>
      <c r="G1696" s="34"/>
      <c r="H1696" s="34"/>
      <c r="I1696" s="35"/>
      <c r="J1696" s="35"/>
      <c r="K1696" s="36"/>
      <c r="L1696" s="26" t="str">
        <f>IF(OR(F1696 = "", G1696 = ""), "", IF(F1696 = "Vara", IFERROR(_xlfn.SINGLE(_xlfn.XLOOKUP(G1696, Vöruskrá!A:A, Vöruskrá!E:E, "")), ""), IF(F1696 = "Réttur", IFERROR(_xlfn.SINGLE(_xlfn.XLOOKUP(G1696, Réttabanki!A:A, Réttabanki!AS:AS, "")), ""), "")))</f>
        <v/>
      </c>
      <c r="M1696" s="26" t="str">
        <f>IF(OR(F1696 = "", G1696 = ""), "", IF(F1696 = "Vara", IFERROR(_xlfn.SINGLE(_xlfn.XLOOKUP(G1696, Vöruskrá!A:A, Vöruskrá!F:F, "")), ""), IF(F1696 = "Réttur", IFERROR(_xlfn.SINGLE(_xlfn.XLOOKUP(G1696, Réttabanki!A:A, Réttabanki!AT:AT, "")), ""), "")))</f>
        <v/>
      </c>
      <c r="N1696" s="26" t="str">
        <f>IF(OR(F1696 = "", G1696 = ""), "", IF(F1696 = "Vara", IFERROR(_xlfn.SINGLE(_xlfn.XLOOKUP(G1696, Vöruskrá!A:A, Vöruskrá!G:G, "")), ""), IF(F1696 = "Réttur", IFERROR(_xlfn.SINGLE(_xlfn.XLOOKUP(G1696, Réttabanki!A:A, Réttabanki!AU:AU, "")), ""), "")))</f>
        <v/>
      </c>
      <c r="O1696" s="26" t="str">
        <f>IF(OR(F1696 = "", G1696 = "", I1696 = ""), "", IF(F1696 = "Vara", IFERROR(_xlfn.SINGLE(_xlfn.XLOOKUP(G1696, Vöruskrá!A:A, Vöruskrá!I:I, "")) * I1696 / 100, ""), IF(F1696 = "Réttur", IFERROR(_xlfn.SINGLE(_xlfn.XLOOKUP(G1696, Réttabanki!A:A, Réttabanki!AV:AV, "")) * I1696 / 100, ""), "")))</f>
        <v/>
      </c>
      <c r="P1696" s="26" t="str">
        <f>IF(OR(F1696 = "", G1696 = "", I1696 = ""), "", IF(F1696 = "Vara", IFERROR(_xlfn.SINGLE(_xlfn.XLOOKUP(G1696, Vöruskrá!A:A, Vöruskrá!J:J, "")) * I1696 / 100, ""), IF(F1696 = "Réttur", IFERROR(_xlfn.SINGLE(_xlfn.XLOOKUP(G1696, Réttabanki!A:A, Réttabanki!AW:AW, "")) * I1696 / 100, ""), "")))</f>
        <v/>
      </c>
      <c r="Q1696" s="26" t="str">
        <f>IF(OR(F1696 = "", G1696 = "", I1696 = ""), "", IF(F1696 = "Vara", IFERROR(_xlfn.SINGLE(_xlfn.XLOOKUP(G1696, Vöruskrá!A:A, Vöruskrá!N:N, "")) * I1696 / 100, ""), IF(F1696 = "Réttur", IFERROR(_xlfn.SINGLE(_xlfn.XLOOKUP(G1696, Réttabanki!A:A, Réttabanki!BB:BB, "")) * I1696 / 100, ""), "")))</f>
        <v/>
      </c>
    </row>
    <row r="1697" spans="2:17">
      <c r="B1697" s="33" t="str">
        <f>IF(A1697&lt;&gt;"",CHOOSE(WEEKDAY(A1697,2),"Mánudagur","Þriðjudagur","Miðvikudagur","Fimmtudagur","Föstudagur","Laugardagur","Sunnudagur"),IF(B1696&lt;&gt;"",B1696,""))</f>
        <v>Fimmtudagur</v>
      </c>
      <c r="C1697" s="33">
        <f>IF(A1697&lt;&gt;"",WEEKNUM(A1697,21),IF(C1696&lt;&gt;"",C1696,""))</f>
        <v>27</v>
      </c>
      <c r="D1697" s="34"/>
      <c r="E1697" s="34"/>
      <c r="F1697" s="34"/>
      <c r="G1697" s="34"/>
      <c r="H1697" s="34"/>
      <c r="I1697" s="35"/>
      <c r="J1697" s="35"/>
      <c r="K1697" s="36"/>
      <c r="L1697" s="26" t="str">
        <f>IF(OR(F1697 = "", G1697 = ""), "", IF(F1697 = "Vara", IFERROR(_xlfn.SINGLE(_xlfn.XLOOKUP(G1697, Vöruskrá!A:A, Vöruskrá!E:E, "")), ""), IF(F1697 = "Réttur", IFERROR(_xlfn.SINGLE(_xlfn.XLOOKUP(G1697, Réttabanki!A:A, Réttabanki!AS:AS, "")), ""), "")))</f>
        <v/>
      </c>
      <c r="M1697" s="26" t="str">
        <f>IF(OR(F1697 = "", G1697 = ""), "", IF(F1697 = "Vara", IFERROR(_xlfn.SINGLE(_xlfn.XLOOKUP(G1697, Vöruskrá!A:A, Vöruskrá!F:F, "")), ""), IF(F1697 = "Réttur", IFERROR(_xlfn.SINGLE(_xlfn.XLOOKUP(G1697, Réttabanki!A:A, Réttabanki!AT:AT, "")), ""), "")))</f>
        <v/>
      </c>
      <c r="N1697" s="26" t="str">
        <f>IF(OR(F1697 = "", G1697 = ""), "", IF(F1697 = "Vara", IFERROR(_xlfn.SINGLE(_xlfn.XLOOKUP(G1697, Vöruskrá!A:A, Vöruskrá!G:G, "")), ""), IF(F1697 = "Réttur", IFERROR(_xlfn.SINGLE(_xlfn.XLOOKUP(G1697, Réttabanki!A:A, Réttabanki!AU:AU, "")), ""), "")))</f>
        <v/>
      </c>
      <c r="O1697" s="26" t="str">
        <f>IF(OR(F1697 = "", G1697 = "", I1697 = ""), "", IF(F1697 = "Vara", IFERROR(_xlfn.SINGLE(_xlfn.XLOOKUP(G1697, Vöruskrá!A:A, Vöruskrá!I:I, "")) * I1697 / 100, ""), IF(F1697 = "Réttur", IFERROR(_xlfn.SINGLE(_xlfn.XLOOKUP(G1697, Réttabanki!A:A, Réttabanki!AV:AV, "")) * I1697 / 100, ""), "")))</f>
        <v/>
      </c>
      <c r="P1697" s="26" t="str">
        <f>IF(OR(F1697 = "", G1697 = "", I1697 = ""), "", IF(F1697 = "Vara", IFERROR(_xlfn.SINGLE(_xlfn.XLOOKUP(G1697, Vöruskrá!A:A, Vöruskrá!J:J, "")) * I1697 / 100, ""), IF(F1697 = "Réttur", IFERROR(_xlfn.SINGLE(_xlfn.XLOOKUP(G1697, Réttabanki!A:A, Réttabanki!AW:AW, "")) * I1697 / 100, ""), "")))</f>
        <v/>
      </c>
      <c r="Q1697" s="26" t="str">
        <f>IF(OR(F1697 = "", G1697 = "", I1697 = ""), "", IF(F1697 = "Vara", IFERROR(_xlfn.SINGLE(_xlfn.XLOOKUP(G1697, Vöruskrá!A:A, Vöruskrá!N:N, "")) * I1697 / 100, ""), IF(F1697 = "Réttur", IFERROR(_xlfn.SINGLE(_xlfn.XLOOKUP(G1697, Réttabanki!A:A, Réttabanki!BB:BB, "")) * I1697 / 100, ""), "")))</f>
        <v/>
      </c>
    </row>
    <row r="1698" spans="2:17">
      <c r="B1698" s="33" t="str">
        <f>IF(A1698&lt;&gt;"",CHOOSE(WEEKDAY(A1698,2),"Mánudagur","Þriðjudagur","Miðvikudagur","Fimmtudagur","Föstudagur","Laugardagur","Sunnudagur"),IF(B1697&lt;&gt;"",B1697,""))</f>
        <v>Fimmtudagur</v>
      </c>
      <c r="C1698" s="33">
        <f>IF(A1698&lt;&gt;"",WEEKNUM(A1698,21),IF(C1697&lt;&gt;"",C1697,""))</f>
        <v>27</v>
      </c>
      <c r="D1698" s="34"/>
      <c r="E1698" s="34"/>
      <c r="F1698" s="34"/>
      <c r="G1698" s="34"/>
      <c r="H1698" s="34"/>
      <c r="I1698" s="35"/>
      <c r="J1698" s="35"/>
      <c r="K1698" s="36"/>
      <c r="L1698" s="26" t="str">
        <f>IF(OR(F1698 = "", G1698 = ""), "", IF(F1698 = "Vara", IFERROR(_xlfn.SINGLE(_xlfn.XLOOKUP(G1698, Vöruskrá!A:A, Vöruskrá!E:E, "")), ""), IF(F1698 = "Réttur", IFERROR(_xlfn.SINGLE(_xlfn.XLOOKUP(G1698, Réttabanki!A:A, Réttabanki!AS:AS, "")), ""), "")))</f>
        <v/>
      </c>
      <c r="M1698" s="26" t="str">
        <f>IF(OR(F1698 = "", G1698 = ""), "", IF(F1698 = "Vara", IFERROR(_xlfn.SINGLE(_xlfn.XLOOKUP(G1698, Vöruskrá!A:A, Vöruskrá!F:F, "")), ""), IF(F1698 = "Réttur", IFERROR(_xlfn.SINGLE(_xlfn.XLOOKUP(G1698, Réttabanki!A:A, Réttabanki!AT:AT, "")), ""), "")))</f>
        <v/>
      </c>
      <c r="N1698" s="26" t="str">
        <f>IF(OR(F1698 = "", G1698 = ""), "", IF(F1698 = "Vara", IFERROR(_xlfn.SINGLE(_xlfn.XLOOKUP(G1698, Vöruskrá!A:A, Vöruskrá!G:G, "")), ""), IF(F1698 = "Réttur", IFERROR(_xlfn.SINGLE(_xlfn.XLOOKUP(G1698, Réttabanki!A:A, Réttabanki!AU:AU, "")), ""), "")))</f>
        <v/>
      </c>
      <c r="O1698" s="26" t="str">
        <f>IF(OR(F1698 = "", G1698 = "", I1698 = ""), "", IF(F1698 = "Vara", IFERROR(_xlfn.SINGLE(_xlfn.XLOOKUP(G1698, Vöruskrá!A:A, Vöruskrá!I:I, "")) * I1698 / 100, ""), IF(F1698 = "Réttur", IFERROR(_xlfn.SINGLE(_xlfn.XLOOKUP(G1698, Réttabanki!A:A, Réttabanki!AV:AV, "")) * I1698 / 100, ""), "")))</f>
        <v/>
      </c>
      <c r="P1698" s="26" t="str">
        <f>IF(OR(F1698 = "", G1698 = "", I1698 = ""), "", IF(F1698 = "Vara", IFERROR(_xlfn.SINGLE(_xlfn.XLOOKUP(G1698, Vöruskrá!A:A, Vöruskrá!J:J, "")) * I1698 / 100, ""), IF(F1698 = "Réttur", IFERROR(_xlfn.SINGLE(_xlfn.XLOOKUP(G1698, Réttabanki!A:A, Réttabanki!AW:AW, "")) * I1698 / 100, ""), "")))</f>
        <v/>
      </c>
      <c r="Q1698" s="26" t="str">
        <f>IF(OR(F1698 = "", G1698 = "", I1698 = ""), "", IF(F1698 = "Vara", IFERROR(_xlfn.SINGLE(_xlfn.XLOOKUP(G1698, Vöruskrá!A:A, Vöruskrá!N:N, "")) * I1698 / 100, ""), IF(F1698 = "Réttur", IFERROR(_xlfn.SINGLE(_xlfn.XLOOKUP(G1698, Réttabanki!A:A, Réttabanki!BB:BB, "")) * I1698 / 100, ""), "")))</f>
        <v/>
      </c>
    </row>
    <row r="1699" spans="2:17">
      <c r="B1699" s="33" t="str">
        <f>IF(A1699&lt;&gt;"",CHOOSE(WEEKDAY(A1699,2),"Mánudagur","Þriðjudagur","Miðvikudagur","Fimmtudagur","Föstudagur","Laugardagur","Sunnudagur"),IF(B1698&lt;&gt;"",B1698,""))</f>
        <v>Fimmtudagur</v>
      </c>
      <c r="C1699" s="33">
        <f>IF(A1699&lt;&gt;"",WEEKNUM(A1699,21),IF(C1698&lt;&gt;"",C1698,""))</f>
        <v>27</v>
      </c>
      <c r="D1699" s="34"/>
      <c r="E1699" s="34"/>
      <c r="F1699" s="34"/>
      <c r="G1699" s="34"/>
      <c r="H1699" s="34"/>
      <c r="I1699" s="35"/>
      <c r="J1699" s="35"/>
      <c r="K1699" s="36"/>
      <c r="L1699" s="26" t="str">
        <f>IF(OR(F1699 = "", G1699 = ""), "", IF(F1699 = "Vara", IFERROR(_xlfn.SINGLE(_xlfn.XLOOKUP(G1699, Vöruskrá!A:A, Vöruskrá!E:E, "")), ""), IF(F1699 = "Réttur", IFERROR(_xlfn.SINGLE(_xlfn.XLOOKUP(G1699, Réttabanki!A:A, Réttabanki!AS:AS, "")), ""), "")))</f>
        <v/>
      </c>
      <c r="M1699" s="26" t="str">
        <f>IF(OR(F1699 = "", G1699 = ""), "", IF(F1699 = "Vara", IFERROR(_xlfn.SINGLE(_xlfn.XLOOKUP(G1699, Vöruskrá!A:A, Vöruskrá!F:F, "")), ""), IF(F1699 = "Réttur", IFERROR(_xlfn.SINGLE(_xlfn.XLOOKUP(G1699, Réttabanki!A:A, Réttabanki!AT:AT, "")), ""), "")))</f>
        <v/>
      </c>
      <c r="N1699" s="26" t="str">
        <f>IF(OR(F1699 = "", G1699 = ""), "", IF(F1699 = "Vara", IFERROR(_xlfn.SINGLE(_xlfn.XLOOKUP(G1699, Vöruskrá!A:A, Vöruskrá!G:G, "")), ""), IF(F1699 = "Réttur", IFERROR(_xlfn.SINGLE(_xlfn.XLOOKUP(G1699, Réttabanki!A:A, Réttabanki!AU:AU, "")), ""), "")))</f>
        <v/>
      </c>
      <c r="O1699" s="26" t="str">
        <f>IF(OR(F1699 = "", G1699 = "", I1699 = ""), "", IF(F1699 = "Vara", IFERROR(_xlfn.SINGLE(_xlfn.XLOOKUP(G1699, Vöruskrá!A:A, Vöruskrá!I:I, "")) * I1699 / 100, ""), IF(F1699 = "Réttur", IFERROR(_xlfn.SINGLE(_xlfn.XLOOKUP(G1699, Réttabanki!A:A, Réttabanki!AV:AV, "")) * I1699 / 100, ""), "")))</f>
        <v/>
      </c>
      <c r="P1699" s="26" t="str">
        <f>IF(OR(F1699 = "", G1699 = "", I1699 = ""), "", IF(F1699 = "Vara", IFERROR(_xlfn.SINGLE(_xlfn.XLOOKUP(G1699, Vöruskrá!A:A, Vöruskrá!J:J, "")) * I1699 / 100, ""), IF(F1699 = "Réttur", IFERROR(_xlfn.SINGLE(_xlfn.XLOOKUP(G1699, Réttabanki!A:A, Réttabanki!AW:AW, "")) * I1699 / 100, ""), "")))</f>
        <v/>
      </c>
      <c r="Q1699" s="26" t="str">
        <f>IF(OR(F1699 = "", G1699 = "", I1699 = ""), "", IF(F1699 = "Vara", IFERROR(_xlfn.SINGLE(_xlfn.XLOOKUP(G1699, Vöruskrá!A:A, Vöruskrá!N:N, "")) * I1699 / 100, ""), IF(F1699 = "Réttur", IFERROR(_xlfn.SINGLE(_xlfn.XLOOKUP(G1699, Réttabanki!A:A, Réttabanki!BB:BB, "")) * I1699 / 100, ""), "")))</f>
        <v/>
      </c>
    </row>
    <row r="1700" spans="2:17">
      <c r="B1700" s="33" t="str">
        <f>IF(A1700&lt;&gt;"",CHOOSE(WEEKDAY(A1700,2),"Mánudagur","Þriðjudagur","Miðvikudagur","Fimmtudagur","Föstudagur","Laugardagur","Sunnudagur"),IF(B1699&lt;&gt;"",B1699,""))</f>
        <v>Fimmtudagur</v>
      </c>
      <c r="C1700" s="33">
        <f>IF(A1700&lt;&gt;"",WEEKNUM(A1700,21),IF(C1699&lt;&gt;"",C1699,""))</f>
        <v>27</v>
      </c>
      <c r="D1700" s="34"/>
      <c r="E1700" s="34"/>
      <c r="F1700" s="34"/>
      <c r="G1700" s="34"/>
      <c r="H1700" s="34"/>
      <c r="I1700" s="35"/>
      <c r="J1700" s="35"/>
      <c r="K1700" s="36"/>
      <c r="L1700" s="26" t="str">
        <f>IF(OR(F1700 = "", G1700 = ""), "", IF(F1700 = "Vara", IFERROR(_xlfn.SINGLE(_xlfn.XLOOKUP(G1700, Vöruskrá!A:A, Vöruskrá!E:E, "")), ""), IF(F1700 = "Réttur", IFERROR(_xlfn.SINGLE(_xlfn.XLOOKUP(G1700, Réttabanki!A:A, Réttabanki!AS:AS, "")), ""), "")))</f>
        <v/>
      </c>
      <c r="M1700" s="26" t="str">
        <f>IF(OR(F1700 = "", G1700 = ""), "", IF(F1700 = "Vara", IFERROR(_xlfn.SINGLE(_xlfn.XLOOKUP(G1700, Vöruskrá!A:A, Vöruskrá!F:F, "")), ""), IF(F1700 = "Réttur", IFERROR(_xlfn.SINGLE(_xlfn.XLOOKUP(G1700, Réttabanki!A:A, Réttabanki!AT:AT, "")), ""), "")))</f>
        <v/>
      </c>
      <c r="N1700" s="26" t="str">
        <f>IF(OR(F1700 = "", G1700 = ""), "", IF(F1700 = "Vara", IFERROR(_xlfn.SINGLE(_xlfn.XLOOKUP(G1700, Vöruskrá!A:A, Vöruskrá!G:G, "")), ""), IF(F1700 = "Réttur", IFERROR(_xlfn.SINGLE(_xlfn.XLOOKUP(G1700, Réttabanki!A:A, Réttabanki!AU:AU, "")), ""), "")))</f>
        <v/>
      </c>
      <c r="O1700" s="26" t="str">
        <f>IF(OR(F1700 = "", G1700 = "", I1700 = ""), "", IF(F1700 = "Vara", IFERROR(_xlfn.SINGLE(_xlfn.XLOOKUP(G1700, Vöruskrá!A:A, Vöruskrá!I:I, "")) * I1700 / 100, ""), IF(F1700 = "Réttur", IFERROR(_xlfn.SINGLE(_xlfn.XLOOKUP(G1700, Réttabanki!A:A, Réttabanki!AV:AV, "")) * I1700 / 100, ""), "")))</f>
        <v/>
      </c>
      <c r="P1700" s="26" t="str">
        <f>IF(OR(F1700 = "", G1700 = "", I1700 = ""), "", IF(F1700 = "Vara", IFERROR(_xlfn.SINGLE(_xlfn.XLOOKUP(G1700, Vöruskrá!A:A, Vöruskrá!J:J, "")) * I1700 / 100, ""), IF(F1700 = "Réttur", IFERROR(_xlfn.SINGLE(_xlfn.XLOOKUP(G1700, Réttabanki!A:A, Réttabanki!AW:AW, "")) * I1700 / 100, ""), "")))</f>
        <v/>
      </c>
      <c r="Q1700" s="26" t="str">
        <f>IF(OR(F1700 = "", G1700 = "", I1700 = ""), "", IF(F1700 = "Vara", IFERROR(_xlfn.SINGLE(_xlfn.XLOOKUP(G1700, Vöruskrá!A:A, Vöruskrá!N:N, "")) * I1700 / 100, ""), IF(F1700 = "Réttur", IFERROR(_xlfn.SINGLE(_xlfn.XLOOKUP(G1700, Réttabanki!A:A, Réttabanki!BB:BB, "")) * I1700 / 100, ""), "")))</f>
        <v/>
      </c>
    </row>
    <row r="1701" spans="2:17">
      <c r="B1701" s="33" t="str">
        <f>IF(A1701&lt;&gt;"",CHOOSE(WEEKDAY(A1701,2),"Mánudagur","Þriðjudagur","Miðvikudagur","Fimmtudagur","Föstudagur","Laugardagur","Sunnudagur"),IF(B1700&lt;&gt;"",B1700,""))</f>
        <v>Fimmtudagur</v>
      </c>
      <c r="C1701" s="33">
        <f>IF(A1701&lt;&gt;"",WEEKNUM(A1701,21),IF(C1700&lt;&gt;"",C1700,""))</f>
        <v>27</v>
      </c>
      <c r="D1701" s="34"/>
      <c r="E1701" s="34"/>
      <c r="F1701" s="34"/>
      <c r="G1701" s="34"/>
      <c r="H1701" s="34"/>
      <c r="I1701" s="35"/>
      <c r="J1701" s="35"/>
      <c r="K1701" s="36"/>
      <c r="L1701" s="26" t="str">
        <f>IF(OR(F1701 = "", G1701 = ""), "", IF(F1701 = "Vara", IFERROR(_xlfn.SINGLE(_xlfn.XLOOKUP(G1701, Vöruskrá!A:A, Vöruskrá!E:E, "")), ""), IF(F1701 = "Réttur", IFERROR(_xlfn.SINGLE(_xlfn.XLOOKUP(G1701, Réttabanki!A:A, Réttabanki!AS:AS, "")), ""), "")))</f>
        <v/>
      </c>
      <c r="M1701" s="26" t="str">
        <f>IF(OR(F1701 = "", G1701 = ""), "", IF(F1701 = "Vara", IFERROR(_xlfn.SINGLE(_xlfn.XLOOKUP(G1701, Vöruskrá!A:A, Vöruskrá!F:F, "")), ""), IF(F1701 = "Réttur", IFERROR(_xlfn.SINGLE(_xlfn.XLOOKUP(G1701, Réttabanki!A:A, Réttabanki!AT:AT, "")), ""), "")))</f>
        <v/>
      </c>
      <c r="N1701" s="26" t="str">
        <f>IF(OR(F1701 = "", G1701 = ""), "", IF(F1701 = "Vara", IFERROR(_xlfn.SINGLE(_xlfn.XLOOKUP(G1701, Vöruskrá!A:A, Vöruskrá!G:G, "")), ""), IF(F1701 = "Réttur", IFERROR(_xlfn.SINGLE(_xlfn.XLOOKUP(G1701, Réttabanki!A:A, Réttabanki!AU:AU, "")), ""), "")))</f>
        <v/>
      </c>
      <c r="O1701" s="26" t="str">
        <f>IF(OR(F1701 = "", G1701 = "", I1701 = ""), "", IF(F1701 = "Vara", IFERROR(_xlfn.SINGLE(_xlfn.XLOOKUP(G1701, Vöruskrá!A:A, Vöruskrá!I:I, "")) * I1701 / 100, ""), IF(F1701 = "Réttur", IFERROR(_xlfn.SINGLE(_xlfn.XLOOKUP(G1701, Réttabanki!A:A, Réttabanki!AV:AV, "")) * I1701 / 100, ""), "")))</f>
        <v/>
      </c>
      <c r="P1701" s="26" t="str">
        <f>IF(OR(F1701 = "", G1701 = "", I1701 = ""), "", IF(F1701 = "Vara", IFERROR(_xlfn.SINGLE(_xlfn.XLOOKUP(G1701, Vöruskrá!A:A, Vöruskrá!J:J, "")) * I1701 / 100, ""), IF(F1701 = "Réttur", IFERROR(_xlfn.SINGLE(_xlfn.XLOOKUP(G1701, Réttabanki!A:A, Réttabanki!AW:AW, "")) * I1701 / 100, ""), "")))</f>
        <v/>
      </c>
      <c r="Q1701" s="26" t="str">
        <f>IF(OR(F1701 = "", G1701 = "", I1701 = ""), "", IF(F1701 = "Vara", IFERROR(_xlfn.SINGLE(_xlfn.XLOOKUP(G1701, Vöruskrá!A:A, Vöruskrá!N:N, "")) * I1701 / 100, ""), IF(F1701 = "Réttur", IFERROR(_xlfn.SINGLE(_xlfn.XLOOKUP(G1701, Réttabanki!A:A, Réttabanki!BB:BB, "")) * I1701 / 100, ""), "")))</f>
        <v/>
      </c>
    </row>
    <row r="1702" spans="2:17">
      <c r="B1702" s="33" t="str">
        <f>IF(A1702&lt;&gt;"",CHOOSE(WEEKDAY(A1702,2),"Mánudagur","Þriðjudagur","Miðvikudagur","Fimmtudagur","Föstudagur","Laugardagur","Sunnudagur"),IF(B1701&lt;&gt;"",B1701,""))</f>
        <v>Fimmtudagur</v>
      </c>
      <c r="C1702" s="33">
        <f>IF(A1702&lt;&gt;"",WEEKNUM(A1702,21),IF(C1701&lt;&gt;"",C1701,""))</f>
        <v>27</v>
      </c>
      <c r="D1702" s="34"/>
      <c r="E1702" s="34"/>
      <c r="F1702" s="34"/>
      <c r="G1702" s="34"/>
      <c r="H1702" s="34"/>
      <c r="I1702" s="35"/>
      <c r="J1702" s="35"/>
      <c r="K1702" s="36"/>
      <c r="L1702" s="26" t="str">
        <f>IF(OR(F1702 = "", G1702 = ""), "", IF(F1702 = "Vara", IFERROR(_xlfn.SINGLE(_xlfn.XLOOKUP(G1702, Vöruskrá!A:A, Vöruskrá!E:E, "")), ""), IF(F1702 = "Réttur", IFERROR(_xlfn.SINGLE(_xlfn.XLOOKUP(G1702, Réttabanki!A:A, Réttabanki!AS:AS, "")), ""), "")))</f>
        <v/>
      </c>
      <c r="M1702" s="26" t="str">
        <f>IF(OR(F1702 = "", G1702 = ""), "", IF(F1702 = "Vara", IFERROR(_xlfn.SINGLE(_xlfn.XLOOKUP(G1702, Vöruskrá!A:A, Vöruskrá!F:F, "")), ""), IF(F1702 = "Réttur", IFERROR(_xlfn.SINGLE(_xlfn.XLOOKUP(G1702, Réttabanki!A:A, Réttabanki!AT:AT, "")), ""), "")))</f>
        <v/>
      </c>
      <c r="N1702" s="26" t="str">
        <f>IF(OR(F1702 = "", G1702 = ""), "", IF(F1702 = "Vara", IFERROR(_xlfn.SINGLE(_xlfn.XLOOKUP(G1702, Vöruskrá!A:A, Vöruskrá!G:G, "")), ""), IF(F1702 = "Réttur", IFERROR(_xlfn.SINGLE(_xlfn.XLOOKUP(G1702, Réttabanki!A:A, Réttabanki!AU:AU, "")), ""), "")))</f>
        <v/>
      </c>
      <c r="O1702" s="26" t="str">
        <f>IF(OR(F1702 = "", G1702 = "", I1702 = ""), "", IF(F1702 = "Vara", IFERROR(_xlfn.SINGLE(_xlfn.XLOOKUP(G1702, Vöruskrá!A:A, Vöruskrá!I:I, "")) * I1702 / 100, ""), IF(F1702 = "Réttur", IFERROR(_xlfn.SINGLE(_xlfn.XLOOKUP(G1702, Réttabanki!A:A, Réttabanki!AV:AV, "")) * I1702 / 100, ""), "")))</f>
        <v/>
      </c>
      <c r="P1702" s="26" t="str">
        <f>IF(OR(F1702 = "", G1702 = "", I1702 = ""), "", IF(F1702 = "Vara", IFERROR(_xlfn.SINGLE(_xlfn.XLOOKUP(G1702, Vöruskrá!A:A, Vöruskrá!J:J, "")) * I1702 / 100, ""), IF(F1702 = "Réttur", IFERROR(_xlfn.SINGLE(_xlfn.XLOOKUP(G1702, Réttabanki!A:A, Réttabanki!AW:AW, "")) * I1702 / 100, ""), "")))</f>
        <v/>
      </c>
      <c r="Q1702" s="26" t="str">
        <f>IF(OR(F1702 = "", G1702 = "", I1702 = ""), "", IF(F1702 = "Vara", IFERROR(_xlfn.SINGLE(_xlfn.XLOOKUP(G1702, Vöruskrá!A:A, Vöruskrá!N:N, "")) * I1702 / 100, ""), IF(F1702 = "Réttur", IFERROR(_xlfn.SINGLE(_xlfn.XLOOKUP(G1702, Réttabanki!A:A, Réttabanki!BB:BB, "")) * I1702 / 100, ""), "")))</f>
        <v/>
      </c>
    </row>
    <row r="1703" spans="2:17">
      <c r="B1703" s="33" t="str">
        <f>IF(A1703&lt;&gt;"",CHOOSE(WEEKDAY(A1703,2),"Mánudagur","Þriðjudagur","Miðvikudagur","Fimmtudagur","Föstudagur","Laugardagur","Sunnudagur"),IF(B1702&lt;&gt;"",B1702,""))</f>
        <v>Fimmtudagur</v>
      </c>
      <c r="C1703" s="33">
        <f>IF(A1703&lt;&gt;"",WEEKNUM(A1703,21),IF(C1702&lt;&gt;"",C1702,""))</f>
        <v>27</v>
      </c>
      <c r="D1703" s="34"/>
      <c r="E1703" s="34"/>
      <c r="F1703" s="34"/>
      <c r="G1703" s="34"/>
      <c r="H1703" s="34"/>
      <c r="I1703" s="35"/>
      <c r="J1703" s="35"/>
      <c r="K1703" s="36"/>
      <c r="L1703" s="26" t="str">
        <f>IF(OR(F1703 = "", G1703 = ""), "", IF(F1703 = "Vara", IFERROR(_xlfn.SINGLE(_xlfn.XLOOKUP(G1703, Vöruskrá!A:A, Vöruskrá!E:E, "")), ""), IF(F1703 = "Réttur", IFERROR(_xlfn.SINGLE(_xlfn.XLOOKUP(G1703, Réttabanki!A:A, Réttabanki!AS:AS, "")), ""), "")))</f>
        <v/>
      </c>
      <c r="M1703" s="26" t="str">
        <f>IF(OR(F1703 = "", G1703 = ""), "", IF(F1703 = "Vara", IFERROR(_xlfn.SINGLE(_xlfn.XLOOKUP(G1703, Vöruskrá!A:A, Vöruskrá!F:F, "")), ""), IF(F1703 = "Réttur", IFERROR(_xlfn.SINGLE(_xlfn.XLOOKUP(G1703, Réttabanki!A:A, Réttabanki!AT:AT, "")), ""), "")))</f>
        <v/>
      </c>
      <c r="N1703" s="26" t="str">
        <f>IF(OR(F1703 = "", G1703 = ""), "", IF(F1703 = "Vara", IFERROR(_xlfn.SINGLE(_xlfn.XLOOKUP(G1703, Vöruskrá!A:A, Vöruskrá!G:G, "")), ""), IF(F1703 = "Réttur", IFERROR(_xlfn.SINGLE(_xlfn.XLOOKUP(G1703, Réttabanki!A:A, Réttabanki!AU:AU, "")), ""), "")))</f>
        <v/>
      </c>
      <c r="O1703" s="26" t="str">
        <f>IF(OR(F1703 = "", G1703 = "", I1703 = ""), "", IF(F1703 = "Vara", IFERROR(_xlfn.SINGLE(_xlfn.XLOOKUP(G1703, Vöruskrá!A:A, Vöruskrá!I:I, "")) * I1703 / 100, ""), IF(F1703 = "Réttur", IFERROR(_xlfn.SINGLE(_xlfn.XLOOKUP(G1703, Réttabanki!A:A, Réttabanki!AV:AV, "")) * I1703 / 100, ""), "")))</f>
        <v/>
      </c>
      <c r="P1703" s="26" t="str">
        <f>IF(OR(F1703 = "", G1703 = "", I1703 = ""), "", IF(F1703 = "Vara", IFERROR(_xlfn.SINGLE(_xlfn.XLOOKUP(G1703, Vöruskrá!A:A, Vöruskrá!J:J, "")) * I1703 / 100, ""), IF(F1703 = "Réttur", IFERROR(_xlfn.SINGLE(_xlfn.XLOOKUP(G1703, Réttabanki!A:A, Réttabanki!AW:AW, "")) * I1703 / 100, ""), "")))</f>
        <v/>
      </c>
      <c r="Q1703" s="26" t="str">
        <f>IF(OR(F1703 = "", G1703 = "", I1703 = ""), "", IF(F1703 = "Vara", IFERROR(_xlfn.SINGLE(_xlfn.XLOOKUP(G1703, Vöruskrá!A:A, Vöruskrá!N:N, "")) * I1703 / 100, ""), IF(F1703 = "Réttur", IFERROR(_xlfn.SINGLE(_xlfn.XLOOKUP(G1703, Réttabanki!A:A, Réttabanki!BB:BB, "")) * I1703 / 100, ""), "")))</f>
        <v/>
      </c>
    </row>
    <row r="1704" spans="2:17">
      <c r="B1704" s="33" t="str">
        <f>IF(A1704&lt;&gt;"",CHOOSE(WEEKDAY(A1704,2),"Mánudagur","Þriðjudagur","Miðvikudagur","Fimmtudagur","Föstudagur","Laugardagur","Sunnudagur"),IF(B1703&lt;&gt;"",B1703,""))</f>
        <v>Fimmtudagur</v>
      </c>
      <c r="C1704" s="33">
        <f>IF(A1704&lt;&gt;"",WEEKNUM(A1704,21),IF(C1703&lt;&gt;"",C1703,""))</f>
        <v>27</v>
      </c>
      <c r="D1704" s="34"/>
      <c r="E1704" s="34"/>
      <c r="F1704" s="34"/>
      <c r="G1704" s="34"/>
      <c r="H1704" s="34"/>
      <c r="I1704" s="35"/>
      <c r="J1704" s="35"/>
      <c r="K1704" s="36"/>
      <c r="L1704" s="26" t="str">
        <f>IF(OR(F1704 = "", G1704 = ""), "", IF(F1704 = "Vara", IFERROR(_xlfn.SINGLE(_xlfn.XLOOKUP(G1704, Vöruskrá!A:A, Vöruskrá!E:E, "")), ""), IF(F1704 = "Réttur", IFERROR(_xlfn.SINGLE(_xlfn.XLOOKUP(G1704, Réttabanki!A:A, Réttabanki!AS:AS, "")), ""), "")))</f>
        <v/>
      </c>
      <c r="M1704" s="26" t="str">
        <f>IF(OR(F1704 = "", G1704 = ""), "", IF(F1704 = "Vara", IFERROR(_xlfn.SINGLE(_xlfn.XLOOKUP(G1704, Vöruskrá!A:A, Vöruskrá!F:F, "")), ""), IF(F1704 = "Réttur", IFERROR(_xlfn.SINGLE(_xlfn.XLOOKUP(G1704, Réttabanki!A:A, Réttabanki!AT:AT, "")), ""), "")))</f>
        <v/>
      </c>
      <c r="N1704" s="26" t="str">
        <f>IF(OR(F1704 = "", G1704 = ""), "", IF(F1704 = "Vara", IFERROR(_xlfn.SINGLE(_xlfn.XLOOKUP(G1704, Vöruskrá!A:A, Vöruskrá!G:G, "")), ""), IF(F1704 = "Réttur", IFERROR(_xlfn.SINGLE(_xlfn.XLOOKUP(G1704, Réttabanki!A:A, Réttabanki!AU:AU, "")), ""), "")))</f>
        <v/>
      </c>
      <c r="O1704" s="26" t="str">
        <f>IF(OR(F1704 = "", G1704 = "", I1704 = ""), "", IF(F1704 = "Vara", IFERROR(_xlfn.SINGLE(_xlfn.XLOOKUP(G1704, Vöruskrá!A:A, Vöruskrá!I:I, "")) * I1704 / 100, ""), IF(F1704 = "Réttur", IFERROR(_xlfn.SINGLE(_xlfn.XLOOKUP(G1704, Réttabanki!A:A, Réttabanki!AV:AV, "")) * I1704 / 100, ""), "")))</f>
        <v/>
      </c>
      <c r="P1704" s="26" t="str">
        <f>IF(OR(F1704 = "", G1704 = "", I1704 = ""), "", IF(F1704 = "Vara", IFERROR(_xlfn.SINGLE(_xlfn.XLOOKUP(G1704, Vöruskrá!A:A, Vöruskrá!J:J, "")) * I1704 / 100, ""), IF(F1704 = "Réttur", IFERROR(_xlfn.SINGLE(_xlfn.XLOOKUP(G1704, Réttabanki!A:A, Réttabanki!AW:AW, "")) * I1704 / 100, ""), "")))</f>
        <v/>
      </c>
      <c r="Q1704" s="26" t="str">
        <f>IF(OR(F1704 = "", G1704 = "", I1704 = ""), "", IF(F1704 = "Vara", IFERROR(_xlfn.SINGLE(_xlfn.XLOOKUP(G1704, Vöruskrá!A:A, Vöruskrá!N:N, "")) * I1704 / 100, ""), IF(F1704 = "Réttur", IFERROR(_xlfn.SINGLE(_xlfn.XLOOKUP(G1704, Réttabanki!A:A, Réttabanki!BB:BB, "")) * I1704 / 100, ""), "")))</f>
        <v/>
      </c>
    </row>
    <row r="1705" spans="2:17">
      <c r="B1705" s="33" t="str">
        <f>IF(A1705&lt;&gt;"",CHOOSE(WEEKDAY(A1705,2),"Mánudagur","Þriðjudagur","Miðvikudagur","Fimmtudagur","Föstudagur","Laugardagur","Sunnudagur"),IF(B1704&lt;&gt;"",B1704,""))</f>
        <v>Fimmtudagur</v>
      </c>
      <c r="C1705" s="33">
        <f>IF(A1705&lt;&gt;"",WEEKNUM(A1705,21),IF(C1704&lt;&gt;"",C1704,""))</f>
        <v>27</v>
      </c>
      <c r="D1705" s="34"/>
      <c r="E1705" s="34"/>
      <c r="F1705" s="34"/>
      <c r="G1705" s="34"/>
      <c r="H1705" s="34"/>
      <c r="I1705" s="35"/>
      <c r="J1705" s="35"/>
      <c r="K1705" s="36"/>
      <c r="L1705" s="26" t="str">
        <f>IF(OR(F1705 = "", G1705 = ""), "", IF(F1705 = "Vara", IFERROR(_xlfn.SINGLE(_xlfn.XLOOKUP(G1705, Vöruskrá!A:A, Vöruskrá!E:E, "")), ""), IF(F1705 = "Réttur", IFERROR(_xlfn.SINGLE(_xlfn.XLOOKUP(G1705, Réttabanki!A:A, Réttabanki!AS:AS, "")), ""), "")))</f>
        <v/>
      </c>
      <c r="M1705" s="26" t="str">
        <f>IF(OR(F1705 = "", G1705 = ""), "", IF(F1705 = "Vara", IFERROR(_xlfn.SINGLE(_xlfn.XLOOKUP(G1705, Vöruskrá!A:A, Vöruskrá!F:F, "")), ""), IF(F1705 = "Réttur", IFERROR(_xlfn.SINGLE(_xlfn.XLOOKUP(G1705, Réttabanki!A:A, Réttabanki!AT:AT, "")), ""), "")))</f>
        <v/>
      </c>
      <c r="N1705" s="26" t="str">
        <f>IF(OR(F1705 = "", G1705 = ""), "", IF(F1705 = "Vara", IFERROR(_xlfn.SINGLE(_xlfn.XLOOKUP(G1705, Vöruskrá!A:A, Vöruskrá!G:G, "")), ""), IF(F1705 = "Réttur", IFERROR(_xlfn.SINGLE(_xlfn.XLOOKUP(G1705, Réttabanki!A:A, Réttabanki!AU:AU, "")), ""), "")))</f>
        <v/>
      </c>
      <c r="O1705" s="26" t="str">
        <f>IF(OR(F1705 = "", G1705 = "", I1705 = ""), "", IF(F1705 = "Vara", IFERROR(_xlfn.SINGLE(_xlfn.XLOOKUP(G1705, Vöruskrá!A:A, Vöruskrá!I:I, "")) * I1705 / 100, ""), IF(F1705 = "Réttur", IFERROR(_xlfn.SINGLE(_xlfn.XLOOKUP(G1705, Réttabanki!A:A, Réttabanki!AV:AV, "")) * I1705 / 100, ""), "")))</f>
        <v/>
      </c>
      <c r="P1705" s="26" t="str">
        <f>IF(OR(F1705 = "", G1705 = "", I1705 = ""), "", IF(F1705 = "Vara", IFERROR(_xlfn.SINGLE(_xlfn.XLOOKUP(G1705, Vöruskrá!A:A, Vöruskrá!J:J, "")) * I1705 / 100, ""), IF(F1705 = "Réttur", IFERROR(_xlfn.SINGLE(_xlfn.XLOOKUP(G1705, Réttabanki!A:A, Réttabanki!AW:AW, "")) * I1705 / 100, ""), "")))</f>
        <v/>
      </c>
      <c r="Q1705" s="26" t="str">
        <f>IF(OR(F1705 = "", G1705 = "", I1705 = ""), "", IF(F1705 = "Vara", IFERROR(_xlfn.SINGLE(_xlfn.XLOOKUP(G1705, Vöruskrá!A:A, Vöruskrá!N:N, "")) * I1705 / 100, ""), IF(F1705 = "Réttur", IFERROR(_xlfn.SINGLE(_xlfn.XLOOKUP(G1705, Réttabanki!A:A, Réttabanki!BB:BB, "")) * I1705 / 100, ""), "")))</f>
        <v/>
      </c>
    </row>
    <row r="1706" spans="2:17">
      <c r="B1706" s="33" t="str">
        <f>IF(A1706&lt;&gt;"",CHOOSE(WEEKDAY(A1706,2),"Mánudagur","Þriðjudagur","Miðvikudagur","Fimmtudagur","Föstudagur","Laugardagur","Sunnudagur"),IF(B1705&lt;&gt;"",B1705,""))</f>
        <v>Fimmtudagur</v>
      </c>
      <c r="C1706" s="33">
        <f>IF(A1706&lt;&gt;"",WEEKNUM(A1706,21),IF(C1705&lt;&gt;"",C1705,""))</f>
        <v>27</v>
      </c>
      <c r="D1706" s="34"/>
      <c r="E1706" s="34"/>
      <c r="F1706" s="34"/>
      <c r="G1706" s="34"/>
      <c r="H1706" s="34"/>
      <c r="I1706" s="35"/>
      <c r="J1706" s="35"/>
      <c r="K1706" s="36"/>
      <c r="L1706" s="26" t="str">
        <f>IF(OR(F1706 = "", G1706 = ""), "", IF(F1706 = "Vara", IFERROR(_xlfn.SINGLE(_xlfn.XLOOKUP(G1706, Vöruskrá!A:A, Vöruskrá!E:E, "")), ""), IF(F1706 = "Réttur", IFERROR(_xlfn.SINGLE(_xlfn.XLOOKUP(G1706, Réttabanki!A:A, Réttabanki!AS:AS, "")), ""), "")))</f>
        <v/>
      </c>
      <c r="M1706" s="26" t="str">
        <f>IF(OR(F1706 = "", G1706 = ""), "", IF(F1706 = "Vara", IFERROR(_xlfn.SINGLE(_xlfn.XLOOKUP(G1706, Vöruskrá!A:A, Vöruskrá!F:F, "")), ""), IF(F1706 = "Réttur", IFERROR(_xlfn.SINGLE(_xlfn.XLOOKUP(G1706, Réttabanki!A:A, Réttabanki!AT:AT, "")), ""), "")))</f>
        <v/>
      </c>
      <c r="N1706" s="26" t="str">
        <f>IF(OR(F1706 = "", G1706 = ""), "", IF(F1706 = "Vara", IFERROR(_xlfn.SINGLE(_xlfn.XLOOKUP(G1706, Vöruskrá!A:A, Vöruskrá!G:G, "")), ""), IF(F1706 = "Réttur", IFERROR(_xlfn.SINGLE(_xlfn.XLOOKUP(G1706, Réttabanki!A:A, Réttabanki!AU:AU, "")), ""), "")))</f>
        <v/>
      </c>
      <c r="O1706" s="26" t="str">
        <f>IF(OR(F1706 = "", G1706 = "", I1706 = ""), "", IF(F1706 = "Vara", IFERROR(_xlfn.SINGLE(_xlfn.XLOOKUP(G1706, Vöruskrá!A:A, Vöruskrá!I:I, "")) * I1706 / 100, ""), IF(F1706 = "Réttur", IFERROR(_xlfn.SINGLE(_xlfn.XLOOKUP(G1706, Réttabanki!A:A, Réttabanki!AV:AV, "")) * I1706 / 100, ""), "")))</f>
        <v/>
      </c>
      <c r="P1706" s="26" t="str">
        <f>IF(OR(F1706 = "", G1706 = "", I1706 = ""), "", IF(F1706 = "Vara", IFERROR(_xlfn.SINGLE(_xlfn.XLOOKUP(G1706, Vöruskrá!A:A, Vöruskrá!J:J, "")) * I1706 / 100, ""), IF(F1706 = "Réttur", IFERROR(_xlfn.SINGLE(_xlfn.XLOOKUP(G1706, Réttabanki!A:A, Réttabanki!AW:AW, "")) * I1706 / 100, ""), "")))</f>
        <v/>
      </c>
      <c r="Q1706" s="26" t="str">
        <f>IF(OR(F1706 = "", G1706 = "", I1706 = ""), "", IF(F1706 = "Vara", IFERROR(_xlfn.SINGLE(_xlfn.XLOOKUP(G1706, Vöruskrá!A:A, Vöruskrá!N:N, "")) * I1706 / 100, ""), IF(F1706 = "Réttur", IFERROR(_xlfn.SINGLE(_xlfn.XLOOKUP(G1706, Réttabanki!A:A, Réttabanki!BB:BB, "")) * I1706 / 100, ""), "")))</f>
        <v/>
      </c>
    </row>
    <row r="1707" spans="2:17">
      <c r="B1707" s="33" t="str">
        <f>IF(A1707&lt;&gt;"",CHOOSE(WEEKDAY(A1707,2),"Mánudagur","Þriðjudagur","Miðvikudagur","Fimmtudagur","Föstudagur","Laugardagur","Sunnudagur"),IF(B1706&lt;&gt;"",B1706,""))</f>
        <v>Fimmtudagur</v>
      </c>
      <c r="C1707" s="33">
        <f>IF(A1707&lt;&gt;"",WEEKNUM(A1707,21),IF(C1706&lt;&gt;"",C1706,""))</f>
        <v>27</v>
      </c>
      <c r="D1707" s="34"/>
      <c r="E1707" s="34"/>
      <c r="F1707" s="34"/>
      <c r="G1707" s="34"/>
      <c r="H1707" s="34"/>
      <c r="I1707" s="35"/>
      <c r="J1707" s="35"/>
      <c r="K1707" s="36"/>
      <c r="L1707" s="26" t="str">
        <f>IF(OR(F1707 = "", G1707 = ""), "", IF(F1707 = "Vara", IFERROR(_xlfn.SINGLE(_xlfn.XLOOKUP(G1707, Vöruskrá!A:A, Vöruskrá!E:E, "")), ""), IF(F1707 = "Réttur", IFERROR(_xlfn.SINGLE(_xlfn.XLOOKUP(G1707, Réttabanki!A:A, Réttabanki!AS:AS, "")), ""), "")))</f>
        <v/>
      </c>
      <c r="M1707" s="26" t="str">
        <f>IF(OR(F1707 = "", G1707 = ""), "", IF(F1707 = "Vara", IFERROR(_xlfn.SINGLE(_xlfn.XLOOKUP(G1707, Vöruskrá!A:A, Vöruskrá!F:F, "")), ""), IF(F1707 = "Réttur", IFERROR(_xlfn.SINGLE(_xlfn.XLOOKUP(G1707, Réttabanki!A:A, Réttabanki!AT:AT, "")), ""), "")))</f>
        <v/>
      </c>
      <c r="N1707" s="26" t="str">
        <f>IF(OR(F1707 = "", G1707 = ""), "", IF(F1707 = "Vara", IFERROR(_xlfn.SINGLE(_xlfn.XLOOKUP(G1707, Vöruskrá!A:A, Vöruskrá!G:G, "")), ""), IF(F1707 = "Réttur", IFERROR(_xlfn.SINGLE(_xlfn.XLOOKUP(G1707, Réttabanki!A:A, Réttabanki!AU:AU, "")), ""), "")))</f>
        <v/>
      </c>
      <c r="O1707" s="26" t="str">
        <f>IF(OR(F1707 = "", G1707 = "", I1707 = ""), "", IF(F1707 = "Vara", IFERROR(_xlfn.SINGLE(_xlfn.XLOOKUP(G1707, Vöruskrá!A:A, Vöruskrá!I:I, "")) * I1707 / 100, ""), IF(F1707 = "Réttur", IFERROR(_xlfn.SINGLE(_xlfn.XLOOKUP(G1707, Réttabanki!A:A, Réttabanki!AV:AV, "")) * I1707 / 100, ""), "")))</f>
        <v/>
      </c>
      <c r="P1707" s="26" t="str">
        <f>IF(OR(F1707 = "", G1707 = "", I1707 = ""), "", IF(F1707 = "Vara", IFERROR(_xlfn.SINGLE(_xlfn.XLOOKUP(G1707, Vöruskrá!A:A, Vöruskrá!J:J, "")) * I1707 / 100, ""), IF(F1707 = "Réttur", IFERROR(_xlfn.SINGLE(_xlfn.XLOOKUP(G1707, Réttabanki!A:A, Réttabanki!AW:AW, "")) * I1707 / 100, ""), "")))</f>
        <v/>
      </c>
      <c r="Q1707" s="26" t="str">
        <f>IF(OR(F1707 = "", G1707 = "", I1707 = ""), "", IF(F1707 = "Vara", IFERROR(_xlfn.SINGLE(_xlfn.XLOOKUP(G1707, Vöruskrá!A:A, Vöruskrá!N:N, "")) * I1707 / 100, ""), IF(F1707 = "Réttur", IFERROR(_xlfn.SINGLE(_xlfn.XLOOKUP(G1707, Réttabanki!A:A, Réttabanki!BB:BB, "")) * I1707 / 100, ""), "")))</f>
        <v/>
      </c>
    </row>
    <row r="1708" spans="2:17">
      <c r="B1708" s="33" t="str">
        <f>IF(A1708&lt;&gt;"",CHOOSE(WEEKDAY(A1708,2),"Mánudagur","Þriðjudagur","Miðvikudagur","Fimmtudagur","Föstudagur","Laugardagur","Sunnudagur"),IF(B1707&lt;&gt;"",B1707,""))</f>
        <v>Fimmtudagur</v>
      </c>
      <c r="C1708" s="33">
        <f>IF(A1708&lt;&gt;"",WEEKNUM(A1708,21),IF(C1707&lt;&gt;"",C1707,""))</f>
        <v>27</v>
      </c>
      <c r="D1708" s="34"/>
      <c r="E1708" s="34"/>
      <c r="F1708" s="34"/>
      <c r="G1708" s="34"/>
      <c r="H1708" s="34"/>
      <c r="I1708" s="35"/>
      <c r="J1708" s="35"/>
      <c r="K1708" s="36"/>
      <c r="L1708" s="26" t="str">
        <f>IF(OR(F1708 = "", G1708 = ""), "", IF(F1708 = "Vara", IFERROR(_xlfn.SINGLE(_xlfn.XLOOKUP(G1708, Vöruskrá!A:A, Vöruskrá!E:E, "")), ""), IF(F1708 = "Réttur", IFERROR(_xlfn.SINGLE(_xlfn.XLOOKUP(G1708, Réttabanki!A:A, Réttabanki!AS:AS, "")), ""), "")))</f>
        <v/>
      </c>
      <c r="M1708" s="26" t="str">
        <f>IF(OR(F1708 = "", G1708 = ""), "", IF(F1708 = "Vara", IFERROR(_xlfn.SINGLE(_xlfn.XLOOKUP(G1708, Vöruskrá!A:A, Vöruskrá!F:F, "")), ""), IF(F1708 = "Réttur", IFERROR(_xlfn.SINGLE(_xlfn.XLOOKUP(G1708, Réttabanki!A:A, Réttabanki!AT:AT, "")), ""), "")))</f>
        <v/>
      </c>
      <c r="N1708" s="26" t="str">
        <f>IF(OR(F1708 = "", G1708 = ""), "", IF(F1708 = "Vara", IFERROR(_xlfn.SINGLE(_xlfn.XLOOKUP(G1708, Vöruskrá!A:A, Vöruskrá!G:G, "")), ""), IF(F1708 = "Réttur", IFERROR(_xlfn.SINGLE(_xlfn.XLOOKUP(G1708, Réttabanki!A:A, Réttabanki!AU:AU, "")), ""), "")))</f>
        <v/>
      </c>
      <c r="O1708" s="26" t="str">
        <f>IF(OR(F1708 = "", G1708 = "", I1708 = ""), "", IF(F1708 = "Vara", IFERROR(_xlfn.SINGLE(_xlfn.XLOOKUP(G1708, Vöruskrá!A:A, Vöruskrá!I:I, "")) * I1708 / 100, ""), IF(F1708 = "Réttur", IFERROR(_xlfn.SINGLE(_xlfn.XLOOKUP(G1708, Réttabanki!A:A, Réttabanki!AV:AV, "")) * I1708 / 100, ""), "")))</f>
        <v/>
      </c>
      <c r="P1708" s="26" t="str">
        <f>IF(OR(F1708 = "", G1708 = "", I1708 = ""), "", IF(F1708 = "Vara", IFERROR(_xlfn.SINGLE(_xlfn.XLOOKUP(G1708, Vöruskrá!A:A, Vöruskrá!J:J, "")) * I1708 / 100, ""), IF(F1708 = "Réttur", IFERROR(_xlfn.SINGLE(_xlfn.XLOOKUP(G1708, Réttabanki!A:A, Réttabanki!AW:AW, "")) * I1708 / 100, ""), "")))</f>
        <v/>
      </c>
      <c r="Q1708" s="26" t="str">
        <f>IF(OR(F1708 = "", G1708 = "", I1708 = ""), "", IF(F1708 = "Vara", IFERROR(_xlfn.SINGLE(_xlfn.XLOOKUP(G1708, Vöruskrá!A:A, Vöruskrá!N:N, "")) * I1708 / 100, ""), IF(F1708 = "Réttur", IFERROR(_xlfn.SINGLE(_xlfn.XLOOKUP(G1708, Réttabanki!A:A, Réttabanki!BB:BB, "")) * I1708 / 100, ""), "")))</f>
        <v/>
      </c>
    </row>
    <row r="1709" spans="2:17">
      <c r="B1709" s="33" t="str">
        <f>IF(A1709&lt;&gt;"",CHOOSE(WEEKDAY(A1709,2),"Mánudagur","Þriðjudagur","Miðvikudagur","Fimmtudagur","Föstudagur","Laugardagur","Sunnudagur"),IF(B1708&lt;&gt;"",B1708,""))</f>
        <v>Fimmtudagur</v>
      </c>
      <c r="C1709" s="33">
        <f>IF(A1709&lt;&gt;"",WEEKNUM(A1709,21),IF(C1708&lt;&gt;"",C1708,""))</f>
        <v>27</v>
      </c>
      <c r="D1709" s="34"/>
      <c r="E1709" s="34"/>
      <c r="F1709" s="34"/>
      <c r="G1709" s="34"/>
      <c r="H1709" s="34"/>
      <c r="I1709" s="35"/>
      <c r="J1709" s="35"/>
      <c r="K1709" s="36"/>
      <c r="L1709" s="26" t="str">
        <f>IF(OR(F1709 = "", G1709 = ""), "", IF(F1709 = "Vara", IFERROR(_xlfn.SINGLE(_xlfn.XLOOKUP(G1709, Vöruskrá!A:A, Vöruskrá!E:E, "")), ""), IF(F1709 = "Réttur", IFERROR(_xlfn.SINGLE(_xlfn.XLOOKUP(G1709, Réttabanki!A:A, Réttabanki!AS:AS, "")), ""), "")))</f>
        <v/>
      </c>
      <c r="M1709" s="26" t="str">
        <f>IF(OR(F1709 = "", G1709 = ""), "", IF(F1709 = "Vara", IFERROR(_xlfn.SINGLE(_xlfn.XLOOKUP(G1709, Vöruskrá!A:A, Vöruskrá!F:F, "")), ""), IF(F1709 = "Réttur", IFERROR(_xlfn.SINGLE(_xlfn.XLOOKUP(G1709, Réttabanki!A:A, Réttabanki!AT:AT, "")), ""), "")))</f>
        <v/>
      </c>
      <c r="N1709" s="26" t="str">
        <f>IF(OR(F1709 = "", G1709 = ""), "", IF(F1709 = "Vara", IFERROR(_xlfn.SINGLE(_xlfn.XLOOKUP(G1709, Vöruskrá!A:A, Vöruskrá!G:G, "")), ""), IF(F1709 = "Réttur", IFERROR(_xlfn.SINGLE(_xlfn.XLOOKUP(G1709, Réttabanki!A:A, Réttabanki!AU:AU, "")), ""), "")))</f>
        <v/>
      </c>
      <c r="O1709" s="26" t="str">
        <f>IF(OR(F1709 = "", G1709 = "", I1709 = ""), "", IF(F1709 = "Vara", IFERROR(_xlfn.SINGLE(_xlfn.XLOOKUP(G1709, Vöruskrá!A:A, Vöruskrá!I:I, "")) * I1709 / 100, ""), IF(F1709 = "Réttur", IFERROR(_xlfn.SINGLE(_xlfn.XLOOKUP(G1709, Réttabanki!A:A, Réttabanki!AV:AV, "")) * I1709 / 100, ""), "")))</f>
        <v/>
      </c>
      <c r="P1709" s="26" t="str">
        <f>IF(OR(F1709 = "", G1709 = "", I1709 = ""), "", IF(F1709 = "Vara", IFERROR(_xlfn.SINGLE(_xlfn.XLOOKUP(G1709, Vöruskrá!A:A, Vöruskrá!J:J, "")) * I1709 / 100, ""), IF(F1709 = "Réttur", IFERROR(_xlfn.SINGLE(_xlfn.XLOOKUP(G1709, Réttabanki!A:A, Réttabanki!AW:AW, "")) * I1709 / 100, ""), "")))</f>
        <v/>
      </c>
      <c r="Q1709" s="26" t="str">
        <f>IF(OR(F1709 = "", G1709 = "", I1709 = ""), "", IF(F1709 = "Vara", IFERROR(_xlfn.SINGLE(_xlfn.XLOOKUP(G1709, Vöruskrá!A:A, Vöruskrá!N:N, "")) * I1709 / 100, ""), IF(F1709 = "Réttur", IFERROR(_xlfn.SINGLE(_xlfn.XLOOKUP(G1709, Réttabanki!A:A, Réttabanki!BB:BB, "")) * I1709 / 100, ""), "")))</f>
        <v/>
      </c>
    </row>
    <row r="1710" spans="2:17">
      <c r="B1710" s="33" t="str">
        <f>IF(A1710&lt;&gt;"",CHOOSE(WEEKDAY(A1710,2),"Mánudagur","Þriðjudagur","Miðvikudagur","Fimmtudagur","Föstudagur","Laugardagur","Sunnudagur"),IF(B1709&lt;&gt;"",B1709,""))</f>
        <v>Fimmtudagur</v>
      </c>
      <c r="C1710" s="33">
        <f>IF(A1710&lt;&gt;"",WEEKNUM(A1710,21),IF(C1709&lt;&gt;"",C1709,""))</f>
        <v>27</v>
      </c>
      <c r="D1710" s="34"/>
      <c r="E1710" s="34"/>
      <c r="F1710" s="34"/>
      <c r="G1710" s="34"/>
      <c r="H1710" s="34"/>
      <c r="I1710" s="35"/>
      <c r="J1710" s="35"/>
      <c r="K1710" s="36"/>
      <c r="L1710" s="26" t="str">
        <f>IF(OR(F1710 = "", G1710 = ""), "", IF(F1710 = "Vara", IFERROR(_xlfn.SINGLE(_xlfn.XLOOKUP(G1710, Vöruskrá!A:A, Vöruskrá!E:E, "")), ""), IF(F1710 = "Réttur", IFERROR(_xlfn.SINGLE(_xlfn.XLOOKUP(G1710, Réttabanki!A:A, Réttabanki!AS:AS, "")), ""), "")))</f>
        <v/>
      </c>
      <c r="M1710" s="26" t="str">
        <f>IF(OR(F1710 = "", G1710 = ""), "", IF(F1710 = "Vara", IFERROR(_xlfn.SINGLE(_xlfn.XLOOKUP(G1710, Vöruskrá!A:A, Vöruskrá!F:F, "")), ""), IF(F1710 = "Réttur", IFERROR(_xlfn.SINGLE(_xlfn.XLOOKUP(G1710, Réttabanki!A:A, Réttabanki!AT:AT, "")), ""), "")))</f>
        <v/>
      </c>
      <c r="N1710" s="26" t="str">
        <f>IF(OR(F1710 = "", G1710 = ""), "", IF(F1710 = "Vara", IFERROR(_xlfn.SINGLE(_xlfn.XLOOKUP(G1710, Vöruskrá!A:A, Vöruskrá!G:G, "")), ""), IF(F1710 = "Réttur", IFERROR(_xlfn.SINGLE(_xlfn.XLOOKUP(G1710, Réttabanki!A:A, Réttabanki!AU:AU, "")), ""), "")))</f>
        <v/>
      </c>
      <c r="O1710" s="26" t="str">
        <f>IF(OR(F1710 = "", G1710 = "", I1710 = ""), "", IF(F1710 = "Vara", IFERROR(_xlfn.SINGLE(_xlfn.XLOOKUP(G1710, Vöruskrá!A:A, Vöruskrá!I:I, "")) * I1710 / 100, ""), IF(F1710 = "Réttur", IFERROR(_xlfn.SINGLE(_xlfn.XLOOKUP(G1710, Réttabanki!A:A, Réttabanki!AV:AV, "")) * I1710 / 100, ""), "")))</f>
        <v/>
      </c>
      <c r="P1710" s="26" t="str">
        <f>IF(OR(F1710 = "", G1710 = "", I1710 = ""), "", IF(F1710 = "Vara", IFERROR(_xlfn.SINGLE(_xlfn.XLOOKUP(G1710, Vöruskrá!A:A, Vöruskrá!J:J, "")) * I1710 / 100, ""), IF(F1710 = "Réttur", IFERROR(_xlfn.SINGLE(_xlfn.XLOOKUP(G1710, Réttabanki!A:A, Réttabanki!AW:AW, "")) * I1710 / 100, ""), "")))</f>
        <v/>
      </c>
      <c r="Q1710" s="26" t="str">
        <f>IF(OR(F1710 = "", G1710 = "", I1710 = ""), "", IF(F1710 = "Vara", IFERROR(_xlfn.SINGLE(_xlfn.XLOOKUP(G1710, Vöruskrá!A:A, Vöruskrá!N:N, "")) * I1710 / 100, ""), IF(F1710 = "Réttur", IFERROR(_xlfn.SINGLE(_xlfn.XLOOKUP(G1710, Réttabanki!A:A, Réttabanki!BB:BB, "")) * I1710 / 100, ""), "")))</f>
        <v/>
      </c>
    </row>
    <row r="1711" spans="2:17">
      <c r="B1711" s="33" t="str">
        <f>IF(A1711&lt;&gt;"",CHOOSE(WEEKDAY(A1711,2),"Mánudagur","Þriðjudagur","Miðvikudagur","Fimmtudagur","Föstudagur","Laugardagur","Sunnudagur"),IF(B1710&lt;&gt;"",B1710,""))</f>
        <v>Fimmtudagur</v>
      </c>
      <c r="C1711" s="33">
        <f>IF(A1711&lt;&gt;"",WEEKNUM(A1711,21),IF(C1710&lt;&gt;"",C1710,""))</f>
        <v>27</v>
      </c>
      <c r="D1711" s="34"/>
      <c r="E1711" s="34"/>
      <c r="F1711" s="34"/>
      <c r="G1711" s="34"/>
      <c r="H1711" s="34"/>
      <c r="I1711" s="35"/>
      <c r="J1711" s="35"/>
      <c r="K1711" s="36"/>
      <c r="L1711" s="26" t="str">
        <f>IF(OR(F1711 = "", G1711 = ""), "", IF(F1711 = "Vara", IFERROR(_xlfn.SINGLE(_xlfn.XLOOKUP(G1711, Vöruskrá!A:A, Vöruskrá!E:E, "")), ""), IF(F1711 = "Réttur", IFERROR(_xlfn.SINGLE(_xlfn.XLOOKUP(G1711, Réttabanki!A:A, Réttabanki!AS:AS, "")), ""), "")))</f>
        <v/>
      </c>
      <c r="M1711" s="26" t="str">
        <f>IF(OR(F1711 = "", G1711 = ""), "", IF(F1711 = "Vara", IFERROR(_xlfn.SINGLE(_xlfn.XLOOKUP(G1711, Vöruskrá!A:A, Vöruskrá!F:F, "")), ""), IF(F1711 = "Réttur", IFERROR(_xlfn.SINGLE(_xlfn.XLOOKUP(G1711, Réttabanki!A:A, Réttabanki!AT:AT, "")), ""), "")))</f>
        <v/>
      </c>
      <c r="N1711" s="26" t="str">
        <f>IF(OR(F1711 = "", G1711 = ""), "", IF(F1711 = "Vara", IFERROR(_xlfn.SINGLE(_xlfn.XLOOKUP(G1711, Vöruskrá!A:A, Vöruskrá!G:G, "")), ""), IF(F1711 = "Réttur", IFERROR(_xlfn.SINGLE(_xlfn.XLOOKUP(G1711, Réttabanki!A:A, Réttabanki!AU:AU, "")), ""), "")))</f>
        <v/>
      </c>
      <c r="O1711" s="26" t="str">
        <f>IF(OR(F1711 = "", G1711 = "", I1711 = ""), "", IF(F1711 = "Vara", IFERROR(_xlfn.SINGLE(_xlfn.XLOOKUP(G1711, Vöruskrá!A:A, Vöruskrá!I:I, "")) * I1711 / 100, ""), IF(F1711 = "Réttur", IFERROR(_xlfn.SINGLE(_xlfn.XLOOKUP(G1711, Réttabanki!A:A, Réttabanki!AV:AV, "")) * I1711 / 100, ""), "")))</f>
        <v/>
      </c>
      <c r="P1711" s="26" t="str">
        <f>IF(OR(F1711 = "", G1711 = "", I1711 = ""), "", IF(F1711 = "Vara", IFERROR(_xlfn.SINGLE(_xlfn.XLOOKUP(G1711, Vöruskrá!A:A, Vöruskrá!J:J, "")) * I1711 / 100, ""), IF(F1711 = "Réttur", IFERROR(_xlfn.SINGLE(_xlfn.XLOOKUP(G1711, Réttabanki!A:A, Réttabanki!AW:AW, "")) * I1711 / 100, ""), "")))</f>
        <v/>
      </c>
      <c r="Q1711" s="26" t="str">
        <f>IF(OR(F1711 = "", G1711 = "", I1711 = ""), "", IF(F1711 = "Vara", IFERROR(_xlfn.SINGLE(_xlfn.XLOOKUP(G1711, Vöruskrá!A:A, Vöruskrá!N:N, "")) * I1711 / 100, ""), IF(F1711 = "Réttur", IFERROR(_xlfn.SINGLE(_xlfn.XLOOKUP(G1711, Réttabanki!A:A, Réttabanki!BB:BB, "")) * I1711 / 100, ""), "")))</f>
        <v/>
      </c>
    </row>
    <row r="1712" spans="2:17">
      <c r="B1712" s="33" t="str">
        <f>IF(A1712&lt;&gt;"",CHOOSE(WEEKDAY(A1712,2),"Mánudagur","Þriðjudagur","Miðvikudagur","Fimmtudagur","Föstudagur","Laugardagur","Sunnudagur"),IF(B1711&lt;&gt;"",B1711,""))</f>
        <v>Fimmtudagur</v>
      </c>
      <c r="C1712" s="33">
        <f>IF(A1712&lt;&gt;"",WEEKNUM(A1712,21),IF(C1711&lt;&gt;"",C1711,""))</f>
        <v>27</v>
      </c>
      <c r="D1712" s="34"/>
      <c r="E1712" s="34"/>
      <c r="F1712" s="34"/>
      <c r="G1712" s="34"/>
      <c r="H1712" s="34"/>
      <c r="I1712" s="35"/>
      <c r="J1712" s="35"/>
      <c r="K1712" s="36"/>
      <c r="L1712" s="26" t="str">
        <f>IF(OR(F1712 = "", G1712 = ""), "", IF(F1712 = "Vara", IFERROR(_xlfn.SINGLE(_xlfn.XLOOKUP(G1712, Vöruskrá!A:A, Vöruskrá!E:E, "")), ""), IF(F1712 = "Réttur", IFERROR(_xlfn.SINGLE(_xlfn.XLOOKUP(G1712, Réttabanki!A:A, Réttabanki!AS:AS, "")), ""), "")))</f>
        <v/>
      </c>
      <c r="M1712" s="26" t="str">
        <f>IF(OR(F1712 = "", G1712 = ""), "", IF(F1712 = "Vara", IFERROR(_xlfn.SINGLE(_xlfn.XLOOKUP(G1712, Vöruskrá!A:A, Vöruskrá!F:F, "")), ""), IF(F1712 = "Réttur", IFERROR(_xlfn.SINGLE(_xlfn.XLOOKUP(G1712, Réttabanki!A:A, Réttabanki!AT:AT, "")), ""), "")))</f>
        <v/>
      </c>
      <c r="N1712" s="26" t="str">
        <f>IF(OR(F1712 = "", G1712 = ""), "", IF(F1712 = "Vara", IFERROR(_xlfn.SINGLE(_xlfn.XLOOKUP(G1712, Vöruskrá!A:A, Vöruskrá!G:G, "")), ""), IF(F1712 = "Réttur", IFERROR(_xlfn.SINGLE(_xlfn.XLOOKUP(G1712, Réttabanki!A:A, Réttabanki!AU:AU, "")), ""), "")))</f>
        <v/>
      </c>
      <c r="O1712" s="26" t="str">
        <f>IF(OR(F1712 = "", G1712 = "", I1712 = ""), "", IF(F1712 = "Vara", IFERROR(_xlfn.SINGLE(_xlfn.XLOOKUP(G1712, Vöruskrá!A:A, Vöruskrá!I:I, "")) * I1712 / 100, ""), IF(F1712 = "Réttur", IFERROR(_xlfn.SINGLE(_xlfn.XLOOKUP(G1712, Réttabanki!A:A, Réttabanki!AV:AV, "")) * I1712 / 100, ""), "")))</f>
        <v/>
      </c>
      <c r="P1712" s="26" t="str">
        <f>IF(OR(F1712 = "", G1712 = "", I1712 = ""), "", IF(F1712 = "Vara", IFERROR(_xlfn.SINGLE(_xlfn.XLOOKUP(G1712, Vöruskrá!A:A, Vöruskrá!J:J, "")) * I1712 / 100, ""), IF(F1712 = "Réttur", IFERROR(_xlfn.SINGLE(_xlfn.XLOOKUP(G1712, Réttabanki!A:A, Réttabanki!AW:AW, "")) * I1712 / 100, ""), "")))</f>
        <v/>
      </c>
      <c r="Q1712" s="26" t="str">
        <f>IF(OR(F1712 = "", G1712 = "", I1712 = ""), "", IF(F1712 = "Vara", IFERROR(_xlfn.SINGLE(_xlfn.XLOOKUP(G1712, Vöruskrá!A:A, Vöruskrá!N:N, "")) * I1712 / 100, ""), IF(F1712 = "Réttur", IFERROR(_xlfn.SINGLE(_xlfn.XLOOKUP(G1712, Réttabanki!A:A, Réttabanki!BB:BB, "")) * I1712 / 100, ""), "")))</f>
        <v/>
      </c>
    </row>
    <row r="1713" spans="2:17">
      <c r="B1713" s="33" t="str">
        <f>IF(A1713&lt;&gt;"",CHOOSE(WEEKDAY(A1713,2),"Mánudagur","Þriðjudagur","Miðvikudagur","Fimmtudagur","Föstudagur","Laugardagur","Sunnudagur"),IF(B1712&lt;&gt;"",B1712,""))</f>
        <v>Fimmtudagur</v>
      </c>
      <c r="C1713" s="33">
        <f>IF(A1713&lt;&gt;"",WEEKNUM(A1713,21),IF(C1712&lt;&gt;"",C1712,""))</f>
        <v>27</v>
      </c>
      <c r="D1713" s="34"/>
      <c r="E1713" s="34"/>
      <c r="F1713" s="34"/>
      <c r="G1713" s="34"/>
      <c r="H1713" s="34"/>
      <c r="I1713" s="35"/>
      <c r="J1713" s="35"/>
      <c r="K1713" s="36"/>
      <c r="L1713" s="26" t="str">
        <f>IF(OR(F1713 = "", G1713 = ""), "", IF(F1713 = "Vara", IFERROR(_xlfn.SINGLE(_xlfn.XLOOKUP(G1713, Vöruskrá!A:A, Vöruskrá!E:E, "")), ""), IF(F1713 = "Réttur", IFERROR(_xlfn.SINGLE(_xlfn.XLOOKUP(G1713, Réttabanki!A:A, Réttabanki!AS:AS, "")), ""), "")))</f>
        <v/>
      </c>
      <c r="M1713" s="26" t="str">
        <f>IF(OR(F1713 = "", G1713 = ""), "", IF(F1713 = "Vara", IFERROR(_xlfn.SINGLE(_xlfn.XLOOKUP(G1713, Vöruskrá!A:A, Vöruskrá!F:F, "")), ""), IF(F1713 = "Réttur", IFERROR(_xlfn.SINGLE(_xlfn.XLOOKUP(G1713, Réttabanki!A:A, Réttabanki!AT:AT, "")), ""), "")))</f>
        <v/>
      </c>
      <c r="N1713" s="26" t="str">
        <f>IF(OR(F1713 = "", G1713 = ""), "", IF(F1713 = "Vara", IFERROR(_xlfn.SINGLE(_xlfn.XLOOKUP(G1713, Vöruskrá!A:A, Vöruskrá!G:G, "")), ""), IF(F1713 = "Réttur", IFERROR(_xlfn.SINGLE(_xlfn.XLOOKUP(G1713, Réttabanki!A:A, Réttabanki!AU:AU, "")), ""), "")))</f>
        <v/>
      </c>
      <c r="O1713" s="26" t="str">
        <f>IF(OR(F1713 = "", G1713 = "", I1713 = ""), "", IF(F1713 = "Vara", IFERROR(_xlfn.SINGLE(_xlfn.XLOOKUP(G1713, Vöruskrá!A:A, Vöruskrá!I:I, "")) * I1713 / 100, ""), IF(F1713 = "Réttur", IFERROR(_xlfn.SINGLE(_xlfn.XLOOKUP(G1713, Réttabanki!A:A, Réttabanki!AV:AV, "")) * I1713 / 100, ""), "")))</f>
        <v/>
      </c>
      <c r="P1713" s="26" t="str">
        <f>IF(OR(F1713 = "", G1713 = "", I1713 = ""), "", IF(F1713 = "Vara", IFERROR(_xlfn.SINGLE(_xlfn.XLOOKUP(G1713, Vöruskrá!A:A, Vöruskrá!J:J, "")) * I1713 / 100, ""), IF(F1713 = "Réttur", IFERROR(_xlfn.SINGLE(_xlfn.XLOOKUP(G1713, Réttabanki!A:A, Réttabanki!AW:AW, "")) * I1713 / 100, ""), "")))</f>
        <v/>
      </c>
      <c r="Q1713" s="26" t="str">
        <f>IF(OR(F1713 = "", G1713 = "", I1713 = ""), "", IF(F1713 = "Vara", IFERROR(_xlfn.SINGLE(_xlfn.XLOOKUP(G1713, Vöruskrá!A:A, Vöruskrá!N:N, "")) * I1713 / 100, ""), IF(F1713 = "Réttur", IFERROR(_xlfn.SINGLE(_xlfn.XLOOKUP(G1713, Réttabanki!A:A, Réttabanki!BB:BB, "")) * I1713 / 100, ""), "")))</f>
        <v/>
      </c>
    </row>
    <row r="1714" spans="2:17">
      <c r="B1714" s="33" t="str">
        <f>IF(A1714&lt;&gt;"",CHOOSE(WEEKDAY(A1714,2),"Mánudagur","Þriðjudagur","Miðvikudagur","Fimmtudagur","Föstudagur","Laugardagur","Sunnudagur"),IF(B1713&lt;&gt;"",B1713,""))</f>
        <v>Fimmtudagur</v>
      </c>
      <c r="C1714" s="33">
        <f>IF(A1714&lt;&gt;"",WEEKNUM(A1714,21),IF(C1713&lt;&gt;"",C1713,""))</f>
        <v>27</v>
      </c>
      <c r="D1714" s="34"/>
      <c r="E1714" s="34"/>
      <c r="F1714" s="34"/>
      <c r="G1714" s="34"/>
      <c r="H1714" s="34"/>
      <c r="I1714" s="35"/>
      <c r="J1714" s="35"/>
      <c r="K1714" s="36"/>
      <c r="L1714" s="26" t="str">
        <f>IF(OR(F1714 = "", G1714 = ""), "", IF(F1714 = "Vara", IFERROR(_xlfn.SINGLE(_xlfn.XLOOKUP(G1714, Vöruskrá!A:A, Vöruskrá!E:E, "")), ""), IF(F1714 = "Réttur", IFERROR(_xlfn.SINGLE(_xlfn.XLOOKUP(G1714, Réttabanki!A:A, Réttabanki!AS:AS, "")), ""), "")))</f>
        <v/>
      </c>
      <c r="M1714" s="26" t="str">
        <f>IF(OR(F1714 = "", G1714 = ""), "", IF(F1714 = "Vara", IFERROR(_xlfn.SINGLE(_xlfn.XLOOKUP(G1714, Vöruskrá!A:A, Vöruskrá!F:F, "")), ""), IF(F1714 = "Réttur", IFERROR(_xlfn.SINGLE(_xlfn.XLOOKUP(G1714, Réttabanki!A:A, Réttabanki!AT:AT, "")), ""), "")))</f>
        <v/>
      </c>
      <c r="N1714" s="26" t="str">
        <f>IF(OR(F1714 = "", G1714 = ""), "", IF(F1714 = "Vara", IFERROR(_xlfn.SINGLE(_xlfn.XLOOKUP(G1714, Vöruskrá!A:A, Vöruskrá!G:G, "")), ""), IF(F1714 = "Réttur", IFERROR(_xlfn.SINGLE(_xlfn.XLOOKUP(G1714, Réttabanki!A:A, Réttabanki!AU:AU, "")), ""), "")))</f>
        <v/>
      </c>
      <c r="O1714" s="26" t="str">
        <f>IF(OR(F1714 = "", G1714 = "", I1714 = ""), "", IF(F1714 = "Vara", IFERROR(_xlfn.SINGLE(_xlfn.XLOOKUP(G1714, Vöruskrá!A:A, Vöruskrá!I:I, "")) * I1714 / 100, ""), IF(F1714 = "Réttur", IFERROR(_xlfn.SINGLE(_xlfn.XLOOKUP(G1714, Réttabanki!A:A, Réttabanki!AV:AV, "")) * I1714 / 100, ""), "")))</f>
        <v/>
      </c>
      <c r="P1714" s="26" t="str">
        <f>IF(OR(F1714 = "", G1714 = "", I1714 = ""), "", IF(F1714 = "Vara", IFERROR(_xlfn.SINGLE(_xlfn.XLOOKUP(G1714, Vöruskrá!A:A, Vöruskrá!J:J, "")) * I1714 / 100, ""), IF(F1714 = "Réttur", IFERROR(_xlfn.SINGLE(_xlfn.XLOOKUP(G1714, Réttabanki!A:A, Réttabanki!AW:AW, "")) * I1714 / 100, ""), "")))</f>
        <v/>
      </c>
      <c r="Q1714" s="26" t="str">
        <f>IF(OR(F1714 = "", G1714 = "", I1714 = ""), "", IF(F1714 = "Vara", IFERROR(_xlfn.SINGLE(_xlfn.XLOOKUP(G1714, Vöruskrá!A:A, Vöruskrá!N:N, "")) * I1714 / 100, ""), IF(F1714 = "Réttur", IFERROR(_xlfn.SINGLE(_xlfn.XLOOKUP(G1714, Réttabanki!A:A, Réttabanki!BB:BB, "")) * I1714 / 100, ""), "")))</f>
        <v/>
      </c>
    </row>
    <row r="1715" spans="2:17">
      <c r="B1715" s="33" t="str">
        <f>IF(A1715&lt;&gt;"",CHOOSE(WEEKDAY(A1715,2),"Mánudagur","Þriðjudagur","Miðvikudagur","Fimmtudagur","Föstudagur","Laugardagur","Sunnudagur"),IF(B1714&lt;&gt;"",B1714,""))</f>
        <v>Fimmtudagur</v>
      </c>
      <c r="C1715" s="33">
        <f>IF(A1715&lt;&gt;"",WEEKNUM(A1715,21),IF(C1714&lt;&gt;"",C1714,""))</f>
        <v>27</v>
      </c>
      <c r="D1715" s="34"/>
      <c r="E1715" s="34"/>
      <c r="F1715" s="34"/>
      <c r="G1715" s="34"/>
      <c r="H1715" s="34"/>
      <c r="I1715" s="35"/>
      <c r="J1715" s="35"/>
      <c r="K1715" s="36"/>
      <c r="L1715" s="26" t="str">
        <f>IF(OR(F1715 = "", G1715 = ""), "", IF(F1715 = "Vara", IFERROR(_xlfn.SINGLE(_xlfn.XLOOKUP(G1715, Vöruskrá!A:A, Vöruskrá!E:E, "")), ""), IF(F1715 = "Réttur", IFERROR(_xlfn.SINGLE(_xlfn.XLOOKUP(G1715, Réttabanki!A:A, Réttabanki!AS:AS, "")), ""), "")))</f>
        <v/>
      </c>
      <c r="M1715" s="26" t="str">
        <f>IF(OR(F1715 = "", G1715 = ""), "", IF(F1715 = "Vara", IFERROR(_xlfn.SINGLE(_xlfn.XLOOKUP(G1715, Vöruskrá!A:A, Vöruskrá!F:F, "")), ""), IF(F1715 = "Réttur", IFERROR(_xlfn.SINGLE(_xlfn.XLOOKUP(G1715, Réttabanki!A:A, Réttabanki!AT:AT, "")), ""), "")))</f>
        <v/>
      </c>
      <c r="N1715" s="26" t="str">
        <f>IF(OR(F1715 = "", G1715 = ""), "", IF(F1715 = "Vara", IFERROR(_xlfn.SINGLE(_xlfn.XLOOKUP(G1715, Vöruskrá!A:A, Vöruskrá!G:G, "")), ""), IF(F1715 = "Réttur", IFERROR(_xlfn.SINGLE(_xlfn.XLOOKUP(G1715, Réttabanki!A:A, Réttabanki!AU:AU, "")), ""), "")))</f>
        <v/>
      </c>
      <c r="O1715" s="26" t="str">
        <f>IF(OR(F1715 = "", G1715 = "", I1715 = ""), "", IF(F1715 = "Vara", IFERROR(_xlfn.SINGLE(_xlfn.XLOOKUP(G1715, Vöruskrá!A:A, Vöruskrá!I:I, "")) * I1715 / 100, ""), IF(F1715 = "Réttur", IFERROR(_xlfn.SINGLE(_xlfn.XLOOKUP(G1715, Réttabanki!A:A, Réttabanki!AV:AV, "")) * I1715 / 100, ""), "")))</f>
        <v/>
      </c>
      <c r="P1715" s="26" t="str">
        <f>IF(OR(F1715 = "", G1715 = "", I1715 = ""), "", IF(F1715 = "Vara", IFERROR(_xlfn.SINGLE(_xlfn.XLOOKUP(G1715, Vöruskrá!A:A, Vöruskrá!J:J, "")) * I1715 / 100, ""), IF(F1715 = "Réttur", IFERROR(_xlfn.SINGLE(_xlfn.XLOOKUP(G1715, Réttabanki!A:A, Réttabanki!AW:AW, "")) * I1715 / 100, ""), "")))</f>
        <v/>
      </c>
      <c r="Q1715" s="26" t="str">
        <f>IF(OR(F1715 = "", G1715 = "", I1715 = ""), "", IF(F1715 = "Vara", IFERROR(_xlfn.SINGLE(_xlfn.XLOOKUP(G1715, Vöruskrá!A:A, Vöruskrá!N:N, "")) * I1715 / 100, ""), IF(F1715 = "Réttur", IFERROR(_xlfn.SINGLE(_xlfn.XLOOKUP(G1715, Réttabanki!A:A, Réttabanki!BB:BB, "")) * I1715 / 100, ""), "")))</f>
        <v/>
      </c>
    </row>
    <row r="1716" spans="2:17">
      <c r="B1716" s="33" t="str">
        <f>IF(A1716&lt;&gt;"",CHOOSE(WEEKDAY(A1716,2),"Mánudagur","Þriðjudagur","Miðvikudagur","Fimmtudagur","Föstudagur","Laugardagur","Sunnudagur"),IF(B1715&lt;&gt;"",B1715,""))</f>
        <v>Fimmtudagur</v>
      </c>
      <c r="C1716" s="33">
        <f>IF(A1716&lt;&gt;"",WEEKNUM(A1716,21),IF(C1715&lt;&gt;"",C1715,""))</f>
        <v>27</v>
      </c>
      <c r="D1716" s="34"/>
      <c r="E1716" s="34"/>
      <c r="F1716" s="34"/>
      <c r="G1716" s="34"/>
      <c r="H1716" s="34"/>
      <c r="I1716" s="35"/>
      <c r="J1716" s="35"/>
      <c r="K1716" s="36"/>
      <c r="L1716" s="26" t="str">
        <f>IF(OR(F1716 = "", G1716 = ""), "", IF(F1716 = "Vara", IFERROR(_xlfn.SINGLE(_xlfn.XLOOKUP(G1716, Vöruskrá!A:A, Vöruskrá!E:E, "")), ""), IF(F1716 = "Réttur", IFERROR(_xlfn.SINGLE(_xlfn.XLOOKUP(G1716, Réttabanki!A:A, Réttabanki!AS:AS, "")), ""), "")))</f>
        <v/>
      </c>
      <c r="M1716" s="26" t="str">
        <f>IF(OR(F1716 = "", G1716 = ""), "", IF(F1716 = "Vara", IFERROR(_xlfn.SINGLE(_xlfn.XLOOKUP(G1716, Vöruskrá!A:A, Vöruskrá!F:F, "")), ""), IF(F1716 = "Réttur", IFERROR(_xlfn.SINGLE(_xlfn.XLOOKUP(G1716, Réttabanki!A:A, Réttabanki!AT:AT, "")), ""), "")))</f>
        <v/>
      </c>
      <c r="N1716" s="26" t="str">
        <f>IF(OR(F1716 = "", G1716 = ""), "", IF(F1716 = "Vara", IFERROR(_xlfn.SINGLE(_xlfn.XLOOKUP(G1716, Vöruskrá!A:A, Vöruskrá!G:G, "")), ""), IF(F1716 = "Réttur", IFERROR(_xlfn.SINGLE(_xlfn.XLOOKUP(G1716, Réttabanki!A:A, Réttabanki!AU:AU, "")), ""), "")))</f>
        <v/>
      </c>
      <c r="O1716" s="26" t="str">
        <f>IF(OR(F1716 = "", G1716 = "", I1716 = ""), "", IF(F1716 = "Vara", IFERROR(_xlfn.SINGLE(_xlfn.XLOOKUP(G1716, Vöruskrá!A:A, Vöruskrá!I:I, "")) * I1716 / 100, ""), IF(F1716 = "Réttur", IFERROR(_xlfn.SINGLE(_xlfn.XLOOKUP(G1716, Réttabanki!A:A, Réttabanki!AV:AV, "")) * I1716 / 100, ""), "")))</f>
        <v/>
      </c>
      <c r="P1716" s="26" t="str">
        <f>IF(OR(F1716 = "", G1716 = "", I1716 = ""), "", IF(F1716 = "Vara", IFERROR(_xlfn.SINGLE(_xlfn.XLOOKUP(G1716, Vöruskrá!A:A, Vöruskrá!J:J, "")) * I1716 / 100, ""), IF(F1716 = "Réttur", IFERROR(_xlfn.SINGLE(_xlfn.XLOOKUP(G1716, Réttabanki!A:A, Réttabanki!AW:AW, "")) * I1716 / 100, ""), "")))</f>
        <v/>
      </c>
      <c r="Q1716" s="26" t="str">
        <f>IF(OR(F1716 = "", G1716 = "", I1716 = ""), "", IF(F1716 = "Vara", IFERROR(_xlfn.SINGLE(_xlfn.XLOOKUP(G1716, Vöruskrá!A:A, Vöruskrá!N:N, "")) * I1716 / 100, ""), IF(F1716 = "Réttur", IFERROR(_xlfn.SINGLE(_xlfn.XLOOKUP(G1716, Réttabanki!A:A, Réttabanki!BB:BB, "")) * I1716 / 100, ""), "")))</f>
        <v/>
      </c>
    </row>
    <row r="1717" spans="2:17">
      <c r="B1717" s="33" t="str">
        <f>IF(A1717&lt;&gt;"",CHOOSE(WEEKDAY(A1717,2),"Mánudagur","Þriðjudagur","Miðvikudagur","Fimmtudagur","Föstudagur","Laugardagur","Sunnudagur"),IF(B1716&lt;&gt;"",B1716,""))</f>
        <v>Fimmtudagur</v>
      </c>
      <c r="C1717" s="33">
        <f>IF(A1717&lt;&gt;"",WEEKNUM(A1717,21),IF(C1716&lt;&gt;"",C1716,""))</f>
        <v>27</v>
      </c>
      <c r="D1717" s="34"/>
      <c r="E1717" s="34"/>
      <c r="F1717" s="34"/>
      <c r="G1717" s="34"/>
      <c r="H1717" s="34"/>
      <c r="I1717" s="35"/>
      <c r="J1717" s="35"/>
      <c r="K1717" s="36"/>
      <c r="L1717" s="26" t="str">
        <f>IF(OR(F1717 = "", G1717 = ""), "", IF(F1717 = "Vara", IFERROR(_xlfn.SINGLE(_xlfn.XLOOKUP(G1717, Vöruskrá!A:A, Vöruskrá!E:E, "")), ""), IF(F1717 = "Réttur", IFERROR(_xlfn.SINGLE(_xlfn.XLOOKUP(G1717, Réttabanki!A:A, Réttabanki!AS:AS, "")), ""), "")))</f>
        <v/>
      </c>
      <c r="M1717" s="26" t="str">
        <f>IF(OR(F1717 = "", G1717 = ""), "", IF(F1717 = "Vara", IFERROR(_xlfn.SINGLE(_xlfn.XLOOKUP(G1717, Vöruskrá!A:A, Vöruskrá!F:F, "")), ""), IF(F1717 = "Réttur", IFERROR(_xlfn.SINGLE(_xlfn.XLOOKUP(G1717, Réttabanki!A:A, Réttabanki!AT:AT, "")), ""), "")))</f>
        <v/>
      </c>
      <c r="N1717" s="26" t="str">
        <f>IF(OR(F1717 = "", G1717 = ""), "", IF(F1717 = "Vara", IFERROR(_xlfn.SINGLE(_xlfn.XLOOKUP(G1717, Vöruskrá!A:A, Vöruskrá!G:G, "")), ""), IF(F1717 = "Réttur", IFERROR(_xlfn.SINGLE(_xlfn.XLOOKUP(G1717, Réttabanki!A:A, Réttabanki!AU:AU, "")), ""), "")))</f>
        <v/>
      </c>
      <c r="O1717" s="26" t="str">
        <f>IF(OR(F1717 = "", G1717 = "", I1717 = ""), "", IF(F1717 = "Vara", IFERROR(_xlfn.SINGLE(_xlfn.XLOOKUP(G1717, Vöruskrá!A:A, Vöruskrá!I:I, "")) * I1717 / 100, ""), IF(F1717 = "Réttur", IFERROR(_xlfn.SINGLE(_xlfn.XLOOKUP(G1717, Réttabanki!A:A, Réttabanki!AV:AV, "")) * I1717 / 100, ""), "")))</f>
        <v/>
      </c>
      <c r="P1717" s="26" t="str">
        <f>IF(OR(F1717 = "", G1717 = "", I1717 = ""), "", IF(F1717 = "Vara", IFERROR(_xlfn.SINGLE(_xlfn.XLOOKUP(G1717, Vöruskrá!A:A, Vöruskrá!J:J, "")) * I1717 / 100, ""), IF(F1717 = "Réttur", IFERROR(_xlfn.SINGLE(_xlfn.XLOOKUP(G1717, Réttabanki!A:A, Réttabanki!AW:AW, "")) * I1717 / 100, ""), "")))</f>
        <v/>
      </c>
      <c r="Q1717" s="26" t="str">
        <f>IF(OR(F1717 = "", G1717 = "", I1717 = ""), "", IF(F1717 = "Vara", IFERROR(_xlfn.SINGLE(_xlfn.XLOOKUP(G1717, Vöruskrá!A:A, Vöruskrá!N:N, "")) * I1717 / 100, ""), IF(F1717 = "Réttur", IFERROR(_xlfn.SINGLE(_xlfn.XLOOKUP(G1717, Réttabanki!A:A, Réttabanki!BB:BB, "")) * I1717 / 100, ""), "")))</f>
        <v/>
      </c>
    </row>
    <row r="1718" spans="2:17">
      <c r="B1718" s="33" t="str">
        <f>IF(A1718&lt;&gt;"",CHOOSE(WEEKDAY(A1718,2),"Mánudagur","Þriðjudagur","Miðvikudagur","Fimmtudagur","Föstudagur","Laugardagur","Sunnudagur"),IF(B1717&lt;&gt;"",B1717,""))</f>
        <v>Fimmtudagur</v>
      </c>
      <c r="C1718" s="33">
        <f>IF(A1718&lt;&gt;"",WEEKNUM(A1718,21),IF(C1717&lt;&gt;"",C1717,""))</f>
        <v>27</v>
      </c>
      <c r="D1718" s="34"/>
      <c r="E1718" s="34"/>
      <c r="F1718" s="34"/>
      <c r="G1718" s="34"/>
      <c r="H1718" s="34"/>
      <c r="I1718" s="35"/>
      <c r="J1718" s="35"/>
      <c r="K1718" s="36"/>
      <c r="L1718" s="26" t="str">
        <f>IF(OR(F1718 = "", G1718 = ""), "", IF(F1718 = "Vara", IFERROR(_xlfn.SINGLE(_xlfn.XLOOKUP(G1718, Vöruskrá!A:A, Vöruskrá!E:E, "")), ""), IF(F1718 = "Réttur", IFERROR(_xlfn.SINGLE(_xlfn.XLOOKUP(G1718, Réttabanki!A:A, Réttabanki!AS:AS, "")), ""), "")))</f>
        <v/>
      </c>
      <c r="M1718" s="26" t="str">
        <f>IF(OR(F1718 = "", G1718 = ""), "", IF(F1718 = "Vara", IFERROR(_xlfn.SINGLE(_xlfn.XLOOKUP(G1718, Vöruskrá!A:A, Vöruskrá!F:F, "")), ""), IF(F1718 = "Réttur", IFERROR(_xlfn.SINGLE(_xlfn.XLOOKUP(G1718, Réttabanki!A:A, Réttabanki!AT:AT, "")), ""), "")))</f>
        <v/>
      </c>
      <c r="N1718" s="26" t="str">
        <f>IF(OR(F1718 = "", G1718 = ""), "", IF(F1718 = "Vara", IFERROR(_xlfn.SINGLE(_xlfn.XLOOKUP(G1718, Vöruskrá!A:A, Vöruskrá!G:G, "")), ""), IF(F1718 = "Réttur", IFERROR(_xlfn.SINGLE(_xlfn.XLOOKUP(G1718, Réttabanki!A:A, Réttabanki!AU:AU, "")), ""), "")))</f>
        <v/>
      </c>
      <c r="O1718" s="26" t="str">
        <f>IF(OR(F1718 = "", G1718 = "", I1718 = ""), "", IF(F1718 = "Vara", IFERROR(_xlfn.SINGLE(_xlfn.XLOOKUP(G1718, Vöruskrá!A:A, Vöruskrá!I:I, "")) * I1718 / 100, ""), IF(F1718 = "Réttur", IFERROR(_xlfn.SINGLE(_xlfn.XLOOKUP(G1718, Réttabanki!A:A, Réttabanki!AV:AV, "")) * I1718 / 100, ""), "")))</f>
        <v/>
      </c>
      <c r="P1718" s="26" t="str">
        <f>IF(OR(F1718 = "", G1718 = "", I1718 = ""), "", IF(F1718 = "Vara", IFERROR(_xlfn.SINGLE(_xlfn.XLOOKUP(G1718, Vöruskrá!A:A, Vöruskrá!J:J, "")) * I1718 / 100, ""), IF(F1718 = "Réttur", IFERROR(_xlfn.SINGLE(_xlfn.XLOOKUP(G1718, Réttabanki!A:A, Réttabanki!AW:AW, "")) * I1718 / 100, ""), "")))</f>
        <v/>
      </c>
      <c r="Q1718" s="26" t="str">
        <f>IF(OR(F1718 = "", G1718 = "", I1718 = ""), "", IF(F1718 = "Vara", IFERROR(_xlfn.SINGLE(_xlfn.XLOOKUP(G1718, Vöruskrá!A:A, Vöruskrá!N:N, "")) * I1718 / 100, ""), IF(F1718 = "Réttur", IFERROR(_xlfn.SINGLE(_xlfn.XLOOKUP(G1718, Réttabanki!A:A, Réttabanki!BB:BB, "")) * I1718 / 100, ""), "")))</f>
        <v/>
      </c>
    </row>
    <row r="1719" spans="2:17">
      <c r="B1719" s="33" t="str">
        <f>IF(A1719&lt;&gt;"",CHOOSE(WEEKDAY(A1719,2),"Mánudagur","Þriðjudagur","Miðvikudagur","Fimmtudagur","Föstudagur","Laugardagur","Sunnudagur"),IF(B1718&lt;&gt;"",B1718,""))</f>
        <v>Fimmtudagur</v>
      </c>
      <c r="C1719" s="33">
        <f>IF(A1719&lt;&gt;"",WEEKNUM(A1719,21),IF(C1718&lt;&gt;"",C1718,""))</f>
        <v>27</v>
      </c>
      <c r="D1719" s="34"/>
      <c r="E1719" s="34"/>
      <c r="F1719" s="34"/>
      <c r="G1719" s="34"/>
      <c r="H1719" s="34"/>
      <c r="I1719" s="35"/>
      <c r="J1719" s="35"/>
      <c r="K1719" s="36"/>
      <c r="L1719" s="26" t="str">
        <f>IF(OR(F1719 = "", G1719 = ""), "", IF(F1719 = "Vara", IFERROR(_xlfn.SINGLE(_xlfn.XLOOKUP(G1719, Vöruskrá!A:A, Vöruskrá!E:E, "")), ""), IF(F1719 = "Réttur", IFERROR(_xlfn.SINGLE(_xlfn.XLOOKUP(G1719, Réttabanki!A:A, Réttabanki!AS:AS, "")), ""), "")))</f>
        <v/>
      </c>
      <c r="M1719" s="26" t="str">
        <f>IF(OR(F1719 = "", G1719 = ""), "", IF(F1719 = "Vara", IFERROR(_xlfn.SINGLE(_xlfn.XLOOKUP(G1719, Vöruskrá!A:A, Vöruskrá!F:F, "")), ""), IF(F1719 = "Réttur", IFERROR(_xlfn.SINGLE(_xlfn.XLOOKUP(G1719, Réttabanki!A:A, Réttabanki!AT:AT, "")), ""), "")))</f>
        <v/>
      </c>
      <c r="N1719" s="26" t="str">
        <f>IF(OR(F1719 = "", G1719 = ""), "", IF(F1719 = "Vara", IFERROR(_xlfn.SINGLE(_xlfn.XLOOKUP(G1719, Vöruskrá!A:A, Vöruskrá!G:G, "")), ""), IF(F1719 = "Réttur", IFERROR(_xlfn.SINGLE(_xlfn.XLOOKUP(G1719, Réttabanki!A:A, Réttabanki!AU:AU, "")), ""), "")))</f>
        <v/>
      </c>
      <c r="O1719" s="26" t="str">
        <f>IF(OR(F1719 = "", G1719 = "", I1719 = ""), "", IF(F1719 = "Vara", IFERROR(_xlfn.SINGLE(_xlfn.XLOOKUP(G1719, Vöruskrá!A:A, Vöruskrá!I:I, "")) * I1719 / 100, ""), IF(F1719 = "Réttur", IFERROR(_xlfn.SINGLE(_xlfn.XLOOKUP(G1719, Réttabanki!A:A, Réttabanki!AV:AV, "")) * I1719 / 100, ""), "")))</f>
        <v/>
      </c>
      <c r="P1719" s="26" t="str">
        <f>IF(OR(F1719 = "", G1719 = "", I1719 = ""), "", IF(F1719 = "Vara", IFERROR(_xlfn.SINGLE(_xlfn.XLOOKUP(G1719, Vöruskrá!A:A, Vöruskrá!J:J, "")) * I1719 / 100, ""), IF(F1719 = "Réttur", IFERROR(_xlfn.SINGLE(_xlfn.XLOOKUP(G1719, Réttabanki!A:A, Réttabanki!AW:AW, "")) * I1719 / 100, ""), "")))</f>
        <v/>
      </c>
      <c r="Q1719" s="26" t="str">
        <f>IF(OR(F1719 = "", G1719 = "", I1719 = ""), "", IF(F1719 = "Vara", IFERROR(_xlfn.SINGLE(_xlfn.XLOOKUP(G1719, Vöruskrá!A:A, Vöruskrá!N:N, "")) * I1719 / 100, ""), IF(F1719 = "Réttur", IFERROR(_xlfn.SINGLE(_xlfn.XLOOKUP(G1719, Réttabanki!A:A, Réttabanki!BB:BB, "")) * I1719 / 100, ""), "")))</f>
        <v/>
      </c>
    </row>
    <row r="1720" spans="2:17">
      <c r="B1720" s="33" t="str">
        <f>IF(A1720&lt;&gt;"",CHOOSE(WEEKDAY(A1720,2),"Mánudagur","Þriðjudagur","Miðvikudagur","Fimmtudagur","Föstudagur","Laugardagur","Sunnudagur"),IF(B1719&lt;&gt;"",B1719,""))</f>
        <v>Fimmtudagur</v>
      </c>
      <c r="C1720" s="33">
        <f>IF(A1720&lt;&gt;"",WEEKNUM(A1720,21),IF(C1719&lt;&gt;"",C1719,""))</f>
        <v>27</v>
      </c>
      <c r="D1720" s="34"/>
      <c r="E1720" s="34"/>
      <c r="F1720" s="34"/>
      <c r="G1720" s="34"/>
      <c r="H1720" s="34"/>
      <c r="I1720" s="35"/>
      <c r="J1720" s="35"/>
      <c r="K1720" s="36"/>
      <c r="L1720" s="26" t="str">
        <f>IF(OR(F1720 = "", G1720 = ""), "", IF(F1720 = "Vara", IFERROR(_xlfn.SINGLE(_xlfn.XLOOKUP(G1720, Vöruskrá!A:A, Vöruskrá!E:E, "")), ""), IF(F1720 = "Réttur", IFERROR(_xlfn.SINGLE(_xlfn.XLOOKUP(G1720, Réttabanki!A:A, Réttabanki!AS:AS, "")), ""), "")))</f>
        <v/>
      </c>
      <c r="M1720" s="26" t="str">
        <f>IF(OR(F1720 = "", G1720 = ""), "", IF(F1720 = "Vara", IFERROR(_xlfn.SINGLE(_xlfn.XLOOKUP(G1720, Vöruskrá!A:A, Vöruskrá!F:F, "")), ""), IF(F1720 = "Réttur", IFERROR(_xlfn.SINGLE(_xlfn.XLOOKUP(G1720, Réttabanki!A:A, Réttabanki!AT:AT, "")), ""), "")))</f>
        <v/>
      </c>
      <c r="N1720" s="26" t="str">
        <f>IF(OR(F1720 = "", G1720 = ""), "", IF(F1720 = "Vara", IFERROR(_xlfn.SINGLE(_xlfn.XLOOKUP(G1720, Vöruskrá!A:A, Vöruskrá!G:G, "")), ""), IF(F1720 = "Réttur", IFERROR(_xlfn.SINGLE(_xlfn.XLOOKUP(G1720, Réttabanki!A:A, Réttabanki!AU:AU, "")), ""), "")))</f>
        <v/>
      </c>
      <c r="O1720" s="26" t="str">
        <f>IF(OR(F1720 = "", G1720 = "", I1720 = ""), "", IF(F1720 = "Vara", IFERROR(_xlfn.SINGLE(_xlfn.XLOOKUP(G1720, Vöruskrá!A:A, Vöruskrá!I:I, "")) * I1720 / 100, ""), IF(F1720 = "Réttur", IFERROR(_xlfn.SINGLE(_xlfn.XLOOKUP(G1720, Réttabanki!A:A, Réttabanki!AV:AV, "")) * I1720 / 100, ""), "")))</f>
        <v/>
      </c>
      <c r="P1720" s="26" t="str">
        <f>IF(OR(F1720 = "", G1720 = "", I1720 = ""), "", IF(F1720 = "Vara", IFERROR(_xlfn.SINGLE(_xlfn.XLOOKUP(G1720, Vöruskrá!A:A, Vöruskrá!J:J, "")) * I1720 / 100, ""), IF(F1720 = "Réttur", IFERROR(_xlfn.SINGLE(_xlfn.XLOOKUP(G1720, Réttabanki!A:A, Réttabanki!AW:AW, "")) * I1720 / 100, ""), "")))</f>
        <v/>
      </c>
      <c r="Q1720" s="26" t="str">
        <f>IF(OR(F1720 = "", G1720 = "", I1720 = ""), "", IF(F1720 = "Vara", IFERROR(_xlfn.SINGLE(_xlfn.XLOOKUP(G1720, Vöruskrá!A:A, Vöruskrá!N:N, "")) * I1720 / 100, ""), IF(F1720 = "Réttur", IFERROR(_xlfn.SINGLE(_xlfn.XLOOKUP(G1720, Réttabanki!A:A, Réttabanki!BB:BB, "")) * I1720 / 100, ""), "")))</f>
        <v/>
      </c>
    </row>
    <row r="1721" spans="2:17">
      <c r="B1721" s="33" t="str">
        <f>IF(A1721&lt;&gt;"",CHOOSE(WEEKDAY(A1721,2),"Mánudagur","Þriðjudagur","Miðvikudagur","Fimmtudagur","Föstudagur","Laugardagur","Sunnudagur"),IF(B1720&lt;&gt;"",B1720,""))</f>
        <v>Fimmtudagur</v>
      </c>
      <c r="C1721" s="33">
        <f>IF(A1721&lt;&gt;"",WEEKNUM(A1721,21),IF(C1720&lt;&gt;"",C1720,""))</f>
        <v>27</v>
      </c>
      <c r="D1721" s="34"/>
      <c r="E1721" s="34"/>
      <c r="F1721" s="34"/>
      <c r="G1721" s="34"/>
      <c r="H1721" s="34"/>
      <c r="I1721" s="35"/>
      <c r="J1721" s="35"/>
      <c r="K1721" s="36"/>
      <c r="L1721" s="26" t="str">
        <f>IF(OR(F1721 = "", G1721 = ""), "", IF(F1721 = "Vara", IFERROR(_xlfn.SINGLE(_xlfn.XLOOKUP(G1721, Vöruskrá!A:A, Vöruskrá!E:E, "")), ""), IF(F1721 = "Réttur", IFERROR(_xlfn.SINGLE(_xlfn.XLOOKUP(G1721, Réttabanki!A:A, Réttabanki!AS:AS, "")), ""), "")))</f>
        <v/>
      </c>
      <c r="M1721" s="26" t="str">
        <f>IF(OR(F1721 = "", G1721 = ""), "", IF(F1721 = "Vara", IFERROR(_xlfn.SINGLE(_xlfn.XLOOKUP(G1721, Vöruskrá!A:A, Vöruskrá!F:F, "")), ""), IF(F1721 = "Réttur", IFERROR(_xlfn.SINGLE(_xlfn.XLOOKUP(G1721, Réttabanki!A:A, Réttabanki!AT:AT, "")), ""), "")))</f>
        <v/>
      </c>
      <c r="N1721" s="26" t="str">
        <f>IF(OR(F1721 = "", G1721 = ""), "", IF(F1721 = "Vara", IFERROR(_xlfn.SINGLE(_xlfn.XLOOKUP(G1721, Vöruskrá!A:A, Vöruskrá!G:G, "")), ""), IF(F1721 = "Réttur", IFERROR(_xlfn.SINGLE(_xlfn.XLOOKUP(G1721, Réttabanki!A:A, Réttabanki!AU:AU, "")), ""), "")))</f>
        <v/>
      </c>
      <c r="O1721" s="26" t="str">
        <f>IF(OR(F1721 = "", G1721 = "", I1721 = ""), "", IF(F1721 = "Vara", IFERROR(_xlfn.SINGLE(_xlfn.XLOOKUP(G1721, Vöruskrá!A:A, Vöruskrá!I:I, "")) * I1721 / 100, ""), IF(F1721 = "Réttur", IFERROR(_xlfn.SINGLE(_xlfn.XLOOKUP(G1721, Réttabanki!A:A, Réttabanki!AV:AV, "")) * I1721 / 100, ""), "")))</f>
        <v/>
      </c>
      <c r="P1721" s="26" t="str">
        <f>IF(OR(F1721 = "", G1721 = "", I1721 = ""), "", IF(F1721 = "Vara", IFERROR(_xlfn.SINGLE(_xlfn.XLOOKUP(G1721, Vöruskrá!A:A, Vöruskrá!J:J, "")) * I1721 / 100, ""), IF(F1721 = "Réttur", IFERROR(_xlfn.SINGLE(_xlfn.XLOOKUP(G1721, Réttabanki!A:A, Réttabanki!AW:AW, "")) * I1721 / 100, ""), "")))</f>
        <v/>
      </c>
      <c r="Q1721" s="26" t="str">
        <f>IF(OR(F1721 = "", G1721 = "", I1721 = ""), "", IF(F1721 = "Vara", IFERROR(_xlfn.SINGLE(_xlfn.XLOOKUP(G1721, Vöruskrá!A:A, Vöruskrá!N:N, "")) * I1721 / 100, ""), IF(F1721 = "Réttur", IFERROR(_xlfn.SINGLE(_xlfn.XLOOKUP(G1721, Réttabanki!A:A, Réttabanki!BB:BB, "")) * I1721 / 100, ""), "")))</f>
        <v/>
      </c>
    </row>
    <row r="1722" spans="2:17">
      <c r="B1722" s="33" t="str">
        <f>IF(A1722&lt;&gt;"",CHOOSE(WEEKDAY(A1722,2),"Mánudagur","Þriðjudagur","Miðvikudagur","Fimmtudagur","Föstudagur","Laugardagur","Sunnudagur"),IF(B1721&lt;&gt;"",B1721,""))</f>
        <v>Fimmtudagur</v>
      </c>
      <c r="C1722" s="33">
        <f>IF(A1722&lt;&gt;"",WEEKNUM(A1722,21),IF(C1721&lt;&gt;"",C1721,""))</f>
        <v>27</v>
      </c>
      <c r="D1722" s="34"/>
      <c r="E1722" s="34"/>
      <c r="F1722" s="34"/>
      <c r="G1722" s="34"/>
      <c r="H1722" s="34"/>
      <c r="I1722" s="35"/>
      <c r="J1722" s="35"/>
      <c r="K1722" s="36"/>
      <c r="L1722" s="26" t="str">
        <f>IF(OR(F1722 = "", G1722 = ""), "", IF(F1722 = "Vara", IFERROR(_xlfn.SINGLE(_xlfn.XLOOKUP(G1722, Vöruskrá!A:A, Vöruskrá!E:E, "")), ""), IF(F1722 = "Réttur", IFERROR(_xlfn.SINGLE(_xlfn.XLOOKUP(G1722, Réttabanki!A:A, Réttabanki!AS:AS, "")), ""), "")))</f>
        <v/>
      </c>
      <c r="M1722" s="26" t="str">
        <f>IF(OR(F1722 = "", G1722 = ""), "", IF(F1722 = "Vara", IFERROR(_xlfn.SINGLE(_xlfn.XLOOKUP(G1722, Vöruskrá!A:A, Vöruskrá!F:F, "")), ""), IF(F1722 = "Réttur", IFERROR(_xlfn.SINGLE(_xlfn.XLOOKUP(G1722, Réttabanki!A:A, Réttabanki!AT:AT, "")), ""), "")))</f>
        <v/>
      </c>
      <c r="N1722" s="26" t="str">
        <f>IF(OR(F1722 = "", G1722 = ""), "", IF(F1722 = "Vara", IFERROR(_xlfn.SINGLE(_xlfn.XLOOKUP(G1722, Vöruskrá!A:A, Vöruskrá!G:G, "")), ""), IF(F1722 = "Réttur", IFERROR(_xlfn.SINGLE(_xlfn.XLOOKUP(G1722, Réttabanki!A:A, Réttabanki!AU:AU, "")), ""), "")))</f>
        <v/>
      </c>
      <c r="O1722" s="26" t="str">
        <f>IF(OR(F1722 = "", G1722 = "", I1722 = ""), "", IF(F1722 = "Vara", IFERROR(_xlfn.SINGLE(_xlfn.XLOOKUP(G1722, Vöruskrá!A:A, Vöruskrá!I:I, "")) * I1722 / 100, ""), IF(F1722 = "Réttur", IFERROR(_xlfn.SINGLE(_xlfn.XLOOKUP(G1722, Réttabanki!A:A, Réttabanki!AV:AV, "")) * I1722 / 100, ""), "")))</f>
        <v/>
      </c>
      <c r="P1722" s="26" t="str">
        <f>IF(OR(F1722 = "", G1722 = "", I1722 = ""), "", IF(F1722 = "Vara", IFERROR(_xlfn.SINGLE(_xlfn.XLOOKUP(G1722, Vöruskrá!A:A, Vöruskrá!J:J, "")) * I1722 / 100, ""), IF(F1722 = "Réttur", IFERROR(_xlfn.SINGLE(_xlfn.XLOOKUP(G1722, Réttabanki!A:A, Réttabanki!AW:AW, "")) * I1722 / 100, ""), "")))</f>
        <v/>
      </c>
      <c r="Q1722" s="26" t="str">
        <f>IF(OR(F1722 = "", G1722 = "", I1722 = ""), "", IF(F1722 = "Vara", IFERROR(_xlfn.SINGLE(_xlfn.XLOOKUP(G1722, Vöruskrá!A:A, Vöruskrá!N:N, "")) * I1722 / 100, ""), IF(F1722 = "Réttur", IFERROR(_xlfn.SINGLE(_xlfn.XLOOKUP(G1722, Réttabanki!A:A, Réttabanki!BB:BB, "")) * I1722 / 100, ""), "")))</f>
        <v/>
      </c>
    </row>
    <row r="1723" spans="2:17">
      <c r="B1723" s="33" t="str">
        <f>IF(A1723&lt;&gt;"",CHOOSE(WEEKDAY(A1723,2),"Mánudagur","Þriðjudagur","Miðvikudagur","Fimmtudagur","Föstudagur","Laugardagur","Sunnudagur"),IF(B1722&lt;&gt;"",B1722,""))</f>
        <v>Fimmtudagur</v>
      </c>
      <c r="C1723" s="33">
        <f>IF(A1723&lt;&gt;"",WEEKNUM(A1723,21),IF(C1722&lt;&gt;"",C1722,""))</f>
        <v>27</v>
      </c>
      <c r="D1723" s="34"/>
      <c r="E1723" s="34"/>
      <c r="F1723" s="34"/>
      <c r="G1723" s="34"/>
      <c r="H1723" s="34"/>
      <c r="I1723" s="35"/>
      <c r="J1723" s="35"/>
      <c r="K1723" s="36"/>
      <c r="L1723" s="26" t="str">
        <f>IF(OR(F1723 = "", G1723 = ""), "", IF(F1723 = "Vara", IFERROR(_xlfn.SINGLE(_xlfn.XLOOKUP(G1723, Vöruskrá!A:A, Vöruskrá!E:E, "")), ""), IF(F1723 = "Réttur", IFERROR(_xlfn.SINGLE(_xlfn.XLOOKUP(G1723, Réttabanki!A:A, Réttabanki!AS:AS, "")), ""), "")))</f>
        <v/>
      </c>
      <c r="M1723" s="26" t="str">
        <f>IF(OR(F1723 = "", G1723 = ""), "", IF(F1723 = "Vara", IFERROR(_xlfn.SINGLE(_xlfn.XLOOKUP(G1723, Vöruskrá!A:A, Vöruskrá!F:F, "")), ""), IF(F1723 = "Réttur", IFERROR(_xlfn.SINGLE(_xlfn.XLOOKUP(G1723, Réttabanki!A:A, Réttabanki!AT:AT, "")), ""), "")))</f>
        <v/>
      </c>
      <c r="N1723" s="26" t="str">
        <f>IF(OR(F1723 = "", G1723 = ""), "", IF(F1723 = "Vara", IFERROR(_xlfn.SINGLE(_xlfn.XLOOKUP(G1723, Vöruskrá!A:A, Vöruskrá!G:G, "")), ""), IF(F1723 = "Réttur", IFERROR(_xlfn.SINGLE(_xlfn.XLOOKUP(G1723, Réttabanki!A:A, Réttabanki!AU:AU, "")), ""), "")))</f>
        <v/>
      </c>
      <c r="O1723" s="26" t="str">
        <f>IF(OR(F1723 = "", G1723 = "", I1723 = ""), "", IF(F1723 = "Vara", IFERROR(_xlfn.SINGLE(_xlfn.XLOOKUP(G1723, Vöruskrá!A:A, Vöruskrá!I:I, "")) * I1723 / 100, ""), IF(F1723 = "Réttur", IFERROR(_xlfn.SINGLE(_xlfn.XLOOKUP(G1723, Réttabanki!A:A, Réttabanki!AV:AV, "")) * I1723 / 100, ""), "")))</f>
        <v/>
      </c>
      <c r="P1723" s="26" t="str">
        <f>IF(OR(F1723 = "", G1723 = "", I1723 = ""), "", IF(F1723 = "Vara", IFERROR(_xlfn.SINGLE(_xlfn.XLOOKUP(G1723, Vöruskrá!A:A, Vöruskrá!J:J, "")) * I1723 / 100, ""), IF(F1723 = "Réttur", IFERROR(_xlfn.SINGLE(_xlfn.XLOOKUP(G1723, Réttabanki!A:A, Réttabanki!AW:AW, "")) * I1723 / 100, ""), "")))</f>
        <v/>
      </c>
      <c r="Q1723" s="26" t="str">
        <f>IF(OR(F1723 = "", G1723 = "", I1723 = ""), "", IF(F1723 = "Vara", IFERROR(_xlfn.SINGLE(_xlfn.XLOOKUP(G1723, Vöruskrá!A:A, Vöruskrá!N:N, "")) * I1723 / 100, ""), IF(F1723 = "Réttur", IFERROR(_xlfn.SINGLE(_xlfn.XLOOKUP(G1723, Réttabanki!A:A, Réttabanki!BB:BB, "")) * I1723 / 100, ""), "")))</f>
        <v/>
      </c>
    </row>
    <row r="1724" spans="2:17">
      <c r="B1724" s="33" t="str">
        <f>IF(A1724&lt;&gt;"",CHOOSE(WEEKDAY(A1724,2),"Mánudagur","Þriðjudagur","Miðvikudagur","Fimmtudagur","Föstudagur","Laugardagur","Sunnudagur"),IF(B1723&lt;&gt;"",B1723,""))</f>
        <v>Fimmtudagur</v>
      </c>
      <c r="C1724" s="33">
        <f>IF(A1724&lt;&gt;"",WEEKNUM(A1724,21),IF(C1723&lt;&gt;"",C1723,""))</f>
        <v>27</v>
      </c>
      <c r="D1724" s="34"/>
      <c r="E1724" s="34"/>
      <c r="F1724" s="34"/>
      <c r="G1724" s="34"/>
      <c r="H1724" s="34"/>
      <c r="I1724" s="35"/>
      <c r="J1724" s="35"/>
      <c r="K1724" s="36"/>
      <c r="L1724" s="26" t="str">
        <f>IF(OR(F1724 = "", G1724 = ""), "", IF(F1724 = "Vara", IFERROR(_xlfn.SINGLE(_xlfn.XLOOKUP(G1724, Vöruskrá!A:A, Vöruskrá!E:E, "")), ""), IF(F1724 = "Réttur", IFERROR(_xlfn.SINGLE(_xlfn.XLOOKUP(G1724, Réttabanki!A:A, Réttabanki!AS:AS, "")), ""), "")))</f>
        <v/>
      </c>
      <c r="M1724" s="26" t="str">
        <f>IF(OR(F1724 = "", G1724 = ""), "", IF(F1724 = "Vara", IFERROR(_xlfn.SINGLE(_xlfn.XLOOKUP(G1724, Vöruskrá!A:A, Vöruskrá!F:F, "")), ""), IF(F1724 = "Réttur", IFERROR(_xlfn.SINGLE(_xlfn.XLOOKUP(G1724, Réttabanki!A:A, Réttabanki!AT:AT, "")), ""), "")))</f>
        <v/>
      </c>
      <c r="N1724" s="26" t="str">
        <f>IF(OR(F1724 = "", G1724 = ""), "", IF(F1724 = "Vara", IFERROR(_xlfn.SINGLE(_xlfn.XLOOKUP(G1724, Vöruskrá!A:A, Vöruskrá!G:G, "")), ""), IF(F1724 = "Réttur", IFERROR(_xlfn.SINGLE(_xlfn.XLOOKUP(G1724, Réttabanki!A:A, Réttabanki!AU:AU, "")), ""), "")))</f>
        <v/>
      </c>
      <c r="O1724" s="26" t="str">
        <f>IF(OR(F1724 = "", G1724 = "", I1724 = ""), "", IF(F1724 = "Vara", IFERROR(_xlfn.SINGLE(_xlfn.XLOOKUP(G1724, Vöruskrá!A:A, Vöruskrá!I:I, "")) * I1724 / 100, ""), IF(F1724 = "Réttur", IFERROR(_xlfn.SINGLE(_xlfn.XLOOKUP(G1724, Réttabanki!A:A, Réttabanki!AV:AV, "")) * I1724 / 100, ""), "")))</f>
        <v/>
      </c>
      <c r="P1724" s="26" t="str">
        <f>IF(OR(F1724 = "", G1724 = "", I1724 = ""), "", IF(F1724 = "Vara", IFERROR(_xlfn.SINGLE(_xlfn.XLOOKUP(G1724, Vöruskrá!A:A, Vöruskrá!J:J, "")) * I1724 / 100, ""), IF(F1724 = "Réttur", IFERROR(_xlfn.SINGLE(_xlfn.XLOOKUP(G1724, Réttabanki!A:A, Réttabanki!AW:AW, "")) * I1724 / 100, ""), "")))</f>
        <v/>
      </c>
      <c r="Q1724" s="26" t="str">
        <f>IF(OR(F1724 = "", G1724 = "", I1724 = ""), "", IF(F1724 = "Vara", IFERROR(_xlfn.SINGLE(_xlfn.XLOOKUP(G1724, Vöruskrá!A:A, Vöruskrá!N:N, "")) * I1724 / 100, ""), IF(F1724 = "Réttur", IFERROR(_xlfn.SINGLE(_xlfn.XLOOKUP(G1724, Réttabanki!A:A, Réttabanki!BB:BB, "")) * I1724 / 100, ""), "")))</f>
        <v/>
      </c>
    </row>
    <row r="1725" spans="2:17">
      <c r="B1725" s="33" t="str">
        <f>IF(A1725&lt;&gt;"",CHOOSE(WEEKDAY(A1725,2),"Mánudagur","Þriðjudagur","Miðvikudagur","Fimmtudagur","Föstudagur","Laugardagur","Sunnudagur"),IF(B1724&lt;&gt;"",B1724,""))</f>
        <v>Fimmtudagur</v>
      </c>
      <c r="C1725" s="33">
        <f>IF(A1725&lt;&gt;"",WEEKNUM(A1725,21),IF(C1724&lt;&gt;"",C1724,""))</f>
        <v>27</v>
      </c>
      <c r="D1725" s="34"/>
      <c r="E1725" s="34"/>
      <c r="F1725" s="34"/>
      <c r="G1725" s="34"/>
      <c r="H1725" s="34"/>
      <c r="I1725" s="35"/>
      <c r="J1725" s="35"/>
      <c r="K1725" s="36"/>
      <c r="L1725" s="26" t="str">
        <f>IF(OR(F1725 = "", G1725 = ""), "", IF(F1725 = "Vara", IFERROR(_xlfn.SINGLE(_xlfn.XLOOKUP(G1725, Vöruskrá!A:A, Vöruskrá!E:E, "")), ""), IF(F1725 = "Réttur", IFERROR(_xlfn.SINGLE(_xlfn.XLOOKUP(G1725, Réttabanki!A:A, Réttabanki!AS:AS, "")), ""), "")))</f>
        <v/>
      </c>
      <c r="M1725" s="26" t="str">
        <f>IF(OR(F1725 = "", G1725 = ""), "", IF(F1725 = "Vara", IFERROR(_xlfn.SINGLE(_xlfn.XLOOKUP(G1725, Vöruskrá!A:A, Vöruskrá!F:F, "")), ""), IF(F1725 = "Réttur", IFERROR(_xlfn.SINGLE(_xlfn.XLOOKUP(G1725, Réttabanki!A:A, Réttabanki!AT:AT, "")), ""), "")))</f>
        <v/>
      </c>
      <c r="N1725" s="26" t="str">
        <f>IF(OR(F1725 = "", G1725 = ""), "", IF(F1725 = "Vara", IFERROR(_xlfn.SINGLE(_xlfn.XLOOKUP(G1725, Vöruskrá!A:A, Vöruskrá!G:G, "")), ""), IF(F1725 = "Réttur", IFERROR(_xlfn.SINGLE(_xlfn.XLOOKUP(G1725, Réttabanki!A:A, Réttabanki!AU:AU, "")), ""), "")))</f>
        <v/>
      </c>
      <c r="O1725" s="26" t="str">
        <f>IF(OR(F1725 = "", G1725 = "", I1725 = ""), "", IF(F1725 = "Vara", IFERROR(_xlfn.SINGLE(_xlfn.XLOOKUP(G1725, Vöruskrá!A:A, Vöruskrá!I:I, "")) * I1725 / 100, ""), IF(F1725 = "Réttur", IFERROR(_xlfn.SINGLE(_xlfn.XLOOKUP(G1725, Réttabanki!A:A, Réttabanki!AV:AV, "")) * I1725 / 100, ""), "")))</f>
        <v/>
      </c>
      <c r="P1725" s="26" t="str">
        <f>IF(OR(F1725 = "", G1725 = "", I1725 = ""), "", IF(F1725 = "Vara", IFERROR(_xlfn.SINGLE(_xlfn.XLOOKUP(G1725, Vöruskrá!A:A, Vöruskrá!J:J, "")) * I1725 / 100, ""), IF(F1725 = "Réttur", IFERROR(_xlfn.SINGLE(_xlfn.XLOOKUP(G1725, Réttabanki!A:A, Réttabanki!AW:AW, "")) * I1725 / 100, ""), "")))</f>
        <v/>
      </c>
      <c r="Q1725" s="26" t="str">
        <f>IF(OR(F1725 = "", G1725 = "", I1725 = ""), "", IF(F1725 = "Vara", IFERROR(_xlfn.SINGLE(_xlfn.XLOOKUP(G1725, Vöruskrá!A:A, Vöruskrá!N:N, "")) * I1725 / 100, ""), IF(F1725 = "Réttur", IFERROR(_xlfn.SINGLE(_xlfn.XLOOKUP(G1725, Réttabanki!A:A, Réttabanki!BB:BB, "")) * I1725 / 100, ""), "")))</f>
        <v/>
      </c>
    </row>
    <row r="1726" spans="2:17">
      <c r="B1726" s="33" t="str">
        <f>IF(A1726&lt;&gt;"",CHOOSE(WEEKDAY(A1726,2),"Mánudagur","Þriðjudagur","Miðvikudagur","Fimmtudagur","Föstudagur","Laugardagur","Sunnudagur"),IF(B1725&lt;&gt;"",B1725,""))</f>
        <v>Fimmtudagur</v>
      </c>
      <c r="C1726" s="33">
        <f>IF(A1726&lt;&gt;"",WEEKNUM(A1726,21),IF(C1725&lt;&gt;"",C1725,""))</f>
        <v>27</v>
      </c>
      <c r="D1726" s="34"/>
      <c r="E1726" s="34"/>
      <c r="F1726" s="34"/>
      <c r="G1726" s="34"/>
      <c r="H1726" s="34"/>
      <c r="I1726" s="35"/>
      <c r="J1726" s="35"/>
      <c r="K1726" s="36"/>
      <c r="L1726" s="26" t="str">
        <f>IF(OR(F1726 = "", G1726 = ""), "", IF(F1726 = "Vara", IFERROR(_xlfn.SINGLE(_xlfn.XLOOKUP(G1726, Vöruskrá!A:A, Vöruskrá!E:E, "")), ""), IF(F1726 = "Réttur", IFERROR(_xlfn.SINGLE(_xlfn.XLOOKUP(G1726, Réttabanki!A:A, Réttabanki!AS:AS, "")), ""), "")))</f>
        <v/>
      </c>
      <c r="M1726" s="26" t="str">
        <f>IF(OR(F1726 = "", G1726 = ""), "", IF(F1726 = "Vara", IFERROR(_xlfn.SINGLE(_xlfn.XLOOKUP(G1726, Vöruskrá!A:A, Vöruskrá!F:F, "")), ""), IF(F1726 = "Réttur", IFERROR(_xlfn.SINGLE(_xlfn.XLOOKUP(G1726, Réttabanki!A:A, Réttabanki!AT:AT, "")), ""), "")))</f>
        <v/>
      </c>
      <c r="N1726" s="26" t="str">
        <f>IF(OR(F1726 = "", G1726 = ""), "", IF(F1726 = "Vara", IFERROR(_xlfn.SINGLE(_xlfn.XLOOKUP(G1726, Vöruskrá!A:A, Vöruskrá!G:G, "")), ""), IF(F1726 = "Réttur", IFERROR(_xlfn.SINGLE(_xlfn.XLOOKUP(G1726, Réttabanki!A:A, Réttabanki!AU:AU, "")), ""), "")))</f>
        <v/>
      </c>
      <c r="O1726" s="26" t="str">
        <f>IF(OR(F1726 = "", G1726 = "", I1726 = ""), "", IF(F1726 = "Vara", IFERROR(_xlfn.SINGLE(_xlfn.XLOOKUP(G1726, Vöruskrá!A:A, Vöruskrá!I:I, "")) * I1726 / 100, ""), IF(F1726 = "Réttur", IFERROR(_xlfn.SINGLE(_xlfn.XLOOKUP(G1726, Réttabanki!A:A, Réttabanki!AV:AV, "")) * I1726 / 100, ""), "")))</f>
        <v/>
      </c>
      <c r="P1726" s="26" t="str">
        <f>IF(OR(F1726 = "", G1726 = "", I1726 = ""), "", IF(F1726 = "Vara", IFERROR(_xlfn.SINGLE(_xlfn.XLOOKUP(G1726, Vöruskrá!A:A, Vöruskrá!J:J, "")) * I1726 / 100, ""), IF(F1726 = "Réttur", IFERROR(_xlfn.SINGLE(_xlfn.XLOOKUP(G1726, Réttabanki!A:A, Réttabanki!AW:AW, "")) * I1726 / 100, ""), "")))</f>
        <v/>
      </c>
      <c r="Q1726" s="26" t="str">
        <f>IF(OR(F1726 = "", G1726 = "", I1726 = ""), "", IF(F1726 = "Vara", IFERROR(_xlfn.SINGLE(_xlfn.XLOOKUP(G1726, Vöruskrá!A:A, Vöruskrá!N:N, "")) * I1726 / 100, ""), IF(F1726 = "Réttur", IFERROR(_xlfn.SINGLE(_xlfn.XLOOKUP(G1726, Réttabanki!A:A, Réttabanki!BB:BB, "")) * I1726 / 100, ""), "")))</f>
        <v/>
      </c>
    </row>
    <row r="1727" spans="2:17">
      <c r="B1727" s="33" t="str">
        <f>IF(A1727&lt;&gt;"",CHOOSE(WEEKDAY(A1727,2),"Mánudagur","Þriðjudagur","Miðvikudagur","Fimmtudagur","Föstudagur","Laugardagur","Sunnudagur"),IF(B1726&lt;&gt;"",B1726,""))</f>
        <v>Fimmtudagur</v>
      </c>
      <c r="C1727" s="33">
        <f>IF(A1727&lt;&gt;"",WEEKNUM(A1727,21),IF(C1726&lt;&gt;"",C1726,""))</f>
        <v>27</v>
      </c>
      <c r="D1727" s="34"/>
      <c r="E1727" s="34"/>
      <c r="F1727" s="34"/>
      <c r="G1727" s="34"/>
      <c r="H1727" s="34"/>
      <c r="I1727" s="35"/>
      <c r="J1727" s="35"/>
      <c r="K1727" s="36"/>
      <c r="L1727" s="26" t="str">
        <f>IF(OR(F1727 = "", G1727 = ""), "", IF(F1727 = "Vara", IFERROR(_xlfn.SINGLE(_xlfn.XLOOKUP(G1727, Vöruskrá!A:A, Vöruskrá!E:E, "")), ""), IF(F1727 = "Réttur", IFERROR(_xlfn.SINGLE(_xlfn.XLOOKUP(G1727, Réttabanki!A:A, Réttabanki!AS:AS, "")), ""), "")))</f>
        <v/>
      </c>
      <c r="M1727" s="26" t="str">
        <f>IF(OR(F1727 = "", G1727 = ""), "", IF(F1727 = "Vara", IFERROR(_xlfn.SINGLE(_xlfn.XLOOKUP(G1727, Vöruskrá!A:A, Vöruskrá!F:F, "")), ""), IF(F1727 = "Réttur", IFERROR(_xlfn.SINGLE(_xlfn.XLOOKUP(G1727, Réttabanki!A:A, Réttabanki!AT:AT, "")), ""), "")))</f>
        <v/>
      </c>
      <c r="N1727" s="26" t="str">
        <f>IF(OR(F1727 = "", G1727 = ""), "", IF(F1727 = "Vara", IFERROR(_xlfn.SINGLE(_xlfn.XLOOKUP(G1727, Vöruskrá!A:A, Vöruskrá!G:G, "")), ""), IF(F1727 = "Réttur", IFERROR(_xlfn.SINGLE(_xlfn.XLOOKUP(G1727, Réttabanki!A:A, Réttabanki!AU:AU, "")), ""), "")))</f>
        <v/>
      </c>
      <c r="O1727" s="26" t="str">
        <f>IF(OR(F1727 = "", G1727 = "", I1727 = ""), "", IF(F1727 = "Vara", IFERROR(_xlfn.SINGLE(_xlfn.XLOOKUP(G1727, Vöruskrá!A:A, Vöruskrá!I:I, "")) * I1727 / 100, ""), IF(F1727 = "Réttur", IFERROR(_xlfn.SINGLE(_xlfn.XLOOKUP(G1727, Réttabanki!A:A, Réttabanki!AV:AV, "")) * I1727 / 100, ""), "")))</f>
        <v/>
      </c>
      <c r="P1727" s="26" t="str">
        <f>IF(OR(F1727 = "", G1727 = "", I1727 = ""), "", IF(F1727 = "Vara", IFERROR(_xlfn.SINGLE(_xlfn.XLOOKUP(G1727, Vöruskrá!A:A, Vöruskrá!J:J, "")) * I1727 / 100, ""), IF(F1727 = "Réttur", IFERROR(_xlfn.SINGLE(_xlfn.XLOOKUP(G1727, Réttabanki!A:A, Réttabanki!AW:AW, "")) * I1727 / 100, ""), "")))</f>
        <v/>
      </c>
      <c r="Q1727" s="26" t="str">
        <f>IF(OR(F1727 = "", G1727 = "", I1727 = ""), "", IF(F1727 = "Vara", IFERROR(_xlfn.SINGLE(_xlfn.XLOOKUP(G1727, Vöruskrá!A:A, Vöruskrá!N:N, "")) * I1727 / 100, ""), IF(F1727 = "Réttur", IFERROR(_xlfn.SINGLE(_xlfn.XLOOKUP(G1727, Réttabanki!A:A, Réttabanki!BB:BB, "")) * I1727 / 100, ""), "")))</f>
        <v/>
      </c>
    </row>
    <row r="1728" spans="2:17">
      <c r="B1728" s="33" t="str">
        <f>IF(A1728&lt;&gt;"",CHOOSE(WEEKDAY(A1728,2),"Mánudagur","Þriðjudagur","Miðvikudagur","Fimmtudagur","Föstudagur","Laugardagur","Sunnudagur"),IF(B1727&lt;&gt;"",B1727,""))</f>
        <v>Fimmtudagur</v>
      </c>
      <c r="C1728" s="33">
        <f>IF(A1728&lt;&gt;"",WEEKNUM(A1728,21),IF(C1727&lt;&gt;"",C1727,""))</f>
        <v>27</v>
      </c>
      <c r="D1728" s="34"/>
      <c r="E1728" s="34"/>
      <c r="F1728" s="34"/>
      <c r="G1728" s="34"/>
      <c r="H1728" s="34"/>
      <c r="I1728" s="35"/>
      <c r="J1728" s="35"/>
      <c r="K1728" s="36"/>
      <c r="L1728" s="26" t="str">
        <f>IF(OR(F1728 = "", G1728 = ""), "", IF(F1728 = "Vara", IFERROR(_xlfn.SINGLE(_xlfn.XLOOKUP(G1728, Vöruskrá!A:A, Vöruskrá!E:E, "")), ""), IF(F1728 = "Réttur", IFERROR(_xlfn.SINGLE(_xlfn.XLOOKUP(G1728, Réttabanki!A:A, Réttabanki!AS:AS, "")), ""), "")))</f>
        <v/>
      </c>
      <c r="M1728" s="26" t="str">
        <f>IF(OR(F1728 = "", G1728 = ""), "", IF(F1728 = "Vara", IFERROR(_xlfn.SINGLE(_xlfn.XLOOKUP(G1728, Vöruskrá!A:A, Vöruskrá!F:F, "")), ""), IF(F1728 = "Réttur", IFERROR(_xlfn.SINGLE(_xlfn.XLOOKUP(G1728, Réttabanki!A:A, Réttabanki!AT:AT, "")), ""), "")))</f>
        <v/>
      </c>
      <c r="N1728" s="26" t="str">
        <f>IF(OR(F1728 = "", G1728 = ""), "", IF(F1728 = "Vara", IFERROR(_xlfn.SINGLE(_xlfn.XLOOKUP(G1728, Vöruskrá!A:A, Vöruskrá!G:G, "")), ""), IF(F1728 = "Réttur", IFERROR(_xlfn.SINGLE(_xlfn.XLOOKUP(G1728, Réttabanki!A:A, Réttabanki!AU:AU, "")), ""), "")))</f>
        <v/>
      </c>
      <c r="O1728" s="26" t="str">
        <f>IF(OR(F1728 = "", G1728 = "", I1728 = ""), "", IF(F1728 = "Vara", IFERROR(_xlfn.SINGLE(_xlfn.XLOOKUP(G1728, Vöruskrá!A:A, Vöruskrá!I:I, "")) * I1728 / 100, ""), IF(F1728 = "Réttur", IFERROR(_xlfn.SINGLE(_xlfn.XLOOKUP(G1728, Réttabanki!A:A, Réttabanki!AV:AV, "")) * I1728 / 100, ""), "")))</f>
        <v/>
      </c>
      <c r="P1728" s="26" t="str">
        <f>IF(OR(F1728 = "", G1728 = "", I1728 = ""), "", IF(F1728 = "Vara", IFERROR(_xlfn.SINGLE(_xlfn.XLOOKUP(G1728, Vöruskrá!A:A, Vöruskrá!J:J, "")) * I1728 / 100, ""), IF(F1728 = "Réttur", IFERROR(_xlfn.SINGLE(_xlfn.XLOOKUP(G1728, Réttabanki!A:A, Réttabanki!AW:AW, "")) * I1728 / 100, ""), "")))</f>
        <v/>
      </c>
      <c r="Q1728" s="26" t="str">
        <f>IF(OR(F1728 = "", G1728 = "", I1728 = ""), "", IF(F1728 = "Vara", IFERROR(_xlfn.SINGLE(_xlfn.XLOOKUP(G1728, Vöruskrá!A:A, Vöruskrá!N:N, "")) * I1728 / 100, ""), IF(F1728 = "Réttur", IFERROR(_xlfn.SINGLE(_xlfn.XLOOKUP(G1728, Réttabanki!A:A, Réttabanki!BB:BB, "")) * I1728 / 100, ""), "")))</f>
        <v/>
      </c>
    </row>
    <row r="1729" spans="2:17">
      <c r="B1729" s="33" t="str">
        <f>IF(A1729&lt;&gt;"",CHOOSE(WEEKDAY(A1729,2),"Mánudagur","Þriðjudagur","Miðvikudagur","Fimmtudagur","Föstudagur","Laugardagur","Sunnudagur"),IF(B1728&lt;&gt;"",B1728,""))</f>
        <v>Fimmtudagur</v>
      </c>
      <c r="C1729" s="33">
        <f>IF(A1729&lt;&gt;"",WEEKNUM(A1729,21),IF(C1728&lt;&gt;"",C1728,""))</f>
        <v>27</v>
      </c>
      <c r="D1729" s="34"/>
      <c r="E1729" s="34"/>
      <c r="F1729" s="34"/>
      <c r="G1729" s="34"/>
      <c r="H1729" s="34"/>
      <c r="I1729" s="35"/>
      <c r="J1729" s="35"/>
      <c r="K1729" s="36"/>
      <c r="L1729" s="26" t="str">
        <f>IF(OR(F1729 = "", G1729 = ""), "", IF(F1729 = "Vara", IFERROR(_xlfn.SINGLE(_xlfn.XLOOKUP(G1729, Vöruskrá!A:A, Vöruskrá!E:E, "")), ""), IF(F1729 = "Réttur", IFERROR(_xlfn.SINGLE(_xlfn.XLOOKUP(G1729, Réttabanki!A:A, Réttabanki!AS:AS, "")), ""), "")))</f>
        <v/>
      </c>
      <c r="M1729" s="26" t="str">
        <f>IF(OR(F1729 = "", G1729 = ""), "", IF(F1729 = "Vara", IFERROR(_xlfn.SINGLE(_xlfn.XLOOKUP(G1729, Vöruskrá!A:A, Vöruskrá!F:F, "")), ""), IF(F1729 = "Réttur", IFERROR(_xlfn.SINGLE(_xlfn.XLOOKUP(G1729, Réttabanki!A:A, Réttabanki!AT:AT, "")), ""), "")))</f>
        <v/>
      </c>
      <c r="N1729" s="26" t="str">
        <f>IF(OR(F1729 = "", G1729 = ""), "", IF(F1729 = "Vara", IFERROR(_xlfn.SINGLE(_xlfn.XLOOKUP(G1729, Vöruskrá!A:A, Vöruskrá!G:G, "")), ""), IF(F1729 = "Réttur", IFERROR(_xlfn.SINGLE(_xlfn.XLOOKUP(G1729, Réttabanki!A:A, Réttabanki!AU:AU, "")), ""), "")))</f>
        <v/>
      </c>
      <c r="O1729" s="26" t="str">
        <f>IF(OR(F1729 = "", G1729 = "", I1729 = ""), "", IF(F1729 = "Vara", IFERROR(_xlfn.SINGLE(_xlfn.XLOOKUP(G1729, Vöruskrá!A:A, Vöruskrá!I:I, "")) * I1729 / 100, ""), IF(F1729 = "Réttur", IFERROR(_xlfn.SINGLE(_xlfn.XLOOKUP(G1729, Réttabanki!A:A, Réttabanki!AV:AV, "")) * I1729 / 100, ""), "")))</f>
        <v/>
      </c>
      <c r="P1729" s="26" t="str">
        <f>IF(OR(F1729 = "", G1729 = "", I1729 = ""), "", IF(F1729 = "Vara", IFERROR(_xlfn.SINGLE(_xlfn.XLOOKUP(G1729, Vöruskrá!A:A, Vöruskrá!J:J, "")) * I1729 / 100, ""), IF(F1729 = "Réttur", IFERROR(_xlfn.SINGLE(_xlfn.XLOOKUP(G1729, Réttabanki!A:A, Réttabanki!AW:AW, "")) * I1729 / 100, ""), "")))</f>
        <v/>
      </c>
      <c r="Q1729" s="26" t="str">
        <f>IF(OR(F1729 = "", G1729 = "", I1729 = ""), "", IF(F1729 = "Vara", IFERROR(_xlfn.SINGLE(_xlfn.XLOOKUP(G1729, Vöruskrá!A:A, Vöruskrá!N:N, "")) * I1729 / 100, ""), IF(F1729 = "Réttur", IFERROR(_xlfn.SINGLE(_xlfn.XLOOKUP(G1729, Réttabanki!A:A, Réttabanki!BB:BB, "")) * I1729 / 100, ""), "")))</f>
        <v/>
      </c>
    </row>
    <row r="1730" spans="2:17">
      <c r="B1730" s="33" t="str">
        <f>IF(A1730&lt;&gt;"",CHOOSE(WEEKDAY(A1730,2),"Mánudagur","Þriðjudagur","Miðvikudagur","Fimmtudagur","Föstudagur","Laugardagur","Sunnudagur"),IF(B1729&lt;&gt;"",B1729,""))</f>
        <v>Fimmtudagur</v>
      </c>
      <c r="C1730" s="33">
        <f>IF(A1730&lt;&gt;"",WEEKNUM(A1730,21),IF(C1729&lt;&gt;"",C1729,""))</f>
        <v>27</v>
      </c>
      <c r="D1730" s="34"/>
      <c r="E1730" s="34"/>
      <c r="F1730" s="34"/>
      <c r="G1730" s="34"/>
      <c r="H1730" s="34"/>
      <c r="I1730" s="35"/>
      <c r="J1730" s="35"/>
      <c r="K1730" s="36"/>
      <c r="L1730" s="26" t="str">
        <f>IF(OR(F1730 = "", G1730 = ""), "", IF(F1730 = "Vara", IFERROR(_xlfn.SINGLE(_xlfn.XLOOKUP(G1730, Vöruskrá!A:A, Vöruskrá!E:E, "")), ""), IF(F1730 = "Réttur", IFERROR(_xlfn.SINGLE(_xlfn.XLOOKUP(G1730, Réttabanki!A:A, Réttabanki!AS:AS, "")), ""), "")))</f>
        <v/>
      </c>
      <c r="M1730" s="26" t="str">
        <f>IF(OR(F1730 = "", G1730 = ""), "", IF(F1730 = "Vara", IFERROR(_xlfn.SINGLE(_xlfn.XLOOKUP(G1730, Vöruskrá!A:A, Vöruskrá!F:F, "")), ""), IF(F1730 = "Réttur", IFERROR(_xlfn.SINGLE(_xlfn.XLOOKUP(G1730, Réttabanki!A:A, Réttabanki!AT:AT, "")), ""), "")))</f>
        <v/>
      </c>
      <c r="N1730" s="26" t="str">
        <f>IF(OR(F1730 = "", G1730 = ""), "", IF(F1730 = "Vara", IFERROR(_xlfn.SINGLE(_xlfn.XLOOKUP(G1730, Vöruskrá!A:A, Vöruskrá!G:G, "")), ""), IF(F1730 = "Réttur", IFERROR(_xlfn.SINGLE(_xlfn.XLOOKUP(G1730, Réttabanki!A:A, Réttabanki!AU:AU, "")), ""), "")))</f>
        <v/>
      </c>
      <c r="O1730" s="26" t="str">
        <f>IF(OR(F1730 = "", G1730 = "", I1730 = ""), "", IF(F1730 = "Vara", IFERROR(_xlfn.SINGLE(_xlfn.XLOOKUP(G1730, Vöruskrá!A:A, Vöruskrá!I:I, "")) * I1730 / 100, ""), IF(F1730 = "Réttur", IFERROR(_xlfn.SINGLE(_xlfn.XLOOKUP(G1730, Réttabanki!A:A, Réttabanki!AV:AV, "")) * I1730 / 100, ""), "")))</f>
        <v/>
      </c>
      <c r="P1730" s="26" t="str">
        <f>IF(OR(F1730 = "", G1730 = "", I1730 = ""), "", IF(F1730 = "Vara", IFERROR(_xlfn.SINGLE(_xlfn.XLOOKUP(G1730, Vöruskrá!A:A, Vöruskrá!J:J, "")) * I1730 / 100, ""), IF(F1730 = "Réttur", IFERROR(_xlfn.SINGLE(_xlfn.XLOOKUP(G1730, Réttabanki!A:A, Réttabanki!AW:AW, "")) * I1730 / 100, ""), "")))</f>
        <v/>
      </c>
      <c r="Q1730" s="26" t="str">
        <f>IF(OR(F1730 = "", G1730 = "", I1730 = ""), "", IF(F1730 = "Vara", IFERROR(_xlfn.SINGLE(_xlfn.XLOOKUP(G1730, Vöruskrá!A:A, Vöruskrá!N:N, "")) * I1730 / 100, ""), IF(F1730 = "Réttur", IFERROR(_xlfn.SINGLE(_xlfn.XLOOKUP(G1730, Réttabanki!A:A, Réttabanki!BB:BB, "")) * I1730 / 100, ""), "")))</f>
        <v/>
      </c>
    </row>
    <row r="1731" spans="2:17">
      <c r="B1731" s="33" t="str">
        <f>IF(A1731&lt;&gt;"",CHOOSE(WEEKDAY(A1731,2),"Mánudagur","Þriðjudagur","Miðvikudagur","Fimmtudagur","Föstudagur","Laugardagur","Sunnudagur"),IF(B1730&lt;&gt;"",B1730,""))</f>
        <v>Fimmtudagur</v>
      </c>
      <c r="C1731" s="33">
        <f>IF(A1731&lt;&gt;"",WEEKNUM(A1731,21),IF(C1730&lt;&gt;"",C1730,""))</f>
        <v>27</v>
      </c>
      <c r="D1731" s="34"/>
      <c r="E1731" s="34"/>
      <c r="F1731" s="34"/>
      <c r="G1731" s="34"/>
      <c r="H1731" s="34"/>
      <c r="I1731" s="35"/>
      <c r="J1731" s="35"/>
      <c r="K1731" s="36"/>
      <c r="L1731" s="26" t="str">
        <f>IF(OR(F1731 = "", G1731 = ""), "", IF(F1731 = "Vara", IFERROR(_xlfn.SINGLE(_xlfn.XLOOKUP(G1731, Vöruskrá!A:A, Vöruskrá!E:E, "")), ""), IF(F1731 = "Réttur", IFERROR(_xlfn.SINGLE(_xlfn.XLOOKUP(G1731, Réttabanki!A:A, Réttabanki!AS:AS, "")), ""), "")))</f>
        <v/>
      </c>
      <c r="M1731" s="26" t="str">
        <f>IF(OR(F1731 = "", G1731 = ""), "", IF(F1731 = "Vara", IFERROR(_xlfn.SINGLE(_xlfn.XLOOKUP(G1731, Vöruskrá!A:A, Vöruskrá!F:F, "")), ""), IF(F1731 = "Réttur", IFERROR(_xlfn.SINGLE(_xlfn.XLOOKUP(G1731, Réttabanki!A:A, Réttabanki!AT:AT, "")), ""), "")))</f>
        <v/>
      </c>
      <c r="N1731" s="26" t="str">
        <f>IF(OR(F1731 = "", G1731 = ""), "", IF(F1731 = "Vara", IFERROR(_xlfn.SINGLE(_xlfn.XLOOKUP(G1731, Vöruskrá!A:A, Vöruskrá!G:G, "")), ""), IF(F1731 = "Réttur", IFERROR(_xlfn.SINGLE(_xlfn.XLOOKUP(G1731, Réttabanki!A:A, Réttabanki!AU:AU, "")), ""), "")))</f>
        <v/>
      </c>
      <c r="O1731" s="26" t="str">
        <f>IF(OR(F1731 = "", G1731 = "", I1731 = ""), "", IF(F1731 = "Vara", IFERROR(_xlfn.SINGLE(_xlfn.XLOOKUP(G1731, Vöruskrá!A:A, Vöruskrá!I:I, "")) * I1731 / 100, ""), IF(F1731 = "Réttur", IFERROR(_xlfn.SINGLE(_xlfn.XLOOKUP(G1731, Réttabanki!A:A, Réttabanki!AV:AV, "")) * I1731 / 100, ""), "")))</f>
        <v/>
      </c>
      <c r="P1731" s="26" t="str">
        <f>IF(OR(F1731 = "", G1731 = "", I1731 = ""), "", IF(F1731 = "Vara", IFERROR(_xlfn.SINGLE(_xlfn.XLOOKUP(G1731, Vöruskrá!A:A, Vöruskrá!J:J, "")) * I1731 / 100, ""), IF(F1731 = "Réttur", IFERROR(_xlfn.SINGLE(_xlfn.XLOOKUP(G1731, Réttabanki!A:A, Réttabanki!AW:AW, "")) * I1731 / 100, ""), "")))</f>
        <v/>
      </c>
      <c r="Q1731" s="26" t="str">
        <f>IF(OR(F1731 = "", G1731 = "", I1731 = ""), "", IF(F1731 = "Vara", IFERROR(_xlfn.SINGLE(_xlfn.XLOOKUP(G1731, Vöruskrá!A:A, Vöruskrá!N:N, "")) * I1731 / 100, ""), IF(F1731 = "Réttur", IFERROR(_xlfn.SINGLE(_xlfn.XLOOKUP(G1731, Réttabanki!A:A, Réttabanki!BB:BB, "")) * I1731 / 100, ""), "")))</f>
        <v/>
      </c>
    </row>
    <row r="1732" spans="2:17">
      <c r="B1732" s="33" t="str">
        <f>IF(A1732&lt;&gt;"",CHOOSE(WEEKDAY(A1732,2),"Mánudagur","Þriðjudagur","Miðvikudagur","Fimmtudagur","Föstudagur","Laugardagur","Sunnudagur"),IF(B1731&lt;&gt;"",B1731,""))</f>
        <v>Fimmtudagur</v>
      </c>
      <c r="C1732" s="33">
        <f>IF(A1732&lt;&gt;"",WEEKNUM(A1732,21),IF(C1731&lt;&gt;"",C1731,""))</f>
        <v>27</v>
      </c>
      <c r="D1732" s="34"/>
      <c r="E1732" s="34"/>
      <c r="F1732" s="34"/>
      <c r="G1732" s="34"/>
      <c r="H1732" s="34"/>
      <c r="I1732" s="35"/>
      <c r="J1732" s="35"/>
      <c r="K1732" s="36"/>
      <c r="L1732" s="26" t="str">
        <f>IF(OR(F1732 = "", G1732 = ""), "", IF(F1732 = "Vara", IFERROR(_xlfn.SINGLE(_xlfn.XLOOKUP(G1732, Vöruskrá!A:A, Vöruskrá!E:E, "")), ""), IF(F1732 = "Réttur", IFERROR(_xlfn.SINGLE(_xlfn.XLOOKUP(G1732, Réttabanki!A:A, Réttabanki!AS:AS, "")), ""), "")))</f>
        <v/>
      </c>
      <c r="M1732" s="26" t="str">
        <f>IF(OR(F1732 = "", G1732 = ""), "", IF(F1732 = "Vara", IFERROR(_xlfn.SINGLE(_xlfn.XLOOKUP(G1732, Vöruskrá!A:A, Vöruskrá!F:F, "")), ""), IF(F1732 = "Réttur", IFERROR(_xlfn.SINGLE(_xlfn.XLOOKUP(G1732, Réttabanki!A:A, Réttabanki!AT:AT, "")), ""), "")))</f>
        <v/>
      </c>
      <c r="N1732" s="26" t="str">
        <f>IF(OR(F1732 = "", G1732 = ""), "", IF(F1732 = "Vara", IFERROR(_xlfn.SINGLE(_xlfn.XLOOKUP(G1732, Vöruskrá!A:A, Vöruskrá!G:G, "")), ""), IF(F1732 = "Réttur", IFERROR(_xlfn.SINGLE(_xlfn.XLOOKUP(G1732, Réttabanki!A:A, Réttabanki!AU:AU, "")), ""), "")))</f>
        <v/>
      </c>
      <c r="O1732" s="26" t="str">
        <f>IF(OR(F1732 = "", G1732 = "", I1732 = ""), "", IF(F1732 = "Vara", IFERROR(_xlfn.SINGLE(_xlfn.XLOOKUP(G1732, Vöruskrá!A:A, Vöruskrá!I:I, "")) * I1732 / 100, ""), IF(F1732 = "Réttur", IFERROR(_xlfn.SINGLE(_xlfn.XLOOKUP(G1732, Réttabanki!A:A, Réttabanki!AV:AV, "")) * I1732 / 100, ""), "")))</f>
        <v/>
      </c>
      <c r="P1732" s="26" t="str">
        <f>IF(OR(F1732 = "", G1732 = "", I1732 = ""), "", IF(F1732 = "Vara", IFERROR(_xlfn.SINGLE(_xlfn.XLOOKUP(G1732, Vöruskrá!A:A, Vöruskrá!J:J, "")) * I1732 / 100, ""), IF(F1732 = "Réttur", IFERROR(_xlfn.SINGLE(_xlfn.XLOOKUP(G1732, Réttabanki!A:A, Réttabanki!AW:AW, "")) * I1732 / 100, ""), "")))</f>
        <v/>
      </c>
      <c r="Q1732" s="26" t="str">
        <f>IF(OR(F1732 = "", G1732 = "", I1732 = ""), "", IF(F1732 = "Vara", IFERROR(_xlfn.SINGLE(_xlfn.XLOOKUP(G1732, Vöruskrá!A:A, Vöruskrá!N:N, "")) * I1732 / 100, ""), IF(F1732 = "Réttur", IFERROR(_xlfn.SINGLE(_xlfn.XLOOKUP(G1732, Réttabanki!A:A, Réttabanki!BB:BB, "")) * I1732 / 100, ""), "")))</f>
        <v/>
      </c>
    </row>
    <row r="1733" spans="2:17">
      <c r="B1733" s="33" t="str">
        <f>IF(A1733&lt;&gt;"",CHOOSE(WEEKDAY(A1733,2),"Mánudagur","Þriðjudagur","Miðvikudagur","Fimmtudagur","Föstudagur","Laugardagur","Sunnudagur"),IF(B1732&lt;&gt;"",B1732,""))</f>
        <v>Fimmtudagur</v>
      </c>
      <c r="C1733" s="33">
        <f>IF(A1733&lt;&gt;"",WEEKNUM(A1733,21),IF(C1732&lt;&gt;"",C1732,""))</f>
        <v>27</v>
      </c>
      <c r="D1733" s="34"/>
      <c r="E1733" s="34"/>
      <c r="F1733" s="34"/>
      <c r="G1733" s="34"/>
      <c r="H1733" s="34"/>
      <c r="I1733" s="35"/>
      <c r="J1733" s="35"/>
      <c r="K1733" s="36"/>
      <c r="L1733" s="26" t="str">
        <f>IF(OR(F1733 = "", G1733 = ""), "", IF(F1733 = "Vara", IFERROR(_xlfn.SINGLE(_xlfn.XLOOKUP(G1733, Vöruskrá!A:A, Vöruskrá!E:E, "")), ""), IF(F1733 = "Réttur", IFERROR(_xlfn.SINGLE(_xlfn.XLOOKUP(G1733, Réttabanki!A:A, Réttabanki!AS:AS, "")), ""), "")))</f>
        <v/>
      </c>
      <c r="M1733" s="26" t="str">
        <f>IF(OR(F1733 = "", G1733 = ""), "", IF(F1733 = "Vara", IFERROR(_xlfn.SINGLE(_xlfn.XLOOKUP(G1733, Vöruskrá!A:A, Vöruskrá!F:F, "")), ""), IF(F1733 = "Réttur", IFERROR(_xlfn.SINGLE(_xlfn.XLOOKUP(G1733, Réttabanki!A:A, Réttabanki!AT:AT, "")), ""), "")))</f>
        <v/>
      </c>
      <c r="N1733" s="26" t="str">
        <f>IF(OR(F1733 = "", G1733 = ""), "", IF(F1733 = "Vara", IFERROR(_xlfn.SINGLE(_xlfn.XLOOKUP(G1733, Vöruskrá!A:A, Vöruskrá!G:G, "")), ""), IF(F1733 = "Réttur", IFERROR(_xlfn.SINGLE(_xlfn.XLOOKUP(G1733, Réttabanki!A:A, Réttabanki!AU:AU, "")), ""), "")))</f>
        <v/>
      </c>
      <c r="O1733" s="26" t="str">
        <f>IF(OR(F1733 = "", G1733 = "", I1733 = ""), "", IF(F1733 = "Vara", IFERROR(_xlfn.SINGLE(_xlfn.XLOOKUP(G1733, Vöruskrá!A:A, Vöruskrá!I:I, "")) * I1733 / 100, ""), IF(F1733 = "Réttur", IFERROR(_xlfn.SINGLE(_xlfn.XLOOKUP(G1733, Réttabanki!A:A, Réttabanki!AV:AV, "")) * I1733 / 100, ""), "")))</f>
        <v/>
      </c>
      <c r="P1733" s="26" t="str">
        <f>IF(OR(F1733 = "", G1733 = "", I1733 = ""), "", IF(F1733 = "Vara", IFERROR(_xlfn.SINGLE(_xlfn.XLOOKUP(G1733, Vöruskrá!A:A, Vöruskrá!J:J, "")) * I1733 / 100, ""), IF(F1733 = "Réttur", IFERROR(_xlfn.SINGLE(_xlfn.XLOOKUP(G1733, Réttabanki!A:A, Réttabanki!AW:AW, "")) * I1733 / 100, ""), "")))</f>
        <v/>
      </c>
      <c r="Q1733" s="26" t="str">
        <f>IF(OR(F1733 = "", G1733 = "", I1733 = ""), "", IF(F1733 = "Vara", IFERROR(_xlfn.SINGLE(_xlfn.XLOOKUP(G1733, Vöruskrá!A:A, Vöruskrá!N:N, "")) * I1733 / 100, ""), IF(F1733 = "Réttur", IFERROR(_xlfn.SINGLE(_xlfn.XLOOKUP(G1733, Réttabanki!A:A, Réttabanki!BB:BB, "")) * I1733 / 100, ""), "")))</f>
        <v/>
      </c>
    </row>
    <row r="1734" spans="2:17">
      <c r="B1734" s="33" t="str">
        <f>IF(A1734&lt;&gt;"",CHOOSE(WEEKDAY(A1734,2),"Mánudagur","Þriðjudagur","Miðvikudagur","Fimmtudagur","Föstudagur","Laugardagur","Sunnudagur"),IF(B1733&lt;&gt;"",B1733,""))</f>
        <v>Fimmtudagur</v>
      </c>
      <c r="C1734" s="33">
        <f>IF(A1734&lt;&gt;"",WEEKNUM(A1734,21),IF(C1733&lt;&gt;"",C1733,""))</f>
        <v>27</v>
      </c>
      <c r="D1734" s="34"/>
      <c r="E1734" s="34"/>
      <c r="F1734" s="34"/>
      <c r="G1734" s="34"/>
      <c r="H1734" s="34"/>
      <c r="I1734" s="35"/>
      <c r="J1734" s="35"/>
      <c r="K1734" s="36"/>
      <c r="L1734" s="26" t="str">
        <f>IF(OR(F1734 = "", G1734 = ""), "", IF(F1734 = "Vara", IFERROR(_xlfn.SINGLE(_xlfn.XLOOKUP(G1734, Vöruskrá!A:A, Vöruskrá!E:E, "")), ""), IF(F1734 = "Réttur", IFERROR(_xlfn.SINGLE(_xlfn.XLOOKUP(G1734, Réttabanki!A:A, Réttabanki!AS:AS, "")), ""), "")))</f>
        <v/>
      </c>
      <c r="M1734" s="26" t="str">
        <f>IF(OR(F1734 = "", G1734 = ""), "", IF(F1734 = "Vara", IFERROR(_xlfn.SINGLE(_xlfn.XLOOKUP(G1734, Vöruskrá!A:A, Vöruskrá!F:F, "")), ""), IF(F1734 = "Réttur", IFERROR(_xlfn.SINGLE(_xlfn.XLOOKUP(G1734, Réttabanki!A:A, Réttabanki!AT:AT, "")), ""), "")))</f>
        <v/>
      </c>
      <c r="N1734" s="26" t="str">
        <f>IF(OR(F1734 = "", G1734 = ""), "", IF(F1734 = "Vara", IFERROR(_xlfn.SINGLE(_xlfn.XLOOKUP(G1734, Vöruskrá!A:A, Vöruskrá!G:G, "")), ""), IF(F1734 = "Réttur", IFERROR(_xlfn.SINGLE(_xlfn.XLOOKUP(G1734, Réttabanki!A:A, Réttabanki!AU:AU, "")), ""), "")))</f>
        <v/>
      </c>
      <c r="O1734" s="26" t="str">
        <f>IF(OR(F1734 = "", G1734 = "", I1734 = ""), "", IF(F1734 = "Vara", IFERROR(_xlfn.SINGLE(_xlfn.XLOOKUP(G1734, Vöruskrá!A:A, Vöruskrá!I:I, "")) * I1734 / 100, ""), IF(F1734 = "Réttur", IFERROR(_xlfn.SINGLE(_xlfn.XLOOKUP(G1734, Réttabanki!A:A, Réttabanki!AV:AV, "")) * I1734 / 100, ""), "")))</f>
        <v/>
      </c>
      <c r="P1734" s="26" t="str">
        <f>IF(OR(F1734 = "", G1734 = "", I1734 = ""), "", IF(F1734 = "Vara", IFERROR(_xlfn.SINGLE(_xlfn.XLOOKUP(G1734, Vöruskrá!A:A, Vöruskrá!J:J, "")) * I1734 / 100, ""), IF(F1734 = "Réttur", IFERROR(_xlfn.SINGLE(_xlfn.XLOOKUP(G1734, Réttabanki!A:A, Réttabanki!AW:AW, "")) * I1734 / 100, ""), "")))</f>
        <v/>
      </c>
      <c r="Q1734" s="26" t="str">
        <f>IF(OR(F1734 = "", G1734 = "", I1734 = ""), "", IF(F1734 = "Vara", IFERROR(_xlfn.SINGLE(_xlfn.XLOOKUP(G1734, Vöruskrá!A:A, Vöruskrá!N:N, "")) * I1734 / 100, ""), IF(F1734 = "Réttur", IFERROR(_xlfn.SINGLE(_xlfn.XLOOKUP(G1734, Réttabanki!A:A, Réttabanki!BB:BB, "")) * I1734 / 100, ""), "")))</f>
        <v/>
      </c>
    </row>
    <row r="1735" spans="2:17">
      <c r="B1735" s="33" t="str">
        <f>IF(A1735&lt;&gt;"",CHOOSE(WEEKDAY(A1735,2),"Mánudagur","Þriðjudagur","Miðvikudagur","Fimmtudagur","Föstudagur","Laugardagur","Sunnudagur"),IF(B1734&lt;&gt;"",B1734,""))</f>
        <v>Fimmtudagur</v>
      </c>
      <c r="C1735" s="33">
        <f>IF(A1735&lt;&gt;"",WEEKNUM(A1735,21),IF(C1734&lt;&gt;"",C1734,""))</f>
        <v>27</v>
      </c>
      <c r="D1735" s="34"/>
      <c r="E1735" s="34"/>
      <c r="F1735" s="34"/>
      <c r="G1735" s="34"/>
      <c r="H1735" s="34"/>
      <c r="I1735" s="35"/>
      <c r="J1735" s="35"/>
      <c r="K1735" s="36"/>
      <c r="L1735" s="26" t="str">
        <f>IF(OR(F1735 = "", G1735 = ""), "", IF(F1735 = "Vara", IFERROR(_xlfn.SINGLE(_xlfn.XLOOKUP(G1735, Vöruskrá!A:A, Vöruskrá!E:E, "")), ""), IF(F1735 = "Réttur", IFERROR(_xlfn.SINGLE(_xlfn.XLOOKUP(G1735, Réttabanki!A:A, Réttabanki!AS:AS, "")), ""), "")))</f>
        <v/>
      </c>
      <c r="M1735" s="26" t="str">
        <f>IF(OR(F1735 = "", G1735 = ""), "", IF(F1735 = "Vara", IFERROR(_xlfn.SINGLE(_xlfn.XLOOKUP(G1735, Vöruskrá!A:A, Vöruskrá!F:F, "")), ""), IF(F1735 = "Réttur", IFERROR(_xlfn.SINGLE(_xlfn.XLOOKUP(G1735, Réttabanki!A:A, Réttabanki!AT:AT, "")), ""), "")))</f>
        <v/>
      </c>
      <c r="N1735" s="26" t="str">
        <f>IF(OR(F1735 = "", G1735 = ""), "", IF(F1735 = "Vara", IFERROR(_xlfn.SINGLE(_xlfn.XLOOKUP(G1735, Vöruskrá!A:A, Vöruskrá!G:G, "")), ""), IF(F1735 = "Réttur", IFERROR(_xlfn.SINGLE(_xlfn.XLOOKUP(G1735, Réttabanki!A:A, Réttabanki!AU:AU, "")), ""), "")))</f>
        <v/>
      </c>
      <c r="O1735" s="26" t="str">
        <f>IF(OR(F1735 = "", G1735 = "", I1735 = ""), "", IF(F1735 = "Vara", IFERROR(_xlfn.SINGLE(_xlfn.XLOOKUP(G1735, Vöruskrá!A:A, Vöruskrá!I:I, "")) * I1735 / 100, ""), IF(F1735 = "Réttur", IFERROR(_xlfn.SINGLE(_xlfn.XLOOKUP(G1735, Réttabanki!A:A, Réttabanki!AV:AV, "")) * I1735 / 100, ""), "")))</f>
        <v/>
      </c>
      <c r="P1735" s="26" t="str">
        <f>IF(OR(F1735 = "", G1735 = "", I1735 = ""), "", IF(F1735 = "Vara", IFERROR(_xlfn.SINGLE(_xlfn.XLOOKUP(G1735, Vöruskrá!A:A, Vöruskrá!J:J, "")) * I1735 / 100, ""), IF(F1735 = "Réttur", IFERROR(_xlfn.SINGLE(_xlfn.XLOOKUP(G1735, Réttabanki!A:A, Réttabanki!AW:AW, "")) * I1735 / 100, ""), "")))</f>
        <v/>
      </c>
      <c r="Q1735" s="26" t="str">
        <f>IF(OR(F1735 = "", G1735 = "", I1735 = ""), "", IF(F1735 = "Vara", IFERROR(_xlfn.SINGLE(_xlfn.XLOOKUP(G1735, Vöruskrá!A:A, Vöruskrá!N:N, "")) * I1735 / 100, ""), IF(F1735 = "Réttur", IFERROR(_xlfn.SINGLE(_xlfn.XLOOKUP(G1735, Réttabanki!A:A, Réttabanki!BB:BB, "")) * I1735 / 100, ""), "")))</f>
        <v/>
      </c>
    </row>
    <row r="1736" spans="2:17">
      <c r="B1736" s="33" t="str">
        <f>IF(A1736&lt;&gt;"",CHOOSE(WEEKDAY(A1736,2),"Mánudagur","Þriðjudagur","Miðvikudagur","Fimmtudagur","Föstudagur","Laugardagur","Sunnudagur"),IF(B1735&lt;&gt;"",B1735,""))</f>
        <v>Fimmtudagur</v>
      </c>
      <c r="C1736" s="33">
        <f>IF(A1736&lt;&gt;"",WEEKNUM(A1736,21),IF(C1735&lt;&gt;"",C1735,""))</f>
        <v>27</v>
      </c>
      <c r="D1736" s="34"/>
      <c r="E1736" s="34"/>
      <c r="F1736" s="34"/>
      <c r="G1736" s="34"/>
      <c r="H1736" s="34"/>
      <c r="I1736" s="35"/>
      <c r="J1736" s="35"/>
      <c r="K1736" s="36"/>
      <c r="L1736" s="26" t="str">
        <f>IF(OR(F1736 = "", G1736 = ""), "", IF(F1736 = "Vara", IFERROR(_xlfn.SINGLE(_xlfn.XLOOKUP(G1736, Vöruskrá!A:A, Vöruskrá!E:E, "")), ""), IF(F1736 = "Réttur", IFERROR(_xlfn.SINGLE(_xlfn.XLOOKUP(G1736, Réttabanki!A:A, Réttabanki!AS:AS, "")), ""), "")))</f>
        <v/>
      </c>
      <c r="M1736" s="26" t="str">
        <f>IF(OR(F1736 = "", G1736 = ""), "", IF(F1736 = "Vara", IFERROR(_xlfn.SINGLE(_xlfn.XLOOKUP(G1736, Vöruskrá!A:A, Vöruskrá!F:F, "")), ""), IF(F1736 = "Réttur", IFERROR(_xlfn.SINGLE(_xlfn.XLOOKUP(G1736, Réttabanki!A:A, Réttabanki!AT:AT, "")), ""), "")))</f>
        <v/>
      </c>
      <c r="N1736" s="26" t="str">
        <f>IF(OR(F1736 = "", G1736 = ""), "", IF(F1736 = "Vara", IFERROR(_xlfn.SINGLE(_xlfn.XLOOKUP(G1736, Vöruskrá!A:A, Vöruskrá!G:G, "")), ""), IF(F1736 = "Réttur", IFERROR(_xlfn.SINGLE(_xlfn.XLOOKUP(G1736, Réttabanki!A:A, Réttabanki!AU:AU, "")), ""), "")))</f>
        <v/>
      </c>
      <c r="O1736" s="26" t="str">
        <f>IF(OR(F1736 = "", G1736 = "", I1736 = ""), "", IF(F1736 = "Vara", IFERROR(_xlfn.SINGLE(_xlfn.XLOOKUP(G1736, Vöruskrá!A:A, Vöruskrá!I:I, "")) * I1736 / 100, ""), IF(F1736 = "Réttur", IFERROR(_xlfn.SINGLE(_xlfn.XLOOKUP(G1736, Réttabanki!A:A, Réttabanki!AV:AV, "")) * I1736 / 100, ""), "")))</f>
        <v/>
      </c>
      <c r="P1736" s="26" t="str">
        <f>IF(OR(F1736 = "", G1736 = "", I1736 = ""), "", IF(F1736 = "Vara", IFERROR(_xlfn.SINGLE(_xlfn.XLOOKUP(G1736, Vöruskrá!A:A, Vöruskrá!J:J, "")) * I1736 / 100, ""), IF(F1736 = "Réttur", IFERROR(_xlfn.SINGLE(_xlfn.XLOOKUP(G1736, Réttabanki!A:A, Réttabanki!AW:AW, "")) * I1736 / 100, ""), "")))</f>
        <v/>
      </c>
      <c r="Q1736" s="26" t="str">
        <f>IF(OR(F1736 = "", G1736 = "", I1736 = ""), "", IF(F1736 = "Vara", IFERROR(_xlfn.SINGLE(_xlfn.XLOOKUP(G1736, Vöruskrá!A:A, Vöruskrá!N:N, "")) * I1736 / 100, ""), IF(F1736 = "Réttur", IFERROR(_xlfn.SINGLE(_xlfn.XLOOKUP(G1736, Réttabanki!A:A, Réttabanki!BB:BB, "")) * I1736 / 100, ""), "")))</f>
        <v/>
      </c>
    </row>
    <row r="1737" spans="2:17">
      <c r="B1737" s="33" t="str">
        <f>IF(A1737&lt;&gt;"",CHOOSE(WEEKDAY(A1737,2),"Mánudagur","Þriðjudagur","Miðvikudagur","Fimmtudagur","Föstudagur","Laugardagur","Sunnudagur"),IF(B1736&lt;&gt;"",B1736,""))</f>
        <v>Fimmtudagur</v>
      </c>
      <c r="C1737" s="33">
        <f>IF(A1737&lt;&gt;"",WEEKNUM(A1737,21),IF(C1736&lt;&gt;"",C1736,""))</f>
        <v>27</v>
      </c>
      <c r="D1737" s="34"/>
      <c r="E1737" s="34"/>
      <c r="F1737" s="34"/>
      <c r="G1737" s="34"/>
      <c r="H1737" s="34"/>
      <c r="I1737" s="35"/>
      <c r="J1737" s="35"/>
      <c r="K1737" s="36"/>
      <c r="L1737" s="26" t="str">
        <f>IF(OR(F1737 = "", G1737 = ""), "", IF(F1737 = "Vara", IFERROR(_xlfn.SINGLE(_xlfn.XLOOKUP(G1737, Vöruskrá!A:A, Vöruskrá!E:E, "")), ""), IF(F1737 = "Réttur", IFERROR(_xlfn.SINGLE(_xlfn.XLOOKUP(G1737, Réttabanki!A:A, Réttabanki!AS:AS, "")), ""), "")))</f>
        <v/>
      </c>
      <c r="M1737" s="26" t="str">
        <f>IF(OR(F1737 = "", G1737 = ""), "", IF(F1737 = "Vara", IFERROR(_xlfn.SINGLE(_xlfn.XLOOKUP(G1737, Vöruskrá!A:A, Vöruskrá!F:F, "")), ""), IF(F1737 = "Réttur", IFERROR(_xlfn.SINGLE(_xlfn.XLOOKUP(G1737, Réttabanki!A:A, Réttabanki!AT:AT, "")), ""), "")))</f>
        <v/>
      </c>
      <c r="N1737" s="26" t="str">
        <f>IF(OR(F1737 = "", G1737 = ""), "", IF(F1737 = "Vara", IFERROR(_xlfn.SINGLE(_xlfn.XLOOKUP(G1737, Vöruskrá!A:A, Vöruskrá!G:G, "")), ""), IF(F1737 = "Réttur", IFERROR(_xlfn.SINGLE(_xlfn.XLOOKUP(G1737, Réttabanki!A:A, Réttabanki!AU:AU, "")), ""), "")))</f>
        <v/>
      </c>
      <c r="O1737" s="26" t="str">
        <f>IF(OR(F1737 = "", G1737 = "", I1737 = ""), "", IF(F1737 = "Vara", IFERROR(_xlfn.SINGLE(_xlfn.XLOOKUP(G1737, Vöruskrá!A:A, Vöruskrá!I:I, "")) * I1737 / 100, ""), IF(F1737 = "Réttur", IFERROR(_xlfn.SINGLE(_xlfn.XLOOKUP(G1737, Réttabanki!A:A, Réttabanki!AV:AV, "")) * I1737 / 100, ""), "")))</f>
        <v/>
      </c>
      <c r="P1737" s="26" t="str">
        <f>IF(OR(F1737 = "", G1737 = "", I1737 = ""), "", IF(F1737 = "Vara", IFERROR(_xlfn.SINGLE(_xlfn.XLOOKUP(G1737, Vöruskrá!A:A, Vöruskrá!J:J, "")) * I1737 / 100, ""), IF(F1737 = "Réttur", IFERROR(_xlfn.SINGLE(_xlfn.XLOOKUP(G1737, Réttabanki!A:A, Réttabanki!AW:AW, "")) * I1737 / 100, ""), "")))</f>
        <v/>
      </c>
      <c r="Q1737" s="26" t="str">
        <f>IF(OR(F1737 = "", G1737 = "", I1737 = ""), "", IF(F1737 = "Vara", IFERROR(_xlfn.SINGLE(_xlfn.XLOOKUP(G1737, Vöruskrá!A:A, Vöruskrá!N:N, "")) * I1737 / 100, ""), IF(F1737 = "Réttur", IFERROR(_xlfn.SINGLE(_xlfn.XLOOKUP(G1737, Réttabanki!A:A, Réttabanki!BB:BB, "")) * I1737 / 100, ""), "")))</f>
        <v/>
      </c>
    </row>
    <row r="1738" spans="2:17">
      <c r="B1738" s="33" t="str">
        <f>IF(A1738&lt;&gt;"",CHOOSE(WEEKDAY(A1738,2),"Mánudagur","Þriðjudagur","Miðvikudagur","Fimmtudagur","Föstudagur","Laugardagur","Sunnudagur"),IF(B1737&lt;&gt;"",B1737,""))</f>
        <v>Fimmtudagur</v>
      </c>
      <c r="C1738" s="33">
        <f>IF(A1738&lt;&gt;"",WEEKNUM(A1738,21),IF(C1737&lt;&gt;"",C1737,""))</f>
        <v>27</v>
      </c>
      <c r="D1738" s="34"/>
      <c r="E1738" s="34"/>
      <c r="F1738" s="34"/>
      <c r="G1738" s="34"/>
      <c r="H1738" s="34"/>
      <c r="I1738" s="35"/>
      <c r="J1738" s="35"/>
      <c r="K1738" s="36"/>
      <c r="L1738" s="26" t="str">
        <f>IF(OR(F1738 = "", G1738 = ""), "", IF(F1738 = "Vara", IFERROR(_xlfn.SINGLE(_xlfn.XLOOKUP(G1738, Vöruskrá!A:A, Vöruskrá!E:E, "")), ""), IF(F1738 = "Réttur", IFERROR(_xlfn.SINGLE(_xlfn.XLOOKUP(G1738, Réttabanki!A:A, Réttabanki!AS:AS, "")), ""), "")))</f>
        <v/>
      </c>
      <c r="M1738" s="26" t="str">
        <f>IF(OR(F1738 = "", G1738 = ""), "", IF(F1738 = "Vara", IFERROR(_xlfn.SINGLE(_xlfn.XLOOKUP(G1738, Vöruskrá!A:A, Vöruskrá!F:F, "")), ""), IF(F1738 = "Réttur", IFERROR(_xlfn.SINGLE(_xlfn.XLOOKUP(G1738, Réttabanki!A:A, Réttabanki!AT:AT, "")), ""), "")))</f>
        <v/>
      </c>
      <c r="N1738" s="26" t="str">
        <f>IF(OR(F1738 = "", G1738 = ""), "", IF(F1738 = "Vara", IFERROR(_xlfn.SINGLE(_xlfn.XLOOKUP(G1738, Vöruskrá!A:A, Vöruskrá!G:G, "")), ""), IF(F1738 = "Réttur", IFERROR(_xlfn.SINGLE(_xlfn.XLOOKUP(G1738, Réttabanki!A:A, Réttabanki!AU:AU, "")), ""), "")))</f>
        <v/>
      </c>
      <c r="O1738" s="26" t="str">
        <f>IF(OR(F1738 = "", G1738 = "", I1738 = ""), "", IF(F1738 = "Vara", IFERROR(_xlfn.SINGLE(_xlfn.XLOOKUP(G1738, Vöruskrá!A:A, Vöruskrá!I:I, "")) * I1738 / 100, ""), IF(F1738 = "Réttur", IFERROR(_xlfn.SINGLE(_xlfn.XLOOKUP(G1738, Réttabanki!A:A, Réttabanki!AV:AV, "")) * I1738 / 100, ""), "")))</f>
        <v/>
      </c>
      <c r="P1738" s="26" t="str">
        <f>IF(OR(F1738 = "", G1738 = "", I1738 = ""), "", IF(F1738 = "Vara", IFERROR(_xlfn.SINGLE(_xlfn.XLOOKUP(G1738, Vöruskrá!A:A, Vöruskrá!J:J, "")) * I1738 / 100, ""), IF(F1738 = "Réttur", IFERROR(_xlfn.SINGLE(_xlfn.XLOOKUP(G1738, Réttabanki!A:A, Réttabanki!AW:AW, "")) * I1738 / 100, ""), "")))</f>
        <v/>
      </c>
      <c r="Q1738" s="26" t="str">
        <f>IF(OR(F1738 = "", G1738 = "", I1738 = ""), "", IF(F1738 = "Vara", IFERROR(_xlfn.SINGLE(_xlfn.XLOOKUP(G1738, Vöruskrá!A:A, Vöruskrá!N:N, "")) * I1738 / 100, ""), IF(F1738 = "Réttur", IFERROR(_xlfn.SINGLE(_xlfn.XLOOKUP(G1738, Réttabanki!A:A, Réttabanki!BB:BB, "")) * I1738 / 100, ""), "")))</f>
        <v/>
      </c>
    </row>
    <row r="1739" spans="2:17">
      <c r="B1739" s="33" t="str">
        <f>IF(A1739&lt;&gt;"",CHOOSE(WEEKDAY(A1739,2),"Mánudagur","Þriðjudagur","Miðvikudagur","Fimmtudagur","Föstudagur","Laugardagur","Sunnudagur"),IF(B1738&lt;&gt;"",B1738,""))</f>
        <v>Fimmtudagur</v>
      </c>
      <c r="C1739" s="33">
        <f>IF(A1739&lt;&gt;"",WEEKNUM(A1739,21),IF(C1738&lt;&gt;"",C1738,""))</f>
        <v>27</v>
      </c>
      <c r="D1739" s="34"/>
      <c r="E1739" s="34"/>
      <c r="F1739" s="34"/>
      <c r="G1739" s="34"/>
      <c r="H1739" s="34"/>
      <c r="I1739" s="35"/>
      <c r="J1739" s="35"/>
      <c r="K1739" s="36"/>
      <c r="L1739" s="26" t="str">
        <f>IF(OR(F1739 = "", G1739 = ""), "", IF(F1739 = "Vara", IFERROR(_xlfn.SINGLE(_xlfn.XLOOKUP(G1739, Vöruskrá!A:A, Vöruskrá!E:E, "")), ""), IF(F1739 = "Réttur", IFERROR(_xlfn.SINGLE(_xlfn.XLOOKUP(G1739, Réttabanki!A:A, Réttabanki!AS:AS, "")), ""), "")))</f>
        <v/>
      </c>
      <c r="M1739" s="26" t="str">
        <f>IF(OR(F1739 = "", G1739 = ""), "", IF(F1739 = "Vara", IFERROR(_xlfn.SINGLE(_xlfn.XLOOKUP(G1739, Vöruskrá!A:A, Vöruskrá!F:F, "")), ""), IF(F1739 = "Réttur", IFERROR(_xlfn.SINGLE(_xlfn.XLOOKUP(G1739, Réttabanki!A:A, Réttabanki!AT:AT, "")), ""), "")))</f>
        <v/>
      </c>
      <c r="N1739" s="26" t="str">
        <f>IF(OR(F1739 = "", G1739 = ""), "", IF(F1739 = "Vara", IFERROR(_xlfn.SINGLE(_xlfn.XLOOKUP(G1739, Vöruskrá!A:A, Vöruskrá!G:G, "")), ""), IF(F1739 = "Réttur", IFERROR(_xlfn.SINGLE(_xlfn.XLOOKUP(G1739, Réttabanki!A:A, Réttabanki!AU:AU, "")), ""), "")))</f>
        <v/>
      </c>
      <c r="O1739" s="26" t="str">
        <f>IF(OR(F1739 = "", G1739 = "", I1739 = ""), "", IF(F1739 = "Vara", IFERROR(_xlfn.SINGLE(_xlfn.XLOOKUP(G1739, Vöruskrá!A:A, Vöruskrá!I:I, "")) * I1739 / 100, ""), IF(F1739 = "Réttur", IFERROR(_xlfn.SINGLE(_xlfn.XLOOKUP(G1739, Réttabanki!A:A, Réttabanki!AV:AV, "")) * I1739 / 100, ""), "")))</f>
        <v/>
      </c>
      <c r="P1739" s="26" t="str">
        <f>IF(OR(F1739 = "", G1739 = "", I1739 = ""), "", IF(F1739 = "Vara", IFERROR(_xlfn.SINGLE(_xlfn.XLOOKUP(G1739, Vöruskrá!A:A, Vöruskrá!J:J, "")) * I1739 / 100, ""), IF(F1739 = "Réttur", IFERROR(_xlfn.SINGLE(_xlfn.XLOOKUP(G1739, Réttabanki!A:A, Réttabanki!AW:AW, "")) * I1739 / 100, ""), "")))</f>
        <v/>
      </c>
      <c r="Q1739" s="26" t="str">
        <f>IF(OR(F1739 = "", G1739 = "", I1739 = ""), "", IF(F1739 = "Vara", IFERROR(_xlfn.SINGLE(_xlfn.XLOOKUP(G1739, Vöruskrá!A:A, Vöruskrá!N:N, "")) * I1739 / 100, ""), IF(F1739 = "Réttur", IFERROR(_xlfn.SINGLE(_xlfn.XLOOKUP(G1739, Réttabanki!A:A, Réttabanki!BB:BB, "")) * I1739 / 100, ""), "")))</f>
        <v/>
      </c>
    </row>
    <row r="1740" spans="2:17">
      <c r="B1740" s="33" t="str">
        <f>IF(A1740&lt;&gt;"",CHOOSE(WEEKDAY(A1740,2),"Mánudagur","Þriðjudagur","Miðvikudagur","Fimmtudagur","Föstudagur","Laugardagur","Sunnudagur"),IF(B1739&lt;&gt;"",B1739,""))</f>
        <v>Fimmtudagur</v>
      </c>
      <c r="C1740" s="33">
        <f>IF(A1740&lt;&gt;"",WEEKNUM(A1740,21),IF(C1739&lt;&gt;"",C1739,""))</f>
        <v>27</v>
      </c>
      <c r="D1740" s="34"/>
      <c r="E1740" s="34"/>
      <c r="F1740" s="34"/>
      <c r="G1740" s="34"/>
      <c r="H1740" s="34"/>
      <c r="I1740" s="35"/>
      <c r="J1740" s="35"/>
      <c r="K1740" s="36"/>
      <c r="L1740" s="26" t="str">
        <f>IF(OR(F1740 = "", G1740 = ""), "", IF(F1740 = "Vara", IFERROR(_xlfn.SINGLE(_xlfn.XLOOKUP(G1740, Vöruskrá!A:A, Vöruskrá!E:E, "")), ""), IF(F1740 = "Réttur", IFERROR(_xlfn.SINGLE(_xlfn.XLOOKUP(G1740, Réttabanki!A:A, Réttabanki!AS:AS, "")), ""), "")))</f>
        <v/>
      </c>
      <c r="M1740" s="26" t="str">
        <f>IF(OR(F1740 = "", G1740 = ""), "", IF(F1740 = "Vara", IFERROR(_xlfn.SINGLE(_xlfn.XLOOKUP(G1740, Vöruskrá!A:A, Vöruskrá!F:F, "")), ""), IF(F1740 = "Réttur", IFERROR(_xlfn.SINGLE(_xlfn.XLOOKUP(G1740, Réttabanki!A:A, Réttabanki!AT:AT, "")), ""), "")))</f>
        <v/>
      </c>
      <c r="N1740" s="26" t="str">
        <f>IF(OR(F1740 = "", G1740 = ""), "", IF(F1740 = "Vara", IFERROR(_xlfn.SINGLE(_xlfn.XLOOKUP(G1740, Vöruskrá!A:A, Vöruskrá!G:G, "")), ""), IF(F1740 = "Réttur", IFERROR(_xlfn.SINGLE(_xlfn.XLOOKUP(G1740, Réttabanki!A:A, Réttabanki!AU:AU, "")), ""), "")))</f>
        <v/>
      </c>
      <c r="O1740" s="26" t="str">
        <f>IF(OR(F1740 = "", G1740 = "", I1740 = ""), "", IF(F1740 = "Vara", IFERROR(_xlfn.SINGLE(_xlfn.XLOOKUP(G1740, Vöruskrá!A:A, Vöruskrá!I:I, "")) * I1740 / 100, ""), IF(F1740 = "Réttur", IFERROR(_xlfn.SINGLE(_xlfn.XLOOKUP(G1740, Réttabanki!A:A, Réttabanki!AV:AV, "")) * I1740 / 100, ""), "")))</f>
        <v/>
      </c>
      <c r="P1740" s="26" t="str">
        <f>IF(OR(F1740 = "", G1740 = "", I1740 = ""), "", IF(F1740 = "Vara", IFERROR(_xlfn.SINGLE(_xlfn.XLOOKUP(G1740, Vöruskrá!A:A, Vöruskrá!J:J, "")) * I1740 / 100, ""), IF(F1740 = "Réttur", IFERROR(_xlfn.SINGLE(_xlfn.XLOOKUP(G1740, Réttabanki!A:A, Réttabanki!AW:AW, "")) * I1740 / 100, ""), "")))</f>
        <v/>
      </c>
      <c r="Q1740" s="26" t="str">
        <f>IF(OR(F1740 = "", G1740 = "", I1740 = ""), "", IF(F1740 = "Vara", IFERROR(_xlfn.SINGLE(_xlfn.XLOOKUP(G1740, Vöruskrá!A:A, Vöruskrá!N:N, "")) * I1740 / 100, ""), IF(F1740 = "Réttur", IFERROR(_xlfn.SINGLE(_xlfn.XLOOKUP(G1740, Réttabanki!A:A, Réttabanki!BB:BB, "")) * I1740 / 100, ""), "")))</f>
        <v/>
      </c>
    </row>
    <row r="1741" spans="2:17">
      <c r="B1741" s="33" t="str">
        <f>IF(A1741&lt;&gt;"",CHOOSE(WEEKDAY(A1741,2),"Mánudagur","Þriðjudagur","Miðvikudagur","Fimmtudagur","Föstudagur","Laugardagur","Sunnudagur"),IF(B1740&lt;&gt;"",B1740,""))</f>
        <v>Fimmtudagur</v>
      </c>
      <c r="C1741" s="33">
        <f>IF(A1741&lt;&gt;"",WEEKNUM(A1741,21),IF(C1740&lt;&gt;"",C1740,""))</f>
        <v>27</v>
      </c>
      <c r="D1741" s="34"/>
      <c r="E1741" s="34"/>
      <c r="F1741" s="34"/>
      <c r="G1741" s="34"/>
      <c r="H1741" s="34"/>
      <c r="I1741" s="35"/>
      <c r="J1741" s="35"/>
      <c r="K1741" s="36"/>
      <c r="L1741" s="26" t="str">
        <f>IF(OR(F1741 = "", G1741 = ""), "", IF(F1741 = "Vara", IFERROR(_xlfn.SINGLE(_xlfn.XLOOKUP(G1741, Vöruskrá!A:A, Vöruskrá!E:E, "")), ""), IF(F1741 = "Réttur", IFERROR(_xlfn.SINGLE(_xlfn.XLOOKUP(G1741, Réttabanki!A:A, Réttabanki!AS:AS, "")), ""), "")))</f>
        <v/>
      </c>
      <c r="M1741" s="26" t="str">
        <f>IF(OR(F1741 = "", G1741 = ""), "", IF(F1741 = "Vara", IFERROR(_xlfn.SINGLE(_xlfn.XLOOKUP(G1741, Vöruskrá!A:A, Vöruskrá!F:F, "")), ""), IF(F1741 = "Réttur", IFERROR(_xlfn.SINGLE(_xlfn.XLOOKUP(G1741, Réttabanki!A:A, Réttabanki!AT:AT, "")), ""), "")))</f>
        <v/>
      </c>
      <c r="N1741" s="26" t="str">
        <f>IF(OR(F1741 = "", G1741 = ""), "", IF(F1741 = "Vara", IFERROR(_xlfn.SINGLE(_xlfn.XLOOKUP(G1741, Vöruskrá!A:A, Vöruskrá!G:G, "")), ""), IF(F1741 = "Réttur", IFERROR(_xlfn.SINGLE(_xlfn.XLOOKUP(G1741, Réttabanki!A:A, Réttabanki!AU:AU, "")), ""), "")))</f>
        <v/>
      </c>
      <c r="O1741" s="26" t="str">
        <f>IF(OR(F1741 = "", G1741 = "", I1741 = ""), "", IF(F1741 = "Vara", IFERROR(_xlfn.SINGLE(_xlfn.XLOOKUP(G1741, Vöruskrá!A:A, Vöruskrá!I:I, "")) * I1741 / 100, ""), IF(F1741 = "Réttur", IFERROR(_xlfn.SINGLE(_xlfn.XLOOKUP(G1741, Réttabanki!A:A, Réttabanki!AV:AV, "")) * I1741 / 100, ""), "")))</f>
        <v/>
      </c>
      <c r="P1741" s="26" t="str">
        <f>IF(OR(F1741 = "", G1741 = "", I1741 = ""), "", IF(F1741 = "Vara", IFERROR(_xlfn.SINGLE(_xlfn.XLOOKUP(G1741, Vöruskrá!A:A, Vöruskrá!J:J, "")) * I1741 / 100, ""), IF(F1741 = "Réttur", IFERROR(_xlfn.SINGLE(_xlfn.XLOOKUP(G1741, Réttabanki!A:A, Réttabanki!AW:AW, "")) * I1741 / 100, ""), "")))</f>
        <v/>
      </c>
      <c r="Q1741" s="26" t="str">
        <f>IF(OR(F1741 = "", G1741 = "", I1741 = ""), "", IF(F1741 = "Vara", IFERROR(_xlfn.SINGLE(_xlfn.XLOOKUP(G1741, Vöruskrá!A:A, Vöruskrá!N:N, "")) * I1741 / 100, ""), IF(F1741 = "Réttur", IFERROR(_xlfn.SINGLE(_xlfn.XLOOKUP(G1741, Réttabanki!A:A, Réttabanki!BB:BB, "")) * I1741 / 100, ""), "")))</f>
        <v/>
      </c>
    </row>
    <row r="1742" spans="2:17">
      <c r="B1742" s="33" t="str">
        <f>IF(A1742&lt;&gt;"",CHOOSE(WEEKDAY(A1742,2),"Mánudagur","Þriðjudagur","Miðvikudagur","Fimmtudagur","Föstudagur","Laugardagur","Sunnudagur"),IF(B1741&lt;&gt;"",B1741,""))</f>
        <v>Fimmtudagur</v>
      </c>
      <c r="C1742" s="33">
        <f>IF(A1742&lt;&gt;"",WEEKNUM(A1742,21),IF(C1741&lt;&gt;"",C1741,""))</f>
        <v>27</v>
      </c>
      <c r="D1742" s="34"/>
      <c r="E1742" s="34"/>
      <c r="F1742" s="34"/>
      <c r="G1742" s="34"/>
      <c r="H1742" s="34"/>
      <c r="I1742" s="35"/>
      <c r="J1742" s="35"/>
      <c r="K1742" s="36"/>
      <c r="L1742" s="26" t="str">
        <f>IF(OR(F1742 = "", G1742 = ""), "", IF(F1742 = "Vara", IFERROR(_xlfn.SINGLE(_xlfn.XLOOKUP(G1742, Vöruskrá!A:A, Vöruskrá!E:E, "")), ""), IF(F1742 = "Réttur", IFERROR(_xlfn.SINGLE(_xlfn.XLOOKUP(G1742, Réttabanki!A:A, Réttabanki!AS:AS, "")), ""), "")))</f>
        <v/>
      </c>
      <c r="M1742" s="26" t="str">
        <f>IF(OR(F1742 = "", G1742 = ""), "", IF(F1742 = "Vara", IFERROR(_xlfn.SINGLE(_xlfn.XLOOKUP(G1742, Vöruskrá!A:A, Vöruskrá!F:F, "")), ""), IF(F1742 = "Réttur", IFERROR(_xlfn.SINGLE(_xlfn.XLOOKUP(G1742, Réttabanki!A:A, Réttabanki!AT:AT, "")), ""), "")))</f>
        <v/>
      </c>
      <c r="N1742" s="26" t="str">
        <f>IF(OR(F1742 = "", G1742 = ""), "", IF(F1742 = "Vara", IFERROR(_xlfn.SINGLE(_xlfn.XLOOKUP(G1742, Vöruskrá!A:A, Vöruskrá!G:G, "")), ""), IF(F1742 = "Réttur", IFERROR(_xlfn.SINGLE(_xlfn.XLOOKUP(G1742, Réttabanki!A:A, Réttabanki!AU:AU, "")), ""), "")))</f>
        <v/>
      </c>
      <c r="O1742" s="26" t="str">
        <f>IF(OR(F1742 = "", G1742 = "", I1742 = ""), "", IF(F1742 = "Vara", IFERROR(_xlfn.SINGLE(_xlfn.XLOOKUP(G1742, Vöruskrá!A:A, Vöruskrá!I:I, "")) * I1742 / 100, ""), IF(F1742 = "Réttur", IFERROR(_xlfn.SINGLE(_xlfn.XLOOKUP(G1742, Réttabanki!A:A, Réttabanki!AV:AV, "")) * I1742 / 100, ""), "")))</f>
        <v/>
      </c>
      <c r="P1742" s="26" t="str">
        <f>IF(OR(F1742 = "", G1742 = "", I1742 = ""), "", IF(F1742 = "Vara", IFERROR(_xlfn.SINGLE(_xlfn.XLOOKUP(G1742, Vöruskrá!A:A, Vöruskrá!J:J, "")) * I1742 / 100, ""), IF(F1742 = "Réttur", IFERROR(_xlfn.SINGLE(_xlfn.XLOOKUP(G1742, Réttabanki!A:A, Réttabanki!AW:AW, "")) * I1742 / 100, ""), "")))</f>
        <v/>
      </c>
      <c r="Q1742" s="26" t="str">
        <f>IF(OR(F1742 = "", G1742 = "", I1742 = ""), "", IF(F1742 = "Vara", IFERROR(_xlfn.SINGLE(_xlfn.XLOOKUP(G1742, Vöruskrá!A:A, Vöruskrá!N:N, "")) * I1742 / 100, ""), IF(F1742 = "Réttur", IFERROR(_xlfn.SINGLE(_xlfn.XLOOKUP(G1742, Réttabanki!A:A, Réttabanki!BB:BB, "")) * I1742 / 100, ""), "")))</f>
        <v/>
      </c>
    </row>
    <row r="1743" spans="2:17">
      <c r="B1743" s="33" t="str">
        <f>IF(A1743&lt;&gt;"",CHOOSE(WEEKDAY(A1743,2),"Mánudagur","Þriðjudagur","Miðvikudagur","Fimmtudagur","Föstudagur","Laugardagur","Sunnudagur"),IF(B1742&lt;&gt;"",B1742,""))</f>
        <v>Fimmtudagur</v>
      </c>
      <c r="C1743" s="33">
        <f>IF(A1743&lt;&gt;"",WEEKNUM(A1743,21),IF(C1742&lt;&gt;"",C1742,""))</f>
        <v>27</v>
      </c>
      <c r="D1743" s="34"/>
      <c r="E1743" s="34"/>
      <c r="F1743" s="34"/>
      <c r="G1743" s="34"/>
      <c r="H1743" s="34"/>
      <c r="I1743" s="35"/>
      <c r="J1743" s="35"/>
      <c r="K1743" s="36"/>
      <c r="L1743" s="26" t="str">
        <f>IF(OR(F1743 = "", G1743 = ""), "", IF(F1743 = "Vara", IFERROR(_xlfn.SINGLE(_xlfn.XLOOKUP(G1743, Vöruskrá!A:A, Vöruskrá!E:E, "")), ""), IF(F1743 = "Réttur", IFERROR(_xlfn.SINGLE(_xlfn.XLOOKUP(G1743, Réttabanki!A:A, Réttabanki!AS:AS, "")), ""), "")))</f>
        <v/>
      </c>
      <c r="M1743" s="26" t="str">
        <f>IF(OR(F1743 = "", G1743 = ""), "", IF(F1743 = "Vara", IFERROR(_xlfn.SINGLE(_xlfn.XLOOKUP(G1743, Vöruskrá!A:A, Vöruskrá!F:F, "")), ""), IF(F1743 = "Réttur", IFERROR(_xlfn.SINGLE(_xlfn.XLOOKUP(G1743, Réttabanki!A:A, Réttabanki!AT:AT, "")), ""), "")))</f>
        <v/>
      </c>
      <c r="N1743" s="26" t="str">
        <f>IF(OR(F1743 = "", G1743 = ""), "", IF(F1743 = "Vara", IFERROR(_xlfn.SINGLE(_xlfn.XLOOKUP(G1743, Vöruskrá!A:A, Vöruskrá!G:G, "")), ""), IF(F1743 = "Réttur", IFERROR(_xlfn.SINGLE(_xlfn.XLOOKUP(G1743, Réttabanki!A:A, Réttabanki!AU:AU, "")), ""), "")))</f>
        <v/>
      </c>
      <c r="O1743" s="26" t="str">
        <f>IF(OR(F1743 = "", G1743 = "", I1743 = ""), "", IF(F1743 = "Vara", IFERROR(_xlfn.SINGLE(_xlfn.XLOOKUP(G1743, Vöruskrá!A:A, Vöruskrá!I:I, "")) * I1743 / 100, ""), IF(F1743 = "Réttur", IFERROR(_xlfn.SINGLE(_xlfn.XLOOKUP(G1743, Réttabanki!A:A, Réttabanki!AV:AV, "")) * I1743 / 100, ""), "")))</f>
        <v/>
      </c>
      <c r="P1743" s="26" t="str">
        <f>IF(OR(F1743 = "", G1743 = "", I1743 = ""), "", IF(F1743 = "Vara", IFERROR(_xlfn.SINGLE(_xlfn.XLOOKUP(G1743, Vöruskrá!A:A, Vöruskrá!J:J, "")) * I1743 / 100, ""), IF(F1743 = "Réttur", IFERROR(_xlfn.SINGLE(_xlfn.XLOOKUP(G1743, Réttabanki!A:A, Réttabanki!AW:AW, "")) * I1743 / 100, ""), "")))</f>
        <v/>
      </c>
      <c r="Q1743" s="26" t="str">
        <f>IF(OR(F1743 = "", G1743 = "", I1743 = ""), "", IF(F1743 = "Vara", IFERROR(_xlfn.SINGLE(_xlfn.XLOOKUP(G1743, Vöruskrá!A:A, Vöruskrá!N:N, "")) * I1743 / 100, ""), IF(F1743 = "Réttur", IFERROR(_xlfn.SINGLE(_xlfn.XLOOKUP(G1743, Réttabanki!A:A, Réttabanki!BB:BB, "")) * I1743 / 100, ""), "")))</f>
        <v/>
      </c>
    </row>
    <row r="1744" spans="2:17">
      <c r="B1744" s="33" t="str">
        <f>IF(A1744&lt;&gt;"",CHOOSE(WEEKDAY(A1744,2),"Mánudagur","Þriðjudagur","Miðvikudagur","Fimmtudagur","Föstudagur","Laugardagur","Sunnudagur"),IF(B1743&lt;&gt;"",B1743,""))</f>
        <v>Fimmtudagur</v>
      </c>
      <c r="C1744" s="33">
        <f>IF(A1744&lt;&gt;"",WEEKNUM(A1744,21),IF(C1743&lt;&gt;"",C1743,""))</f>
        <v>27</v>
      </c>
      <c r="D1744" s="34"/>
      <c r="E1744" s="34"/>
      <c r="F1744" s="34"/>
      <c r="G1744" s="34"/>
      <c r="H1744" s="34"/>
      <c r="I1744" s="35"/>
      <c r="J1744" s="35"/>
      <c r="K1744" s="36"/>
      <c r="L1744" s="26" t="str">
        <f>IF(OR(F1744 = "", G1744 = ""), "", IF(F1744 = "Vara", IFERROR(_xlfn.SINGLE(_xlfn.XLOOKUP(G1744, Vöruskrá!A:A, Vöruskrá!E:E, "")), ""), IF(F1744 = "Réttur", IFERROR(_xlfn.SINGLE(_xlfn.XLOOKUP(G1744, Réttabanki!A:A, Réttabanki!AS:AS, "")), ""), "")))</f>
        <v/>
      </c>
      <c r="M1744" s="26" t="str">
        <f>IF(OR(F1744 = "", G1744 = ""), "", IF(F1744 = "Vara", IFERROR(_xlfn.SINGLE(_xlfn.XLOOKUP(G1744, Vöruskrá!A:A, Vöruskrá!F:F, "")), ""), IF(F1744 = "Réttur", IFERROR(_xlfn.SINGLE(_xlfn.XLOOKUP(G1744, Réttabanki!A:A, Réttabanki!AT:AT, "")), ""), "")))</f>
        <v/>
      </c>
      <c r="N1744" s="26" t="str">
        <f>IF(OR(F1744 = "", G1744 = ""), "", IF(F1744 = "Vara", IFERROR(_xlfn.SINGLE(_xlfn.XLOOKUP(G1744, Vöruskrá!A:A, Vöruskrá!G:G, "")), ""), IF(F1744 = "Réttur", IFERROR(_xlfn.SINGLE(_xlfn.XLOOKUP(G1744, Réttabanki!A:A, Réttabanki!AU:AU, "")), ""), "")))</f>
        <v/>
      </c>
      <c r="O1744" s="26" t="str">
        <f>IF(OR(F1744 = "", G1744 = "", I1744 = ""), "", IF(F1744 = "Vara", IFERROR(_xlfn.SINGLE(_xlfn.XLOOKUP(G1744, Vöruskrá!A:A, Vöruskrá!I:I, "")) * I1744 / 100, ""), IF(F1744 = "Réttur", IFERROR(_xlfn.SINGLE(_xlfn.XLOOKUP(G1744, Réttabanki!A:A, Réttabanki!AV:AV, "")) * I1744 / 100, ""), "")))</f>
        <v/>
      </c>
      <c r="P1744" s="26" t="str">
        <f>IF(OR(F1744 = "", G1744 = "", I1744 = ""), "", IF(F1744 = "Vara", IFERROR(_xlfn.SINGLE(_xlfn.XLOOKUP(G1744, Vöruskrá!A:A, Vöruskrá!J:J, "")) * I1744 / 100, ""), IF(F1744 = "Réttur", IFERROR(_xlfn.SINGLE(_xlfn.XLOOKUP(G1744, Réttabanki!A:A, Réttabanki!AW:AW, "")) * I1744 / 100, ""), "")))</f>
        <v/>
      </c>
      <c r="Q1744" s="26" t="str">
        <f>IF(OR(F1744 = "", G1744 = "", I1744 = ""), "", IF(F1744 = "Vara", IFERROR(_xlfn.SINGLE(_xlfn.XLOOKUP(G1744, Vöruskrá!A:A, Vöruskrá!N:N, "")) * I1744 / 100, ""), IF(F1744 = "Réttur", IFERROR(_xlfn.SINGLE(_xlfn.XLOOKUP(G1744, Réttabanki!A:A, Réttabanki!BB:BB, "")) * I1744 / 100, ""), "")))</f>
        <v/>
      </c>
    </row>
    <row r="1745" spans="2:17">
      <c r="B1745" s="33" t="str">
        <f>IF(A1745&lt;&gt;"",CHOOSE(WEEKDAY(A1745,2),"Mánudagur","Þriðjudagur","Miðvikudagur","Fimmtudagur","Föstudagur","Laugardagur","Sunnudagur"),IF(B1744&lt;&gt;"",B1744,""))</f>
        <v>Fimmtudagur</v>
      </c>
      <c r="C1745" s="33">
        <f>IF(A1745&lt;&gt;"",WEEKNUM(A1745,21),IF(C1744&lt;&gt;"",C1744,""))</f>
        <v>27</v>
      </c>
      <c r="D1745" s="34"/>
      <c r="E1745" s="34"/>
      <c r="F1745" s="34"/>
      <c r="G1745" s="34"/>
      <c r="H1745" s="34"/>
      <c r="I1745" s="35"/>
      <c r="J1745" s="35"/>
      <c r="K1745" s="36"/>
      <c r="L1745" s="26" t="str">
        <f>IF(OR(F1745 = "", G1745 = ""), "", IF(F1745 = "Vara", IFERROR(_xlfn.SINGLE(_xlfn.XLOOKUP(G1745, Vöruskrá!A:A, Vöruskrá!E:E, "")), ""), IF(F1745 = "Réttur", IFERROR(_xlfn.SINGLE(_xlfn.XLOOKUP(G1745, Réttabanki!A:A, Réttabanki!AS:AS, "")), ""), "")))</f>
        <v/>
      </c>
      <c r="M1745" s="26" t="str">
        <f>IF(OR(F1745 = "", G1745 = ""), "", IF(F1745 = "Vara", IFERROR(_xlfn.SINGLE(_xlfn.XLOOKUP(G1745, Vöruskrá!A:A, Vöruskrá!F:F, "")), ""), IF(F1745 = "Réttur", IFERROR(_xlfn.SINGLE(_xlfn.XLOOKUP(G1745, Réttabanki!A:A, Réttabanki!AT:AT, "")), ""), "")))</f>
        <v/>
      </c>
      <c r="N1745" s="26" t="str">
        <f>IF(OR(F1745 = "", G1745 = ""), "", IF(F1745 = "Vara", IFERROR(_xlfn.SINGLE(_xlfn.XLOOKUP(G1745, Vöruskrá!A:A, Vöruskrá!G:G, "")), ""), IF(F1745 = "Réttur", IFERROR(_xlfn.SINGLE(_xlfn.XLOOKUP(G1745, Réttabanki!A:A, Réttabanki!AU:AU, "")), ""), "")))</f>
        <v/>
      </c>
      <c r="O1745" s="26" t="str">
        <f>IF(OR(F1745 = "", G1745 = "", I1745 = ""), "", IF(F1745 = "Vara", IFERROR(_xlfn.SINGLE(_xlfn.XLOOKUP(G1745, Vöruskrá!A:A, Vöruskrá!I:I, "")) * I1745 / 100, ""), IF(F1745 = "Réttur", IFERROR(_xlfn.SINGLE(_xlfn.XLOOKUP(G1745, Réttabanki!A:A, Réttabanki!AV:AV, "")) * I1745 / 100, ""), "")))</f>
        <v/>
      </c>
      <c r="P1745" s="26" t="str">
        <f>IF(OR(F1745 = "", G1745 = "", I1745 = ""), "", IF(F1745 = "Vara", IFERROR(_xlfn.SINGLE(_xlfn.XLOOKUP(G1745, Vöruskrá!A:A, Vöruskrá!J:J, "")) * I1745 / 100, ""), IF(F1745 = "Réttur", IFERROR(_xlfn.SINGLE(_xlfn.XLOOKUP(G1745, Réttabanki!A:A, Réttabanki!AW:AW, "")) * I1745 / 100, ""), "")))</f>
        <v/>
      </c>
      <c r="Q1745" s="26" t="str">
        <f>IF(OR(F1745 = "", G1745 = "", I1745 = ""), "", IF(F1745 = "Vara", IFERROR(_xlfn.SINGLE(_xlfn.XLOOKUP(G1745, Vöruskrá!A:A, Vöruskrá!N:N, "")) * I1745 / 100, ""), IF(F1745 = "Réttur", IFERROR(_xlfn.SINGLE(_xlfn.XLOOKUP(G1745, Réttabanki!A:A, Réttabanki!BB:BB, "")) * I1745 / 100, ""), "")))</f>
        <v/>
      </c>
    </row>
    <row r="1746" spans="2:17">
      <c r="B1746" s="33" t="str">
        <f>IF(A1746&lt;&gt;"",CHOOSE(WEEKDAY(A1746,2),"Mánudagur","Þriðjudagur","Miðvikudagur","Fimmtudagur","Föstudagur","Laugardagur","Sunnudagur"),IF(B1745&lt;&gt;"",B1745,""))</f>
        <v>Fimmtudagur</v>
      </c>
      <c r="C1746" s="33">
        <f>IF(A1746&lt;&gt;"",WEEKNUM(A1746,21),IF(C1745&lt;&gt;"",C1745,""))</f>
        <v>27</v>
      </c>
      <c r="D1746" s="34"/>
      <c r="E1746" s="34"/>
      <c r="F1746" s="34"/>
      <c r="G1746" s="34"/>
      <c r="H1746" s="34"/>
      <c r="I1746" s="35"/>
      <c r="J1746" s="35"/>
      <c r="K1746" s="36"/>
      <c r="L1746" s="26" t="str">
        <f>IF(OR(F1746 = "", G1746 = ""), "", IF(F1746 = "Vara", IFERROR(_xlfn.SINGLE(_xlfn.XLOOKUP(G1746, Vöruskrá!A:A, Vöruskrá!E:E, "")), ""), IF(F1746 = "Réttur", IFERROR(_xlfn.SINGLE(_xlfn.XLOOKUP(G1746, Réttabanki!A:A, Réttabanki!AS:AS, "")), ""), "")))</f>
        <v/>
      </c>
      <c r="M1746" s="26" t="str">
        <f>IF(OR(F1746 = "", G1746 = ""), "", IF(F1746 = "Vara", IFERROR(_xlfn.SINGLE(_xlfn.XLOOKUP(G1746, Vöruskrá!A:A, Vöruskrá!F:F, "")), ""), IF(F1746 = "Réttur", IFERROR(_xlfn.SINGLE(_xlfn.XLOOKUP(G1746, Réttabanki!A:A, Réttabanki!AT:AT, "")), ""), "")))</f>
        <v/>
      </c>
      <c r="N1746" s="26" t="str">
        <f>IF(OR(F1746 = "", G1746 = ""), "", IF(F1746 = "Vara", IFERROR(_xlfn.SINGLE(_xlfn.XLOOKUP(G1746, Vöruskrá!A:A, Vöruskrá!G:G, "")), ""), IF(F1746 = "Réttur", IFERROR(_xlfn.SINGLE(_xlfn.XLOOKUP(G1746, Réttabanki!A:A, Réttabanki!AU:AU, "")), ""), "")))</f>
        <v/>
      </c>
      <c r="O1746" s="26" t="str">
        <f>IF(OR(F1746 = "", G1746 = "", I1746 = ""), "", IF(F1746 = "Vara", IFERROR(_xlfn.SINGLE(_xlfn.XLOOKUP(G1746, Vöruskrá!A:A, Vöruskrá!I:I, "")) * I1746 / 100, ""), IF(F1746 = "Réttur", IFERROR(_xlfn.SINGLE(_xlfn.XLOOKUP(G1746, Réttabanki!A:A, Réttabanki!AV:AV, "")) * I1746 / 100, ""), "")))</f>
        <v/>
      </c>
      <c r="P1746" s="26" t="str">
        <f>IF(OR(F1746 = "", G1746 = "", I1746 = ""), "", IF(F1746 = "Vara", IFERROR(_xlfn.SINGLE(_xlfn.XLOOKUP(G1746, Vöruskrá!A:A, Vöruskrá!J:J, "")) * I1746 / 100, ""), IF(F1746 = "Réttur", IFERROR(_xlfn.SINGLE(_xlfn.XLOOKUP(G1746, Réttabanki!A:A, Réttabanki!AW:AW, "")) * I1746 / 100, ""), "")))</f>
        <v/>
      </c>
      <c r="Q1746" s="26" t="str">
        <f>IF(OR(F1746 = "", G1746 = "", I1746 = ""), "", IF(F1746 = "Vara", IFERROR(_xlfn.SINGLE(_xlfn.XLOOKUP(G1746, Vöruskrá!A:A, Vöruskrá!N:N, "")) * I1746 / 100, ""), IF(F1746 = "Réttur", IFERROR(_xlfn.SINGLE(_xlfn.XLOOKUP(G1746, Réttabanki!A:A, Réttabanki!BB:BB, "")) * I1746 / 100, ""), "")))</f>
        <v/>
      </c>
    </row>
    <row r="1747" spans="2:17">
      <c r="B1747" s="33" t="str">
        <f>IF(A1747&lt;&gt;"",CHOOSE(WEEKDAY(A1747,2),"Mánudagur","Þriðjudagur","Miðvikudagur","Fimmtudagur","Föstudagur","Laugardagur","Sunnudagur"),IF(B1746&lt;&gt;"",B1746,""))</f>
        <v>Fimmtudagur</v>
      </c>
      <c r="C1747" s="33">
        <f>IF(A1747&lt;&gt;"",WEEKNUM(A1747,21),IF(C1746&lt;&gt;"",C1746,""))</f>
        <v>27</v>
      </c>
      <c r="D1747" s="34"/>
      <c r="E1747" s="34"/>
      <c r="F1747" s="34"/>
      <c r="G1747" s="34"/>
      <c r="H1747" s="34"/>
      <c r="I1747" s="35"/>
      <c r="J1747" s="35"/>
      <c r="K1747" s="36"/>
      <c r="L1747" s="26" t="str">
        <f>IF(OR(F1747 = "", G1747 = ""), "", IF(F1747 = "Vara", IFERROR(_xlfn.SINGLE(_xlfn.XLOOKUP(G1747, Vöruskrá!A:A, Vöruskrá!E:E, "")), ""), IF(F1747 = "Réttur", IFERROR(_xlfn.SINGLE(_xlfn.XLOOKUP(G1747, Réttabanki!A:A, Réttabanki!AS:AS, "")), ""), "")))</f>
        <v/>
      </c>
      <c r="M1747" s="26" t="str">
        <f>IF(OR(F1747 = "", G1747 = ""), "", IF(F1747 = "Vara", IFERROR(_xlfn.SINGLE(_xlfn.XLOOKUP(G1747, Vöruskrá!A:A, Vöruskrá!F:F, "")), ""), IF(F1747 = "Réttur", IFERROR(_xlfn.SINGLE(_xlfn.XLOOKUP(G1747, Réttabanki!A:A, Réttabanki!AT:AT, "")), ""), "")))</f>
        <v/>
      </c>
      <c r="N1747" s="26" t="str">
        <f>IF(OR(F1747 = "", G1747 = ""), "", IF(F1747 = "Vara", IFERROR(_xlfn.SINGLE(_xlfn.XLOOKUP(G1747, Vöruskrá!A:A, Vöruskrá!G:G, "")), ""), IF(F1747 = "Réttur", IFERROR(_xlfn.SINGLE(_xlfn.XLOOKUP(G1747, Réttabanki!A:A, Réttabanki!AU:AU, "")), ""), "")))</f>
        <v/>
      </c>
      <c r="O1747" s="26" t="str">
        <f>IF(OR(F1747 = "", G1747 = "", I1747 = ""), "", IF(F1747 = "Vara", IFERROR(_xlfn.SINGLE(_xlfn.XLOOKUP(G1747, Vöruskrá!A:A, Vöruskrá!I:I, "")) * I1747 / 100, ""), IF(F1747 = "Réttur", IFERROR(_xlfn.SINGLE(_xlfn.XLOOKUP(G1747, Réttabanki!A:A, Réttabanki!AV:AV, "")) * I1747 / 100, ""), "")))</f>
        <v/>
      </c>
      <c r="P1747" s="26" t="str">
        <f>IF(OR(F1747 = "", G1747 = "", I1747 = ""), "", IF(F1747 = "Vara", IFERROR(_xlfn.SINGLE(_xlfn.XLOOKUP(G1747, Vöruskrá!A:A, Vöruskrá!J:J, "")) * I1747 / 100, ""), IF(F1747 = "Réttur", IFERROR(_xlfn.SINGLE(_xlfn.XLOOKUP(G1747, Réttabanki!A:A, Réttabanki!AW:AW, "")) * I1747 / 100, ""), "")))</f>
        <v/>
      </c>
      <c r="Q1747" s="26" t="str">
        <f>IF(OR(F1747 = "", G1747 = "", I1747 = ""), "", IF(F1747 = "Vara", IFERROR(_xlfn.SINGLE(_xlfn.XLOOKUP(G1747, Vöruskrá!A:A, Vöruskrá!N:N, "")) * I1747 / 100, ""), IF(F1747 = "Réttur", IFERROR(_xlfn.SINGLE(_xlfn.XLOOKUP(G1747, Réttabanki!A:A, Réttabanki!BB:BB, "")) * I1747 / 100, ""), "")))</f>
        <v/>
      </c>
    </row>
    <row r="1748" spans="2:17">
      <c r="B1748" s="33" t="str">
        <f>IF(A1748&lt;&gt;"",CHOOSE(WEEKDAY(A1748,2),"Mánudagur","Þriðjudagur","Miðvikudagur","Fimmtudagur","Föstudagur","Laugardagur","Sunnudagur"),IF(B1747&lt;&gt;"",B1747,""))</f>
        <v>Fimmtudagur</v>
      </c>
      <c r="C1748" s="33">
        <f>IF(A1748&lt;&gt;"",WEEKNUM(A1748,21),IF(C1747&lt;&gt;"",C1747,""))</f>
        <v>27</v>
      </c>
      <c r="D1748" s="34"/>
      <c r="E1748" s="34"/>
      <c r="F1748" s="34"/>
      <c r="G1748" s="34"/>
      <c r="H1748" s="34"/>
      <c r="I1748" s="35"/>
      <c r="J1748" s="35"/>
      <c r="K1748" s="36"/>
      <c r="L1748" s="26" t="str">
        <f>IF(OR(F1748 = "", G1748 = ""), "", IF(F1748 = "Vara", IFERROR(_xlfn.SINGLE(_xlfn.XLOOKUP(G1748, Vöruskrá!A:A, Vöruskrá!E:E, "")), ""), IF(F1748 = "Réttur", IFERROR(_xlfn.SINGLE(_xlfn.XLOOKUP(G1748, Réttabanki!A:A, Réttabanki!AS:AS, "")), ""), "")))</f>
        <v/>
      </c>
      <c r="M1748" s="26" t="str">
        <f>IF(OR(F1748 = "", G1748 = ""), "", IF(F1748 = "Vara", IFERROR(_xlfn.SINGLE(_xlfn.XLOOKUP(G1748, Vöruskrá!A:A, Vöruskrá!F:F, "")), ""), IF(F1748 = "Réttur", IFERROR(_xlfn.SINGLE(_xlfn.XLOOKUP(G1748, Réttabanki!A:A, Réttabanki!AT:AT, "")), ""), "")))</f>
        <v/>
      </c>
      <c r="N1748" s="26" t="str">
        <f>IF(OR(F1748 = "", G1748 = ""), "", IF(F1748 = "Vara", IFERROR(_xlfn.SINGLE(_xlfn.XLOOKUP(G1748, Vöruskrá!A:A, Vöruskrá!G:G, "")), ""), IF(F1748 = "Réttur", IFERROR(_xlfn.SINGLE(_xlfn.XLOOKUP(G1748, Réttabanki!A:A, Réttabanki!AU:AU, "")), ""), "")))</f>
        <v/>
      </c>
      <c r="O1748" s="26" t="str">
        <f>IF(OR(F1748 = "", G1748 = "", I1748 = ""), "", IF(F1748 = "Vara", IFERROR(_xlfn.SINGLE(_xlfn.XLOOKUP(G1748, Vöruskrá!A:A, Vöruskrá!I:I, "")) * I1748 / 100, ""), IF(F1748 = "Réttur", IFERROR(_xlfn.SINGLE(_xlfn.XLOOKUP(G1748, Réttabanki!A:A, Réttabanki!AV:AV, "")) * I1748 / 100, ""), "")))</f>
        <v/>
      </c>
      <c r="P1748" s="26" t="str">
        <f>IF(OR(F1748 = "", G1748 = "", I1748 = ""), "", IF(F1748 = "Vara", IFERROR(_xlfn.SINGLE(_xlfn.XLOOKUP(G1748, Vöruskrá!A:A, Vöruskrá!J:J, "")) * I1748 / 100, ""), IF(F1748 = "Réttur", IFERROR(_xlfn.SINGLE(_xlfn.XLOOKUP(G1748, Réttabanki!A:A, Réttabanki!AW:AW, "")) * I1748 / 100, ""), "")))</f>
        <v/>
      </c>
      <c r="Q1748" s="26" t="str">
        <f>IF(OR(F1748 = "", G1748 = "", I1748 = ""), "", IF(F1748 = "Vara", IFERROR(_xlfn.SINGLE(_xlfn.XLOOKUP(G1748, Vöruskrá!A:A, Vöruskrá!N:N, "")) * I1748 / 100, ""), IF(F1748 = "Réttur", IFERROR(_xlfn.SINGLE(_xlfn.XLOOKUP(G1748, Réttabanki!A:A, Réttabanki!BB:BB, "")) * I1748 / 100, ""), "")))</f>
        <v/>
      </c>
    </row>
    <row r="1749" spans="2:17">
      <c r="B1749" s="33" t="str">
        <f>IF(A1749&lt;&gt;"",CHOOSE(WEEKDAY(A1749,2),"Mánudagur","Þriðjudagur","Miðvikudagur","Fimmtudagur","Föstudagur","Laugardagur","Sunnudagur"),IF(B1748&lt;&gt;"",B1748,""))</f>
        <v>Fimmtudagur</v>
      </c>
      <c r="C1749" s="33">
        <f>IF(A1749&lt;&gt;"",WEEKNUM(A1749,21),IF(C1748&lt;&gt;"",C1748,""))</f>
        <v>27</v>
      </c>
      <c r="D1749" s="34"/>
      <c r="E1749" s="34"/>
      <c r="F1749" s="34"/>
      <c r="G1749" s="34"/>
      <c r="H1749" s="34"/>
      <c r="I1749" s="35"/>
      <c r="J1749" s="35"/>
      <c r="K1749" s="36"/>
      <c r="L1749" s="26" t="str">
        <f>IF(OR(F1749 = "", G1749 = ""), "", IF(F1749 = "Vara", IFERROR(_xlfn.SINGLE(_xlfn.XLOOKUP(G1749, Vöruskrá!A:A, Vöruskrá!E:E, "")), ""), IF(F1749 = "Réttur", IFERROR(_xlfn.SINGLE(_xlfn.XLOOKUP(G1749, Réttabanki!A:A, Réttabanki!AS:AS, "")), ""), "")))</f>
        <v/>
      </c>
      <c r="M1749" s="26" t="str">
        <f>IF(OR(F1749 = "", G1749 = ""), "", IF(F1749 = "Vara", IFERROR(_xlfn.SINGLE(_xlfn.XLOOKUP(G1749, Vöruskrá!A:A, Vöruskrá!F:F, "")), ""), IF(F1749 = "Réttur", IFERROR(_xlfn.SINGLE(_xlfn.XLOOKUP(G1749, Réttabanki!A:A, Réttabanki!AT:AT, "")), ""), "")))</f>
        <v/>
      </c>
      <c r="N1749" s="26" t="str">
        <f>IF(OR(F1749 = "", G1749 = ""), "", IF(F1749 = "Vara", IFERROR(_xlfn.SINGLE(_xlfn.XLOOKUP(G1749, Vöruskrá!A:A, Vöruskrá!G:G, "")), ""), IF(F1749 = "Réttur", IFERROR(_xlfn.SINGLE(_xlfn.XLOOKUP(G1749, Réttabanki!A:A, Réttabanki!AU:AU, "")), ""), "")))</f>
        <v/>
      </c>
      <c r="O1749" s="26" t="str">
        <f>IF(OR(F1749 = "", G1749 = "", I1749 = ""), "", IF(F1749 = "Vara", IFERROR(_xlfn.SINGLE(_xlfn.XLOOKUP(G1749, Vöruskrá!A:A, Vöruskrá!I:I, "")) * I1749 / 100, ""), IF(F1749 = "Réttur", IFERROR(_xlfn.SINGLE(_xlfn.XLOOKUP(G1749, Réttabanki!A:A, Réttabanki!AV:AV, "")) * I1749 / 100, ""), "")))</f>
        <v/>
      </c>
      <c r="P1749" s="26" t="str">
        <f>IF(OR(F1749 = "", G1749 = "", I1749 = ""), "", IF(F1749 = "Vara", IFERROR(_xlfn.SINGLE(_xlfn.XLOOKUP(G1749, Vöruskrá!A:A, Vöruskrá!J:J, "")) * I1749 / 100, ""), IF(F1749 = "Réttur", IFERROR(_xlfn.SINGLE(_xlfn.XLOOKUP(G1749, Réttabanki!A:A, Réttabanki!AW:AW, "")) * I1749 / 100, ""), "")))</f>
        <v/>
      </c>
      <c r="Q1749" s="26" t="str">
        <f>IF(OR(F1749 = "", G1749 = "", I1749 = ""), "", IF(F1749 = "Vara", IFERROR(_xlfn.SINGLE(_xlfn.XLOOKUP(G1749, Vöruskrá!A:A, Vöruskrá!N:N, "")) * I1749 / 100, ""), IF(F1749 = "Réttur", IFERROR(_xlfn.SINGLE(_xlfn.XLOOKUP(G1749, Réttabanki!A:A, Réttabanki!BB:BB, "")) * I1749 / 100, ""), "")))</f>
        <v/>
      </c>
    </row>
    <row r="1750" spans="2:17">
      <c r="B1750" s="33" t="str">
        <f>IF(A1750&lt;&gt;"",CHOOSE(WEEKDAY(A1750,2),"Mánudagur","Þriðjudagur","Miðvikudagur","Fimmtudagur","Föstudagur","Laugardagur","Sunnudagur"),IF(B1749&lt;&gt;"",B1749,""))</f>
        <v>Fimmtudagur</v>
      </c>
      <c r="C1750" s="33">
        <f>IF(A1750&lt;&gt;"",WEEKNUM(A1750,21),IF(C1749&lt;&gt;"",C1749,""))</f>
        <v>27</v>
      </c>
      <c r="D1750" s="34"/>
      <c r="E1750" s="34"/>
      <c r="F1750" s="34"/>
      <c r="G1750" s="34"/>
      <c r="H1750" s="34"/>
      <c r="I1750" s="35"/>
      <c r="J1750" s="35"/>
      <c r="K1750" s="36"/>
      <c r="L1750" s="26" t="str">
        <f>IF(OR(F1750 = "", G1750 = ""), "", IF(F1750 = "Vara", IFERROR(_xlfn.SINGLE(_xlfn.XLOOKUP(G1750, Vöruskrá!A:A, Vöruskrá!E:E, "")), ""), IF(F1750 = "Réttur", IFERROR(_xlfn.SINGLE(_xlfn.XLOOKUP(G1750, Réttabanki!A:A, Réttabanki!AS:AS, "")), ""), "")))</f>
        <v/>
      </c>
      <c r="M1750" s="26" t="str">
        <f>IF(OR(F1750 = "", G1750 = ""), "", IF(F1750 = "Vara", IFERROR(_xlfn.SINGLE(_xlfn.XLOOKUP(G1750, Vöruskrá!A:A, Vöruskrá!F:F, "")), ""), IF(F1750 = "Réttur", IFERROR(_xlfn.SINGLE(_xlfn.XLOOKUP(G1750, Réttabanki!A:A, Réttabanki!AT:AT, "")), ""), "")))</f>
        <v/>
      </c>
      <c r="N1750" s="26" t="str">
        <f>IF(OR(F1750 = "", G1750 = ""), "", IF(F1750 = "Vara", IFERROR(_xlfn.SINGLE(_xlfn.XLOOKUP(G1750, Vöruskrá!A:A, Vöruskrá!G:G, "")), ""), IF(F1750 = "Réttur", IFERROR(_xlfn.SINGLE(_xlfn.XLOOKUP(G1750, Réttabanki!A:A, Réttabanki!AU:AU, "")), ""), "")))</f>
        <v/>
      </c>
      <c r="O1750" s="26" t="str">
        <f>IF(OR(F1750 = "", G1750 = "", I1750 = ""), "", IF(F1750 = "Vara", IFERROR(_xlfn.SINGLE(_xlfn.XLOOKUP(G1750, Vöruskrá!A:A, Vöruskrá!I:I, "")) * I1750 / 100, ""), IF(F1750 = "Réttur", IFERROR(_xlfn.SINGLE(_xlfn.XLOOKUP(G1750, Réttabanki!A:A, Réttabanki!AV:AV, "")) * I1750 / 100, ""), "")))</f>
        <v/>
      </c>
      <c r="P1750" s="26" t="str">
        <f>IF(OR(F1750 = "", G1750 = "", I1750 = ""), "", IF(F1750 = "Vara", IFERROR(_xlfn.SINGLE(_xlfn.XLOOKUP(G1750, Vöruskrá!A:A, Vöruskrá!J:J, "")) * I1750 / 100, ""), IF(F1750 = "Réttur", IFERROR(_xlfn.SINGLE(_xlfn.XLOOKUP(G1750, Réttabanki!A:A, Réttabanki!AW:AW, "")) * I1750 / 100, ""), "")))</f>
        <v/>
      </c>
      <c r="Q1750" s="26" t="str">
        <f>IF(OR(F1750 = "", G1750 = "", I1750 = ""), "", IF(F1750 = "Vara", IFERROR(_xlfn.SINGLE(_xlfn.XLOOKUP(G1750, Vöruskrá!A:A, Vöruskrá!N:N, "")) * I1750 / 100, ""), IF(F1750 = "Réttur", IFERROR(_xlfn.SINGLE(_xlfn.XLOOKUP(G1750, Réttabanki!A:A, Réttabanki!BB:BB, "")) * I1750 / 100, ""), "")))</f>
        <v/>
      </c>
    </row>
    <row r="1751" spans="2:17">
      <c r="B1751" s="33" t="str">
        <f>IF(A1751&lt;&gt;"",CHOOSE(WEEKDAY(A1751,2),"Mánudagur","Þriðjudagur","Miðvikudagur","Fimmtudagur","Föstudagur","Laugardagur","Sunnudagur"),IF(B1750&lt;&gt;"",B1750,""))</f>
        <v>Fimmtudagur</v>
      </c>
      <c r="C1751" s="33">
        <f>IF(A1751&lt;&gt;"",WEEKNUM(A1751,21),IF(C1750&lt;&gt;"",C1750,""))</f>
        <v>27</v>
      </c>
      <c r="D1751" s="34"/>
      <c r="E1751" s="34"/>
      <c r="F1751" s="34"/>
      <c r="G1751" s="34"/>
      <c r="H1751" s="34"/>
      <c r="I1751" s="35"/>
      <c r="J1751" s="35"/>
      <c r="K1751" s="36"/>
      <c r="L1751" s="26" t="str">
        <f>IF(OR(F1751 = "", G1751 = ""), "", IF(F1751 = "Vara", IFERROR(_xlfn.SINGLE(_xlfn.XLOOKUP(G1751, Vöruskrá!A:A, Vöruskrá!E:E, "")), ""), IF(F1751 = "Réttur", IFERROR(_xlfn.SINGLE(_xlfn.XLOOKUP(G1751, Réttabanki!A:A, Réttabanki!AS:AS, "")), ""), "")))</f>
        <v/>
      </c>
      <c r="M1751" s="26" t="str">
        <f>IF(OR(F1751 = "", G1751 = ""), "", IF(F1751 = "Vara", IFERROR(_xlfn.SINGLE(_xlfn.XLOOKUP(G1751, Vöruskrá!A:A, Vöruskrá!F:F, "")), ""), IF(F1751 = "Réttur", IFERROR(_xlfn.SINGLE(_xlfn.XLOOKUP(G1751, Réttabanki!A:A, Réttabanki!AT:AT, "")), ""), "")))</f>
        <v/>
      </c>
      <c r="N1751" s="26" t="str">
        <f>IF(OR(F1751 = "", G1751 = ""), "", IF(F1751 = "Vara", IFERROR(_xlfn.SINGLE(_xlfn.XLOOKUP(G1751, Vöruskrá!A:A, Vöruskrá!G:G, "")), ""), IF(F1751 = "Réttur", IFERROR(_xlfn.SINGLE(_xlfn.XLOOKUP(G1751, Réttabanki!A:A, Réttabanki!AU:AU, "")), ""), "")))</f>
        <v/>
      </c>
      <c r="O1751" s="26" t="str">
        <f>IF(OR(F1751 = "", G1751 = "", I1751 = ""), "", IF(F1751 = "Vara", IFERROR(_xlfn.SINGLE(_xlfn.XLOOKUP(G1751, Vöruskrá!A:A, Vöruskrá!I:I, "")) * I1751 / 100, ""), IF(F1751 = "Réttur", IFERROR(_xlfn.SINGLE(_xlfn.XLOOKUP(G1751, Réttabanki!A:A, Réttabanki!AV:AV, "")) * I1751 / 100, ""), "")))</f>
        <v/>
      </c>
      <c r="P1751" s="26" t="str">
        <f>IF(OR(F1751 = "", G1751 = "", I1751 = ""), "", IF(F1751 = "Vara", IFERROR(_xlfn.SINGLE(_xlfn.XLOOKUP(G1751, Vöruskrá!A:A, Vöruskrá!J:J, "")) * I1751 / 100, ""), IF(F1751 = "Réttur", IFERROR(_xlfn.SINGLE(_xlfn.XLOOKUP(G1751, Réttabanki!A:A, Réttabanki!AW:AW, "")) * I1751 / 100, ""), "")))</f>
        <v/>
      </c>
      <c r="Q1751" s="26" t="str">
        <f>IF(OR(F1751 = "", G1751 = "", I1751 = ""), "", IF(F1751 = "Vara", IFERROR(_xlfn.SINGLE(_xlfn.XLOOKUP(G1751, Vöruskrá!A:A, Vöruskrá!N:N, "")) * I1751 / 100, ""), IF(F1751 = "Réttur", IFERROR(_xlfn.SINGLE(_xlfn.XLOOKUP(G1751, Réttabanki!A:A, Réttabanki!BB:BB, "")) * I1751 / 100, ""), "")))</f>
        <v/>
      </c>
    </row>
    <row r="1752" spans="2:17">
      <c r="B1752" s="33" t="str">
        <f>IF(A1752&lt;&gt;"",CHOOSE(WEEKDAY(A1752,2),"Mánudagur","Þriðjudagur","Miðvikudagur","Fimmtudagur","Föstudagur","Laugardagur","Sunnudagur"),IF(B1751&lt;&gt;"",B1751,""))</f>
        <v>Fimmtudagur</v>
      </c>
      <c r="C1752" s="33">
        <f>IF(A1752&lt;&gt;"",WEEKNUM(A1752,21),IF(C1751&lt;&gt;"",C1751,""))</f>
        <v>27</v>
      </c>
      <c r="D1752" s="34"/>
      <c r="E1752" s="34"/>
      <c r="F1752" s="34"/>
      <c r="G1752" s="34"/>
      <c r="H1752" s="34"/>
      <c r="I1752" s="35"/>
      <c r="J1752" s="35"/>
      <c r="K1752" s="36"/>
      <c r="L1752" s="26" t="str">
        <f>IF(OR(F1752 = "", G1752 = ""), "", IF(F1752 = "Vara", IFERROR(_xlfn.SINGLE(_xlfn.XLOOKUP(G1752, Vöruskrá!A:A, Vöruskrá!E:E, "")), ""), IF(F1752 = "Réttur", IFERROR(_xlfn.SINGLE(_xlfn.XLOOKUP(G1752, Réttabanki!A:A, Réttabanki!AS:AS, "")), ""), "")))</f>
        <v/>
      </c>
      <c r="M1752" s="26" t="str">
        <f>IF(OR(F1752 = "", G1752 = ""), "", IF(F1752 = "Vara", IFERROR(_xlfn.SINGLE(_xlfn.XLOOKUP(G1752, Vöruskrá!A:A, Vöruskrá!F:F, "")), ""), IF(F1752 = "Réttur", IFERROR(_xlfn.SINGLE(_xlfn.XLOOKUP(G1752, Réttabanki!A:A, Réttabanki!AT:AT, "")), ""), "")))</f>
        <v/>
      </c>
      <c r="N1752" s="26" t="str">
        <f>IF(OR(F1752 = "", G1752 = ""), "", IF(F1752 = "Vara", IFERROR(_xlfn.SINGLE(_xlfn.XLOOKUP(G1752, Vöruskrá!A:A, Vöruskrá!G:G, "")), ""), IF(F1752 = "Réttur", IFERROR(_xlfn.SINGLE(_xlfn.XLOOKUP(G1752, Réttabanki!A:A, Réttabanki!AU:AU, "")), ""), "")))</f>
        <v/>
      </c>
      <c r="O1752" s="26" t="str">
        <f>IF(OR(F1752 = "", G1752 = "", I1752 = ""), "", IF(F1752 = "Vara", IFERROR(_xlfn.SINGLE(_xlfn.XLOOKUP(G1752, Vöruskrá!A:A, Vöruskrá!I:I, "")) * I1752 / 100, ""), IF(F1752 = "Réttur", IFERROR(_xlfn.SINGLE(_xlfn.XLOOKUP(G1752, Réttabanki!A:A, Réttabanki!AV:AV, "")) * I1752 / 100, ""), "")))</f>
        <v/>
      </c>
      <c r="P1752" s="26" t="str">
        <f>IF(OR(F1752 = "", G1752 = "", I1752 = ""), "", IF(F1752 = "Vara", IFERROR(_xlfn.SINGLE(_xlfn.XLOOKUP(G1752, Vöruskrá!A:A, Vöruskrá!J:J, "")) * I1752 / 100, ""), IF(F1752 = "Réttur", IFERROR(_xlfn.SINGLE(_xlfn.XLOOKUP(G1752, Réttabanki!A:A, Réttabanki!AW:AW, "")) * I1752 / 100, ""), "")))</f>
        <v/>
      </c>
      <c r="Q1752" s="26" t="str">
        <f>IF(OR(F1752 = "", G1752 = "", I1752 = ""), "", IF(F1752 = "Vara", IFERROR(_xlfn.SINGLE(_xlfn.XLOOKUP(G1752, Vöruskrá!A:A, Vöruskrá!N:N, "")) * I1752 / 100, ""), IF(F1752 = "Réttur", IFERROR(_xlfn.SINGLE(_xlfn.XLOOKUP(G1752, Réttabanki!A:A, Réttabanki!BB:BB, "")) * I1752 / 100, ""), "")))</f>
        <v/>
      </c>
    </row>
    <row r="1753" spans="2:17">
      <c r="B1753" s="33" t="str">
        <f>IF(A1753&lt;&gt;"",CHOOSE(WEEKDAY(A1753,2),"Mánudagur","Þriðjudagur","Miðvikudagur","Fimmtudagur","Föstudagur","Laugardagur","Sunnudagur"),IF(B1752&lt;&gt;"",B1752,""))</f>
        <v>Fimmtudagur</v>
      </c>
      <c r="C1753" s="33">
        <f>IF(A1753&lt;&gt;"",WEEKNUM(A1753,21),IF(C1752&lt;&gt;"",C1752,""))</f>
        <v>27</v>
      </c>
      <c r="D1753" s="34"/>
      <c r="E1753" s="34"/>
      <c r="F1753" s="34"/>
      <c r="G1753" s="34"/>
      <c r="H1753" s="34"/>
      <c r="I1753" s="35"/>
      <c r="J1753" s="35"/>
      <c r="K1753" s="36"/>
      <c r="L1753" s="26" t="str">
        <f>IF(OR(F1753 = "", G1753 = ""), "", IF(F1753 = "Vara", IFERROR(_xlfn.SINGLE(_xlfn.XLOOKUP(G1753, Vöruskrá!A:A, Vöruskrá!E:E, "")), ""), IF(F1753 = "Réttur", IFERROR(_xlfn.SINGLE(_xlfn.XLOOKUP(G1753, Réttabanki!A:A, Réttabanki!AS:AS, "")), ""), "")))</f>
        <v/>
      </c>
      <c r="M1753" s="26" t="str">
        <f>IF(OR(F1753 = "", G1753 = ""), "", IF(F1753 = "Vara", IFERROR(_xlfn.SINGLE(_xlfn.XLOOKUP(G1753, Vöruskrá!A:A, Vöruskrá!F:F, "")), ""), IF(F1753 = "Réttur", IFERROR(_xlfn.SINGLE(_xlfn.XLOOKUP(G1753, Réttabanki!A:A, Réttabanki!AT:AT, "")), ""), "")))</f>
        <v/>
      </c>
      <c r="N1753" s="26" t="str">
        <f>IF(OR(F1753 = "", G1753 = ""), "", IF(F1753 = "Vara", IFERROR(_xlfn.SINGLE(_xlfn.XLOOKUP(G1753, Vöruskrá!A:A, Vöruskrá!G:G, "")), ""), IF(F1753 = "Réttur", IFERROR(_xlfn.SINGLE(_xlfn.XLOOKUP(G1753, Réttabanki!A:A, Réttabanki!AU:AU, "")), ""), "")))</f>
        <v/>
      </c>
      <c r="O1753" s="26" t="str">
        <f>IF(OR(F1753 = "", G1753 = "", I1753 = ""), "", IF(F1753 = "Vara", IFERROR(_xlfn.SINGLE(_xlfn.XLOOKUP(G1753, Vöruskrá!A:A, Vöruskrá!I:I, "")) * I1753 / 100, ""), IF(F1753 = "Réttur", IFERROR(_xlfn.SINGLE(_xlfn.XLOOKUP(G1753, Réttabanki!A:A, Réttabanki!AV:AV, "")) * I1753 / 100, ""), "")))</f>
        <v/>
      </c>
      <c r="P1753" s="26" t="str">
        <f>IF(OR(F1753 = "", G1753 = "", I1753 = ""), "", IF(F1753 = "Vara", IFERROR(_xlfn.SINGLE(_xlfn.XLOOKUP(G1753, Vöruskrá!A:A, Vöruskrá!J:J, "")) * I1753 / 100, ""), IF(F1753 = "Réttur", IFERROR(_xlfn.SINGLE(_xlfn.XLOOKUP(G1753, Réttabanki!A:A, Réttabanki!AW:AW, "")) * I1753 / 100, ""), "")))</f>
        <v/>
      </c>
      <c r="Q1753" s="26" t="str">
        <f>IF(OR(F1753 = "", G1753 = "", I1753 = ""), "", IF(F1753 = "Vara", IFERROR(_xlfn.SINGLE(_xlfn.XLOOKUP(G1753, Vöruskrá!A:A, Vöruskrá!N:N, "")) * I1753 / 100, ""), IF(F1753 = "Réttur", IFERROR(_xlfn.SINGLE(_xlfn.XLOOKUP(G1753, Réttabanki!A:A, Réttabanki!BB:BB, "")) * I1753 / 100, ""), "")))</f>
        <v/>
      </c>
    </row>
    <row r="1754" spans="2:17">
      <c r="B1754" s="33" t="str">
        <f>IF(A1754&lt;&gt;"",CHOOSE(WEEKDAY(A1754,2),"Mánudagur","Þriðjudagur","Miðvikudagur","Fimmtudagur","Föstudagur","Laugardagur","Sunnudagur"),IF(B1753&lt;&gt;"",B1753,""))</f>
        <v>Fimmtudagur</v>
      </c>
      <c r="C1754" s="33">
        <f>IF(A1754&lt;&gt;"",WEEKNUM(A1754,21),IF(C1753&lt;&gt;"",C1753,""))</f>
        <v>27</v>
      </c>
      <c r="D1754" s="34"/>
      <c r="E1754" s="34"/>
      <c r="F1754" s="34"/>
      <c r="G1754" s="34"/>
      <c r="H1754" s="34"/>
      <c r="I1754" s="35"/>
      <c r="J1754" s="35"/>
      <c r="K1754" s="36"/>
      <c r="L1754" s="26" t="str">
        <f>IF(OR(F1754 = "", G1754 = ""), "", IF(F1754 = "Vara", IFERROR(_xlfn.SINGLE(_xlfn.XLOOKUP(G1754, Vöruskrá!A:A, Vöruskrá!E:E, "")), ""), IF(F1754 = "Réttur", IFERROR(_xlfn.SINGLE(_xlfn.XLOOKUP(G1754, Réttabanki!A:A, Réttabanki!AS:AS, "")), ""), "")))</f>
        <v/>
      </c>
      <c r="M1754" s="26" t="str">
        <f>IF(OR(F1754 = "", G1754 = ""), "", IF(F1754 = "Vara", IFERROR(_xlfn.SINGLE(_xlfn.XLOOKUP(G1754, Vöruskrá!A:A, Vöruskrá!F:F, "")), ""), IF(F1754 = "Réttur", IFERROR(_xlfn.SINGLE(_xlfn.XLOOKUP(G1754, Réttabanki!A:A, Réttabanki!AT:AT, "")), ""), "")))</f>
        <v/>
      </c>
      <c r="N1754" s="26" t="str">
        <f>IF(OR(F1754 = "", G1754 = ""), "", IF(F1754 = "Vara", IFERROR(_xlfn.SINGLE(_xlfn.XLOOKUP(G1754, Vöruskrá!A:A, Vöruskrá!G:G, "")), ""), IF(F1754 = "Réttur", IFERROR(_xlfn.SINGLE(_xlfn.XLOOKUP(G1754, Réttabanki!A:A, Réttabanki!AU:AU, "")), ""), "")))</f>
        <v/>
      </c>
      <c r="O1754" s="26" t="str">
        <f>IF(OR(F1754 = "", G1754 = "", I1754 = ""), "", IF(F1754 = "Vara", IFERROR(_xlfn.SINGLE(_xlfn.XLOOKUP(G1754, Vöruskrá!A:A, Vöruskrá!I:I, "")) * I1754 / 100, ""), IF(F1754 = "Réttur", IFERROR(_xlfn.SINGLE(_xlfn.XLOOKUP(G1754, Réttabanki!A:A, Réttabanki!AV:AV, "")) * I1754 / 100, ""), "")))</f>
        <v/>
      </c>
      <c r="P1754" s="26" t="str">
        <f>IF(OR(F1754 = "", G1754 = "", I1754 = ""), "", IF(F1754 = "Vara", IFERROR(_xlfn.SINGLE(_xlfn.XLOOKUP(G1754, Vöruskrá!A:A, Vöruskrá!J:J, "")) * I1754 / 100, ""), IF(F1754 = "Réttur", IFERROR(_xlfn.SINGLE(_xlfn.XLOOKUP(G1754, Réttabanki!A:A, Réttabanki!AW:AW, "")) * I1754 / 100, ""), "")))</f>
        <v/>
      </c>
      <c r="Q1754" s="26" t="str">
        <f>IF(OR(F1754 = "", G1754 = "", I1754 = ""), "", IF(F1754 = "Vara", IFERROR(_xlfn.SINGLE(_xlfn.XLOOKUP(G1754, Vöruskrá!A:A, Vöruskrá!N:N, "")) * I1754 / 100, ""), IF(F1754 = "Réttur", IFERROR(_xlfn.SINGLE(_xlfn.XLOOKUP(G1754, Réttabanki!A:A, Réttabanki!BB:BB, "")) * I1754 / 100, ""), "")))</f>
        <v/>
      </c>
    </row>
    <row r="1755" spans="2:17">
      <c r="B1755" s="33" t="str">
        <f>IF(A1755&lt;&gt;"",CHOOSE(WEEKDAY(A1755,2),"Mánudagur","Þriðjudagur","Miðvikudagur","Fimmtudagur","Föstudagur","Laugardagur","Sunnudagur"),IF(B1754&lt;&gt;"",B1754,""))</f>
        <v>Fimmtudagur</v>
      </c>
      <c r="C1755" s="33">
        <f>IF(A1755&lt;&gt;"",WEEKNUM(A1755,21),IF(C1754&lt;&gt;"",C1754,""))</f>
        <v>27</v>
      </c>
      <c r="D1755" s="34"/>
      <c r="E1755" s="34"/>
      <c r="F1755" s="34"/>
      <c r="G1755" s="34"/>
      <c r="H1755" s="34"/>
      <c r="I1755" s="35"/>
      <c r="J1755" s="35"/>
      <c r="K1755" s="36"/>
      <c r="L1755" s="26" t="str">
        <f>IF(OR(F1755 = "", G1755 = ""), "", IF(F1755 = "Vara", IFERROR(_xlfn.SINGLE(_xlfn.XLOOKUP(G1755, Vöruskrá!A:A, Vöruskrá!E:E, "")), ""), IF(F1755 = "Réttur", IFERROR(_xlfn.SINGLE(_xlfn.XLOOKUP(G1755, Réttabanki!A:A, Réttabanki!AS:AS, "")), ""), "")))</f>
        <v/>
      </c>
      <c r="M1755" s="26" t="str">
        <f>IF(OR(F1755 = "", G1755 = ""), "", IF(F1755 = "Vara", IFERROR(_xlfn.SINGLE(_xlfn.XLOOKUP(G1755, Vöruskrá!A:A, Vöruskrá!F:F, "")), ""), IF(F1755 = "Réttur", IFERROR(_xlfn.SINGLE(_xlfn.XLOOKUP(G1755, Réttabanki!A:A, Réttabanki!AT:AT, "")), ""), "")))</f>
        <v/>
      </c>
      <c r="N1755" s="26" t="str">
        <f>IF(OR(F1755 = "", G1755 = ""), "", IF(F1755 = "Vara", IFERROR(_xlfn.SINGLE(_xlfn.XLOOKUP(G1755, Vöruskrá!A:A, Vöruskrá!G:G, "")), ""), IF(F1755 = "Réttur", IFERROR(_xlfn.SINGLE(_xlfn.XLOOKUP(G1755, Réttabanki!A:A, Réttabanki!AU:AU, "")), ""), "")))</f>
        <v/>
      </c>
      <c r="O1755" s="26" t="str">
        <f>IF(OR(F1755 = "", G1755 = "", I1755 = ""), "", IF(F1755 = "Vara", IFERROR(_xlfn.SINGLE(_xlfn.XLOOKUP(G1755, Vöruskrá!A:A, Vöruskrá!I:I, "")) * I1755 / 100, ""), IF(F1755 = "Réttur", IFERROR(_xlfn.SINGLE(_xlfn.XLOOKUP(G1755, Réttabanki!A:A, Réttabanki!AV:AV, "")) * I1755 / 100, ""), "")))</f>
        <v/>
      </c>
      <c r="P1755" s="26" t="str">
        <f>IF(OR(F1755 = "", G1755 = "", I1755 = ""), "", IF(F1755 = "Vara", IFERROR(_xlfn.SINGLE(_xlfn.XLOOKUP(G1755, Vöruskrá!A:A, Vöruskrá!J:J, "")) * I1755 / 100, ""), IF(F1755 = "Réttur", IFERROR(_xlfn.SINGLE(_xlfn.XLOOKUP(G1755, Réttabanki!A:A, Réttabanki!AW:AW, "")) * I1755 / 100, ""), "")))</f>
        <v/>
      </c>
      <c r="Q1755" s="26" t="str">
        <f>IF(OR(F1755 = "", G1755 = "", I1755 = ""), "", IF(F1755 = "Vara", IFERROR(_xlfn.SINGLE(_xlfn.XLOOKUP(G1755, Vöruskrá!A:A, Vöruskrá!N:N, "")) * I1755 / 100, ""), IF(F1755 = "Réttur", IFERROR(_xlfn.SINGLE(_xlfn.XLOOKUP(G1755, Réttabanki!A:A, Réttabanki!BB:BB, "")) * I1755 / 100, ""), "")))</f>
        <v/>
      </c>
    </row>
    <row r="1756" spans="2:17">
      <c r="B1756" s="33" t="str">
        <f>IF(A1756&lt;&gt;"",CHOOSE(WEEKDAY(A1756,2),"Mánudagur","Þriðjudagur","Miðvikudagur","Fimmtudagur","Föstudagur","Laugardagur","Sunnudagur"),IF(B1755&lt;&gt;"",B1755,""))</f>
        <v>Fimmtudagur</v>
      </c>
      <c r="C1756" s="33">
        <f>IF(A1756&lt;&gt;"",WEEKNUM(A1756,21),IF(C1755&lt;&gt;"",C1755,""))</f>
        <v>27</v>
      </c>
      <c r="D1756" s="34"/>
      <c r="E1756" s="34"/>
      <c r="F1756" s="34"/>
      <c r="G1756" s="34"/>
      <c r="H1756" s="34"/>
      <c r="I1756" s="35"/>
      <c r="J1756" s="35"/>
      <c r="K1756" s="36"/>
      <c r="L1756" s="26" t="str">
        <f>IF(OR(F1756 = "", G1756 = ""), "", IF(F1756 = "Vara", IFERROR(_xlfn.SINGLE(_xlfn.XLOOKUP(G1756, Vöruskrá!A:A, Vöruskrá!E:E, "")), ""), IF(F1756 = "Réttur", IFERROR(_xlfn.SINGLE(_xlfn.XLOOKUP(G1756, Réttabanki!A:A, Réttabanki!AS:AS, "")), ""), "")))</f>
        <v/>
      </c>
      <c r="M1756" s="26" t="str">
        <f>IF(OR(F1756 = "", G1756 = ""), "", IF(F1756 = "Vara", IFERROR(_xlfn.SINGLE(_xlfn.XLOOKUP(G1756, Vöruskrá!A:A, Vöruskrá!F:F, "")), ""), IF(F1756 = "Réttur", IFERROR(_xlfn.SINGLE(_xlfn.XLOOKUP(G1756, Réttabanki!A:A, Réttabanki!AT:AT, "")), ""), "")))</f>
        <v/>
      </c>
      <c r="N1756" s="26" t="str">
        <f>IF(OR(F1756 = "", G1756 = ""), "", IF(F1756 = "Vara", IFERROR(_xlfn.SINGLE(_xlfn.XLOOKUP(G1756, Vöruskrá!A:A, Vöruskrá!G:G, "")), ""), IF(F1756 = "Réttur", IFERROR(_xlfn.SINGLE(_xlfn.XLOOKUP(G1756, Réttabanki!A:A, Réttabanki!AU:AU, "")), ""), "")))</f>
        <v/>
      </c>
      <c r="O1756" s="26" t="str">
        <f>IF(OR(F1756 = "", G1756 = "", I1756 = ""), "", IF(F1756 = "Vara", IFERROR(_xlfn.SINGLE(_xlfn.XLOOKUP(G1756, Vöruskrá!A:A, Vöruskrá!I:I, "")) * I1756 / 100, ""), IF(F1756 = "Réttur", IFERROR(_xlfn.SINGLE(_xlfn.XLOOKUP(G1756, Réttabanki!A:A, Réttabanki!AV:AV, "")) * I1756 / 100, ""), "")))</f>
        <v/>
      </c>
      <c r="P1756" s="26" t="str">
        <f>IF(OR(F1756 = "", G1756 = "", I1756 = ""), "", IF(F1756 = "Vara", IFERROR(_xlfn.SINGLE(_xlfn.XLOOKUP(G1756, Vöruskrá!A:A, Vöruskrá!J:J, "")) * I1756 / 100, ""), IF(F1756 = "Réttur", IFERROR(_xlfn.SINGLE(_xlfn.XLOOKUP(G1756, Réttabanki!A:A, Réttabanki!AW:AW, "")) * I1756 / 100, ""), "")))</f>
        <v/>
      </c>
      <c r="Q1756" s="26" t="str">
        <f>IF(OR(F1756 = "", G1756 = "", I1756 = ""), "", IF(F1756 = "Vara", IFERROR(_xlfn.SINGLE(_xlfn.XLOOKUP(G1756, Vöruskrá!A:A, Vöruskrá!N:N, "")) * I1756 / 100, ""), IF(F1756 = "Réttur", IFERROR(_xlfn.SINGLE(_xlfn.XLOOKUP(G1756, Réttabanki!A:A, Réttabanki!BB:BB, "")) * I1756 / 100, ""), "")))</f>
        <v/>
      </c>
    </row>
    <row r="1757" spans="2:17">
      <c r="B1757" s="33" t="str">
        <f>IF(A1757&lt;&gt;"",CHOOSE(WEEKDAY(A1757,2),"Mánudagur","Þriðjudagur","Miðvikudagur","Fimmtudagur","Föstudagur","Laugardagur","Sunnudagur"),IF(B1756&lt;&gt;"",B1756,""))</f>
        <v>Fimmtudagur</v>
      </c>
      <c r="C1757" s="33">
        <f>IF(A1757&lt;&gt;"",WEEKNUM(A1757,21),IF(C1756&lt;&gt;"",C1756,""))</f>
        <v>27</v>
      </c>
      <c r="D1757" s="34"/>
      <c r="E1757" s="34"/>
      <c r="F1757" s="34"/>
      <c r="G1757" s="34"/>
      <c r="H1757" s="34"/>
      <c r="I1757" s="35"/>
      <c r="J1757" s="35"/>
      <c r="K1757" s="36"/>
      <c r="L1757" s="26" t="str">
        <f>IF(OR(F1757 = "", G1757 = ""), "", IF(F1757 = "Vara", IFERROR(_xlfn.SINGLE(_xlfn.XLOOKUP(G1757, Vöruskrá!A:A, Vöruskrá!E:E, "")), ""), IF(F1757 = "Réttur", IFERROR(_xlfn.SINGLE(_xlfn.XLOOKUP(G1757, Réttabanki!A:A, Réttabanki!AS:AS, "")), ""), "")))</f>
        <v/>
      </c>
      <c r="M1757" s="26" t="str">
        <f>IF(OR(F1757 = "", G1757 = ""), "", IF(F1757 = "Vara", IFERROR(_xlfn.SINGLE(_xlfn.XLOOKUP(G1757, Vöruskrá!A:A, Vöruskrá!F:F, "")), ""), IF(F1757 = "Réttur", IFERROR(_xlfn.SINGLE(_xlfn.XLOOKUP(G1757, Réttabanki!A:A, Réttabanki!AT:AT, "")), ""), "")))</f>
        <v/>
      </c>
      <c r="N1757" s="26" t="str">
        <f>IF(OR(F1757 = "", G1757 = ""), "", IF(F1757 = "Vara", IFERROR(_xlfn.SINGLE(_xlfn.XLOOKUP(G1757, Vöruskrá!A:A, Vöruskrá!G:G, "")), ""), IF(F1757 = "Réttur", IFERROR(_xlfn.SINGLE(_xlfn.XLOOKUP(G1757, Réttabanki!A:A, Réttabanki!AU:AU, "")), ""), "")))</f>
        <v/>
      </c>
      <c r="O1757" s="26" t="str">
        <f>IF(OR(F1757 = "", G1757 = "", I1757 = ""), "", IF(F1757 = "Vara", IFERROR(_xlfn.SINGLE(_xlfn.XLOOKUP(G1757, Vöruskrá!A:A, Vöruskrá!I:I, "")) * I1757 / 100, ""), IF(F1757 = "Réttur", IFERROR(_xlfn.SINGLE(_xlfn.XLOOKUP(G1757, Réttabanki!A:A, Réttabanki!AV:AV, "")) * I1757 / 100, ""), "")))</f>
        <v/>
      </c>
      <c r="P1757" s="26" t="str">
        <f>IF(OR(F1757 = "", G1757 = "", I1757 = ""), "", IF(F1757 = "Vara", IFERROR(_xlfn.SINGLE(_xlfn.XLOOKUP(G1757, Vöruskrá!A:A, Vöruskrá!J:J, "")) * I1757 / 100, ""), IF(F1757 = "Réttur", IFERROR(_xlfn.SINGLE(_xlfn.XLOOKUP(G1757, Réttabanki!A:A, Réttabanki!AW:AW, "")) * I1757 / 100, ""), "")))</f>
        <v/>
      </c>
      <c r="Q1757" s="26" t="str">
        <f>IF(OR(F1757 = "", G1757 = "", I1757 = ""), "", IF(F1757 = "Vara", IFERROR(_xlfn.SINGLE(_xlfn.XLOOKUP(G1757, Vöruskrá!A:A, Vöruskrá!N:N, "")) * I1757 / 100, ""), IF(F1757 = "Réttur", IFERROR(_xlfn.SINGLE(_xlfn.XLOOKUP(G1757, Réttabanki!A:A, Réttabanki!BB:BB, "")) * I1757 / 100, ""), "")))</f>
        <v/>
      </c>
    </row>
    <row r="1758" spans="2:17">
      <c r="B1758" s="33" t="str">
        <f>IF(A1758&lt;&gt;"",CHOOSE(WEEKDAY(A1758,2),"Mánudagur","Þriðjudagur","Miðvikudagur","Fimmtudagur","Föstudagur","Laugardagur","Sunnudagur"),IF(B1757&lt;&gt;"",B1757,""))</f>
        <v>Fimmtudagur</v>
      </c>
      <c r="C1758" s="33">
        <f>IF(A1758&lt;&gt;"",WEEKNUM(A1758,21),IF(C1757&lt;&gt;"",C1757,""))</f>
        <v>27</v>
      </c>
      <c r="D1758" s="34"/>
      <c r="E1758" s="34"/>
      <c r="F1758" s="34"/>
      <c r="G1758" s="34"/>
      <c r="H1758" s="34"/>
      <c r="I1758" s="35"/>
      <c r="J1758" s="35"/>
      <c r="K1758" s="36"/>
      <c r="L1758" s="26" t="str">
        <f>IF(OR(F1758 = "", G1758 = ""), "", IF(F1758 = "Vara", IFERROR(_xlfn.SINGLE(_xlfn.XLOOKUP(G1758, Vöruskrá!A:A, Vöruskrá!E:E, "")), ""), IF(F1758 = "Réttur", IFERROR(_xlfn.SINGLE(_xlfn.XLOOKUP(G1758, Réttabanki!A:A, Réttabanki!AS:AS, "")), ""), "")))</f>
        <v/>
      </c>
      <c r="M1758" s="26" t="str">
        <f>IF(OR(F1758 = "", G1758 = ""), "", IF(F1758 = "Vara", IFERROR(_xlfn.SINGLE(_xlfn.XLOOKUP(G1758, Vöruskrá!A:A, Vöruskrá!F:F, "")), ""), IF(F1758 = "Réttur", IFERROR(_xlfn.SINGLE(_xlfn.XLOOKUP(G1758, Réttabanki!A:A, Réttabanki!AT:AT, "")), ""), "")))</f>
        <v/>
      </c>
      <c r="N1758" s="26" t="str">
        <f>IF(OR(F1758 = "", G1758 = ""), "", IF(F1758 = "Vara", IFERROR(_xlfn.SINGLE(_xlfn.XLOOKUP(G1758, Vöruskrá!A:A, Vöruskrá!G:G, "")), ""), IF(F1758 = "Réttur", IFERROR(_xlfn.SINGLE(_xlfn.XLOOKUP(G1758, Réttabanki!A:A, Réttabanki!AU:AU, "")), ""), "")))</f>
        <v/>
      </c>
      <c r="O1758" s="26" t="str">
        <f>IF(OR(F1758 = "", G1758 = "", I1758 = ""), "", IF(F1758 = "Vara", IFERROR(_xlfn.SINGLE(_xlfn.XLOOKUP(G1758, Vöruskrá!A:A, Vöruskrá!I:I, "")) * I1758 / 100, ""), IF(F1758 = "Réttur", IFERROR(_xlfn.SINGLE(_xlfn.XLOOKUP(G1758, Réttabanki!A:A, Réttabanki!AV:AV, "")) * I1758 / 100, ""), "")))</f>
        <v/>
      </c>
      <c r="P1758" s="26" t="str">
        <f>IF(OR(F1758 = "", G1758 = "", I1758 = ""), "", IF(F1758 = "Vara", IFERROR(_xlfn.SINGLE(_xlfn.XLOOKUP(G1758, Vöruskrá!A:A, Vöruskrá!J:J, "")) * I1758 / 100, ""), IF(F1758 = "Réttur", IFERROR(_xlfn.SINGLE(_xlfn.XLOOKUP(G1758, Réttabanki!A:A, Réttabanki!AW:AW, "")) * I1758 / 100, ""), "")))</f>
        <v/>
      </c>
      <c r="Q1758" s="26" t="str">
        <f>IF(OR(F1758 = "", G1758 = "", I1758 = ""), "", IF(F1758 = "Vara", IFERROR(_xlfn.SINGLE(_xlfn.XLOOKUP(G1758, Vöruskrá!A:A, Vöruskrá!N:N, "")) * I1758 / 100, ""), IF(F1758 = "Réttur", IFERROR(_xlfn.SINGLE(_xlfn.XLOOKUP(G1758, Réttabanki!A:A, Réttabanki!BB:BB, "")) * I1758 / 100, ""), "")))</f>
        <v/>
      </c>
    </row>
    <row r="1759" spans="2:17">
      <c r="B1759" s="33" t="str">
        <f>IF(A1759&lt;&gt;"",CHOOSE(WEEKDAY(A1759,2),"Mánudagur","Þriðjudagur","Miðvikudagur","Fimmtudagur","Föstudagur","Laugardagur","Sunnudagur"),IF(B1758&lt;&gt;"",B1758,""))</f>
        <v>Fimmtudagur</v>
      </c>
      <c r="C1759" s="33">
        <f>IF(A1759&lt;&gt;"",WEEKNUM(A1759,21),IF(C1758&lt;&gt;"",C1758,""))</f>
        <v>27</v>
      </c>
      <c r="D1759" s="34"/>
      <c r="E1759" s="34"/>
      <c r="F1759" s="34"/>
      <c r="G1759" s="34"/>
      <c r="H1759" s="34"/>
      <c r="I1759" s="35"/>
      <c r="J1759" s="35"/>
      <c r="K1759" s="36"/>
      <c r="L1759" s="26" t="str">
        <f>IF(OR(F1759 = "", G1759 = ""), "", IF(F1759 = "Vara", IFERROR(_xlfn.SINGLE(_xlfn.XLOOKUP(G1759, Vöruskrá!A:A, Vöruskrá!E:E, "")), ""), IF(F1759 = "Réttur", IFERROR(_xlfn.SINGLE(_xlfn.XLOOKUP(G1759, Réttabanki!A:A, Réttabanki!AS:AS, "")), ""), "")))</f>
        <v/>
      </c>
      <c r="M1759" s="26" t="str">
        <f>IF(OR(F1759 = "", G1759 = ""), "", IF(F1759 = "Vara", IFERROR(_xlfn.SINGLE(_xlfn.XLOOKUP(G1759, Vöruskrá!A:A, Vöruskrá!F:F, "")), ""), IF(F1759 = "Réttur", IFERROR(_xlfn.SINGLE(_xlfn.XLOOKUP(G1759, Réttabanki!A:A, Réttabanki!AT:AT, "")), ""), "")))</f>
        <v/>
      </c>
      <c r="N1759" s="26" t="str">
        <f>IF(OR(F1759 = "", G1759 = ""), "", IF(F1759 = "Vara", IFERROR(_xlfn.SINGLE(_xlfn.XLOOKUP(G1759, Vöruskrá!A:A, Vöruskrá!G:G, "")), ""), IF(F1759 = "Réttur", IFERROR(_xlfn.SINGLE(_xlfn.XLOOKUP(G1759, Réttabanki!A:A, Réttabanki!AU:AU, "")), ""), "")))</f>
        <v/>
      </c>
      <c r="O1759" s="26" t="str">
        <f>IF(OR(F1759 = "", G1759 = "", I1759 = ""), "", IF(F1759 = "Vara", IFERROR(_xlfn.SINGLE(_xlfn.XLOOKUP(G1759, Vöruskrá!A:A, Vöruskrá!I:I, "")) * I1759 / 100, ""), IF(F1759 = "Réttur", IFERROR(_xlfn.SINGLE(_xlfn.XLOOKUP(G1759, Réttabanki!A:A, Réttabanki!AV:AV, "")) * I1759 / 100, ""), "")))</f>
        <v/>
      </c>
      <c r="P1759" s="26" t="str">
        <f>IF(OR(F1759 = "", G1759 = "", I1759 = ""), "", IF(F1759 = "Vara", IFERROR(_xlfn.SINGLE(_xlfn.XLOOKUP(G1759, Vöruskrá!A:A, Vöruskrá!J:J, "")) * I1759 / 100, ""), IF(F1759 = "Réttur", IFERROR(_xlfn.SINGLE(_xlfn.XLOOKUP(G1759, Réttabanki!A:A, Réttabanki!AW:AW, "")) * I1759 / 100, ""), "")))</f>
        <v/>
      </c>
      <c r="Q1759" s="26" t="str">
        <f>IF(OR(F1759 = "", G1759 = "", I1759 = ""), "", IF(F1759 = "Vara", IFERROR(_xlfn.SINGLE(_xlfn.XLOOKUP(G1759, Vöruskrá!A:A, Vöruskrá!N:N, "")) * I1759 / 100, ""), IF(F1759 = "Réttur", IFERROR(_xlfn.SINGLE(_xlfn.XLOOKUP(G1759, Réttabanki!A:A, Réttabanki!BB:BB, "")) * I1759 / 100, ""), "")))</f>
        <v/>
      </c>
    </row>
    <row r="1760" spans="2:17">
      <c r="B1760" s="33" t="str">
        <f>IF(A1760&lt;&gt;"",CHOOSE(WEEKDAY(A1760,2),"Mánudagur","Þriðjudagur","Miðvikudagur","Fimmtudagur","Föstudagur","Laugardagur","Sunnudagur"),IF(B1759&lt;&gt;"",B1759,""))</f>
        <v>Fimmtudagur</v>
      </c>
      <c r="C1760" s="33">
        <f>IF(A1760&lt;&gt;"",WEEKNUM(A1760,21),IF(C1759&lt;&gt;"",C1759,""))</f>
        <v>27</v>
      </c>
      <c r="D1760" s="34"/>
      <c r="E1760" s="34"/>
      <c r="F1760" s="34"/>
      <c r="G1760" s="34"/>
      <c r="H1760" s="34"/>
      <c r="I1760" s="35"/>
      <c r="J1760" s="35"/>
      <c r="K1760" s="36"/>
      <c r="L1760" s="26" t="str">
        <f>IF(OR(F1760 = "", G1760 = ""), "", IF(F1760 = "Vara", IFERROR(_xlfn.SINGLE(_xlfn.XLOOKUP(G1760, Vöruskrá!A:A, Vöruskrá!E:E, "")), ""), IF(F1760 = "Réttur", IFERROR(_xlfn.SINGLE(_xlfn.XLOOKUP(G1760, Réttabanki!A:A, Réttabanki!AS:AS, "")), ""), "")))</f>
        <v/>
      </c>
      <c r="M1760" s="26" t="str">
        <f>IF(OR(F1760 = "", G1760 = ""), "", IF(F1760 = "Vara", IFERROR(_xlfn.SINGLE(_xlfn.XLOOKUP(G1760, Vöruskrá!A:A, Vöruskrá!F:F, "")), ""), IF(F1760 = "Réttur", IFERROR(_xlfn.SINGLE(_xlfn.XLOOKUP(G1760, Réttabanki!A:A, Réttabanki!AT:AT, "")), ""), "")))</f>
        <v/>
      </c>
      <c r="N1760" s="26" t="str">
        <f>IF(OR(F1760 = "", G1760 = ""), "", IF(F1760 = "Vara", IFERROR(_xlfn.SINGLE(_xlfn.XLOOKUP(G1760, Vöruskrá!A:A, Vöruskrá!G:G, "")), ""), IF(F1760 = "Réttur", IFERROR(_xlfn.SINGLE(_xlfn.XLOOKUP(G1760, Réttabanki!A:A, Réttabanki!AU:AU, "")), ""), "")))</f>
        <v/>
      </c>
      <c r="O1760" s="26" t="str">
        <f>IF(OR(F1760 = "", G1760 = "", I1760 = ""), "", IF(F1760 = "Vara", IFERROR(_xlfn.SINGLE(_xlfn.XLOOKUP(G1760, Vöruskrá!A:A, Vöruskrá!I:I, "")) * I1760 / 100, ""), IF(F1760 = "Réttur", IFERROR(_xlfn.SINGLE(_xlfn.XLOOKUP(G1760, Réttabanki!A:A, Réttabanki!AV:AV, "")) * I1760 / 100, ""), "")))</f>
        <v/>
      </c>
      <c r="P1760" s="26" t="str">
        <f>IF(OR(F1760 = "", G1760 = "", I1760 = ""), "", IF(F1760 = "Vara", IFERROR(_xlfn.SINGLE(_xlfn.XLOOKUP(G1760, Vöruskrá!A:A, Vöruskrá!J:J, "")) * I1760 / 100, ""), IF(F1760 = "Réttur", IFERROR(_xlfn.SINGLE(_xlfn.XLOOKUP(G1760, Réttabanki!A:A, Réttabanki!AW:AW, "")) * I1760 / 100, ""), "")))</f>
        <v/>
      </c>
      <c r="Q1760" s="26" t="str">
        <f>IF(OR(F1760 = "", G1760 = "", I1760 = ""), "", IF(F1760 = "Vara", IFERROR(_xlfn.SINGLE(_xlfn.XLOOKUP(G1760, Vöruskrá!A:A, Vöruskrá!N:N, "")) * I1760 / 100, ""), IF(F1760 = "Réttur", IFERROR(_xlfn.SINGLE(_xlfn.XLOOKUP(G1760, Réttabanki!A:A, Réttabanki!BB:BB, "")) * I1760 / 100, ""), "")))</f>
        <v/>
      </c>
    </row>
    <row r="1761" spans="2:17">
      <c r="B1761" s="33" t="str">
        <f>IF(A1761&lt;&gt;"",CHOOSE(WEEKDAY(A1761,2),"Mánudagur","Þriðjudagur","Miðvikudagur","Fimmtudagur","Föstudagur","Laugardagur","Sunnudagur"),IF(B1760&lt;&gt;"",B1760,""))</f>
        <v>Fimmtudagur</v>
      </c>
      <c r="C1761" s="33">
        <f>IF(A1761&lt;&gt;"",WEEKNUM(A1761,21),IF(C1760&lt;&gt;"",C1760,""))</f>
        <v>27</v>
      </c>
      <c r="D1761" s="34"/>
      <c r="E1761" s="34"/>
      <c r="F1761" s="34"/>
      <c r="G1761" s="34"/>
      <c r="H1761" s="34"/>
      <c r="I1761" s="35"/>
      <c r="J1761" s="35"/>
      <c r="K1761" s="36"/>
      <c r="L1761" s="26" t="str">
        <f>IF(OR(F1761 = "", G1761 = ""), "", IF(F1761 = "Vara", IFERROR(_xlfn.SINGLE(_xlfn.XLOOKUP(G1761, Vöruskrá!A:A, Vöruskrá!E:E, "")), ""), IF(F1761 = "Réttur", IFERROR(_xlfn.SINGLE(_xlfn.XLOOKUP(G1761, Réttabanki!A:A, Réttabanki!AS:AS, "")), ""), "")))</f>
        <v/>
      </c>
      <c r="M1761" s="26" t="str">
        <f>IF(OR(F1761 = "", G1761 = ""), "", IF(F1761 = "Vara", IFERROR(_xlfn.SINGLE(_xlfn.XLOOKUP(G1761, Vöruskrá!A:A, Vöruskrá!F:F, "")), ""), IF(F1761 = "Réttur", IFERROR(_xlfn.SINGLE(_xlfn.XLOOKUP(G1761, Réttabanki!A:A, Réttabanki!AT:AT, "")), ""), "")))</f>
        <v/>
      </c>
      <c r="N1761" s="26" t="str">
        <f>IF(OR(F1761 = "", G1761 = ""), "", IF(F1761 = "Vara", IFERROR(_xlfn.SINGLE(_xlfn.XLOOKUP(G1761, Vöruskrá!A:A, Vöruskrá!G:G, "")), ""), IF(F1761 = "Réttur", IFERROR(_xlfn.SINGLE(_xlfn.XLOOKUP(G1761, Réttabanki!A:A, Réttabanki!AU:AU, "")), ""), "")))</f>
        <v/>
      </c>
      <c r="O1761" s="26" t="str">
        <f>IF(OR(F1761 = "", G1761 = "", I1761 = ""), "", IF(F1761 = "Vara", IFERROR(_xlfn.SINGLE(_xlfn.XLOOKUP(G1761, Vöruskrá!A:A, Vöruskrá!I:I, "")) * I1761 / 100, ""), IF(F1761 = "Réttur", IFERROR(_xlfn.SINGLE(_xlfn.XLOOKUP(G1761, Réttabanki!A:A, Réttabanki!AV:AV, "")) * I1761 / 100, ""), "")))</f>
        <v/>
      </c>
      <c r="P1761" s="26" t="str">
        <f>IF(OR(F1761 = "", G1761 = "", I1761 = ""), "", IF(F1761 = "Vara", IFERROR(_xlfn.SINGLE(_xlfn.XLOOKUP(G1761, Vöruskrá!A:A, Vöruskrá!J:J, "")) * I1761 / 100, ""), IF(F1761 = "Réttur", IFERROR(_xlfn.SINGLE(_xlfn.XLOOKUP(G1761, Réttabanki!A:A, Réttabanki!AW:AW, "")) * I1761 / 100, ""), "")))</f>
        <v/>
      </c>
      <c r="Q1761" s="26" t="str">
        <f>IF(OR(F1761 = "", G1761 = "", I1761 = ""), "", IF(F1761 = "Vara", IFERROR(_xlfn.SINGLE(_xlfn.XLOOKUP(G1761, Vöruskrá!A:A, Vöruskrá!N:N, "")) * I1761 / 100, ""), IF(F1761 = "Réttur", IFERROR(_xlfn.SINGLE(_xlfn.XLOOKUP(G1761, Réttabanki!A:A, Réttabanki!BB:BB, "")) * I1761 / 100, ""), "")))</f>
        <v/>
      </c>
    </row>
    <row r="1762" spans="2:17">
      <c r="B1762" s="33" t="str">
        <f>IF(A1762&lt;&gt;"",CHOOSE(WEEKDAY(A1762,2),"Mánudagur","Þriðjudagur","Miðvikudagur","Fimmtudagur","Föstudagur","Laugardagur","Sunnudagur"),IF(B1761&lt;&gt;"",B1761,""))</f>
        <v>Fimmtudagur</v>
      </c>
      <c r="C1762" s="33">
        <f>IF(A1762&lt;&gt;"",WEEKNUM(A1762,21),IF(C1761&lt;&gt;"",C1761,""))</f>
        <v>27</v>
      </c>
      <c r="D1762" s="34"/>
      <c r="E1762" s="34"/>
      <c r="F1762" s="34"/>
      <c r="G1762" s="34"/>
      <c r="H1762" s="34"/>
      <c r="I1762" s="35"/>
      <c r="J1762" s="35"/>
      <c r="K1762" s="36"/>
      <c r="L1762" s="26" t="str">
        <f>IF(OR(F1762 = "", G1762 = ""), "", IF(F1762 = "Vara", IFERROR(_xlfn.SINGLE(_xlfn.XLOOKUP(G1762, Vöruskrá!A:A, Vöruskrá!E:E, "")), ""), IF(F1762 = "Réttur", IFERROR(_xlfn.SINGLE(_xlfn.XLOOKUP(G1762, Réttabanki!A:A, Réttabanki!AS:AS, "")), ""), "")))</f>
        <v/>
      </c>
      <c r="M1762" s="26" t="str">
        <f>IF(OR(F1762 = "", G1762 = ""), "", IF(F1762 = "Vara", IFERROR(_xlfn.SINGLE(_xlfn.XLOOKUP(G1762, Vöruskrá!A:A, Vöruskrá!F:F, "")), ""), IF(F1762 = "Réttur", IFERROR(_xlfn.SINGLE(_xlfn.XLOOKUP(G1762, Réttabanki!A:A, Réttabanki!AT:AT, "")), ""), "")))</f>
        <v/>
      </c>
      <c r="N1762" s="26" t="str">
        <f>IF(OR(F1762 = "", G1762 = ""), "", IF(F1762 = "Vara", IFERROR(_xlfn.SINGLE(_xlfn.XLOOKUP(G1762, Vöruskrá!A:A, Vöruskrá!G:G, "")), ""), IF(F1762 = "Réttur", IFERROR(_xlfn.SINGLE(_xlfn.XLOOKUP(G1762, Réttabanki!A:A, Réttabanki!AU:AU, "")), ""), "")))</f>
        <v/>
      </c>
      <c r="O1762" s="26" t="str">
        <f>IF(OR(F1762 = "", G1762 = "", I1762 = ""), "", IF(F1762 = "Vara", IFERROR(_xlfn.SINGLE(_xlfn.XLOOKUP(G1762, Vöruskrá!A:A, Vöruskrá!I:I, "")) * I1762 / 100, ""), IF(F1762 = "Réttur", IFERROR(_xlfn.SINGLE(_xlfn.XLOOKUP(G1762, Réttabanki!A:A, Réttabanki!AV:AV, "")) * I1762 / 100, ""), "")))</f>
        <v/>
      </c>
      <c r="P1762" s="26" t="str">
        <f>IF(OR(F1762 = "", G1762 = "", I1762 = ""), "", IF(F1762 = "Vara", IFERROR(_xlfn.SINGLE(_xlfn.XLOOKUP(G1762, Vöruskrá!A:A, Vöruskrá!J:J, "")) * I1762 / 100, ""), IF(F1762 = "Réttur", IFERROR(_xlfn.SINGLE(_xlfn.XLOOKUP(G1762, Réttabanki!A:A, Réttabanki!AW:AW, "")) * I1762 / 100, ""), "")))</f>
        <v/>
      </c>
      <c r="Q1762" s="26" t="str">
        <f>IF(OR(F1762 = "", G1762 = "", I1762 = ""), "", IF(F1762 = "Vara", IFERROR(_xlfn.SINGLE(_xlfn.XLOOKUP(G1762, Vöruskrá!A:A, Vöruskrá!N:N, "")) * I1762 / 100, ""), IF(F1762 = "Réttur", IFERROR(_xlfn.SINGLE(_xlfn.XLOOKUP(G1762, Réttabanki!A:A, Réttabanki!BB:BB, "")) * I1762 / 100, ""), "")))</f>
        <v/>
      </c>
    </row>
    <row r="1763" spans="2:17">
      <c r="B1763" s="33" t="str">
        <f>IF(A1763&lt;&gt;"",CHOOSE(WEEKDAY(A1763,2),"Mánudagur","Þriðjudagur","Miðvikudagur","Fimmtudagur","Föstudagur","Laugardagur","Sunnudagur"),IF(B1762&lt;&gt;"",B1762,""))</f>
        <v>Fimmtudagur</v>
      </c>
      <c r="C1763" s="33">
        <f>IF(A1763&lt;&gt;"",WEEKNUM(A1763,21),IF(C1762&lt;&gt;"",C1762,""))</f>
        <v>27</v>
      </c>
      <c r="D1763" s="34"/>
      <c r="E1763" s="34"/>
      <c r="F1763" s="34"/>
      <c r="G1763" s="34"/>
      <c r="H1763" s="34"/>
      <c r="I1763" s="35"/>
      <c r="J1763" s="35"/>
      <c r="K1763" s="36"/>
      <c r="L1763" s="26" t="str">
        <f>IF(OR(F1763 = "", G1763 = ""), "", IF(F1763 = "Vara", IFERROR(_xlfn.SINGLE(_xlfn.XLOOKUP(G1763, Vöruskrá!A:A, Vöruskrá!E:E, "")), ""), IF(F1763 = "Réttur", IFERROR(_xlfn.SINGLE(_xlfn.XLOOKUP(G1763, Réttabanki!A:A, Réttabanki!AS:AS, "")), ""), "")))</f>
        <v/>
      </c>
      <c r="M1763" s="26" t="str">
        <f>IF(OR(F1763 = "", G1763 = ""), "", IF(F1763 = "Vara", IFERROR(_xlfn.SINGLE(_xlfn.XLOOKUP(G1763, Vöruskrá!A:A, Vöruskrá!F:F, "")), ""), IF(F1763 = "Réttur", IFERROR(_xlfn.SINGLE(_xlfn.XLOOKUP(G1763, Réttabanki!A:A, Réttabanki!AT:AT, "")), ""), "")))</f>
        <v/>
      </c>
      <c r="N1763" s="26" t="str">
        <f>IF(OR(F1763 = "", G1763 = ""), "", IF(F1763 = "Vara", IFERROR(_xlfn.SINGLE(_xlfn.XLOOKUP(G1763, Vöruskrá!A:A, Vöruskrá!G:G, "")), ""), IF(F1763 = "Réttur", IFERROR(_xlfn.SINGLE(_xlfn.XLOOKUP(G1763, Réttabanki!A:A, Réttabanki!AU:AU, "")), ""), "")))</f>
        <v/>
      </c>
      <c r="O1763" s="26" t="str">
        <f>IF(OR(F1763 = "", G1763 = "", I1763 = ""), "", IF(F1763 = "Vara", IFERROR(_xlfn.SINGLE(_xlfn.XLOOKUP(G1763, Vöruskrá!A:A, Vöruskrá!I:I, "")) * I1763 / 100, ""), IF(F1763 = "Réttur", IFERROR(_xlfn.SINGLE(_xlfn.XLOOKUP(G1763, Réttabanki!A:A, Réttabanki!AV:AV, "")) * I1763 / 100, ""), "")))</f>
        <v/>
      </c>
      <c r="P1763" s="26" t="str">
        <f>IF(OR(F1763 = "", G1763 = "", I1763 = ""), "", IF(F1763 = "Vara", IFERROR(_xlfn.SINGLE(_xlfn.XLOOKUP(G1763, Vöruskrá!A:A, Vöruskrá!J:J, "")) * I1763 / 100, ""), IF(F1763 = "Réttur", IFERROR(_xlfn.SINGLE(_xlfn.XLOOKUP(G1763, Réttabanki!A:A, Réttabanki!AW:AW, "")) * I1763 / 100, ""), "")))</f>
        <v/>
      </c>
      <c r="Q1763" s="26" t="str">
        <f>IF(OR(F1763 = "", G1763 = "", I1763 = ""), "", IF(F1763 = "Vara", IFERROR(_xlfn.SINGLE(_xlfn.XLOOKUP(G1763, Vöruskrá!A:A, Vöruskrá!N:N, "")) * I1763 / 100, ""), IF(F1763 = "Réttur", IFERROR(_xlfn.SINGLE(_xlfn.XLOOKUP(G1763, Réttabanki!A:A, Réttabanki!BB:BB, "")) * I1763 / 100, ""), "")))</f>
        <v/>
      </c>
    </row>
    <row r="1764" spans="2:17">
      <c r="B1764" s="33" t="str">
        <f>IF(A1764&lt;&gt;"",CHOOSE(WEEKDAY(A1764,2),"Mánudagur","Þriðjudagur","Miðvikudagur","Fimmtudagur","Föstudagur","Laugardagur","Sunnudagur"),IF(B1763&lt;&gt;"",B1763,""))</f>
        <v>Fimmtudagur</v>
      </c>
      <c r="C1764" s="33">
        <f>IF(A1764&lt;&gt;"",WEEKNUM(A1764,21),IF(C1763&lt;&gt;"",C1763,""))</f>
        <v>27</v>
      </c>
      <c r="D1764" s="34"/>
      <c r="E1764" s="34"/>
      <c r="F1764" s="34"/>
      <c r="G1764" s="34"/>
      <c r="H1764" s="34"/>
      <c r="I1764" s="35"/>
      <c r="J1764" s="35"/>
      <c r="K1764" s="36"/>
      <c r="L1764" s="26" t="str">
        <f>IF(OR(F1764 = "", G1764 = ""), "", IF(F1764 = "Vara", IFERROR(_xlfn.SINGLE(_xlfn.XLOOKUP(G1764, Vöruskrá!A:A, Vöruskrá!E:E, "")), ""), IF(F1764 = "Réttur", IFERROR(_xlfn.SINGLE(_xlfn.XLOOKUP(G1764, Réttabanki!A:A, Réttabanki!AS:AS, "")), ""), "")))</f>
        <v/>
      </c>
      <c r="M1764" s="26" t="str">
        <f>IF(OR(F1764 = "", G1764 = ""), "", IF(F1764 = "Vara", IFERROR(_xlfn.SINGLE(_xlfn.XLOOKUP(G1764, Vöruskrá!A:A, Vöruskrá!F:F, "")), ""), IF(F1764 = "Réttur", IFERROR(_xlfn.SINGLE(_xlfn.XLOOKUP(G1764, Réttabanki!A:A, Réttabanki!AT:AT, "")), ""), "")))</f>
        <v/>
      </c>
      <c r="N1764" s="26" t="str">
        <f>IF(OR(F1764 = "", G1764 = ""), "", IF(F1764 = "Vara", IFERROR(_xlfn.SINGLE(_xlfn.XLOOKUP(G1764, Vöruskrá!A:A, Vöruskrá!G:G, "")), ""), IF(F1764 = "Réttur", IFERROR(_xlfn.SINGLE(_xlfn.XLOOKUP(G1764, Réttabanki!A:A, Réttabanki!AU:AU, "")), ""), "")))</f>
        <v/>
      </c>
      <c r="O1764" s="26" t="str">
        <f>IF(OR(F1764 = "", G1764 = "", I1764 = ""), "", IF(F1764 = "Vara", IFERROR(_xlfn.SINGLE(_xlfn.XLOOKUP(G1764, Vöruskrá!A:A, Vöruskrá!I:I, "")) * I1764 / 100, ""), IF(F1764 = "Réttur", IFERROR(_xlfn.SINGLE(_xlfn.XLOOKUP(G1764, Réttabanki!A:A, Réttabanki!AV:AV, "")) * I1764 / 100, ""), "")))</f>
        <v/>
      </c>
      <c r="P1764" s="26" t="str">
        <f>IF(OR(F1764 = "", G1764 = "", I1764 = ""), "", IF(F1764 = "Vara", IFERROR(_xlfn.SINGLE(_xlfn.XLOOKUP(G1764, Vöruskrá!A:A, Vöruskrá!J:J, "")) * I1764 / 100, ""), IF(F1764 = "Réttur", IFERROR(_xlfn.SINGLE(_xlfn.XLOOKUP(G1764, Réttabanki!A:A, Réttabanki!AW:AW, "")) * I1764 / 100, ""), "")))</f>
        <v/>
      </c>
      <c r="Q1764" s="26" t="str">
        <f>IF(OR(F1764 = "", G1764 = "", I1764 = ""), "", IF(F1764 = "Vara", IFERROR(_xlfn.SINGLE(_xlfn.XLOOKUP(G1764, Vöruskrá!A:A, Vöruskrá!N:N, "")) * I1764 / 100, ""), IF(F1764 = "Réttur", IFERROR(_xlfn.SINGLE(_xlfn.XLOOKUP(G1764, Réttabanki!A:A, Réttabanki!BB:BB, "")) * I1764 / 100, ""), "")))</f>
        <v/>
      </c>
    </row>
    <row r="1765" spans="2:17">
      <c r="B1765" s="33" t="str">
        <f>IF(A1765&lt;&gt;"",CHOOSE(WEEKDAY(A1765,2),"Mánudagur","Þriðjudagur","Miðvikudagur","Fimmtudagur","Föstudagur","Laugardagur","Sunnudagur"),IF(B1764&lt;&gt;"",B1764,""))</f>
        <v>Fimmtudagur</v>
      </c>
      <c r="C1765" s="33">
        <f>IF(A1765&lt;&gt;"",WEEKNUM(A1765,21),IF(C1764&lt;&gt;"",C1764,""))</f>
        <v>27</v>
      </c>
      <c r="D1765" s="34"/>
      <c r="E1765" s="34"/>
      <c r="F1765" s="34"/>
      <c r="G1765" s="34"/>
      <c r="H1765" s="34"/>
      <c r="I1765" s="35"/>
      <c r="J1765" s="35"/>
      <c r="K1765" s="36"/>
      <c r="L1765" s="26" t="str">
        <f>IF(OR(F1765 = "", G1765 = ""), "", IF(F1765 = "Vara", IFERROR(_xlfn.SINGLE(_xlfn.XLOOKUP(G1765, Vöruskrá!A:A, Vöruskrá!E:E, "")), ""), IF(F1765 = "Réttur", IFERROR(_xlfn.SINGLE(_xlfn.XLOOKUP(G1765, Réttabanki!A:A, Réttabanki!AS:AS, "")), ""), "")))</f>
        <v/>
      </c>
      <c r="M1765" s="26" t="str">
        <f>IF(OR(F1765 = "", G1765 = ""), "", IF(F1765 = "Vara", IFERROR(_xlfn.SINGLE(_xlfn.XLOOKUP(G1765, Vöruskrá!A:A, Vöruskrá!F:F, "")), ""), IF(F1765 = "Réttur", IFERROR(_xlfn.SINGLE(_xlfn.XLOOKUP(G1765, Réttabanki!A:A, Réttabanki!AT:AT, "")), ""), "")))</f>
        <v/>
      </c>
      <c r="N1765" s="26" t="str">
        <f>IF(OR(F1765 = "", G1765 = ""), "", IF(F1765 = "Vara", IFERROR(_xlfn.SINGLE(_xlfn.XLOOKUP(G1765, Vöruskrá!A:A, Vöruskrá!G:G, "")), ""), IF(F1765 = "Réttur", IFERROR(_xlfn.SINGLE(_xlfn.XLOOKUP(G1765, Réttabanki!A:A, Réttabanki!AU:AU, "")), ""), "")))</f>
        <v/>
      </c>
      <c r="O1765" s="26" t="str">
        <f>IF(OR(F1765 = "", G1765 = "", I1765 = ""), "", IF(F1765 = "Vara", IFERROR(_xlfn.SINGLE(_xlfn.XLOOKUP(G1765, Vöruskrá!A:A, Vöruskrá!I:I, "")) * I1765 / 100, ""), IF(F1765 = "Réttur", IFERROR(_xlfn.SINGLE(_xlfn.XLOOKUP(G1765, Réttabanki!A:A, Réttabanki!AV:AV, "")) * I1765 / 100, ""), "")))</f>
        <v/>
      </c>
      <c r="P1765" s="26" t="str">
        <f>IF(OR(F1765 = "", G1765 = "", I1765 = ""), "", IF(F1765 = "Vara", IFERROR(_xlfn.SINGLE(_xlfn.XLOOKUP(G1765, Vöruskrá!A:A, Vöruskrá!J:J, "")) * I1765 / 100, ""), IF(F1765 = "Réttur", IFERROR(_xlfn.SINGLE(_xlfn.XLOOKUP(G1765, Réttabanki!A:A, Réttabanki!AW:AW, "")) * I1765 / 100, ""), "")))</f>
        <v/>
      </c>
      <c r="Q1765" s="26" t="str">
        <f>IF(OR(F1765 = "", G1765 = "", I1765 = ""), "", IF(F1765 = "Vara", IFERROR(_xlfn.SINGLE(_xlfn.XLOOKUP(G1765, Vöruskrá!A:A, Vöruskrá!N:N, "")) * I1765 / 100, ""), IF(F1765 = "Réttur", IFERROR(_xlfn.SINGLE(_xlfn.XLOOKUP(G1765, Réttabanki!A:A, Réttabanki!BB:BB, "")) * I1765 / 100, ""), "")))</f>
        <v/>
      </c>
    </row>
    <row r="1766" spans="2:17">
      <c r="B1766" s="33" t="str">
        <f>IF(A1766&lt;&gt;"",CHOOSE(WEEKDAY(A1766,2),"Mánudagur","Þriðjudagur","Miðvikudagur","Fimmtudagur","Föstudagur","Laugardagur","Sunnudagur"),IF(B1765&lt;&gt;"",B1765,""))</f>
        <v>Fimmtudagur</v>
      </c>
      <c r="C1766" s="33">
        <f>IF(A1766&lt;&gt;"",WEEKNUM(A1766,21),IF(C1765&lt;&gt;"",C1765,""))</f>
        <v>27</v>
      </c>
      <c r="D1766" s="34"/>
      <c r="E1766" s="34"/>
      <c r="F1766" s="34"/>
      <c r="G1766" s="34"/>
      <c r="H1766" s="34"/>
      <c r="I1766" s="35"/>
      <c r="J1766" s="35"/>
      <c r="K1766" s="36"/>
      <c r="L1766" s="26" t="str">
        <f>IF(OR(F1766 = "", G1766 = ""), "", IF(F1766 = "Vara", IFERROR(_xlfn.SINGLE(_xlfn.XLOOKUP(G1766, Vöruskrá!A:A, Vöruskrá!E:E, "")), ""), IF(F1766 = "Réttur", IFERROR(_xlfn.SINGLE(_xlfn.XLOOKUP(G1766, Réttabanki!A:A, Réttabanki!AS:AS, "")), ""), "")))</f>
        <v/>
      </c>
      <c r="M1766" s="26" t="str">
        <f>IF(OR(F1766 = "", G1766 = ""), "", IF(F1766 = "Vara", IFERROR(_xlfn.SINGLE(_xlfn.XLOOKUP(G1766, Vöruskrá!A:A, Vöruskrá!F:F, "")), ""), IF(F1766 = "Réttur", IFERROR(_xlfn.SINGLE(_xlfn.XLOOKUP(G1766, Réttabanki!A:A, Réttabanki!AT:AT, "")), ""), "")))</f>
        <v/>
      </c>
      <c r="N1766" s="26" t="str">
        <f>IF(OR(F1766 = "", G1766 = ""), "", IF(F1766 = "Vara", IFERROR(_xlfn.SINGLE(_xlfn.XLOOKUP(G1766, Vöruskrá!A:A, Vöruskrá!G:G, "")), ""), IF(F1766 = "Réttur", IFERROR(_xlfn.SINGLE(_xlfn.XLOOKUP(G1766, Réttabanki!A:A, Réttabanki!AU:AU, "")), ""), "")))</f>
        <v/>
      </c>
      <c r="O1766" s="26" t="str">
        <f>IF(OR(F1766 = "", G1766 = "", I1766 = ""), "", IF(F1766 = "Vara", IFERROR(_xlfn.SINGLE(_xlfn.XLOOKUP(G1766, Vöruskrá!A:A, Vöruskrá!I:I, "")) * I1766 / 100, ""), IF(F1766 = "Réttur", IFERROR(_xlfn.SINGLE(_xlfn.XLOOKUP(G1766, Réttabanki!A:A, Réttabanki!AV:AV, "")) * I1766 / 100, ""), "")))</f>
        <v/>
      </c>
      <c r="P1766" s="26" t="str">
        <f>IF(OR(F1766 = "", G1766 = "", I1766 = ""), "", IF(F1766 = "Vara", IFERROR(_xlfn.SINGLE(_xlfn.XLOOKUP(G1766, Vöruskrá!A:A, Vöruskrá!J:J, "")) * I1766 / 100, ""), IF(F1766 = "Réttur", IFERROR(_xlfn.SINGLE(_xlfn.XLOOKUP(G1766, Réttabanki!A:A, Réttabanki!AW:AW, "")) * I1766 / 100, ""), "")))</f>
        <v/>
      </c>
      <c r="Q1766" s="26" t="str">
        <f>IF(OR(F1766 = "", G1766 = "", I1766 = ""), "", IF(F1766 = "Vara", IFERROR(_xlfn.SINGLE(_xlfn.XLOOKUP(G1766, Vöruskrá!A:A, Vöruskrá!N:N, "")) * I1766 / 100, ""), IF(F1766 = "Réttur", IFERROR(_xlfn.SINGLE(_xlfn.XLOOKUP(G1766, Réttabanki!A:A, Réttabanki!BB:BB, "")) * I1766 / 100, ""), "")))</f>
        <v/>
      </c>
    </row>
    <row r="1767" spans="2:17">
      <c r="B1767" s="33" t="str">
        <f>IF(A1767&lt;&gt;"",CHOOSE(WEEKDAY(A1767,2),"Mánudagur","Þriðjudagur","Miðvikudagur","Fimmtudagur","Föstudagur","Laugardagur","Sunnudagur"),IF(B1766&lt;&gt;"",B1766,""))</f>
        <v>Fimmtudagur</v>
      </c>
      <c r="C1767" s="33">
        <f>IF(A1767&lt;&gt;"",WEEKNUM(A1767,21),IF(C1766&lt;&gt;"",C1766,""))</f>
        <v>27</v>
      </c>
      <c r="D1767" s="34"/>
      <c r="E1767" s="34"/>
      <c r="F1767" s="34"/>
      <c r="G1767" s="34"/>
      <c r="H1767" s="34"/>
      <c r="I1767" s="35"/>
      <c r="J1767" s="35"/>
      <c r="K1767" s="36"/>
      <c r="L1767" s="26" t="str">
        <f>IF(OR(F1767 = "", G1767 = ""), "", IF(F1767 = "Vara", IFERROR(_xlfn.SINGLE(_xlfn.XLOOKUP(G1767, Vöruskrá!A:A, Vöruskrá!E:E, "")), ""), IF(F1767 = "Réttur", IFERROR(_xlfn.SINGLE(_xlfn.XLOOKUP(G1767, Réttabanki!A:A, Réttabanki!AS:AS, "")), ""), "")))</f>
        <v/>
      </c>
      <c r="M1767" s="26" t="str">
        <f>IF(OR(F1767 = "", G1767 = ""), "", IF(F1767 = "Vara", IFERROR(_xlfn.SINGLE(_xlfn.XLOOKUP(G1767, Vöruskrá!A:A, Vöruskrá!F:F, "")), ""), IF(F1767 = "Réttur", IFERROR(_xlfn.SINGLE(_xlfn.XLOOKUP(G1767, Réttabanki!A:A, Réttabanki!AT:AT, "")), ""), "")))</f>
        <v/>
      </c>
      <c r="N1767" s="26" t="str">
        <f>IF(OR(F1767 = "", G1767 = ""), "", IF(F1767 = "Vara", IFERROR(_xlfn.SINGLE(_xlfn.XLOOKUP(G1767, Vöruskrá!A:A, Vöruskrá!G:G, "")), ""), IF(F1767 = "Réttur", IFERROR(_xlfn.SINGLE(_xlfn.XLOOKUP(G1767, Réttabanki!A:A, Réttabanki!AU:AU, "")), ""), "")))</f>
        <v/>
      </c>
      <c r="O1767" s="26" t="str">
        <f>IF(OR(F1767 = "", G1767 = "", I1767 = ""), "", IF(F1767 = "Vara", IFERROR(_xlfn.SINGLE(_xlfn.XLOOKUP(G1767, Vöruskrá!A:A, Vöruskrá!I:I, "")) * I1767 / 100, ""), IF(F1767 = "Réttur", IFERROR(_xlfn.SINGLE(_xlfn.XLOOKUP(G1767, Réttabanki!A:A, Réttabanki!AV:AV, "")) * I1767 / 100, ""), "")))</f>
        <v/>
      </c>
      <c r="P1767" s="26" t="str">
        <f>IF(OR(F1767 = "", G1767 = "", I1767 = ""), "", IF(F1767 = "Vara", IFERROR(_xlfn.SINGLE(_xlfn.XLOOKUP(G1767, Vöruskrá!A:A, Vöruskrá!J:J, "")) * I1767 / 100, ""), IF(F1767 = "Réttur", IFERROR(_xlfn.SINGLE(_xlfn.XLOOKUP(G1767, Réttabanki!A:A, Réttabanki!AW:AW, "")) * I1767 / 100, ""), "")))</f>
        <v/>
      </c>
      <c r="Q1767" s="26" t="str">
        <f>IF(OR(F1767 = "", G1767 = "", I1767 = ""), "", IF(F1767 = "Vara", IFERROR(_xlfn.SINGLE(_xlfn.XLOOKUP(G1767, Vöruskrá!A:A, Vöruskrá!N:N, "")) * I1767 / 100, ""), IF(F1767 = "Réttur", IFERROR(_xlfn.SINGLE(_xlfn.XLOOKUP(G1767, Réttabanki!A:A, Réttabanki!BB:BB, "")) * I1767 / 100, ""), "")))</f>
        <v/>
      </c>
    </row>
    <row r="1768" spans="2:17">
      <c r="B1768" s="33" t="str">
        <f>IF(A1768&lt;&gt;"",CHOOSE(WEEKDAY(A1768,2),"Mánudagur","Þriðjudagur","Miðvikudagur","Fimmtudagur","Föstudagur","Laugardagur","Sunnudagur"),IF(B1767&lt;&gt;"",B1767,""))</f>
        <v>Fimmtudagur</v>
      </c>
      <c r="C1768" s="33">
        <f>IF(A1768&lt;&gt;"",WEEKNUM(A1768,21),IF(C1767&lt;&gt;"",C1767,""))</f>
        <v>27</v>
      </c>
      <c r="D1768" s="34"/>
      <c r="E1768" s="34"/>
      <c r="F1768" s="34"/>
      <c r="G1768" s="34"/>
      <c r="H1768" s="34"/>
      <c r="I1768" s="35"/>
      <c r="J1768" s="35"/>
      <c r="K1768" s="36"/>
      <c r="L1768" s="26" t="str">
        <f>IF(OR(F1768 = "", G1768 = ""), "", IF(F1768 = "Vara", IFERROR(_xlfn.SINGLE(_xlfn.XLOOKUP(G1768, Vöruskrá!A:A, Vöruskrá!E:E, "")), ""), IF(F1768 = "Réttur", IFERROR(_xlfn.SINGLE(_xlfn.XLOOKUP(G1768, Réttabanki!A:A, Réttabanki!AS:AS, "")), ""), "")))</f>
        <v/>
      </c>
      <c r="M1768" s="26" t="str">
        <f>IF(OR(F1768 = "", G1768 = ""), "", IF(F1768 = "Vara", IFERROR(_xlfn.SINGLE(_xlfn.XLOOKUP(G1768, Vöruskrá!A:A, Vöruskrá!F:F, "")), ""), IF(F1768 = "Réttur", IFERROR(_xlfn.SINGLE(_xlfn.XLOOKUP(G1768, Réttabanki!A:A, Réttabanki!AT:AT, "")), ""), "")))</f>
        <v/>
      </c>
      <c r="N1768" s="26" t="str">
        <f>IF(OR(F1768 = "", G1768 = ""), "", IF(F1768 = "Vara", IFERROR(_xlfn.SINGLE(_xlfn.XLOOKUP(G1768, Vöruskrá!A:A, Vöruskrá!G:G, "")), ""), IF(F1768 = "Réttur", IFERROR(_xlfn.SINGLE(_xlfn.XLOOKUP(G1768, Réttabanki!A:A, Réttabanki!AU:AU, "")), ""), "")))</f>
        <v/>
      </c>
      <c r="O1768" s="26" t="str">
        <f>IF(OR(F1768 = "", G1768 = "", I1768 = ""), "", IF(F1768 = "Vara", IFERROR(_xlfn.SINGLE(_xlfn.XLOOKUP(G1768, Vöruskrá!A:A, Vöruskrá!I:I, "")) * I1768 / 100, ""), IF(F1768 = "Réttur", IFERROR(_xlfn.SINGLE(_xlfn.XLOOKUP(G1768, Réttabanki!A:A, Réttabanki!AV:AV, "")) * I1768 / 100, ""), "")))</f>
        <v/>
      </c>
      <c r="P1768" s="26" t="str">
        <f>IF(OR(F1768 = "", G1768 = "", I1768 = ""), "", IF(F1768 = "Vara", IFERROR(_xlfn.SINGLE(_xlfn.XLOOKUP(G1768, Vöruskrá!A:A, Vöruskrá!J:J, "")) * I1768 / 100, ""), IF(F1768 = "Réttur", IFERROR(_xlfn.SINGLE(_xlfn.XLOOKUP(G1768, Réttabanki!A:A, Réttabanki!AW:AW, "")) * I1768 / 100, ""), "")))</f>
        <v/>
      </c>
      <c r="Q1768" s="26" t="str">
        <f>IF(OR(F1768 = "", G1768 = "", I1768 = ""), "", IF(F1768 = "Vara", IFERROR(_xlfn.SINGLE(_xlfn.XLOOKUP(G1768, Vöruskrá!A:A, Vöruskrá!N:N, "")) * I1768 / 100, ""), IF(F1768 = "Réttur", IFERROR(_xlfn.SINGLE(_xlfn.XLOOKUP(G1768, Réttabanki!A:A, Réttabanki!BB:BB, "")) * I1768 / 100, ""), "")))</f>
        <v/>
      </c>
    </row>
    <row r="1769" spans="2:17">
      <c r="B1769" s="33" t="str">
        <f>IF(A1769&lt;&gt;"",CHOOSE(WEEKDAY(A1769,2),"Mánudagur","Þriðjudagur","Miðvikudagur","Fimmtudagur","Föstudagur","Laugardagur","Sunnudagur"),IF(B1768&lt;&gt;"",B1768,""))</f>
        <v>Fimmtudagur</v>
      </c>
      <c r="C1769" s="33">
        <f>IF(A1769&lt;&gt;"",WEEKNUM(A1769,21),IF(C1768&lt;&gt;"",C1768,""))</f>
        <v>27</v>
      </c>
      <c r="D1769" s="34"/>
      <c r="E1769" s="34"/>
      <c r="F1769" s="34"/>
      <c r="G1769" s="34"/>
      <c r="H1769" s="34"/>
      <c r="I1769" s="35"/>
      <c r="J1769" s="35"/>
      <c r="K1769" s="36"/>
      <c r="L1769" s="26" t="str">
        <f>IF(OR(F1769 = "", G1769 = ""), "", IF(F1769 = "Vara", IFERROR(_xlfn.SINGLE(_xlfn.XLOOKUP(G1769, Vöruskrá!A:A, Vöruskrá!E:E, "")), ""), IF(F1769 = "Réttur", IFERROR(_xlfn.SINGLE(_xlfn.XLOOKUP(G1769, Réttabanki!A:A, Réttabanki!AS:AS, "")), ""), "")))</f>
        <v/>
      </c>
      <c r="M1769" s="26" t="str">
        <f>IF(OR(F1769 = "", G1769 = ""), "", IF(F1769 = "Vara", IFERROR(_xlfn.SINGLE(_xlfn.XLOOKUP(G1769, Vöruskrá!A:A, Vöruskrá!F:F, "")), ""), IF(F1769 = "Réttur", IFERROR(_xlfn.SINGLE(_xlfn.XLOOKUP(G1769, Réttabanki!A:A, Réttabanki!AT:AT, "")), ""), "")))</f>
        <v/>
      </c>
      <c r="N1769" s="26" t="str">
        <f>IF(OR(F1769 = "", G1769 = ""), "", IF(F1769 = "Vara", IFERROR(_xlfn.SINGLE(_xlfn.XLOOKUP(G1769, Vöruskrá!A:A, Vöruskrá!G:G, "")), ""), IF(F1769 = "Réttur", IFERROR(_xlfn.SINGLE(_xlfn.XLOOKUP(G1769, Réttabanki!A:A, Réttabanki!AU:AU, "")), ""), "")))</f>
        <v/>
      </c>
      <c r="O1769" s="26" t="str">
        <f>IF(OR(F1769 = "", G1769 = "", I1769 = ""), "", IF(F1769 = "Vara", IFERROR(_xlfn.SINGLE(_xlfn.XLOOKUP(G1769, Vöruskrá!A:A, Vöruskrá!I:I, "")) * I1769 / 100, ""), IF(F1769 = "Réttur", IFERROR(_xlfn.SINGLE(_xlfn.XLOOKUP(G1769, Réttabanki!A:A, Réttabanki!AV:AV, "")) * I1769 / 100, ""), "")))</f>
        <v/>
      </c>
      <c r="P1769" s="26" t="str">
        <f>IF(OR(F1769 = "", G1769 = "", I1769 = ""), "", IF(F1769 = "Vara", IFERROR(_xlfn.SINGLE(_xlfn.XLOOKUP(G1769, Vöruskrá!A:A, Vöruskrá!J:J, "")) * I1769 / 100, ""), IF(F1769 = "Réttur", IFERROR(_xlfn.SINGLE(_xlfn.XLOOKUP(G1769, Réttabanki!A:A, Réttabanki!AW:AW, "")) * I1769 / 100, ""), "")))</f>
        <v/>
      </c>
      <c r="Q1769" s="26" t="str">
        <f>IF(OR(F1769 = "", G1769 = "", I1769 = ""), "", IF(F1769 = "Vara", IFERROR(_xlfn.SINGLE(_xlfn.XLOOKUP(G1769, Vöruskrá!A:A, Vöruskrá!N:N, "")) * I1769 / 100, ""), IF(F1769 = "Réttur", IFERROR(_xlfn.SINGLE(_xlfn.XLOOKUP(G1769, Réttabanki!A:A, Réttabanki!BB:BB, "")) * I1769 / 100, ""), "")))</f>
        <v/>
      </c>
    </row>
    <row r="1770" spans="2:17">
      <c r="B1770" s="33" t="str">
        <f>IF(A1770&lt;&gt;"",CHOOSE(WEEKDAY(A1770,2),"Mánudagur","Þriðjudagur","Miðvikudagur","Fimmtudagur","Föstudagur","Laugardagur","Sunnudagur"),IF(B1769&lt;&gt;"",B1769,""))</f>
        <v>Fimmtudagur</v>
      </c>
      <c r="C1770" s="33">
        <f>IF(A1770&lt;&gt;"",WEEKNUM(A1770,21),IF(C1769&lt;&gt;"",C1769,""))</f>
        <v>27</v>
      </c>
      <c r="D1770" s="34"/>
      <c r="E1770" s="34"/>
      <c r="F1770" s="34"/>
      <c r="G1770" s="34"/>
      <c r="H1770" s="34"/>
      <c r="I1770" s="35"/>
      <c r="J1770" s="35"/>
      <c r="K1770" s="36"/>
      <c r="L1770" s="26" t="str">
        <f>IF(OR(F1770 = "", G1770 = ""), "", IF(F1770 = "Vara", IFERROR(_xlfn.SINGLE(_xlfn.XLOOKUP(G1770, Vöruskrá!A:A, Vöruskrá!E:E, "")), ""), IF(F1770 = "Réttur", IFERROR(_xlfn.SINGLE(_xlfn.XLOOKUP(G1770, Réttabanki!A:A, Réttabanki!AS:AS, "")), ""), "")))</f>
        <v/>
      </c>
      <c r="M1770" s="26" t="str">
        <f>IF(OR(F1770 = "", G1770 = ""), "", IF(F1770 = "Vara", IFERROR(_xlfn.SINGLE(_xlfn.XLOOKUP(G1770, Vöruskrá!A:A, Vöruskrá!F:F, "")), ""), IF(F1770 = "Réttur", IFERROR(_xlfn.SINGLE(_xlfn.XLOOKUP(G1770, Réttabanki!A:A, Réttabanki!AT:AT, "")), ""), "")))</f>
        <v/>
      </c>
      <c r="N1770" s="26" t="str">
        <f>IF(OR(F1770 = "", G1770 = ""), "", IF(F1770 = "Vara", IFERROR(_xlfn.SINGLE(_xlfn.XLOOKUP(G1770, Vöruskrá!A:A, Vöruskrá!G:G, "")), ""), IF(F1770 = "Réttur", IFERROR(_xlfn.SINGLE(_xlfn.XLOOKUP(G1770, Réttabanki!A:A, Réttabanki!AU:AU, "")), ""), "")))</f>
        <v/>
      </c>
      <c r="O1770" s="26" t="str">
        <f>IF(OR(F1770 = "", G1770 = "", I1770 = ""), "", IF(F1770 = "Vara", IFERROR(_xlfn.SINGLE(_xlfn.XLOOKUP(G1770, Vöruskrá!A:A, Vöruskrá!I:I, "")) * I1770 / 100, ""), IF(F1770 = "Réttur", IFERROR(_xlfn.SINGLE(_xlfn.XLOOKUP(G1770, Réttabanki!A:A, Réttabanki!AV:AV, "")) * I1770 / 100, ""), "")))</f>
        <v/>
      </c>
      <c r="P1770" s="26" t="str">
        <f>IF(OR(F1770 = "", G1770 = "", I1770 = ""), "", IF(F1770 = "Vara", IFERROR(_xlfn.SINGLE(_xlfn.XLOOKUP(G1770, Vöruskrá!A:A, Vöruskrá!J:J, "")) * I1770 / 100, ""), IF(F1770 = "Réttur", IFERROR(_xlfn.SINGLE(_xlfn.XLOOKUP(G1770, Réttabanki!A:A, Réttabanki!AW:AW, "")) * I1770 / 100, ""), "")))</f>
        <v/>
      </c>
      <c r="Q1770" s="26" t="str">
        <f>IF(OR(F1770 = "", G1770 = "", I1770 = ""), "", IF(F1770 = "Vara", IFERROR(_xlfn.SINGLE(_xlfn.XLOOKUP(G1770, Vöruskrá!A:A, Vöruskrá!N:N, "")) * I1770 / 100, ""), IF(F1770 = "Réttur", IFERROR(_xlfn.SINGLE(_xlfn.XLOOKUP(G1770, Réttabanki!A:A, Réttabanki!BB:BB, "")) * I1770 / 100, ""), "")))</f>
        <v/>
      </c>
    </row>
    <row r="1771" spans="2:17">
      <c r="B1771" s="33" t="str">
        <f>IF(A1771&lt;&gt;"",CHOOSE(WEEKDAY(A1771,2),"Mánudagur","Þriðjudagur","Miðvikudagur","Fimmtudagur","Föstudagur","Laugardagur","Sunnudagur"),IF(B1770&lt;&gt;"",B1770,""))</f>
        <v>Fimmtudagur</v>
      </c>
      <c r="C1771" s="33">
        <f>IF(A1771&lt;&gt;"",WEEKNUM(A1771,21),IF(C1770&lt;&gt;"",C1770,""))</f>
        <v>27</v>
      </c>
      <c r="D1771" s="34"/>
      <c r="E1771" s="34"/>
      <c r="F1771" s="34"/>
      <c r="G1771" s="34"/>
      <c r="H1771" s="34"/>
      <c r="I1771" s="35"/>
      <c r="J1771" s="35"/>
      <c r="K1771" s="36"/>
      <c r="L1771" s="26" t="str">
        <f>IF(OR(F1771 = "", G1771 = ""), "", IF(F1771 = "Vara", IFERROR(_xlfn.SINGLE(_xlfn.XLOOKUP(G1771, Vöruskrá!A:A, Vöruskrá!E:E, "")), ""), IF(F1771 = "Réttur", IFERROR(_xlfn.SINGLE(_xlfn.XLOOKUP(G1771, Réttabanki!A:A, Réttabanki!AS:AS, "")), ""), "")))</f>
        <v/>
      </c>
      <c r="M1771" s="26" t="str">
        <f>IF(OR(F1771 = "", G1771 = ""), "", IF(F1771 = "Vara", IFERROR(_xlfn.SINGLE(_xlfn.XLOOKUP(G1771, Vöruskrá!A:A, Vöruskrá!F:F, "")), ""), IF(F1771 = "Réttur", IFERROR(_xlfn.SINGLE(_xlfn.XLOOKUP(G1771, Réttabanki!A:A, Réttabanki!AT:AT, "")), ""), "")))</f>
        <v/>
      </c>
      <c r="N1771" s="26" t="str">
        <f>IF(OR(F1771 = "", G1771 = ""), "", IF(F1771 = "Vara", IFERROR(_xlfn.SINGLE(_xlfn.XLOOKUP(G1771, Vöruskrá!A:A, Vöruskrá!G:G, "")), ""), IF(F1771 = "Réttur", IFERROR(_xlfn.SINGLE(_xlfn.XLOOKUP(G1771, Réttabanki!A:A, Réttabanki!AU:AU, "")), ""), "")))</f>
        <v/>
      </c>
      <c r="O1771" s="26" t="str">
        <f>IF(OR(F1771 = "", G1771 = "", I1771 = ""), "", IF(F1771 = "Vara", IFERROR(_xlfn.SINGLE(_xlfn.XLOOKUP(G1771, Vöruskrá!A:A, Vöruskrá!I:I, "")) * I1771 / 100, ""), IF(F1771 = "Réttur", IFERROR(_xlfn.SINGLE(_xlfn.XLOOKUP(G1771, Réttabanki!A:A, Réttabanki!AV:AV, "")) * I1771 / 100, ""), "")))</f>
        <v/>
      </c>
      <c r="P1771" s="26" t="str">
        <f>IF(OR(F1771 = "", G1771 = "", I1771 = ""), "", IF(F1771 = "Vara", IFERROR(_xlfn.SINGLE(_xlfn.XLOOKUP(G1771, Vöruskrá!A:A, Vöruskrá!J:J, "")) * I1771 / 100, ""), IF(F1771 = "Réttur", IFERROR(_xlfn.SINGLE(_xlfn.XLOOKUP(G1771, Réttabanki!A:A, Réttabanki!AW:AW, "")) * I1771 / 100, ""), "")))</f>
        <v/>
      </c>
      <c r="Q1771" s="26" t="str">
        <f>IF(OR(F1771 = "", G1771 = "", I1771 = ""), "", IF(F1771 = "Vara", IFERROR(_xlfn.SINGLE(_xlfn.XLOOKUP(G1771, Vöruskrá!A:A, Vöruskrá!N:N, "")) * I1771 / 100, ""), IF(F1771 = "Réttur", IFERROR(_xlfn.SINGLE(_xlfn.XLOOKUP(G1771, Réttabanki!A:A, Réttabanki!BB:BB, "")) * I1771 / 100, ""), "")))</f>
        <v/>
      </c>
    </row>
    <row r="1772" spans="2:17">
      <c r="B1772" s="33" t="str">
        <f>IF(A1772&lt;&gt;"",CHOOSE(WEEKDAY(A1772,2),"Mánudagur","Þriðjudagur","Miðvikudagur","Fimmtudagur","Föstudagur","Laugardagur","Sunnudagur"),IF(B1771&lt;&gt;"",B1771,""))</f>
        <v>Fimmtudagur</v>
      </c>
      <c r="C1772" s="33">
        <f>IF(A1772&lt;&gt;"",WEEKNUM(A1772,21),IF(C1771&lt;&gt;"",C1771,""))</f>
        <v>27</v>
      </c>
      <c r="D1772" s="34"/>
      <c r="E1772" s="34"/>
      <c r="F1772" s="34"/>
      <c r="G1772" s="34"/>
      <c r="H1772" s="34"/>
      <c r="I1772" s="35"/>
      <c r="J1772" s="35"/>
      <c r="K1772" s="36"/>
      <c r="L1772" s="26" t="str">
        <f>IF(OR(F1772 = "", G1772 = ""), "", IF(F1772 = "Vara", IFERROR(_xlfn.SINGLE(_xlfn.XLOOKUP(G1772, Vöruskrá!A:A, Vöruskrá!E:E, "")), ""), IF(F1772 = "Réttur", IFERROR(_xlfn.SINGLE(_xlfn.XLOOKUP(G1772, Réttabanki!A:A, Réttabanki!AS:AS, "")), ""), "")))</f>
        <v/>
      </c>
      <c r="M1772" s="26" t="str">
        <f>IF(OR(F1772 = "", G1772 = ""), "", IF(F1772 = "Vara", IFERROR(_xlfn.SINGLE(_xlfn.XLOOKUP(G1772, Vöruskrá!A:A, Vöruskrá!F:F, "")), ""), IF(F1772 = "Réttur", IFERROR(_xlfn.SINGLE(_xlfn.XLOOKUP(G1772, Réttabanki!A:A, Réttabanki!AT:AT, "")), ""), "")))</f>
        <v/>
      </c>
      <c r="N1772" s="26" t="str">
        <f>IF(OR(F1772 = "", G1772 = ""), "", IF(F1772 = "Vara", IFERROR(_xlfn.SINGLE(_xlfn.XLOOKUP(G1772, Vöruskrá!A:A, Vöruskrá!G:G, "")), ""), IF(F1772 = "Réttur", IFERROR(_xlfn.SINGLE(_xlfn.XLOOKUP(G1772, Réttabanki!A:A, Réttabanki!AU:AU, "")), ""), "")))</f>
        <v/>
      </c>
      <c r="O1772" s="26" t="str">
        <f>IF(OR(F1772 = "", G1772 = "", I1772 = ""), "", IF(F1772 = "Vara", IFERROR(_xlfn.SINGLE(_xlfn.XLOOKUP(G1772, Vöruskrá!A:A, Vöruskrá!I:I, "")) * I1772 / 100, ""), IF(F1772 = "Réttur", IFERROR(_xlfn.SINGLE(_xlfn.XLOOKUP(G1772, Réttabanki!A:A, Réttabanki!AV:AV, "")) * I1772 / 100, ""), "")))</f>
        <v/>
      </c>
      <c r="P1772" s="26" t="str">
        <f>IF(OR(F1772 = "", G1772 = "", I1772 = ""), "", IF(F1772 = "Vara", IFERROR(_xlfn.SINGLE(_xlfn.XLOOKUP(G1772, Vöruskrá!A:A, Vöruskrá!J:J, "")) * I1772 / 100, ""), IF(F1772 = "Réttur", IFERROR(_xlfn.SINGLE(_xlfn.XLOOKUP(G1772, Réttabanki!A:A, Réttabanki!AW:AW, "")) * I1772 / 100, ""), "")))</f>
        <v/>
      </c>
      <c r="Q1772" s="26" t="str">
        <f>IF(OR(F1772 = "", G1772 = "", I1772 = ""), "", IF(F1772 = "Vara", IFERROR(_xlfn.SINGLE(_xlfn.XLOOKUP(G1772, Vöruskrá!A:A, Vöruskrá!N:N, "")) * I1772 / 100, ""), IF(F1772 = "Réttur", IFERROR(_xlfn.SINGLE(_xlfn.XLOOKUP(G1772, Réttabanki!A:A, Réttabanki!BB:BB, "")) * I1772 / 100, ""), "")))</f>
        <v/>
      </c>
    </row>
    <row r="1773" spans="2:17">
      <c r="B1773" s="33" t="str">
        <f>IF(A1773&lt;&gt;"",CHOOSE(WEEKDAY(A1773,2),"Mánudagur","Þriðjudagur","Miðvikudagur","Fimmtudagur","Föstudagur","Laugardagur","Sunnudagur"),IF(B1772&lt;&gt;"",B1772,""))</f>
        <v>Fimmtudagur</v>
      </c>
      <c r="C1773" s="33">
        <f>IF(A1773&lt;&gt;"",WEEKNUM(A1773,21),IF(C1772&lt;&gt;"",C1772,""))</f>
        <v>27</v>
      </c>
      <c r="D1773" s="34"/>
      <c r="E1773" s="34"/>
      <c r="F1773" s="34"/>
      <c r="G1773" s="34"/>
      <c r="H1773" s="34"/>
      <c r="I1773" s="35"/>
      <c r="J1773" s="35"/>
      <c r="K1773" s="36"/>
      <c r="L1773" s="26" t="str">
        <f>IF(OR(F1773 = "", G1773 = ""), "", IF(F1773 = "Vara", IFERROR(_xlfn.SINGLE(_xlfn.XLOOKUP(G1773, Vöruskrá!A:A, Vöruskrá!E:E, "")), ""), IF(F1773 = "Réttur", IFERROR(_xlfn.SINGLE(_xlfn.XLOOKUP(G1773, Réttabanki!A:A, Réttabanki!AS:AS, "")), ""), "")))</f>
        <v/>
      </c>
      <c r="M1773" s="26" t="str">
        <f>IF(OR(F1773 = "", G1773 = ""), "", IF(F1773 = "Vara", IFERROR(_xlfn.SINGLE(_xlfn.XLOOKUP(G1773, Vöruskrá!A:A, Vöruskrá!F:F, "")), ""), IF(F1773 = "Réttur", IFERROR(_xlfn.SINGLE(_xlfn.XLOOKUP(G1773, Réttabanki!A:A, Réttabanki!AT:AT, "")), ""), "")))</f>
        <v/>
      </c>
      <c r="N1773" s="26" t="str">
        <f>IF(OR(F1773 = "", G1773 = ""), "", IF(F1773 = "Vara", IFERROR(_xlfn.SINGLE(_xlfn.XLOOKUP(G1773, Vöruskrá!A:A, Vöruskrá!G:G, "")), ""), IF(F1773 = "Réttur", IFERROR(_xlfn.SINGLE(_xlfn.XLOOKUP(G1773, Réttabanki!A:A, Réttabanki!AU:AU, "")), ""), "")))</f>
        <v/>
      </c>
      <c r="O1773" s="26" t="str">
        <f>IF(OR(F1773 = "", G1773 = "", I1773 = ""), "", IF(F1773 = "Vara", IFERROR(_xlfn.SINGLE(_xlfn.XLOOKUP(G1773, Vöruskrá!A:A, Vöruskrá!I:I, "")) * I1773 / 100, ""), IF(F1773 = "Réttur", IFERROR(_xlfn.SINGLE(_xlfn.XLOOKUP(G1773, Réttabanki!A:A, Réttabanki!AV:AV, "")) * I1773 / 100, ""), "")))</f>
        <v/>
      </c>
      <c r="P1773" s="26" t="str">
        <f>IF(OR(F1773 = "", G1773 = "", I1773 = ""), "", IF(F1773 = "Vara", IFERROR(_xlfn.SINGLE(_xlfn.XLOOKUP(G1773, Vöruskrá!A:A, Vöruskrá!J:J, "")) * I1773 / 100, ""), IF(F1773 = "Réttur", IFERROR(_xlfn.SINGLE(_xlfn.XLOOKUP(G1773, Réttabanki!A:A, Réttabanki!AW:AW, "")) * I1773 / 100, ""), "")))</f>
        <v/>
      </c>
      <c r="Q1773" s="26" t="str">
        <f>IF(OR(F1773 = "", G1773 = "", I1773 = ""), "", IF(F1773 = "Vara", IFERROR(_xlfn.SINGLE(_xlfn.XLOOKUP(G1773, Vöruskrá!A:A, Vöruskrá!N:N, "")) * I1773 / 100, ""), IF(F1773 = "Réttur", IFERROR(_xlfn.SINGLE(_xlfn.XLOOKUP(G1773, Réttabanki!A:A, Réttabanki!BB:BB, "")) * I1773 / 100, ""), "")))</f>
        <v/>
      </c>
    </row>
    <row r="1774" spans="2:17">
      <c r="B1774" s="33" t="str">
        <f>IF(A1774&lt;&gt;"",CHOOSE(WEEKDAY(A1774,2),"Mánudagur","Þriðjudagur","Miðvikudagur","Fimmtudagur","Föstudagur","Laugardagur","Sunnudagur"),IF(B1773&lt;&gt;"",B1773,""))</f>
        <v>Fimmtudagur</v>
      </c>
      <c r="C1774" s="33">
        <f>IF(A1774&lt;&gt;"",WEEKNUM(A1774,21),IF(C1773&lt;&gt;"",C1773,""))</f>
        <v>27</v>
      </c>
      <c r="D1774" s="34"/>
      <c r="E1774" s="34"/>
      <c r="F1774" s="34"/>
      <c r="G1774" s="34"/>
      <c r="H1774" s="34"/>
      <c r="I1774" s="35"/>
      <c r="J1774" s="35"/>
      <c r="K1774" s="36"/>
      <c r="L1774" s="26" t="str">
        <f>IF(OR(F1774 = "", G1774 = ""), "", IF(F1774 = "Vara", IFERROR(_xlfn.SINGLE(_xlfn.XLOOKUP(G1774, Vöruskrá!A:A, Vöruskrá!E:E, "")), ""), IF(F1774 = "Réttur", IFERROR(_xlfn.SINGLE(_xlfn.XLOOKUP(G1774, Réttabanki!A:A, Réttabanki!AS:AS, "")), ""), "")))</f>
        <v/>
      </c>
      <c r="M1774" s="26" t="str">
        <f>IF(OR(F1774 = "", G1774 = ""), "", IF(F1774 = "Vara", IFERROR(_xlfn.SINGLE(_xlfn.XLOOKUP(G1774, Vöruskrá!A:A, Vöruskrá!F:F, "")), ""), IF(F1774 = "Réttur", IFERROR(_xlfn.SINGLE(_xlfn.XLOOKUP(G1774, Réttabanki!A:A, Réttabanki!AT:AT, "")), ""), "")))</f>
        <v/>
      </c>
      <c r="N1774" s="26" t="str">
        <f>IF(OR(F1774 = "", G1774 = ""), "", IF(F1774 = "Vara", IFERROR(_xlfn.SINGLE(_xlfn.XLOOKUP(G1774, Vöruskrá!A:A, Vöruskrá!G:G, "")), ""), IF(F1774 = "Réttur", IFERROR(_xlfn.SINGLE(_xlfn.XLOOKUP(G1774, Réttabanki!A:A, Réttabanki!AU:AU, "")), ""), "")))</f>
        <v/>
      </c>
      <c r="O1774" s="26" t="str">
        <f>IF(OR(F1774 = "", G1774 = "", I1774 = ""), "", IF(F1774 = "Vara", IFERROR(_xlfn.SINGLE(_xlfn.XLOOKUP(G1774, Vöruskrá!A:A, Vöruskrá!I:I, "")) * I1774 / 100, ""), IF(F1774 = "Réttur", IFERROR(_xlfn.SINGLE(_xlfn.XLOOKUP(G1774, Réttabanki!A:A, Réttabanki!AV:AV, "")) * I1774 / 100, ""), "")))</f>
        <v/>
      </c>
      <c r="P1774" s="26" t="str">
        <f>IF(OR(F1774 = "", G1774 = "", I1774 = ""), "", IF(F1774 = "Vara", IFERROR(_xlfn.SINGLE(_xlfn.XLOOKUP(G1774, Vöruskrá!A:A, Vöruskrá!J:J, "")) * I1774 / 100, ""), IF(F1774 = "Réttur", IFERROR(_xlfn.SINGLE(_xlfn.XLOOKUP(G1774, Réttabanki!A:A, Réttabanki!AW:AW, "")) * I1774 / 100, ""), "")))</f>
        <v/>
      </c>
      <c r="Q1774" s="26" t="str">
        <f>IF(OR(F1774 = "", G1774 = "", I1774 = ""), "", IF(F1774 = "Vara", IFERROR(_xlfn.SINGLE(_xlfn.XLOOKUP(G1774, Vöruskrá!A:A, Vöruskrá!N:N, "")) * I1774 / 100, ""), IF(F1774 = "Réttur", IFERROR(_xlfn.SINGLE(_xlfn.XLOOKUP(G1774, Réttabanki!A:A, Réttabanki!BB:BB, "")) * I1774 / 100, ""), "")))</f>
        <v/>
      </c>
    </row>
    <row r="1775" spans="2:17">
      <c r="B1775" s="33" t="str">
        <f>IF(A1775&lt;&gt;"",CHOOSE(WEEKDAY(A1775,2),"Mánudagur","Þriðjudagur","Miðvikudagur","Fimmtudagur","Föstudagur","Laugardagur","Sunnudagur"),IF(B1774&lt;&gt;"",B1774,""))</f>
        <v>Fimmtudagur</v>
      </c>
      <c r="C1775" s="33">
        <f>IF(A1775&lt;&gt;"",WEEKNUM(A1775,21),IF(C1774&lt;&gt;"",C1774,""))</f>
        <v>27</v>
      </c>
      <c r="D1775" s="34"/>
      <c r="E1775" s="34"/>
      <c r="F1775" s="34"/>
      <c r="G1775" s="34"/>
      <c r="H1775" s="34"/>
      <c r="I1775" s="35"/>
      <c r="J1775" s="35"/>
      <c r="K1775" s="36"/>
      <c r="L1775" s="26" t="str">
        <f>IF(OR(F1775 = "", G1775 = ""), "", IF(F1775 = "Vara", IFERROR(_xlfn.SINGLE(_xlfn.XLOOKUP(G1775, Vöruskrá!A:A, Vöruskrá!E:E, "")), ""), IF(F1775 = "Réttur", IFERROR(_xlfn.SINGLE(_xlfn.XLOOKUP(G1775, Réttabanki!A:A, Réttabanki!AS:AS, "")), ""), "")))</f>
        <v/>
      </c>
      <c r="M1775" s="26" t="str">
        <f>IF(OR(F1775 = "", G1775 = ""), "", IF(F1775 = "Vara", IFERROR(_xlfn.SINGLE(_xlfn.XLOOKUP(G1775, Vöruskrá!A:A, Vöruskrá!F:F, "")), ""), IF(F1775 = "Réttur", IFERROR(_xlfn.SINGLE(_xlfn.XLOOKUP(G1775, Réttabanki!A:A, Réttabanki!AT:AT, "")), ""), "")))</f>
        <v/>
      </c>
      <c r="N1775" s="26" t="str">
        <f>IF(OR(F1775 = "", G1775 = ""), "", IF(F1775 = "Vara", IFERROR(_xlfn.SINGLE(_xlfn.XLOOKUP(G1775, Vöruskrá!A:A, Vöruskrá!G:G, "")), ""), IF(F1775 = "Réttur", IFERROR(_xlfn.SINGLE(_xlfn.XLOOKUP(G1775, Réttabanki!A:A, Réttabanki!AU:AU, "")), ""), "")))</f>
        <v/>
      </c>
      <c r="O1775" s="26" t="str">
        <f>IF(OR(F1775 = "", G1775 = "", I1775 = ""), "", IF(F1775 = "Vara", IFERROR(_xlfn.SINGLE(_xlfn.XLOOKUP(G1775, Vöruskrá!A:A, Vöruskrá!I:I, "")) * I1775 / 100, ""), IF(F1775 = "Réttur", IFERROR(_xlfn.SINGLE(_xlfn.XLOOKUP(G1775, Réttabanki!A:A, Réttabanki!AV:AV, "")) * I1775 / 100, ""), "")))</f>
        <v/>
      </c>
      <c r="P1775" s="26" t="str">
        <f>IF(OR(F1775 = "", G1775 = "", I1775 = ""), "", IF(F1775 = "Vara", IFERROR(_xlfn.SINGLE(_xlfn.XLOOKUP(G1775, Vöruskrá!A:A, Vöruskrá!J:J, "")) * I1775 / 100, ""), IF(F1775 = "Réttur", IFERROR(_xlfn.SINGLE(_xlfn.XLOOKUP(G1775, Réttabanki!A:A, Réttabanki!AW:AW, "")) * I1775 / 100, ""), "")))</f>
        <v/>
      </c>
      <c r="Q1775" s="26" t="str">
        <f>IF(OR(F1775 = "", G1775 = "", I1775 = ""), "", IF(F1775 = "Vara", IFERROR(_xlfn.SINGLE(_xlfn.XLOOKUP(G1775, Vöruskrá!A:A, Vöruskrá!N:N, "")) * I1775 / 100, ""), IF(F1775 = "Réttur", IFERROR(_xlfn.SINGLE(_xlfn.XLOOKUP(G1775, Réttabanki!A:A, Réttabanki!BB:BB, "")) * I1775 / 100, ""), "")))</f>
        <v/>
      </c>
    </row>
    <row r="1776" spans="2:17">
      <c r="B1776" s="33" t="str">
        <f>IF(A1776&lt;&gt;"",CHOOSE(WEEKDAY(A1776,2),"Mánudagur","Þriðjudagur","Miðvikudagur","Fimmtudagur","Föstudagur","Laugardagur","Sunnudagur"),IF(B1775&lt;&gt;"",B1775,""))</f>
        <v>Fimmtudagur</v>
      </c>
      <c r="C1776" s="33">
        <f>IF(A1776&lt;&gt;"",WEEKNUM(A1776,21),IF(C1775&lt;&gt;"",C1775,""))</f>
        <v>27</v>
      </c>
      <c r="D1776" s="34"/>
      <c r="E1776" s="34"/>
      <c r="F1776" s="34"/>
      <c r="G1776" s="34"/>
      <c r="H1776" s="34"/>
      <c r="I1776" s="35"/>
      <c r="J1776" s="35"/>
      <c r="K1776" s="36"/>
      <c r="L1776" s="26" t="str">
        <f>IF(OR(F1776 = "", G1776 = ""), "", IF(F1776 = "Vara", IFERROR(_xlfn.SINGLE(_xlfn.XLOOKUP(G1776, Vöruskrá!A:A, Vöruskrá!E:E, "")), ""), IF(F1776 = "Réttur", IFERROR(_xlfn.SINGLE(_xlfn.XLOOKUP(G1776, Réttabanki!A:A, Réttabanki!AS:AS, "")), ""), "")))</f>
        <v/>
      </c>
      <c r="M1776" s="26" t="str">
        <f>IF(OR(F1776 = "", G1776 = ""), "", IF(F1776 = "Vara", IFERROR(_xlfn.SINGLE(_xlfn.XLOOKUP(G1776, Vöruskrá!A:A, Vöruskrá!F:F, "")), ""), IF(F1776 = "Réttur", IFERROR(_xlfn.SINGLE(_xlfn.XLOOKUP(G1776, Réttabanki!A:A, Réttabanki!AT:AT, "")), ""), "")))</f>
        <v/>
      </c>
      <c r="N1776" s="26" t="str">
        <f>IF(OR(F1776 = "", G1776 = ""), "", IF(F1776 = "Vara", IFERROR(_xlfn.SINGLE(_xlfn.XLOOKUP(G1776, Vöruskrá!A:A, Vöruskrá!G:G, "")), ""), IF(F1776 = "Réttur", IFERROR(_xlfn.SINGLE(_xlfn.XLOOKUP(G1776, Réttabanki!A:A, Réttabanki!AU:AU, "")), ""), "")))</f>
        <v/>
      </c>
      <c r="O1776" s="26" t="str">
        <f>IF(OR(F1776 = "", G1776 = "", I1776 = ""), "", IF(F1776 = "Vara", IFERROR(_xlfn.SINGLE(_xlfn.XLOOKUP(G1776, Vöruskrá!A:A, Vöruskrá!I:I, "")) * I1776 / 100, ""), IF(F1776 = "Réttur", IFERROR(_xlfn.SINGLE(_xlfn.XLOOKUP(G1776, Réttabanki!A:A, Réttabanki!AV:AV, "")) * I1776 / 100, ""), "")))</f>
        <v/>
      </c>
      <c r="P1776" s="26" t="str">
        <f>IF(OR(F1776 = "", G1776 = "", I1776 = ""), "", IF(F1776 = "Vara", IFERROR(_xlfn.SINGLE(_xlfn.XLOOKUP(G1776, Vöruskrá!A:A, Vöruskrá!J:J, "")) * I1776 / 100, ""), IF(F1776 = "Réttur", IFERROR(_xlfn.SINGLE(_xlfn.XLOOKUP(G1776, Réttabanki!A:A, Réttabanki!AW:AW, "")) * I1776 / 100, ""), "")))</f>
        <v/>
      </c>
      <c r="Q1776" s="26" t="str">
        <f>IF(OR(F1776 = "", G1776 = "", I1776 = ""), "", IF(F1776 = "Vara", IFERROR(_xlfn.SINGLE(_xlfn.XLOOKUP(G1776, Vöruskrá!A:A, Vöruskrá!N:N, "")) * I1776 / 100, ""), IF(F1776 = "Réttur", IFERROR(_xlfn.SINGLE(_xlfn.XLOOKUP(G1776, Réttabanki!A:A, Réttabanki!BB:BB, "")) * I1776 / 100, ""), "")))</f>
        <v/>
      </c>
    </row>
    <row r="1777" spans="2:17">
      <c r="B1777" s="33" t="str">
        <f>IF(A1777&lt;&gt;"",CHOOSE(WEEKDAY(A1777,2),"Mánudagur","Þriðjudagur","Miðvikudagur","Fimmtudagur","Föstudagur","Laugardagur","Sunnudagur"),IF(B1776&lt;&gt;"",B1776,""))</f>
        <v>Fimmtudagur</v>
      </c>
      <c r="C1777" s="33">
        <f>IF(A1777&lt;&gt;"",WEEKNUM(A1777,21),IF(C1776&lt;&gt;"",C1776,""))</f>
        <v>27</v>
      </c>
      <c r="D1777" s="34"/>
      <c r="E1777" s="34"/>
      <c r="F1777" s="34"/>
      <c r="G1777" s="34"/>
      <c r="H1777" s="34"/>
      <c r="I1777" s="35"/>
      <c r="J1777" s="35"/>
      <c r="K1777" s="36"/>
      <c r="L1777" s="26" t="str">
        <f>IF(OR(F1777 = "", G1777 = ""), "", IF(F1777 = "Vara", IFERROR(_xlfn.SINGLE(_xlfn.XLOOKUP(G1777, Vöruskrá!A:A, Vöruskrá!E:E, "")), ""), IF(F1777 = "Réttur", IFERROR(_xlfn.SINGLE(_xlfn.XLOOKUP(G1777, Réttabanki!A:A, Réttabanki!AS:AS, "")), ""), "")))</f>
        <v/>
      </c>
      <c r="M1777" s="26" t="str">
        <f>IF(OR(F1777 = "", G1777 = ""), "", IF(F1777 = "Vara", IFERROR(_xlfn.SINGLE(_xlfn.XLOOKUP(G1777, Vöruskrá!A:A, Vöruskrá!F:F, "")), ""), IF(F1777 = "Réttur", IFERROR(_xlfn.SINGLE(_xlfn.XLOOKUP(G1777, Réttabanki!A:A, Réttabanki!AT:AT, "")), ""), "")))</f>
        <v/>
      </c>
      <c r="N1777" s="26" t="str">
        <f>IF(OR(F1777 = "", G1777 = ""), "", IF(F1777 = "Vara", IFERROR(_xlfn.SINGLE(_xlfn.XLOOKUP(G1777, Vöruskrá!A:A, Vöruskrá!G:G, "")), ""), IF(F1777 = "Réttur", IFERROR(_xlfn.SINGLE(_xlfn.XLOOKUP(G1777, Réttabanki!A:A, Réttabanki!AU:AU, "")), ""), "")))</f>
        <v/>
      </c>
      <c r="O1777" s="26" t="str">
        <f>IF(OR(F1777 = "", G1777 = "", I1777 = ""), "", IF(F1777 = "Vara", IFERROR(_xlfn.SINGLE(_xlfn.XLOOKUP(G1777, Vöruskrá!A:A, Vöruskrá!I:I, "")) * I1777 / 100, ""), IF(F1777 = "Réttur", IFERROR(_xlfn.SINGLE(_xlfn.XLOOKUP(G1777, Réttabanki!A:A, Réttabanki!AV:AV, "")) * I1777 / 100, ""), "")))</f>
        <v/>
      </c>
      <c r="P1777" s="26" t="str">
        <f>IF(OR(F1777 = "", G1777 = "", I1777 = ""), "", IF(F1777 = "Vara", IFERROR(_xlfn.SINGLE(_xlfn.XLOOKUP(G1777, Vöruskrá!A:A, Vöruskrá!J:J, "")) * I1777 / 100, ""), IF(F1777 = "Réttur", IFERROR(_xlfn.SINGLE(_xlfn.XLOOKUP(G1777, Réttabanki!A:A, Réttabanki!AW:AW, "")) * I1777 / 100, ""), "")))</f>
        <v/>
      </c>
      <c r="Q1777" s="26" t="str">
        <f>IF(OR(F1777 = "", G1777 = "", I1777 = ""), "", IF(F1777 = "Vara", IFERROR(_xlfn.SINGLE(_xlfn.XLOOKUP(G1777, Vöruskrá!A:A, Vöruskrá!N:N, "")) * I1777 / 100, ""), IF(F1777 = "Réttur", IFERROR(_xlfn.SINGLE(_xlfn.XLOOKUP(G1777, Réttabanki!A:A, Réttabanki!BB:BB, "")) * I1777 / 100, ""), "")))</f>
        <v/>
      </c>
    </row>
    <row r="1778" spans="2:17">
      <c r="B1778" s="33" t="str">
        <f>IF(A1778&lt;&gt;"",CHOOSE(WEEKDAY(A1778,2),"Mánudagur","Þriðjudagur","Miðvikudagur","Fimmtudagur","Föstudagur","Laugardagur","Sunnudagur"),IF(B1777&lt;&gt;"",B1777,""))</f>
        <v>Fimmtudagur</v>
      </c>
      <c r="C1778" s="33">
        <f>IF(A1778&lt;&gt;"",WEEKNUM(A1778,21),IF(C1777&lt;&gt;"",C1777,""))</f>
        <v>27</v>
      </c>
      <c r="D1778" s="34"/>
      <c r="E1778" s="34"/>
      <c r="F1778" s="34"/>
      <c r="G1778" s="34"/>
      <c r="H1778" s="34"/>
      <c r="I1778" s="35"/>
      <c r="J1778" s="35"/>
      <c r="K1778" s="36"/>
      <c r="L1778" s="26" t="str">
        <f>IF(OR(F1778 = "", G1778 = ""), "", IF(F1778 = "Vara", IFERROR(_xlfn.SINGLE(_xlfn.XLOOKUP(G1778, Vöruskrá!A:A, Vöruskrá!E:E, "")), ""), IF(F1778 = "Réttur", IFERROR(_xlfn.SINGLE(_xlfn.XLOOKUP(G1778, Réttabanki!A:A, Réttabanki!AS:AS, "")), ""), "")))</f>
        <v/>
      </c>
      <c r="M1778" s="26" t="str">
        <f>IF(OR(F1778 = "", G1778 = ""), "", IF(F1778 = "Vara", IFERROR(_xlfn.SINGLE(_xlfn.XLOOKUP(G1778, Vöruskrá!A:A, Vöruskrá!F:F, "")), ""), IF(F1778 = "Réttur", IFERROR(_xlfn.SINGLE(_xlfn.XLOOKUP(G1778, Réttabanki!A:A, Réttabanki!AT:AT, "")), ""), "")))</f>
        <v/>
      </c>
      <c r="N1778" s="26" t="str">
        <f>IF(OR(F1778 = "", G1778 = ""), "", IF(F1778 = "Vara", IFERROR(_xlfn.SINGLE(_xlfn.XLOOKUP(G1778, Vöruskrá!A:A, Vöruskrá!G:G, "")), ""), IF(F1778 = "Réttur", IFERROR(_xlfn.SINGLE(_xlfn.XLOOKUP(G1778, Réttabanki!A:A, Réttabanki!AU:AU, "")), ""), "")))</f>
        <v/>
      </c>
      <c r="O1778" s="26" t="str">
        <f>IF(OR(F1778 = "", G1778 = "", I1778 = ""), "", IF(F1778 = "Vara", IFERROR(_xlfn.SINGLE(_xlfn.XLOOKUP(G1778, Vöruskrá!A:A, Vöruskrá!I:I, "")) * I1778 / 100, ""), IF(F1778 = "Réttur", IFERROR(_xlfn.SINGLE(_xlfn.XLOOKUP(G1778, Réttabanki!A:A, Réttabanki!AV:AV, "")) * I1778 / 100, ""), "")))</f>
        <v/>
      </c>
      <c r="P1778" s="26" t="str">
        <f>IF(OR(F1778 = "", G1778 = "", I1778 = ""), "", IF(F1778 = "Vara", IFERROR(_xlfn.SINGLE(_xlfn.XLOOKUP(G1778, Vöruskrá!A:A, Vöruskrá!J:J, "")) * I1778 / 100, ""), IF(F1778 = "Réttur", IFERROR(_xlfn.SINGLE(_xlfn.XLOOKUP(G1778, Réttabanki!A:A, Réttabanki!AW:AW, "")) * I1778 / 100, ""), "")))</f>
        <v/>
      </c>
      <c r="Q1778" s="26" t="str">
        <f>IF(OR(F1778 = "", G1778 = "", I1778 = ""), "", IF(F1778 = "Vara", IFERROR(_xlfn.SINGLE(_xlfn.XLOOKUP(G1778, Vöruskrá!A:A, Vöruskrá!N:N, "")) * I1778 / 100, ""), IF(F1778 = "Réttur", IFERROR(_xlfn.SINGLE(_xlfn.XLOOKUP(G1778, Réttabanki!A:A, Réttabanki!BB:BB, "")) * I1778 / 100, ""), "")))</f>
        <v/>
      </c>
    </row>
    <row r="1779" spans="2:17">
      <c r="B1779" s="33" t="str">
        <f>IF(A1779&lt;&gt;"",CHOOSE(WEEKDAY(A1779,2),"Mánudagur","Þriðjudagur","Miðvikudagur","Fimmtudagur","Föstudagur","Laugardagur","Sunnudagur"),IF(B1778&lt;&gt;"",B1778,""))</f>
        <v>Fimmtudagur</v>
      </c>
      <c r="C1779" s="33">
        <f>IF(A1779&lt;&gt;"",WEEKNUM(A1779,21),IF(C1778&lt;&gt;"",C1778,""))</f>
        <v>27</v>
      </c>
      <c r="D1779" s="34"/>
      <c r="E1779" s="34"/>
      <c r="F1779" s="34"/>
      <c r="G1779" s="34"/>
      <c r="H1779" s="34"/>
      <c r="I1779" s="35"/>
      <c r="J1779" s="35"/>
      <c r="K1779" s="36"/>
      <c r="L1779" s="26" t="str">
        <f>IF(OR(F1779 = "", G1779 = ""), "", IF(F1779 = "Vara", IFERROR(_xlfn.SINGLE(_xlfn.XLOOKUP(G1779, Vöruskrá!A:A, Vöruskrá!E:E, "")), ""), IF(F1779 = "Réttur", IFERROR(_xlfn.SINGLE(_xlfn.XLOOKUP(G1779, Réttabanki!A:A, Réttabanki!AS:AS, "")), ""), "")))</f>
        <v/>
      </c>
      <c r="M1779" s="26" t="str">
        <f>IF(OR(F1779 = "", G1779 = ""), "", IF(F1779 = "Vara", IFERROR(_xlfn.SINGLE(_xlfn.XLOOKUP(G1779, Vöruskrá!A:A, Vöruskrá!F:F, "")), ""), IF(F1779 = "Réttur", IFERROR(_xlfn.SINGLE(_xlfn.XLOOKUP(G1779, Réttabanki!A:A, Réttabanki!AT:AT, "")), ""), "")))</f>
        <v/>
      </c>
      <c r="N1779" s="26" t="str">
        <f>IF(OR(F1779 = "", G1779 = ""), "", IF(F1779 = "Vara", IFERROR(_xlfn.SINGLE(_xlfn.XLOOKUP(G1779, Vöruskrá!A:A, Vöruskrá!G:G, "")), ""), IF(F1779 = "Réttur", IFERROR(_xlfn.SINGLE(_xlfn.XLOOKUP(G1779, Réttabanki!A:A, Réttabanki!AU:AU, "")), ""), "")))</f>
        <v/>
      </c>
      <c r="O1779" s="26" t="str">
        <f>IF(OR(F1779 = "", G1779 = "", I1779 = ""), "", IF(F1779 = "Vara", IFERROR(_xlfn.SINGLE(_xlfn.XLOOKUP(G1779, Vöruskrá!A:A, Vöruskrá!I:I, "")) * I1779 / 100, ""), IF(F1779 = "Réttur", IFERROR(_xlfn.SINGLE(_xlfn.XLOOKUP(G1779, Réttabanki!A:A, Réttabanki!AV:AV, "")) * I1779 / 100, ""), "")))</f>
        <v/>
      </c>
      <c r="P1779" s="26" t="str">
        <f>IF(OR(F1779 = "", G1779 = "", I1779 = ""), "", IF(F1779 = "Vara", IFERROR(_xlfn.SINGLE(_xlfn.XLOOKUP(G1779, Vöruskrá!A:A, Vöruskrá!J:J, "")) * I1779 / 100, ""), IF(F1779 = "Réttur", IFERROR(_xlfn.SINGLE(_xlfn.XLOOKUP(G1779, Réttabanki!A:A, Réttabanki!AW:AW, "")) * I1779 / 100, ""), "")))</f>
        <v/>
      </c>
      <c r="Q1779" s="26" t="str">
        <f>IF(OR(F1779 = "", G1779 = "", I1779 = ""), "", IF(F1779 = "Vara", IFERROR(_xlfn.SINGLE(_xlfn.XLOOKUP(G1779, Vöruskrá!A:A, Vöruskrá!N:N, "")) * I1779 / 100, ""), IF(F1779 = "Réttur", IFERROR(_xlfn.SINGLE(_xlfn.XLOOKUP(G1779, Réttabanki!A:A, Réttabanki!BB:BB, "")) * I1779 / 100, ""), "")))</f>
        <v/>
      </c>
    </row>
    <row r="1780" spans="2:17">
      <c r="B1780" s="33" t="str">
        <f>IF(A1780&lt;&gt;"",CHOOSE(WEEKDAY(A1780,2),"Mánudagur","Þriðjudagur","Miðvikudagur","Fimmtudagur","Föstudagur","Laugardagur","Sunnudagur"),IF(B1779&lt;&gt;"",B1779,""))</f>
        <v>Fimmtudagur</v>
      </c>
      <c r="C1780" s="33">
        <f>IF(A1780&lt;&gt;"",WEEKNUM(A1780,21),IF(C1779&lt;&gt;"",C1779,""))</f>
        <v>27</v>
      </c>
      <c r="D1780" s="34"/>
      <c r="E1780" s="34"/>
      <c r="F1780" s="34"/>
      <c r="G1780" s="34"/>
      <c r="H1780" s="34"/>
      <c r="I1780" s="35"/>
      <c r="J1780" s="35"/>
      <c r="K1780" s="36"/>
      <c r="L1780" s="26" t="str">
        <f>IF(OR(F1780 = "", G1780 = ""), "", IF(F1780 = "Vara", IFERROR(_xlfn.SINGLE(_xlfn.XLOOKUP(G1780, Vöruskrá!A:A, Vöruskrá!E:E, "")), ""), IF(F1780 = "Réttur", IFERROR(_xlfn.SINGLE(_xlfn.XLOOKUP(G1780, Réttabanki!A:A, Réttabanki!AS:AS, "")), ""), "")))</f>
        <v/>
      </c>
      <c r="M1780" s="26" t="str">
        <f>IF(OR(F1780 = "", G1780 = ""), "", IF(F1780 = "Vara", IFERROR(_xlfn.SINGLE(_xlfn.XLOOKUP(G1780, Vöruskrá!A:A, Vöruskrá!F:F, "")), ""), IF(F1780 = "Réttur", IFERROR(_xlfn.SINGLE(_xlfn.XLOOKUP(G1780, Réttabanki!A:A, Réttabanki!AT:AT, "")), ""), "")))</f>
        <v/>
      </c>
      <c r="N1780" s="26" t="str">
        <f>IF(OR(F1780 = "", G1780 = ""), "", IF(F1780 = "Vara", IFERROR(_xlfn.SINGLE(_xlfn.XLOOKUP(G1780, Vöruskrá!A:A, Vöruskrá!G:G, "")), ""), IF(F1780 = "Réttur", IFERROR(_xlfn.SINGLE(_xlfn.XLOOKUP(G1780, Réttabanki!A:A, Réttabanki!AU:AU, "")), ""), "")))</f>
        <v/>
      </c>
      <c r="O1780" s="26" t="str">
        <f>IF(OR(F1780 = "", G1780 = "", I1780 = ""), "", IF(F1780 = "Vara", IFERROR(_xlfn.SINGLE(_xlfn.XLOOKUP(G1780, Vöruskrá!A:A, Vöruskrá!I:I, "")) * I1780 / 100, ""), IF(F1780 = "Réttur", IFERROR(_xlfn.SINGLE(_xlfn.XLOOKUP(G1780, Réttabanki!A:A, Réttabanki!AV:AV, "")) * I1780 / 100, ""), "")))</f>
        <v/>
      </c>
      <c r="P1780" s="26" t="str">
        <f>IF(OR(F1780 = "", G1780 = "", I1780 = ""), "", IF(F1780 = "Vara", IFERROR(_xlfn.SINGLE(_xlfn.XLOOKUP(G1780, Vöruskrá!A:A, Vöruskrá!J:J, "")) * I1780 / 100, ""), IF(F1780 = "Réttur", IFERROR(_xlfn.SINGLE(_xlfn.XLOOKUP(G1780, Réttabanki!A:A, Réttabanki!AW:AW, "")) * I1780 / 100, ""), "")))</f>
        <v/>
      </c>
      <c r="Q1780" s="26" t="str">
        <f>IF(OR(F1780 = "", G1780 = "", I1780 = ""), "", IF(F1780 = "Vara", IFERROR(_xlfn.SINGLE(_xlfn.XLOOKUP(G1780, Vöruskrá!A:A, Vöruskrá!N:N, "")) * I1780 / 100, ""), IF(F1780 = "Réttur", IFERROR(_xlfn.SINGLE(_xlfn.XLOOKUP(G1780, Réttabanki!A:A, Réttabanki!BB:BB, "")) * I1780 / 100, ""), "")))</f>
        <v/>
      </c>
    </row>
    <row r="1781" spans="2:17">
      <c r="B1781" s="33" t="str">
        <f>IF(A1781&lt;&gt;"",CHOOSE(WEEKDAY(A1781,2),"Mánudagur","Þriðjudagur","Miðvikudagur","Fimmtudagur","Föstudagur","Laugardagur","Sunnudagur"),IF(B1780&lt;&gt;"",B1780,""))</f>
        <v>Fimmtudagur</v>
      </c>
      <c r="C1781" s="33">
        <f>IF(A1781&lt;&gt;"",WEEKNUM(A1781,21),IF(C1780&lt;&gt;"",C1780,""))</f>
        <v>27</v>
      </c>
      <c r="D1781" s="34"/>
      <c r="E1781" s="34"/>
      <c r="F1781" s="34"/>
      <c r="G1781" s="34"/>
      <c r="H1781" s="34"/>
      <c r="I1781" s="35"/>
      <c r="J1781" s="35"/>
      <c r="K1781" s="36"/>
      <c r="L1781" s="26" t="str">
        <f>IF(OR(F1781 = "", G1781 = ""), "", IF(F1781 = "Vara", IFERROR(_xlfn.SINGLE(_xlfn.XLOOKUP(G1781, Vöruskrá!A:A, Vöruskrá!E:E, "")), ""), IF(F1781 = "Réttur", IFERROR(_xlfn.SINGLE(_xlfn.XLOOKUP(G1781, Réttabanki!A:A, Réttabanki!AS:AS, "")), ""), "")))</f>
        <v/>
      </c>
      <c r="M1781" s="26" t="str">
        <f>IF(OR(F1781 = "", G1781 = ""), "", IF(F1781 = "Vara", IFERROR(_xlfn.SINGLE(_xlfn.XLOOKUP(G1781, Vöruskrá!A:A, Vöruskrá!F:F, "")), ""), IF(F1781 = "Réttur", IFERROR(_xlfn.SINGLE(_xlfn.XLOOKUP(G1781, Réttabanki!A:A, Réttabanki!AT:AT, "")), ""), "")))</f>
        <v/>
      </c>
      <c r="N1781" s="26" t="str">
        <f>IF(OR(F1781 = "", G1781 = ""), "", IF(F1781 = "Vara", IFERROR(_xlfn.SINGLE(_xlfn.XLOOKUP(G1781, Vöruskrá!A:A, Vöruskrá!G:G, "")), ""), IF(F1781 = "Réttur", IFERROR(_xlfn.SINGLE(_xlfn.XLOOKUP(G1781, Réttabanki!A:A, Réttabanki!AU:AU, "")), ""), "")))</f>
        <v/>
      </c>
      <c r="O1781" s="26" t="str">
        <f>IF(OR(F1781 = "", G1781 = "", I1781 = ""), "", IF(F1781 = "Vara", IFERROR(_xlfn.SINGLE(_xlfn.XLOOKUP(G1781, Vöruskrá!A:A, Vöruskrá!I:I, "")) * I1781 / 100, ""), IF(F1781 = "Réttur", IFERROR(_xlfn.SINGLE(_xlfn.XLOOKUP(G1781, Réttabanki!A:A, Réttabanki!AV:AV, "")) * I1781 / 100, ""), "")))</f>
        <v/>
      </c>
      <c r="P1781" s="26" t="str">
        <f>IF(OR(F1781 = "", G1781 = "", I1781 = ""), "", IF(F1781 = "Vara", IFERROR(_xlfn.SINGLE(_xlfn.XLOOKUP(G1781, Vöruskrá!A:A, Vöruskrá!J:J, "")) * I1781 / 100, ""), IF(F1781 = "Réttur", IFERROR(_xlfn.SINGLE(_xlfn.XLOOKUP(G1781, Réttabanki!A:A, Réttabanki!AW:AW, "")) * I1781 / 100, ""), "")))</f>
        <v/>
      </c>
      <c r="Q1781" s="26" t="str">
        <f>IF(OR(F1781 = "", G1781 = "", I1781 = ""), "", IF(F1781 = "Vara", IFERROR(_xlfn.SINGLE(_xlfn.XLOOKUP(G1781, Vöruskrá!A:A, Vöruskrá!N:N, "")) * I1781 / 100, ""), IF(F1781 = "Réttur", IFERROR(_xlfn.SINGLE(_xlfn.XLOOKUP(G1781, Réttabanki!A:A, Réttabanki!BB:BB, "")) * I1781 / 100, ""), "")))</f>
        <v/>
      </c>
    </row>
    <row r="1782" spans="2:17">
      <c r="B1782" s="33" t="str">
        <f>IF(A1782&lt;&gt;"",CHOOSE(WEEKDAY(A1782,2),"Mánudagur","Þriðjudagur","Miðvikudagur","Fimmtudagur","Föstudagur","Laugardagur","Sunnudagur"),IF(B1781&lt;&gt;"",B1781,""))</f>
        <v>Fimmtudagur</v>
      </c>
      <c r="C1782" s="33">
        <f>IF(A1782&lt;&gt;"",WEEKNUM(A1782,21),IF(C1781&lt;&gt;"",C1781,""))</f>
        <v>27</v>
      </c>
      <c r="D1782" s="34"/>
      <c r="E1782" s="34"/>
      <c r="F1782" s="34"/>
      <c r="G1782" s="34"/>
      <c r="H1782" s="34"/>
      <c r="I1782" s="35"/>
      <c r="J1782" s="35"/>
      <c r="K1782" s="36"/>
      <c r="L1782" s="26" t="str">
        <f>IF(OR(F1782 = "", G1782 = ""), "", IF(F1782 = "Vara", IFERROR(_xlfn.SINGLE(_xlfn.XLOOKUP(G1782, Vöruskrá!A:A, Vöruskrá!E:E, "")), ""), IF(F1782 = "Réttur", IFERROR(_xlfn.SINGLE(_xlfn.XLOOKUP(G1782, Réttabanki!A:A, Réttabanki!AS:AS, "")), ""), "")))</f>
        <v/>
      </c>
      <c r="M1782" s="26" t="str">
        <f>IF(OR(F1782 = "", G1782 = ""), "", IF(F1782 = "Vara", IFERROR(_xlfn.SINGLE(_xlfn.XLOOKUP(G1782, Vöruskrá!A:A, Vöruskrá!F:F, "")), ""), IF(F1782 = "Réttur", IFERROR(_xlfn.SINGLE(_xlfn.XLOOKUP(G1782, Réttabanki!A:A, Réttabanki!AT:AT, "")), ""), "")))</f>
        <v/>
      </c>
      <c r="N1782" s="26" t="str">
        <f>IF(OR(F1782 = "", G1782 = ""), "", IF(F1782 = "Vara", IFERROR(_xlfn.SINGLE(_xlfn.XLOOKUP(G1782, Vöruskrá!A:A, Vöruskrá!G:G, "")), ""), IF(F1782 = "Réttur", IFERROR(_xlfn.SINGLE(_xlfn.XLOOKUP(G1782, Réttabanki!A:A, Réttabanki!AU:AU, "")), ""), "")))</f>
        <v/>
      </c>
      <c r="O1782" s="26" t="str">
        <f>IF(OR(F1782 = "", G1782 = "", I1782 = ""), "", IF(F1782 = "Vara", IFERROR(_xlfn.SINGLE(_xlfn.XLOOKUP(G1782, Vöruskrá!A:A, Vöruskrá!I:I, "")) * I1782 / 100, ""), IF(F1782 = "Réttur", IFERROR(_xlfn.SINGLE(_xlfn.XLOOKUP(G1782, Réttabanki!A:A, Réttabanki!AV:AV, "")) * I1782 / 100, ""), "")))</f>
        <v/>
      </c>
      <c r="P1782" s="26" t="str">
        <f>IF(OR(F1782 = "", G1782 = "", I1782 = ""), "", IF(F1782 = "Vara", IFERROR(_xlfn.SINGLE(_xlfn.XLOOKUP(G1782, Vöruskrá!A:A, Vöruskrá!J:J, "")) * I1782 / 100, ""), IF(F1782 = "Réttur", IFERROR(_xlfn.SINGLE(_xlfn.XLOOKUP(G1782, Réttabanki!A:A, Réttabanki!AW:AW, "")) * I1782 / 100, ""), "")))</f>
        <v/>
      </c>
      <c r="Q1782" s="26" t="str">
        <f>IF(OR(F1782 = "", G1782 = "", I1782 = ""), "", IF(F1782 = "Vara", IFERROR(_xlfn.SINGLE(_xlfn.XLOOKUP(G1782, Vöruskrá!A:A, Vöruskrá!N:N, "")) * I1782 / 100, ""), IF(F1782 = "Réttur", IFERROR(_xlfn.SINGLE(_xlfn.XLOOKUP(G1782, Réttabanki!A:A, Réttabanki!BB:BB, "")) * I1782 / 100, ""), "")))</f>
        <v/>
      </c>
    </row>
    <row r="1783" spans="2:17">
      <c r="B1783" s="33" t="str">
        <f>IF(A1783&lt;&gt;"",CHOOSE(WEEKDAY(A1783,2),"Mánudagur","Þriðjudagur","Miðvikudagur","Fimmtudagur","Föstudagur","Laugardagur","Sunnudagur"),IF(B1782&lt;&gt;"",B1782,""))</f>
        <v>Fimmtudagur</v>
      </c>
      <c r="C1783" s="33">
        <f>IF(A1783&lt;&gt;"",WEEKNUM(A1783,21),IF(C1782&lt;&gt;"",C1782,""))</f>
        <v>27</v>
      </c>
      <c r="D1783" s="34"/>
      <c r="E1783" s="34"/>
      <c r="F1783" s="34"/>
      <c r="G1783" s="34"/>
      <c r="H1783" s="34"/>
      <c r="I1783" s="35"/>
      <c r="J1783" s="35"/>
      <c r="K1783" s="36"/>
      <c r="L1783" s="26" t="str">
        <f>IF(OR(F1783 = "", G1783 = ""), "", IF(F1783 = "Vara", IFERROR(_xlfn.SINGLE(_xlfn.XLOOKUP(G1783, Vöruskrá!A:A, Vöruskrá!E:E, "")), ""), IF(F1783 = "Réttur", IFERROR(_xlfn.SINGLE(_xlfn.XLOOKUP(G1783, Réttabanki!A:A, Réttabanki!AS:AS, "")), ""), "")))</f>
        <v/>
      </c>
      <c r="M1783" s="26" t="str">
        <f>IF(OR(F1783 = "", G1783 = ""), "", IF(F1783 = "Vara", IFERROR(_xlfn.SINGLE(_xlfn.XLOOKUP(G1783, Vöruskrá!A:A, Vöruskrá!F:F, "")), ""), IF(F1783 = "Réttur", IFERROR(_xlfn.SINGLE(_xlfn.XLOOKUP(G1783, Réttabanki!A:A, Réttabanki!AT:AT, "")), ""), "")))</f>
        <v/>
      </c>
      <c r="N1783" s="26" t="str">
        <f>IF(OR(F1783 = "", G1783 = ""), "", IF(F1783 = "Vara", IFERROR(_xlfn.SINGLE(_xlfn.XLOOKUP(G1783, Vöruskrá!A:A, Vöruskrá!G:G, "")), ""), IF(F1783 = "Réttur", IFERROR(_xlfn.SINGLE(_xlfn.XLOOKUP(G1783, Réttabanki!A:A, Réttabanki!AU:AU, "")), ""), "")))</f>
        <v/>
      </c>
      <c r="O1783" s="26" t="str">
        <f>IF(OR(F1783 = "", G1783 = "", I1783 = ""), "", IF(F1783 = "Vara", IFERROR(_xlfn.SINGLE(_xlfn.XLOOKUP(G1783, Vöruskrá!A:A, Vöruskrá!I:I, "")) * I1783 / 100, ""), IF(F1783 = "Réttur", IFERROR(_xlfn.SINGLE(_xlfn.XLOOKUP(G1783, Réttabanki!A:A, Réttabanki!AV:AV, "")) * I1783 / 100, ""), "")))</f>
        <v/>
      </c>
      <c r="P1783" s="26" t="str">
        <f>IF(OR(F1783 = "", G1783 = "", I1783 = ""), "", IF(F1783 = "Vara", IFERROR(_xlfn.SINGLE(_xlfn.XLOOKUP(G1783, Vöruskrá!A:A, Vöruskrá!J:J, "")) * I1783 / 100, ""), IF(F1783 = "Réttur", IFERROR(_xlfn.SINGLE(_xlfn.XLOOKUP(G1783, Réttabanki!A:A, Réttabanki!AW:AW, "")) * I1783 / 100, ""), "")))</f>
        <v/>
      </c>
      <c r="Q1783" s="26" t="str">
        <f>IF(OR(F1783 = "", G1783 = "", I1783 = ""), "", IF(F1783 = "Vara", IFERROR(_xlfn.SINGLE(_xlfn.XLOOKUP(G1783, Vöruskrá!A:A, Vöruskrá!N:N, "")) * I1783 / 100, ""), IF(F1783 = "Réttur", IFERROR(_xlfn.SINGLE(_xlfn.XLOOKUP(G1783, Réttabanki!A:A, Réttabanki!BB:BB, "")) * I1783 / 100, ""), "")))</f>
        <v/>
      </c>
    </row>
    <row r="1784" spans="2:17">
      <c r="B1784" s="33" t="str">
        <f>IF(A1784&lt;&gt;"",CHOOSE(WEEKDAY(A1784,2),"Mánudagur","Þriðjudagur","Miðvikudagur","Fimmtudagur","Föstudagur","Laugardagur","Sunnudagur"),IF(B1783&lt;&gt;"",B1783,""))</f>
        <v>Fimmtudagur</v>
      </c>
      <c r="C1784" s="33">
        <f>IF(A1784&lt;&gt;"",WEEKNUM(A1784,21),IF(C1783&lt;&gt;"",C1783,""))</f>
        <v>27</v>
      </c>
      <c r="D1784" s="34"/>
      <c r="E1784" s="34"/>
      <c r="F1784" s="34"/>
      <c r="G1784" s="34"/>
      <c r="H1784" s="34"/>
      <c r="I1784" s="35"/>
      <c r="J1784" s="35"/>
      <c r="K1784" s="36"/>
      <c r="L1784" s="26" t="str">
        <f>IF(OR(F1784 = "", G1784 = ""), "", IF(F1784 = "Vara", IFERROR(_xlfn.SINGLE(_xlfn.XLOOKUP(G1784, Vöruskrá!A:A, Vöruskrá!E:E, "")), ""), IF(F1784 = "Réttur", IFERROR(_xlfn.SINGLE(_xlfn.XLOOKUP(G1784, Réttabanki!A:A, Réttabanki!AS:AS, "")), ""), "")))</f>
        <v/>
      </c>
      <c r="M1784" s="26" t="str">
        <f>IF(OR(F1784 = "", G1784 = ""), "", IF(F1784 = "Vara", IFERROR(_xlfn.SINGLE(_xlfn.XLOOKUP(G1784, Vöruskrá!A:A, Vöruskrá!F:F, "")), ""), IF(F1784 = "Réttur", IFERROR(_xlfn.SINGLE(_xlfn.XLOOKUP(G1784, Réttabanki!A:A, Réttabanki!AT:AT, "")), ""), "")))</f>
        <v/>
      </c>
      <c r="N1784" s="26" t="str">
        <f>IF(OR(F1784 = "", G1784 = ""), "", IF(F1784 = "Vara", IFERROR(_xlfn.SINGLE(_xlfn.XLOOKUP(G1784, Vöruskrá!A:A, Vöruskrá!G:G, "")), ""), IF(F1784 = "Réttur", IFERROR(_xlfn.SINGLE(_xlfn.XLOOKUP(G1784, Réttabanki!A:A, Réttabanki!AU:AU, "")), ""), "")))</f>
        <v/>
      </c>
      <c r="O1784" s="26" t="str">
        <f>IF(OR(F1784 = "", G1784 = "", I1784 = ""), "", IF(F1784 = "Vara", IFERROR(_xlfn.SINGLE(_xlfn.XLOOKUP(G1784, Vöruskrá!A:A, Vöruskrá!I:I, "")) * I1784 / 100, ""), IF(F1784 = "Réttur", IFERROR(_xlfn.SINGLE(_xlfn.XLOOKUP(G1784, Réttabanki!A:A, Réttabanki!AV:AV, "")) * I1784 / 100, ""), "")))</f>
        <v/>
      </c>
      <c r="P1784" s="26" t="str">
        <f>IF(OR(F1784 = "", G1784 = "", I1784 = ""), "", IF(F1784 = "Vara", IFERROR(_xlfn.SINGLE(_xlfn.XLOOKUP(G1784, Vöruskrá!A:A, Vöruskrá!J:J, "")) * I1784 / 100, ""), IF(F1784 = "Réttur", IFERROR(_xlfn.SINGLE(_xlfn.XLOOKUP(G1784, Réttabanki!A:A, Réttabanki!AW:AW, "")) * I1784 / 100, ""), "")))</f>
        <v/>
      </c>
      <c r="Q1784" s="26" t="str">
        <f>IF(OR(F1784 = "", G1784 = "", I1784 = ""), "", IF(F1784 = "Vara", IFERROR(_xlfn.SINGLE(_xlfn.XLOOKUP(G1784, Vöruskrá!A:A, Vöruskrá!N:N, "")) * I1784 / 100, ""), IF(F1784 = "Réttur", IFERROR(_xlfn.SINGLE(_xlfn.XLOOKUP(G1784, Réttabanki!A:A, Réttabanki!BB:BB, "")) * I1784 / 100, ""), "")))</f>
        <v/>
      </c>
    </row>
    <row r="1785" spans="2:17">
      <c r="B1785" s="33" t="str">
        <f>IF(A1785&lt;&gt;"",CHOOSE(WEEKDAY(A1785,2),"Mánudagur","Þriðjudagur","Miðvikudagur","Fimmtudagur","Föstudagur","Laugardagur","Sunnudagur"),IF(B1784&lt;&gt;"",B1784,""))</f>
        <v>Fimmtudagur</v>
      </c>
      <c r="C1785" s="33">
        <f>IF(A1785&lt;&gt;"",WEEKNUM(A1785,21),IF(C1784&lt;&gt;"",C1784,""))</f>
        <v>27</v>
      </c>
      <c r="D1785" s="34"/>
      <c r="E1785" s="34"/>
      <c r="F1785" s="34"/>
      <c r="G1785" s="34"/>
      <c r="H1785" s="34"/>
      <c r="I1785" s="35"/>
      <c r="J1785" s="35"/>
      <c r="K1785" s="36"/>
      <c r="L1785" s="26" t="str">
        <f>IF(OR(F1785 = "", G1785 = ""), "", IF(F1785 = "Vara", IFERROR(_xlfn.SINGLE(_xlfn.XLOOKUP(G1785, Vöruskrá!A:A, Vöruskrá!E:E, "")), ""), IF(F1785 = "Réttur", IFERROR(_xlfn.SINGLE(_xlfn.XLOOKUP(G1785, Réttabanki!A:A, Réttabanki!AS:AS, "")), ""), "")))</f>
        <v/>
      </c>
      <c r="M1785" s="26" t="str">
        <f>IF(OR(F1785 = "", G1785 = ""), "", IF(F1785 = "Vara", IFERROR(_xlfn.SINGLE(_xlfn.XLOOKUP(G1785, Vöruskrá!A:A, Vöruskrá!F:F, "")), ""), IF(F1785 = "Réttur", IFERROR(_xlfn.SINGLE(_xlfn.XLOOKUP(G1785, Réttabanki!A:A, Réttabanki!AT:AT, "")), ""), "")))</f>
        <v/>
      </c>
      <c r="N1785" s="26" t="str">
        <f>IF(OR(F1785 = "", G1785 = ""), "", IF(F1785 = "Vara", IFERROR(_xlfn.SINGLE(_xlfn.XLOOKUP(G1785, Vöruskrá!A:A, Vöruskrá!G:G, "")), ""), IF(F1785 = "Réttur", IFERROR(_xlfn.SINGLE(_xlfn.XLOOKUP(G1785, Réttabanki!A:A, Réttabanki!AU:AU, "")), ""), "")))</f>
        <v/>
      </c>
      <c r="O1785" s="26" t="str">
        <f>IF(OR(F1785 = "", G1785 = "", I1785 = ""), "", IF(F1785 = "Vara", IFERROR(_xlfn.SINGLE(_xlfn.XLOOKUP(G1785, Vöruskrá!A:A, Vöruskrá!I:I, "")) * I1785 / 100, ""), IF(F1785 = "Réttur", IFERROR(_xlfn.SINGLE(_xlfn.XLOOKUP(G1785, Réttabanki!A:A, Réttabanki!AV:AV, "")) * I1785 / 100, ""), "")))</f>
        <v/>
      </c>
      <c r="P1785" s="26" t="str">
        <f>IF(OR(F1785 = "", G1785 = "", I1785 = ""), "", IF(F1785 = "Vara", IFERROR(_xlfn.SINGLE(_xlfn.XLOOKUP(G1785, Vöruskrá!A:A, Vöruskrá!J:J, "")) * I1785 / 100, ""), IF(F1785 = "Réttur", IFERROR(_xlfn.SINGLE(_xlfn.XLOOKUP(G1785, Réttabanki!A:A, Réttabanki!AW:AW, "")) * I1785 / 100, ""), "")))</f>
        <v/>
      </c>
      <c r="Q1785" s="26" t="str">
        <f>IF(OR(F1785 = "", G1785 = "", I1785 = ""), "", IF(F1785 = "Vara", IFERROR(_xlfn.SINGLE(_xlfn.XLOOKUP(G1785, Vöruskrá!A:A, Vöruskrá!N:N, "")) * I1785 / 100, ""), IF(F1785 = "Réttur", IFERROR(_xlfn.SINGLE(_xlfn.XLOOKUP(G1785, Réttabanki!A:A, Réttabanki!BB:BB, "")) * I1785 / 100, ""), "")))</f>
        <v/>
      </c>
    </row>
    <row r="1786" spans="2:17">
      <c r="B1786" s="33" t="str">
        <f>IF(A1786&lt;&gt;"",CHOOSE(WEEKDAY(A1786,2),"Mánudagur","Þriðjudagur","Miðvikudagur","Fimmtudagur","Föstudagur","Laugardagur","Sunnudagur"),IF(B1785&lt;&gt;"",B1785,""))</f>
        <v>Fimmtudagur</v>
      </c>
      <c r="C1786" s="33">
        <f>IF(A1786&lt;&gt;"",WEEKNUM(A1786,21),IF(C1785&lt;&gt;"",C1785,""))</f>
        <v>27</v>
      </c>
      <c r="D1786" s="34"/>
      <c r="E1786" s="34"/>
      <c r="F1786" s="34"/>
      <c r="G1786" s="34"/>
      <c r="H1786" s="34"/>
      <c r="I1786" s="35"/>
      <c r="J1786" s="35"/>
      <c r="K1786" s="36"/>
      <c r="L1786" s="26" t="str">
        <f>IF(OR(F1786 = "", G1786 = ""), "", IF(F1786 = "Vara", IFERROR(_xlfn.SINGLE(_xlfn.XLOOKUP(G1786, Vöruskrá!A:A, Vöruskrá!E:E, "")), ""), IF(F1786 = "Réttur", IFERROR(_xlfn.SINGLE(_xlfn.XLOOKUP(G1786, Réttabanki!A:A, Réttabanki!AS:AS, "")), ""), "")))</f>
        <v/>
      </c>
      <c r="M1786" s="26" t="str">
        <f>IF(OR(F1786 = "", G1786 = ""), "", IF(F1786 = "Vara", IFERROR(_xlfn.SINGLE(_xlfn.XLOOKUP(G1786, Vöruskrá!A:A, Vöruskrá!F:F, "")), ""), IF(F1786 = "Réttur", IFERROR(_xlfn.SINGLE(_xlfn.XLOOKUP(G1786, Réttabanki!A:A, Réttabanki!AT:AT, "")), ""), "")))</f>
        <v/>
      </c>
      <c r="N1786" s="26" t="str">
        <f>IF(OR(F1786 = "", G1786 = ""), "", IF(F1786 = "Vara", IFERROR(_xlfn.SINGLE(_xlfn.XLOOKUP(G1786, Vöruskrá!A:A, Vöruskrá!G:G, "")), ""), IF(F1786 = "Réttur", IFERROR(_xlfn.SINGLE(_xlfn.XLOOKUP(G1786, Réttabanki!A:A, Réttabanki!AU:AU, "")), ""), "")))</f>
        <v/>
      </c>
      <c r="O1786" s="26" t="str">
        <f>IF(OR(F1786 = "", G1786 = "", I1786 = ""), "", IF(F1786 = "Vara", IFERROR(_xlfn.SINGLE(_xlfn.XLOOKUP(G1786, Vöruskrá!A:A, Vöruskrá!I:I, "")) * I1786 / 100, ""), IF(F1786 = "Réttur", IFERROR(_xlfn.SINGLE(_xlfn.XLOOKUP(G1786, Réttabanki!A:A, Réttabanki!AV:AV, "")) * I1786 / 100, ""), "")))</f>
        <v/>
      </c>
      <c r="P1786" s="26" t="str">
        <f>IF(OR(F1786 = "", G1786 = "", I1786 = ""), "", IF(F1786 = "Vara", IFERROR(_xlfn.SINGLE(_xlfn.XLOOKUP(G1786, Vöruskrá!A:A, Vöruskrá!J:J, "")) * I1786 / 100, ""), IF(F1786 = "Réttur", IFERROR(_xlfn.SINGLE(_xlfn.XLOOKUP(G1786, Réttabanki!A:A, Réttabanki!AW:AW, "")) * I1786 / 100, ""), "")))</f>
        <v/>
      </c>
      <c r="Q1786" s="26" t="str">
        <f>IF(OR(F1786 = "", G1786 = "", I1786 = ""), "", IF(F1786 = "Vara", IFERROR(_xlfn.SINGLE(_xlfn.XLOOKUP(G1786, Vöruskrá!A:A, Vöruskrá!N:N, "")) * I1786 / 100, ""), IF(F1786 = "Réttur", IFERROR(_xlfn.SINGLE(_xlfn.XLOOKUP(G1786, Réttabanki!A:A, Réttabanki!BB:BB, "")) * I1786 / 100, ""), "")))</f>
        <v/>
      </c>
    </row>
    <row r="1787" spans="2:17">
      <c r="B1787" s="33" t="str">
        <f>IF(A1787&lt;&gt;"",CHOOSE(WEEKDAY(A1787,2),"Mánudagur","Þriðjudagur","Miðvikudagur","Fimmtudagur","Föstudagur","Laugardagur","Sunnudagur"),IF(B1786&lt;&gt;"",B1786,""))</f>
        <v>Fimmtudagur</v>
      </c>
      <c r="C1787" s="33">
        <f>IF(A1787&lt;&gt;"",WEEKNUM(A1787,21),IF(C1786&lt;&gt;"",C1786,""))</f>
        <v>27</v>
      </c>
      <c r="D1787" s="34"/>
      <c r="E1787" s="34"/>
      <c r="F1787" s="34"/>
      <c r="G1787" s="34"/>
      <c r="H1787" s="34"/>
      <c r="I1787" s="35"/>
      <c r="J1787" s="35"/>
      <c r="K1787" s="36"/>
      <c r="L1787" s="26" t="str">
        <f>IF(OR(F1787 = "", G1787 = ""), "", IF(F1787 = "Vara", IFERROR(_xlfn.SINGLE(_xlfn.XLOOKUP(G1787, Vöruskrá!A:A, Vöruskrá!E:E, "")), ""), IF(F1787 = "Réttur", IFERROR(_xlfn.SINGLE(_xlfn.XLOOKUP(G1787, Réttabanki!A:A, Réttabanki!AS:AS, "")), ""), "")))</f>
        <v/>
      </c>
      <c r="M1787" s="26" t="str">
        <f>IF(OR(F1787 = "", G1787 = ""), "", IF(F1787 = "Vara", IFERROR(_xlfn.SINGLE(_xlfn.XLOOKUP(G1787, Vöruskrá!A:A, Vöruskrá!F:F, "")), ""), IF(F1787 = "Réttur", IFERROR(_xlfn.SINGLE(_xlfn.XLOOKUP(G1787, Réttabanki!A:A, Réttabanki!AT:AT, "")), ""), "")))</f>
        <v/>
      </c>
      <c r="N1787" s="26" t="str">
        <f>IF(OR(F1787 = "", G1787 = ""), "", IF(F1787 = "Vara", IFERROR(_xlfn.SINGLE(_xlfn.XLOOKUP(G1787, Vöruskrá!A:A, Vöruskrá!G:G, "")), ""), IF(F1787 = "Réttur", IFERROR(_xlfn.SINGLE(_xlfn.XLOOKUP(G1787, Réttabanki!A:A, Réttabanki!AU:AU, "")), ""), "")))</f>
        <v/>
      </c>
      <c r="O1787" s="26" t="str">
        <f>IF(OR(F1787 = "", G1787 = "", I1787 = ""), "", IF(F1787 = "Vara", IFERROR(_xlfn.SINGLE(_xlfn.XLOOKUP(G1787, Vöruskrá!A:A, Vöruskrá!I:I, "")) * I1787 / 100, ""), IF(F1787 = "Réttur", IFERROR(_xlfn.SINGLE(_xlfn.XLOOKUP(G1787, Réttabanki!A:A, Réttabanki!AV:AV, "")) * I1787 / 100, ""), "")))</f>
        <v/>
      </c>
      <c r="P1787" s="26" t="str">
        <f>IF(OR(F1787 = "", G1787 = "", I1787 = ""), "", IF(F1787 = "Vara", IFERROR(_xlfn.SINGLE(_xlfn.XLOOKUP(G1787, Vöruskrá!A:A, Vöruskrá!J:J, "")) * I1787 / 100, ""), IF(F1787 = "Réttur", IFERROR(_xlfn.SINGLE(_xlfn.XLOOKUP(G1787, Réttabanki!A:A, Réttabanki!AW:AW, "")) * I1787 / 100, ""), "")))</f>
        <v/>
      </c>
      <c r="Q1787" s="26" t="str">
        <f>IF(OR(F1787 = "", G1787 = "", I1787 = ""), "", IF(F1787 = "Vara", IFERROR(_xlfn.SINGLE(_xlfn.XLOOKUP(G1787, Vöruskrá!A:A, Vöruskrá!N:N, "")) * I1787 / 100, ""), IF(F1787 = "Réttur", IFERROR(_xlfn.SINGLE(_xlfn.XLOOKUP(G1787, Réttabanki!A:A, Réttabanki!BB:BB, "")) * I1787 / 100, ""), "")))</f>
        <v/>
      </c>
    </row>
    <row r="1788" spans="2:17">
      <c r="B1788" s="33" t="str">
        <f>IF(A1788&lt;&gt;"",CHOOSE(WEEKDAY(A1788,2),"Mánudagur","Þriðjudagur","Miðvikudagur","Fimmtudagur","Föstudagur","Laugardagur","Sunnudagur"),IF(B1787&lt;&gt;"",B1787,""))</f>
        <v>Fimmtudagur</v>
      </c>
      <c r="C1788" s="33">
        <f>IF(A1788&lt;&gt;"",WEEKNUM(A1788,21),IF(C1787&lt;&gt;"",C1787,""))</f>
        <v>27</v>
      </c>
      <c r="D1788" s="34"/>
      <c r="E1788" s="34"/>
      <c r="F1788" s="34"/>
      <c r="G1788" s="34"/>
      <c r="H1788" s="34"/>
      <c r="I1788" s="35"/>
      <c r="J1788" s="35"/>
      <c r="K1788" s="36"/>
      <c r="L1788" s="26" t="str">
        <f>IF(OR(F1788 = "", G1788 = ""), "", IF(F1788 = "Vara", IFERROR(_xlfn.SINGLE(_xlfn.XLOOKUP(G1788, Vöruskrá!A:A, Vöruskrá!E:E, "")), ""), IF(F1788 = "Réttur", IFERROR(_xlfn.SINGLE(_xlfn.XLOOKUP(G1788, Réttabanki!A:A, Réttabanki!AS:AS, "")), ""), "")))</f>
        <v/>
      </c>
      <c r="M1788" s="26" t="str">
        <f>IF(OR(F1788 = "", G1788 = ""), "", IF(F1788 = "Vara", IFERROR(_xlfn.SINGLE(_xlfn.XLOOKUP(G1788, Vöruskrá!A:A, Vöruskrá!F:F, "")), ""), IF(F1788 = "Réttur", IFERROR(_xlfn.SINGLE(_xlfn.XLOOKUP(G1788, Réttabanki!A:A, Réttabanki!AT:AT, "")), ""), "")))</f>
        <v/>
      </c>
      <c r="N1788" s="26" t="str">
        <f>IF(OR(F1788 = "", G1788 = ""), "", IF(F1788 = "Vara", IFERROR(_xlfn.SINGLE(_xlfn.XLOOKUP(G1788, Vöruskrá!A:A, Vöruskrá!G:G, "")), ""), IF(F1788 = "Réttur", IFERROR(_xlfn.SINGLE(_xlfn.XLOOKUP(G1788, Réttabanki!A:A, Réttabanki!AU:AU, "")), ""), "")))</f>
        <v/>
      </c>
      <c r="O1788" s="26" t="str">
        <f>IF(OR(F1788 = "", G1788 = "", I1788 = ""), "", IF(F1788 = "Vara", IFERROR(_xlfn.SINGLE(_xlfn.XLOOKUP(G1788, Vöruskrá!A:A, Vöruskrá!I:I, "")) * I1788 / 100, ""), IF(F1788 = "Réttur", IFERROR(_xlfn.SINGLE(_xlfn.XLOOKUP(G1788, Réttabanki!A:A, Réttabanki!AV:AV, "")) * I1788 / 100, ""), "")))</f>
        <v/>
      </c>
      <c r="P1788" s="26" t="str">
        <f>IF(OR(F1788 = "", G1788 = "", I1788 = ""), "", IF(F1788 = "Vara", IFERROR(_xlfn.SINGLE(_xlfn.XLOOKUP(G1788, Vöruskrá!A:A, Vöruskrá!J:J, "")) * I1788 / 100, ""), IF(F1788 = "Réttur", IFERROR(_xlfn.SINGLE(_xlfn.XLOOKUP(G1788, Réttabanki!A:A, Réttabanki!AW:AW, "")) * I1788 / 100, ""), "")))</f>
        <v/>
      </c>
      <c r="Q1788" s="26" t="str">
        <f>IF(OR(F1788 = "", G1788 = "", I1788 = ""), "", IF(F1788 = "Vara", IFERROR(_xlfn.SINGLE(_xlfn.XLOOKUP(G1788, Vöruskrá!A:A, Vöruskrá!N:N, "")) * I1788 / 100, ""), IF(F1788 = "Réttur", IFERROR(_xlfn.SINGLE(_xlfn.XLOOKUP(G1788, Réttabanki!A:A, Réttabanki!BB:BB, "")) * I1788 / 100, ""), "")))</f>
        <v/>
      </c>
    </row>
    <row r="1789" spans="2:17">
      <c r="B1789" s="33" t="str">
        <f>IF(A1789&lt;&gt;"",CHOOSE(WEEKDAY(A1789,2),"Mánudagur","Þriðjudagur","Miðvikudagur","Fimmtudagur","Föstudagur","Laugardagur","Sunnudagur"),IF(B1788&lt;&gt;"",B1788,""))</f>
        <v>Fimmtudagur</v>
      </c>
      <c r="C1789" s="33">
        <f>IF(A1789&lt;&gt;"",WEEKNUM(A1789,21),IF(C1788&lt;&gt;"",C1788,""))</f>
        <v>27</v>
      </c>
      <c r="D1789" s="34"/>
      <c r="E1789" s="34"/>
      <c r="F1789" s="34"/>
      <c r="G1789" s="34"/>
      <c r="H1789" s="34"/>
      <c r="I1789" s="35"/>
      <c r="J1789" s="35"/>
      <c r="K1789" s="36"/>
      <c r="L1789" s="26" t="str">
        <f>IF(OR(F1789 = "", G1789 = ""), "", IF(F1789 = "Vara", IFERROR(_xlfn.SINGLE(_xlfn.XLOOKUP(G1789, Vöruskrá!A:A, Vöruskrá!E:E, "")), ""), IF(F1789 = "Réttur", IFERROR(_xlfn.SINGLE(_xlfn.XLOOKUP(G1789, Réttabanki!A:A, Réttabanki!AS:AS, "")), ""), "")))</f>
        <v/>
      </c>
      <c r="M1789" s="26" t="str">
        <f>IF(OR(F1789 = "", G1789 = ""), "", IF(F1789 = "Vara", IFERROR(_xlfn.SINGLE(_xlfn.XLOOKUP(G1789, Vöruskrá!A:A, Vöruskrá!F:F, "")), ""), IF(F1789 = "Réttur", IFERROR(_xlfn.SINGLE(_xlfn.XLOOKUP(G1789, Réttabanki!A:A, Réttabanki!AT:AT, "")), ""), "")))</f>
        <v/>
      </c>
      <c r="N1789" s="26" t="str">
        <f>IF(OR(F1789 = "", G1789 = ""), "", IF(F1789 = "Vara", IFERROR(_xlfn.SINGLE(_xlfn.XLOOKUP(G1789, Vöruskrá!A:A, Vöruskrá!G:G, "")), ""), IF(F1789 = "Réttur", IFERROR(_xlfn.SINGLE(_xlfn.XLOOKUP(G1789, Réttabanki!A:A, Réttabanki!AU:AU, "")), ""), "")))</f>
        <v/>
      </c>
      <c r="O1789" s="26" t="str">
        <f>IF(OR(F1789 = "", G1789 = "", I1789 = ""), "", IF(F1789 = "Vara", IFERROR(_xlfn.SINGLE(_xlfn.XLOOKUP(G1789, Vöruskrá!A:A, Vöruskrá!I:I, "")) * I1789 / 100, ""), IF(F1789 = "Réttur", IFERROR(_xlfn.SINGLE(_xlfn.XLOOKUP(G1789, Réttabanki!A:A, Réttabanki!AV:AV, "")) * I1789 / 100, ""), "")))</f>
        <v/>
      </c>
      <c r="P1789" s="26" t="str">
        <f>IF(OR(F1789 = "", G1789 = "", I1789 = ""), "", IF(F1789 = "Vara", IFERROR(_xlfn.SINGLE(_xlfn.XLOOKUP(G1789, Vöruskrá!A:A, Vöruskrá!J:J, "")) * I1789 / 100, ""), IF(F1789 = "Réttur", IFERROR(_xlfn.SINGLE(_xlfn.XLOOKUP(G1789, Réttabanki!A:A, Réttabanki!AW:AW, "")) * I1789 / 100, ""), "")))</f>
        <v/>
      </c>
      <c r="Q1789" s="26" t="str">
        <f>IF(OR(F1789 = "", G1789 = "", I1789 = ""), "", IF(F1789 = "Vara", IFERROR(_xlfn.SINGLE(_xlfn.XLOOKUP(G1789, Vöruskrá!A:A, Vöruskrá!N:N, "")) * I1789 / 100, ""), IF(F1789 = "Réttur", IFERROR(_xlfn.SINGLE(_xlfn.XLOOKUP(G1789, Réttabanki!A:A, Réttabanki!BB:BB, "")) * I1789 / 100, ""), "")))</f>
        <v/>
      </c>
    </row>
    <row r="1790" spans="2:17">
      <c r="B1790" s="33" t="str">
        <f>IF(A1790&lt;&gt;"",CHOOSE(WEEKDAY(A1790,2),"Mánudagur","Þriðjudagur","Miðvikudagur","Fimmtudagur","Föstudagur","Laugardagur","Sunnudagur"),IF(B1789&lt;&gt;"",B1789,""))</f>
        <v>Fimmtudagur</v>
      </c>
      <c r="C1790" s="33">
        <f>IF(A1790&lt;&gt;"",WEEKNUM(A1790,21),IF(C1789&lt;&gt;"",C1789,""))</f>
        <v>27</v>
      </c>
      <c r="D1790" s="34"/>
      <c r="E1790" s="34"/>
      <c r="F1790" s="34"/>
      <c r="G1790" s="34"/>
      <c r="H1790" s="34"/>
      <c r="I1790" s="35"/>
      <c r="J1790" s="35"/>
      <c r="K1790" s="36"/>
      <c r="L1790" s="26" t="str">
        <f>IF(OR(F1790 = "", G1790 = ""), "", IF(F1790 = "Vara", IFERROR(_xlfn.SINGLE(_xlfn.XLOOKUP(G1790, Vöruskrá!A:A, Vöruskrá!E:E, "")), ""), IF(F1790 = "Réttur", IFERROR(_xlfn.SINGLE(_xlfn.XLOOKUP(G1790, Réttabanki!A:A, Réttabanki!AS:AS, "")), ""), "")))</f>
        <v/>
      </c>
      <c r="M1790" s="26" t="str">
        <f>IF(OR(F1790 = "", G1790 = ""), "", IF(F1790 = "Vara", IFERROR(_xlfn.SINGLE(_xlfn.XLOOKUP(G1790, Vöruskrá!A:A, Vöruskrá!F:F, "")), ""), IF(F1790 = "Réttur", IFERROR(_xlfn.SINGLE(_xlfn.XLOOKUP(G1790, Réttabanki!A:A, Réttabanki!AT:AT, "")), ""), "")))</f>
        <v/>
      </c>
      <c r="N1790" s="26" t="str">
        <f>IF(OR(F1790 = "", G1790 = ""), "", IF(F1790 = "Vara", IFERROR(_xlfn.SINGLE(_xlfn.XLOOKUP(G1790, Vöruskrá!A:A, Vöruskrá!G:G, "")), ""), IF(F1790 = "Réttur", IFERROR(_xlfn.SINGLE(_xlfn.XLOOKUP(G1790, Réttabanki!A:A, Réttabanki!AU:AU, "")), ""), "")))</f>
        <v/>
      </c>
      <c r="O1790" s="26" t="str">
        <f>IF(OR(F1790 = "", G1790 = "", I1790 = ""), "", IF(F1790 = "Vara", IFERROR(_xlfn.SINGLE(_xlfn.XLOOKUP(G1790, Vöruskrá!A:A, Vöruskrá!I:I, "")) * I1790 / 100, ""), IF(F1790 = "Réttur", IFERROR(_xlfn.SINGLE(_xlfn.XLOOKUP(G1790, Réttabanki!A:A, Réttabanki!AV:AV, "")) * I1790 / 100, ""), "")))</f>
        <v/>
      </c>
      <c r="P1790" s="26" t="str">
        <f>IF(OR(F1790 = "", G1790 = "", I1790 = ""), "", IF(F1790 = "Vara", IFERROR(_xlfn.SINGLE(_xlfn.XLOOKUP(G1790, Vöruskrá!A:A, Vöruskrá!J:J, "")) * I1790 / 100, ""), IF(F1790 = "Réttur", IFERROR(_xlfn.SINGLE(_xlfn.XLOOKUP(G1790, Réttabanki!A:A, Réttabanki!AW:AW, "")) * I1790 / 100, ""), "")))</f>
        <v/>
      </c>
      <c r="Q1790" s="26" t="str">
        <f>IF(OR(F1790 = "", G1790 = "", I1790 = ""), "", IF(F1790 = "Vara", IFERROR(_xlfn.SINGLE(_xlfn.XLOOKUP(G1790, Vöruskrá!A:A, Vöruskrá!N:N, "")) * I1790 / 100, ""), IF(F1790 = "Réttur", IFERROR(_xlfn.SINGLE(_xlfn.XLOOKUP(G1790, Réttabanki!A:A, Réttabanki!BB:BB, "")) * I1790 / 100, ""), "")))</f>
        <v/>
      </c>
    </row>
    <row r="1791" spans="2:17">
      <c r="B1791" s="33" t="str">
        <f>IF(A1791&lt;&gt;"",CHOOSE(WEEKDAY(A1791,2),"Mánudagur","Þriðjudagur","Miðvikudagur","Fimmtudagur","Föstudagur","Laugardagur","Sunnudagur"),IF(B1790&lt;&gt;"",B1790,""))</f>
        <v>Fimmtudagur</v>
      </c>
      <c r="C1791" s="33">
        <f>IF(A1791&lt;&gt;"",WEEKNUM(A1791,21),IF(C1790&lt;&gt;"",C1790,""))</f>
        <v>27</v>
      </c>
      <c r="D1791" s="34"/>
      <c r="E1791" s="34"/>
      <c r="F1791" s="34"/>
      <c r="G1791" s="34"/>
      <c r="H1791" s="34"/>
      <c r="I1791" s="35"/>
      <c r="J1791" s="35"/>
      <c r="K1791" s="36"/>
      <c r="L1791" s="26" t="str">
        <f>IF(OR(F1791 = "", G1791 = ""), "", IF(F1791 = "Vara", IFERROR(_xlfn.SINGLE(_xlfn.XLOOKUP(G1791, Vöruskrá!A:A, Vöruskrá!E:E, "")), ""), IF(F1791 = "Réttur", IFERROR(_xlfn.SINGLE(_xlfn.XLOOKUP(G1791, Réttabanki!A:A, Réttabanki!AS:AS, "")), ""), "")))</f>
        <v/>
      </c>
      <c r="M1791" s="26" t="str">
        <f>IF(OR(F1791 = "", G1791 = ""), "", IF(F1791 = "Vara", IFERROR(_xlfn.SINGLE(_xlfn.XLOOKUP(G1791, Vöruskrá!A:A, Vöruskrá!F:F, "")), ""), IF(F1791 = "Réttur", IFERROR(_xlfn.SINGLE(_xlfn.XLOOKUP(G1791, Réttabanki!A:A, Réttabanki!AT:AT, "")), ""), "")))</f>
        <v/>
      </c>
      <c r="N1791" s="26" t="str">
        <f>IF(OR(F1791 = "", G1791 = ""), "", IF(F1791 = "Vara", IFERROR(_xlfn.SINGLE(_xlfn.XLOOKUP(G1791, Vöruskrá!A:A, Vöruskrá!G:G, "")), ""), IF(F1791 = "Réttur", IFERROR(_xlfn.SINGLE(_xlfn.XLOOKUP(G1791, Réttabanki!A:A, Réttabanki!AU:AU, "")), ""), "")))</f>
        <v/>
      </c>
      <c r="O1791" s="26" t="str">
        <f>IF(OR(F1791 = "", G1791 = "", I1791 = ""), "", IF(F1791 = "Vara", IFERROR(_xlfn.SINGLE(_xlfn.XLOOKUP(G1791, Vöruskrá!A:A, Vöruskrá!I:I, "")) * I1791 / 100, ""), IF(F1791 = "Réttur", IFERROR(_xlfn.SINGLE(_xlfn.XLOOKUP(G1791, Réttabanki!A:A, Réttabanki!AV:AV, "")) * I1791 / 100, ""), "")))</f>
        <v/>
      </c>
      <c r="P1791" s="26" t="str">
        <f>IF(OR(F1791 = "", G1791 = "", I1791 = ""), "", IF(F1791 = "Vara", IFERROR(_xlfn.SINGLE(_xlfn.XLOOKUP(G1791, Vöruskrá!A:A, Vöruskrá!J:J, "")) * I1791 / 100, ""), IF(F1791 = "Réttur", IFERROR(_xlfn.SINGLE(_xlfn.XLOOKUP(G1791, Réttabanki!A:A, Réttabanki!AW:AW, "")) * I1791 / 100, ""), "")))</f>
        <v/>
      </c>
      <c r="Q1791" s="26" t="str">
        <f>IF(OR(F1791 = "", G1791 = "", I1791 = ""), "", IF(F1791 = "Vara", IFERROR(_xlfn.SINGLE(_xlfn.XLOOKUP(G1791, Vöruskrá!A:A, Vöruskrá!N:N, "")) * I1791 / 100, ""), IF(F1791 = "Réttur", IFERROR(_xlfn.SINGLE(_xlfn.XLOOKUP(G1791, Réttabanki!A:A, Réttabanki!BB:BB, "")) * I1791 / 100, ""), "")))</f>
        <v/>
      </c>
    </row>
    <row r="1792" spans="2:17">
      <c r="B1792" s="33" t="str">
        <f>IF(A1792&lt;&gt;"",CHOOSE(WEEKDAY(A1792,2),"Mánudagur","Þriðjudagur","Miðvikudagur","Fimmtudagur","Föstudagur","Laugardagur","Sunnudagur"),IF(B1791&lt;&gt;"",B1791,""))</f>
        <v>Fimmtudagur</v>
      </c>
      <c r="C1792" s="33">
        <f>IF(A1792&lt;&gt;"",WEEKNUM(A1792,21),IF(C1791&lt;&gt;"",C1791,""))</f>
        <v>27</v>
      </c>
      <c r="D1792" s="34"/>
      <c r="E1792" s="34"/>
      <c r="F1792" s="34"/>
      <c r="G1792" s="34"/>
      <c r="H1792" s="34"/>
      <c r="I1792" s="35"/>
      <c r="J1792" s="35"/>
      <c r="K1792" s="36"/>
      <c r="L1792" s="26" t="str">
        <f>IF(OR(F1792 = "", G1792 = ""), "", IF(F1792 = "Vara", IFERROR(_xlfn.SINGLE(_xlfn.XLOOKUP(G1792, Vöruskrá!A:A, Vöruskrá!E:E, "")), ""), IF(F1792 = "Réttur", IFERROR(_xlfn.SINGLE(_xlfn.XLOOKUP(G1792, Réttabanki!A:A, Réttabanki!AS:AS, "")), ""), "")))</f>
        <v/>
      </c>
      <c r="M1792" s="26" t="str">
        <f>IF(OR(F1792 = "", G1792 = ""), "", IF(F1792 = "Vara", IFERROR(_xlfn.SINGLE(_xlfn.XLOOKUP(G1792, Vöruskrá!A:A, Vöruskrá!F:F, "")), ""), IF(F1792 = "Réttur", IFERROR(_xlfn.SINGLE(_xlfn.XLOOKUP(G1792, Réttabanki!A:A, Réttabanki!AT:AT, "")), ""), "")))</f>
        <v/>
      </c>
      <c r="N1792" s="26" t="str">
        <f>IF(OR(F1792 = "", G1792 = ""), "", IF(F1792 = "Vara", IFERROR(_xlfn.SINGLE(_xlfn.XLOOKUP(G1792, Vöruskrá!A:A, Vöruskrá!G:G, "")), ""), IF(F1792 = "Réttur", IFERROR(_xlfn.SINGLE(_xlfn.XLOOKUP(G1792, Réttabanki!A:A, Réttabanki!AU:AU, "")), ""), "")))</f>
        <v/>
      </c>
      <c r="O1792" s="26" t="str">
        <f>IF(OR(F1792 = "", G1792 = "", I1792 = ""), "", IF(F1792 = "Vara", IFERROR(_xlfn.SINGLE(_xlfn.XLOOKUP(G1792, Vöruskrá!A:A, Vöruskrá!I:I, "")) * I1792 / 100, ""), IF(F1792 = "Réttur", IFERROR(_xlfn.SINGLE(_xlfn.XLOOKUP(G1792, Réttabanki!A:A, Réttabanki!AV:AV, "")) * I1792 / 100, ""), "")))</f>
        <v/>
      </c>
      <c r="P1792" s="26" t="str">
        <f>IF(OR(F1792 = "", G1792 = "", I1792 = ""), "", IF(F1792 = "Vara", IFERROR(_xlfn.SINGLE(_xlfn.XLOOKUP(G1792, Vöruskrá!A:A, Vöruskrá!J:J, "")) * I1792 / 100, ""), IF(F1792 = "Réttur", IFERROR(_xlfn.SINGLE(_xlfn.XLOOKUP(G1792, Réttabanki!A:A, Réttabanki!AW:AW, "")) * I1792 / 100, ""), "")))</f>
        <v/>
      </c>
      <c r="Q1792" s="26" t="str">
        <f>IF(OR(F1792 = "", G1792 = "", I1792 = ""), "", IF(F1792 = "Vara", IFERROR(_xlfn.SINGLE(_xlfn.XLOOKUP(G1792, Vöruskrá!A:A, Vöruskrá!N:N, "")) * I1792 / 100, ""), IF(F1792 = "Réttur", IFERROR(_xlfn.SINGLE(_xlfn.XLOOKUP(G1792, Réttabanki!A:A, Réttabanki!BB:BB, "")) * I1792 / 100, ""), "")))</f>
        <v/>
      </c>
    </row>
    <row r="1793" spans="2:17">
      <c r="B1793" s="33" t="str">
        <f>IF(A1793&lt;&gt;"",CHOOSE(WEEKDAY(A1793,2),"Mánudagur","Þriðjudagur","Miðvikudagur","Fimmtudagur","Föstudagur","Laugardagur","Sunnudagur"),IF(B1792&lt;&gt;"",B1792,""))</f>
        <v>Fimmtudagur</v>
      </c>
      <c r="C1793" s="33">
        <f>IF(A1793&lt;&gt;"",WEEKNUM(A1793,21),IF(C1792&lt;&gt;"",C1792,""))</f>
        <v>27</v>
      </c>
      <c r="D1793" s="34"/>
      <c r="E1793" s="34"/>
      <c r="F1793" s="34"/>
      <c r="G1793" s="34"/>
      <c r="H1793" s="34"/>
      <c r="I1793" s="35"/>
      <c r="J1793" s="35"/>
      <c r="K1793" s="36"/>
      <c r="L1793" s="26" t="str">
        <f>IF(OR(F1793 = "", G1793 = ""), "", IF(F1793 = "Vara", IFERROR(_xlfn.SINGLE(_xlfn.XLOOKUP(G1793, Vöruskrá!A:A, Vöruskrá!E:E, "")), ""), IF(F1793 = "Réttur", IFERROR(_xlfn.SINGLE(_xlfn.XLOOKUP(G1793, Réttabanki!A:A, Réttabanki!AS:AS, "")), ""), "")))</f>
        <v/>
      </c>
      <c r="M1793" s="26" t="str">
        <f>IF(OR(F1793 = "", G1793 = ""), "", IF(F1793 = "Vara", IFERROR(_xlfn.SINGLE(_xlfn.XLOOKUP(G1793, Vöruskrá!A:A, Vöruskrá!F:F, "")), ""), IF(F1793 = "Réttur", IFERROR(_xlfn.SINGLE(_xlfn.XLOOKUP(G1793, Réttabanki!A:A, Réttabanki!AT:AT, "")), ""), "")))</f>
        <v/>
      </c>
      <c r="N1793" s="26" t="str">
        <f>IF(OR(F1793 = "", G1793 = ""), "", IF(F1793 = "Vara", IFERROR(_xlfn.SINGLE(_xlfn.XLOOKUP(G1793, Vöruskrá!A:A, Vöruskrá!G:G, "")), ""), IF(F1793 = "Réttur", IFERROR(_xlfn.SINGLE(_xlfn.XLOOKUP(G1793, Réttabanki!A:A, Réttabanki!AU:AU, "")), ""), "")))</f>
        <v/>
      </c>
      <c r="O1793" s="26" t="str">
        <f>IF(OR(F1793 = "", G1793 = "", I1793 = ""), "", IF(F1793 = "Vara", IFERROR(_xlfn.SINGLE(_xlfn.XLOOKUP(G1793, Vöruskrá!A:A, Vöruskrá!I:I, "")) * I1793 / 100, ""), IF(F1793 = "Réttur", IFERROR(_xlfn.SINGLE(_xlfn.XLOOKUP(G1793, Réttabanki!A:A, Réttabanki!AV:AV, "")) * I1793 / 100, ""), "")))</f>
        <v/>
      </c>
      <c r="P1793" s="26" t="str">
        <f>IF(OR(F1793 = "", G1793 = "", I1793 = ""), "", IF(F1793 = "Vara", IFERROR(_xlfn.SINGLE(_xlfn.XLOOKUP(G1793, Vöruskrá!A:A, Vöruskrá!J:J, "")) * I1793 / 100, ""), IF(F1793 = "Réttur", IFERROR(_xlfn.SINGLE(_xlfn.XLOOKUP(G1793, Réttabanki!A:A, Réttabanki!AW:AW, "")) * I1793 / 100, ""), "")))</f>
        <v/>
      </c>
      <c r="Q1793" s="26" t="str">
        <f>IF(OR(F1793 = "", G1793 = "", I1793 = ""), "", IF(F1793 = "Vara", IFERROR(_xlfn.SINGLE(_xlfn.XLOOKUP(G1793, Vöruskrá!A:A, Vöruskrá!N:N, "")) * I1793 / 100, ""), IF(F1793 = "Réttur", IFERROR(_xlfn.SINGLE(_xlfn.XLOOKUP(G1793, Réttabanki!A:A, Réttabanki!BB:BB, "")) * I1793 / 100, ""), "")))</f>
        <v/>
      </c>
    </row>
    <row r="1794" spans="2:17">
      <c r="B1794" s="33" t="str">
        <f>IF(A1794&lt;&gt;"",CHOOSE(WEEKDAY(A1794,2),"Mánudagur","Þriðjudagur","Miðvikudagur","Fimmtudagur","Föstudagur","Laugardagur","Sunnudagur"),IF(B1793&lt;&gt;"",B1793,""))</f>
        <v>Fimmtudagur</v>
      </c>
      <c r="C1794" s="33">
        <f>IF(A1794&lt;&gt;"",WEEKNUM(A1794,21),IF(C1793&lt;&gt;"",C1793,""))</f>
        <v>27</v>
      </c>
      <c r="D1794" s="34"/>
      <c r="E1794" s="34"/>
      <c r="F1794" s="34"/>
      <c r="G1794" s="34"/>
      <c r="H1794" s="34"/>
      <c r="I1794" s="35"/>
      <c r="J1794" s="35"/>
      <c r="K1794" s="36"/>
      <c r="L1794" s="26" t="str">
        <f>IF(OR(F1794 = "", G1794 = ""), "", IF(F1794 = "Vara", IFERROR(_xlfn.SINGLE(_xlfn.XLOOKUP(G1794, Vöruskrá!A:A, Vöruskrá!E:E, "")), ""), IF(F1794 = "Réttur", IFERROR(_xlfn.SINGLE(_xlfn.XLOOKUP(G1794, Réttabanki!A:A, Réttabanki!AS:AS, "")), ""), "")))</f>
        <v/>
      </c>
      <c r="M1794" s="26" t="str">
        <f>IF(OR(F1794 = "", G1794 = ""), "", IF(F1794 = "Vara", IFERROR(_xlfn.SINGLE(_xlfn.XLOOKUP(G1794, Vöruskrá!A:A, Vöruskrá!F:F, "")), ""), IF(F1794 = "Réttur", IFERROR(_xlfn.SINGLE(_xlfn.XLOOKUP(G1794, Réttabanki!A:A, Réttabanki!AT:AT, "")), ""), "")))</f>
        <v/>
      </c>
      <c r="N1794" s="26" t="str">
        <f>IF(OR(F1794 = "", G1794 = ""), "", IF(F1794 = "Vara", IFERROR(_xlfn.SINGLE(_xlfn.XLOOKUP(G1794, Vöruskrá!A:A, Vöruskrá!G:G, "")), ""), IF(F1794 = "Réttur", IFERROR(_xlfn.SINGLE(_xlfn.XLOOKUP(G1794, Réttabanki!A:A, Réttabanki!AU:AU, "")), ""), "")))</f>
        <v/>
      </c>
      <c r="O1794" s="26" t="str">
        <f>IF(OR(F1794 = "", G1794 = "", I1794 = ""), "", IF(F1794 = "Vara", IFERROR(_xlfn.SINGLE(_xlfn.XLOOKUP(G1794, Vöruskrá!A:A, Vöruskrá!I:I, "")) * I1794 / 100, ""), IF(F1794 = "Réttur", IFERROR(_xlfn.SINGLE(_xlfn.XLOOKUP(G1794, Réttabanki!A:A, Réttabanki!AV:AV, "")) * I1794 / 100, ""), "")))</f>
        <v/>
      </c>
      <c r="P1794" s="26" t="str">
        <f>IF(OR(F1794 = "", G1794 = "", I1794 = ""), "", IF(F1794 = "Vara", IFERROR(_xlfn.SINGLE(_xlfn.XLOOKUP(G1794, Vöruskrá!A:A, Vöruskrá!J:J, "")) * I1794 / 100, ""), IF(F1794 = "Réttur", IFERROR(_xlfn.SINGLE(_xlfn.XLOOKUP(G1794, Réttabanki!A:A, Réttabanki!AW:AW, "")) * I1794 / 100, ""), "")))</f>
        <v/>
      </c>
      <c r="Q1794" s="26" t="str">
        <f>IF(OR(F1794 = "", G1794 = "", I1794 = ""), "", IF(F1794 = "Vara", IFERROR(_xlfn.SINGLE(_xlfn.XLOOKUP(G1794, Vöruskrá!A:A, Vöruskrá!N:N, "")) * I1794 / 100, ""), IF(F1794 = "Réttur", IFERROR(_xlfn.SINGLE(_xlfn.XLOOKUP(G1794, Réttabanki!A:A, Réttabanki!BB:BB, "")) * I1794 / 100, ""), "")))</f>
        <v/>
      </c>
    </row>
    <row r="1795" spans="2:17">
      <c r="B1795" s="33" t="str">
        <f>IF(A1795&lt;&gt;"",CHOOSE(WEEKDAY(A1795,2),"Mánudagur","Þriðjudagur","Miðvikudagur","Fimmtudagur","Föstudagur","Laugardagur","Sunnudagur"),IF(B1794&lt;&gt;"",B1794,""))</f>
        <v>Fimmtudagur</v>
      </c>
      <c r="C1795" s="33">
        <f>IF(A1795&lt;&gt;"",WEEKNUM(A1795,21),IF(C1794&lt;&gt;"",C1794,""))</f>
        <v>27</v>
      </c>
      <c r="D1795" s="34"/>
      <c r="E1795" s="34"/>
      <c r="F1795" s="34"/>
      <c r="G1795" s="34"/>
      <c r="H1795" s="34"/>
      <c r="I1795" s="35"/>
      <c r="J1795" s="35"/>
      <c r="K1795" s="36"/>
      <c r="L1795" s="26" t="str">
        <f>IF(OR(F1795 = "", G1795 = ""), "", IF(F1795 = "Vara", IFERROR(_xlfn.SINGLE(_xlfn.XLOOKUP(G1795, Vöruskrá!A:A, Vöruskrá!E:E, "")), ""), IF(F1795 = "Réttur", IFERROR(_xlfn.SINGLE(_xlfn.XLOOKUP(G1795, Réttabanki!A:A, Réttabanki!AS:AS, "")), ""), "")))</f>
        <v/>
      </c>
      <c r="M1795" s="26" t="str">
        <f>IF(OR(F1795 = "", G1795 = ""), "", IF(F1795 = "Vara", IFERROR(_xlfn.SINGLE(_xlfn.XLOOKUP(G1795, Vöruskrá!A:A, Vöruskrá!F:F, "")), ""), IF(F1795 = "Réttur", IFERROR(_xlfn.SINGLE(_xlfn.XLOOKUP(G1795, Réttabanki!A:A, Réttabanki!AT:AT, "")), ""), "")))</f>
        <v/>
      </c>
      <c r="N1795" s="26" t="str">
        <f>IF(OR(F1795 = "", G1795 = ""), "", IF(F1795 = "Vara", IFERROR(_xlfn.SINGLE(_xlfn.XLOOKUP(G1795, Vöruskrá!A:A, Vöruskrá!G:G, "")), ""), IF(F1795 = "Réttur", IFERROR(_xlfn.SINGLE(_xlfn.XLOOKUP(G1795, Réttabanki!A:A, Réttabanki!AU:AU, "")), ""), "")))</f>
        <v/>
      </c>
      <c r="O1795" s="26" t="str">
        <f>IF(OR(F1795 = "", G1795 = "", I1795 = ""), "", IF(F1795 = "Vara", IFERROR(_xlfn.SINGLE(_xlfn.XLOOKUP(G1795, Vöruskrá!A:A, Vöruskrá!I:I, "")) * I1795 / 100, ""), IF(F1795 = "Réttur", IFERROR(_xlfn.SINGLE(_xlfn.XLOOKUP(G1795, Réttabanki!A:A, Réttabanki!AV:AV, "")) * I1795 / 100, ""), "")))</f>
        <v/>
      </c>
      <c r="P1795" s="26" t="str">
        <f>IF(OR(F1795 = "", G1795 = "", I1795 = ""), "", IF(F1795 = "Vara", IFERROR(_xlfn.SINGLE(_xlfn.XLOOKUP(G1795, Vöruskrá!A:A, Vöruskrá!J:J, "")) * I1795 / 100, ""), IF(F1795 = "Réttur", IFERROR(_xlfn.SINGLE(_xlfn.XLOOKUP(G1795, Réttabanki!A:A, Réttabanki!AW:AW, "")) * I1795 / 100, ""), "")))</f>
        <v/>
      </c>
      <c r="Q1795" s="26" t="str">
        <f>IF(OR(F1795 = "", G1795 = "", I1795 = ""), "", IF(F1795 = "Vara", IFERROR(_xlfn.SINGLE(_xlfn.XLOOKUP(G1795, Vöruskrá!A:A, Vöruskrá!N:N, "")) * I1795 / 100, ""), IF(F1795 = "Réttur", IFERROR(_xlfn.SINGLE(_xlfn.XLOOKUP(G1795, Réttabanki!A:A, Réttabanki!BB:BB, "")) * I1795 / 100, ""), "")))</f>
        <v/>
      </c>
    </row>
    <row r="1796" spans="2:17">
      <c r="B1796" s="33" t="str">
        <f>IF(A1796&lt;&gt;"",CHOOSE(WEEKDAY(A1796,2),"Mánudagur","Þriðjudagur","Miðvikudagur","Fimmtudagur","Föstudagur","Laugardagur","Sunnudagur"),IF(B1795&lt;&gt;"",B1795,""))</f>
        <v>Fimmtudagur</v>
      </c>
      <c r="C1796" s="33">
        <f>IF(A1796&lt;&gt;"",WEEKNUM(A1796,21),IF(C1795&lt;&gt;"",C1795,""))</f>
        <v>27</v>
      </c>
      <c r="D1796" s="34"/>
      <c r="E1796" s="34"/>
      <c r="F1796" s="34"/>
      <c r="G1796" s="34"/>
      <c r="H1796" s="34"/>
      <c r="I1796" s="35"/>
      <c r="J1796" s="35"/>
      <c r="K1796" s="36"/>
      <c r="L1796" s="26" t="str">
        <f>IF(OR(F1796 = "", G1796 = ""), "", IF(F1796 = "Vara", IFERROR(_xlfn.SINGLE(_xlfn.XLOOKUP(G1796, Vöruskrá!A:A, Vöruskrá!E:E, "")), ""), IF(F1796 = "Réttur", IFERROR(_xlfn.SINGLE(_xlfn.XLOOKUP(G1796, Réttabanki!A:A, Réttabanki!AS:AS, "")), ""), "")))</f>
        <v/>
      </c>
      <c r="M1796" s="26" t="str">
        <f>IF(OR(F1796 = "", G1796 = ""), "", IF(F1796 = "Vara", IFERROR(_xlfn.SINGLE(_xlfn.XLOOKUP(G1796, Vöruskrá!A:A, Vöruskrá!F:F, "")), ""), IF(F1796 = "Réttur", IFERROR(_xlfn.SINGLE(_xlfn.XLOOKUP(G1796, Réttabanki!A:A, Réttabanki!AT:AT, "")), ""), "")))</f>
        <v/>
      </c>
      <c r="N1796" s="26" t="str">
        <f>IF(OR(F1796 = "", G1796 = ""), "", IF(F1796 = "Vara", IFERROR(_xlfn.SINGLE(_xlfn.XLOOKUP(G1796, Vöruskrá!A:A, Vöruskrá!G:G, "")), ""), IF(F1796 = "Réttur", IFERROR(_xlfn.SINGLE(_xlfn.XLOOKUP(G1796, Réttabanki!A:A, Réttabanki!AU:AU, "")), ""), "")))</f>
        <v/>
      </c>
      <c r="O1796" s="26" t="str">
        <f>IF(OR(F1796 = "", G1796 = "", I1796 = ""), "", IF(F1796 = "Vara", IFERROR(_xlfn.SINGLE(_xlfn.XLOOKUP(G1796, Vöruskrá!A:A, Vöruskrá!I:I, "")) * I1796 / 100, ""), IF(F1796 = "Réttur", IFERROR(_xlfn.SINGLE(_xlfn.XLOOKUP(G1796, Réttabanki!A:A, Réttabanki!AV:AV, "")) * I1796 / 100, ""), "")))</f>
        <v/>
      </c>
      <c r="P1796" s="26" t="str">
        <f>IF(OR(F1796 = "", G1796 = "", I1796 = ""), "", IF(F1796 = "Vara", IFERROR(_xlfn.SINGLE(_xlfn.XLOOKUP(G1796, Vöruskrá!A:A, Vöruskrá!J:J, "")) * I1796 / 100, ""), IF(F1796 = "Réttur", IFERROR(_xlfn.SINGLE(_xlfn.XLOOKUP(G1796, Réttabanki!A:A, Réttabanki!AW:AW, "")) * I1796 / 100, ""), "")))</f>
        <v/>
      </c>
      <c r="Q1796" s="26" t="str">
        <f>IF(OR(F1796 = "", G1796 = "", I1796 = ""), "", IF(F1796 = "Vara", IFERROR(_xlfn.SINGLE(_xlfn.XLOOKUP(G1796, Vöruskrá!A:A, Vöruskrá!N:N, "")) * I1796 / 100, ""), IF(F1796 = "Réttur", IFERROR(_xlfn.SINGLE(_xlfn.XLOOKUP(G1796, Réttabanki!A:A, Réttabanki!BB:BB, "")) * I1796 / 100, ""), "")))</f>
        <v/>
      </c>
    </row>
    <row r="1797" spans="2:17">
      <c r="B1797" s="33" t="str">
        <f>IF(A1797&lt;&gt;"",CHOOSE(WEEKDAY(A1797,2),"Mánudagur","Þriðjudagur","Miðvikudagur","Fimmtudagur","Föstudagur","Laugardagur","Sunnudagur"),IF(B1796&lt;&gt;"",B1796,""))</f>
        <v>Fimmtudagur</v>
      </c>
      <c r="C1797" s="33">
        <f>IF(A1797&lt;&gt;"",WEEKNUM(A1797,21),IF(C1796&lt;&gt;"",C1796,""))</f>
        <v>27</v>
      </c>
      <c r="D1797" s="34"/>
      <c r="E1797" s="34"/>
      <c r="F1797" s="34"/>
      <c r="G1797" s="34"/>
      <c r="H1797" s="34"/>
      <c r="I1797" s="35"/>
      <c r="J1797" s="35"/>
      <c r="K1797" s="36"/>
      <c r="L1797" s="26" t="str">
        <f>IF(OR(F1797 = "", G1797 = ""), "", IF(F1797 = "Vara", IFERROR(_xlfn.SINGLE(_xlfn.XLOOKUP(G1797, Vöruskrá!A:A, Vöruskrá!E:E, "")), ""), IF(F1797 = "Réttur", IFERROR(_xlfn.SINGLE(_xlfn.XLOOKUP(G1797, Réttabanki!A:A, Réttabanki!AS:AS, "")), ""), "")))</f>
        <v/>
      </c>
      <c r="M1797" s="26" t="str">
        <f>IF(OR(F1797 = "", G1797 = ""), "", IF(F1797 = "Vara", IFERROR(_xlfn.SINGLE(_xlfn.XLOOKUP(G1797, Vöruskrá!A:A, Vöruskrá!F:F, "")), ""), IF(F1797 = "Réttur", IFERROR(_xlfn.SINGLE(_xlfn.XLOOKUP(G1797, Réttabanki!A:A, Réttabanki!AT:AT, "")), ""), "")))</f>
        <v/>
      </c>
      <c r="N1797" s="26" t="str">
        <f>IF(OR(F1797 = "", G1797 = ""), "", IF(F1797 = "Vara", IFERROR(_xlfn.SINGLE(_xlfn.XLOOKUP(G1797, Vöruskrá!A:A, Vöruskrá!G:G, "")), ""), IF(F1797 = "Réttur", IFERROR(_xlfn.SINGLE(_xlfn.XLOOKUP(G1797, Réttabanki!A:A, Réttabanki!AU:AU, "")), ""), "")))</f>
        <v/>
      </c>
      <c r="O1797" s="26" t="str">
        <f>IF(OR(F1797 = "", G1797 = "", I1797 = ""), "", IF(F1797 = "Vara", IFERROR(_xlfn.SINGLE(_xlfn.XLOOKUP(G1797, Vöruskrá!A:A, Vöruskrá!I:I, "")) * I1797 / 100, ""), IF(F1797 = "Réttur", IFERROR(_xlfn.SINGLE(_xlfn.XLOOKUP(G1797, Réttabanki!A:A, Réttabanki!AV:AV, "")) * I1797 / 100, ""), "")))</f>
        <v/>
      </c>
      <c r="P1797" s="26" t="str">
        <f>IF(OR(F1797 = "", G1797 = "", I1797 = ""), "", IF(F1797 = "Vara", IFERROR(_xlfn.SINGLE(_xlfn.XLOOKUP(G1797, Vöruskrá!A:A, Vöruskrá!J:J, "")) * I1797 / 100, ""), IF(F1797 = "Réttur", IFERROR(_xlfn.SINGLE(_xlfn.XLOOKUP(G1797, Réttabanki!A:A, Réttabanki!AW:AW, "")) * I1797 / 100, ""), "")))</f>
        <v/>
      </c>
      <c r="Q1797" s="26" t="str">
        <f>IF(OR(F1797 = "", G1797 = "", I1797 = ""), "", IF(F1797 = "Vara", IFERROR(_xlfn.SINGLE(_xlfn.XLOOKUP(G1797, Vöruskrá!A:A, Vöruskrá!N:N, "")) * I1797 / 100, ""), IF(F1797 = "Réttur", IFERROR(_xlfn.SINGLE(_xlfn.XLOOKUP(G1797, Réttabanki!A:A, Réttabanki!BB:BB, "")) * I1797 / 100, ""), "")))</f>
        <v/>
      </c>
    </row>
    <row r="1798" spans="2:17">
      <c r="B1798" s="33" t="str">
        <f>IF(A1798&lt;&gt;"",CHOOSE(WEEKDAY(A1798,2),"Mánudagur","Þriðjudagur","Miðvikudagur","Fimmtudagur","Föstudagur","Laugardagur","Sunnudagur"),IF(B1797&lt;&gt;"",B1797,""))</f>
        <v>Fimmtudagur</v>
      </c>
      <c r="C1798" s="33">
        <f>IF(A1798&lt;&gt;"",WEEKNUM(A1798,21),IF(C1797&lt;&gt;"",C1797,""))</f>
        <v>27</v>
      </c>
      <c r="D1798" s="34"/>
      <c r="E1798" s="34"/>
      <c r="F1798" s="34"/>
      <c r="G1798" s="34"/>
      <c r="H1798" s="34"/>
      <c r="I1798" s="35"/>
      <c r="J1798" s="35"/>
      <c r="K1798" s="36"/>
      <c r="L1798" s="26" t="str">
        <f>IF(OR(F1798 = "", G1798 = ""), "", IF(F1798 = "Vara", IFERROR(_xlfn.SINGLE(_xlfn.XLOOKUP(G1798, Vöruskrá!A:A, Vöruskrá!E:E, "")), ""), IF(F1798 = "Réttur", IFERROR(_xlfn.SINGLE(_xlfn.XLOOKUP(G1798, Réttabanki!A:A, Réttabanki!AS:AS, "")), ""), "")))</f>
        <v/>
      </c>
      <c r="M1798" s="26" t="str">
        <f>IF(OR(F1798 = "", G1798 = ""), "", IF(F1798 = "Vara", IFERROR(_xlfn.SINGLE(_xlfn.XLOOKUP(G1798, Vöruskrá!A:A, Vöruskrá!F:F, "")), ""), IF(F1798 = "Réttur", IFERROR(_xlfn.SINGLE(_xlfn.XLOOKUP(G1798, Réttabanki!A:A, Réttabanki!AT:AT, "")), ""), "")))</f>
        <v/>
      </c>
      <c r="N1798" s="26" t="str">
        <f>IF(OR(F1798 = "", G1798 = ""), "", IF(F1798 = "Vara", IFERROR(_xlfn.SINGLE(_xlfn.XLOOKUP(G1798, Vöruskrá!A:A, Vöruskrá!G:G, "")), ""), IF(F1798 = "Réttur", IFERROR(_xlfn.SINGLE(_xlfn.XLOOKUP(G1798, Réttabanki!A:A, Réttabanki!AU:AU, "")), ""), "")))</f>
        <v/>
      </c>
      <c r="O1798" s="26" t="str">
        <f>IF(OR(F1798 = "", G1798 = "", I1798 = ""), "", IF(F1798 = "Vara", IFERROR(_xlfn.SINGLE(_xlfn.XLOOKUP(G1798, Vöruskrá!A:A, Vöruskrá!I:I, "")) * I1798 / 100, ""), IF(F1798 = "Réttur", IFERROR(_xlfn.SINGLE(_xlfn.XLOOKUP(G1798, Réttabanki!A:A, Réttabanki!AV:AV, "")) * I1798 / 100, ""), "")))</f>
        <v/>
      </c>
      <c r="P1798" s="26" t="str">
        <f>IF(OR(F1798 = "", G1798 = "", I1798 = ""), "", IF(F1798 = "Vara", IFERROR(_xlfn.SINGLE(_xlfn.XLOOKUP(G1798, Vöruskrá!A:A, Vöruskrá!J:J, "")) * I1798 / 100, ""), IF(F1798 = "Réttur", IFERROR(_xlfn.SINGLE(_xlfn.XLOOKUP(G1798, Réttabanki!A:A, Réttabanki!AW:AW, "")) * I1798 / 100, ""), "")))</f>
        <v/>
      </c>
      <c r="Q1798" s="26" t="str">
        <f>IF(OR(F1798 = "", G1798 = "", I1798 = ""), "", IF(F1798 = "Vara", IFERROR(_xlfn.SINGLE(_xlfn.XLOOKUP(G1798, Vöruskrá!A:A, Vöruskrá!N:N, "")) * I1798 / 100, ""), IF(F1798 = "Réttur", IFERROR(_xlfn.SINGLE(_xlfn.XLOOKUP(G1798, Réttabanki!A:A, Réttabanki!BB:BB, "")) * I1798 / 100, ""), "")))</f>
        <v/>
      </c>
    </row>
    <row r="1799" spans="2:17">
      <c r="B1799" s="33" t="str">
        <f>IF(A1799&lt;&gt;"",CHOOSE(WEEKDAY(A1799,2),"Mánudagur","Þriðjudagur","Miðvikudagur","Fimmtudagur","Föstudagur","Laugardagur","Sunnudagur"),IF(B1798&lt;&gt;"",B1798,""))</f>
        <v>Fimmtudagur</v>
      </c>
      <c r="C1799" s="33">
        <f>IF(A1799&lt;&gt;"",WEEKNUM(A1799,21),IF(C1798&lt;&gt;"",C1798,""))</f>
        <v>27</v>
      </c>
      <c r="D1799" s="34"/>
      <c r="E1799" s="34"/>
      <c r="F1799" s="34"/>
      <c r="G1799" s="34"/>
      <c r="H1799" s="34"/>
      <c r="I1799" s="35"/>
      <c r="J1799" s="35"/>
      <c r="K1799" s="36"/>
      <c r="L1799" s="26" t="str">
        <f>IF(OR(F1799 = "", G1799 = ""), "", IF(F1799 = "Vara", IFERROR(_xlfn.SINGLE(_xlfn.XLOOKUP(G1799, Vöruskrá!A:A, Vöruskrá!E:E, "")), ""), IF(F1799 = "Réttur", IFERROR(_xlfn.SINGLE(_xlfn.XLOOKUP(G1799, Réttabanki!A:A, Réttabanki!AS:AS, "")), ""), "")))</f>
        <v/>
      </c>
      <c r="M1799" s="26" t="str">
        <f>IF(OR(F1799 = "", G1799 = ""), "", IF(F1799 = "Vara", IFERROR(_xlfn.SINGLE(_xlfn.XLOOKUP(G1799, Vöruskrá!A:A, Vöruskrá!F:F, "")), ""), IF(F1799 = "Réttur", IFERROR(_xlfn.SINGLE(_xlfn.XLOOKUP(G1799, Réttabanki!A:A, Réttabanki!AT:AT, "")), ""), "")))</f>
        <v/>
      </c>
      <c r="N1799" s="26" t="str">
        <f>IF(OR(F1799 = "", G1799 = ""), "", IF(F1799 = "Vara", IFERROR(_xlfn.SINGLE(_xlfn.XLOOKUP(G1799, Vöruskrá!A:A, Vöruskrá!G:G, "")), ""), IF(F1799 = "Réttur", IFERROR(_xlfn.SINGLE(_xlfn.XLOOKUP(G1799, Réttabanki!A:A, Réttabanki!AU:AU, "")), ""), "")))</f>
        <v/>
      </c>
      <c r="O1799" s="26" t="str">
        <f>IF(OR(F1799 = "", G1799 = "", I1799 = ""), "", IF(F1799 = "Vara", IFERROR(_xlfn.SINGLE(_xlfn.XLOOKUP(G1799, Vöruskrá!A:A, Vöruskrá!I:I, "")) * I1799 / 100, ""), IF(F1799 = "Réttur", IFERROR(_xlfn.SINGLE(_xlfn.XLOOKUP(G1799, Réttabanki!A:A, Réttabanki!AV:AV, "")) * I1799 / 100, ""), "")))</f>
        <v/>
      </c>
      <c r="P1799" s="26" t="str">
        <f>IF(OR(F1799 = "", G1799 = "", I1799 = ""), "", IF(F1799 = "Vara", IFERROR(_xlfn.SINGLE(_xlfn.XLOOKUP(G1799, Vöruskrá!A:A, Vöruskrá!J:J, "")) * I1799 / 100, ""), IF(F1799 = "Réttur", IFERROR(_xlfn.SINGLE(_xlfn.XLOOKUP(G1799, Réttabanki!A:A, Réttabanki!AW:AW, "")) * I1799 / 100, ""), "")))</f>
        <v/>
      </c>
      <c r="Q1799" s="26" t="str">
        <f>IF(OR(F1799 = "", G1799 = "", I1799 = ""), "", IF(F1799 = "Vara", IFERROR(_xlfn.SINGLE(_xlfn.XLOOKUP(G1799, Vöruskrá!A:A, Vöruskrá!N:N, "")) * I1799 / 100, ""), IF(F1799 = "Réttur", IFERROR(_xlfn.SINGLE(_xlfn.XLOOKUP(G1799, Réttabanki!A:A, Réttabanki!BB:BB, "")) * I1799 / 100, ""), "")))</f>
        <v/>
      </c>
    </row>
    <row r="1800" spans="2:17">
      <c r="B1800" s="33" t="str">
        <f>IF(A1800&lt;&gt;"",CHOOSE(WEEKDAY(A1800,2),"Mánudagur","Þriðjudagur","Miðvikudagur","Fimmtudagur","Föstudagur","Laugardagur","Sunnudagur"),IF(B1799&lt;&gt;"",B1799,""))</f>
        <v>Fimmtudagur</v>
      </c>
      <c r="C1800" s="33">
        <f>IF(A1800&lt;&gt;"",WEEKNUM(A1800,21),IF(C1799&lt;&gt;"",C1799,""))</f>
        <v>27</v>
      </c>
      <c r="D1800" s="34"/>
      <c r="E1800" s="34"/>
      <c r="F1800" s="34"/>
      <c r="G1800" s="34"/>
      <c r="H1800" s="34"/>
      <c r="I1800" s="35"/>
      <c r="J1800" s="35"/>
      <c r="K1800" s="36"/>
      <c r="L1800" s="26" t="str">
        <f>IF(OR(F1800 = "", G1800 = ""), "", IF(F1800 = "Vara", IFERROR(_xlfn.SINGLE(_xlfn.XLOOKUP(G1800, Vöruskrá!A:A, Vöruskrá!E:E, "")), ""), IF(F1800 = "Réttur", IFERROR(_xlfn.SINGLE(_xlfn.XLOOKUP(G1800, Réttabanki!A:A, Réttabanki!AS:AS, "")), ""), "")))</f>
        <v/>
      </c>
      <c r="M1800" s="26" t="str">
        <f>IF(OR(F1800 = "", G1800 = ""), "", IF(F1800 = "Vara", IFERROR(_xlfn.SINGLE(_xlfn.XLOOKUP(G1800, Vöruskrá!A:A, Vöruskrá!F:F, "")), ""), IF(F1800 = "Réttur", IFERROR(_xlfn.SINGLE(_xlfn.XLOOKUP(G1800, Réttabanki!A:A, Réttabanki!AT:AT, "")), ""), "")))</f>
        <v/>
      </c>
      <c r="N1800" s="26" t="str">
        <f>IF(OR(F1800 = "", G1800 = ""), "", IF(F1800 = "Vara", IFERROR(_xlfn.SINGLE(_xlfn.XLOOKUP(G1800, Vöruskrá!A:A, Vöruskrá!G:G, "")), ""), IF(F1800 = "Réttur", IFERROR(_xlfn.SINGLE(_xlfn.XLOOKUP(G1800, Réttabanki!A:A, Réttabanki!AU:AU, "")), ""), "")))</f>
        <v/>
      </c>
      <c r="O1800" s="26" t="str">
        <f>IF(OR(F1800 = "", G1800 = "", I1800 = ""), "", IF(F1800 = "Vara", IFERROR(_xlfn.SINGLE(_xlfn.XLOOKUP(G1800, Vöruskrá!A:A, Vöruskrá!I:I, "")) * I1800 / 100, ""), IF(F1800 = "Réttur", IFERROR(_xlfn.SINGLE(_xlfn.XLOOKUP(G1800, Réttabanki!A:A, Réttabanki!AV:AV, "")) * I1800 / 100, ""), "")))</f>
        <v/>
      </c>
      <c r="P1800" s="26" t="str">
        <f>IF(OR(F1800 = "", G1800 = "", I1800 = ""), "", IF(F1800 = "Vara", IFERROR(_xlfn.SINGLE(_xlfn.XLOOKUP(G1800, Vöruskrá!A:A, Vöruskrá!J:J, "")) * I1800 / 100, ""), IF(F1800 = "Réttur", IFERROR(_xlfn.SINGLE(_xlfn.XLOOKUP(G1800, Réttabanki!A:A, Réttabanki!AW:AW, "")) * I1800 / 100, ""), "")))</f>
        <v/>
      </c>
      <c r="Q1800" s="26" t="str">
        <f>IF(OR(F1800 = "", G1800 = "", I1800 = ""), "", IF(F1800 = "Vara", IFERROR(_xlfn.SINGLE(_xlfn.XLOOKUP(G1800, Vöruskrá!A:A, Vöruskrá!N:N, "")) * I1800 / 100, ""), IF(F1800 = "Réttur", IFERROR(_xlfn.SINGLE(_xlfn.XLOOKUP(G1800, Réttabanki!A:A, Réttabanki!BB:BB, "")) * I1800 / 100, ""), "")))</f>
        <v/>
      </c>
    </row>
    <row r="1801" spans="2:17">
      <c r="B1801" s="33" t="str">
        <f>IF(A1801&lt;&gt;"",CHOOSE(WEEKDAY(A1801,2),"Mánudagur","Þriðjudagur","Miðvikudagur","Fimmtudagur","Föstudagur","Laugardagur","Sunnudagur"),IF(B1800&lt;&gt;"",B1800,""))</f>
        <v>Fimmtudagur</v>
      </c>
      <c r="C1801" s="33">
        <f>IF(A1801&lt;&gt;"",WEEKNUM(A1801,21),IF(C1800&lt;&gt;"",C1800,""))</f>
        <v>27</v>
      </c>
      <c r="D1801" s="34"/>
      <c r="E1801" s="34"/>
      <c r="F1801" s="34"/>
      <c r="G1801" s="34"/>
      <c r="H1801" s="34"/>
      <c r="I1801" s="35"/>
      <c r="J1801" s="35"/>
      <c r="K1801" s="36"/>
      <c r="L1801" s="26" t="str">
        <f>IF(OR(F1801 = "", G1801 = ""), "", IF(F1801 = "Vara", IFERROR(_xlfn.SINGLE(_xlfn.XLOOKUP(G1801, Vöruskrá!A:A, Vöruskrá!E:E, "")), ""), IF(F1801 = "Réttur", IFERROR(_xlfn.SINGLE(_xlfn.XLOOKUP(G1801, Réttabanki!A:A, Réttabanki!AS:AS, "")), ""), "")))</f>
        <v/>
      </c>
      <c r="M1801" s="26" t="str">
        <f>IF(OR(F1801 = "", G1801 = ""), "", IF(F1801 = "Vara", IFERROR(_xlfn.SINGLE(_xlfn.XLOOKUP(G1801, Vöruskrá!A:A, Vöruskrá!F:F, "")), ""), IF(F1801 = "Réttur", IFERROR(_xlfn.SINGLE(_xlfn.XLOOKUP(G1801, Réttabanki!A:A, Réttabanki!AT:AT, "")), ""), "")))</f>
        <v/>
      </c>
      <c r="N1801" s="26" t="str">
        <f>IF(OR(F1801 = "", G1801 = ""), "", IF(F1801 = "Vara", IFERROR(_xlfn.SINGLE(_xlfn.XLOOKUP(G1801, Vöruskrá!A:A, Vöruskrá!G:G, "")), ""), IF(F1801 = "Réttur", IFERROR(_xlfn.SINGLE(_xlfn.XLOOKUP(G1801, Réttabanki!A:A, Réttabanki!AU:AU, "")), ""), "")))</f>
        <v/>
      </c>
      <c r="O1801" s="26" t="str">
        <f>IF(OR(F1801 = "", G1801 = "", I1801 = ""), "", IF(F1801 = "Vara", IFERROR(_xlfn.SINGLE(_xlfn.XLOOKUP(G1801, Vöruskrá!A:A, Vöruskrá!I:I, "")) * I1801 / 100, ""), IF(F1801 = "Réttur", IFERROR(_xlfn.SINGLE(_xlfn.XLOOKUP(G1801, Réttabanki!A:A, Réttabanki!AV:AV, "")) * I1801 / 100, ""), "")))</f>
        <v/>
      </c>
      <c r="P1801" s="26" t="str">
        <f>IF(OR(F1801 = "", G1801 = "", I1801 = ""), "", IF(F1801 = "Vara", IFERROR(_xlfn.SINGLE(_xlfn.XLOOKUP(G1801, Vöruskrá!A:A, Vöruskrá!J:J, "")) * I1801 / 100, ""), IF(F1801 = "Réttur", IFERROR(_xlfn.SINGLE(_xlfn.XLOOKUP(G1801, Réttabanki!A:A, Réttabanki!AW:AW, "")) * I1801 / 100, ""), "")))</f>
        <v/>
      </c>
      <c r="Q1801" s="26" t="str">
        <f>IF(OR(F1801 = "", G1801 = "", I1801 = ""), "", IF(F1801 = "Vara", IFERROR(_xlfn.SINGLE(_xlfn.XLOOKUP(G1801, Vöruskrá!A:A, Vöruskrá!N:N, "")) * I1801 / 100, ""), IF(F1801 = "Réttur", IFERROR(_xlfn.SINGLE(_xlfn.XLOOKUP(G1801, Réttabanki!A:A, Réttabanki!BB:BB, "")) * I1801 / 100, ""), "")))</f>
        <v/>
      </c>
    </row>
    <row r="1802" spans="2:17">
      <c r="B1802" s="33" t="str">
        <f>IF(A1802&lt;&gt;"",CHOOSE(WEEKDAY(A1802,2),"Mánudagur","Þriðjudagur","Miðvikudagur","Fimmtudagur","Föstudagur","Laugardagur","Sunnudagur"),IF(B1801&lt;&gt;"",B1801,""))</f>
        <v>Fimmtudagur</v>
      </c>
      <c r="C1802" s="33">
        <f>IF(A1802&lt;&gt;"",WEEKNUM(A1802,21),IF(C1801&lt;&gt;"",C1801,""))</f>
        <v>27</v>
      </c>
      <c r="D1802" s="34"/>
      <c r="E1802" s="34"/>
      <c r="F1802" s="34"/>
      <c r="G1802" s="34"/>
      <c r="H1802" s="34"/>
      <c r="I1802" s="35"/>
      <c r="J1802" s="35"/>
      <c r="K1802" s="36"/>
      <c r="L1802" s="26" t="str">
        <f>IF(OR(F1802 = "", G1802 = ""), "", IF(F1802 = "Vara", IFERROR(_xlfn.SINGLE(_xlfn.XLOOKUP(G1802, Vöruskrá!A:A, Vöruskrá!E:E, "")), ""), IF(F1802 = "Réttur", IFERROR(_xlfn.SINGLE(_xlfn.XLOOKUP(G1802, Réttabanki!A:A, Réttabanki!AS:AS, "")), ""), "")))</f>
        <v/>
      </c>
      <c r="M1802" s="26" t="str">
        <f>IF(OR(F1802 = "", G1802 = ""), "", IF(F1802 = "Vara", IFERROR(_xlfn.SINGLE(_xlfn.XLOOKUP(G1802, Vöruskrá!A:A, Vöruskrá!F:F, "")), ""), IF(F1802 = "Réttur", IFERROR(_xlfn.SINGLE(_xlfn.XLOOKUP(G1802, Réttabanki!A:A, Réttabanki!AT:AT, "")), ""), "")))</f>
        <v/>
      </c>
      <c r="N1802" s="26" t="str">
        <f>IF(OR(F1802 = "", G1802 = ""), "", IF(F1802 = "Vara", IFERROR(_xlfn.SINGLE(_xlfn.XLOOKUP(G1802, Vöruskrá!A:A, Vöruskrá!G:G, "")), ""), IF(F1802 = "Réttur", IFERROR(_xlfn.SINGLE(_xlfn.XLOOKUP(G1802, Réttabanki!A:A, Réttabanki!AU:AU, "")), ""), "")))</f>
        <v/>
      </c>
      <c r="O1802" s="26" t="str">
        <f>IF(OR(F1802 = "", G1802 = "", I1802 = ""), "", IF(F1802 = "Vara", IFERROR(_xlfn.SINGLE(_xlfn.XLOOKUP(G1802, Vöruskrá!A:A, Vöruskrá!I:I, "")) * I1802 / 100, ""), IF(F1802 = "Réttur", IFERROR(_xlfn.SINGLE(_xlfn.XLOOKUP(G1802, Réttabanki!A:A, Réttabanki!AV:AV, "")) * I1802 / 100, ""), "")))</f>
        <v/>
      </c>
      <c r="P1802" s="26" t="str">
        <f>IF(OR(F1802 = "", G1802 = "", I1802 = ""), "", IF(F1802 = "Vara", IFERROR(_xlfn.SINGLE(_xlfn.XLOOKUP(G1802, Vöruskrá!A:A, Vöruskrá!J:J, "")) * I1802 / 100, ""), IF(F1802 = "Réttur", IFERROR(_xlfn.SINGLE(_xlfn.XLOOKUP(G1802, Réttabanki!A:A, Réttabanki!AW:AW, "")) * I1802 / 100, ""), "")))</f>
        <v/>
      </c>
      <c r="Q1802" s="26" t="str">
        <f>IF(OR(F1802 = "", G1802 = "", I1802 = ""), "", IF(F1802 = "Vara", IFERROR(_xlfn.SINGLE(_xlfn.XLOOKUP(G1802, Vöruskrá!A:A, Vöruskrá!N:N, "")) * I1802 / 100, ""), IF(F1802 = "Réttur", IFERROR(_xlfn.SINGLE(_xlfn.XLOOKUP(G1802, Réttabanki!A:A, Réttabanki!BB:BB, "")) * I1802 / 100, ""), "")))</f>
        <v/>
      </c>
    </row>
    <row r="1803" spans="2:17">
      <c r="B1803" s="33" t="str">
        <f>IF(A1803&lt;&gt;"",CHOOSE(WEEKDAY(A1803,2),"Mánudagur","Þriðjudagur","Miðvikudagur","Fimmtudagur","Föstudagur","Laugardagur","Sunnudagur"),IF(B1802&lt;&gt;"",B1802,""))</f>
        <v>Fimmtudagur</v>
      </c>
      <c r="C1803" s="33">
        <f>IF(A1803&lt;&gt;"",WEEKNUM(A1803,21),IF(C1802&lt;&gt;"",C1802,""))</f>
        <v>27</v>
      </c>
      <c r="D1803" s="34"/>
      <c r="E1803" s="34"/>
      <c r="F1803" s="34"/>
      <c r="G1803" s="34"/>
      <c r="H1803" s="34"/>
      <c r="I1803" s="35"/>
      <c r="J1803" s="35"/>
      <c r="K1803" s="36"/>
      <c r="L1803" s="26" t="str">
        <f>IF(OR(F1803 = "", G1803 = ""), "", IF(F1803 = "Vara", IFERROR(_xlfn.SINGLE(_xlfn.XLOOKUP(G1803, Vöruskrá!A:A, Vöruskrá!E:E, "")), ""), IF(F1803 = "Réttur", IFERROR(_xlfn.SINGLE(_xlfn.XLOOKUP(G1803, Réttabanki!A:A, Réttabanki!AS:AS, "")), ""), "")))</f>
        <v/>
      </c>
      <c r="M1803" s="26" t="str">
        <f>IF(OR(F1803 = "", G1803 = ""), "", IF(F1803 = "Vara", IFERROR(_xlfn.SINGLE(_xlfn.XLOOKUP(G1803, Vöruskrá!A:A, Vöruskrá!F:F, "")), ""), IF(F1803 = "Réttur", IFERROR(_xlfn.SINGLE(_xlfn.XLOOKUP(G1803, Réttabanki!A:A, Réttabanki!AT:AT, "")), ""), "")))</f>
        <v/>
      </c>
      <c r="N1803" s="26" t="str">
        <f>IF(OR(F1803 = "", G1803 = ""), "", IF(F1803 = "Vara", IFERROR(_xlfn.SINGLE(_xlfn.XLOOKUP(G1803, Vöruskrá!A:A, Vöruskrá!G:G, "")), ""), IF(F1803 = "Réttur", IFERROR(_xlfn.SINGLE(_xlfn.XLOOKUP(G1803, Réttabanki!A:A, Réttabanki!AU:AU, "")), ""), "")))</f>
        <v/>
      </c>
      <c r="O1803" s="26" t="str">
        <f>IF(OR(F1803 = "", G1803 = "", I1803 = ""), "", IF(F1803 = "Vara", IFERROR(_xlfn.SINGLE(_xlfn.XLOOKUP(G1803, Vöruskrá!A:A, Vöruskrá!I:I, "")) * I1803 / 100, ""), IF(F1803 = "Réttur", IFERROR(_xlfn.SINGLE(_xlfn.XLOOKUP(G1803, Réttabanki!A:A, Réttabanki!AV:AV, "")) * I1803 / 100, ""), "")))</f>
        <v/>
      </c>
      <c r="P1803" s="26" t="str">
        <f>IF(OR(F1803 = "", G1803 = "", I1803 = ""), "", IF(F1803 = "Vara", IFERROR(_xlfn.SINGLE(_xlfn.XLOOKUP(G1803, Vöruskrá!A:A, Vöruskrá!J:J, "")) * I1803 / 100, ""), IF(F1803 = "Réttur", IFERROR(_xlfn.SINGLE(_xlfn.XLOOKUP(G1803, Réttabanki!A:A, Réttabanki!AW:AW, "")) * I1803 / 100, ""), "")))</f>
        <v/>
      </c>
      <c r="Q1803" s="26" t="str">
        <f>IF(OR(F1803 = "", G1803 = "", I1803 = ""), "", IF(F1803 = "Vara", IFERROR(_xlfn.SINGLE(_xlfn.XLOOKUP(G1803, Vöruskrá!A:A, Vöruskrá!N:N, "")) * I1803 / 100, ""), IF(F1803 = "Réttur", IFERROR(_xlfn.SINGLE(_xlfn.XLOOKUP(G1803, Réttabanki!A:A, Réttabanki!BB:BB, "")) * I1803 / 100, ""), "")))</f>
        <v/>
      </c>
    </row>
    <row r="1804" spans="2:17">
      <c r="B1804" s="33" t="str">
        <f>IF(A1804&lt;&gt;"",CHOOSE(WEEKDAY(A1804,2),"Mánudagur","Þriðjudagur","Miðvikudagur","Fimmtudagur","Föstudagur","Laugardagur","Sunnudagur"),IF(B1803&lt;&gt;"",B1803,""))</f>
        <v>Fimmtudagur</v>
      </c>
      <c r="C1804" s="33">
        <f>IF(A1804&lt;&gt;"",WEEKNUM(A1804,21),IF(C1803&lt;&gt;"",C1803,""))</f>
        <v>27</v>
      </c>
      <c r="D1804" s="34"/>
      <c r="E1804" s="34"/>
      <c r="F1804" s="34"/>
      <c r="G1804" s="34"/>
      <c r="H1804" s="34"/>
      <c r="I1804" s="35"/>
      <c r="J1804" s="35"/>
      <c r="K1804" s="36"/>
      <c r="L1804" s="26" t="str">
        <f>IF(OR(F1804 = "", G1804 = ""), "", IF(F1804 = "Vara", IFERROR(_xlfn.SINGLE(_xlfn.XLOOKUP(G1804, Vöruskrá!A:A, Vöruskrá!E:E, "")), ""), IF(F1804 = "Réttur", IFERROR(_xlfn.SINGLE(_xlfn.XLOOKUP(G1804, Réttabanki!A:A, Réttabanki!AS:AS, "")), ""), "")))</f>
        <v/>
      </c>
      <c r="M1804" s="26" t="str">
        <f>IF(OR(F1804 = "", G1804 = ""), "", IF(F1804 = "Vara", IFERROR(_xlfn.SINGLE(_xlfn.XLOOKUP(G1804, Vöruskrá!A:A, Vöruskrá!F:F, "")), ""), IF(F1804 = "Réttur", IFERROR(_xlfn.SINGLE(_xlfn.XLOOKUP(G1804, Réttabanki!A:A, Réttabanki!AT:AT, "")), ""), "")))</f>
        <v/>
      </c>
      <c r="N1804" s="26" t="str">
        <f>IF(OR(F1804 = "", G1804 = ""), "", IF(F1804 = "Vara", IFERROR(_xlfn.SINGLE(_xlfn.XLOOKUP(G1804, Vöruskrá!A:A, Vöruskrá!G:G, "")), ""), IF(F1804 = "Réttur", IFERROR(_xlfn.SINGLE(_xlfn.XLOOKUP(G1804, Réttabanki!A:A, Réttabanki!AU:AU, "")), ""), "")))</f>
        <v/>
      </c>
      <c r="O1804" s="26" t="str">
        <f>IF(OR(F1804 = "", G1804 = "", I1804 = ""), "", IF(F1804 = "Vara", IFERROR(_xlfn.SINGLE(_xlfn.XLOOKUP(G1804, Vöruskrá!A:A, Vöruskrá!I:I, "")) * I1804 / 100, ""), IF(F1804 = "Réttur", IFERROR(_xlfn.SINGLE(_xlfn.XLOOKUP(G1804, Réttabanki!A:A, Réttabanki!AV:AV, "")) * I1804 / 100, ""), "")))</f>
        <v/>
      </c>
      <c r="P1804" s="26" t="str">
        <f>IF(OR(F1804 = "", G1804 = "", I1804 = ""), "", IF(F1804 = "Vara", IFERROR(_xlfn.SINGLE(_xlfn.XLOOKUP(G1804, Vöruskrá!A:A, Vöruskrá!J:J, "")) * I1804 / 100, ""), IF(F1804 = "Réttur", IFERROR(_xlfn.SINGLE(_xlfn.XLOOKUP(G1804, Réttabanki!A:A, Réttabanki!AW:AW, "")) * I1804 / 100, ""), "")))</f>
        <v/>
      </c>
      <c r="Q1804" s="26" t="str">
        <f>IF(OR(F1804 = "", G1804 = "", I1804 = ""), "", IF(F1804 = "Vara", IFERROR(_xlfn.SINGLE(_xlfn.XLOOKUP(G1804, Vöruskrá!A:A, Vöruskrá!N:N, "")) * I1804 / 100, ""), IF(F1804 = "Réttur", IFERROR(_xlfn.SINGLE(_xlfn.XLOOKUP(G1804, Réttabanki!A:A, Réttabanki!BB:BB, "")) * I1804 / 100, ""), "")))</f>
        <v/>
      </c>
    </row>
    <row r="1805" spans="2:17">
      <c r="B1805" s="33" t="str">
        <f>IF(A1805&lt;&gt;"",CHOOSE(WEEKDAY(A1805,2),"Mánudagur","Þriðjudagur","Miðvikudagur","Fimmtudagur","Föstudagur","Laugardagur","Sunnudagur"),IF(B1804&lt;&gt;"",B1804,""))</f>
        <v>Fimmtudagur</v>
      </c>
      <c r="C1805" s="33">
        <f>IF(A1805&lt;&gt;"",WEEKNUM(A1805,21),IF(C1804&lt;&gt;"",C1804,""))</f>
        <v>27</v>
      </c>
      <c r="D1805" s="34"/>
      <c r="E1805" s="34"/>
      <c r="F1805" s="34"/>
      <c r="G1805" s="34"/>
      <c r="H1805" s="34"/>
      <c r="I1805" s="35"/>
      <c r="J1805" s="35"/>
      <c r="K1805" s="36"/>
      <c r="L1805" s="26" t="str">
        <f>IF(OR(F1805 = "", G1805 = ""), "", IF(F1805 = "Vara", IFERROR(_xlfn.SINGLE(_xlfn.XLOOKUP(G1805, Vöruskrá!A:A, Vöruskrá!E:E, "")), ""), IF(F1805 = "Réttur", IFERROR(_xlfn.SINGLE(_xlfn.XLOOKUP(G1805, Réttabanki!A:A, Réttabanki!AS:AS, "")), ""), "")))</f>
        <v/>
      </c>
      <c r="M1805" s="26" t="str">
        <f>IF(OR(F1805 = "", G1805 = ""), "", IF(F1805 = "Vara", IFERROR(_xlfn.SINGLE(_xlfn.XLOOKUP(G1805, Vöruskrá!A:A, Vöruskrá!F:F, "")), ""), IF(F1805 = "Réttur", IFERROR(_xlfn.SINGLE(_xlfn.XLOOKUP(G1805, Réttabanki!A:A, Réttabanki!AT:AT, "")), ""), "")))</f>
        <v/>
      </c>
      <c r="N1805" s="26" t="str">
        <f>IF(OR(F1805 = "", G1805 = ""), "", IF(F1805 = "Vara", IFERROR(_xlfn.SINGLE(_xlfn.XLOOKUP(G1805, Vöruskrá!A:A, Vöruskrá!G:G, "")), ""), IF(F1805 = "Réttur", IFERROR(_xlfn.SINGLE(_xlfn.XLOOKUP(G1805, Réttabanki!A:A, Réttabanki!AU:AU, "")), ""), "")))</f>
        <v/>
      </c>
      <c r="O1805" s="26" t="str">
        <f>IF(OR(F1805 = "", G1805 = "", I1805 = ""), "", IF(F1805 = "Vara", IFERROR(_xlfn.SINGLE(_xlfn.XLOOKUP(G1805, Vöruskrá!A:A, Vöruskrá!I:I, "")) * I1805 / 100, ""), IF(F1805 = "Réttur", IFERROR(_xlfn.SINGLE(_xlfn.XLOOKUP(G1805, Réttabanki!A:A, Réttabanki!AV:AV, "")) * I1805 / 100, ""), "")))</f>
        <v/>
      </c>
      <c r="P1805" s="26" t="str">
        <f>IF(OR(F1805 = "", G1805 = "", I1805 = ""), "", IF(F1805 = "Vara", IFERROR(_xlfn.SINGLE(_xlfn.XLOOKUP(G1805, Vöruskrá!A:A, Vöruskrá!J:J, "")) * I1805 / 100, ""), IF(F1805 = "Réttur", IFERROR(_xlfn.SINGLE(_xlfn.XLOOKUP(G1805, Réttabanki!A:A, Réttabanki!AW:AW, "")) * I1805 / 100, ""), "")))</f>
        <v/>
      </c>
      <c r="Q1805" s="26" t="str">
        <f>IF(OR(F1805 = "", G1805 = "", I1805 = ""), "", IF(F1805 = "Vara", IFERROR(_xlfn.SINGLE(_xlfn.XLOOKUP(G1805, Vöruskrá!A:A, Vöruskrá!N:N, "")) * I1805 / 100, ""), IF(F1805 = "Réttur", IFERROR(_xlfn.SINGLE(_xlfn.XLOOKUP(G1805, Réttabanki!A:A, Réttabanki!BB:BB, "")) * I1805 / 100, ""), "")))</f>
        <v/>
      </c>
    </row>
    <row r="1806" spans="2:17">
      <c r="B1806" s="33" t="str">
        <f>IF(A1806&lt;&gt;"",CHOOSE(WEEKDAY(A1806,2),"Mánudagur","Þriðjudagur","Miðvikudagur","Fimmtudagur","Föstudagur","Laugardagur","Sunnudagur"),IF(B1805&lt;&gt;"",B1805,""))</f>
        <v>Fimmtudagur</v>
      </c>
      <c r="C1806" s="33">
        <f>IF(A1806&lt;&gt;"",WEEKNUM(A1806,21),IF(C1805&lt;&gt;"",C1805,""))</f>
        <v>27</v>
      </c>
      <c r="D1806" s="34"/>
      <c r="E1806" s="34"/>
      <c r="F1806" s="34"/>
      <c r="G1806" s="34"/>
      <c r="H1806" s="34"/>
      <c r="I1806" s="35"/>
      <c r="J1806" s="35"/>
      <c r="K1806" s="36"/>
      <c r="L1806" s="26" t="str">
        <f>IF(OR(F1806 = "", G1806 = ""), "", IF(F1806 = "Vara", IFERROR(_xlfn.SINGLE(_xlfn.XLOOKUP(G1806, Vöruskrá!A:A, Vöruskrá!E:E, "")), ""), IF(F1806 = "Réttur", IFERROR(_xlfn.SINGLE(_xlfn.XLOOKUP(G1806, Réttabanki!A:A, Réttabanki!AS:AS, "")), ""), "")))</f>
        <v/>
      </c>
      <c r="M1806" s="26" t="str">
        <f>IF(OR(F1806 = "", G1806 = ""), "", IF(F1806 = "Vara", IFERROR(_xlfn.SINGLE(_xlfn.XLOOKUP(G1806, Vöruskrá!A:A, Vöruskrá!F:F, "")), ""), IF(F1806 = "Réttur", IFERROR(_xlfn.SINGLE(_xlfn.XLOOKUP(G1806, Réttabanki!A:A, Réttabanki!AT:AT, "")), ""), "")))</f>
        <v/>
      </c>
      <c r="N1806" s="26" t="str">
        <f>IF(OR(F1806 = "", G1806 = ""), "", IF(F1806 = "Vara", IFERROR(_xlfn.SINGLE(_xlfn.XLOOKUP(G1806, Vöruskrá!A:A, Vöruskrá!G:G, "")), ""), IF(F1806 = "Réttur", IFERROR(_xlfn.SINGLE(_xlfn.XLOOKUP(G1806, Réttabanki!A:A, Réttabanki!AU:AU, "")), ""), "")))</f>
        <v/>
      </c>
      <c r="O1806" s="26" t="str">
        <f>IF(OR(F1806 = "", G1806 = "", I1806 = ""), "", IF(F1806 = "Vara", IFERROR(_xlfn.SINGLE(_xlfn.XLOOKUP(G1806, Vöruskrá!A:A, Vöruskrá!I:I, "")) * I1806 / 100, ""), IF(F1806 = "Réttur", IFERROR(_xlfn.SINGLE(_xlfn.XLOOKUP(G1806, Réttabanki!A:A, Réttabanki!AV:AV, "")) * I1806 / 100, ""), "")))</f>
        <v/>
      </c>
      <c r="P1806" s="26" t="str">
        <f>IF(OR(F1806 = "", G1806 = "", I1806 = ""), "", IF(F1806 = "Vara", IFERROR(_xlfn.SINGLE(_xlfn.XLOOKUP(G1806, Vöruskrá!A:A, Vöruskrá!J:J, "")) * I1806 / 100, ""), IF(F1806 = "Réttur", IFERROR(_xlfn.SINGLE(_xlfn.XLOOKUP(G1806, Réttabanki!A:A, Réttabanki!AW:AW, "")) * I1806 / 100, ""), "")))</f>
        <v/>
      </c>
      <c r="Q1806" s="26" t="str">
        <f>IF(OR(F1806 = "", G1806 = "", I1806 = ""), "", IF(F1806 = "Vara", IFERROR(_xlfn.SINGLE(_xlfn.XLOOKUP(G1806, Vöruskrá!A:A, Vöruskrá!N:N, "")) * I1806 / 100, ""), IF(F1806 = "Réttur", IFERROR(_xlfn.SINGLE(_xlfn.XLOOKUP(G1806, Réttabanki!A:A, Réttabanki!BB:BB, "")) * I1806 / 100, ""), "")))</f>
        <v/>
      </c>
    </row>
    <row r="1807" spans="2:17">
      <c r="B1807" s="33" t="str">
        <f>IF(A1807&lt;&gt;"",CHOOSE(WEEKDAY(A1807,2),"Mánudagur","Þriðjudagur","Miðvikudagur","Fimmtudagur","Föstudagur","Laugardagur","Sunnudagur"),IF(B1806&lt;&gt;"",B1806,""))</f>
        <v>Fimmtudagur</v>
      </c>
      <c r="C1807" s="33">
        <f>IF(A1807&lt;&gt;"",WEEKNUM(A1807,21),IF(C1806&lt;&gt;"",C1806,""))</f>
        <v>27</v>
      </c>
      <c r="D1807" s="34"/>
      <c r="E1807" s="34"/>
      <c r="F1807" s="34"/>
      <c r="G1807" s="34"/>
      <c r="H1807" s="34"/>
      <c r="I1807" s="35"/>
      <c r="J1807" s="35"/>
      <c r="K1807" s="36"/>
      <c r="L1807" s="26" t="str">
        <f>IF(OR(F1807 = "", G1807 = ""), "", IF(F1807 = "Vara", IFERROR(_xlfn.SINGLE(_xlfn.XLOOKUP(G1807, Vöruskrá!A:A, Vöruskrá!E:E, "")), ""), IF(F1807 = "Réttur", IFERROR(_xlfn.SINGLE(_xlfn.XLOOKUP(G1807, Réttabanki!A:A, Réttabanki!AS:AS, "")), ""), "")))</f>
        <v/>
      </c>
      <c r="M1807" s="26" t="str">
        <f>IF(OR(F1807 = "", G1807 = ""), "", IF(F1807 = "Vara", IFERROR(_xlfn.SINGLE(_xlfn.XLOOKUP(G1807, Vöruskrá!A:A, Vöruskrá!F:F, "")), ""), IF(F1807 = "Réttur", IFERROR(_xlfn.SINGLE(_xlfn.XLOOKUP(G1807, Réttabanki!A:A, Réttabanki!AT:AT, "")), ""), "")))</f>
        <v/>
      </c>
      <c r="N1807" s="26" t="str">
        <f>IF(OR(F1807 = "", G1807 = ""), "", IF(F1807 = "Vara", IFERROR(_xlfn.SINGLE(_xlfn.XLOOKUP(G1807, Vöruskrá!A:A, Vöruskrá!G:G, "")), ""), IF(F1807 = "Réttur", IFERROR(_xlfn.SINGLE(_xlfn.XLOOKUP(G1807, Réttabanki!A:A, Réttabanki!AU:AU, "")), ""), "")))</f>
        <v/>
      </c>
      <c r="O1807" s="26" t="str">
        <f>IF(OR(F1807 = "", G1807 = "", I1807 = ""), "", IF(F1807 = "Vara", IFERROR(_xlfn.SINGLE(_xlfn.XLOOKUP(G1807, Vöruskrá!A:A, Vöruskrá!I:I, "")) * I1807 / 100, ""), IF(F1807 = "Réttur", IFERROR(_xlfn.SINGLE(_xlfn.XLOOKUP(G1807, Réttabanki!A:A, Réttabanki!AV:AV, "")) * I1807 / 100, ""), "")))</f>
        <v/>
      </c>
      <c r="P1807" s="26" t="str">
        <f>IF(OR(F1807 = "", G1807 = "", I1807 = ""), "", IF(F1807 = "Vara", IFERROR(_xlfn.SINGLE(_xlfn.XLOOKUP(G1807, Vöruskrá!A:A, Vöruskrá!J:J, "")) * I1807 / 100, ""), IF(F1807 = "Réttur", IFERROR(_xlfn.SINGLE(_xlfn.XLOOKUP(G1807, Réttabanki!A:A, Réttabanki!AW:AW, "")) * I1807 / 100, ""), "")))</f>
        <v/>
      </c>
      <c r="Q1807" s="26" t="str">
        <f>IF(OR(F1807 = "", G1807 = "", I1807 = ""), "", IF(F1807 = "Vara", IFERROR(_xlfn.SINGLE(_xlfn.XLOOKUP(G1807, Vöruskrá!A:A, Vöruskrá!N:N, "")) * I1807 / 100, ""), IF(F1807 = "Réttur", IFERROR(_xlfn.SINGLE(_xlfn.XLOOKUP(G1807, Réttabanki!A:A, Réttabanki!BB:BB, "")) * I1807 / 100, ""), "")))</f>
        <v/>
      </c>
    </row>
    <row r="1808" spans="2:17">
      <c r="B1808" s="33" t="str">
        <f>IF(A1808&lt;&gt;"",CHOOSE(WEEKDAY(A1808,2),"Mánudagur","Þriðjudagur","Miðvikudagur","Fimmtudagur","Föstudagur","Laugardagur","Sunnudagur"),IF(B1807&lt;&gt;"",B1807,""))</f>
        <v>Fimmtudagur</v>
      </c>
      <c r="C1808" s="33">
        <f>IF(A1808&lt;&gt;"",WEEKNUM(A1808,21),IF(C1807&lt;&gt;"",C1807,""))</f>
        <v>27</v>
      </c>
      <c r="D1808" s="34"/>
      <c r="E1808" s="34"/>
      <c r="F1808" s="34"/>
      <c r="G1808" s="34"/>
      <c r="H1808" s="34"/>
      <c r="I1808" s="35"/>
      <c r="J1808" s="35"/>
      <c r="K1808" s="36"/>
      <c r="L1808" s="26" t="str">
        <f>IF(OR(F1808 = "", G1808 = ""), "", IF(F1808 = "Vara", IFERROR(_xlfn.SINGLE(_xlfn.XLOOKUP(G1808, Vöruskrá!A:A, Vöruskrá!E:E, "")), ""), IF(F1808 = "Réttur", IFERROR(_xlfn.SINGLE(_xlfn.XLOOKUP(G1808, Réttabanki!A:A, Réttabanki!AS:AS, "")), ""), "")))</f>
        <v/>
      </c>
      <c r="M1808" s="26" t="str">
        <f>IF(OR(F1808 = "", G1808 = ""), "", IF(F1808 = "Vara", IFERROR(_xlfn.SINGLE(_xlfn.XLOOKUP(G1808, Vöruskrá!A:A, Vöruskrá!F:F, "")), ""), IF(F1808 = "Réttur", IFERROR(_xlfn.SINGLE(_xlfn.XLOOKUP(G1808, Réttabanki!A:A, Réttabanki!AT:AT, "")), ""), "")))</f>
        <v/>
      </c>
      <c r="N1808" s="26" t="str">
        <f>IF(OR(F1808 = "", G1808 = ""), "", IF(F1808 = "Vara", IFERROR(_xlfn.SINGLE(_xlfn.XLOOKUP(G1808, Vöruskrá!A:A, Vöruskrá!G:G, "")), ""), IF(F1808 = "Réttur", IFERROR(_xlfn.SINGLE(_xlfn.XLOOKUP(G1808, Réttabanki!A:A, Réttabanki!AU:AU, "")), ""), "")))</f>
        <v/>
      </c>
      <c r="O1808" s="26" t="str">
        <f>IF(OR(F1808 = "", G1808 = "", I1808 = ""), "", IF(F1808 = "Vara", IFERROR(_xlfn.SINGLE(_xlfn.XLOOKUP(G1808, Vöruskrá!A:A, Vöruskrá!I:I, "")) * I1808 / 100, ""), IF(F1808 = "Réttur", IFERROR(_xlfn.SINGLE(_xlfn.XLOOKUP(G1808, Réttabanki!A:A, Réttabanki!AV:AV, "")) * I1808 / 100, ""), "")))</f>
        <v/>
      </c>
      <c r="P1808" s="26" t="str">
        <f>IF(OR(F1808 = "", G1808 = "", I1808 = ""), "", IF(F1808 = "Vara", IFERROR(_xlfn.SINGLE(_xlfn.XLOOKUP(G1808, Vöruskrá!A:A, Vöruskrá!J:J, "")) * I1808 / 100, ""), IF(F1808 = "Réttur", IFERROR(_xlfn.SINGLE(_xlfn.XLOOKUP(G1808, Réttabanki!A:A, Réttabanki!AW:AW, "")) * I1808 / 100, ""), "")))</f>
        <v/>
      </c>
      <c r="Q1808" s="26" t="str">
        <f>IF(OR(F1808 = "", G1808 = "", I1808 = ""), "", IF(F1808 = "Vara", IFERROR(_xlfn.SINGLE(_xlfn.XLOOKUP(G1808, Vöruskrá!A:A, Vöruskrá!N:N, "")) * I1808 / 100, ""), IF(F1808 = "Réttur", IFERROR(_xlfn.SINGLE(_xlfn.XLOOKUP(G1808, Réttabanki!A:A, Réttabanki!BB:BB, "")) * I1808 / 100, ""), "")))</f>
        <v/>
      </c>
    </row>
    <row r="1809" spans="2:17">
      <c r="B1809" s="33" t="str">
        <f>IF(A1809&lt;&gt;"",CHOOSE(WEEKDAY(A1809,2),"Mánudagur","Þriðjudagur","Miðvikudagur","Fimmtudagur","Föstudagur","Laugardagur","Sunnudagur"),IF(B1808&lt;&gt;"",B1808,""))</f>
        <v>Fimmtudagur</v>
      </c>
      <c r="C1809" s="33">
        <f>IF(A1809&lt;&gt;"",WEEKNUM(A1809,21),IF(C1808&lt;&gt;"",C1808,""))</f>
        <v>27</v>
      </c>
      <c r="D1809" s="34"/>
      <c r="E1809" s="34"/>
      <c r="F1809" s="34"/>
      <c r="G1809" s="34"/>
      <c r="H1809" s="34"/>
      <c r="I1809" s="35"/>
      <c r="J1809" s="35"/>
      <c r="K1809" s="36"/>
      <c r="L1809" s="26" t="str">
        <f>IF(OR(F1809 = "", G1809 = ""), "", IF(F1809 = "Vara", IFERROR(_xlfn.SINGLE(_xlfn.XLOOKUP(G1809, Vöruskrá!A:A, Vöruskrá!E:E, "")), ""), IF(F1809 = "Réttur", IFERROR(_xlfn.SINGLE(_xlfn.XLOOKUP(G1809, Réttabanki!A:A, Réttabanki!AS:AS, "")), ""), "")))</f>
        <v/>
      </c>
      <c r="M1809" s="26" t="str">
        <f>IF(OR(F1809 = "", G1809 = ""), "", IF(F1809 = "Vara", IFERROR(_xlfn.SINGLE(_xlfn.XLOOKUP(G1809, Vöruskrá!A:A, Vöruskrá!F:F, "")), ""), IF(F1809 = "Réttur", IFERROR(_xlfn.SINGLE(_xlfn.XLOOKUP(G1809, Réttabanki!A:A, Réttabanki!AT:AT, "")), ""), "")))</f>
        <v/>
      </c>
      <c r="N1809" s="26" t="str">
        <f>IF(OR(F1809 = "", G1809 = ""), "", IF(F1809 = "Vara", IFERROR(_xlfn.SINGLE(_xlfn.XLOOKUP(G1809, Vöruskrá!A:A, Vöruskrá!G:G, "")), ""), IF(F1809 = "Réttur", IFERROR(_xlfn.SINGLE(_xlfn.XLOOKUP(G1809, Réttabanki!A:A, Réttabanki!AU:AU, "")), ""), "")))</f>
        <v/>
      </c>
      <c r="O1809" s="26" t="str">
        <f>IF(OR(F1809 = "", G1809 = "", I1809 = ""), "", IF(F1809 = "Vara", IFERROR(_xlfn.SINGLE(_xlfn.XLOOKUP(G1809, Vöruskrá!A:A, Vöruskrá!I:I, "")) * I1809 / 100, ""), IF(F1809 = "Réttur", IFERROR(_xlfn.SINGLE(_xlfn.XLOOKUP(G1809, Réttabanki!A:A, Réttabanki!AV:AV, "")) * I1809 / 100, ""), "")))</f>
        <v/>
      </c>
      <c r="P1809" s="26" t="str">
        <f>IF(OR(F1809 = "", G1809 = "", I1809 = ""), "", IF(F1809 = "Vara", IFERROR(_xlfn.SINGLE(_xlfn.XLOOKUP(G1809, Vöruskrá!A:A, Vöruskrá!J:J, "")) * I1809 / 100, ""), IF(F1809 = "Réttur", IFERROR(_xlfn.SINGLE(_xlfn.XLOOKUP(G1809, Réttabanki!A:A, Réttabanki!AW:AW, "")) * I1809 / 100, ""), "")))</f>
        <v/>
      </c>
      <c r="Q1809" s="26" t="str">
        <f>IF(OR(F1809 = "", G1809 = "", I1809 = ""), "", IF(F1809 = "Vara", IFERROR(_xlfn.SINGLE(_xlfn.XLOOKUP(G1809, Vöruskrá!A:A, Vöruskrá!N:N, "")) * I1809 / 100, ""), IF(F1809 = "Réttur", IFERROR(_xlfn.SINGLE(_xlfn.XLOOKUP(G1809, Réttabanki!A:A, Réttabanki!BB:BB, "")) * I1809 / 100, ""), "")))</f>
        <v/>
      </c>
    </row>
    <row r="1810" spans="2:17">
      <c r="B1810" s="33" t="str">
        <f>IF(A1810&lt;&gt;"",CHOOSE(WEEKDAY(A1810,2),"Mánudagur","Þriðjudagur","Miðvikudagur","Fimmtudagur","Föstudagur","Laugardagur","Sunnudagur"),IF(B1809&lt;&gt;"",B1809,""))</f>
        <v>Fimmtudagur</v>
      </c>
      <c r="C1810" s="33">
        <f>IF(A1810&lt;&gt;"",WEEKNUM(A1810,21),IF(C1809&lt;&gt;"",C1809,""))</f>
        <v>27</v>
      </c>
      <c r="D1810" s="34"/>
      <c r="E1810" s="34"/>
      <c r="F1810" s="34"/>
      <c r="G1810" s="34"/>
      <c r="H1810" s="34"/>
      <c r="I1810" s="35"/>
      <c r="J1810" s="35"/>
      <c r="K1810" s="36"/>
      <c r="L1810" s="26" t="str">
        <f>IF(OR(F1810 = "", G1810 = ""), "", IF(F1810 = "Vara", IFERROR(_xlfn.SINGLE(_xlfn.XLOOKUP(G1810, Vöruskrá!A:A, Vöruskrá!E:E, "")), ""), IF(F1810 = "Réttur", IFERROR(_xlfn.SINGLE(_xlfn.XLOOKUP(G1810, Réttabanki!A:A, Réttabanki!AS:AS, "")), ""), "")))</f>
        <v/>
      </c>
      <c r="M1810" s="26" t="str">
        <f>IF(OR(F1810 = "", G1810 = ""), "", IF(F1810 = "Vara", IFERROR(_xlfn.SINGLE(_xlfn.XLOOKUP(G1810, Vöruskrá!A:A, Vöruskrá!F:F, "")), ""), IF(F1810 = "Réttur", IFERROR(_xlfn.SINGLE(_xlfn.XLOOKUP(G1810, Réttabanki!A:A, Réttabanki!AT:AT, "")), ""), "")))</f>
        <v/>
      </c>
      <c r="N1810" s="26" t="str">
        <f>IF(OR(F1810 = "", G1810 = ""), "", IF(F1810 = "Vara", IFERROR(_xlfn.SINGLE(_xlfn.XLOOKUP(G1810, Vöruskrá!A:A, Vöruskrá!G:G, "")), ""), IF(F1810 = "Réttur", IFERROR(_xlfn.SINGLE(_xlfn.XLOOKUP(G1810, Réttabanki!A:A, Réttabanki!AU:AU, "")), ""), "")))</f>
        <v/>
      </c>
      <c r="O1810" s="26" t="str">
        <f>IF(OR(F1810 = "", G1810 = "", I1810 = ""), "", IF(F1810 = "Vara", IFERROR(_xlfn.SINGLE(_xlfn.XLOOKUP(G1810, Vöruskrá!A:A, Vöruskrá!I:I, "")) * I1810 / 100, ""), IF(F1810 = "Réttur", IFERROR(_xlfn.SINGLE(_xlfn.XLOOKUP(G1810, Réttabanki!A:A, Réttabanki!AV:AV, "")) * I1810 / 100, ""), "")))</f>
        <v/>
      </c>
      <c r="P1810" s="26" t="str">
        <f>IF(OR(F1810 = "", G1810 = "", I1810 = ""), "", IF(F1810 = "Vara", IFERROR(_xlfn.SINGLE(_xlfn.XLOOKUP(G1810, Vöruskrá!A:A, Vöruskrá!J:J, "")) * I1810 / 100, ""), IF(F1810 = "Réttur", IFERROR(_xlfn.SINGLE(_xlfn.XLOOKUP(G1810, Réttabanki!A:A, Réttabanki!AW:AW, "")) * I1810 / 100, ""), "")))</f>
        <v/>
      </c>
      <c r="Q1810" s="26" t="str">
        <f>IF(OR(F1810 = "", G1810 = "", I1810 = ""), "", IF(F1810 = "Vara", IFERROR(_xlfn.SINGLE(_xlfn.XLOOKUP(G1810, Vöruskrá!A:A, Vöruskrá!N:N, "")) * I1810 / 100, ""), IF(F1810 = "Réttur", IFERROR(_xlfn.SINGLE(_xlfn.XLOOKUP(G1810, Réttabanki!A:A, Réttabanki!BB:BB, "")) * I1810 / 100, ""), "")))</f>
        <v/>
      </c>
    </row>
    <row r="1811" spans="2:17">
      <c r="B1811" s="33" t="str">
        <f>IF(A1811&lt;&gt;"",CHOOSE(WEEKDAY(A1811,2),"Mánudagur","Þriðjudagur","Miðvikudagur","Fimmtudagur","Föstudagur","Laugardagur","Sunnudagur"),IF(B1810&lt;&gt;"",B1810,""))</f>
        <v>Fimmtudagur</v>
      </c>
      <c r="C1811" s="33">
        <f>IF(A1811&lt;&gt;"",WEEKNUM(A1811,21),IF(C1810&lt;&gt;"",C1810,""))</f>
        <v>27</v>
      </c>
      <c r="D1811" s="34"/>
      <c r="E1811" s="34"/>
      <c r="F1811" s="34"/>
      <c r="G1811" s="34"/>
      <c r="H1811" s="34"/>
      <c r="I1811" s="35"/>
      <c r="J1811" s="35"/>
      <c r="K1811" s="36"/>
      <c r="L1811" s="26" t="str">
        <f>IF(OR(F1811 = "", G1811 = ""), "", IF(F1811 = "Vara", IFERROR(_xlfn.SINGLE(_xlfn.XLOOKUP(G1811, Vöruskrá!A:A, Vöruskrá!E:E, "")), ""), IF(F1811 = "Réttur", IFERROR(_xlfn.SINGLE(_xlfn.XLOOKUP(G1811, Réttabanki!A:A, Réttabanki!AS:AS, "")), ""), "")))</f>
        <v/>
      </c>
      <c r="M1811" s="26" t="str">
        <f>IF(OR(F1811 = "", G1811 = ""), "", IF(F1811 = "Vara", IFERROR(_xlfn.SINGLE(_xlfn.XLOOKUP(G1811, Vöruskrá!A:A, Vöruskrá!F:F, "")), ""), IF(F1811 = "Réttur", IFERROR(_xlfn.SINGLE(_xlfn.XLOOKUP(G1811, Réttabanki!A:A, Réttabanki!AT:AT, "")), ""), "")))</f>
        <v/>
      </c>
      <c r="N1811" s="26" t="str">
        <f>IF(OR(F1811 = "", G1811 = ""), "", IF(F1811 = "Vara", IFERROR(_xlfn.SINGLE(_xlfn.XLOOKUP(G1811, Vöruskrá!A:A, Vöruskrá!G:G, "")), ""), IF(F1811 = "Réttur", IFERROR(_xlfn.SINGLE(_xlfn.XLOOKUP(G1811, Réttabanki!A:A, Réttabanki!AU:AU, "")), ""), "")))</f>
        <v/>
      </c>
      <c r="O1811" s="26" t="str">
        <f>IF(OR(F1811 = "", G1811 = "", I1811 = ""), "", IF(F1811 = "Vara", IFERROR(_xlfn.SINGLE(_xlfn.XLOOKUP(G1811, Vöruskrá!A:A, Vöruskrá!I:I, "")) * I1811 / 100, ""), IF(F1811 = "Réttur", IFERROR(_xlfn.SINGLE(_xlfn.XLOOKUP(G1811, Réttabanki!A:A, Réttabanki!AV:AV, "")) * I1811 / 100, ""), "")))</f>
        <v/>
      </c>
      <c r="P1811" s="26" t="str">
        <f>IF(OR(F1811 = "", G1811 = "", I1811 = ""), "", IF(F1811 = "Vara", IFERROR(_xlfn.SINGLE(_xlfn.XLOOKUP(G1811, Vöruskrá!A:A, Vöruskrá!J:J, "")) * I1811 / 100, ""), IF(F1811 = "Réttur", IFERROR(_xlfn.SINGLE(_xlfn.XLOOKUP(G1811, Réttabanki!A:A, Réttabanki!AW:AW, "")) * I1811 / 100, ""), "")))</f>
        <v/>
      </c>
      <c r="Q1811" s="26" t="str">
        <f>IF(OR(F1811 = "", G1811 = "", I1811 = ""), "", IF(F1811 = "Vara", IFERROR(_xlfn.SINGLE(_xlfn.XLOOKUP(G1811, Vöruskrá!A:A, Vöruskrá!N:N, "")) * I1811 / 100, ""), IF(F1811 = "Réttur", IFERROR(_xlfn.SINGLE(_xlfn.XLOOKUP(G1811, Réttabanki!A:A, Réttabanki!BB:BB, "")) * I1811 / 100, ""), "")))</f>
        <v/>
      </c>
    </row>
    <row r="1812" spans="2:17">
      <c r="B1812" s="33" t="str">
        <f>IF(A1812&lt;&gt;"",CHOOSE(WEEKDAY(A1812,2),"Mánudagur","Þriðjudagur","Miðvikudagur","Fimmtudagur","Föstudagur","Laugardagur","Sunnudagur"),IF(B1811&lt;&gt;"",B1811,""))</f>
        <v>Fimmtudagur</v>
      </c>
      <c r="C1812" s="33">
        <f>IF(A1812&lt;&gt;"",WEEKNUM(A1812,21),IF(C1811&lt;&gt;"",C1811,""))</f>
        <v>27</v>
      </c>
      <c r="D1812" s="34"/>
      <c r="E1812" s="34"/>
      <c r="F1812" s="34"/>
      <c r="G1812" s="34"/>
      <c r="H1812" s="34"/>
      <c r="I1812" s="35"/>
      <c r="J1812" s="35"/>
      <c r="K1812" s="36"/>
      <c r="L1812" s="26" t="str">
        <f>IF(OR(F1812 = "", G1812 = ""), "", IF(F1812 = "Vara", IFERROR(_xlfn.SINGLE(_xlfn.XLOOKUP(G1812, Vöruskrá!A:A, Vöruskrá!E:E, "")), ""), IF(F1812 = "Réttur", IFERROR(_xlfn.SINGLE(_xlfn.XLOOKUP(G1812, Réttabanki!A:A, Réttabanki!AS:AS, "")), ""), "")))</f>
        <v/>
      </c>
      <c r="M1812" s="26" t="str">
        <f>IF(OR(F1812 = "", G1812 = ""), "", IF(F1812 = "Vara", IFERROR(_xlfn.SINGLE(_xlfn.XLOOKUP(G1812, Vöruskrá!A:A, Vöruskrá!F:F, "")), ""), IF(F1812 = "Réttur", IFERROR(_xlfn.SINGLE(_xlfn.XLOOKUP(G1812, Réttabanki!A:A, Réttabanki!AT:AT, "")), ""), "")))</f>
        <v/>
      </c>
      <c r="N1812" s="26" t="str">
        <f>IF(OR(F1812 = "", G1812 = ""), "", IF(F1812 = "Vara", IFERROR(_xlfn.SINGLE(_xlfn.XLOOKUP(G1812, Vöruskrá!A:A, Vöruskrá!G:G, "")), ""), IF(F1812 = "Réttur", IFERROR(_xlfn.SINGLE(_xlfn.XLOOKUP(G1812, Réttabanki!A:A, Réttabanki!AU:AU, "")), ""), "")))</f>
        <v/>
      </c>
      <c r="O1812" s="26" t="str">
        <f>IF(OR(F1812 = "", G1812 = "", I1812 = ""), "", IF(F1812 = "Vara", IFERROR(_xlfn.SINGLE(_xlfn.XLOOKUP(G1812, Vöruskrá!A:A, Vöruskrá!I:I, "")) * I1812 / 100, ""), IF(F1812 = "Réttur", IFERROR(_xlfn.SINGLE(_xlfn.XLOOKUP(G1812, Réttabanki!A:A, Réttabanki!AV:AV, "")) * I1812 / 100, ""), "")))</f>
        <v/>
      </c>
      <c r="P1812" s="26" t="str">
        <f>IF(OR(F1812 = "", G1812 = "", I1812 = ""), "", IF(F1812 = "Vara", IFERROR(_xlfn.SINGLE(_xlfn.XLOOKUP(G1812, Vöruskrá!A:A, Vöruskrá!J:J, "")) * I1812 / 100, ""), IF(F1812 = "Réttur", IFERROR(_xlfn.SINGLE(_xlfn.XLOOKUP(G1812, Réttabanki!A:A, Réttabanki!AW:AW, "")) * I1812 / 100, ""), "")))</f>
        <v/>
      </c>
      <c r="Q1812" s="26" t="str">
        <f>IF(OR(F1812 = "", G1812 = "", I1812 = ""), "", IF(F1812 = "Vara", IFERROR(_xlfn.SINGLE(_xlfn.XLOOKUP(G1812, Vöruskrá!A:A, Vöruskrá!N:N, "")) * I1812 / 100, ""), IF(F1812 = "Réttur", IFERROR(_xlfn.SINGLE(_xlfn.XLOOKUP(G1812, Réttabanki!A:A, Réttabanki!BB:BB, "")) * I1812 / 100, ""), "")))</f>
        <v/>
      </c>
    </row>
    <row r="1813" spans="2:17">
      <c r="B1813" s="33" t="str">
        <f>IF(A1813&lt;&gt;"",CHOOSE(WEEKDAY(A1813,2),"Mánudagur","Þriðjudagur","Miðvikudagur","Fimmtudagur","Föstudagur","Laugardagur","Sunnudagur"),IF(B1812&lt;&gt;"",B1812,""))</f>
        <v>Fimmtudagur</v>
      </c>
      <c r="C1813" s="33">
        <f>IF(A1813&lt;&gt;"",WEEKNUM(A1813,21),IF(C1812&lt;&gt;"",C1812,""))</f>
        <v>27</v>
      </c>
      <c r="D1813" s="34"/>
      <c r="E1813" s="34"/>
      <c r="F1813" s="34"/>
      <c r="G1813" s="34"/>
      <c r="H1813" s="34"/>
      <c r="I1813" s="35"/>
      <c r="J1813" s="35"/>
      <c r="K1813" s="36"/>
      <c r="L1813" s="26" t="str">
        <f>IF(OR(F1813 = "", G1813 = ""), "", IF(F1813 = "Vara", IFERROR(_xlfn.SINGLE(_xlfn.XLOOKUP(G1813, Vöruskrá!A:A, Vöruskrá!E:E, "")), ""), IF(F1813 = "Réttur", IFERROR(_xlfn.SINGLE(_xlfn.XLOOKUP(G1813, Réttabanki!A:A, Réttabanki!AS:AS, "")), ""), "")))</f>
        <v/>
      </c>
      <c r="M1813" s="26" t="str">
        <f>IF(OR(F1813 = "", G1813 = ""), "", IF(F1813 = "Vara", IFERROR(_xlfn.SINGLE(_xlfn.XLOOKUP(G1813, Vöruskrá!A:A, Vöruskrá!F:F, "")), ""), IF(F1813 = "Réttur", IFERROR(_xlfn.SINGLE(_xlfn.XLOOKUP(G1813, Réttabanki!A:A, Réttabanki!AT:AT, "")), ""), "")))</f>
        <v/>
      </c>
      <c r="N1813" s="26" t="str">
        <f>IF(OR(F1813 = "", G1813 = ""), "", IF(F1813 = "Vara", IFERROR(_xlfn.SINGLE(_xlfn.XLOOKUP(G1813, Vöruskrá!A:A, Vöruskrá!G:G, "")), ""), IF(F1813 = "Réttur", IFERROR(_xlfn.SINGLE(_xlfn.XLOOKUP(G1813, Réttabanki!A:A, Réttabanki!AU:AU, "")), ""), "")))</f>
        <v/>
      </c>
      <c r="O1813" s="26" t="str">
        <f>IF(OR(F1813 = "", G1813 = "", I1813 = ""), "", IF(F1813 = "Vara", IFERROR(_xlfn.SINGLE(_xlfn.XLOOKUP(G1813, Vöruskrá!A:A, Vöruskrá!I:I, "")) * I1813 / 100, ""), IF(F1813 = "Réttur", IFERROR(_xlfn.SINGLE(_xlfn.XLOOKUP(G1813, Réttabanki!A:A, Réttabanki!AV:AV, "")) * I1813 / 100, ""), "")))</f>
        <v/>
      </c>
      <c r="P1813" s="26" t="str">
        <f>IF(OR(F1813 = "", G1813 = "", I1813 = ""), "", IF(F1813 = "Vara", IFERROR(_xlfn.SINGLE(_xlfn.XLOOKUP(G1813, Vöruskrá!A:A, Vöruskrá!J:J, "")) * I1813 / 100, ""), IF(F1813 = "Réttur", IFERROR(_xlfn.SINGLE(_xlfn.XLOOKUP(G1813, Réttabanki!A:A, Réttabanki!AW:AW, "")) * I1813 / 100, ""), "")))</f>
        <v/>
      </c>
      <c r="Q1813" s="26" t="str">
        <f>IF(OR(F1813 = "", G1813 = "", I1813 = ""), "", IF(F1813 = "Vara", IFERROR(_xlfn.SINGLE(_xlfn.XLOOKUP(G1813, Vöruskrá!A:A, Vöruskrá!N:N, "")) * I1813 / 100, ""), IF(F1813 = "Réttur", IFERROR(_xlfn.SINGLE(_xlfn.XLOOKUP(G1813, Réttabanki!A:A, Réttabanki!BB:BB, "")) * I1813 / 100, ""), "")))</f>
        <v/>
      </c>
    </row>
    <row r="1814" spans="2:17">
      <c r="B1814" s="33" t="str">
        <f>IF(A1814&lt;&gt;"",CHOOSE(WEEKDAY(A1814,2),"Mánudagur","Þriðjudagur","Miðvikudagur","Fimmtudagur","Föstudagur","Laugardagur","Sunnudagur"),IF(B1813&lt;&gt;"",B1813,""))</f>
        <v>Fimmtudagur</v>
      </c>
      <c r="C1814" s="33">
        <f>IF(A1814&lt;&gt;"",WEEKNUM(A1814,21),IF(C1813&lt;&gt;"",C1813,""))</f>
        <v>27</v>
      </c>
      <c r="D1814" s="34"/>
      <c r="E1814" s="34"/>
      <c r="F1814" s="34"/>
      <c r="G1814" s="34"/>
      <c r="H1814" s="34"/>
      <c r="I1814" s="35"/>
      <c r="J1814" s="35"/>
      <c r="K1814" s="36"/>
      <c r="L1814" s="26" t="str">
        <f>IF(OR(F1814 = "", G1814 = ""), "", IF(F1814 = "Vara", IFERROR(_xlfn.SINGLE(_xlfn.XLOOKUP(G1814, Vöruskrá!A:A, Vöruskrá!E:E, "")), ""), IF(F1814 = "Réttur", IFERROR(_xlfn.SINGLE(_xlfn.XLOOKUP(G1814, Réttabanki!A:A, Réttabanki!AS:AS, "")), ""), "")))</f>
        <v/>
      </c>
      <c r="M1814" s="26" t="str">
        <f>IF(OR(F1814 = "", G1814 = ""), "", IF(F1814 = "Vara", IFERROR(_xlfn.SINGLE(_xlfn.XLOOKUP(G1814, Vöruskrá!A:A, Vöruskrá!F:F, "")), ""), IF(F1814 = "Réttur", IFERROR(_xlfn.SINGLE(_xlfn.XLOOKUP(G1814, Réttabanki!A:A, Réttabanki!AT:AT, "")), ""), "")))</f>
        <v/>
      </c>
      <c r="N1814" s="26" t="str">
        <f>IF(OR(F1814 = "", G1814 = ""), "", IF(F1814 = "Vara", IFERROR(_xlfn.SINGLE(_xlfn.XLOOKUP(G1814, Vöruskrá!A:A, Vöruskrá!G:G, "")), ""), IF(F1814 = "Réttur", IFERROR(_xlfn.SINGLE(_xlfn.XLOOKUP(G1814, Réttabanki!A:A, Réttabanki!AU:AU, "")), ""), "")))</f>
        <v/>
      </c>
      <c r="O1814" s="26" t="str">
        <f>IF(OR(F1814 = "", G1814 = "", I1814 = ""), "", IF(F1814 = "Vara", IFERROR(_xlfn.SINGLE(_xlfn.XLOOKUP(G1814, Vöruskrá!A:A, Vöruskrá!I:I, "")) * I1814 / 100, ""), IF(F1814 = "Réttur", IFERROR(_xlfn.SINGLE(_xlfn.XLOOKUP(G1814, Réttabanki!A:A, Réttabanki!AV:AV, "")) * I1814 / 100, ""), "")))</f>
        <v/>
      </c>
      <c r="P1814" s="26" t="str">
        <f>IF(OR(F1814 = "", G1814 = "", I1814 = ""), "", IF(F1814 = "Vara", IFERROR(_xlfn.SINGLE(_xlfn.XLOOKUP(G1814, Vöruskrá!A:A, Vöruskrá!J:J, "")) * I1814 / 100, ""), IF(F1814 = "Réttur", IFERROR(_xlfn.SINGLE(_xlfn.XLOOKUP(G1814, Réttabanki!A:A, Réttabanki!AW:AW, "")) * I1814 / 100, ""), "")))</f>
        <v/>
      </c>
      <c r="Q1814" s="26" t="str">
        <f>IF(OR(F1814 = "", G1814 = "", I1814 = ""), "", IF(F1814 = "Vara", IFERROR(_xlfn.SINGLE(_xlfn.XLOOKUP(G1814, Vöruskrá!A:A, Vöruskrá!N:N, "")) * I1814 / 100, ""), IF(F1814 = "Réttur", IFERROR(_xlfn.SINGLE(_xlfn.XLOOKUP(G1814, Réttabanki!A:A, Réttabanki!BB:BB, "")) * I1814 / 100, ""), "")))</f>
        <v/>
      </c>
    </row>
    <row r="1815" spans="2:17">
      <c r="B1815" s="33" t="str">
        <f>IF(A1815&lt;&gt;"",CHOOSE(WEEKDAY(A1815,2),"Mánudagur","Þriðjudagur","Miðvikudagur","Fimmtudagur","Föstudagur","Laugardagur","Sunnudagur"),IF(B1814&lt;&gt;"",B1814,""))</f>
        <v>Fimmtudagur</v>
      </c>
      <c r="C1815" s="33">
        <f>IF(A1815&lt;&gt;"",WEEKNUM(A1815,21),IF(C1814&lt;&gt;"",C1814,""))</f>
        <v>27</v>
      </c>
      <c r="D1815" s="34"/>
      <c r="E1815" s="34"/>
      <c r="F1815" s="34"/>
      <c r="G1815" s="34"/>
      <c r="H1815" s="34"/>
      <c r="I1815" s="35"/>
      <c r="J1815" s="35"/>
      <c r="K1815" s="36"/>
      <c r="L1815" s="26" t="str">
        <f>IF(OR(F1815 = "", G1815 = ""), "", IF(F1815 = "Vara", IFERROR(_xlfn.SINGLE(_xlfn.XLOOKUP(G1815, Vöruskrá!A:A, Vöruskrá!E:E, "")), ""), IF(F1815 = "Réttur", IFERROR(_xlfn.SINGLE(_xlfn.XLOOKUP(G1815, Réttabanki!A:A, Réttabanki!AS:AS, "")), ""), "")))</f>
        <v/>
      </c>
      <c r="M1815" s="26" t="str">
        <f>IF(OR(F1815 = "", G1815 = ""), "", IF(F1815 = "Vara", IFERROR(_xlfn.SINGLE(_xlfn.XLOOKUP(G1815, Vöruskrá!A:A, Vöruskrá!F:F, "")), ""), IF(F1815 = "Réttur", IFERROR(_xlfn.SINGLE(_xlfn.XLOOKUP(G1815, Réttabanki!A:A, Réttabanki!AT:AT, "")), ""), "")))</f>
        <v/>
      </c>
      <c r="N1815" s="26" t="str">
        <f>IF(OR(F1815 = "", G1815 = ""), "", IF(F1815 = "Vara", IFERROR(_xlfn.SINGLE(_xlfn.XLOOKUP(G1815, Vöruskrá!A:A, Vöruskrá!G:G, "")), ""), IF(F1815 = "Réttur", IFERROR(_xlfn.SINGLE(_xlfn.XLOOKUP(G1815, Réttabanki!A:A, Réttabanki!AU:AU, "")), ""), "")))</f>
        <v/>
      </c>
      <c r="O1815" s="26" t="str">
        <f>IF(OR(F1815 = "", G1815 = "", I1815 = ""), "", IF(F1815 = "Vara", IFERROR(_xlfn.SINGLE(_xlfn.XLOOKUP(G1815, Vöruskrá!A:A, Vöruskrá!I:I, "")) * I1815 / 100, ""), IF(F1815 = "Réttur", IFERROR(_xlfn.SINGLE(_xlfn.XLOOKUP(G1815, Réttabanki!A:A, Réttabanki!AV:AV, "")) * I1815 / 100, ""), "")))</f>
        <v/>
      </c>
      <c r="P1815" s="26" t="str">
        <f>IF(OR(F1815 = "", G1815 = "", I1815 = ""), "", IF(F1815 = "Vara", IFERROR(_xlfn.SINGLE(_xlfn.XLOOKUP(G1815, Vöruskrá!A:A, Vöruskrá!J:J, "")) * I1815 / 100, ""), IF(F1815 = "Réttur", IFERROR(_xlfn.SINGLE(_xlfn.XLOOKUP(G1815, Réttabanki!A:A, Réttabanki!AW:AW, "")) * I1815 / 100, ""), "")))</f>
        <v/>
      </c>
      <c r="Q1815" s="26" t="str">
        <f>IF(OR(F1815 = "", G1815 = "", I1815 = ""), "", IF(F1815 = "Vara", IFERROR(_xlfn.SINGLE(_xlfn.XLOOKUP(G1815, Vöruskrá!A:A, Vöruskrá!N:N, "")) * I1815 / 100, ""), IF(F1815 = "Réttur", IFERROR(_xlfn.SINGLE(_xlfn.XLOOKUP(G1815, Réttabanki!A:A, Réttabanki!BB:BB, "")) * I1815 / 100, ""), "")))</f>
        <v/>
      </c>
    </row>
    <row r="1816" spans="2:17">
      <c r="B1816" s="33" t="str">
        <f>IF(A1816&lt;&gt;"",CHOOSE(WEEKDAY(A1816,2),"Mánudagur","Þriðjudagur","Miðvikudagur","Fimmtudagur","Föstudagur","Laugardagur","Sunnudagur"),IF(B1815&lt;&gt;"",B1815,""))</f>
        <v>Fimmtudagur</v>
      </c>
      <c r="C1816" s="33">
        <f>IF(A1816&lt;&gt;"",WEEKNUM(A1816,21),IF(C1815&lt;&gt;"",C1815,""))</f>
        <v>27</v>
      </c>
      <c r="D1816" s="34"/>
      <c r="E1816" s="34"/>
      <c r="F1816" s="34"/>
      <c r="G1816" s="34"/>
      <c r="H1816" s="34"/>
      <c r="I1816" s="35"/>
      <c r="J1816" s="35"/>
      <c r="K1816" s="36"/>
      <c r="L1816" s="26" t="str">
        <f>IF(OR(F1816 = "", G1816 = ""), "", IF(F1816 = "Vara", IFERROR(_xlfn.SINGLE(_xlfn.XLOOKUP(G1816, Vöruskrá!A:A, Vöruskrá!E:E, "")), ""), IF(F1816 = "Réttur", IFERROR(_xlfn.SINGLE(_xlfn.XLOOKUP(G1816, Réttabanki!A:A, Réttabanki!AS:AS, "")), ""), "")))</f>
        <v/>
      </c>
      <c r="M1816" s="26" t="str">
        <f>IF(OR(F1816 = "", G1816 = ""), "", IF(F1816 = "Vara", IFERROR(_xlfn.SINGLE(_xlfn.XLOOKUP(G1816, Vöruskrá!A:A, Vöruskrá!F:F, "")), ""), IF(F1816 = "Réttur", IFERROR(_xlfn.SINGLE(_xlfn.XLOOKUP(G1816, Réttabanki!A:A, Réttabanki!AT:AT, "")), ""), "")))</f>
        <v/>
      </c>
      <c r="N1816" s="26" t="str">
        <f>IF(OR(F1816 = "", G1816 = ""), "", IF(F1816 = "Vara", IFERROR(_xlfn.SINGLE(_xlfn.XLOOKUP(G1816, Vöruskrá!A:A, Vöruskrá!G:G, "")), ""), IF(F1816 = "Réttur", IFERROR(_xlfn.SINGLE(_xlfn.XLOOKUP(G1816, Réttabanki!A:A, Réttabanki!AU:AU, "")), ""), "")))</f>
        <v/>
      </c>
      <c r="O1816" s="26" t="str">
        <f>IF(OR(F1816 = "", G1816 = "", I1816 = ""), "", IF(F1816 = "Vara", IFERROR(_xlfn.SINGLE(_xlfn.XLOOKUP(G1816, Vöruskrá!A:A, Vöruskrá!I:I, "")) * I1816 / 100, ""), IF(F1816 = "Réttur", IFERROR(_xlfn.SINGLE(_xlfn.XLOOKUP(G1816, Réttabanki!A:A, Réttabanki!AV:AV, "")) * I1816 / 100, ""), "")))</f>
        <v/>
      </c>
      <c r="P1816" s="26" t="str">
        <f>IF(OR(F1816 = "", G1816 = "", I1816 = ""), "", IF(F1816 = "Vara", IFERROR(_xlfn.SINGLE(_xlfn.XLOOKUP(G1816, Vöruskrá!A:A, Vöruskrá!J:J, "")) * I1816 / 100, ""), IF(F1816 = "Réttur", IFERROR(_xlfn.SINGLE(_xlfn.XLOOKUP(G1816, Réttabanki!A:A, Réttabanki!AW:AW, "")) * I1816 / 100, ""), "")))</f>
        <v/>
      </c>
      <c r="Q1816" s="26" t="str">
        <f>IF(OR(F1816 = "", G1816 = "", I1816 = ""), "", IF(F1816 = "Vara", IFERROR(_xlfn.SINGLE(_xlfn.XLOOKUP(G1816, Vöruskrá!A:A, Vöruskrá!N:N, "")) * I1816 / 100, ""), IF(F1816 = "Réttur", IFERROR(_xlfn.SINGLE(_xlfn.XLOOKUP(G1816, Réttabanki!A:A, Réttabanki!BB:BB, "")) * I1816 / 100, ""), "")))</f>
        <v/>
      </c>
    </row>
    <row r="1817" spans="2:17">
      <c r="B1817" s="33" t="str">
        <f>IF(A1817&lt;&gt;"",CHOOSE(WEEKDAY(A1817,2),"Mánudagur","Þriðjudagur","Miðvikudagur","Fimmtudagur","Föstudagur","Laugardagur","Sunnudagur"),IF(B1816&lt;&gt;"",B1816,""))</f>
        <v>Fimmtudagur</v>
      </c>
      <c r="C1817" s="33">
        <f>IF(A1817&lt;&gt;"",WEEKNUM(A1817,21),IF(C1816&lt;&gt;"",C1816,""))</f>
        <v>27</v>
      </c>
      <c r="D1817" s="34"/>
      <c r="E1817" s="34"/>
      <c r="F1817" s="34"/>
      <c r="G1817" s="34"/>
      <c r="H1817" s="34"/>
      <c r="I1817" s="35"/>
      <c r="J1817" s="35"/>
      <c r="K1817" s="36"/>
      <c r="L1817" s="26" t="str">
        <f>IF(OR(F1817 = "", G1817 = ""), "", IF(F1817 = "Vara", IFERROR(_xlfn.SINGLE(_xlfn.XLOOKUP(G1817, Vöruskrá!A:A, Vöruskrá!E:E, "")), ""), IF(F1817 = "Réttur", IFERROR(_xlfn.SINGLE(_xlfn.XLOOKUP(G1817, Réttabanki!A:A, Réttabanki!AS:AS, "")), ""), "")))</f>
        <v/>
      </c>
      <c r="M1817" s="26" t="str">
        <f>IF(OR(F1817 = "", G1817 = ""), "", IF(F1817 = "Vara", IFERROR(_xlfn.SINGLE(_xlfn.XLOOKUP(G1817, Vöruskrá!A:A, Vöruskrá!F:F, "")), ""), IF(F1817 = "Réttur", IFERROR(_xlfn.SINGLE(_xlfn.XLOOKUP(G1817, Réttabanki!A:A, Réttabanki!AT:AT, "")), ""), "")))</f>
        <v/>
      </c>
      <c r="N1817" s="26" t="str">
        <f>IF(OR(F1817 = "", G1817 = ""), "", IF(F1817 = "Vara", IFERROR(_xlfn.SINGLE(_xlfn.XLOOKUP(G1817, Vöruskrá!A:A, Vöruskrá!G:G, "")), ""), IF(F1817 = "Réttur", IFERROR(_xlfn.SINGLE(_xlfn.XLOOKUP(G1817, Réttabanki!A:A, Réttabanki!AU:AU, "")), ""), "")))</f>
        <v/>
      </c>
      <c r="O1817" s="26" t="str">
        <f>IF(OR(F1817 = "", G1817 = "", I1817 = ""), "", IF(F1817 = "Vara", IFERROR(_xlfn.SINGLE(_xlfn.XLOOKUP(G1817, Vöruskrá!A:A, Vöruskrá!I:I, "")) * I1817 / 100, ""), IF(F1817 = "Réttur", IFERROR(_xlfn.SINGLE(_xlfn.XLOOKUP(G1817, Réttabanki!A:A, Réttabanki!AV:AV, "")) * I1817 / 100, ""), "")))</f>
        <v/>
      </c>
      <c r="P1817" s="26" t="str">
        <f>IF(OR(F1817 = "", G1817 = "", I1817 = ""), "", IF(F1817 = "Vara", IFERROR(_xlfn.SINGLE(_xlfn.XLOOKUP(G1817, Vöruskrá!A:A, Vöruskrá!J:J, "")) * I1817 / 100, ""), IF(F1817 = "Réttur", IFERROR(_xlfn.SINGLE(_xlfn.XLOOKUP(G1817, Réttabanki!A:A, Réttabanki!AW:AW, "")) * I1817 / 100, ""), "")))</f>
        <v/>
      </c>
      <c r="Q1817" s="26" t="str">
        <f>IF(OR(F1817 = "", G1817 = "", I1817 = ""), "", IF(F1817 = "Vara", IFERROR(_xlfn.SINGLE(_xlfn.XLOOKUP(G1817, Vöruskrá!A:A, Vöruskrá!N:N, "")) * I1817 / 100, ""), IF(F1817 = "Réttur", IFERROR(_xlfn.SINGLE(_xlfn.XLOOKUP(G1817, Réttabanki!A:A, Réttabanki!BB:BB, "")) * I1817 / 100, ""), "")))</f>
        <v/>
      </c>
    </row>
    <row r="1818" spans="2:17">
      <c r="B1818" s="33" t="str">
        <f>IF(A1818&lt;&gt;"",CHOOSE(WEEKDAY(A1818,2),"Mánudagur","Þriðjudagur","Miðvikudagur","Fimmtudagur","Föstudagur","Laugardagur","Sunnudagur"),IF(B1817&lt;&gt;"",B1817,""))</f>
        <v>Fimmtudagur</v>
      </c>
      <c r="C1818" s="33">
        <f>IF(A1818&lt;&gt;"",WEEKNUM(A1818,21),IF(C1817&lt;&gt;"",C1817,""))</f>
        <v>27</v>
      </c>
      <c r="D1818" s="34"/>
      <c r="E1818" s="34"/>
      <c r="F1818" s="34"/>
      <c r="G1818" s="34"/>
      <c r="H1818" s="34"/>
      <c r="I1818" s="35"/>
      <c r="J1818" s="35"/>
      <c r="K1818" s="36"/>
      <c r="L1818" s="26" t="str">
        <f>IF(OR(F1818 = "", G1818 = ""), "", IF(F1818 = "Vara", IFERROR(_xlfn.SINGLE(_xlfn.XLOOKUP(G1818, Vöruskrá!A:A, Vöruskrá!E:E, "")), ""), IF(F1818 = "Réttur", IFERROR(_xlfn.SINGLE(_xlfn.XLOOKUP(G1818, Réttabanki!A:A, Réttabanki!AS:AS, "")), ""), "")))</f>
        <v/>
      </c>
      <c r="M1818" s="26" t="str">
        <f>IF(OR(F1818 = "", G1818 = ""), "", IF(F1818 = "Vara", IFERROR(_xlfn.SINGLE(_xlfn.XLOOKUP(G1818, Vöruskrá!A:A, Vöruskrá!F:F, "")), ""), IF(F1818 = "Réttur", IFERROR(_xlfn.SINGLE(_xlfn.XLOOKUP(G1818, Réttabanki!A:A, Réttabanki!AT:AT, "")), ""), "")))</f>
        <v/>
      </c>
      <c r="N1818" s="26" t="str">
        <f>IF(OR(F1818 = "", G1818 = ""), "", IF(F1818 = "Vara", IFERROR(_xlfn.SINGLE(_xlfn.XLOOKUP(G1818, Vöruskrá!A:A, Vöruskrá!G:G, "")), ""), IF(F1818 = "Réttur", IFERROR(_xlfn.SINGLE(_xlfn.XLOOKUP(G1818, Réttabanki!A:A, Réttabanki!AU:AU, "")), ""), "")))</f>
        <v/>
      </c>
      <c r="O1818" s="26" t="str">
        <f>IF(OR(F1818 = "", G1818 = "", I1818 = ""), "", IF(F1818 = "Vara", IFERROR(_xlfn.SINGLE(_xlfn.XLOOKUP(G1818, Vöruskrá!A:A, Vöruskrá!I:I, "")) * I1818 / 100, ""), IF(F1818 = "Réttur", IFERROR(_xlfn.SINGLE(_xlfn.XLOOKUP(G1818, Réttabanki!A:A, Réttabanki!AV:AV, "")) * I1818 / 100, ""), "")))</f>
        <v/>
      </c>
      <c r="P1818" s="26" t="str">
        <f>IF(OR(F1818 = "", G1818 = "", I1818 = ""), "", IF(F1818 = "Vara", IFERROR(_xlfn.SINGLE(_xlfn.XLOOKUP(G1818, Vöruskrá!A:A, Vöruskrá!J:J, "")) * I1818 / 100, ""), IF(F1818 = "Réttur", IFERROR(_xlfn.SINGLE(_xlfn.XLOOKUP(G1818, Réttabanki!A:A, Réttabanki!AW:AW, "")) * I1818 / 100, ""), "")))</f>
        <v/>
      </c>
      <c r="Q1818" s="26" t="str">
        <f>IF(OR(F1818 = "", G1818 = "", I1818 = ""), "", IF(F1818 = "Vara", IFERROR(_xlfn.SINGLE(_xlfn.XLOOKUP(G1818, Vöruskrá!A:A, Vöruskrá!N:N, "")) * I1818 / 100, ""), IF(F1818 = "Réttur", IFERROR(_xlfn.SINGLE(_xlfn.XLOOKUP(G1818, Réttabanki!A:A, Réttabanki!BB:BB, "")) * I1818 / 100, ""), "")))</f>
        <v/>
      </c>
    </row>
    <row r="1819" spans="2:17">
      <c r="B1819" s="33" t="str">
        <f>IF(A1819&lt;&gt;"",CHOOSE(WEEKDAY(A1819,2),"Mánudagur","Þriðjudagur","Miðvikudagur","Fimmtudagur","Föstudagur","Laugardagur","Sunnudagur"),IF(B1818&lt;&gt;"",B1818,""))</f>
        <v>Fimmtudagur</v>
      </c>
      <c r="C1819" s="33">
        <f>IF(A1819&lt;&gt;"",WEEKNUM(A1819,21),IF(C1818&lt;&gt;"",C1818,""))</f>
        <v>27</v>
      </c>
      <c r="D1819" s="34"/>
      <c r="E1819" s="34"/>
      <c r="F1819" s="34"/>
      <c r="G1819" s="34"/>
      <c r="H1819" s="34"/>
      <c r="I1819" s="35"/>
      <c r="J1819" s="35"/>
      <c r="K1819" s="36"/>
      <c r="L1819" s="26" t="str">
        <f>IF(OR(F1819 = "", G1819 = ""), "", IF(F1819 = "Vara", IFERROR(_xlfn.SINGLE(_xlfn.XLOOKUP(G1819, Vöruskrá!A:A, Vöruskrá!E:E, "")), ""), IF(F1819 = "Réttur", IFERROR(_xlfn.SINGLE(_xlfn.XLOOKUP(G1819, Réttabanki!A:A, Réttabanki!AS:AS, "")), ""), "")))</f>
        <v/>
      </c>
      <c r="M1819" s="26" t="str">
        <f>IF(OR(F1819 = "", G1819 = ""), "", IF(F1819 = "Vara", IFERROR(_xlfn.SINGLE(_xlfn.XLOOKUP(G1819, Vöruskrá!A:A, Vöruskrá!F:F, "")), ""), IF(F1819 = "Réttur", IFERROR(_xlfn.SINGLE(_xlfn.XLOOKUP(G1819, Réttabanki!A:A, Réttabanki!AT:AT, "")), ""), "")))</f>
        <v/>
      </c>
      <c r="N1819" s="26" t="str">
        <f>IF(OR(F1819 = "", G1819 = ""), "", IF(F1819 = "Vara", IFERROR(_xlfn.SINGLE(_xlfn.XLOOKUP(G1819, Vöruskrá!A:A, Vöruskrá!G:G, "")), ""), IF(F1819 = "Réttur", IFERROR(_xlfn.SINGLE(_xlfn.XLOOKUP(G1819, Réttabanki!A:A, Réttabanki!AU:AU, "")), ""), "")))</f>
        <v/>
      </c>
      <c r="O1819" s="26" t="str">
        <f>IF(OR(F1819 = "", G1819 = "", I1819 = ""), "", IF(F1819 = "Vara", IFERROR(_xlfn.SINGLE(_xlfn.XLOOKUP(G1819, Vöruskrá!A:A, Vöruskrá!I:I, "")) * I1819 / 100, ""), IF(F1819 = "Réttur", IFERROR(_xlfn.SINGLE(_xlfn.XLOOKUP(G1819, Réttabanki!A:A, Réttabanki!AV:AV, "")) * I1819 / 100, ""), "")))</f>
        <v/>
      </c>
      <c r="P1819" s="26" t="str">
        <f>IF(OR(F1819 = "", G1819 = "", I1819 = ""), "", IF(F1819 = "Vara", IFERROR(_xlfn.SINGLE(_xlfn.XLOOKUP(G1819, Vöruskrá!A:A, Vöruskrá!J:J, "")) * I1819 / 100, ""), IF(F1819 = "Réttur", IFERROR(_xlfn.SINGLE(_xlfn.XLOOKUP(G1819, Réttabanki!A:A, Réttabanki!AW:AW, "")) * I1819 / 100, ""), "")))</f>
        <v/>
      </c>
      <c r="Q1819" s="26" t="str">
        <f>IF(OR(F1819 = "", G1819 = "", I1819 = ""), "", IF(F1819 = "Vara", IFERROR(_xlfn.SINGLE(_xlfn.XLOOKUP(G1819, Vöruskrá!A:A, Vöruskrá!N:N, "")) * I1819 / 100, ""), IF(F1819 = "Réttur", IFERROR(_xlfn.SINGLE(_xlfn.XLOOKUP(G1819, Réttabanki!A:A, Réttabanki!BB:BB, "")) * I1819 / 100, ""), "")))</f>
        <v/>
      </c>
    </row>
    <row r="1820" spans="2:17">
      <c r="B1820" s="33" t="str">
        <f>IF(A1820&lt;&gt;"",CHOOSE(WEEKDAY(A1820,2),"Mánudagur","Þriðjudagur","Miðvikudagur","Fimmtudagur","Föstudagur","Laugardagur","Sunnudagur"),IF(B1819&lt;&gt;"",B1819,""))</f>
        <v>Fimmtudagur</v>
      </c>
      <c r="C1820" s="33">
        <f>IF(A1820&lt;&gt;"",WEEKNUM(A1820,21),IF(C1819&lt;&gt;"",C1819,""))</f>
        <v>27</v>
      </c>
      <c r="D1820" s="34"/>
      <c r="E1820" s="34"/>
      <c r="F1820" s="34"/>
      <c r="G1820" s="34"/>
      <c r="H1820" s="34"/>
      <c r="I1820" s="35"/>
      <c r="J1820" s="35"/>
      <c r="K1820" s="36"/>
      <c r="L1820" s="26" t="str">
        <f>IF(OR(F1820 = "", G1820 = ""), "", IF(F1820 = "Vara", IFERROR(_xlfn.SINGLE(_xlfn.XLOOKUP(G1820, Vöruskrá!A:A, Vöruskrá!E:E, "")), ""), IF(F1820 = "Réttur", IFERROR(_xlfn.SINGLE(_xlfn.XLOOKUP(G1820, Réttabanki!A:A, Réttabanki!AS:AS, "")), ""), "")))</f>
        <v/>
      </c>
      <c r="M1820" s="26" t="str">
        <f>IF(OR(F1820 = "", G1820 = ""), "", IF(F1820 = "Vara", IFERROR(_xlfn.SINGLE(_xlfn.XLOOKUP(G1820, Vöruskrá!A:A, Vöruskrá!F:F, "")), ""), IF(F1820 = "Réttur", IFERROR(_xlfn.SINGLE(_xlfn.XLOOKUP(G1820, Réttabanki!A:A, Réttabanki!AT:AT, "")), ""), "")))</f>
        <v/>
      </c>
      <c r="N1820" s="26" t="str">
        <f>IF(OR(F1820 = "", G1820 = ""), "", IF(F1820 = "Vara", IFERROR(_xlfn.SINGLE(_xlfn.XLOOKUP(G1820, Vöruskrá!A:A, Vöruskrá!G:G, "")), ""), IF(F1820 = "Réttur", IFERROR(_xlfn.SINGLE(_xlfn.XLOOKUP(G1820, Réttabanki!A:A, Réttabanki!AU:AU, "")), ""), "")))</f>
        <v/>
      </c>
      <c r="O1820" s="26" t="str">
        <f>IF(OR(F1820 = "", G1820 = "", I1820 = ""), "", IF(F1820 = "Vara", IFERROR(_xlfn.SINGLE(_xlfn.XLOOKUP(G1820, Vöruskrá!A:A, Vöruskrá!I:I, "")) * I1820 / 100, ""), IF(F1820 = "Réttur", IFERROR(_xlfn.SINGLE(_xlfn.XLOOKUP(G1820, Réttabanki!A:A, Réttabanki!AV:AV, "")) * I1820 / 100, ""), "")))</f>
        <v/>
      </c>
      <c r="P1820" s="26" t="str">
        <f>IF(OR(F1820 = "", G1820 = "", I1820 = ""), "", IF(F1820 = "Vara", IFERROR(_xlfn.SINGLE(_xlfn.XLOOKUP(G1820, Vöruskrá!A:A, Vöruskrá!J:J, "")) * I1820 / 100, ""), IF(F1820 = "Réttur", IFERROR(_xlfn.SINGLE(_xlfn.XLOOKUP(G1820, Réttabanki!A:A, Réttabanki!AW:AW, "")) * I1820 / 100, ""), "")))</f>
        <v/>
      </c>
      <c r="Q1820" s="26" t="str">
        <f>IF(OR(F1820 = "", G1820 = "", I1820 = ""), "", IF(F1820 = "Vara", IFERROR(_xlfn.SINGLE(_xlfn.XLOOKUP(G1820, Vöruskrá!A:A, Vöruskrá!N:N, "")) * I1820 / 100, ""), IF(F1820 = "Réttur", IFERROR(_xlfn.SINGLE(_xlfn.XLOOKUP(G1820, Réttabanki!A:A, Réttabanki!BB:BB, "")) * I1820 / 100, ""), "")))</f>
        <v/>
      </c>
    </row>
    <row r="1821" spans="2:17">
      <c r="B1821" s="33" t="str">
        <f>IF(A1821&lt;&gt;"",CHOOSE(WEEKDAY(A1821,2),"Mánudagur","Þriðjudagur","Miðvikudagur","Fimmtudagur","Föstudagur","Laugardagur","Sunnudagur"),IF(B1820&lt;&gt;"",B1820,""))</f>
        <v>Fimmtudagur</v>
      </c>
      <c r="C1821" s="33">
        <f>IF(A1821&lt;&gt;"",WEEKNUM(A1821,21),IF(C1820&lt;&gt;"",C1820,""))</f>
        <v>27</v>
      </c>
      <c r="D1821" s="34"/>
      <c r="E1821" s="34"/>
      <c r="F1821" s="34"/>
      <c r="G1821" s="34"/>
      <c r="H1821" s="34"/>
      <c r="I1821" s="35"/>
      <c r="J1821" s="35"/>
      <c r="K1821" s="36"/>
      <c r="L1821" s="26" t="str">
        <f>IF(OR(F1821 = "", G1821 = ""), "", IF(F1821 = "Vara", IFERROR(_xlfn.SINGLE(_xlfn.XLOOKUP(G1821, Vöruskrá!A:A, Vöruskrá!E:E, "")), ""), IF(F1821 = "Réttur", IFERROR(_xlfn.SINGLE(_xlfn.XLOOKUP(G1821, Réttabanki!A:A, Réttabanki!AS:AS, "")), ""), "")))</f>
        <v/>
      </c>
      <c r="M1821" s="26" t="str">
        <f>IF(OR(F1821 = "", G1821 = ""), "", IF(F1821 = "Vara", IFERROR(_xlfn.SINGLE(_xlfn.XLOOKUP(G1821, Vöruskrá!A:A, Vöruskrá!F:F, "")), ""), IF(F1821 = "Réttur", IFERROR(_xlfn.SINGLE(_xlfn.XLOOKUP(G1821, Réttabanki!A:A, Réttabanki!AT:AT, "")), ""), "")))</f>
        <v/>
      </c>
      <c r="N1821" s="26" t="str">
        <f>IF(OR(F1821 = "", G1821 = ""), "", IF(F1821 = "Vara", IFERROR(_xlfn.SINGLE(_xlfn.XLOOKUP(G1821, Vöruskrá!A:A, Vöruskrá!G:G, "")), ""), IF(F1821 = "Réttur", IFERROR(_xlfn.SINGLE(_xlfn.XLOOKUP(G1821, Réttabanki!A:A, Réttabanki!AU:AU, "")), ""), "")))</f>
        <v/>
      </c>
      <c r="O1821" s="26" t="str">
        <f>IF(OR(F1821 = "", G1821 = "", I1821 = ""), "", IF(F1821 = "Vara", IFERROR(_xlfn.SINGLE(_xlfn.XLOOKUP(G1821, Vöruskrá!A:A, Vöruskrá!I:I, "")) * I1821 / 100, ""), IF(F1821 = "Réttur", IFERROR(_xlfn.SINGLE(_xlfn.XLOOKUP(G1821, Réttabanki!A:A, Réttabanki!AV:AV, "")) * I1821 / 100, ""), "")))</f>
        <v/>
      </c>
      <c r="P1821" s="26" t="str">
        <f>IF(OR(F1821 = "", G1821 = "", I1821 = ""), "", IF(F1821 = "Vara", IFERROR(_xlfn.SINGLE(_xlfn.XLOOKUP(G1821, Vöruskrá!A:A, Vöruskrá!J:J, "")) * I1821 / 100, ""), IF(F1821 = "Réttur", IFERROR(_xlfn.SINGLE(_xlfn.XLOOKUP(G1821, Réttabanki!A:A, Réttabanki!AW:AW, "")) * I1821 / 100, ""), "")))</f>
        <v/>
      </c>
      <c r="Q1821" s="26" t="str">
        <f>IF(OR(F1821 = "", G1821 = "", I1821 = ""), "", IF(F1821 = "Vara", IFERROR(_xlfn.SINGLE(_xlfn.XLOOKUP(G1821, Vöruskrá!A:A, Vöruskrá!N:N, "")) * I1821 / 100, ""), IF(F1821 = "Réttur", IFERROR(_xlfn.SINGLE(_xlfn.XLOOKUP(G1821, Réttabanki!A:A, Réttabanki!BB:BB, "")) * I1821 / 100, ""), "")))</f>
        <v/>
      </c>
    </row>
    <row r="1822" spans="2:17">
      <c r="B1822" s="33" t="str">
        <f>IF(A1822&lt;&gt;"",CHOOSE(WEEKDAY(A1822,2),"Mánudagur","Þriðjudagur","Miðvikudagur","Fimmtudagur","Föstudagur","Laugardagur","Sunnudagur"),IF(B1821&lt;&gt;"",B1821,""))</f>
        <v>Fimmtudagur</v>
      </c>
      <c r="C1822" s="33">
        <f>IF(A1822&lt;&gt;"",WEEKNUM(A1822,21),IF(C1821&lt;&gt;"",C1821,""))</f>
        <v>27</v>
      </c>
      <c r="D1822" s="34"/>
      <c r="E1822" s="34"/>
      <c r="F1822" s="34"/>
      <c r="G1822" s="34"/>
      <c r="H1822" s="34"/>
      <c r="I1822" s="35"/>
      <c r="J1822" s="35"/>
      <c r="K1822" s="36"/>
      <c r="L1822" s="26" t="str">
        <f>IF(OR(F1822 = "", G1822 = ""), "", IF(F1822 = "Vara", IFERROR(_xlfn.SINGLE(_xlfn.XLOOKUP(G1822, Vöruskrá!A:A, Vöruskrá!E:E, "")), ""), IF(F1822 = "Réttur", IFERROR(_xlfn.SINGLE(_xlfn.XLOOKUP(G1822, Réttabanki!A:A, Réttabanki!AS:AS, "")), ""), "")))</f>
        <v/>
      </c>
      <c r="M1822" s="26" t="str">
        <f>IF(OR(F1822 = "", G1822 = ""), "", IF(F1822 = "Vara", IFERROR(_xlfn.SINGLE(_xlfn.XLOOKUP(G1822, Vöruskrá!A:A, Vöruskrá!F:F, "")), ""), IF(F1822 = "Réttur", IFERROR(_xlfn.SINGLE(_xlfn.XLOOKUP(G1822, Réttabanki!A:A, Réttabanki!AT:AT, "")), ""), "")))</f>
        <v/>
      </c>
      <c r="N1822" s="26" t="str">
        <f>IF(OR(F1822 = "", G1822 = ""), "", IF(F1822 = "Vara", IFERROR(_xlfn.SINGLE(_xlfn.XLOOKUP(G1822, Vöruskrá!A:A, Vöruskrá!G:G, "")), ""), IF(F1822 = "Réttur", IFERROR(_xlfn.SINGLE(_xlfn.XLOOKUP(G1822, Réttabanki!A:A, Réttabanki!AU:AU, "")), ""), "")))</f>
        <v/>
      </c>
      <c r="O1822" s="26" t="str">
        <f>IF(OR(F1822 = "", G1822 = "", I1822 = ""), "", IF(F1822 = "Vara", IFERROR(_xlfn.SINGLE(_xlfn.XLOOKUP(G1822, Vöruskrá!A:A, Vöruskrá!I:I, "")) * I1822 / 100, ""), IF(F1822 = "Réttur", IFERROR(_xlfn.SINGLE(_xlfn.XLOOKUP(G1822, Réttabanki!A:A, Réttabanki!AV:AV, "")) * I1822 / 100, ""), "")))</f>
        <v/>
      </c>
      <c r="P1822" s="26" t="str">
        <f>IF(OR(F1822 = "", G1822 = "", I1822 = ""), "", IF(F1822 = "Vara", IFERROR(_xlfn.SINGLE(_xlfn.XLOOKUP(G1822, Vöruskrá!A:A, Vöruskrá!J:J, "")) * I1822 / 100, ""), IF(F1822 = "Réttur", IFERROR(_xlfn.SINGLE(_xlfn.XLOOKUP(G1822, Réttabanki!A:A, Réttabanki!AW:AW, "")) * I1822 / 100, ""), "")))</f>
        <v/>
      </c>
      <c r="Q1822" s="26" t="str">
        <f>IF(OR(F1822 = "", G1822 = "", I1822 = ""), "", IF(F1822 = "Vara", IFERROR(_xlfn.SINGLE(_xlfn.XLOOKUP(G1822, Vöruskrá!A:A, Vöruskrá!N:N, "")) * I1822 / 100, ""), IF(F1822 = "Réttur", IFERROR(_xlfn.SINGLE(_xlfn.XLOOKUP(G1822, Réttabanki!A:A, Réttabanki!BB:BB, "")) * I1822 / 100, ""), "")))</f>
        <v/>
      </c>
    </row>
    <row r="1823" spans="2:17">
      <c r="B1823" s="33" t="str">
        <f>IF(A1823&lt;&gt;"",CHOOSE(WEEKDAY(A1823,2),"Mánudagur","Þriðjudagur","Miðvikudagur","Fimmtudagur","Föstudagur","Laugardagur","Sunnudagur"),IF(B1822&lt;&gt;"",B1822,""))</f>
        <v>Fimmtudagur</v>
      </c>
      <c r="C1823" s="33">
        <f>IF(A1823&lt;&gt;"",WEEKNUM(A1823,21),IF(C1822&lt;&gt;"",C1822,""))</f>
        <v>27</v>
      </c>
      <c r="D1823" s="34"/>
      <c r="E1823" s="34"/>
      <c r="F1823" s="34"/>
      <c r="G1823" s="34"/>
      <c r="H1823" s="34"/>
      <c r="I1823" s="35"/>
      <c r="J1823" s="35"/>
      <c r="K1823" s="36"/>
      <c r="L1823" s="26" t="str">
        <f>IF(OR(F1823 = "", G1823 = ""), "", IF(F1823 = "Vara", IFERROR(_xlfn.SINGLE(_xlfn.XLOOKUP(G1823, Vöruskrá!A:A, Vöruskrá!E:E, "")), ""), IF(F1823 = "Réttur", IFERROR(_xlfn.SINGLE(_xlfn.XLOOKUP(G1823, Réttabanki!A:A, Réttabanki!AS:AS, "")), ""), "")))</f>
        <v/>
      </c>
      <c r="M1823" s="26" t="str">
        <f>IF(OR(F1823 = "", G1823 = ""), "", IF(F1823 = "Vara", IFERROR(_xlfn.SINGLE(_xlfn.XLOOKUP(G1823, Vöruskrá!A:A, Vöruskrá!F:F, "")), ""), IF(F1823 = "Réttur", IFERROR(_xlfn.SINGLE(_xlfn.XLOOKUP(G1823, Réttabanki!A:A, Réttabanki!AT:AT, "")), ""), "")))</f>
        <v/>
      </c>
      <c r="N1823" s="26" t="str">
        <f>IF(OR(F1823 = "", G1823 = ""), "", IF(F1823 = "Vara", IFERROR(_xlfn.SINGLE(_xlfn.XLOOKUP(G1823, Vöruskrá!A:A, Vöruskrá!G:G, "")), ""), IF(F1823 = "Réttur", IFERROR(_xlfn.SINGLE(_xlfn.XLOOKUP(G1823, Réttabanki!A:A, Réttabanki!AU:AU, "")), ""), "")))</f>
        <v/>
      </c>
      <c r="O1823" s="26" t="str">
        <f>IF(OR(F1823 = "", G1823 = "", I1823 = ""), "", IF(F1823 = "Vara", IFERROR(_xlfn.SINGLE(_xlfn.XLOOKUP(G1823, Vöruskrá!A:A, Vöruskrá!I:I, "")) * I1823 / 100, ""), IF(F1823 = "Réttur", IFERROR(_xlfn.SINGLE(_xlfn.XLOOKUP(G1823, Réttabanki!A:A, Réttabanki!AV:AV, "")) * I1823 / 100, ""), "")))</f>
        <v/>
      </c>
      <c r="P1823" s="26" t="str">
        <f>IF(OR(F1823 = "", G1823 = "", I1823 = ""), "", IF(F1823 = "Vara", IFERROR(_xlfn.SINGLE(_xlfn.XLOOKUP(G1823, Vöruskrá!A:A, Vöruskrá!J:J, "")) * I1823 / 100, ""), IF(F1823 = "Réttur", IFERROR(_xlfn.SINGLE(_xlfn.XLOOKUP(G1823, Réttabanki!A:A, Réttabanki!AW:AW, "")) * I1823 / 100, ""), "")))</f>
        <v/>
      </c>
      <c r="Q1823" s="26" t="str">
        <f>IF(OR(F1823 = "", G1823 = "", I1823 = ""), "", IF(F1823 = "Vara", IFERROR(_xlfn.SINGLE(_xlfn.XLOOKUP(G1823, Vöruskrá!A:A, Vöruskrá!N:N, "")) * I1823 / 100, ""), IF(F1823 = "Réttur", IFERROR(_xlfn.SINGLE(_xlfn.XLOOKUP(G1823, Réttabanki!A:A, Réttabanki!BB:BB, "")) * I1823 / 100, ""), "")))</f>
        <v/>
      </c>
    </row>
    <row r="1824" spans="2:17">
      <c r="B1824" s="33" t="str">
        <f>IF(A1824&lt;&gt;"",CHOOSE(WEEKDAY(A1824,2),"Mánudagur","Þriðjudagur","Miðvikudagur","Fimmtudagur","Föstudagur","Laugardagur","Sunnudagur"),IF(B1823&lt;&gt;"",B1823,""))</f>
        <v>Fimmtudagur</v>
      </c>
      <c r="C1824" s="33">
        <f>IF(A1824&lt;&gt;"",WEEKNUM(A1824,21),IF(C1823&lt;&gt;"",C1823,""))</f>
        <v>27</v>
      </c>
      <c r="D1824" s="34"/>
      <c r="E1824" s="34"/>
      <c r="F1824" s="34"/>
      <c r="G1824" s="34"/>
      <c r="H1824" s="34"/>
      <c r="I1824" s="35"/>
      <c r="J1824" s="35"/>
      <c r="K1824" s="36"/>
      <c r="L1824" s="26" t="str">
        <f>IF(OR(F1824 = "", G1824 = ""), "", IF(F1824 = "Vara", IFERROR(_xlfn.SINGLE(_xlfn.XLOOKUP(G1824, Vöruskrá!A:A, Vöruskrá!E:E, "")), ""), IF(F1824 = "Réttur", IFERROR(_xlfn.SINGLE(_xlfn.XLOOKUP(G1824, Réttabanki!A:A, Réttabanki!AS:AS, "")), ""), "")))</f>
        <v/>
      </c>
      <c r="M1824" s="26" t="str">
        <f>IF(OR(F1824 = "", G1824 = ""), "", IF(F1824 = "Vara", IFERROR(_xlfn.SINGLE(_xlfn.XLOOKUP(G1824, Vöruskrá!A:A, Vöruskrá!F:F, "")), ""), IF(F1824 = "Réttur", IFERROR(_xlfn.SINGLE(_xlfn.XLOOKUP(G1824, Réttabanki!A:A, Réttabanki!AT:AT, "")), ""), "")))</f>
        <v/>
      </c>
      <c r="N1824" s="26" t="str">
        <f>IF(OR(F1824 = "", G1824 = ""), "", IF(F1824 = "Vara", IFERROR(_xlfn.SINGLE(_xlfn.XLOOKUP(G1824, Vöruskrá!A:A, Vöruskrá!G:G, "")), ""), IF(F1824 = "Réttur", IFERROR(_xlfn.SINGLE(_xlfn.XLOOKUP(G1824, Réttabanki!A:A, Réttabanki!AU:AU, "")), ""), "")))</f>
        <v/>
      </c>
      <c r="O1824" s="26" t="str">
        <f>IF(OR(F1824 = "", G1824 = "", I1824 = ""), "", IF(F1824 = "Vara", IFERROR(_xlfn.SINGLE(_xlfn.XLOOKUP(G1824, Vöruskrá!A:A, Vöruskrá!I:I, "")) * I1824 / 100, ""), IF(F1824 = "Réttur", IFERROR(_xlfn.SINGLE(_xlfn.XLOOKUP(G1824, Réttabanki!A:A, Réttabanki!AV:AV, "")) * I1824 / 100, ""), "")))</f>
        <v/>
      </c>
      <c r="P1824" s="26" t="str">
        <f>IF(OR(F1824 = "", G1824 = "", I1824 = ""), "", IF(F1824 = "Vara", IFERROR(_xlfn.SINGLE(_xlfn.XLOOKUP(G1824, Vöruskrá!A:A, Vöruskrá!J:J, "")) * I1824 / 100, ""), IF(F1824 = "Réttur", IFERROR(_xlfn.SINGLE(_xlfn.XLOOKUP(G1824, Réttabanki!A:A, Réttabanki!AW:AW, "")) * I1824 / 100, ""), "")))</f>
        <v/>
      </c>
      <c r="Q1824" s="26" t="str">
        <f>IF(OR(F1824 = "", G1824 = "", I1824 = ""), "", IF(F1824 = "Vara", IFERROR(_xlfn.SINGLE(_xlfn.XLOOKUP(G1824, Vöruskrá!A:A, Vöruskrá!N:N, "")) * I1824 / 100, ""), IF(F1824 = "Réttur", IFERROR(_xlfn.SINGLE(_xlfn.XLOOKUP(G1824, Réttabanki!A:A, Réttabanki!BB:BB, "")) * I1824 / 100, ""), "")))</f>
        <v/>
      </c>
    </row>
    <row r="1825" spans="2:17">
      <c r="B1825" s="33" t="str">
        <f>IF(A1825&lt;&gt;"",CHOOSE(WEEKDAY(A1825,2),"Mánudagur","Þriðjudagur","Miðvikudagur","Fimmtudagur","Föstudagur","Laugardagur","Sunnudagur"),IF(B1824&lt;&gt;"",B1824,""))</f>
        <v>Fimmtudagur</v>
      </c>
      <c r="C1825" s="33">
        <f>IF(A1825&lt;&gt;"",WEEKNUM(A1825,21),IF(C1824&lt;&gt;"",C1824,""))</f>
        <v>27</v>
      </c>
      <c r="D1825" s="34"/>
      <c r="E1825" s="34"/>
      <c r="F1825" s="34"/>
      <c r="G1825" s="34"/>
      <c r="H1825" s="34"/>
      <c r="I1825" s="35"/>
      <c r="J1825" s="35"/>
      <c r="K1825" s="36"/>
      <c r="L1825" s="26" t="str">
        <f>IF(OR(F1825 = "", G1825 = ""), "", IF(F1825 = "Vara", IFERROR(_xlfn.SINGLE(_xlfn.XLOOKUP(G1825, Vöruskrá!A:A, Vöruskrá!E:E, "")), ""), IF(F1825 = "Réttur", IFERROR(_xlfn.SINGLE(_xlfn.XLOOKUP(G1825, Réttabanki!A:A, Réttabanki!AS:AS, "")), ""), "")))</f>
        <v/>
      </c>
      <c r="M1825" s="26" t="str">
        <f>IF(OR(F1825 = "", G1825 = ""), "", IF(F1825 = "Vara", IFERROR(_xlfn.SINGLE(_xlfn.XLOOKUP(G1825, Vöruskrá!A:A, Vöruskrá!F:F, "")), ""), IF(F1825 = "Réttur", IFERROR(_xlfn.SINGLE(_xlfn.XLOOKUP(G1825, Réttabanki!A:A, Réttabanki!AT:AT, "")), ""), "")))</f>
        <v/>
      </c>
      <c r="N1825" s="26" t="str">
        <f>IF(OR(F1825 = "", G1825 = ""), "", IF(F1825 = "Vara", IFERROR(_xlfn.SINGLE(_xlfn.XLOOKUP(G1825, Vöruskrá!A:A, Vöruskrá!G:G, "")), ""), IF(F1825 = "Réttur", IFERROR(_xlfn.SINGLE(_xlfn.XLOOKUP(G1825, Réttabanki!A:A, Réttabanki!AU:AU, "")), ""), "")))</f>
        <v/>
      </c>
      <c r="O1825" s="26" t="str">
        <f>IF(OR(F1825 = "", G1825 = "", I1825 = ""), "", IF(F1825 = "Vara", IFERROR(_xlfn.SINGLE(_xlfn.XLOOKUP(G1825, Vöruskrá!A:A, Vöruskrá!I:I, "")) * I1825 / 100, ""), IF(F1825 = "Réttur", IFERROR(_xlfn.SINGLE(_xlfn.XLOOKUP(G1825, Réttabanki!A:A, Réttabanki!AV:AV, "")) * I1825 / 100, ""), "")))</f>
        <v/>
      </c>
      <c r="P1825" s="26" t="str">
        <f>IF(OR(F1825 = "", G1825 = "", I1825 = ""), "", IF(F1825 = "Vara", IFERROR(_xlfn.SINGLE(_xlfn.XLOOKUP(G1825, Vöruskrá!A:A, Vöruskrá!J:J, "")) * I1825 / 100, ""), IF(F1825 = "Réttur", IFERROR(_xlfn.SINGLE(_xlfn.XLOOKUP(G1825, Réttabanki!A:A, Réttabanki!AW:AW, "")) * I1825 / 100, ""), "")))</f>
        <v/>
      </c>
      <c r="Q1825" s="26" t="str">
        <f>IF(OR(F1825 = "", G1825 = "", I1825 = ""), "", IF(F1825 = "Vara", IFERROR(_xlfn.SINGLE(_xlfn.XLOOKUP(G1825, Vöruskrá!A:A, Vöruskrá!N:N, "")) * I1825 / 100, ""), IF(F1825 = "Réttur", IFERROR(_xlfn.SINGLE(_xlfn.XLOOKUP(G1825, Réttabanki!A:A, Réttabanki!BB:BB, "")) * I1825 / 100, ""), "")))</f>
        <v/>
      </c>
    </row>
    <row r="1826" spans="2:17">
      <c r="B1826" s="33" t="str">
        <f>IF(A1826&lt;&gt;"",CHOOSE(WEEKDAY(A1826,2),"Mánudagur","Þriðjudagur","Miðvikudagur","Fimmtudagur","Föstudagur","Laugardagur","Sunnudagur"),IF(B1825&lt;&gt;"",B1825,""))</f>
        <v>Fimmtudagur</v>
      </c>
      <c r="C1826" s="33">
        <f>IF(A1826&lt;&gt;"",WEEKNUM(A1826,21),IF(C1825&lt;&gt;"",C1825,""))</f>
        <v>27</v>
      </c>
      <c r="D1826" s="34"/>
      <c r="E1826" s="34"/>
      <c r="F1826" s="34"/>
      <c r="G1826" s="34"/>
      <c r="H1826" s="34"/>
      <c r="I1826" s="35"/>
      <c r="J1826" s="35"/>
      <c r="K1826" s="36"/>
      <c r="L1826" s="26" t="str">
        <f>IF(OR(F1826 = "", G1826 = ""), "", IF(F1826 = "Vara", IFERROR(_xlfn.SINGLE(_xlfn.XLOOKUP(G1826, Vöruskrá!A:A, Vöruskrá!E:E, "")), ""), IF(F1826 = "Réttur", IFERROR(_xlfn.SINGLE(_xlfn.XLOOKUP(G1826, Réttabanki!A:A, Réttabanki!AS:AS, "")), ""), "")))</f>
        <v/>
      </c>
      <c r="M1826" s="26" t="str">
        <f>IF(OR(F1826 = "", G1826 = ""), "", IF(F1826 = "Vara", IFERROR(_xlfn.SINGLE(_xlfn.XLOOKUP(G1826, Vöruskrá!A:A, Vöruskrá!F:F, "")), ""), IF(F1826 = "Réttur", IFERROR(_xlfn.SINGLE(_xlfn.XLOOKUP(G1826, Réttabanki!A:A, Réttabanki!AT:AT, "")), ""), "")))</f>
        <v/>
      </c>
      <c r="N1826" s="26" t="str">
        <f>IF(OR(F1826 = "", G1826 = ""), "", IF(F1826 = "Vara", IFERROR(_xlfn.SINGLE(_xlfn.XLOOKUP(G1826, Vöruskrá!A:A, Vöruskrá!G:G, "")), ""), IF(F1826 = "Réttur", IFERROR(_xlfn.SINGLE(_xlfn.XLOOKUP(G1826, Réttabanki!A:A, Réttabanki!AU:AU, "")), ""), "")))</f>
        <v/>
      </c>
      <c r="O1826" s="26" t="str">
        <f>IF(OR(F1826 = "", G1826 = "", I1826 = ""), "", IF(F1826 = "Vara", IFERROR(_xlfn.SINGLE(_xlfn.XLOOKUP(G1826, Vöruskrá!A:A, Vöruskrá!I:I, "")) * I1826 / 100, ""), IF(F1826 = "Réttur", IFERROR(_xlfn.SINGLE(_xlfn.XLOOKUP(G1826, Réttabanki!A:A, Réttabanki!AV:AV, "")) * I1826 / 100, ""), "")))</f>
        <v/>
      </c>
      <c r="P1826" s="26" t="str">
        <f>IF(OR(F1826 = "", G1826 = "", I1826 = ""), "", IF(F1826 = "Vara", IFERROR(_xlfn.SINGLE(_xlfn.XLOOKUP(G1826, Vöruskrá!A:A, Vöruskrá!J:J, "")) * I1826 / 100, ""), IF(F1826 = "Réttur", IFERROR(_xlfn.SINGLE(_xlfn.XLOOKUP(G1826, Réttabanki!A:A, Réttabanki!AW:AW, "")) * I1826 / 100, ""), "")))</f>
        <v/>
      </c>
      <c r="Q1826" s="26" t="str">
        <f>IF(OR(F1826 = "", G1826 = "", I1826 = ""), "", IF(F1826 = "Vara", IFERROR(_xlfn.SINGLE(_xlfn.XLOOKUP(G1826, Vöruskrá!A:A, Vöruskrá!N:N, "")) * I1826 / 100, ""), IF(F1826 = "Réttur", IFERROR(_xlfn.SINGLE(_xlfn.XLOOKUP(G1826, Réttabanki!A:A, Réttabanki!BB:BB, "")) * I1826 / 100, ""), "")))</f>
        <v/>
      </c>
    </row>
    <row r="1827" spans="2:17">
      <c r="B1827" s="33" t="str">
        <f>IF(A1827&lt;&gt;"",CHOOSE(WEEKDAY(A1827,2),"Mánudagur","Þriðjudagur","Miðvikudagur","Fimmtudagur","Föstudagur","Laugardagur","Sunnudagur"),IF(B1826&lt;&gt;"",B1826,""))</f>
        <v>Fimmtudagur</v>
      </c>
      <c r="C1827" s="33">
        <f>IF(A1827&lt;&gt;"",WEEKNUM(A1827,21),IF(C1826&lt;&gt;"",C1826,""))</f>
        <v>27</v>
      </c>
      <c r="D1827" s="34"/>
      <c r="E1827" s="34"/>
      <c r="F1827" s="34"/>
      <c r="G1827" s="34"/>
      <c r="H1827" s="34"/>
      <c r="I1827" s="35"/>
      <c r="J1827" s="35"/>
      <c r="K1827" s="36"/>
      <c r="L1827" s="26" t="str">
        <f>IF(OR(F1827 = "", G1827 = ""), "", IF(F1827 = "Vara", IFERROR(_xlfn.SINGLE(_xlfn.XLOOKUP(G1827, Vöruskrá!A:A, Vöruskrá!E:E, "")), ""), IF(F1827 = "Réttur", IFERROR(_xlfn.SINGLE(_xlfn.XLOOKUP(G1827, Réttabanki!A:A, Réttabanki!AS:AS, "")), ""), "")))</f>
        <v/>
      </c>
      <c r="M1827" s="26" t="str">
        <f>IF(OR(F1827 = "", G1827 = ""), "", IF(F1827 = "Vara", IFERROR(_xlfn.SINGLE(_xlfn.XLOOKUP(G1827, Vöruskrá!A:A, Vöruskrá!F:F, "")), ""), IF(F1827 = "Réttur", IFERROR(_xlfn.SINGLE(_xlfn.XLOOKUP(G1827, Réttabanki!A:A, Réttabanki!AT:AT, "")), ""), "")))</f>
        <v/>
      </c>
      <c r="N1827" s="26" t="str">
        <f>IF(OR(F1827 = "", G1827 = ""), "", IF(F1827 = "Vara", IFERROR(_xlfn.SINGLE(_xlfn.XLOOKUP(G1827, Vöruskrá!A:A, Vöruskrá!G:G, "")), ""), IF(F1827 = "Réttur", IFERROR(_xlfn.SINGLE(_xlfn.XLOOKUP(G1827, Réttabanki!A:A, Réttabanki!AU:AU, "")), ""), "")))</f>
        <v/>
      </c>
      <c r="O1827" s="26" t="str">
        <f>IF(OR(F1827 = "", G1827 = "", I1827 = ""), "", IF(F1827 = "Vara", IFERROR(_xlfn.SINGLE(_xlfn.XLOOKUP(G1827, Vöruskrá!A:A, Vöruskrá!I:I, "")) * I1827 / 100, ""), IF(F1827 = "Réttur", IFERROR(_xlfn.SINGLE(_xlfn.XLOOKUP(G1827, Réttabanki!A:A, Réttabanki!AV:AV, "")) * I1827 / 100, ""), "")))</f>
        <v/>
      </c>
      <c r="P1827" s="26" t="str">
        <f>IF(OR(F1827 = "", G1827 = "", I1827 = ""), "", IF(F1827 = "Vara", IFERROR(_xlfn.SINGLE(_xlfn.XLOOKUP(G1827, Vöruskrá!A:A, Vöruskrá!J:J, "")) * I1827 / 100, ""), IF(F1827 = "Réttur", IFERROR(_xlfn.SINGLE(_xlfn.XLOOKUP(G1827, Réttabanki!A:A, Réttabanki!AW:AW, "")) * I1827 / 100, ""), "")))</f>
        <v/>
      </c>
      <c r="Q1827" s="26" t="str">
        <f>IF(OR(F1827 = "", G1827 = "", I1827 = ""), "", IF(F1827 = "Vara", IFERROR(_xlfn.SINGLE(_xlfn.XLOOKUP(G1827, Vöruskrá!A:A, Vöruskrá!N:N, "")) * I1827 / 100, ""), IF(F1827 = "Réttur", IFERROR(_xlfn.SINGLE(_xlfn.XLOOKUP(G1827, Réttabanki!A:A, Réttabanki!BB:BB, "")) * I1827 / 100, ""), "")))</f>
        <v/>
      </c>
    </row>
    <row r="1828" spans="2:17">
      <c r="B1828" s="33" t="str">
        <f>IF(A1828&lt;&gt;"",CHOOSE(WEEKDAY(A1828,2),"Mánudagur","Þriðjudagur","Miðvikudagur","Fimmtudagur","Föstudagur","Laugardagur","Sunnudagur"),IF(B1827&lt;&gt;"",B1827,""))</f>
        <v>Fimmtudagur</v>
      </c>
      <c r="C1828" s="33">
        <f>IF(A1828&lt;&gt;"",WEEKNUM(A1828,21),IF(C1827&lt;&gt;"",C1827,""))</f>
        <v>27</v>
      </c>
      <c r="D1828" s="34"/>
      <c r="E1828" s="34"/>
      <c r="F1828" s="34"/>
      <c r="G1828" s="34"/>
      <c r="H1828" s="34"/>
      <c r="I1828" s="35"/>
      <c r="J1828" s="35"/>
      <c r="K1828" s="36"/>
      <c r="L1828" s="26" t="str">
        <f>IF(OR(F1828 = "", G1828 = ""), "", IF(F1828 = "Vara", IFERROR(_xlfn.SINGLE(_xlfn.XLOOKUP(G1828, Vöruskrá!A:A, Vöruskrá!E:E, "")), ""), IF(F1828 = "Réttur", IFERROR(_xlfn.SINGLE(_xlfn.XLOOKUP(G1828, Réttabanki!A:A, Réttabanki!AS:AS, "")), ""), "")))</f>
        <v/>
      </c>
      <c r="M1828" s="26" t="str">
        <f>IF(OR(F1828 = "", G1828 = ""), "", IF(F1828 = "Vara", IFERROR(_xlfn.SINGLE(_xlfn.XLOOKUP(G1828, Vöruskrá!A:A, Vöruskrá!F:F, "")), ""), IF(F1828 = "Réttur", IFERROR(_xlfn.SINGLE(_xlfn.XLOOKUP(G1828, Réttabanki!A:A, Réttabanki!AT:AT, "")), ""), "")))</f>
        <v/>
      </c>
      <c r="N1828" s="26" t="str">
        <f>IF(OR(F1828 = "", G1828 = ""), "", IF(F1828 = "Vara", IFERROR(_xlfn.SINGLE(_xlfn.XLOOKUP(G1828, Vöruskrá!A:A, Vöruskrá!G:G, "")), ""), IF(F1828 = "Réttur", IFERROR(_xlfn.SINGLE(_xlfn.XLOOKUP(G1828, Réttabanki!A:A, Réttabanki!AU:AU, "")), ""), "")))</f>
        <v/>
      </c>
      <c r="O1828" s="26" t="str">
        <f>IF(OR(F1828 = "", G1828 = "", I1828 = ""), "", IF(F1828 = "Vara", IFERROR(_xlfn.SINGLE(_xlfn.XLOOKUP(G1828, Vöruskrá!A:A, Vöruskrá!I:I, "")) * I1828 / 100, ""), IF(F1828 = "Réttur", IFERROR(_xlfn.SINGLE(_xlfn.XLOOKUP(G1828, Réttabanki!A:A, Réttabanki!AV:AV, "")) * I1828 / 100, ""), "")))</f>
        <v/>
      </c>
      <c r="P1828" s="26" t="str">
        <f>IF(OR(F1828 = "", G1828 = "", I1828 = ""), "", IF(F1828 = "Vara", IFERROR(_xlfn.SINGLE(_xlfn.XLOOKUP(G1828, Vöruskrá!A:A, Vöruskrá!J:J, "")) * I1828 / 100, ""), IF(F1828 = "Réttur", IFERROR(_xlfn.SINGLE(_xlfn.XLOOKUP(G1828, Réttabanki!A:A, Réttabanki!AW:AW, "")) * I1828 / 100, ""), "")))</f>
        <v/>
      </c>
      <c r="Q1828" s="26" t="str">
        <f>IF(OR(F1828 = "", G1828 = "", I1828 = ""), "", IF(F1828 = "Vara", IFERROR(_xlfn.SINGLE(_xlfn.XLOOKUP(G1828, Vöruskrá!A:A, Vöruskrá!N:N, "")) * I1828 / 100, ""), IF(F1828 = "Réttur", IFERROR(_xlfn.SINGLE(_xlfn.XLOOKUP(G1828, Réttabanki!A:A, Réttabanki!BB:BB, "")) * I1828 / 100, ""), "")))</f>
        <v/>
      </c>
    </row>
    <row r="1829" spans="2:17">
      <c r="B1829" s="33" t="str">
        <f>IF(A1829&lt;&gt;"",CHOOSE(WEEKDAY(A1829,2),"Mánudagur","Þriðjudagur","Miðvikudagur","Fimmtudagur","Föstudagur","Laugardagur","Sunnudagur"),IF(B1828&lt;&gt;"",B1828,""))</f>
        <v>Fimmtudagur</v>
      </c>
      <c r="C1829" s="33">
        <f>IF(A1829&lt;&gt;"",WEEKNUM(A1829,21),IF(C1828&lt;&gt;"",C1828,""))</f>
        <v>27</v>
      </c>
      <c r="D1829" s="34"/>
      <c r="E1829" s="34"/>
      <c r="F1829" s="34"/>
      <c r="G1829" s="34"/>
      <c r="H1829" s="34"/>
      <c r="I1829" s="35"/>
      <c r="J1829" s="35"/>
      <c r="K1829" s="36"/>
      <c r="L1829" s="26" t="str">
        <f>IF(OR(F1829 = "", G1829 = ""), "", IF(F1829 = "Vara", IFERROR(_xlfn.SINGLE(_xlfn.XLOOKUP(G1829, Vöruskrá!A:A, Vöruskrá!E:E, "")), ""), IF(F1829 = "Réttur", IFERROR(_xlfn.SINGLE(_xlfn.XLOOKUP(G1829, Réttabanki!A:A, Réttabanki!AS:AS, "")), ""), "")))</f>
        <v/>
      </c>
      <c r="M1829" s="26" t="str">
        <f>IF(OR(F1829 = "", G1829 = ""), "", IF(F1829 = "Vara", IFERROR(_xlfn.SINGLE(_xlfn.XLOOKUP(G1829, Vöruskrá!A:A, Vöruskrá!F:F, "")), ""), IF(F1829 = "Réttur", IFERROR(_xlfn.SINGLE(_xlfn.XLOOKUP(G1829, Réttabanki!A:A, Réttabanki!AT:AT, "")), ""), "")))</f>
        <v/>
      </c>
      <c r="N1829" s="26" t="str">
        <f>IF(OR(F1829 = "", G1829 = ""), "", IF(F1829 = "Vara", IFERROR(_xlfn.SINGLE(_xlfn.XLOOKUP(G1829, Vöruskrá!A:A, Vöruskrá!G:G, "")), ""), IF(F1829 = "Réttur", IFERROR(_xlfn.SINGLE(_xlfn.XLOOKUP(G1829, Réttabanki!A:A, Réttabanki!AU:AU, "")), ""), "")))</f>
        <v/>
      </c>
      <c r="O1829" s="26" t="str">
        <f>IF(OR(F1829 = "", G1829 = "", I1829 = ""), "", IF(F1829 = "Vara", IFERROR(_xlfn.SINGLE(_xlfn.XLOOKUP(G1829, Vöruskrá!A:A, Vöruskrá!I:I, "")) * I1829 / 100, ""), IF(F1829 = "Réttur", IFERROR(_xlfn.SINGLE(_xlfn.XLOOKUP(G1829, Réttabanki!A:A, Réttabanki!AV:AV, "")) * I1829 / 100, ""), "")))</f>
        <v/>
      </c>
      <c r="P1829" s="26" t="str">
        <f>IF(OR(F1829 = "", G1829 = "", I1829 = ""), "", IF(F1829 = "Vara", IFERROR(_xlfn.SINGLE(_xlfn.XLOOKUP(G1829, Vöruskrá!A:A, Vöruskrá!J:J, "")) * I1829 / 100, ""), IF(F1829 = "Réttur", IFERROR(_xlfn.SINGLE(_xlfn.XLOOKUP(G1829, Réttabanki!A:A, Réttabanki!AW:AW, "")) * I1829 / 100, ""), "")))</f>
        <v/>
      </c>
      <c r="Q1829" s="26" t="str">
        <f>IF(OR(F1829 = "", G1829 = "", I1829 = ""), "", IF(F1829 = "Vara", IFERROR(_xlfn.SINGLE(_xlfn.XLOOKUP(G1829, Vöruskrá!A:A, Vöruskrá!N:N, "")) * I1829 / 100, ""), IF(F1829 = "Réttur", IFERROR(_xlfn.SINGLE(_xlfn.XLOOKUP(G1829, Réttabanki!A:A, Réttabanki!BB:BB, "")) * I1829 / 100, ""), "")))</f>
        <v/>
      </c>
    </row>
    <row r="1830" spans="2:17">
      <c r="B1830" s="33" t="str">
        <f>IF(A1830&lt;&gt;"",CHOOSE(WEEKDAY(A1830,2),"Mánudagur","Þriðjudagur","Miðvikudagur","Fimmtudagur","Föstudagur","Laugardagur","Sunnudagur"),IF(B1829&lt;&gt;"",B1829,""))</f>
        <v>Fimmtudagur</v>
      </c>
      <c r="C1830" s="33">
        <f>IF(A1830&lt;&gt;"",WEEKNUM(A1830,21),IF(C1829&lt;&gt;"",C1829,""))</f>
        <v>27</v>
      </c>
      <c r="D1830" s="34"/>
      <c r="E1830" s="34"/>
      <c r="F1830" s="34"/>
      <c r="G1830" s="34"/>
      <c r="H1830" s="34"/>
      <c r="I1830" s="35"/>
      <c r="J1830" s="35"/>
      <c r="K1830" s="36"/>
      <c r="L1830" s="26" t="str">
        <f>IF(OR(F1830 = "", G1830 = ""), "", IF(F1830 = "Vara", IFERROR(_xlfn.SINGLE(_xlfn.XLOOKUP(G1830, Vöruskrá!A:A, Vöruskrá!E:E, "")), ""), IF(F1830 = "Réttur", IFERROR(_xlfn.SINGLE(_xlfn.XLOOKUP(G1830, Réttabanki!A:A, Réttabanki!AS:AS, "")), ""), "")))</f>
        <v/>
      </c>
      <c r="M1830" s="26" t="str">
        <f>IF(OR(F1830 = "", G1830 = ""), "", IF(F1830 = "Vara", IFERROR(_xlfn.SINGLE(_xlfn.XLOOKUP(G1830, Vöruskrá!A:A, Vöruskrá!F:F, "")), ""), IF(F1830 = "Réttur", IFERROR(_xlfn.SINGLE(_xlfn.XLOOKUP(G1830, Réttabanki!A:A, Réttabanki!AT:AT, "")), ""), "")))</f>
        <v/>
      </c>
      <c r="N1830" s="26" t="str">
        <f>IF(OR(F1830 = "", G1830 = ""), "", IF(F1830 = "Vara", IFERROR(_xlfn.SINGLE(_xlfn.XLOOKUP(G1830, Vöruskrá!A:A, Vöruskrá!G:G, "")), ""), IF(F1830 = "Réttur", IFERROR(_xlfn.SINGLE(_xlfn.XLOOKUP(G1830, Réttabanki!A:A, Réttabanki!AU:AU, "")), ""), "")))</f>
        <v/>
      </c>
      <c r="O1830" s="26" t="str">
        <f>IF(OR(F1830 = "", G1830 = "", I1830 = ""), "", IF(F1830 = "Vara", IFERROR(_xlfn.SINGLE(_xlfn.XLOOKUP(G1830, Vöruskrá!A:A, Vöruskrá!I:I, "")) * I1830 / 100, ""), IF(F1830 = "Réttur", IFERROR(_xlfn.SINGLE(_xlfn.XLOOKUP(G1830, Réttabanki!A:A, Réttabanki!AV:AV, "")) * I1830 / 100, ""), "")))</f>
        <v/>
      </c>
      <c r="P1830" s="26" t="str">
        <f>IF(OR(F1830 = "", G1830 = "", I1830 = ""), "", IF(F1830 = "Vara", IFERROR(_xlfn.SINGLE(_xlfn.XLOOKUP(G1830, Vöruskrá!A:A, Vöruskrá!J:J, "")) * I1830 / 100, ""), IF(F1830 = "Réttur", IFERROR(_xlfn.SINGLE(_xlfn.XLOOKUP(G1830, Réttabanki!A:A, Réttabanki!AW:AW, "")) * I1830 / 100, ""), "")))</f>
        <v/>
      </c>
      <c r="Q1830" s="26" t="str">
        <f>IF(OR(F1830 = "", G1830 = "", I1830 = ""), "", IF(F1830 = "Vara", IFERROR(_xlfn.SINGLE(_xlfn.XLOOKUP(G1830, Vöruskrá!A:A, Vöruskrá!N:N, "")) * I1830 / 100, ""), IF(F1830 = "Réttur", IFERROR(_xlfn.SINGLE(_xlfn.XLOOKUP(G1830, Réttabanki!A:A, Réttabanki!BB:BB, "")) * I1830 / 100, ""), "")))</f>
        <v/>
      </c>
    </row>
    <row r="1831" spans="2:17">
      <c r="B1831" s="33" t="str">
        <f>IF(A1831&lt;&gt;"",CHOOSE(WEEKDAY(A1831,2),"Mánudagur","Þriðjudagur","Miðvikudagur","Fimmtudagur","Föstudagur","Laugardagur","Sunnudagur"),IF(B1830&lt;&gt;"",B1830,""))</f>
        <v>Fimmtudagur</v>
      </c>
      <c r="C1831" s="33">
        <f>IF(A1831&lt;&gt;"",WEEKNUM(A1831,21),IF(C1830&lt;&gt;"",C1830,""))</f>
        <v>27</v>
      </c>
      <c r="D1831" s="34"/>
      <c r="E1831" s="34"/>
      <c r="F1831" s="34"/>
      <c r="G1831" s="34"/>
      <c r="H1831" s="34"/>
      <c r="I1831" s="35"/>
      <c r="J1831" s="35"/>
      <c r="K1831" s="36"/>
      <c r="L1831" s="26" t="str">
        <f>IF(OR(F1831 = "", G1831 = ""), "", IF(F1831 = "Vara", IFERROR(_xlfn.SINGLE(_xlfn.XLOOKUP(G1831, Vöruskrá!A:A, Vöruskrá!E:E, "")), ""), IF(F1831 = "Réttur", IFERROR(_xlfn.SINGLE(_xlfn.XLOOKUP(G1831, Réttabanki!A:A, Réttabanki!AS:AS, "")), ""), "")))</f>
        <v/>
      </c>
      <c r="M1831" s="26" t="str">
        <f>IF(OR(F1831 = "", G1831 = ""), "", IF(F1831 = "Vara", IFERROR(_xlfn.SINGLE(_xlfn.XLOOKUP(G1831, Vöruskrá!A:A, Vöruskrá!F:F, "")), ""), IF(F1831 = "Réttur", IFERROR(_xlfn.SINGLE(_xlfn.XLOOKUP(G1831, Réttabanki!A:A, Réttabanki!AT:AT, "")), ""), "")))</f>
        <v/>
      </c>
      <c r="N1831" s="26" t="str">
        <f>IF(OR(F1831 = "", G1831 = ""), "", IF(F1831 = "Vara", IFERROR(_xlfn.SINGLE(_xlfn.XLOOKUP(G1831, Vöruskrá!A:A, Vöruskrá!G:G, "")), ""), IF(F1831 = "Réttur", IFERROR(_xlfn.SINGLE(_xlfn.XLOOKUP(G1831, Réttabanki!A:A, Réttabanki!AU:AU, "")), ""), "")))</f>
        <v/>
      </c>
      <c r="O1831" s="26" t="str">
        <f>IF(OR(F1831 = "", G1831 = "", I1831 = ""), "", IF(F1831 = "Vara", IFERROR(_xlfn.SINGLE(_xlfn.XLOOKUP(G1831, Vöruskrá!A:A, Vöruskrá!I:I, "")) * I1831 / 100, ""), IF(F1831 = "Réttur", IFERROR(_xlfn.SINGLE(_xlfn.XLOOKUP(G1831, Réttabanki!A:A, Réttabanki!AV:AV, "")) * I1831 / 100, ""), "")))</f>
        <v/>
      </c>
      <c r="P1831" s="26" t="str">
        <f>IF(OR(F1831 = "", G1831 = "", I1831 = ""), "", IF(F1831 = "Vara", IFERROR(_xlfn.SINGLE(_xlfn.XLOOKUP(G1831, Vöruskrá!A:A, Vöruskrá!J:J, "")) * I1831 / 100, ""), IF(F1831 = "Réttur", IFERROR(_xlfn.SINGLE(_xlfn.XLOOKUP(G1831, Réttabanki!A:A, Réttabanki!AW:AW, "")) * I1831 / 100, ""), "")))</f>
        <v/>
      </c>
      <c r="Q1831" s="26" t="str">
        <f>IF(OR(F1831 = "", G1831 = "", I1831 = ""), "", IF(F1831 = "Vara", IFERROR(_xlfn.SINGLE(_xlfn.XLOOKUP(G1831, Vöruskrá!A:A, Vöruskrá!N:N, "")) * I1831 / 100, ""), IF(F1831 = "Réttur", IFERROR(_xlfn.SINGLE(_xlfn.XLOOKUP(G1831, Réttabanki!A:A, Réttabanki!BB:BB, "")) * I1831 / 100, ""), "")))</f>
        <v/>
      </c>
    </row>
    <row r="1832" spans="2:17">
      <c r="B1832" s="33" t="str">
        <f>IF(A1832&lt;&gt;"",CHOOSE(WEEKDAY(A1832,2),"Mánudagur","Þriðjudagur","Miðvikudagur","Fimmtudagur","Föstudagur","Laugardagur","Sunnudagur"),IF(B1831&lt;&gt;"",B1831,""))</f>
        <v>Fimmtudagur</v>
      </c>
      <c r="C1832" s="33">
        <f>IF(A1832&lt;&gt;"",WEEKNUM(A1832,21),IF(C1831&lt;&gt;"",C1831,""))</f>
        <v>27</v>
      </c>
      <c r="D1832" s="34"/>
      <c r="E1832" s="34"/>
      <c r="F1832" s="34"/>
      <c r="G1832" s="34"/>
      <c r="H1832" s="34"/>
      <c r="I1832" s="35"/>
      <c r="J1832" s="35"/>
      <c r="K1832" s="36"/>
      <c r="L1832" s="26" t="str">
        <f>IF(OR(F1832 = "", G1832 = ""), "", IF(F1832 = "Vara", IFERROR(_xlfn.SINGLE(_xlfn.XLOOKUP(G1832, Vöruskrá!A:A, Vöruskrá!E:E, "")), ""), IF(F1832 = "Réttur", IFERROR(_xlfn.SINGLE(_xlfn.XLOOKUP(G1832, Réttabanki!A:A, Réttabanki!AS:AS, "")), ""), "")))</f>
        <v/>
      </c>
      <c r="M1832" s="26" t="str">
        <f>IF(OR(F1832 = "", G1832 = ""), "", IF(F1832 = "Vara", IFERROR(_xlfn.SINGLE(_xlfn.XLOOKUP(G1832, Vöruskrá!A:A, Vöruskrá!F:F, "")), ""), IF(F1832 = "Réttur", IFERROR(_xlfn.SINGLE(_xlfn.XLOOKUP(G1832, Réttabanki!A:A, Réttabanki!AT:AT, "")), ""), "")))</f>
        <v/>
      </c>
      <c r="N1832" s="26" t="str">
        <f>IF(OR(F1832 = "", G1832 = ""), "", IF(F1832 = "Vara", IFERROR(_xlfn.SINGLE(_xlfn.XLOOKUP(G1832, Vöruskrá!A:A, Vöruskrá!G:G, "")), ""), IF(F1832 = "Réttur", IFERROR(_xlfn.SINGLE(_xlfn.XLOOKUP(G1832, Réttabanki!A:A, Réttabanki!AU:AU, "")), ""), "")))</f>
        <v/>
      </c>
      <c r="O1832" s="26" t="str">
        <f>IF(OR(F1832 = "", G1832 = "", I1832 = ""), "", IF(F1832 = "Vara", IFERROR(_xlfn.SINGLE(_xlfn.XLOOKUP(G1832, Vöruskrá!A:A, Vöruskrá!I:I, "")) * I1832 / 100, ""), IF(F1832 = "Réttur", IFERROR(_xlfn.SINGLE(_xlfn.XLOOKUP(G1832, Réttabanki!A:A, Réttabanki!AV:AV, "")) * I1832 / 100, ""), "")))</f>
        <v/>
      </c>
      <c r="P1832" s="26" t="str">
        <f>IF(OR(F1832 = "", G1832 = "", I1832 = ""), "", IF(F1832 = "Vara", IFERROR(_xlfn.SINGLE(_xlfn.XLOOKUP(G1832, Vöruskrá!A:A, Vöruskrá!J:J, "")) * I1832 / 100, ""), IF(F1832 = "Réttur", IFERROR(_xlfn.SINGLE(_xlfn.XLOOKUP(G1832, Réttabanki!A:A, Réttabanki!AW:AW, "")) * I1832 / 100, ""), "")))</f>
        <v/>
      </c>
      <c r="Q1832" s="26" t="str">
        <f>IF(OR(F1832 = "", G1832 = "", I1832 = ""), "", IF(F1832 = "Vara", IFERROR(_xlfn.SINGLE(_xlfn.XLOOKUP(G1832, Vöruskrá!A:A, Vöruskrá!N:N, "")) * I1832 / 100, ""), IF(F1832 = "Réttur", IFERROR(_xlfn.SINGLE(_xlfn.XLOOKUP(G1832, Réttabanki!A:A, Réttabanki!BB:BB, "")) * I1832 / 100, ""), "")))</f>
        <v/>
      </c>
    </row>
    <row r="1833" spans="2:17">
      <c r="B1833" s="33" t="str">
        <f>IF(A1833&lt;&gt;"",CHOOSE(WEEKDAY(A1833,2),"Mánudagur","Þriðjudagur","Miðvikudagur","Fimmtudagur","Föstudagur","Laugardagur","Sunnudagur"),IF(B1832&lt;&gt;"",B1832,""))</f>
        <v>Fimmtudagur</v>
      </c>
      <c r="C1833" s="33">
        <f>IF(A1833&lt;&gt;"",WEEKNUM(A1833,21),IF(C1832&lt;&gt;"",C1832,""))</f>
        <v>27</v>
      </c>
      <c r="D1833" s="34"/>
      <c r="E1833" s="34"/>
      <c r="F1833" s="34"/>
      <c r="G1833" s="34"/>
      <c r="H1833" s="34"/>
      <c r="I1833" s="35"/>
      <c r="J1833" s="35"/>
      <c r="K1833" s="36"/>
      <c r="L1833" s="26" t="str">
        <f>IF(OR(F1833 = "", G1833 = ""), "", IF(F1833 = "Vara", IFERROR(_xlfn.SINGLE(_xlfn.XLOOKUP(G1833, Vöruskrá!A:A, Vöruskrá!E:E, "")), ""), IF(F1833 = "Réttur", IFERROR(_xlfn.SINGLE(_xlfn.XLOOKUP(G1833, Réttabanki!A:A, Réttabanki!AS:AS, "")), ""), "")))</f>
        <v/>
      </c>
      <c r="M1833" s="26" t="str">
        <f>IF(OR(F1833 = "", G1833 = ""), "", IF(F1833 = "Vara", IFERROR(_xlfn.SINGLE(_xlfn.XLOOKUP(G1833, Vöruskrá!A:A, Vöruskrá!F:F, "")), ""), IF(F1833 = "Réttur", IFERROR(_xlfn.SINGLE(_xlfn.XLOOKUP(G1833, Réttabanki!A:A, Réttabanki!AT:AT, "")), ""), "")))</f>
        <v/>
      </c>
      <c r="N1833" s="26" t="str">
        <f>IF(OR(F1833 = "", G1833 = ""), "", IF(F1833 = "Vara", IFERROR(_xlfn.SINGLE(_xlfn.XLOOKUP(G1833, Vöruskrá!A:A, Vöruskrá!G:G, "")), ""), IF(F1833 = "Réttur", IFERROR(_xlfn.SINGLE(_xlfn.XLOOKUP(G1833, Réttabanki!A:A, Réttabanki!AU:AU, "")), ""), "")))</f>
        <v/>
      </c>
      <c r="O1833" s="26" t="str">
        <f>IF(OR(F1833 = "", G1833 = "", I1833 = ""), "", IF(F1833 = "Vara", IFERROR(_xlfn.SINGLE(_xlfn.XLOOKUP(G1833, Vöruskrá!A:A, Vöruskrá!I:I, "")) * I1833 / 100, ""), IF(F1833 = "Réttur", IFERROR(_xlfn.SINGLE(_xlfn.XLOOKUP(G1833, Réttabanki!A:A, Réttabanki!AV:AV, "")) * I1833 / 100, ""), "")))</f>
        <v/>
      </c>
      <c r="P1833" s="26" t="str">
        <f>IF(OR(F1833 = "", G1833 = "", I1833 = ""), "", IF(F1833 = "Vara", IFERROR(_xlfn.SINGLE(_xlfn.XLOOKUP(G1833, Vöruskrá!A:A, Vöruskrá!J:J, "")) * I1833 / 100, ""), IF(F1833 = "Réttur", IFERROR(_xlfn.SINGLE(_xlfn.XLOOKUP(G1833, Réttabanki!A:A, Réttabanki!AW:AW, "")) * I1833 / 100, ""), "")))</f>
        <v/>
      </c>
      <c r="Q1833" s="26" t="str">
        <f>IF(OR(F1833 = "", G1833 = "", I1833 = ""), "", IF(F1833 = "Vara", IFERROR(_xlfn.SINGLE(_xlfn.XLOOKUP(G1833, Vöruskrá!A:A, Vöruskrá!N:N, "")) * I1833 / 100, ""), IF(F1833 = "Réttur", IFERROR(_xlfn.SINGLE(_xlfn.XLOOKUP(G1833, Réttabanki!A:A, Réttabanki!BB:BB, "")) * I1833 / 100, ""), "")))</f>
        <v/>
      </c>
    </row>
    <row r="1834" spans="2:17">
      <c r="B1834" s="33" t="str">
        <f>IF(A1834&lt;&gt;"",CHOOSE(WEEKDAY(A1834,2),"Mánudagur","Þriðjudagur","Miðvikudagur","Fimmtudagur","Föstudagur","Laugardagur","Sunnudagur"),IF(B1833&lt;&gt;"",B1833,""))</f>
        <v>Fimmtudagur</v>
      </c>
      <c r="C1834" s="33">
        <f>IF(A1834&lt;&gt;"",WEEKNUM(A1834,21),IF(C1833&lt;&gt;"",C1833,""))</f>
        <v>27</v>
      </c>
      <c r="D1834" s="34"/>
      <c r="E1834" s="34"/>
      <c r="F1834" s="34"/>
      <c r="G1834" s="34"/>
      <c r="H1834" s="34"/>
      <c r="I1834" s="35"/>
      <c r="J1834" s="35"/>
      <c r="K1834" s="36"/>
      <c r="L1834" s="26" t="str">
        <f>IF(OR(F1834 = "", G1834 = ""), "", IF(F1834 = "Vara", IFERROR(_xlfn.SINGLE(_xlfn.XLOOKUP(G1834, Vöruskrá!A:A, Vöruskrá!E:E, "")), ""), IF(F1834 = "Réttur", IFERROR(_xlfn.SINGLE(_xlfn.XLOOKUP(G1834, Réttabanki!A:A, Réttabanki!AS:AS, "")), ""), "")))</f>
        <v/>
      </c>
      <c r="M1834" s="26" t="str">
        <f>IF(OR(F1834 = "", G1834 = ""), "", IF(F1834 = "Vara", IFERROR(_xlfn.SINGLE(_xlfn.XLOOKUP(G1834, Vöruskrá!A:A, Vöruskrá!F:F, "")), ""), IF(F1834 = "Réttur", IFERROR(_xlfn.SINGLE(_xlfn.XLOOKUP(G1834, Réttabanki!A:A, Réttabanki!AT:AT, "")), ""), "")))</f>
        <v/>
      </c>
      <c r="N1834" s="26" t="str">
        <f>IF(OR(F1834 = "", G1834 = ""), "", IF(F1834 = "Vara", IFERROR(_xlfn.SINGLE(_xlfn.XLOOKUP(G1834, Vöruskrá!A:A, Vöruskrá!G:G, "")), ""), IF(F1834 = "Réttur", IFERROR(_xlfn.SINGLE(_xlfn.XLOOKUP(G1834, Réttabanki!A:A, Réttabanki!AU:AU, "")), ""), "")))</f>
        <v/>
      </c>
      <c r="O1834" s="26" t="str">
        <f>IF(OR(F1834 = "", G1834 = "", I1834 = ""), "", IF(F1834 = "Vara", IFERROR(_xlfn.SINGLE(_xlfn.XLOOKUP(G1834, Vöruskrá!A:A, Vöruskrá!I:I, "")) * I1834 / 100, ""), IF(F1834 = "Réttur", IFERROR(_xlfn.SINGLE(_xlfn.XLOOKUP(G1834, Réttabanki!A:A, Réttabanki!AV:AV, "")) * I1834 / 100, ""), "")))</f>
        <v/>
      </c>
      <c r="P1834" s="26" t="str">
        <f>IF(OR(F1834 = "", G1834 = "", I1834 = ""), "", IF(F1834 = "Vara", IFERROR(_xlfn.SINGLE(_xlfn.XLOOKUP(G1834, Vöruskrá!A:A, Vöruskrá!J:J, "")) * I1834 / 100, ""), IF(F1834 = "Réttur", IFERROR(_xlfn.SINGLE(_xlfn.XLOOKUP(G1834, Réttabanki!A:A, Réttabanki!AW:AW, "")) * I1834 / 100, ""), "")))</f>
        <v/>
      </c>
      <c r="Q1834" s="26" t="str">
        <f>IF(OR(F1834 = "", G1834 = "", I1834 = ""), "", IF(F1834 = "Vara", IFERROR(_xlfn.SINGLE(_xlfn.XLOOKUP(G1834, Vöruskrá!A:A, Vöruskrá!N:N, "")) * I1834 / 100, ""), IF(F1834 = "Réttur", IFERROR(_xlfn.SINGLE(_xlfn.XLOOKUP(G1834, Réttabanki!A:A, Réttabanki!BB:BB, "")) * I1834 / 100, ""), "")))</f>
        <v/>
      </c>
    </row>
    <row r="1835" spans="2:17">
      <c r="B1835" s="33" t="str">
        <f>IF(A1835&lt;&gt;"",CHOOSE(WEEKDAY(A1835,2),"Mánudagur","Þriðjudagur","Miðvikudagur","Fimmtudagur","Föstudagur","Laugardagur","Sunnudagur"),IF(B1834&lt;&gt;"",B1834,""))</f>
        <v>Fimmtudagur</v>
      </c>
      <c r="C1835" s="33">
        <f>IF(A1835&lt;&gt;"",WEEKNUM(A1835,21),IF(C1834&lt;&gt;"",C1834,""))</f>
        <v>27</v>
      </c>
      <c r="D1835" s="34"/>
      <c r="E1835" s="34"/>
      <c r="F1835" s="34"/>
      <c r="G1835" s="34"/>
      <c r="H1835" s="34"/>
      <c r="I1835" s="35"/>
      <c r="J1835" s="35"/>
      <c r="K1835" s="36"/>
      <c r="L1835" s="26" t="str">
        <f>IF(OR(F1835 = "", G1835 = ""), "", IF(F1835 = "Vara", IFERROR(_xlfn.SINGLE(_xlfn.XLOOKUP(G1835, Vöruskrá!A:A, Vöruskrá!E:E, "")), ""), IF(F1835 = "Réttur", IFERROR(_xlfn.SINGLE(_xlfn.XLOOKUP(G1835, Réttabanki!A:A, Réttabanki!AS:AS, "")), ""), "")))</f>
        <v/>
      </c>
      <c r="M1835" s="26" t="str">
        <f>IF(OR(F1835 = "", G1835 = ""), "", IF(F1835 = "Vara", IFERROR(_xlfn.SINGLE(_xlfn.XLOOKUP(G1835, Vöruskrá!A:A, Vöruskrá!F:F, "")), ""), IF(F1835 = "Réttur", IFERROR(_xlfn.SINGLE(_xlfn.XLOOKUP(G1835, Réttabanki!A:A, Réttabanki!AT:AT, "")), ""), "")))</f>
        <v/>
      </c>
      <c r="N1835" s="26" t="str">
        <f>IF(OR(F1835 = "", G1835 = ""), "", IF(F1835 = "Vara", IFERROR(_xlfn.SINGLE(_xlfn.XLOOKUP(G1835, Vöruskrá!A:A, Vöruskrá!G:G, "")), ""), IF(F1835 = "Réttur", IFERROR(_xlfn.SINGLE(_xlfn.XLOOKUP(G1835, Réttabanki!A:A, Réttabanki!AU:AU, "")), ""), "")))</f>
        <v/>
      </c>
      <c r="O1835" s="26" t="str">
        <f>IF(OR(F1835 = "", G1835 = "", I1835 = ""), "", IF(F1835 = "Vara", IFERROR(_xlfn.SINGLE(_xlfn.XLOOKUP(G1835, Vöruskrá!A:A, Vöruskrá!I:I, "")) * I1835 / 100, ""), IF(F1835 = "Réttur", IFERROR(_xlfn.SINGLE(_xlfn.XLOOKUP(G1835, Réttabanki!A:A, Réttabanki!AV:AV, "")) * I1835 / 100, ""), "")))</f>
        <v/>
      </c>
      <c r="P1835" s="26" t="str">
        <f>IF(OR(F1835 = "", G1835 = "", I1835 = ""), "", IF(F1835 = "Vara", IFERROR(_xlfn.SINGLE(_xlfn.XLOOKUP(G1835, Vöruskrá!A:A, Vöruskrá!J:J, "")) * I1835 / 100, ""), IF(F1835 = "Réttur", IFERROR(_xlfn.SINGLE(_xlfn.XLOOKUP(G1835, Réttabanki!A:A, Réttabanki!AW:AW, "")) * I1835 / 100, ""), "")))</f>
        <v/>
      </c>
      <c r="Q1835" s="26" t="str">
        <f>IF(OR(F1835 = "", G1835 = "", I1835 = ""), "", IF(F1835 = "Vara", IFERROR(_xlfn.SINGLE(_xlfn.XLOOKUP(G1835, Vöruskrá!A:A, Vöruskrá!N:N, "")) * I1835 / 100, ""), IF(F1835 = "Réttur", IFERROR(_xlfn.SINGLE(_xlfn.XLOOKUP(G1835, Réttabanki!A:A, Réttabanki!BB:BB, "")) * I1835 / 100, ""), "")))</f>
        <v/>
      </c>
    </row>
    <row r="1836" spans="2:17">
      <c r="B1836" s="33" t="str">
        <f>IF(A1836&lt;&gt;"",CHOOSE(WEEKDAY(A1836,2),"Mánudagur","Þriðjudagur","Miðvikudagur","Fimmtudagur","Föstudagur","Laugardagur","Sunnudagur"),IF(B1835&lt;&gt;"",B1835,""))</f>
        <v>Fimmtudagur</v>
      </c>
      <c r="C1836" s="33">
        <f>IF(A1836&lt;&gt;"",WEEKNUM(A1836,21),IF(C1835&lt;&gt;"",C1835,""))</f>
        <v>27</v>
      </c>
      <c r="D1836" s="34"/>
      <c r="E1836" s="34"/>
      <c r="F1836" s="34"/>
      <c r="G1836" s="34"/>
      <c r="H1836" s="34"/>
      <c r="I1836" s="35"/>
      <c r="J1836" s="35"/>
      <c r="K1836" s="36"/>
      <c r="L1836" s="26" t="str">
        <f>IF(OR(F1836 = "", G1836 = ""), "", IF(F1836 = "Vara", IFERROR(_xlfn.SINGLE(_xlfn.XLOOKUP(G1836, Vöruskrá!A:A, Vöruskrá!E:E, "")), ""), IF(F1836 = "Réttur", IFERROR(_xlfn.SINGLE(_xlfn.XLOOKUP(G1836, Réttabanki!A:A, Réttabanki!AS:AS, "")), ""), "")))</f>
        <v/>
      </c>
      <c r="M1836" s="26" t="str">
        <f>IF(OR(F1836 = "", G1836 = ""), "", IF(F1836 = "Vara", IFERROR(_xlfn.SINGLE(_xlfn.XLOOKUP(G1836, Vöruskrá!A:A, Vöruskrá!F:F, "")), ""), IF(F1836 = "Réttur", IFERROR(_xlfn.SINGLE(_xlfn.XLOOKUP(G1836, Réttabanki!A:A, Réttabanki!AT:AT, "")), ""), "")))</f>
        <v/>
      </c>
      <c r="N1836" s="26" t="str">
        <f>IF(OR(F1836 = "", G1836 = ""), "", IF(F1836 = "Vara", IFERROR(_xlfn.SINGLE(_xlfn.XLOOKUP(G1836, Vöruskrá!A:A, Vöruskrá!G:G, "")), ""), IF(F1836 = "Réttur", IFERROR(_xlfn.SINGLE(_xlfn.XLOOKUP(G1836, Réttabanki!A:A, Réttabanki!AU:AU, "")), ""), "")))</f>
        <v/>
      </c>
      <c r="O1836" s="26" t="str">
        <f>IF(OR(F1836 = "", G1836 = "", I1836 = ""), "", IF(F1836 = "Vara", IFERROR(_xlfn.SINGLE(_xlfn.XLOOKUP(G1836, Vöruskrá!A:A, Vöruskrá!I:I, "")) * I1836 / 100, ""), IF(F1836 = "Réttur", IFERROR(_xlfn.SINGLE(_xlfn.XLOOKUP(G1836, Réttabanki!A:A, Réttabanki!AV:AV, "")) * I1836 / 100, ""), "")))</f>
        <v/>
      </c>
      <c r="P1836" s="26" t="str">
        <f>IF(OR(F1836 = "", G1836 = "", I1836 = ""), "", IF(F1836 = "Vara", IFERROR(_xlfn.SINGLE(_xlfn.XLOOKUP(G1836, Vöruskrá!A:A, Vöruskrá!J:J, "")) * I1836 / 100, ""), IF(F1836 = "Réttur", IFERROR(_xlfn.SINGLE(_xlfn.XLOOKUP(G1836, Réttabanki!A:A, Réttabanki!AW:AW, "")) * I1836 / 100, ""), "")))</f>
        <v/>
      </c>
      <c r="Q1836" s="26" t="str">
        <f>IF(OR(F1836 = "", G1836 = "", I1836 = ""), "", IF(F1836 = "Vara", IFERROR(_xlfn.SINGLE(_xlfn.XLOOKUP(G1836, Vöruskrá!A:A, Vöruskrá!N:N, "")) * I1836 / 100, ""), IF(F1836 = "Réttur", IFERROR(_xlfn.SINGLE(_xlfn.XLOOKUP(G1836, Réttabanki!A:A, Réttabanki!BB:BB, "")) * I1836 / 100, ""), "")))</f>
        <v/>
      </c>
    </row>
    <row r="1837" spans="2:17">
      <c r="B1837" s="33" t="str">
        <f>IF(A1837&lt;&gt;"",CHOOSE(WEEKDAY(A1837,2),"Mánudagur","Þriðjudagur","Miðvikudagur","Fimmtudagur","Föstudagur","Laugardagur","Sunnudagur"),IF(B1836&lt;&gt;"",B1836,""))</f>
        <v>Fimmtudagur</v>
      </c>
      <c r="C1837" s="33">
        <f>IF(A1837&lt;&gt;"",WEEKNUM(A1837,21),IF(C1836&lt;&gt;"",C1836,""))</f>
        <v>27</v>
      </c>
      <c r="D1837" s="34"/>
      <c r="E1837" s="34"/>
      <c r="F1837" s="34"/>
      <c r="G1837" s="34"/>
      <c r="H1837" s="34"/>
      <c r="I1837" s="35"/>
      <c r="J1837" s="35"/>
      <c r="K1837" s="36"/>
      <c r="L1837" s="26" t="str">
        <f>IF(OR(F1837 = "", G1837 = ""), "", IF(F1837 = "Vara", IFERROR(_xlfn.SINGLE(_xlfn.XLOOKUP(G1837, Vöruskrá!A:A, Vöruskrá!E:E, "")), ""), IF(F1837 = "Réttur", IFERROR(_xlfn.SINGLE(_xlfn.XLOOKUP(G1837, Réttabanki!A:A, Réttabanki!AS:AS, "")), ""), "")))</f>
        <v/>
      </c>
      <c r="M1837" s="26" t="str">
        <f>IF(OR(F1837 = "", G1837 = ""), "", IF(F1837 = "Vara", IFERROR(_xlfn.SINGLE(_xlfn.XLOOKUP(G1837, Vöruskrá!A:A, Vöruskrá!F:F, "")), ""), IF(F1837 = "Réttur", IFERROR(_xlfn.SINGLE(_xlfn.XLOOKUP(G1837, Réttabanki!A:A, Réttabanki!AT:AT, "")), ""), "")))</f>
        <v/>
      </c>
      <c r="N1837" s="26" t="str">
        <f>IF(OR(F1837 = "", G1837 = ""), "", IF(F1837 = "Vara", IFERROR(_xlfn.SINGLE(_xlfn.XLOOKUP(G1837, Vöruskrá!A:A, Vöruskrá!G:G, "")), ""), IF(F1837 = "Réttur", IFERROR(_xlfn.SINGLE(_xlfn.XLOOKUP(G1837, Réttabanki!A:A, Réttabanki!AU:AU, "")), ""), "")))</f>
        <v/>
      </c>
      <c r="O1837" s="26" t="str">
        <f>IF(OR(F1837 = "", G1837 = "", I1837 = ""), "", IF(F1837 = "Vara", IFERROR(_xlfn.SINGLE(_xlfn.XLOOKUP(G1837, Vöruskrá!A:A, Vöruskrá!I:I, "")) * I1837 / 100, ""), IF(F1837 = "Réttur", IFERROR(_xlfn.SINGLE(_xlfn.XLOOKUP(G1837, Réttabanki!A:A, Réttabanki!AV:AV, "")) * I1837 / 100, ""), "")))</f>
        <v/>
      </c>
      <c r="P1837" s="26" t="str">
        <f>IF(OR(F1837 = "", G1837 = "", I1837 = ""), "", IF(F1837 = "Vara", IFERROR(_xlfn.SINGLE(_xlfn.XLOOKUP(G1837, Vöruskrá!A:A, Vöruskrá!J:J, "")) * I1837 / 100, ""), IF(F1837 = "Réttur", IFERROR(_xlfn.SINGLE(_xlfn.XLOOKUP(G1837, Réttabanki!A:A, Réttabanki!AW:AW, "")) * I1837 / 100, ""), "")))</f>
        <v/>
      </c>
      <c r="Q1837" s="26" t="str">
        <f>IF(OR(F1837 = "", G1837 = "", I1837 = ""), "", IF(F1837 = "Vara", IFERROR(_xlfn.SINGLE(_xlfn.XLOOKUP(G1837, Vöruskrá!A:A, Vöruskrá!N:N, "")) * I1837 / 100, ""), IF(F1837 = "Réttur", IFERROR(_xlfn.SINGLE(_xlfn.XLOOKUP(G1837, Réttabanki!A:A, Réttabanki!BB:BB, "")) * I1837 / 100, ""), "")))</f>
        <v/>
      </c>
    </row>
    <row r="1838" spans="2:17">
      <c r="B1838" s="33" t="str">
        <f>IF(A1838&lt;&gt;"",CHOOSE(WEEKDAY(A1838,2),"Mánudagur","Þriðjudagur","Miðvikudagur","Fimmtudagur","Föstudagur","Laugardagur","Sunnudagur"),IF(B1837&lt;&gt;"",B1837,""))</f>
        <v>Fimmtudagur</v>
      </c>
      <c r="C1838" s="33">
        <f>IF(A1838&lt;&gt;"",WEEKNUM(A1838,21),IF(C1837&lt;&gt;"",C1837,""))</f>
        <v>27</v>
      </c>
      <c r="D1838" s="34"/>
      <c r="E1838" s="34"/>
      <c r="F1838" s="34"/>
      <c r="G1838" s="34"/>
      <c r="H1838" s="34"/>
      <c r="I1838" s="35"/>
      <c r="J1838" s="35"/>
      <c r="K1838" s="36"/>
      <c r="L1838" s="26" t="str">
        <f>IF(OR(F1838 = "", G1838 = ""), "", IF(F1838 = "Vara", IFERROR(_xlfn.SINGLE(_xlfn.XLOOKUP(G1838, Vöruskrá!A:A, Vöruskrá!E:E, "")), ""), IF(F1838 = "Réttur", IFERROR(_xlfn.SINGLE(_xlfn.XLOOKUP(G1838, Réttabanki!A:A, Réttabanki!AS:AS, "")), ""), "")))</f>
        <v/>
      </c>
      <c r="M1838" s="26" t="str">
        <f>IF(OR(F1838 = "", G1838 = ""), "", IF(F1838 = "Vara", IFERROR(_xlfn.SINGLE(_xlfn.XLOOKUP(G1838, Vöruskrá!A:A, Vöruskrá!F:F, "")), ""), IF(F1838 = "Réttur", IFERROR(_xlfn.SINGLE(_xlfn.XLOOKUP(G1838, Réttabanki!A:A, Réttabanki!AT:AT, "")), ""), "")))</f>
        <v/>
      </c>
      <c r="N1838" s="26" t="str">
        <f>IF(OR(F1838 = "", G1838 = ""), "", IF(F1838 = "Vara", IFERROR(_xlfn.SINGLE(_xlfn.XLOOKUP(G1838, Vöruskrá!A:A, Vöruskrá!G:G, "")), ""), IF(F1838 = "Réttur", IFERROR(_xlfn.SINGLE(_xlfn.XLOOKUP(G1838, Réttabanki!A:A, Réttabanki!AU:AU, "")), ""), "")))</f>
        <v/>
      </c>
      <c r="O1838" s="26" t="str">
        <f>IF(OR(F1838 = "", G1838 = "", I1838 = ""), "", IF(F1838 = "Vara", IFERROR(_xlfn.SINGLE(_xlfn.XLOOKUP(G1838, Vöruskrá!A:A, Vöruskrá!I:I, "")) * I1838 / 100, ""), IF(F1838 = "Réttur", IFERROR(_xlfn.SINGLE(_xlfn.XLOOKUP(G1838, Réttabanki!A:A, Réttabanki!AV:AV, "")) * I1838 / 100, ""), "")))</f>
        <v/>
      </c>
      <c r="P1838" s="26" t="str">
        <f>IF(OR(F1838 = "", G1838 = "", I1838 = ""), "", IF(F1838 = "Vara", IFERROR(_xlfn.SINGLE(_xlfn.XLOOKUP(G1838, Vöruskrá!A:A, Vöruskrá!J:J, "")) * I1838 / 100, ""), IF(F1838 = "Réttur", IFERROR(_xlfn.SINGLE(_xlfn.XLOOKUP(G1838, Réttabanki!A:A, Réttabanki!AW:AW, "")) * I1838 / 100, ""), "")))</f>
        <v/>
      </c>
      <c r="Q1838" s="26" t="str">
        <f>IF(OR(F1838 = "", G1838 = "", I1838 = ""), "", IF(F1838 = "Vara", IFERROR(_xlfn.SINGLE(_xlfn.XLOOKUP(G1838, Vöruskrá!A:A, Vöruskrá!N:N, "")) * I1838 / 100, ""), IF(F1838 = "Réttur", IFERROR(_xlfn.SINGLE(_xlfn.XLOOKUP(G1838, Réttabanki!A:A, Réttabanki!BB:BB, "")) * I1838 / 100, ""), "")))</f>
        <v/>
      </c>
    </row>
    <row r="1839" spans="2:17">
      <c r="B1839" s="33" t="str">
        <f>IF(A1839&lt;&gt;"",CHOOSE(WEEKDAY(A1839,2),"Mánudagur","Þriðjudagur","Miðvikudagur","Fimmtudagur","Föstudagur","Laugardagur","Sunnudagur"),IF(B1838&lt;&gt;"",B1838,""))</f>
        <v>Fimmtudagur</v>
      </c>
      <c r="C1839" s="33">
        <f>IF(A1839&lt;&gt;"",WEEKNUM(A1839,21),IF(C1838&lt;&gt;"",C1838,""))</f>
        <v>27</v>
      </c>
      <c r="D1839" s="34"/>
      <c r="E1839" s="34"/>
      <c r="F1839" s="34"/>
      <c r="G1839" s="34"/>
      <c r="H1839" s="34"/>
      <c r="I1839" s="35"/>
      <c r="J1839" s="35"/>
      <c r="K1839" s="36"/>
      <c r="L1839" s="26" t="str">
        <f>IF(OR(F1839 = "", G1839 = ""), "", IF(F1839 = "Vara", IFERROR(_xlfn.SINGLE(_xlfn.XLOOKUP(G1839, Vöruskrá!A:A, Vöruskrá!E:E, "")), ""), IF(F1839 = "Réttur", IFERROR(_xlfn.SINGLE(_xlfn.XLOOKUP(G1839, Réttabanki!A:A, Réttabanki!AS:AS, "")), ""), "")))</f>
        <v/>
      </c>
      <c r="M1839" s="26" t="str">
        <f>IF(OR(F1839 = "", G1839 = ""), "", IF(F1839 = "Vara", IFERROR(_xlfn.SINGLE(_xlfn.XLOOKUP(G1839, Vöruskrá!A:A, Vöruskrá!F:F, "")), ""), IF(F1839 = "Réttur", IFERROR(_xlfn.SINGLE(_xlfn.XLOOKUP(G1839, Réttabanki!A:A, Réttabanki!AT:AT, "")), ""), "")))</f>
        <v/>
      </c>
      <c r="N1839" s="26" t="str">
        <f>IF(OR(F1839 = "", G1839 = ""), "", IF(F1839 = "Vara", IFERROR(_xlfn.SINGLE(_xlfn.XLOOKUP(G1839, Vöruskrá!A:A, Vöruskrá!G:G, "")), ""), IF(F1839 = "Réttur", IFERROR(_xlfn.SINGLE(_xlfn.XLOOKUP(G1839, Réttabanki!A:A, Réttabanki!AU:AU, "")), ""), "")))</f>
        <v/>
      </c>
      <c r="O1839" s="26" t="str">
        <f>IF(OR(F1839 = "", G1839 = "", I1839 = ""), "", IF(F1839 = "Vara", IFERROR(_xlfn.SINGLE(_xlfn.XLOOKUP(G1839, Vöruskrá!A:A, Vöruskrá!I:I, "")) * I1839 / 100, ""), IF(F1839 = "Réttur", IFERROR(_xlfn.SINGLE(_xlfn.XLOOKUP(G1839, Réttabanki!A:A, Réttabanki!AV:AV, "")) * I1839 / 100, ""), "")))</f>
        <v/>
      </c>
      <c r="P1839" s="26" t="str">
        <f>IF(OR(F1839 = "", G1839 = "", I1839 = ""), "", IF(F1839 = "Vara", IFERROR(_xlfn.SINGLE(_xlfn.XLOOKUP(G1839, Vöruskrá!A:A, Vöruskrá!J:J, "")) * I1839 / 100, ""), IF(F1839 = "Réttur", IFERROR(_xlfn.SINGLE(_xlfn.XLOOKUP(G1839, Réttabanki!A:A, Réttabanki!AW:AW, "")) * I1839 / 100, ""), "")))</f>
        <v/>
      </c>
      <c r="Q1839" s="26" t="str">
        <f>IF(OR(F1839 = "", G1839 = "", I1839 = ""), "", IF(F1839 = "Vara", IFERROR(_xlfn.SINGLE(_xlfn.XLOOKUP(G1839, Vöruskrá!A:A, Vöruskrá!N:N, "")) * I1839 / 100, ""), IF(F1839 = "Réttur", IFERROR(_xlfn.SINGLE(_xlfn.XLOOKUP(G1839, Réttabanki!A:A, Réttabanki!BB:BB, "")) * I1839 / 100, ""), "")))</f>
        <v/>
      </c>
    </row>
    <row r="1840" spans="2:17">
      <c r="B1840" s="33" t="str">
        <f>IF(A1840&lt;&gt;"",CHOOSE(WEEKDAY(A1840,2),"Mánudagur","Þriðjudagur","Miðvikudagur","Fimmtudagur","Föstudagur","Laugardagur","Sunnudagur"),IF(B1839&lt;&gt;"",B1839,""))</f>
        <v>Fimmtudagur</v>
      </c>
      <c r="C1840" s="33">
        <f>IF(A1840&lt;&gt;"",WEEKNUM(A1840,21),IF(C1839&lt;&gt;"",C1839,""))</f>
        <v>27</v>
      </c>
      <c r="D1840" s="34"/>
      <c r="E1840" s="34"/>
      <c r="F1840" s="34"/>
      <c r="G1840" s="34"/>
      <c r="H1840" s="34"/>
      <c r="I1840" s="35"/>
      <c r="J1840" s="35"/>
      <c r="K1840" s="36"/>
      <c r="L1840" s="26" t="str">
        <f>IF(OR(F1840 = "", G1840 = ""), "", IF(F1840 = "Vara", IFERROR(_xlfn.SINGLE(_xlfn.XLOOKUP(G1840, Vöruskrá!A:A, Vöruskrá!E:E, "")), ""), IF(F1840 = "Réttur", IFERROR(_xlfn.SINGLE(_xlfn.XLOOKUP(G1840, Réttabanki!A:A, Réttabanki!AS:AS, "")), ""), "")))</f>
        <v/>
      </c>
      <c r="M1840" s="26" t="str">
        <f>IF(OR(F1840 = "", G1840 = ""), "", IF(F1840 = "Vara", IFERROR(_xlfn.SINGLE(_xlfn.XLOOKUP(G1840, Vöruskrá!A:A, Vöruskrá!F:F, "")), ""), IF(F1840 = "Réttur", IFERROR(_xlfn.SINGLE(_xlfn.XLOOKUP(G1840, Réttabanki!A:A, Réttabanki!AT:AT, "")), ""), "")))</f>
        <v/>
      </c>
      <c r="N1840" s="26" t="str">
        <f>IF(OR(F1840 = "", G1840 = ""), "", IF(F1840 = "Vara", IFERROR(_xlfn.SINGLE(_xlfn.XLOOKUP(G1840, Vöruskrá!A:A, Vöruskrá!G:G, "")), ""), IF(F1840 = "Réttur", IFERROR(_xlfn.SINGLE(_xlfn.XLOOKUP(G1840, Réttabanki!A:A, Réttabanki!AU:AU, "")), ""), "")))</f>
        <v/>
      </c>
      <c r="O1840" s="26" t="str">
        <f>IF(OR(F1840 = "", G1840 = "", I1840 = ""), "", IF(F1840 = "Vara", IFERROR(_xlfn.SINGLE(_xlfn.XLOOKUP(G1840, Vöruskrá!A:A, Vöruskrá!I:I, "")) * I1840 / 100, ""), IF(F1840 = "Réttur", IFERROR(_xlfn.SINGLE(_xlfn.XLOOKUP(G1840, Réttabanki!A:A, Réttabanki!AV:AV, "")) * I1840 / 100, ""), "")))</f>
        <v/>
      </c>
      <c r="P1840" s="26" t="str">
        <f>IF(OR(F1840 = "", G1840 = "", I1840 = ""), "", IF(F1840 = "Vara", IFERROR(_xlfn.SINGLE(_xlfn.XLOOKUP(G1840, Vöruskrá!A:A, Vöruskrá!J:J, "")) * I1840 / 100, ""), IF(F1840 = "Réttur", IFERROR(_xlfn.SINGLE(_xlfn.XLOOKUP(G1840, Réttabanki!A:A, Réttabanki!AW:AW, "")) * I1840 / 100, ""), "")))</f>
        <v/>
      </c>
      <c r="Q1840" s="26" t="str">
        <f>IF(OR(F1840 = "", G1840 = "", I1840 = ""), "", IF(F1840 = "Vara", IFERROR(_xlfn.SINGLE(_xlfn.XLOOKUP(G1840, Vöruskrá!A:A, Vöruskrá!N:N, "")) * I1840 / 100, ""), IF(F1840 = "Réttur", IFERROR(_xlfn.SINGLE(_xlfn.XLOOKUP(G1840, Réttabanki!A:A, Réttabanki!BB:BB, "")) * I1840 / 100, ""), "")))</f>
        <v/>
      </c>
    </row>
    <row r="1841" spans="2:17">
      <c r="B1841" s="33" t="str">
        <f>IF(A1841&lt;&gt;"",CHOOSE(WEEKDAY(A1841,2),"Mánudagur","Þriðjudagur","Miðvikudagur","Fimmtudagur","Föstudagur","Laugardagur","Sunnudagur"),IF(B1840&lt;&gt;"",B1840,""))</f>
        <v>Fimmtudagur</v>
      </c>
      <c r="C1841" s="33">
        <f>IF(A1841&lt;&gt;"",WEEKNUM(A1841,21),IF(C1840&lt;&gt;"",C1840,""))</f>
        <v>27</v>
      </c>
      <c r="D1841" s="34"/>
      <c r="E1841" s="34"/>
      <c r="F1841" s="34"/>
      <c r="G1841" s="34"/>
      <c r="H1841" s="34"/>
      <c r="I1841" s="35"/>
      <c r="J1841" s="35"/>
      <c r="K1841" s="36"/>
      <c r="L1841" s="26" t="str">
        <f>IF(OR(F1841 = "", G1841 = ""), "", IF(F1841 = "Vara", IFERROR(_xlfn.SINGLE(_xlfn.XLOOKUP(G1841, Vöruskrá!A:A, Vöruskrá!E:E, "")), ""), IF(F1841 = "Réttur", IFERROR(_xlfn.SINGLE(_xlfn.XLOOKUP(G1841, Réttabanki!A:A, Réttabanki!AS:AS, "")), ""), "")))</f>
        <v/>
      </c>
      <c r="M1841" s="26" t="str">
        <f>IF(OR(F1841 = "", G1841 = ""), "", IF(F1841 = "Vara", IFERROR(_xlfn.SINGLE(_xlfn.XLOOKUP(G1841, Vöruskrá!A:A, Vöruskrá!F:F, "")), ""), IF(F1841 = "Réttur", IFERROR(_xlfn.SINGLE(_xlfn.XLOOKUP(G1841, Réttabanki!A:A, Réttabanki!AT:AT, "")), ""), "")))</f>
        <v/>
      </c>
      <c r="N1841" s="26" t="str">
        <f>IF(OR(F1841 = "", G1841 = ""), "", IF(F1841 = "Vara", IFERROR(_xlfn.SINGLE(_xlfn.XLOOKUP(G1841, Vöruskrá!A:A, Vöruskrá!G:G, "")), ""), IF(F1841 = "Réttur", IFERROR(_xlfn.SINGLE(_xlfn.XLOOKUP(G1841, Réttabanki!A:A, Réttabanki!AU:AU, "")), ""), "")))</f>
        <v/>
      </c>
      <c r="O1841" s="26" t="str">
        <f>IF(OR(F1841 = "", G1841 = "", I1841 = ""), "", IF(F1841 = "Vara", IFERROR(_xlfn.SINGLE(_xlfn.XLOOKUP(G1841, Vöruskrá!A:A, Vöruskrá!I:I, "")) * I1841 / 100, ""), IF(F1841 = "Réttur", IFERROR(_xlfn.SINGLE(_xlfn.XLOOKUP(G1841, Réttabanki!A:A, Réttabanki!AV:AV, "")) * I1841 / 100, ""), "")))</f>
        <v/>
      </c>
      <c r="P1841" s="26" t="str">
        <f>IF(OR(F1841 = "", G1841 = "", I1841 = ""), "", IF(F1841 = "Vara", IFERROR(_xlfn.SINGLE(_xlfn.XLOOKUP(G1841, Vöruskrá!A:A, Vöruskrá!J:J, "")) * I1841 / 100, ""), IF(F1841 = "Réttur", IFERROR(_xlfn.SINGLE(_xlfn.XLOOKUP(G1841, Réttabanki!A:A, Réttabanki!AW:AW, "")) * I1841 / 100, ""), "")))</f>
        <v/>
      </c>
      <c r="Q1841" s="26" t="str">
        <f>IF(OR(F1841 = "", G1841 = "", I1841 = ""), "", IF(F1841 = "Vara", IFERROR(_xlfn.SINGLE(_xlfn.XLOOKUP(G1841, Vöruskrá!A:A, Vöruskrá!N:N, "")) * I1841 / 100, ""), IF(F1841 = "Réttur", IFERROR(_xlfn.SINGLE(_xlfn.XLOOKUP(G1841, Réttabanki!A:A, Réttabanki!BB:BB, "")) * I1841 / 100, ""), "")))</f>
        <v/>
      </c>
    </row>
    <row r="1842" spans="2:17">
      <c r="B1842" s="33" t="str">
        <f>IF(A1842&lt;&gt;"",CHOOSE(WEEKDAY(A1842,2),"Mánudagur","Þriðjudagur","Miðvikudagur","Fimmtudagur","Föstudagur","Laugardagur","Sunnudagur"),IF(B1841&lt;&gt;"",B1841,""))</f>
        <v>Fimmtudagur</v>
      </c>
      <c r="C1842" s="33">
        <f>IF(A1842&lt;&gt;"",WEEKNUM(A1842,21),IF(C1841&lt;&gt;"",C1841,""))</f>
        <v>27</v>
      </c>
      <c r="D1842" s="34"/>
      <c r="E1842" s="34"/>
      <c r="F1842" s="34"/>
      <c r="G1842" s="34"/>
      <c r="H1842" s="34"/>
      <c r="I1842" s="35"/>
      <c r="J1842" s="35"/>
      <c r="K1842" s="36"/>
      <c r="L1842" s="26" t="str">
        <f>IF(OR(F1842 = "", G1842 = ""), "", IF(F1842 = "Vara", IFERROR(_xlfn.SINGLE(_xlfn.XLOOKUP(G1842, Vöruskrá!A:A, Vöruskrá!E:E, "")), ""), IF(F1842 = "Réttur", IFERROR(_xlfn.SINGLE(_xlfn.XLOOKUP(G1842, Réttabanki!A:A, Réttabanki!AS:AS, "")), ""), "")))</f>
        <v/>
      </c>
      <c r="M1842" s="26" t="str">
        <f>IF(OR(F1842 = "", G1842 = ""), "", IF(F1842 = "Vara", IFERROR(_xlfn.SINGLE(_xlfn.XLOOKUP(G1842, Vöruskrá!A:A, Vöruskrá!F:F, "")), ""), IF(F1842 = "Réttur", IFERROR(_xlfn.SINGLE(_xlfn.XLOOKUP(G1842, Réttabanki!A:A, Réttabanki!AT:AT, "")), ""), "")))</f>
        <v/>
      </c>
      <c r="N1842" s="26" t="str">
        <f>IF(OR(F1842 = "", G1842 = ""), "", IF(F1842 = "Vara", IFERROR(_xlfn.SINGLE(_xlfn.XLOOKUP(G1842, Vöruskrá!A:A, Vöruskrá!G:G, "")), ""), IF(F1842 = "Réttur", IFERROR(_xlfn.SINGLE(_xlfn.XLOOKUP(G1842, Réttabanki!A:A, Réttabanki!AU:AU, "")), ""), "")))</f>
        <v/>
      </c>
      <c r="O1842" s="26" t="str">
        <f>IF(OR(F1842 = "", G1842 = "", I1842 = ""), "", IF(F1842 = "Vara", IFERROR(_xlfn.SINGLE(_xlfn.XLOOKUP(G1842, Vöruskrá!A:A, Vöruskrá!I:I, "")) * I1842 / 100, ""), IF(F1842 = "Réttur", IFERROR(_xlfn.SINGLE(_xlfn.XLOOKUP(G1842, Réttabanki!A:A, Réttabanki!AV:AV, "")) * I1842 / 100, ""), "")))</f>
        <v/>
      </c>
      <c r="P1842" s="26" t="str">
        <f>IF(OR(F1842 = "", G1842 = "", I1842 = ""), "", IF(F1842 = "Vara", IFERROR(_xlfn.SINGLE(_xlfn.XLOOKUP(G1842, Vöruskrá!A:A, Vöruskrá!J:J, "")) * I1842 / 100, ""), IF(F1842 = "Réttur", IFERROR(_xlfn.SINGLE(_xlfn.XLOOKUP(G1842, Réttabanki!A:A, Réttabanki!AW:AW, "")) * I1842 / 100, ""), "")))</f>
        <v/>
      </c>
      <c r="Q1842" s="26" t="str">
        <f>IF(OR(F1842 = "", G1842 = "", I1842 = ""), "", IF(F1842 = "Vara", IFERROR(_xlfn.SINGLE(_xlfn.XLOOKUP(G1842, Vöruskrá!A:A, Vöruskrá!N:N, "")) * I1842 / 100, ""), IF(F1842 = "Réttur", IFERROR(_xlfn.SINGLE(_xlfn.XLOOKUP(G1842, Réttabanki!A:A, Réttabanki!BB:BB, "")) * I1842 / 100, ""), "")))</f>
        <v/>
      </c>
    </row>
    <row r="1843" spans="2:17">
      <c r="B1843" s="33" t="str">
        <f>IF(A1843&lt;&gt;"",CHOOSE(WEEKDAY(A1843,2),"Mánudagur","Þriðjudagur","Miðvikudagur","Fimmtudagur","Föstudagur","Laugardagur","Sunnudagur"),IF(B1842&lt;&gt;"",B1842,""))</f>
        <v>Fimmtudagur</v>
      </c>
      <c r="C1843" s="33">
        <f>IF(A1843&lt;&gt;"",WEEKNUM(A1843,21),IF(C1842&lt;&gt;"",C1842,""))</f>
        <v>27</v>
      </c>
      <c r="D1843" s="34"/>
      <c r="E1843" s="34"/>
      <c r="F1843" s="34"/>
      <c r="G1843" s="34"/>
      <c r="H1843" s="34"/>
      <c r="I1843" s="35"/>
      <c r="J1843" s="35"/>
      <c r="K1843" s="36"/>
      <c r="L1843" s="26" t="str">
        <f>IF(OR(F1843 = "", G1843 = ""), "", IF(F1843 = "Vara", IFERROR(_xlfn.SINGLE(_xlfn.XLOOKUP(G1843, Vöruskrá!A:A, Vöruskrá!E:E, "")), ""), IF(F1843 = "Réttur", IFERROR(_xlfn.SINGLE(_xlfn.XLOOKUP(G1843, Réttabanki!A:A, Réttabanki!AS:AS, "")), ""), "")))</f>
        <v/>
      </c>
      <c r="M1843" s="26" t="str">
        <f>IF(OR(F1843 = "", G1843 = ""), "", IF(F1843 = "Vara", IFERROR(_xlfn.SINGLE(_xlfn.XLOOKUP(G1843, Vöruskrá!A:A, Vöruskrá!F:F, "")), ""), IF(F1843 = "Réttur", IFERROR(_xlfn.SINGLE(_xlfn.XLOOKUP(G1843, Réttabanki!A:A, Réttabanki!AT:AT, "")), ""), "")))</f>
        <v/>
      </c>
      <c r="N1843" s="26" t="str">
        <f>IF(OR(F1843 = "", G1843 = ""), "", IF(F1843 = "Vara", IFERROR(_xlfn.SINGLE(_xlfn.XLOOKUP(G1843, Vöruskrá!A:A, Vöruskrá!G:G, "")), ""), IF(F1843 = "Réttur", IFERROR(_xlfn.SINGLE(_xlfn.XLOOKUP(G1843, Réttabanki!A:A, Réttabanki!AU:AU, "")), ""), "")))</f>
        <v/>
      </c>
      <c r="O1843" s="26" t="str">
        <f>IF(OR(F1843 = "", G1843 = "", I1843 = ""), "", IF(F1843 = "Vara", IFERROR(_xlfn.SINGLE(_xlfn.XLOOKUP(G1843, Vöruskrá!A:A, Vöruskrá!I:I, "")) * I1843 / 100, ""), IF(F1843 = "Réttur", IFERROR(_xlfn.SINGLE(_xlfn.XLOOKUP(G1843, Réttabanki!A:A, Réttabanki!AV:AV, "")) * I1843 / 100, ""), "")))</f>
        <v/>
      </c>
      <c r="P1843" s="26" t="str">
        <f>IF(OR(F1843 = "", G1843 = "", I1843 = ""), "", IF(F1843 = "Vara", IFERROR(_xlfn.SINGLE(_xlfn.XLOOKUP(G1843, Vöruskrá!A:A, Vöruskrá!J:J, "")) * I1843 / 100, ""), IF(F1843 = "Réttur", IFERROR(_xlfn.SINGLE(_xlfn.XLOOKUP(G1843, Réttabanki!A:A, Réttabanki!AW:AW, "")) * I1843 / 100, ""), "")))</f>
        <v/>
      </c>
      <c r="Q1843" s="26" t="str">
        <f>IF(OR(F1843 = "", G1843 = "", I1843 = ""), "", IF(F1843 = "Vara", IFERROR(_xlfn.SINGLE(_xlfn.XLOOKUP(G1843, Vöruskrá!A:A, Vöruskrá!N:N, "")) * I1843 / 100, ""), IF(F1843 = "Réttur", IFERROR(_xlfn.SINGLE(_xlfn.XLOOKUP(G1843, Réttabanki!A:A, Réttabanki!BB:BB, "")) * I1843 / 100, ""), "")))</f>
        <v/>
      </c>
    </row>
    <row r="1844" spans="2:17">
      <c r="B1844" s="33" t="str">
        <f>IF(A1844&lt;&gt;"",CHOOSE(WEEKDAY(A1844,2),"Mánudagur","Þriðjudagur","Miðvikudagur","Fimmtudagur","Föstudagur","Laugardagur","Sunnudagur"),IF(B1843&lt;&gt;"",B1843,""))</f>
        <v>Fimmtudagur</v>
      </c>
      <c r="C1844" s="33">
        <f>IF(A1844&lt;&gt;"",WEEKNUM(A1844,21),IF(C1843&lt;&gt;"",C1843,""))</f>
        <v>27</v>
      </c>
      <c r="D1844" s="34"/>
      <c r="E1844" s="34"/>
      <c r="F1844" s="34"/>
      <c r="G1844" s="34"/>
      <c r="H1844" s="34"/>
      <c r="I1844" s="35"/>
      <c r="J1844" s="35"/>
      <c r="K1844" s="36"/>
      <c r="L1844" s="26" t="str">
        <f>IF(OR(F1844 = "", G1844 = ""), "", IF(F1844 = "Vara", IFERROR(_xlfn.SINGLE(_xlfn.XLOOKUP(G1844, Vöruskrá!A:A, Vöruskrá!E:E, "")), ""), IF(F1844 = "Réttur", IFERROR(_xlfn.SINGLE(_xlfn.XLOOKUP(G1844, Réttabanki!A:A, Réttabanki!AS:AS, "")), ""), "")))</f>
        <v/>
      </c>
      <c r="M1844" s="26" t="str">
        <f>IF(OR(F1844 = "", G1844 = ""), "", IF(F1844 = "Vara", IFERROR(_xlfn.SINGLE(_xlfn.XLOOKUP(G1844, Vöruskrá!A:A, Vöruskrá!F:F, "")), ""), IF(F1844 = "Réttur", IFERROR(_xlfn.SINGLE(_xlfn.XLOOKUP(G1844, Réttabanki!A:A, Réttabanki!AT:AT, "")), ""), "")))</f>
        <v/>
      </c>
      <c r="N1844" s="26" t="str">
        <f>IF(OR(F1844 = "", G1844 = ""), "", IF(F1844 = "Vara", IFERROR(_xlfn.SINGLE(_xlfn.XLOOKUP(G1844, Vöruskrá!A:A, Vöruskrá!G:G, "")), ""), IF(F1844 = "Réttur", IFERROR(_xlfn.SINGLE(_xlfn.XLOOKUP(G1844, Réttabanki!A:A, Réttabanki!AU:AU, "")), ""), "")))</f>
        <v/>
      </c>
      <c r="O1844" s="26" t="str">
        <f>IF(OR(F1844 = "", G1844 = "", I1844 = ""), "", IF(F1844 = "Vara", IFERROR(_xlfn.SINGLE(_xlfn.XLOOKUP(G1844, Vöruskrá!A:A, Vöruskrá!I:I, "")) * I1844 / 100, ""), IF(F1844 = "Réttur", IFERROR(_xlfn.SINGLE(_xlfn.XLOOKUP(G1844, Réttabanki!A:A, Réttabanki!AV:AV, "")) * I1844 / 100, ""), "")))</f>
        <v/>
      </c>
      <c r="P1844" s="26" t="str">
        <f>IF(OR(F1844 = "", G1844 = "", I1844 = ""), "", IF(F1844 = "Vara", IFERROR(_xlfn.SINGLE(_xlfn.XLOOKUP(G1844, Vöruskrá!A:A, Vöruskrá!J:J, "")) * I1844 / 100, ""), IF(F1844 = "Réttur", IFERROR(_xlfn.SINGLE(_xlfn.XLOOKUP(G1844, Réttabanki!A:A, Réttabanki!AW:AW, "")) * I1844 / 100, ""), "")))</f>
        <v/>
      </c>
      <c r="Q1844" s="26" t="str">
        <f>IF(OR(F1844 = "", G1844 = "", I1844 = ""), "", IF(F1844 = "Vara", IFERROR(_xlfn.SINGLE(_xlfn.XLOOKUP(G1844, Vöruskrá!A:A, Vöruskrá!N:N, "")) * I1844 / 100, ""), IF(F1844 = "Réttur", IFERROR(_xlfn.SINGLE(_xlfn.XLOOKUP(G1844, Réttabanki!A:A, Réttabanki!BB:BB, "")) * I1844 / 100, ""), "")))</f>
        <v/>
      </c>
    </row>
    <row r="1845" spans="2:17">
      <c r="B1845" s="33" t="str">
        <f>IF(A1845&lt;&gt;"",CHOOSE(WEEKDAY(A1845,2),"Mánudagur","Þriðjudagur","Miðvikudagur","Fimmtudagur","Föstudagur","Laugardagur","Sunnudagur"),IF(B1844&lt;&gt;"",B1844,""))</f>
        <v>Fimmtudagur</v>
      </c>
      <c r="C1845" s="33">
        <f>IF(A1845&lt;&gt;"",WEEKNUM(A1845,21),IF(C1844&lt;&gt;"",C1844,""))</f>
        <v>27</v>
      </c>
      <c r="D1845" s="34"/>
      <c r="E1845" s="34"/>
      <c r="F1845" s="34"/>
      <c r="G1845" s="34"/>
      <c r="H1845" s="34"/>
      <c r="I1845" s="35"/>
      <c r="J1845" s="35"/>
      <c r="K1845" s="36"/>
      <c r="L1845" s="26" t="str">
        <f>IF(OR(F1845 = "", G1845 = ""), "", IF(F1845 = "Vara", IFERROR(_xlfn.SINGLE(_xlfn.XLOOKUP(G1845, Vöruskrá!A:A, Vöruskrá!E:E, "")), ""), IF(F1845 = "Réttur", IFERROR(_xlfn.SINGLE(_xlfn.XLOOKUP(G1845, Réttabanki!A:A, Réttabanki!AS:AS, "")), ""), "")))</f>
        <v/>
      </c>
      <c r="M1845" s="26" t="str">
        <f>IF(OR(F1845 = "", G1845 = ""), "", IF(F1845 = "Vara", IFERROR(_xlfn.SINGLE(_xlfn.XLOOKUP(G1845, Vöruskrá!A:A, Vöruskrá!F:F, "")), ""), IF(F1845 = "Réttur", IFERROR(_xlfn.SINGLE(_xlfn.XLOOKUP(G1845, Réttabanki!A:A, Réttabanki!AT:AT, "")), ""), "")))</f>
        <v/>
      </c>
      <c r="N1845" s="26" t="str">
        <f>IF(OR(F1845 = "", G1845 = ""), "", IF(F1845 = "Vara", IFERROR(_xlfn.SINGLE(_xlfn.XLOOKUP(G1845, Vöruskrá!A:A, Vöruskrá!G:G, "")), ""), IF(F1845 = "Réttur", IFERROR(_xlfn.SINGLE(_xlfn.XLOOKUP(G1845, Réttabanki!A:A, Réttabanki!AU:AU, "")), ""), "")))</f>
        <v/>
      </c>
      <c r="O1845" s="26" t="str">
        <f>IF(OR(F1845 = "", G1845 = "", I1845 = ""), "", IF(F1845 = "Vara", IFERROR(_xlfn.SINGLE(_xlfn.XLOOKUP(G1845, Vöruskrá!A:A, Vöruskrá!I:I, "")) * I1845 / 100, ""), IF(F1845 = "Réttur", IFERROR(_xlfn.SINGLE(_xlfn.XLOOKUP(G1845, Réttabanki!A:A, Réttabanki!AV:AV, "")) * I1845 / 100, ""), "")))</f>
        <v/>
      </c>
      <c r="P1845" s="26" t="str">
        <f>IF(OR(F1845 = "", G1845 = "", I1845 = ""), "", IF(F1845 = "Vara", IFERROR(_xlfn.SINGLE(_xlfn.XLOOKUP(G1845, Vöruskrá!A:A, Vöruskrá!J:J, "")) * I1845 / 100, ""), IF(F1845 = "Réttur", IFERROR(_xlfn.SINGLE(_xlfn.XLOOKUP(G1845, Réttabanki!A:A, Réttabanki!AW:AW, "")) * I1845 / 100, ""), "")))</f>
        <v/>
      </c>
      <c r="Q1845" s="26" t="str">
        <f>IF(OR(F1845 = "", G1845 = "", I1845 = ""), "", IF(F1845 = "Vara", IFERROR(_xlfn.SINGLE(_xlfn.XLOOKUP(G1845, Vöruskrá!A:A, Vöruskrá!N:N, "")) * I1845 / 100, ""), IF(F1845 = "Réttur", IFERROR(_xlfn.SINGLE(_xlfn.XLOOKUP(G1845, Réttabanki!A:A, Réttabanki!BB:BB, "")) * I1845 / 100, ""), "")))</f>
        <v/>
      </c>
    </row>
    <row r="1846" spans="2:17">
      <c r="B1846" s="33" t="str">
        <f>IF(A1846&lt;&gt;"",CHOOSE(WEEKDAY(A1846,2),"Mánudagur","Þriðjudagur","Miðvikudagur","Fimmtudagur","Föstudagur","Laugardagur","Sunnudagur"),IF(B1845&lt;&gt;"",B1845,""))</f>
        <v>Fimmtudagur</v>
      </c>
      <c r="C1846" s="33">
        <f>IF(A1846&lt;&gt;"",WEEKNUM(A1846,21),IF(C1845&lt;&gt;"",C1845,""))</f>
        <v>27</v>
      </c>
      <c r="D1846" s="34"/>
      <c r="E1846" s="34"/>
      <c r="F1846" s="34"/>
      <c r="G1846" s="34"/>
      <c r="H1846" s="34"/>
      <c r="I1846" s="35"/>
      <c r="J1846" s="35"/>
      <c r="K1846" s="36"/>
      <c r="L1846" s="26" t="str">
        <f>IF(OR(F1846 = "", G1846 = ""), "", IF(F1846 = "Vara", IFERROR(_xlfn.SINGLE(_xlfn.XLOOKUP(G1846, Vöruskrá!A:A, Vöruskrá!E:E, "")), ""), IF(F1846 = "Réttur", IFERROR(_xlfn.SINGLE(_xlfn.XLOOKUP(G1846, Réttabanki!A:A, Réttabanki!AS:AS, "")), ""), "")))</f>
        <v/>
      </c>
      <c r="M1846" s="26" t="str">
        <f>IF(OR(F1846 = "", G1846 = ""), "", IF(F1846 = "Vara", IFERROR(_xlfn.SINGLE(_xlfn.XLOOKUP(G1846, Vöruskrá!A:A, Vöruskrá!F:F, "")), ""), IF(F1846 = "Réttur", IFERROR(_xlfn.SINGLE(_xlfn.XLOOKUP(G1846, Réttabanki!A:A, Réttabanki!AT:AT, "")), ""), "")))</f>
        <v/>
      </c>
      <c r="N1846" s="26" t="str">
        <f>IF(OR(F1846 = "", G1846 = ""), "", IF(F1846 = "Vara", IFERROR(_xlfn.SINGLE(_xlfn.XLOOKUP(G1846, Vöruskrá!A:A, Vöruskrá!G:G, "")), ""), IF(F1846 = "Réttur", IFERROR(_xlfn.SINGLE(_xlfn.XLOOKUP(G1846, Réttabanki!A:A, Réttabanki!AU:AU, "")), ""), "")))</f>
        <v/>
      </c>
      <c r="O1846" s="26" t="str">
        <f>IF(OR(F1846 = "", G1846 = "", I1846 = ""), "", IF(F1846 = "Vara", IFERROR(_xlfn.SINGLE(_xlfn.XLOOKUP(G1846, Vöruskrá!A:A, Vöruskrá!I:I, "")) * I1846 / 100, ""), IF(F1846 = "Réttur", IFERROR(_xlfn.SINGLE(_xlfn.XLOOKUP(G1846, Réttabanki!A:A, Réttabanki!AV:AV, "")) * I1846 / 100, ""), "")))</f>
        <v/>
      </c>
      <c r="P1846" s="26" t="str">
        <f>IF(OR(F1846 = "", G1846 = "", I1846 = ""), "", IF(F1846 = "Vara", IFERROR(_xlfn.SINGLE(_xlfn.XLOOKUP(G1846, Vöruskrá!A:A, Vöruskrá!J:J, "")) * I1846 / 100, ""), IF(F1846 = "Réttur", IFERROR(_xlfn.SINGLE(_xlfn.XLOOKUP(G1846, Réttabanki!A:A, Réttabanki!AW:AW, "")) * I1846 / 100, ""), "")))</f>
        <v/>
      </c>
      <c r="Q1846" s="26" t="str">
        <f>IF(OR(F1846 = "", G1846 = "", I1846 = ""), "", IF(F1846 = "Vara", IFERROR(_xlfn.SINGLE(_xlfn.XLOOKUP(G1846, Vöruskrá!A:A, Vöruskrá!N:N, "")) * I1846 / 100, ""), IF(F1846 = "Réttur", IFERROR(_xlfn.SINGLE(_xlfn.XLOOKUP(G1846, Réttabanki!A:A, Réttabanki!BB:BB, "")) * I1846 / 100, ""), "")))</f>
        <v/>
      </c>
    </row>
    <row r="1847" spans="2:17">
      <c r="B1847" s="33" t="str">
        <f>IF(A1847&lt;&gt;"",CHOOSE(WEEKDAY(A1847,2),"Mánudagur","Þriðjudagur","Miðvikudagur","Fimmtudagur","Föstudagur","Laugardagur","Sunnudagur"),IF(B1846&lt;&gt;"",B1846,""))</f>
        <v>Fimmtudagur</v>
      </c>
      <c r="C1847" s="33">
        <f>IF(A1847&lt;&gt;"",WEEKNUM(A1847,21),IF(C1846&lt;&gt;"",C1846,""))</f>
        <v>27</v>
      </c>
      <c r="D1847" s="34"/>
      <c r="E1847" s="34"/>
      <c r="F1847" s="34"/>
      <c r="G1847" s="34"/>
      <c r="H1847" s="34"/>
      <c r="I1847" s="35"/>
      <c r="J1847" s="35"/>
      <c r="K1847" s="36"/>
      <c r="L1847" s="26" t="str">
        <f>IF(OR(F1847 = "", G1847 = ""), "", IF(F1847 = "Vara", IFERROR(_xlfn.SINGLE(_xlfn.XLOOKUP(G1847, Vöruskrá!A:A, Vöruskrá!E:E, "")), ""), IF(F1847 = "Réttur", IFERROR(_xlfn.SINGLE(_xlfn.XLOOKUP(G1847, Réttabanki!A:A, Réttabanki!AS:AS, "")), ""), "")))</f>
        <v/>
      </c>
      <c r="M1847" s="26" t="str">
        <f>IF(OR(F1847 = "", G1847 = ""), "", IF(F1847 = "Vara", IFERROR(_xlfn.SINGLE(_xlfn.XLOOKUP(G1847, Vöruskrá!A:A, Vöruskrá!F:F, "")), ""), IF(F1847 = "Réttur", IFERROR(_xlfn.SINGLE(_xlfn.XLOOKUP(G1847, Réttabanki!A:A, Réttabanki!AT:AT, "")), ""), "")))</f>
        <v/>
      </c>
      <c r="N1847" s="26" t="str">
        <f>IF(OR(F1847 = "", G1847 = ""), "", IF(F1847 = "Vara", IFERROR(_xlfn.SINGLE(_xlfn.XLOOKUP(G1847, Vöruskrá!A:A, Vöruskrá!G:G, "")), ""), IF(F1847 = "Réttur", IFERROR(_xlfn.SINGLE(_xlfn.XLOOKUP(G1847, Réttabanki!A:A, Réttabanki!AU:AU, "")), ""), "")))</f>
        <v/>
      </c>
      <c r="O1847" s="26" t="str">
        <f>IF(OR(F1847 = "", G1847 = "", I1847 = ""), "", IF(F1847 = "Vara", IFERROR(_xlfn.SINGLE(_xlfn.XLOOKUP(G1847, Vöruskrá!A:A, Vöruskrá!I:I, "")) * I1847 / 100, ""), IF(F1847 = "Réttur", IFERROR(_xlfn.SINGLE(_xlfn.XLOOKUP(G1847, Réttabanki!A:A, Réttabanki!AV:AV, "")) * I1847 / 100, ""), "")))</f>
        <v/>
      </c>
      <c r="P1847" s="26" t="str">
        <f>IF(OR(F1847 = "", G1847 = "", I1847 = ""), "", IF(F1847 = "Vara", IFERROR(_xlfn.SINGLE(_xlfn.XLOOKUP(G1847, Vöruskrá!A:A, Vöruskrá!J:J, "")) * I1847 / 100, ""), IF(F1847 = "Réttur", IFERROR(_xlfn.SINGLE(_xlfn.XLOOKUP(G1847, Réttabanki!A:A, Réttabanki!AW:AW, "")) * I1847 / 100, ""), "")))</f>
        <v/>
      </c>
      <c r="Q1847" s="26" t="str">
        <f>IF(OR(F1847 = "", G1847 = "", I1847 = ""), "", IF(F1847 = "Vara", IFERROR(_xlfn.SINGLE(_xlfn.XLOOKUP(G1847, Vöruskrá!A:A, Vöruskrá!N:N, "")) * I1847 / 100, ""), IF(F1847 = "Réttur", IFERROR(_xlfn.SINGLE(_xlfn.XLOOKUP(G1847, Réttabanki!A:A, Réttabanki!BB:BB, "")) * I1847 / 100, ""), "")))</f>
        <v/>
      </c>
    </row>
    <row r="1848" spans="2:17">
      <c r="B1848" s="33" t="str">
        <f>IF(A1848&lt;&gt;"",CHOOSE(WEEKDAY(A1848,2),"Mánudagur","Þriðjudagur","Miðvikudagur","Fimmtudagur","Föstudagur","Laugardagur","Sunnudagur"),IF(B1847&lt;&gt;"",B1847,""))</f>
        <v>Fimmtudagur</v>
      </c>
      <c r="C1848" s="33">
        <f>IF(A1848&lt;&gt;"",WEEKNUM(A1848,21),IF(C1847&lt;&gt;"",C1847,""))</f>
        <v>27</v>
      </c>
      <c r="D1848" s="34"/>
      <c r="E1848" s="34"/>
      <c r="F1848" s="34"/>
      <c r="G1848" s="34"/>
      <c r="H1848" s="34"/>
      <c r="I1848" s="35"/>
      <c r="J1848" s="35"/>
      <c r="K1848" s="36"/>
      <c r="L1848" s="26" t="str">
        <f>IF(OR(F1848 = "", G1848 = ""), "", IF(F1848 = "Vara", IFERROR(_xlfn.SINGLE(_xlfn.XLOOKUP(G1848, Vöruskrá!A:A, Vöruskrá!E:E, "")), ""), IF(F1848 = "Réttur", IFERROR(_xlfn.SINGLE(_xlfn.XLOOKUP(G1848, Réttabanki!A:A, Réttabanki!AS:AS, "")), ""), "")))</f>
        <v/>
      </c>
      <c r="M1848" s="26" t="str">
        <f>IF(OR(F1848 = "", G1848 = ""), "", IF(F1848 = "Vara", IFERROR(_xlfn.SINGLE(_xlfn.XLOOKUP(G1848, Vöruskrá!A:A, Vöruskrá!F:F, "")), ""), IF(F1848 = "Réttur", IFERROR(_xlfn.SINGLE(_xlfn.XLOOKUP(G1848, Réttabanki!A:A, Réttabanki!AT:AT, "")), ""), "")))</f>
        <v/>
      </c>
      <c r="N1848" s="26" t="str">
        <f>IF(OR(F1848 = "", G1848 = ""), "", IF(F1848 = "Vara", IFERROR(_xlfn.SINGLE(_xlfn.XLOOKUP(G1848, Vöruskrá!A:A, Vöruskrá!G:G, "")), ""), IF(F1848 = "Réttur", IFERROR(_xlfn.SINGLE(_xlfn.XLOOKUP(G1848, Réttabanki!A:A, Réttabanki!AU:AU, "")), ""), "")))</f>
        <v/>
      </c>
      <c r="O1848" s="26" t="str">
        <f>IF(OR(F1848 = "", G1848 = "", I1848 = ""), "", IF(F1848 = "Vara", IFERROR(_xlfn.SINGLE(_xlfn.XLOOKUP(G1848, Vöruskrá!A:A, Vöruskrá!I:I, "")) * I1848 / 100, ""), IF(F1848 = "Réttur", IFERROR(_xlfn.SINGLE(_xlfn.XLOOKUP(G1848, Réttabanki!A:A, Réttabanki!AV:AV, "")) * I1848 / 100, ""), "")))</f>
        <v/>
      </c>
      <c r="P1848" s="26" t="str">
        <f>IF(OR(F1848 = "", G1848 = "", I1848 = ""), "", IF(F1848 = "Vara", IFERROR(_xlfn.SINGLE(_xlfn.XLOOKUP(G1848, Vöruskrá!A:A, Vöruskrá!J:J, "")) * I1848 / 100, ""), IF(F1848 = "Réttur", IFERROR(_xlfn.SINGLE(_xlfn.XLOOKUP(G1848, Réttabanki!A:A, Réttabanki!AW:AW, "")) * I1848 / 100, ""), "")))</f>
        <v/>
      </c>
      <c r="Q1848" s="26" t="str">
        <f>IF(OR(F1848 = "", G1848 = "", I1848 = ""), "", IF(F1848 = "Vara", IFERROR(_xlfn.SINGLE(_xlfn.XLOOKUP(G1848, Vöruskrá!A:A, Vöruskrá!N:N, "")) * I1848 / 100, ""), IF(F1848 = "Réttur", IFERROR(_xlfn.SINGLE(_xlfn.XLOOKUP(G1848, Réttabanki!A:A, Réttabanki!BB:BB, "")) * I1848 / 100, ""), "")))</f>
        <v/>
      </c>
    </row>
    <row r="1849" spans="2:17">
      <c r="B1849" s="33" t="str">
        <f>IF(A1849&lt;&gt;"",CHOOSE(WEEKDAY(A1849,2),"Mánudagur","Þriðjudagur","Miðvikudagur","Fimmtudagur","Föstudagur","Laugardagur","Sunnudagur"),IF(B1848&lt;&gt;"",B1848,""))</f>
        <v>Fimmtudagur</v>
      </c>
      <c r="C1849" s="33">
        <f>IF(A1849&lt;&gt;"",WEEKNUM(A1849,21),IF(C1848&lt;&gt;"",C1848,""))</f>
        <v>27</v>
      </c>
      <c r="D1849" s="34"/>
      <c r="E1849" s="34"/>
      <c r="F1849" s="34"/>
      <c r="G1849" s="34"/>
      <c r="H1849" s="34"/>
      <c r="I1849" s="35"/>
      <c r="J1849" s="35"/>
      <c r="K1849" s="36"/>
      <c r="L1849" s="26" t="str">
        <f>IF(OR(F1849 = "", G1849 = ""), "", IF(F1849 = "Vara", IFERROR(_xlfn.SINGLE(_xlfn.XLOOKUP(G1849, Vöruskrá!A:A, Vöruskrá!E:E, "")), ""), IF(F1849 = "Réttur", IFERROR(_xlfn.SINGLE(_xlfn.XLOOKUP(G1849, Réttabanki!A:A, Réttabanki!AS:AS, "")), ""), "")))</f>
        <v/>
      </c>
      <c r="M1849" s="26" t="str">
        <f>IF(OR(F1849 = "", G1849 = ""), "", IF(F1849 = "Vara", IFERROR(_xlfn.SINGLE(_xlfn.XLOOKUP(G1849, Vöruskrá!A:A, Vöruskrá!F:F, "")), ""), IF(F1849 = "Réttur", IFERROR(_xlfn.SINGLE(_xlfn.XLOOKUP(G1849, Réttabanki!A:A, Réttabanki!AT:AT, "")), ""), "")))</f>
        <v/>
      </c>
      <c r="N1849" s="26" t="str">
        <f>IF(OR(F1849 = "", G1849 = ""), "", IF(F1849 = "Vara", IFERROR(_xlfn.SINGLE(_xlfn.XLOOKUP(G1849, Vöruskrá!A:A, Vöruskrá!G:G, "")), ""), IF(F1849 = "Réttur", IFERROR(_xlfn.SINGLE(_xlfn.XLOOKUP(G1849, Réttabanki!A:A, Réttabanki!AU:AU, "")), ""), "")))</f>
        <v/>
      </c>
      <c r="O1849" s="26" t="str">
        <f>IF(OR(F1849 = "", G1849 = "", I1849 = ""), "", IF(F1849 = "Vara", IFERROR(_xlfn.SINGLE(_xlfn.XLOOKUP(G1849, Vöruskrá!A:A, Vöruskrá!I:I, "")) * I1849 / 100, ""), IF(F1849 = "Réttur", IFERROR(_xlfn.SINGLE(_xlfn.XLOOKUP(G1849, Réttabanki!A:A, Réttabanki!AV:AV, "")) * I1849 / 100, ""), "")))</f>
        <v/>
      </c>
      <c r="P1849" s="26" t="str">
        <f>IF(OR(F1849 = "", G1849 = "", I1849 = ""), "", IF(F1849 = "Vara", IFERROR(_xlfn.SINGLE(_xlfn.XLOOKUP(G1849, Vöruskrá!A:A, Vöruskrá!J:J, "")) * I1849 / 100, ""), IF(F1849 = "Réttur", IFERROR(_xlfn.SINGLE(_xlfn.XLOOKUP(G1849, Réttabanki!A:A, Réttabanki!AW:AW, "")) * I1849 / 100, ""), "")))</f>
        <v/>
      </c>
      <c r="Q1849" s="26" t="str">
        <f>IF(OR(F1849 = "", G1849 = "", I1849 = ""), "", IF(F1849 = "Vara", IFERROR(_xlfn.SINGLE(_xlfn.XLOOKUP(G1849, Vöruskrá!A:A, Vöruskrá!N:N, "")) * I1849 / 100, ""), IF(F1849 = "Réttur", IFERROR(_xlfn.SINGLE(_xlfn.XLOOKUP(G1849, Réttabanki!A:A, Réttabanki!BB:BB, "")) * I1849 / 100, ""), "")))</f>
        <v/>
      </c>
    </row>
    <row r="1850" spans="2:17">
      <c r="B1850" s="33" t="str">
        <f>IF(A1850&lt;&gt;"",CHOOSE(WEEKDAY(A1850,2),"Mánudagur","Þriðjudagur","Miðvikudagur","Fimmtudagur","Föstudagur","Laugardagur","Sunnudagur"),IF(B1849&lt;&gt;"",B1849,""))</f>
        <v>Fimmtudagur</v>
      </c>
      <c r="C1850" s="33">
        <f>IF(A1850&lt;&gt;"",WEEKNUM(A1850,21),IF(C1849&lt;&gt;"",C1849,""))</f>
        <v>27</v>
      </c>
      <c r="D1850" s="34"/>
      <c r="E1850" s="34"/>
      <c r="F1850" s="34"/>
      <c r="G1850" s="34"/>
      <c r="H1850" s="34"/>
      <c r="I1850" s="35"/>
      <c r="J1850" s="35"/>
      <c r="K1850" s="36"/>
      <c r="L1850" s="26" t="str">
        <f>IF(OR(F1850 = "", G1850 = ""), "", IF(F1850 = "Vara", IFERROR(_xlfn.SINGLE(_xlfn.XLOOKUP(G1850, Vöruskrá!A:A, Vöruskrá!E:E, "")), ""), IF(F1850 = "Réttur", IFERROR(_xlfn.SINGLE(_xlfn.XLOOKUP(G1850, Réttabanki!A:A, Réttabanki!AS:AS, "")), ""), "")))</f>
        <v/>
      </c>
      <c r="M1850" s="26" t="str">
        <f>IF(OR(F1850 = "", G1850 = ""), "", IF(F1850 = "Vara", IFERROR(_xlfn.SINGLE(_xlfn.XLOOKUP(G1850, Vöruskrá!A:A, Vöruskrá!F:F, "")), ""), IF(F1850 = "Réttur", IFERROR(_xlfn.SINGLE(_xlfn.XLOOKUP(G1850, Réttabanki!A:A, Réttabanki!AT:AT, "")), ""), "")))</f>
        <v/>
      </c>
      <c r="N1850" s="26" t="str">
        <f>IF(OR(F1850 = "", G1850 = ""), "", IF(F1850 = "Vara", IFERROR(_xlfn.SINGLE(_xlfn.XLOOKUP(G1850, Vöruskrá!A:A, Vöruskrá!G:G, "")), ""), IF(F1850 = "Réttur", IFERROR(_xlfn.SINGLE(_xlfn.XLOOKUP(G1850, Réttabanki!A:A, Réttabanki!AU:AU, "")), ""), "")))</f>
        <v/>
      </c>
      <c r="O1850" s="26" t="str">
        <f>IF(OR(F1850 = "", G1850 = "", I1850 = ""), "", IF(F1850 = "Vara", IFERROR(_xlfn.SINGLE(_xlfn.XLOOKUP(G1850, Vöruskrá!A:A, Vöruskrá!I:I, "")) * I1850 / 100, ""), IF(F1850 = "Réttur", IFERROR(_xlfn.SINGLE(_xlfn.XLOOKUP(G1850, Réttabanki!A:A, Réttabanki!AV:AV, "")) * I1850 / 100, ""), "")))</f>
        <v/>
      </c>
      <c r="P1850" s="26" t="str">
        <f>IF(OR(F1850 = "", G1850 = "", I1850 = ""), "", IF(F1850 = "Vara", IFERROR(_xlfn.SINGLE(_xlfn.XLOOKUP(G1850, Vöruskrá!A:A, Vöruskrá!J:J, "")) * I1850 / 100, ""), IF(F1850 = "Réttur", IFERROR(_xlfn.SINGLE(_xlfn.XLOOKUP(G1850, Réttabanki!A:A, Réttabanki!AW:AW, "")) * I1850 / 100, ""), "")))</f>
        <v/>
      </c>
      <c r="Q1850" s="26" t="str">
        <f>IF(OR(F1850 = "", G1850 = "", I1850 = ""), "", IF(F1850 = "Vara", IFERROR(_xlfn.SINGLE(_xlfn.XLOOKUP(G1850, Vöruskrá!A:A, Vöruskrá!N:N, "")) * I1850 / 100, ""), IF(F1850 = "Réttur", IFERROR(_xlfn.SINGLE(_xlfn.XLOOKUP(G1850, Réttabanki!A:A, Réttabanki!BB:BB, "")) * I1850 / 100, ""), "")))</f>
        <v/>
      </c>
    </row>
    <row r="1851" spans="2:17">
      <c r="B1851" s="33" t="str">
        <f>IF(A1851&lt;&gt;"",CHOOSE(WEEKDAY(A1851,2),"Mánudagur","Þriðjudagur","Miðvikudagur","Fimmtudagur","Föstudagur","Laugardagur","Sunnudagur"),IF(B1850&lt;&gt;"",B1850,""))</f>
        <v>Fimmtudagur</v>
      </c>
      <c r="C1851" s="33">
        <f>IF(A1851&lt;&gt;"",WEEKNUM(A1851,21),IF(C1850&lt;&gt;"",C1850,""))</f>
        <v>27</v>
      </c>
      <c r="D1851" s="34"/>
      <c r="E1851" s="34"/>
      <c r="F1851" s="34"/>
      <c r="G1851" s="34"/>
      <c r="H1851" s="34"/>
      <c r="I1851" s="35"/>
      <c r="J1851" s="35"/>
      <c r="K1851" s="36"/>
      <c r="L1851" s="26" t="str">
        <f>IF(OR(F1851 = "", G1851 = ""), "", IF(F1851 = "Vara", IFERROR(_xlfn.SINGLE(_xlfn.XLOOKUP(G1851, Vöruskrá!A:A, Vöruskrá!E:E, "")), ""), IF(F1851 = "Réttur", IFERROR(_xlfn.SINGLE(_xlfn.XLOOKUP(G1851, Réttabanki!A:A, Réttabanki!AS:AS, "")), ""), "")))</f>
        <v/>
      </c>
      <c r="M1851" s="26" t="str">
        <f>IF(OR(F1851 = "", G1851 = ""), "", IF(F1851 = "Vara", IFERROR(_xlfn.SINGLE(_xlfn.XLOOKUP(G1851, Vöruskrá!A:A, Vöruskrá!F:F, "")), ""), IF(F1851 = "Réttur", IFERROR(_xlfn.SINGLE(_xlfn.XLOOKUP(G1851, Réttabanki!A:A, Réttabanki!AT:AT, "")), ""), "")))</f>
        <v/>
      </c>
      <c r="N1851" s="26" t="str">
        <f>IF(OR(F1851 = "", G1851 = ""), "", IF(F1851 = "Vara", IFERROR(_xlfn.SINGLE(_xlfn.XLOOKUP(G1851, Vöruskrá!A:A, Vöruskrá!G:G, "")), ""), IF(F1851 = "Réttur", IFERROR(_xlfn.SINGLE(_xlfn.XLOOKUP(G1851, Réttabanki!A:A, Réttabanki!AU:AU, "")), ""), "")))</f>
        <v/>
      </c>
      <c r="O1851" s="26" t="str">
        <f>IF(OR(F1851 = "", G1851 = "", I1851 = ""), "", IF(F1851 = "Vara", IFERROR(_xlfn.SINGLE(_xlfn.XLOOKUP(G1851, Vöruskrá!A:A, Vöruskrá!I:I, "")) * I1851 / 100, ""), IF(F1851 = "Réttur", IFERROR(_xlfn.SINGLE(_xlfn.XLOOKUP(G1851, Réttabanki!A:A, Réttabanki!AV:AV, "")) * I1851 / 100, ""), "")))</f>
        <v/>
      </c>
      <c r="P1851" s="26" t="str">
        <f>IF(OR(F1851 = "", G1851 = "", I1851 = ""), "", IF(F1851 = "Vara", IFERROR(_xlfn.SINGLE(_xlfn.XLOOKUP(G1851, Vöruskrá!A:A, Vöruskrá!J:J, "")) * I1851 / 100, ""), IF(F1851 = "Réttur", IFERROR(_xlfn.SINGLE(_xlfn.XLOOKUP(G1851, Réttabanki!A:A, Réttabanki!AW:AW, "")) * I1851 / 100, ""), "")))</f>
        <v/>
      </c>
      <c r="Q1851" s="26" t="str">
        <f>IF(OR(F1851 = "", G1851 = "", I1851 = ""), "", IF(F1851 = "Vara", IFERROR(_xlfn.SINGLE(_xlfn.XLOOKUP(G1851, Vöruskrá!A:A, Vöruskrá!N:N, "")) * I1851 / 100, ""), IF(F1851 = "Réttur", IFERROR(_xlfn.SINGLE(_xlfn.XLOOKUP(G1851, Réttabanki!A:A, Réttabanki!BB:BB, "")) * I1851 / 100, ""), "")))</f>
        <v/>
      </c>
    </row>
    <row r="1852" spans="2:17">
      <c r="B1852" s="33" t="str">
        <f>IF(A1852&lt;&gt;"",CHOOSE(WEEKDAY(A1852,2),"Mánudagur","Þriðjudagur","Miðvikudagur","Fimmtudagur","Föstudagur","Laugardagur","Sunnudagur"),IF(B1851&lt;&gt;"",B1851,""))</f>
        <v>Fimmtudagur</v>
      </c>
      <c r="C1852" s="33">
        <f>IF(A1852&lt;&gt;"",WEEKNUM(A1852,21),IF(C1851&lt;&gt;"",C1851,""))</f>
        <v>27</v>
      </c>
      <c r="D1852" s="34"/>
      <c r="E1852" s="34"/>
      <c r="F1852" s="34"/>
      <c r="G1852" s="34"/>
      <c r="H1852" s="34"/>
      <c r="I1852" s="35"/>
      <c r="J1852" s="35"/>
      <c r="K1852" s="36"/>
      <c r="L1852" s="26" t="str">
        <f>IF(OR(F1852 = "", G1852 = ""), "", IF(F1852 = "Vara", IFERROR(_xlfn.SINGLE(_xlfn.XLOOKUP(G1852, Vöruskrá!A:A, Vöruskrá!E:E, "")), ""), IF(F1852 = "Réttur", IFERROR(_xlfn.SINGLE(_xlfn.XLOOKUP(G1852, Réttabanki!A:A, Réttabanki!AS:AS, "")), ""), "")))</f>
        <v/>
      </c>
      <c r="M1852" s="26" t="str">
        <f>IF(OR(F1852 = "", G1852 = ""), "", IF(F1852 = "Vara", IFERROR(_xlfn.SINGLE(_xlfn.XLOOKUP(G1852, Vöruskrá!A:A, Vöruskrá!F:F, "")), ""), IF(F1852 = "Réttur", IFERROR(_xlfn.SINGLE(_xlfn.XLOOKUP(G1852, Réttabanki!A:A, Réttabanki!AT:AT, "")), ""), "")))</f>
        <v/>
      </c>
      <c r="N1852" s="26" t="str">
        <f>IF(OR(F1852 = "", G1852 = ""), "", IF(F1852 = "Vara", IFERROR(_xlfn.SINGLE(_xlfn.XLOOKUP(G1852, Vöruskrá!A:A, Vöruskrá!G:G, "")), ""), IF(F1852 = "Réttur", IFERROR(_xlfn.SINGLE(_xlfn.XLOOKUP(G1852, Réttabanki!A:A, Réttabanki!AU:AU, "")), ""), "")))</f>
        <v/>
      </c>
      <c r="O1852" s="26" t="str">
        <f>IF(OR(F1852 = "", G1852 = "", I1852 = ""), "", IF(F1852 = "Vara", IFERROR(_xlfn.SINGLE(_xlfn.XLOOKUP(G1852, Vöruskrá!A:A, Vöruskrá!I:I, "")) * I1852 / 100, ""), IF(F1852 = "Réttur", IFERROR(_xlfn.SINGLE(_xlfn.XLOOKUP(G1852, Réttabanki!A:A, Réttabanki!AV:AV, "")) * I1852 / 100, ""), "")))</f>
        <v/>
      </c>
      <c r="P1852" s="26" t="str">
        <f>IF(OR(F1852 = "", G1852 = "", I1852 = ""), "", IF(F1852 = "Vara", IFERROR(_xlfn.SINGLE(_xlfn.XLOOKUP(G1852, Vöruskrá!A:A, Vöruskrá!J:J, "")) * I1852 / 100, ""), IF(F1852 = "Réttur", IFERROR(_xlfn.SINGLE(_xlfn.XLOOKUP(G1852, Réttabanki!A:A, Réttabanki!AW:AW, "")) * I1852 / 100, ""), "")))</f>
        <v/>
      </c>
      <c r="Q1852" s="26" t="str">
        <f>IF(OR(F1852 = "", G1852 = "", I1852 = ""), "", IF(F1852 = "Vara", IFERROR(_xlfn.SINGLE(_xlfn.XLOOKUP(G1852, Vöruskrá!A:A, Vöruskrá!N:N, "")) * I1852 / 100, ""), IF(F1852 = "Réttur", IFERROR(_xlfn.SINGLE(_xlfn.XLOOKUP(G1852, Réttabanki!A:A, Réttabanki!BB:BB, "")) * I1852 / 100, ""), "")))</f>
        <v/>
      </c>
    </row>
    <row r="1853" spans="2:17">
      <c r="B1853" s="33" t="str">
        <f>IF(A1853&lt;&gt;"",CHOOSE(WEEKDAY(A1853,2),"Mánudagur","Þriðjudagur","Miðvikudagur","Fimmtudagur","Föstudagur","Laugardagur","Sunnudagur"),IF(B1852&lt;&gt;"",B1852,""))</f>
        <v>Fimmtudagur</v>
      </c>
      <c r="C1853" s="33">
        <f>IF(A1853&lt;&gt;"",WEEKNUM(A1853,21),IF(C1852&lt;&gt;"",C1852,""))</f>
        <v>27</v>
      </c>
      <c r="D1853" s="34"/>
      <c r="E1853" s="34"/>
      <c r="F1853" s="34"/>
      <c r="G1853" s="34"/>
      <c r="H1853" s="34"/>
      <c r="I1853" s="35"/>
      <c r="J1853" s="35"/>
      <c r="K1853" s="36"/>
      <c r="L1853" s="26" t="str">
        <f>IF(OR(F1853 = "", G1853 = ""), "", IF(F1853 = "Vara", IFERROR(_xlfn.SINGLE(_xlfn.XLOOKUP(G1853, Vöruskrá!A:A, Vöruskrá!E:E, "")), ""), IF(F1853 = "Réttur", IFERROR(_xlfn.SINGLE(_xlfn.XLOOKUP(G1853, Réttabanki!A:A, Réttabanki!AS:AS, "")), ""), "")))</f>
        <v/>
      </c>
      <c r="M1853" s="26" t="str">
        <f>IF(OR(F1853 = "", G1853 = ""), "", IF(F1853 = "Vara", IFERROR(_xlfn.SINGLE(_xlfn.XLOOKUP(G1853, Vöruskrá!A:A, Vöruskrá!F:F, "")), ""), IF(F1853 = "Réttur", IFERROR(_xlfn.SINGLE(_xlfn.XLOOKUP(G1853, Réttabanki!A:A, Réttabanki!AT:AT, "")), ""), "")))</f>
        <v/>
      </c>
      <c r="N1853" s="26" t="str">
        <f>IF(OR(F1853 = "", G1853 = ""), "", IF(F1853 = "Vara", IFERROR(_xlfn.SINGLE(_xlfn.XLOOKUP(G1853, Vöruskrá!A:A, Vöruskrá!G:G, "")), ""), IF(F1853 = "Réttur", IFERROR(_xlfn.SINGLE(_xlfn.XLOOKUP(G1853, Réttabanki!A:A, Réttabanki!AU:AU, "")), ""), "")))</f>
        <v/>
      </c>
      <c r="O1853" s="26" t="str">
        <f>IF(OR(F1853 = "", G1853 = "", I1853 = ""), "", IF(F1853 = "Vara", IFERROR(_xlfn.SINGLE(_xlfn.XLOOKUP(G1853, Vöruskrá!A:A, Vöruskrá!I:I, "")) * I1853 / 100, ""), IF(F1853 = "Réttur", IFERROR(_xlfn.SINGLE(_xlfn.XLOOKUP(G1853, Réttabanki!A:A, Réttabanki!AV:AV, "")) * I1853 / 100, ""), "")))</f>
        <v/>
      </c>
      <c r="P1853" s="26" t="str">
        <f>IF(OR(F1853 = "", G1853 = "", I1853 = ""), "", IF(F1853 = "Vara", IFERROR(_xlfn.SINGLE(_xlfn.XLOOKUP(G1853, Vöruskrá!A:A, Vöruskrá!J:J, "")) * I1853 / 100, ""), IF(F1853 = "Réttur", IFERROR(_xlfn.SINGLE(_xlfn.XLOOKUP(G1853, Réttabanki!A:A, Réttabanki!AW:AW, "")) * I1853 / 100, ""), "")))</f>
        <v/>
      </c>
      <c r="Q1853" s="26" t="str">
        <f>IF(OR(F1853 = "", G1853 = "", I1853 = ""), "", IF(F1853 = "Vara", IFERROR(_xlfn.SINGLE(_xlfn.XLOOKUP(G1853, Vöruskrá!A:A, Vöruskrá!N:N, "")) * I1853 / 100, ""), IF(F1853 = "Réttur", IFERROR(_xlfn.SINGLE(_xlfn.XLOOKUP(G1853, Réttabanki!A:A, Réttabanki!BB:BB, "")) * I1853 / 100, ""), "")))</f>
        <v/>
      </c>
    </row>
    <row r="1854" spans="2:17">
      <c r="B1854" s="33" t="str">
        <f>IF(A1854&lt;&gt;"",CHOOSE(WEEKDAY(A1854,2),"Mánudagur","Þriðjudagur","Miðvikudagur","Fimmtudagur","Föstudagur","Laugardagur","Sunnudagur"),IF(B1853&lt;&gt;"",B1853,""))</f>
        <v>Fimmtudagur</v>
      </c>
      <c r="C1854" s="33">
        <f>IF(A1854&lt;&gt;"",WEEKNUM(A1854,21),IF(C1853&lt;&gt;"",C1853,""))</f>
        <v>27</v>
      </c>
      <c r="D1854" s="34"/>
      <c r="E1854" s="34"/>
      <c r="F1854" s="34"/>
      <c r="G1854" s="34"/>
      <c r="H1854" s="34"/>
      <c r="I1854" s="35"/>
      <c r="J1854" s="35"/>
      <c r="K1854" s="36"/>
      <c r="L1854" s="26" t="str">
        <f>IF(OR(F1854 = "", G1854 = ""), "", IF(F1854 = "Vara", IFERROR(_xlfn.SINGLE(_xlfn.XLOOKUP(G1854, Vöruskrá!A:A, Vöruskrá!E:E, "")), ""), IF(F1854 = "Réttur", IFERROR(_xlfn.SINGLE(_xlfn.XLOOKUP(G1854, Réttabanki!A:A, Réttabanki!AS:AS, "")), ""), "")))</f>
        <v/>
      </c>
      <c r="M1854" s="26" t="str">
        <f>IF(OR(F1854 = "", G1854 = ""), "", IF(F1854 = "Vara", IFERROR(_xlfn.SINGLE(_xlfn.XLOOKUP(G1854, Vöruskrá!A:A, Vöruskrá!F:F, "")), ""), IF(F1854 = "Réttur", IFERROR(_xlfn.SINGLE(_xlfn.XLOOKUP(G1854, Réttabanki!A:A, Réttabanki!AT:AT, "")), ""), "")))</f>
        <v/>
      </c>
      <c r="N1854" s="26" t="str">
        <f>IF(OR(F1854 = "", G1854 = ""), "", IF(F1854 = "Vara", IFERROR(_xlfn.SINGLE(_xlfn.XLOOKUP(G1854, Vöruskrá!A:A, Vöruskrá!G:G, "")), ""), IF(F1854 = "Réttur", IFERROR(_xlfn.SINGLE(_xlfn.XLOOKUP(G1854, Réttabanki!A:A, Réttabanki!AU:AU, "")), ""), "")))</f>
        <v/>
      </c>
      <c r="O1854" s="26" t="str">
        <f>IF(OR(F1854 = "", G1854 = "", I1854 = ""), "", IF(F1854 = "Vara", IFERROR(_xlfn.SINGLE(_xlfn.XLOOKUP(G1854, Vöruskrá!A:A, Vöruskrá!I:I, "")) * I1854 / 100, ""), IF(F1854 = "Réttur", IFERROR(_xlfn.SINGLE(_xlfn.XLOOKUP(G1854, Réttabanki!A:A, Réttabanki!AV:AV, "")) * I1854 / 100, ""), "")))</f>
        <v/>
      </c>
      <c r="P1854" s="26" t="str">
        <f>IF(OR(F1854 = "", G1854 = "", I1854 = ""), "", IF(F1854 = "Vara", IFERROR(_xlfn.SINGLE(_xlfn.XLOOKUP(G1854, Vöruskrá!A:A, Vöruskrá!J:J, "")) * I1854 / 100, ""), IF(F1854 = "Réttur", IFERROR(_xlfn.SINGLE(_xlfn.XLOOKUP(G1854, Réttabanki!A:A, Réttabanki!AW:AW, "")) * I1854 / 100, ""), "")))</f>
        <v/>
      </c>
      <c r="Q1854" s="26" t="str">
        <f>IF(OR(F1854 = "", G1854 = "", I1854 = ""), "", IF(F1854 = "Vara", IFERROR(_xlfn.SINGLE(_xlfn.XLOOKUP(G1854, Vöruskrá!A:A, Vöruskrá!N:N, "")) * I1854 / 100, ""), IF(F1854 = "Réttur", IFERROR(_xlfn.SINGLE(_xlfn.XLOOKUP(G1854, Réttabanki!A:A, Réttabanki!BB:BB, "")) * I1854 / 100, ""), "")))</f>
        <v/>
      </c>
    </row>
    <row r="1855" spans="2:17">
      <c r="B1855" s="33" t="str">
        <f>IF(A1855&lt;&gt;"",CHOOSE(WEEKDAY(A1855,2),"Mánudagur","Þriðjudagur","Miðvikudagur","Fimmtudagur","Föstudagur","Laugardagur","Sunnudagur"),IF(B1854&lt;&gt;"",B1854,""))</f>
        <v>Fimmtudagur</v>
      </c>
      <c r="C1855" s="33">
        <f>IF(A1855&lt;&gt;"",WEEKNUM(A1855,21),IF(C1854&lt;&gt;"",C1854,""))</f>
        <v>27</v>
      </c>
      <c r="D1855" s="34"/>
      <c r="E1855" s="34"/>
      <c r="F1855" s="34"/>
      <c r="G1855" s="34"/>
      <c r="H1855" s="34"/>
      <c r="I1855" s="35"/>
      <c r="J1855" s="35"/>
      <c r="K1855" s="36"/>
      <c r="L1855" s="26" t="str">
        <f>IF(OR(F1855 = "", G1855 = ""), "", IF(F1855 = "Vara", IFERROR(_xlfn.SINGLE(_xlfn.XLOOKUP(G1855, Vöruskrá!A:A, Vöruskrá!E:E, "")), ""), IF(F1855 = "Réttur", IFERROR(_xlfn.SINGLE(_xlfn.XLOOKUP(G1855, Réttabanki!A:A, Réttabanki!AS:AS, "")), ""), "")))</f>
        <v/>
      </c>
      <c r="M1855" s="26" t="str">
        <f>IF(OR(F1855 = "", G1855 = ""), "", IF(F1855 = "Vara", IFERROR(_xlfn.SINGLE(_xlfn.XLOOKUP(G1855, Vöruskrá!A:A, Vöruskrá!F:F, "")), ""), IF(F1855 = "Réttur", IFERROR(_xlfn.SINGLE(_xlfn.XLOOKUP(G1855, Réttabanki!A:A, Réttabanki!AT:AT, "")), ""), "")))</f>
        <v/>
      </c>
      <c r="N1855" s="26" t="str">
        <f>IF(OR(F1855 = "", G1855 = ""), "", IF(F1855 = "Vara", IFERROR(_xlfn.SINGLE(_xlfn.XLOOKUP(G1855, Vöruskrá!A:A, Vöruskrá!G:G, "")), ""), IF(F1855 = "Réttur", IFERROR(_xlfn.SINGLE(_xlfn.XLOOKUP(G1855, Réttabanki!A:A, Réttabanki!AU:AU, "")), ""), "")))</f>
        <v/>
      </c>
      <c r="O1855" s="26" t="str">
        <f>IF(OR(F1855 = "", G1855 = "", I1855 = ""), "", IF(F1855 = "Vara", IFERROR(_xlfn.SINGLE(_xlfn.XLOOKUP(G1855, Vöruskrá!A:A, Vöruskrá!I:I, "")) * I1855 / 100, ""), IF(F1855 = "Réttur", IFERROR(_xlfn.SINGLE(_xlfn.XLOOKUP(G1855, Réttabanki!A:A, Réttabanki!AV:AV, "")) * I1855 / 100, ""), "")))</f>
        <v/>
      </c>
      <c r="P1855" s="26" t="str">
        <f>IF(OR(F1855 = "", G1855 = "", I1855 = ""), "", IF(F1855 = "Vara", IFERROR(_xlfn.SINGLE(_xlfn.XLOOKUP(G1855, Vöruskrá!A:A, Vöruskrá!J:J, "")) * I1855 / 100, ""), IF(F1855 = "Réttur", IFERROR(_xlfn.SINGLE(_xlfn.XLOOKUP(G1855, Réttabanki!A:A, Réttabanki!AW:AW, "")) * I1855 / 100, ""), "")))</f>
        <v/>
      </c>
      <c r="Q1855" s="26" t="str">
        <f>IF(OR(F1855 = "", G1855 = "", I1855 = ""), "", IF(F1855 = "Vara", IFERROR(_xlfn.SINGLE(_xlfn.XLOOKUP(G1855, Vöruskrá!A:A, Vöruskrá!N:N, "")) * I1855 / 100, ""), IF(F1855 = "Réttur", IFERROR(_xlfn.SINGLE(_xlfn.XLOOKUP(G1855, Réttabanki!A:A, Réttabanki!BB:BB, "")) * I1855 / 100, ""), "")))</f>
        <v/>
      </c>
    </row>
    <row r="1856" spans="2:17">
      <c r="B1856" s="33" t="str">
        <f>IF(A1856&lt;&gt;"",CHOOSE(WEEKDAY(A1856,2),"Mánudagur","Þriðjudagur","Miðvikudagur","Fimmtudagur","Föstudagur","Laugardagur","Sunnudagur"),IF(B1855&lt;&gt;"",B1855,""))</f>
        <v>Fimmtudagur</v>
      </c>
      <c r="C1856" s="33">
        <f>IF(A1856&lt;&gt;"",WEEKNUM(A1856,21),IF(C1855&lt;&gt;"",C1855,""))</f>
        <v>27</v>
      </c>
      <c r="D1856" s="34"/>
      <c r="E1856" s="34"/>
      <c r="F1856" s="34"/>
      <c r="G1856" s="34"/>
      <c r="H1856" s="34"/>
      <c r="I1856" s="35"/>
      <c r="J1856" s="35"/>
      <c r="K1856" s="36"/>
      <c r="L1856" s="26" t="str">
        <f>IF(OR(F1856 = "", G1856 = ""), "", IF(F1856 = "Vara", IFERROR(_xlfn.SINGLE(_xlfn.XLOOKUP(G1856, Vöruskrá!A:A, Vöruskrá!E:E, "")), ""), IF(F1856 = "Réttur", IFERROR(_xlfn.SINGLE(_xlfn.XLOOKUP(G1856, Réttabanki!A:A, Réttabanki!AS:AS, "")), ""), "")))</f>
        <v/>
      </c>
      <c r="M1856" s="26" t="str">
        <f>IF(OR(F1856 = "", G1856 = ""), "", IF(F1856 = "Vara", IFERROR(_xlfn.SINGLE(_xlfn.XLOOKUP(G1856, Vöruskrá!A:A, Vöruskrá!F:F, "")), ""), IF(F1856 = "Réttur", IFERROR(_xlfn.SINGLE(_xlfn.XLOOKUP(G1856, Réttabanki!A:A, Réttabanki!AT:AT, "")), ""), "")))</f>
        <v/>
      </c>
      <c r="N1856" s="26" t="str">
        <f>IF(OR(F1856 = "", G1856 = ""), "", IF(F1856 = "Vara", IFERROR(_xlfn.SINGLE(_xlfn.XLOOKUP(G1856, Vöruskrá!A:A, Vöruskrá!G:G, "")), ""), IF(F1856 = "Réttur", IFERROR(_xlfn.SINGLE(_xlfn.XLOOKUP(G1856, Réttabanki!A:A, Réttabanki!AU:AU, "")), ""), "")))</f>
        <v/>
      </c>
      <c r="O1856" s="26" t="str">
        <f>IF(OR(F1856 = "", G1856 = "", I1856 = ""), "", IF(F1856 = "Vara", IFERROR(_xlfn.SINGLE(_xlfn.XLOOKUP(G1856, Vöruskrá!A:A, Vöruskrá!I:I, "")) * I1856 / 100, ""), IF(F1856 = "Réttur", IFERROR(_xlfn.SINGLE(_xlfn.XLOOKUP(G1856, Réttabanki!A:A, Réttabanki!AV:AV, "")) * I1856 / 100, ""), "")))</f>
        <v/>
      </c>
      <c r="P1856" s="26" t="str">
        <f>IF(OR(F1856 = "", G1856 = "", I1856 = ""), "", IF(F1856 = "Vara", IFERROR(_xlfn.SINGLE(_xlfn.XLOOKUP(G1856, Vöruskrá!A:A, Vöruskrá!J:J, "")) * I1856 / 100, ""), IF(F1856 = "Réttur", IFERROR(_xlfn.SINGLE(_xlfn.XLOOKUP(G1856, Réttabanki!A:A, Réttabanki!AW:AW, "")) * I1856 / 100, ""), "")))</f>
        <v/>
      </c>
      <c r="Q1856" s="26" t="str">
        <f>IF(OR(F1856 = "", G1856 = "", I1856 = ""), "", IF(F1856 = "Vara", IFERROR(_xlfn.SINGLE(_xlfn.XLOOKUP(G1856, Vöruskrá!A:A, Vöruskrá!N:N, "")) * I1856 / 100, ""), IF(F1856 = "Réttur", IFERROR(_xlfn.SINGLE(_xlfn.XLOOKUP(G1856, Réttabanki!A:A, Réttabanki!BB:BB, "")) * I1856 / 100, ""), "")))</f>
        <v/>
      </c>
    </row>
    <row r="1857" spans="2:17">
      <c r="B1857" s="33" t="str">
        <f>IF(A1857&lt;&gt;"",CHOOSE(WEEKDAY(A1857,2),"Mánudagur","Þriðjudagur","Miðvikudagur","Fimmtudagur","Föstudagur","Laugardagur","Sunnudagur"),IF(B1856&lt;&gt;"",B1856,""))</f>
        <v>Fimmtudagur</v>
      </c>
      <c r="C1857" s="33">
        <f>IF(A1857&lt;&gt;"",WEEKNUM(A1857,21),IF(C1856&lt;&gt;"",C1856,""))</f>
        <v>27</v>
      </c>
      <c r="D1857" s="34"/>
      <c r="E1857" s="34"/>
      <c r="F1857" s="34"/>
      <c r="G1857" s="34"/>
      <c r="H1857" s="34"/>
      <c r="I1857" s="35"/>
      <c r="J1857" s="35"/>
      <c r="K1857" s="36"/>
      <c r="L1857" s="26" t="str">
        <f>IF(OR(F1857 = "", G1857 = ""), "", IF(F1857 = "Vara", IFERROR(_xlfn.SINGLE(_xlfn.XLOOKUP(G1857, Vöruskrá!A:A, Vöruskrá!E:E, "")), ""), IF(F1857 = "Réttur", IFERROR(_xlfn.SINGLE(_xlfn.XLOOKUP(G1857, Réttabanki!A:A, Réttabanki!AS:AS, "")), ""), "")))</f>
        <v/>
      </c>
      <c r="M1857" s="26" t="str">
        <f>IF(OR(F1857 = "", G1857 = ""), "", IF(F1857 = "Vara", IFERROR(_xlfn.SINGLE(_xlfn.XLOOKUP(G1857, Vöruskrá!A:A, Vöruskrá!F:F, "")), ""), IF(F1857 = "Réttur", IFERROR(_xlfn.SINGLE(_xlfn.XLOOKUP(G1857, Réttabanki!A:A, Réttabanki!AT:AT, "")), ""), "")))</f>
        <v/>
      </c>
      <c r="N1857" s="26" t="str">
        <f>IF(OR(F1857 = "", G1857 = ""), "", IF(F1857 = "Vara", IFERROR(_xlfn.SINGLE(_xlfn.XLOOKUP(G1857, Vöruskrá!A:A, Vöruskrá!G:G, "")), ""), IF(F1857 = "Réttur", IFERROR(_xlfn.SINGLE(_xlfn.XLOOKUP(G1857, Réttabanki!A:A, Réttabanki!AU:AU, "")), ""), "")))</f>
        <v/>
      </c>
      <c r="O1857" s="26" t="str">
        <f>IF(OR(F1857 = "", G1857 = "", I1857 = ""), "", IF(F1857 = "Vara", IFERROR(_xlfn.SINGLE(_xlfn.XLOOKUP(G1857, Vöruskrá!A:A, Vöruskrá!I:I, "")) * I1857 / 100, ""), IF(F1857 = "Réttur", IFERROR(_xlfn.SINGLE(_xlfn.XLOOKUP(G1857, Réttabanki!A:A, Réttabanki!AV:AV, "")) * I1857 / 100, ""), "")))</f>
        <v/>
      </c>
      <c r="P1857" s="26" t="str">
        <f>IF(OR(F1857 = "", G1857 = "", I1857 = ""), "", IF(F1857 = "Vara", IFERROR(_xlfn.SINGLE(_xlfn.XLOOKUP(G1857, Vöruskrá!A:A, Vöruskrá!J:J, "")) * I1857 / 100, ""), IF(F1857 = "Réttur", IFERROR(_xlfn.SINGLE(_xlfn.XLOOKUP(G1857, Réttabanki!A:A, Réttabanki!AW:AW, "")) * I1857 / 100, ""), "")))</f>
        <v/>
      </c>
      <c r="Q1857" s="26" t="str">
        <f>IF(OR(F1857 = "", G1857 = "", I1857 = ""), "", IF(F1857 = "Vara", IFERROR(_xlfn.SINGLE(_xlfn.XLOOKUP(G1857, Vöruskrá!A:A, Vöruskrá!N:N, "")) * I1857 / 100, ""), IF(F1857 = "Réttur", IFERROR(_xlfn.SINGLE(_xlfn.XLOOKUP(G1857, Réttabanki!A:A, Réttabanki!BB:BB, "")) * I1857 / 100, ""), "")))</f>
        <v/>
      </c>
    </row>
    <row r="1858" spans="2:17">
      <c r="B1858" s="33" t="str">
        <f>IF(A1858&lt;&gt;"",CHOOSE(WEEKDAY(A1858,2),"Mánudagur","Þriðjudagur","Miðvikudagur","Fimmtudagur","Föstudagur","Laugardagur","Sunnudagur"),IF(B1857&lt;&gt;"",B1857,""))</f>
        <v>Fimmtudagur</v>
      </c>
      <c r="C1858" s="33">
        <f>IF(A1858&lt;&gt;"",WEEKNUM(A1858,21),IF(C1857&lt;&gt;"",C1857,""))</f>
        <v>27</v>
      </c>
      <c r="D1858" s="34"/>
      <c r="E1858" s="34"/>
      <c r="F1858" s="34"/>
      <c r="G1858" s="34"/>
      <c r="H1858" s="34"/>
      <c r="I1858" s="35"/>
      <c r="J1858" s="35"/>
      <c r="K1858" s="36"/>
      <c r="L1858" s="26" t="str">
        <f>IF(OR(F1858 = "", G1858 = ""), "", IF(F1858 = "Vara", IFERROR(_xlfn.SINGLE(_xlfn.XLOOKUP(G1858, Vöruskrá!A:A, Vöruskrá!E:E, "")), ""), IF(F1858 = "Réttur", IFERROR(_xlfn.SINGLE(_xlfn.XLOOKUP(G1858, Réttabanki!A:A, Réttabanki!AS:AS, "")), ""), "")))</f>
        <v/>
      </c>
      <c r="M1858" s="26" t="str">
        <f>IF(OR(F1858 = "", G1858 = ""), "", IF(F1858 = "Vara", IFERROR(_xlfn.SINGLE(_xlfn.XLOOKUP(G1858, Vöruskrá!A:A, Vöruskrá!F:F, "")), ""), IF(F1858 = "Réttur", IFERROR(_xlfn.SINGLE(_xlfn.XLOOKUP(G1858, Réttabanki!A:A, Réttabanki!AT:AT, "")), ""), "")))</f>
        <v/>
      </c>
      <c r="N1858" s="26" t="str">
        <f>IF(OR(F1858 = "", G1858 = ""), "", IF(F1858 = "Vara", IFERROR(_xlfn.SINGLE(_xlfn.XLOOKUP(G1858, Vöruskrá!A:A, Vöruskrá!G:G, "")), ""), IF(F1858 = "Réttur", IFERROR(_xlfn.SINGLE(_xlfn.XLOOKUP(G1858, Réttabanki!A:A, Réttabanki!AU:AU, "")), ""), "")))</f>
        <v/>
      </c>
      <c r="O1858" s="26" t="str">
        <f>IF(OR(F1858 = "", G1858 = "", I1858 = ""), "", IF(F1858 = "Vara", IFERROR(_xlfn.SINGLE(_xlfn.XLOOKUP(G1858, Vöruskrá!A:A, Vöruskrá!I:I, "")) * I1858 / 100, ""), IF(F1858 = "Réttur", IFERROR(_xlfn.SINGLE(_xlfn.XLOOKUP(G1858, Réttabanki!A:A, Réttabanki!AV:AV, "")) * I1858 / 100, ""), "")))</f>
        <v/>
      </c>
      <c r="P1858" s="26" t="str">
        <f>IF(OR(F1858 = "", G1858 = "", I1858 = ""), "", IF(F1858 = "Vara", IFERROR(_xlfn.SINGLE(_xlfn.XLOOKUP(G1858, Vöruskrá!A:A, Vöruskrá!J:J, "")) * I1858 / 100, ""), IF(F1858 = "Réttur", IFERROR(_xlfn.SINGLE(_xlfn.XLOOKUP(G1858, Réttabanki!A:A, Réttabanki!AW:AW, "")) * I1858 / 100, ""), "")))</f>
        <v/>
      </c>
      <c r="Q1858" s="26" t="str">
        <f>IF(OR(F1858 = "", G1858 = "", I1858 = ""), "", IF(F1858 = "Vara", IFERROR(_xlfn.SINGLE(_xlfn.XLOOKUP(G1858, Vöruskrá!A:A, Vöruskrá!N:N, "")) * I1858 / 100, ""), IF(F1858 = "Réttur", IFERROR(_xlfn.SINGLE(_xlfn.XLOOKUP(G1858, Réttabanki!A:A, Réttabanki!BB:BB, "")) * I1858 / 100, ""), "")))</f>
        <v/>
      </c>
    </row>
    <row r="1859" spans="2:17">
      <c r="B1859" s="33" t="str">
        <f>IF(A1859&lt;&gt;"",CHOOSE(WEEKDAY(A1859,2),"Mánudagur","Þriðjudagur","Miðvikudagur","Fimmtudagur","Föstudagur","Laugardagur","Sunnudagur"),IF(B1858&lt;&gt;"",B1858,""))</f>
        <v>Fimmtudagur</v>
      </c>
      <c r="C1859" s="33">
        <f>IF(A1859&lt;&gt;"",WEEKNUM(A1859,21),IF(C1858&lt;&gt;"",C1858,""))</f>
        <v>27</v>
      </c>
      <c r="D1859" s="34"/>
      <c r="E1859" s="34"/>
      <c r="F1859" s="34"/>
      <c r="G1859" s="34"/>
      <c r="H1859" s="34"/>
      <c r="I1859" s="35"/>
      <c r="J1859" s="35"/>
      <c r="K1859" s="36"/>
      <c r="L1859" s="26" t="str">
        <f>IF(OR(F1859 = "", G1859 = ""), "", IF(F1859 = "Vara", IFERROR(_xlfn.SINGLE(_xlfn.XLOOKUP(G1859, Vöruskrá!A:A, Vöruskrá!E:E, "")), ""), IF(F1859 = "Réttur", IFERROR(_xlfn.SINGLE(_xlfn.XLOOKUP(G1859, Réttabanki!A:A, Réttabanki!AS:AS, "")), ""), "")))</f>
        <v/>
      </c>
      <c r="M1859" s="26" t="str">
        <f>IF(OR(F1859 = "", G1859 = ""), "", IF(F1859 = "Vara", IFERROR(_xlfn.SINGLE(_xlfn.XLOOKUP(G1859, Vöruskrá!A:A, Vöruskrá!F:F, "")), ""), IF(F1859 = "Réttur", IFERROR(_xlfn.SINGLE(_xlfn.XLOOKUP(G1859, Réttabanki!A:A, Réttabanki!AT:AT, "")), ""), "")))</f>
        <v/>
      </c>
      <c r="N1859" s="26" t="str">
        <f>IF(OR(F1859 = "", G1859 = ""), "", IF(F1859 = "Vara", IFERROR(_xlfn.SINGLE(_xlfn.XLOOKUP(G1859, Vöruskrá!A:A, Vöruskrá!G:G, "")), ""), IF(F1859 = "Réttur", IFERROR(_xlfn.SINGLE(_xlfn.XLOOKUP(G1859, Réttabanki!A:A, Réttabanki!AU:AU, "")), ""), "")))</f>
        <v/>
      </c>
      <c r="O1859" s="26" t="str">
        <f>IF(OR(F1859 = "", G1859 = "", I1859 = ""), "", IF(F1859 = "Vara", IFERROR(_xlfn.SINGLE(_xlfn.XLOOKUP(G1859, Vöruskrá!A:A, Vöruskrá!I:I, "")) * I1859 / 100, ""), IF(F1859 = "Réttur", IFERROR(_xlfn.SINGLE(_xlfn.XLOOKUP(G1859, Réttabanki!A:A, Réttabanki!AV:AV, "")) * I1859 / 100, ""), "")))</f>
        <v/>
      </c>
      <c r="P1859" s="26" t="str">
        <f>IF(OR(F1859 = "", G1859 = "", I1859 = ""), "", IF(F1859 = "Vara", IFERROR(_xlfn.SINGLE(_xlfn.XLOOKUP(G1859, Vöruskrá!A:A, Vöruskrá!J:J, "")) * I1859 / 100, ""), IF(F1859 = "Réttur", IFERROR(_xlfn.SINGLE(_xlfn.XLOOKUP(G1859, Réttabanki!A:A, Réttabanki!AW:AW, "")) * I1859 / 100, ""), "")))</f>
        <v/>
      </c>
      <c r="Q1859" s="26" t="str">
        <f>IF(OR(F1859 = "", G1859 = "", I1859 = ""), "", IF(F1859 = "Vara", IFERROR(_xlfn.SINGLE(_xlfn.XLOOKUP(G1859, Vöruskrá!A:A, Vöruskrá!N:N, "")) * I1859 / 100, ""), IF(F1859 = "Réttur", IFERROR(_xlfn.SINGLE(_xlfn.XLOOKUP(G1859, Réttabanki!A:A, Réttabanki!BB:BB, "")) * I1859 / 100, ""), "")))</f>
        <v/>
      </c>
    </row>
    <row r="1860" spans="2:17">
      <c r="B1860" s="33" t="str">
        <f>IF(A1860&lt;&gt;"",CHOOSE(WEEKDAY(A1860,2),"Mánudagur","Þriðjudagur","Miðvikudagur","Fimmtudagur","Föstudagur","Laugardagur","Sunnudagur"),IF(B1859&lt;&gt;"",B1859,""))</f>
        <v>Fimmtudagur</v>
      </c>
      <c r="C1860" s="33">
        <f>IF(A1860&lt;&gt;"",WEEKNUM(A1860,21),IF(C1859&lt;&gt;"",C1859,""))</f>
        <v>27</v>
      </c>
      <c r="D1860" s="34"/>
      <c r="E1860" s="34"/>
      <c r="F1860" s="34"/>
      <c r="G1860" s="34"/>
      <c r="H1860" s="34"/>
      <c r="I1860" s="35"/>
      <c r="J1860" s="35"/>
      <c r="K1860" s="36"/>
      <c r="L1860" s="26" t="str">
        <f>IF(OR(F1860 = "", G1860 = ""), "", IF(F1860 = "Vara", IFERROR(_xlfn.SINGLE(_xlfn.XLOOKUP(G1860, Vöruskrá!A:A, Vöruskrá!E:E, "")), ""), IF(F1860 = "Réttur", IFERROR(_xlfn.SINGLE(_xlfn.XLOOKUP(G1860, Réttabanki!A:A, Réttabanki!AS:AS, "")), ""), "")))</f>
        <v/>
      </c>
      <c r="M1860" s="26" t="str">
        <f>IF(OR(F1860 = "", G1860 = ""), "", IF(F1860 = "Vara", IFERROR(_xlfn.SINGLE(_xlfn.XLOOKUP(G1860, Vöruskrá!A:A, Vöruskrá!F:F, "")), ""), IF(F1860 = "Réttur", IFERROR(_xlfn.SINGLE(_xlfn.XLOOKUP(G1860, Réttabanki!A:A, Réttabanki!AT:AT, "")), ""), "")))</f>
        <v/>
      </c>
      <c r="N1860" s="26" t="str">
        <f>IF(OR(F1860 = "", G1860 = ""), "", IF(F1860 = "Vara", IFERROR(_xlfn.SINGLE(_xlfn.XLOOKUP(G1860, Vöruskrá!A:A, Vöruskrá!G:G, "")), ""), IF(F1860 = "Réttur", IFERROR(_xlfn.SINGLE(_xlfn.XLOOKUP(G1860, Réttabanki!A:A, Réttabanki!AU:AU, "")), ""), "")))</f>
        <v/>
      </c>
      <c r="O1860" s="26" t="str">
        <f>IF(OR(F1860 = "", G1860 = "", I1860 = ""), "", IF(F1860 = "Vara", IFERROR(_xlfn.SINGLE(_xlfn.XLOOKUP(G1860, Vöruskrá!A:A, Vöruskrá!I:I, "")) * I1860 / 100, ""), IF(F1860 = "Réttur", IFERROR(_xlfn.SINGLE(_xlfn.XLOOKUP(G1860, Réttabanki!A:A, Réttabanki!AV:AV, "")) * I1860 / 100, ""), "")))</f>
        <v/>
      </c>
      <c r="P1860" s="26" t="str">
        <f>IF(OR(F1860 = "", G1860 = "", I1860 = ""), "", IF(F1860 = "Vara", IFERROR(_xlfn.SINGLE(_xlfn.XLOOKUP(G1860, Vöruskrá!A:A, Vöruskrá!J:J, "")) * I1860 / 100, ""), IF(F1860 = "Réttur", IFERROR(_xlfn.SINGLE(_xlfn.XLOOKUP(G1860, Réttabanki!A:A, Réttabanki!AW:AW, "")) * I1860 / 100, ""), "")))</f>
        <v/>
      </c>
      <c r="Q1860" s="26" t="str">
        <f>IF(OR(F1860 = "", G1860 = "", I1860 = ""), "", IF(F1860 = "Vara", IFERROR(_xlfn.SINGLE(_xlfn.XLOOKUP(G1860, Vöruskrá!A:A, Vöruskrá!N:N, "")) * I1860 / 100, ""), IF(F1860 = "Réttur", IFERROR(_xlfn.SINGLE(_xlfn.XLOOKUP(G1860, Réttabanki!A:A, Réttabanki!BB:BB, "")) * I1860 / 100, ""), "")))</f>
        <v/>
      </c>
    </row>
    <row r="1861" spans="2:17">
      <c r="B1861" s="33" t="str">
        <f>IF(A1861&lt;&gt;"",CHOOSE(WEEKDAY(A1861,2),"Mánudagur","Þriðjudagur","Miðvikudagur","Fimmtudagur","Föstudagur","Laugardagur","Sunnudagur"),IF(B1860&lt;&gt;"",B1860,""))</f>
        <v>Fimmtudagur</v>
      </c>
      <c r="C1861" s="33">
        <f>IF(A1861&lt;&gt;"",WEEKNUM(A1861,21),IF(C1860&lt;&gt;"",C1860,""))</f>
        <v>27</v>
      </c>
      <c r="D1861" s="34"/>
      <c r="E1861" s="34"/>
      <c r="F1861" s="34"/>
      <c r="G1861" s="34"/>
      <c r="H1861" s="34"/>
      <c r="I1861" s="35"/>
      <c r="J1861" s="35"/>
      <c r="K1861" s="36"/>
      <c r="L1861" s="26" t="str">
        <f>IF(OR(F1861 = "", G1861 = ""), "", IF(F1861 = "Vara", IFERROR(_xlfn.SINGLE(_xlfn.XLOOKUP(G1861, Vöruskrá!A:A, Vöruskrá!E:E, "")), ""), IF(F1861 = "Réttur", IFERROR(_xlfn.SINGLE(_xlfn.XLOOKUP(G1861, Réttabanki!A:A, Réttabanki!AS:AS, "")), ""), "")))</f>
        <v/>
      </c>
      <c r="M1861" s="26" t="str">
        <f>IF(OR(F1861 = "", G1861 = ""), "", IF(F1861 = "Vara", IFERROR(_xlfn.SINGLE(_xlfn.XLOOKUP(G1861, Vöruskrá!A:A, Vöruskrá!F:F, "")), ""), IF(F1861 = "Réttur", IFERROR(_xlfn.SINGLE(_xlfn.XLOOKUP(G1861, Réttabanki!A:A, Réttabanki!AT:AT, "")), ""), "")))</f>
        <v/>
      </c>
      <c r="N1861" s="26" t="str">
        <f>IF(OR(F1861 = "", G1861 = ""), "", IF(F1861 = "Vara", IFERROR(_xlfn.SINGLE(_xlfn.XLOOKUP(G1861, Vöruskrá!A:A, Vöruskrá!G:G, "")), ""), IF(F1861 = "Réttur", IFERROR(_xlfn.SINGLE(_xlfn.XLOOKUP(G1861, Réttabanki!A:A, Réttabanki!AU:AU, "")), ""), "")))</f>
        <v/>
      </c>
      <c r="O1861" s="26" t="str">
        <f>IF(OR(F1861 = "", G1861 = "", I1861 = ""), "", IF(F1861 = "Vara", IFERROR(_xlfn.SINGLE(_xlfn.XLOOKUP(G1861, Vöruskrá!A:A, Vöruskrá!I:I, "")) * I1861 / 100, ""), IF(F1861 = "Réttur", IFERROR(_xlfn.SINGLE(_xlfn.XLOOKUP(G1861, Réttabanki!A:A, Réttabanki!AV:AV, "")) * I1861 / 100, ""), "")))</f>
        <v/>
      </c>
      <c r="P1861" s="26" t="str">
        <f>IF(OR(F1861 = "", G1861 = "", I1861 = ""), "", IF(F1861 = "Vara", IFERROR(_xlfn.SINGLE(_xlfn.XLOOKUP(G1861, Vöruskrá!A:A, Vöruskrá!J:J, "")) * I1861 / 100, ""), IF(F1861 = "Réttur", IFERROR(_xlfn.SINGLE(_xlfn.XLOOKUP(G1861, Réttabanki!A:A, Réttabanki!AW:AW, "")) * I1861 / 100, ""), "")))</f>
        <v/>
      </c>
      <c r="Q1861" s="26" t="str">
        <f>IF(OR(F1861 = "", G1861 = "", I1861 = ""), "", IF(F1861 = "Vara", IFERROR(_xlfn.SINGLE(_xlfn.XLOOKUP(G1861, Vöruskrá!A:A, Vöruskrá!N:N, "")) * I1861 / 100, ""), IF(F1861 = "Réttur", IFERROR(_xlfn.SINGLE(_xlfn.XLOOKUP(G1861, Réttabanki!A:A, Réttabanki!BB:BB, "")) * I1861 / 100, ""), "")))</f>
        <v/>
      </c>
    </row>
    <row r="1862" spans="2:17">
      <c r="B1862" s="33" t="str">
        <f>IF(A1862&lt;&gt;"",CHOOSE(WEEKDAY(A1862,2),"Mánudagur","Þriðjudagur","Miðvikudagur","Fimmtudagur","Föstudagur","Laugardagur","Sunnudagur"),IF(B1861&lt;&gt;"",B1861,""))</f>
        <v>Fimmtudagur</v>
      </c>
      <c r="C1862" s="33">
        <f>IF(A1862&lt;&gt;"",WEEKNUM(A1862,21),IF(C1861&lt;&gt;"",C1861,""))</f>
        <v>27</v>
      </c>
      <c r="D1862" s="34"/>
      <c r="E1862" s="34"/>
      <c r="F1862" s="34"/>
      <c r="G1862" s="34"/>
      <c r="H1862" s="34"/>
      <c r="I1862" s="35"/>
      <c r="J1862" s="35"/>
      <c r="K1862" s="36"/>
      <c r="L1862" s="26" t="str">
        <f>IF(OR(F1862 = "", G1862 = ""), "", IF(F1862 = "Vara", IFERROR(_xlfn.SINGLE(_xlfn.XLOOKUP(G1862, Vöruskrá!A:A, Vöruskrá!E:E, "")), ""), IF(F1862 = "Réttur", IFERROR(_xlfn.SINGLE(_xlfn.XLOOKUP(G1862, Réttabanki!A:A, Réttabanki!AS:AS, "")), ""), "")))</f>
        <v/>
      </c>
      <c r="M1862" s="26" t="str">
        <f>IF(OR(F1862 = "", G1862 = ""), "", IF(F1862 = "Vara", IFERROR(_xlfn.SINGLE(_xlfn.XLOOKUP(G1862, Vöruskrá!A:A, Vöruskrá!F:F, "")), ""), IF(F1862 = "Réttur", IFERROR(_xlfn.SINGLE(_xlfn.XLOOKUP(G1862, Réttabanki!A:A, Réttabanki!AT:AT, "")), ""), "")))</f>
        <v/>
      </c>
      <c r="N1862" s="26" t="str">
        <f>IF(OR(F1862 = "", G1862 = ""), "", IF(F1862 = "Vara", IFERROR(_xlfn.SINGLE(_xlfn.XLOOKUP(G1862, Vöruskrá!A:A, Vöruskrá!G:G, "")), ""), IF(F1862 = "Réttur", IFERROR(_xlfn.SINGLE(_xlfn.XLOOKUP(G1862, Réttabanki!A:A, Réttabanki!AU:AU, "")), ""), "")))</f>
        <v/>
      </c>
      <c r="O1862" s="26" t="str">
        <f>IF(OR(F1862 = "", G1862 = "", I1862 = ""), "", IF(F1862 = "Vara", IFERROR(_xlfn.SINGLE(_xlfn.XLOOKUP(G1862, Vöruskrá!A:A, Vöruskrá!I:I, "")) * I1862 / 100, ""), IF(F1862 = "Réttur", IFERROR(_xlfn.SINGLE(_xlfn.XLOOKUP(G1862, Réttabanki!A:A, Réttabanki!AV:AV, "")) * I1862 / 100, ""), "")))</f>
        <v/>
      </c>
      <c r="P1862" s="26" t="str">
        <f>IF(OR(F1862 = "", G1862 = "", I1862 = ""), "", IF(F1862 = "Vara", IFERROR(_xlfn.SINGLE(_xlfn.XLOOKUP(G1862, Vöruskrá!A:A, Vöruskrá!J:J, "")) * I1862 / 100, ""), IF(F1862 = "Réttur", IFERROR(_xlfn.SINGLE(_xlfn.XLOOKUP(G1862, Réttabanki!A:A, Réttabanki!AW:AW, "")) * I1862 / 100, ""), "")))</f>
        <v/>
      </c>
      <c r="Q1862" s="26" t="str">
        <f>IF(OR(F1862 = "", G1862 = "", I1862 = ""), "", IF(F1862 = "Vara", IFERROR(_xlfn.SINGLE(_xlfn.XLOOKUP(G1862, Vöruskrá!A:A, Vöruskrá!N:N, "")) * I1862 / 100, ""), IF(F1862 = "Réttur", IFERROR(_xlfn.SINGLE(_xlfn.XLOOKUP(G1862, Réttabanki!A:A, Réttabanki!BB:BB, "")) * I1862 / 100, ""), "")))</f>
        <v/>
      </c>
    </row>
    <row r="1863" spans="2:17">
      <c r="B1863" s="33" t="str">
        <f>IF(A1863&lt;&gt;"",CHOOSE(WEEKDAY(A1863,2),"Mánudagur","Þriðjudagur","Miðvikudagur","Fimmtudagur","Föstudagur","Laugardagur","Sunnudagur"),IF(B1862&lt;&gt;"",B1862,""))</f>
        <v>Fimmtudagur</v>
      </c>
      <c r="C1863" s="33">
        <f>IF(A1863&lt;&gt;"",WEEKNUM(A1863,21),IF(C1862&lt;&gt;"",C1862,""))</f>
        <v>27</v>
      </c>
      <c r="D1863" s="34"/>
      <c r="E1863" s="34"/>
      <c r="F1863" s="34"/>
      <c r="G1863" s="34"/>
      <c r="H1863" s="34"/>
      <c r="I1863" s="35"/>
      <c r="J1863" s="35"/>
      <c r="K1863" s="36"/>
      <c r="L1863" s="26" t="str">
        <f>IF(OR(F1863 = "", G1863 = ""), "", IF(F1863 = "Vara", IFERROR(_xlfn.SINGLE(_xlfn.XLOOKUP(G1863, Vöruskrá!A:A, Vöruskrá!E:E, "")), ""), IF(F1863 = "Réttur", IFERROR(_xlfn.SINGLE(_xlfn.XLOOKUP(G1863, Réttabanki!A:A, Réttabanki!AS:AS, "")), ""), "")))</f>
        <v/>
      </c>
      <c r="M1863" s="26" t="str">
        <f>IF(OR(F1863 = "", G1863 = ""), "", IF(F1863 = "Vara", IFERROR(_xlfn.SINGLE(_xlfn.XLOOKUP(G1863, Vöruskrá!A:A, Vöruskrá!F:F, "")), ""), IF(F1863 = "Réttur", IFERROR(_xlfn.SINGLE(_xlfn.XLOOKUP(G1863, Réttabanki!A:A, Réttabanki!AT:AT, "")), ""), "")))</f>
        <v/>
      </c>
      <c r="N1863" s="26" t="str">
        <f>IF(OR(F1863 = "", G1863 = ""), "", IF(F1863 = "Vara", IFERROR(_xlfn.SINGLE(_xlfn.XLOOKUP(G1863, Vöruskrá!A:A, Vöruskrá!G:G, "")), ""), IF(F1863 = "Réttur", IFERROR(_xlfn.SINGLE(_xlfn.XLOOKUP(G1863, Réttabanki!A:A, Réttabanki!AU:AU, "")), ""), "")))</f>
        <v/>
      </c>
      <c r="O1863" s="26" t="str">
        <f>IF(OR(F1863 = "", G1863 = "", I1863 = ""), "", IF(F1863 = "Vara", IFERROR(_xlfn.SINGLE(_xlfn.XLOOKUP(G1863, Vöruskrá!A:A, Vöruskrá!I:I, "")) * I1863 / 100, ""), IF(F1863 = "Réttur", IFERROR(_xlfn.SINGLE(_xlfn.XLOOKUP(G1863, Réttabanki!A:A, Réttabanki!AV:AV, "")) * I1863 / 100, ""), "")))</f>
        <v/>
      </c>
      <c r="P1863" s="26" t="str">
        <f>IF(OR(F1863 = "", G1863 = "", I1863 = ""), "", IF(F1863 = "Vara", IFERROR(_xlfn.SINGLE(_xlfn.XLOOKUP(G1863, Vöruskrá!A:A, Vöruskrá!J:J, "")) * I1863 / 100, ""), IF(F1863 = "Réttur", IFERROR(_xlfn.SINGLE(_xlfn.XLOOKUP(G1863, Réttabanki!A:A, Réttabanki!AW:AW, "")) * I1863 / 100, ""), "")))</f>
        <v/>
      </c>
      <c r="Q1863" s="26" t="str">
        <f>IF(OR(F1863 = "", G1863 = "", I1863 = ""), "", IF(F1863 = "Vara", IFERROR(_xlfn.SINGLE(_xlfn.XLOOKUP(G1863, Vöruskrá!A:A, Vöruskrá!N:N, "")) * I1863 / 100, ""), IF(F1863 = "Réttur", IFERROR(_xlfn.SINGLE(_xlfn.XLOOKUP(G1863, Réttabanki!A:A, Réttabanki!BB:BB, "")) * I1863 / 100, ""), "")))</f>
        <v/>
      </c>
    </row>
    <row r="1864" spans="2:17">
      <c r="B1864" s="33" t="str">
        <f>IF(A1864&lt;&gt;"",CHOOSE(WEEKDAY(A1864,2),"Mánudagur","Þriðjudagur","Miðvikudagur","Fimmtudagur","Föstudagur","Laugardagur","Sunnudagur"),IF(B1863&lt;&gt;"",B1863,""))</f>
        <v>Fimmtudagur</v>
      </c>
      <c r="C1864" s="33">
        <f>IF(A1864&lt;&gt;"",WEEKNUM(A1864,21),IF(C1863&lt;&gt;"",C1863,""))</f>
        <v>27</v>
      </c>
      <c r="D1864" s="34"/>
      <c r="E1864" s="34"/>
      <c r="F1864" s="34"/>
      <c r="G1864" s="34"/>
      <c r="H1864" s="34"/>
      <c r="I1864" s="35"/>
      <c r="J1864" s="35"/>
      <c r="K1864" s="36"/>
      <c r="L1864" s="26" t="str">
        <f>IF(OR(F1864 = "", G1864 = ""), "", IF(F1864 = "Vara", IFERROR(_xlfn.SINGLE(_xlfn.XLOOKUP(G1864, Vöruskrá!A:A, Vöruskrá!E:E, "")), ""), IF(F1864 = "Réttur", IFERROR(_xlfn.SINGLE(_xlfn.XLOOKUP(G1864, Réttabanki!A:A, Réttabanki!AS:AS, "")), ""), "")))</f>
        <v/>
      </c>
      <c r="M1864" s="26" t="str">
        <f>IF(OR(F1864 = "", G1864 = ""), "", IF(F1864 = "Vara", IFERROR(_xlfn.SINGLE(_xlfn.XLOOKUP(G1864, Vöruskrá!A:A, Vöruskrá!F:F, "")), ""), IF(F1864 = "Réttur", IFERROR(_xlfn.SINGLE(_xlfn.XLOOKUP(G1864, Réttabanki!A:A, Réttabanki!AT:AT, "")), ""), "")))</f>
        <v/>
      </c>
      <c r="N1864" s="26" t="str">
        <f>IF(OR(F1864 = "", G1864 = ""), "", IF(F1864 = "Vara", IFERROR(_xlfn.SINGLE(_xlfn.XLOOKUP(G1864, Vöruskrá!A:A, Vöruskrá!G:G, "")), ""), IF(F1864 = "Réttur", IFERROR(_xlfn.SINGLE(_xlfn.XLOOKUP(G1864, Réttabanki!A:A, Réttabanki!AU:AU, "")), ""), "")))</f>
        <v/>
      </c>
      <c r="O1864" s="26" t="str">
        <f>IF(OR(F1864 = "", G1864 = "", I1864 = ""), "", IF(F1864 = "Vara", IFERROR(_xlfn.SINGLE(_xlfn.XLOOKUP(G1864, Vöruskrá!A:A, Vöruskrá!I:I, "")) * I1864 / 100, ""), IF(F1864 = "Réttur", IFERROR(_xlfn.SINGLE(_xlfn.XLOOKUP(G1864, Réttabanki!A:A, Réttabanki!AV:AV, "")) * I1864 / 100, ""), "")))</f>
        <v/>
      </c>
      <c r="P1864" s="26" t="str">
        <f>IF(OR(F1864 = "", G1864 = "", I1864 = ""), "", IF(F1864 = "Vara", IFERROR(_xlfn.SINGLE(_xlfn.XLOOKUP(G1864, Vöruskrá!A:A, Vöruskrá!J:J, "")) * I1864 / 100, ""), IF(F1864 = "Réttur", IFERROR(_xlfn.SINGLE(_xlfn.XLOOKUP(G1864, Réttabanki!A:A, Réttabanki!AW:AW, "")) * I1864 / 100, ""), "")))</f>
        <v/>
      </c>
      <c r="Q1864" s="26" t="str">
        <f>IF(OR(F1864 = "", G1864 = "", I1864 = ""), "", IF(F1864 = "Vara", IFERROR(_xlfn.SINGLE(_xlfn.XLOOKUP(G1864, Vöruskrá!A:A, Vöruskrá!N:N, "")) * I1864 / 100, ""), IF(F1864 = "Réttur", IFERROR(_xlfn.SINGLE(_xlfn.XLOOKUP(G1864, Réttabanki!A:A, Réttabanki!BB:BB, "")) * I1864 / 100, ""), "")))</f>
        <v/>
      </c>
    </row>
    <row r="1865" spans="2:17">
      <c r="B1865" s="33" t="str">
        <f>IF(A1865&lt;&gt;"",CHOOSE(WEEKDAY(A1865,2),"Mánudagur","Þriðjudagur","Miðvikudagur","Fimmtudagur","Föstudagur","Laugardagur","Sunnudagur"),IF(B1864&lt;&gt;"",B1864,""))</f>
        <v>Fimmtudagur</v>
      </c>
      <c r="C1865" s="33">
        <f>IF(A1865&lt;&gt;"",WEEKNUM(A1865,21),IF(C1864&lt;&gt;"",C1864,""))</f>
        <v>27</v>
      </c>
      <c r="D1865" s="34"/>
      <c r="E1865" s="34"/>
      <c r="F1865" s="34"/>
      <c r="G1865" s="34"/>
      <c r="H1865" s="34"/>
      <c r="I1865" s="35"/>
      <c r="J1865" s="35"/>
      <c r="K1865" s="36"/>
      <c r="L1865" s="26" t="str">
        <f>IF(OR(F1865 = "", G1865 = ""), "", IF(F1865 = "Vara", IFERROR(_xlfn.SINGLE(_xlfn.XLOOKUP(G1865, Vöruskrá!A:A, Vöruskrá!E:E, "")), ""), IF(F1865 = "Réttur", IFERROR(_xlfn.SINGLE(_xlfn.XLOOKUP(G1865, Réttabanki!A:A, Réttabanki!AS:AS, "")), ""), "")))</f>
        <v/>
      </c>
      <c r="M1865" s="26" t="str">
        <f>IF(OR(F1865 = "", G1865 = ""), "", IF(F1865 = "Vara", IFERROR(_xlfn.SINGLE(_xlfn.XLOOKUP(G1865, Vöruskrá!A:A, Vöruskrá!F:F, "")), ""), IF(F1865 = "Réttur", IFERROR(_xlfn.SINGLE(_xlfn.XLOOKUP(G1865, Réttabanki!A:A, Réttabanki!AT:AT, "")), ""), "")))</f>
        <v/>
      </c>
      <c r="N1865" s="26" t="str">
        <f>IF(OR(F1865 = "", G1865 = ""), "", IF(F1865 = "Vara", IFERROR(_xlfn.SINGLE(_xlfn.XLOOKUP(G1865, Vöruskrá!A:A, Vöruskrá!G:G, "")), ""), IF(F1865 = "Réttur", IFERROR(_xlfn.SINGLE(_xlfn.XLOOKUP(G1865, Réttabanki!A:A, Réttabanki!AU:AU, "")), ""), "")))</f>
        <v/>
      </c>
      <c r="O1865" s="26" t="str">
        <f>IF(OR(F1865 = "", G1865 = "", I1865 = ""), "", IF(F1865 = "Vara", IFERROR(_xlfn.SINGLE(_xlfn.XLOOKUP(G1865, Vöruskrá!A:A, Vöruskrá!I:I, "")) * I1865 / 100, ""), IF(F1865 = "Réttur", IFERROR(_xlfn.SINGLE(_xlfn.XLOOKUP(G1865, Réttabanki!A:A, Réttabanki!AV:AV, "")) * I1865 / 100, ""), "")))</f>
        <v/>
      </c>
      <c r="P1865" s="26" t="str">
        <f>IF(OR(F1865 = "", G1865 = "", I1865 = ""), "", IF(F1865 = "Vara", IFERROR(_xlfn.SINGLE(_xlfn.XLOOKUP(G1865, Vöruskrá!A:A, Vöruskrá!J:J, "")) * I1865 / 100, ""), IF(F1865 = "Réttur", IFERROR(_xlfn.SINGLE(_xlfn.XLOOKUP(G1865, Réttabanki!A:A, Réttabanki!AW:AW, "")) * I1865 / 100, ""), "")))</f>
        <v/>
      </c>
      <c r="Q1865" s="26" t="str">
        <f>IF(OR(F1865 = "", G1865 = "", I1865 = ""), "", IF(F1865 = "Vara", IFERROR(_xlfn.SINGLE(_xlfn.XLOOKUP(G1865, Vöruskrá!A:A, Vöruskrá!N:N, "")) * I1865 / 100, ""), IF(F1865 = "Réttur", IFERROR(_xlfn.SINGLE(_xlfn.XLOOKUP(G1865, Réttabanki!A:A, Réttabanki!BB:BB, "")) * I1865 / 100, ""), "")))</f>
        <v/>
      </c>
    </row>
    <row r="1866" spans="2:17">
      <c r="B1866" s="33" t="str">
        <f>IF(A1866&lt;&gt;"",CHOOSE(WEEKDAY(A1866,2),"Mánudagur","Þriðjudagur","Miðvikudagur","Fimmtudagur","Föstudagur","Laugardagur","Sunnudagur"),IF(B1865&lt;&gt;"",B1865,""))</f>
        <v>Fimmtudagur</v>
      </c>
      <c r="C1866" s="33">
        <f>IF(A1866&lt;&gt;"",WEEKNUM(A1866,21),IF(C1865&lt;&gt;"",C1865,""))</f>
        <v>27</v>
      </c>
      <c r="D1866" s="34"/>
      <c r="E1866" s="34"/>
      <c r="F1866" s="34"/>
      <c r="G1866" s="34"/>
      <c r="H1866" s="34"/>
      <c r="I1866" s="35"/>
      <c r="J1866" s="35"/>
      <c r="K1866" s="36"/>
      <c r="L1866" s="26" t="str">
        <f>IF(OR(F1866 = "", G1866 = ""), "", IF(F1866 = "Vara", IFERROR(_xlfn.SINGLE(_xlfn.XLOOKUP(G1866, Vöruskrá!A:A, Vöruskrá!E:E, "")), ""), IF(F1866 = "Réttur", IFERROR(_xlfn.SINGLE(_xlfn.XLOOKUP(G1866, Réttabanki!A:A, Réttabanki!AS:AS, "")), ""), "")))</f>
        <v/>
      </c>
      <c r="M1866" s="26" t="str">
        <f>IF(OR(F1866 = "", G1866 = ""), "", IF(F1866 = "Vara", IFERROR(_xlfn.SINGLE(_xlfn.XLOOKUP(G1866, Vöruskrá!A:A, Vöruskrá!F:F, "")), ""), IF(F1866 = "Réttur", IFERROR(_xlfn.SINGLE(_xlfn.XLOOKUP(G1866, Réttabanki!A:A, Réttabanki!AT:AT, "")), ""), "")))</f>
        <v/>
      </c>
      <c r="N1866" s="26" t="str">
        <f>IF(OR(F1866 = "", G1866 = ""), "", IF(F1866 = "Vara", IFERROR(_xlfn.SINGLE(_xlfn.XLOOKUP(G1866, Vöruskrá!A:A, Vöruskrá!G:G, "")), ""), IF(F1866 = "Réttur", IFERROR(_xlfn.SINGLE(_xlfn.XLOOKUP(G1866, Réttabanki!A:A, Réttabanki!AU:AU, "")), ""), "")))</f>
        <v/>
      </c>
      <c r="O1866" s="26" t="str">
        <f>IF(OR(F1866 = "", G1866 = "", I1866 = ""), "", IF(F1866 = "Vara", IFERROR(_xlfn.SINGLE(_xlfn.XLOOKUP(G1866, Vöruskrá!A:A, Vöruskrá!I:I, "")) * I1866 / 100, ""), IF(F1866 = "Réttur", IFERROR(_xlfn.SINGLE(_xlfn.XLOOKUP(G1866, Réttabanki!A:A, Réttabanki!AV:AV, "")) * I1866 / 100, ""), "")))</f>
        <v/>
      </c>
      <c r="P1866" s="26" t="str">
        <f>IF(OR(F1866 = "", G1866 = "", I1866 = ""), "", IF(F1866 = "Vara", IFERROR(_xlfn.SINGLE(_xlfn.XLOOKUP(G1866, Vöruskrá!A:A, Vöruskrá!J:J, "")) * I1866 / 100, ""), IF(F1866 = "Réttur", IFERROR(_xlfn.SINGLE(_xlfn.XLOOKUP(G1866, Réttabanki!A:A, Réttabanki!AW:AW, "")) * I1866 / 100, ""), "")))</f>
        <v/>
      </c>
      <c r="Q1866" s="26" t="str">
        <f>IF(OR(F1866 = "", G1866 = "", I1866 = ""), "", IF(F1866 = "Vara", IFERROR(_xlfn.SINGLE(_xlfn.XLOOKUP(G1866, Vöruskrá!A:A, Vöruskrá!N:N, "")) * I1866 / 100, ""), IF(F1866 = "Réttur", IFERROR(_xlfn.SINGLE(_xlfn.XLOOKUP(G1866, Réttabanki!A:A, Réttabanki!BB:BB, "")) * I1866 / 100, ""), "")))</f>
        <v/>
      </c>
    </row>
    <row r="1867" spans="2:17">
      <c r="B1867" s="33" t="str">
        <f>IF(A1867&lt;&gt;"",CHOOSE(WEEKDAY(A1867,2),"Mánudagur","Þriðjudagur","Miðvikudagur","Fimmtudagur","Föstudagur","Laugardagur","Sunnudagur"),IF(B1866&lt;&gt;"",B1866,""))</f>
        <v>Fimmtudagur</v>
      </c>
      <c r="C1867" s="33">
        <f>IF(A1867&lt;&gt;"",WEEKNUM(A1867,21),IF(C1866&lt;&gt;"",C1866,""))</f>
        <v>27</v>
      </c>
      <c r="D1867" s="34"/>
      <c r="E1867" s="34"/>
      <c r="F1867" s="34"/>
      <c r="G1867" s="34"/>
      <c r="H1867" s="34"/>
      <c r="I1867" s="35"/>
      <c r="J1867" s="35"/>
      <c r="K1867" s="36"/>
      <c r="L1867" s="26" t="str">
        <f>IF(OR(F1867 = "", G1867 = ""), "", IF(F1867 = "Vara", IFERROR(_xlfn.SINGLE(_xlfn.XLOOKUP(G1867, Vöruskrá!A:A, Vöruskrá!E:E, "")), ""), IF(F1867 = "Réttur", IFERROR(_xlfn.SINGLE(_xlfn.XLOOKUP(G1867, Réttabanki!A:A, Réttabanki!AS:AS, "")), ""), "")))</f>
        <v/>
      </c>
      <c r="M1867" s="26" t="str">
        <f>IF(OR(F1867 = "", G1867 = ""), "", IF(F1867 = "Vara", IFERROR(_xlfn.SINGLE(_xlfn.XLOOKUP(G1867, Vöruskrá!A:A, Vöruskrá!F:F, "")), ""), IF(F1867 = "Réttur", IFERROR(_xlfn.SINGLE(_xlfn.XLOOKUP(G1867, Réttabanki!A:A, Réttabanki!AT:AT, "")), ""), "")))</f>
        <v/>
      </c>
      <c r="N1867" s="26" t="str">
        <f>IF(OR(F1867 = "", G1867 = ""), "", IF(F1867 = "Vara", IFERROR(_xlfn.SINGLE(_xlfn.XLOOKUP(G1867, Vöruskrá!A:A, Vöruskrá!G:G, "")), ""), IF(F1867 = "Réttur", IFERROR(_xlfn.SINGLE(_xlfn.XLOOKUP(G1867, Réttabanki!A:A, Réttabanki!AU:AU, "")), ""), "")))</f>
        <v/>
      </c>
      <c r="O1867" s="26" t="str">
        <f>IF(OR(F1867 = "", G1867 = "", I1867 = ""), "", IF(F1867 = "Vara", IFERROR(_xlfn.SINGLE(_xlfn.XLOOKUP(G1867, Vöruskrá!A:A, Vöruskrá!I:I, "")) * I1867 / 100, ""), IF(F1867 = "Réttur", IFERROR(_xlfn.SINGLE(_xlfn.XLOOKUP(G1867, Réttabanki!A:A, Réttabanki!AV:AV, "")) * I1867 / 100, ""), "")))</f>
        <v/>
      </c>
      <c r="P1867" s="26" t="str">
        <f>IF(OR(F1867 = "", G1867 = "", I1867 = ""), "", IF(F1867 = "Vara", IFERROR(_xlfn.SINGLE(_xlfn.XLOOKUP(G1867, Vöruskrá!A:A, Vöruskrá!J:J, "")) * I1867 / 100, ""), IF(F1867 = "Réttur", IFERROR(_xlfn.SINGLE(_xlfn.XLOOKUP(G1867, Réttabanki!A:A, Réttabanki!AW:AW, "")) * I1867 / 100, ""), "")))</f>
        <v/>
      </c>
      <c r="Q1867" s="26" t="str">
        <f>IF(OR(F1867 = "", G1867 = "", I1867 = ""), "", IF(F1867 = "Vara", IFERROR(_xlfn.SINGLE(_xlfn.XLOOKUP(G1867, Vöruskrá!A:A, Vöruskrá!N:N, "")) * I1867 / 100, ""), IF(F1867 = "Réttur", IFERROR(_xlfn.SINGLE(_xlfn.XLOOKUP(G1867, Réttabanki!A:A, Réttabanki!BB:BB, "")) * I1867 / 100, ""), "")))</f>
        <v/>
      </c>
    </row>
    <row r="1868" spans="2:17">
      <c r="B1868" s="33" t="str">
        <f>IF(A1868&lt;&gt;"",CHOOSE(WEEKDAY(A1868,2),"Mánudagur","Þriðjudagur","Miðvikudagur","Fimmtudagur","Föstudagur","Laugardagur","Sunnudagur"),IF(B1867&lt;&gt;"",B1867,""))</f>
        <v>Fimmtudagur</v>
      </c>
      <c r="C1868" s="33">
        <f>IF(A1868&lt;&gt;"",WEEKNUM(A1868,21),IF(C1867&lt;&gt;"",C1867,""))</f>
        <v>27</v>
      </c>
      <c r="D1868" s="34"/>
      <c r="E1868" s="34"/>
      <c r="F1868" s="34"/>
      <c r="G1868" s="34"/>
      <c r="H1868" s="34"/>
      <c r="I1868" s="35"/>
      <c r="J1868" s="35"/>
      <c r="K1868" s="36"/>
      <c r="L1868" s="26" t="str">
        <f>IF(OR(F1868 = "", G1868 = ""), "", IF(F1868 = "Vara", IFERROR(_xlfn.SINGLE(_xlfn.XLOOKUP(G1868, Vöruskrá!A:A, Vöruskrá!E:E, "")), ""), IF(F1868 = "Réttur", IFERROR(_xlfn.SINGLE(_xlfn.XLOOKUP(G1868, Réttabanki!A:A, Réttabanki!AS:AS, "")), ""), "")))</f>
        <v/>
      </c>
      <c r="M1868" s="26" t="str">
        <f>IF(OR(F1868 = "", G1868 = ""), "", IF(F1868 = "Vara", IFERROR(_xlfn.SINGLE(_xlfn.XLOOKUP(G1868, Vöruskrá!A:A, Vöruskrá!F:F, "")), ""), IF(F1868 = "Réttur", IFERROR(_xlfn.SINGLE(_xlfn.XLOOKUP(G1868, Réttabanki!A:A, Réttabanki!AT:AT, "")), ""), "")))</f>
        <v/>
      </c>
      <c r="N1868" s="26" t="str">
        <f>IF(OR(F1868 = "", G1868 = ""), "", IF(F1868 = "Vara", IFERROR(_xlfn.SINGLE(_xlfn.XLOOKUP(G1868, Vöruskrá!A:A, Vöruskrá!G:G, "")), ""), IF(F1868 = "Réttur", IFERROR(_xlfn.SINGLE(_xlfn.XLOOKUP(G1868, Réttabanki!A:A, Réttabanki!AU:AU, "")), ""), "")))</f>
        <v/>
      </c>
      <c r="O1868" s="26" t="str">
        <f>IF(OR(F1868 = "", G1868 = "", I1868 = ""), "", IF(F1868 = "Vara", IFERROR(_xlfn.SINGLE(_xlfn.XLOOKUP(G1868, Vöruskrá!A:A, Vöruskrá!I:I, "")) * I1868 / 100, ""), IF(F1868 = "Réttur", IFERROR(_xlfn.SINGLE(_xlfn.XLOOKUP(G1868, Réttabanki!A:A, Réttabanki!AV:AV, "")) * I1868 / 100, ""), "")))</f>
        <v/>
      </c>
      <c r="P1868" s="26" t="str">
        <f>IF(OR(F1868 = "", G1868 = "", I1868 = ""), "", IF(F1868 = "Vara", IFERROR(_xlfn.SINGLE(_xlfn.XLOOKUP(G1868, Vöruskrá!A:A, Vöruskrá!J:J, "")) * I1868 / 100, ""), IF(F1868 = "Réttur", IFERROR(_xlfn.SINGLE(_xlfn.XLOOKUP(G1868, Réttabanki!A:A, Réttabanki!AW:AW, "")) * I1868 / 100, ""), "")))</f>
        <v/>
      </c>
      <c r="Q1868" s="26" t="str">
        <f>IF(OR(F1868 = "", G1868 = "", I1868 = ""), "", IF(F1868 = "Vara", IFERROR(_xlfn.SINGLE(_xlfn.XLOOKUP(G1868, Vöruskrá!A:A, Vöruskrá!N:N, "")) * I1868 / 100, ""), IF(F1868 = "Réttur", IFERROR(_xlfn.SINGLE(_xlfn.XLOOKUP(G1868, Réttabanki!A:A, Réttabanki!BB:BB, "")) * I1868 / 100, ""), "")))</f>
        <v/>
      </c>
    </row>
    <row r="1869" spans="2:17">
      <c r="B1869" s="33" t="str">
        <f>IF(A1869&lt;&gt;"",CHOOSE(WEEKDAY(A1869,2),"Mánudagur","Þriðjudagur","Miðvikudagur","Fimmtudagur","Föstudagur","Laugardagur","Sunnudagur"),IF(B1868&lt;&gt;"",B1868,""))</f>
        <v>Fimmtudagur</v>
      </c>
      <c r="C1869" s="33">
        <f>IF(A1869&lt;&gt;"",WEEKNUM(A1869,21),IF(C1868&lt;&gt;"",C1868,""))</f>
        <v>27</v>
      </c>
      <c r="D1869" s="34"/>
      <c r="E1869" s="34"/>
      <c r="F1869" s="34"/>
      <c r="G1869" s="34"/>
      <c r="H1869" s="34"/>
      <c r="I1869" s="35"/>
      <c r="J1869" s="35"/>
      <c r="K1869" s="36"/>
      <c r="L1869" s="26" t="str">
        <f>IF(OR(F1869 = "", G1869 = ""), "", IF(F1869 = "Vara", IFERROR(_xlfn.SINGLE(_xlfn.XLOOKUP(G1869, Vöruskrá!A:A, Vöruskrá!E:E, "")), ""), IF(F1869 = "Réttur", IFERROR(_xlfn.SINGLE(_xlfn.XLOOKUP(G1869, Réttabanki!A:A, Réttabanki!AS:AS, "")), ""), "")))</f>
        <v/>
      </c>
      <c r="M1869" s="26" t="str">
        <f>IF(OR(F1869 = "", G1869 = ""), "", IF(F1869 = "Vara", IFERROR(_xlfn.SINGLE(_xlfn.XLOOKUP(G1869, Vöruskrá!A:A, Vöruskrá!F:F, "")), ""), IF(F1869 = "Réttur", IFERROR(_xlfn.SINGLE(_xlfn.XLOOKUP(G1869, Réttabanki!A:A, Réttabanki!AT:AT, "")), ""), "")))</f>
        <v/>
      </c>
      <c r="N1869" s="26" t="str">
        <f>IF(OR(F1869 = "", G1869 = ""), "", IF(F1869 = "Vara", IFERROR(_xlfn.SINGLE(_xlfn.XLOOKUP(G1869, Vöruskrá!A:A, Vöruskrá!G:G, "")), ""), IF(F1869 = "Réttur", IFERROR(_xlfn.SINGLE(_xlfn.XLOOKUP(G1869, Réttabanki!A:A, Réttabanki!AU:AU, "")), ""), "")))</f>
        <v/>
      </c>
      <c r="O1869" s="26" t="str">
        <f>IF(OR(F1869 = "", G1869 = "", I1869 = ""), "", IF(F1869 = "Vara", IFERROR(_xlfn.SINGLE(_xlfn.XLOOKUP(G1869, Vöruskrá!A:A, Vöruskrá!I:I, "")) * I1869 / 100, ""), IF(F1869 = "Réttur", IFERROR(_xlfn.SINGLE(_xlfn.XLOOKUP(G1869, Réttabanki!A:A, Réttabanki!AV:AV, "")) * I1869 / 100, ""), "")))</f>
        <v/>
      </c>
      <c r="P1869" s="26" t="str">
        <f>IF(OR(F1869 = "", G1869 = "", I1869 = ""), "", IF(F1869 = "Vara", IFERROR(_xlfn.SINGLE(_xlfn.XLOOKUP(G1869, Vöruskrá!A:A, Vöruskrá!J:J, "")) * I1869 / 100, ""), IF(F1869 = "Réttur", IFERROR(_xlfn.SINGLE(_xlfn.XLOOKUP(G1869, Réttabanki!A:A, Réttabanki!AW:AW, "")) * I1869 / 100, ""), "")))</f>
        <v/>
      </c>
      <c r="Q1869" s="26" t="str">
        <f>IF(OR(F1869 = "", G1869 = "", I1869 = ""), "", IF(F1869 = "Vara", IFERROR(_xlfn.SINGLE(_xlfn.XLOOKUP(G1869, Vöruskrá!A:A, Vöruskrá!N:N, "")) * I1869 / 100, ""), IF(F1869 = "Réttur", IFERROR(_xlfn.SINGLE(_xlfn.XLOOKUP(G1869, Réttabanki!A:A, Réttabanki!BB:BB, "")) * I1869 / 100, ""), "")))</f>
        <v/>
      </c>
    </row>
    <row r="1870" spans="2:17">
      <c r="B1870" s="33" t="str">
        <f>IF(A1870&lt;&gt;"",CHOOSE(WEEKDAY(A1870,2),"Mánudagur","Þriðjudagur","Miðvikudagur","Fimmtudagur","Föstudagur","Laugardagur","Sunnudagur"),IF(B1869&lt;&gt;"",B1869,""))</f>
        <v>Fimmtudagur</v>
      </c>
      <c r="C1870" s="33">
        <f>IF(A1870&lt;&gt;"",WEEKNUM(A1870,21),IF(C1869&lt;&gt;"",C1869,""))</f>
        <v>27</v>
      </c>
      <c r="D1870" s="34"/>
      <c r="E1870" s="34"/>
      <c r="F1870" s="34"/>
      <c r="G1870" s="34"/>
      <c r="H1870" s="34"/>
      <c r="I1870" s="35"/>
      <c r="J1870" s="35"/>
      <c r="K1870" s="36"/>
      <c r="L1870" s="26" t="str">
        <f>IF(OR(F1870 = "", G1870 = ""), "", IF(F1870 = "Vara", IFERROR(_xlfn.SINGLE(_xlfn.XLOOKUP(G1870, Vöruskrá!A:A, Vöruskrá!E:E, "")), ""), IF(F1870 = "Réttur", IFERROR(_xlfn.SINGLE(_xlfn.XLOOKUP(G1870, Réttabanki!A:A, Réttabanki!AS:AS, "")), ""), "")))</f>
        <v/>
      </c>
      <c r="M1870" s="26" t="str">
        <f>IF(OR(F1870 = "", G1870 = ""), "", IF(F1870 = "Vara", IFERROR(_xlfn.SINGLE(_xlfn.XLOOKUP(G1870, Vöruskrá!A:A, Vöruskrá!F:F, "")), ""), IF(F1870 = "Réttur", IFERROR(_xlfn.SINGLE(_xlfn.XLOOKUP(G1870, Réttabanki!A:A, Réttabanki!AT:AT, "")), ""), "")))</f>
        <v/>
      </c>
      <c r="N1870" s="26" t="str">
        <f>IF(OR(F1870 = "", G1870 = ""), "", IF(F1870 = "Vara", IFERROR(_xlfn.SINGLE(_xlfn.XLOOKUP(G1870, Vöruskrá!A:A, Vöruskrá!G:G, "")), ""), IF(F1870 = "Réttur", IFERROR(_xlfn.SINGLE(_xlfn.XLOOKUP(G1870, Réttabanki!A:A, Réttabanki!AU:AU, "")), ""), "")))</f>
        <v/>
      </c>
      <c r="O1870" s="26" t="str">
        <f>IF(OR(F1870 = "", G1870 = "", I1870 = ""), "", IF(F1870 = "Vara", IFERROR(_xlfn.SINGLE(_xlfn.XLOOKUP(G1870, Vöruskrá!A:A, Vöruskrá!I:I, "")) * I1870 / 100, ""), IF(F1870 = "Réttur", IFERROR(_xlfn.SINGLE(_xlfn.XLOOKUP(G1870, Réttabanki!A:A, Réttabanki!AV:AV, "")) * I1870 / 100, ""), "")))</f>
        <v/>
      </c>
      <c r="P1870" s="26" t="str">
        <f>IF(OR(F1870 = "", G1870 = "", I1870 = ""), "", IF(F1870 = "Vara", IFERROR(_xlfn.SINGLE(_xlfn.XLOOKUP(G1870, Vöruskrá!A:A, Vöruskrá!J:J, "")) * I1870 / 100, ""), IF(F1870 = "Réttur", IFERROR(_xlfn.SINGLE(_xlfn.XLOOKUP(G1870, Réttabanki!A:A, Réttabanki!AW:AW, "")) * I1870 / 100, ""), "")))</f>
        <v/>
      </c>
      <c r="Q1870" s="26" t="str">
        <f>IF(OR(F1870 = "", G1870 = "", I1870 = ""), "", IF(F1870 = "Vara", IFERROR(_xlfn.SINGLE(_xlfn.XLOOKUP(G1870, Vöruskrá!A:A, Vöruskrá!N:N, "")) * I1870 / 100, ""), IF(F1870 = "Réttur", IFERROR(_xlfn.SINGLE(_xlfn.XLOOKUP(G1870, Réttabanki!A:A, Réttabanki!BB:BB, "")) * I1870 / 100, ""), "")))</f>
        <v/>
      </c>
    </row>
    <row r="1871" spans="2:17">
      <c r="B1871" s="33" t="str">
        <f>IF(A1871&lt;&gt;"",CHOOSE(WEEKDAY(A1871,2),"Mánudagur","Þriðjudagur","Miðvikudagur","Fimmtudagur","Föstudagur","Laugardagur","Sunnudagur"),IF(B1870&lt;&gt;"",B1870,""))</f>
        <v>Fimmtudagur</v>
      </c>
      <c r="C1871" s="33">
        <f>IF(A1871&lt;&gt;"",WEEKNUM(A1871,21),IF(C1870&lt;&gt;"",C1870,""))</f>
        <v>27</v>
      </c>
      <c r="D1871" s="34"/>
      <c r="E1871" s="34"/>
      <c r="F1871" s="34"/>
      <c r="G1871" s="34"/>
      <c r="H1871" s="34"/>
      <c r="I1871" s="35"/>
      <c r="J1871" s="35"/>
      <c r="K1871" s="36"/>
      <c r="L1871" s="26" t="str">
        <f>IF(OR(F1871 = "", G1871 = ""), "", IF(F1871 = "Vara", IFERROR(_xlfn.SINGLE(_xlfn.XLOOKUP(G1871, Vöruskrá!A:A, Vöruskrá!E:E, "")), ""), IF(F1871 = "Réttur", IFERROR(_xlfn.SINGLE(_xlfn.XLOOKUP(G1871, Réttabanki!A:A, Réttabanki!AS:AS, "")), ""), "")))</f>
        <v/>
      </c>
      <c r="M1871" s="26" t="str">
        <f>IF(OR(F1871 = "", G1871 = ""), "", IF(F1871 = "Vara", IFERROR(_xlfn.SINGLE(_xlfn.XLOOKUP(G1871, Vöruskrá!A:A, Vöruskrá!F:F, "")), ""), IF(F1871 = "Réttur", IFERROR(_xlfn.SINGLE(_xlfn.XLOOKUP(G1871, Réttabanki!A:A, Réttabanki!AT:AT, "")), ""), "")))</f>
        <v/>
      </c>
      <c r="N1871" s="26" t="str">
        <f>IF(OR(F1871 = "", G1871 = ""), "", IF(F1871 = "Vara", IFERROR(_xlfn.SINGLE(_xlfn.XLOOKUP(G1871, Vöruskrá!A:A, Vöruskrá!G:G, "")), ""), IF(F1871 = "Réttur", IFERROR(_xlfn.SINGLE(_xlfn.XLOOKUP(G1871, Réttabanki!A:A, Réttabanki!AU:AU, "")), ""), "")))</f>
        <v/>
      </c>
      <c r="O1871" s="26" t="str">
        <f>IF(OR(F1871 = "", G1871 = "", I1871 = ""), "", IF(F1871 = "Vara", IFERROR(_xlfn.SINGLE(_xlfn.XLOOKUP(G1871, Vöruskrá!A:A, Vöruskrá!I:I, "")) * I1871 / 100, ""), IF(F1871 = "Réttur", IFERROR(_xlfn.SINGLE(_xlfn.XLOOKUP(G1871, Réttabanki!A:A, Réttabanki!AV:AV, "")) * I1871 / 100, ""), "")))</f>
        <v/>
      </c>
      <c r="P1871" s="26" t="str">
        <f>IF(OR(F1871 = "", G1871 = "", I1871 = ""), "", IF(F1871 = "Vara", IFERROR(_xlfn.SINGLE(_xlfn.XLOOKUP(G1871, Vöruskrá!A:A, Vöruskrá!J:J, "")) * I1871 / 100, ""), IF(F1871 = "Réttur", IFERROR(_xlfn.SINGLE(_xlfn.XLOOKUP(G1871, Réttabanki!A:A, Réttabanki!AW:AW, "")) * I1871 / 100, ""), "")))</f>
        <v/>
      </c>
      <c r="Q1871" s="26" t="str">
        <f>IF(OR(F1871 = "", G1871 = "", I1871 = ""), "", IF(F1871 = "Vara", IFERROR(_xlfn.SINGLE(_xlfn.XLOOKUP(G1871, Vöruskrá!A:A, Vöruskrá!N:N, "")) * I1871 / 100, ""), IF(F1871 = "Réttur", IFERROR(_xlfn.SINGLE(_xlfn.XLOOKUP(G1871, Réttabanki!A:A, Réttabanki!BB:BB, "")) * I1871 / 100, ""), "")))</f>
        <v/>
      </c>
    </row>
    <row r="1872" spans="2:17">
      <c r="B1872" s="33" t="str">
        <f>IF(A1872&lt;&gt;"",CHOOSE(WEEKDAY(A1872,2),"Mánudagur","Þriðjudagur","Miðvikudagur","Fimmtudagur","Föstudagur","Laugardagur","Sunnudagur"),IF(B1871&lt;&gt;"",B1871,""))</f>
        <v>Fimmtudagur</v>
      </c>
      <c r="C1872" s="33">
        <f>IF(A1872&lt;&gt;"",WEEKNUM(A1872,21),IF(C1871&lt;&gt;"",C1871,""))</f>
        <v>27</v>
      </c>
      <c r="D1872" s="34"/>
      <c r="E1872" s="34"/>
      <c r="F1872" s="34"/>
      <c r="G1872" s="34"/>
      <c r="H1872" s="34"/>
      <c r="I1872" s="35"/>
      <c r="J1872" s="35"/>
      <c r="K1872" s="36"/>
      <c r="L1872" s="26" t="str">
        <f>IF(OR(F1872 = "", G1872 = ""), "", IF(F1872 = "Vara", IFERROR(_xlfn.SINGLE(_xlfn.XLOOKUP(G1872, Vöruskrá!A:A, Vöruskrá!E:E, "")), ""), IF(F1872 = "Réttur", IFERROR(_xlfn.SINGLE(_xlfn.XLOOKUP(G1872, Réttabanki!A:A, Réttabanki!AS:AS, "")), ""), "")))</f>
        <v/>
      </c>
      <c r="M1872" s="26" t="str">
        <f>IF(OR(F1872 = "", G1872 = ""), "", IF(F1872 = "Vara", IFERROR(_xlfn.SINGLE(_xlfn.XLOOKUP(G1872, Vöruskrá!A:A, Vöruskrá!F:F, "")), ""), IF(F1872 = "Réttur", IFERROR(_xlfn.SINGLE(_xlfn.XLOOKUP(G1872, Réttabanki!A:A, Réttabanki!AT:AT, "")), ""), "")))</f>
        <v/>
      </c>
      <c r="N1872" s="26" t="str">
        <f>IF(OR(F1872 = "", G1872 = ""), "", IF(F1872 = "Vara", IFERROR(_xlfn.SINGLE(_xlfn.XLOOKUP(G1872, Vöruskrá!A:A, Vöruskrá!G:G, "")), ""), IF(F1872 = "Réttur", IFERROR(_xlfn.SINGLE(_xlfn.XLOOKUP(G1872, Réttabanki!A:A, Réttabanki!AU:AU, "")), ""), "")))</f>
        <v/>
      </c>
      <c r="O1872" s="26" t="str">
        <f>IF(OR(F1872 = "", G1872 = "", I1872 = ""), "", IF(F1872 = "Vara", IFERROR(_xlfn.SINGLE(_xlfn.XLOOKUP(G1872, Vöruskrá!A:A, Vöruskrá!I:I, "")) * I1872 / 100, ""), IF(F1872 = "Réttur", IFERROR(_xlfn.SINGLE(_xlfn.XLOOKUP(G1872, Réttabanki!A:A, Réttabanki!AV:AV, "")) * I1872 / 100, ""), "")))</f>
        <v/>
      </c>
      <c r="P1872" s="26" t="str">
        <f>IF(OR(F1872 = "", G1872 = "", I1872 = ""), "", IF(F1872 = "Vara", IFERROR(_xlfn.SINGLE(_xlfn.XLOOKUP(G1872, Vöruskrá!A:A, Vöruskrá!J:J, "")) * I1872 / 100, ""), IF(F1872 = "Réttur", IFERROR(_xlfn.SINGLE(_xlfn.XLOOKUP(G1872, Réttabanki!A:A, Réttabanki!AW:AW, "")) * I1872 / 100, ""), "")))</f>
        <v/>
      </c>
      <c r="Q1872" s="26" t="str">
        <f>IF(OR(F1872 = "", G1872 = "", I1872 = ""), "", IF(F1872 = "Vara", IFERROR(_xlfn.SINGLE(_xlfn.XLOOKUP(G1872, Vöruskrá!A:A, Vöruskrá!N:N, "")) * I1872 / 100, ""), IF(F1872 = "Réttur", IFERROR(_xlfn.SINGLE(_xlfn.XLOOKUP(G1872, Réttabanki!A:A, Réttabanki!BB:BB, "")) * I1872 / 100, ""), "")))</f>
        <v/>
      </c>
    </row>
    <row r="1873" spans="2:17">
      <c r="B1873" s="33" t="str">
        <f>IF(A1873&lt;&gt;"",CHOOSE(WEEKDAY(A1873,2),"Mánudagur","Þriðjudagur","Miðvikudagur","Fimmtudagur","Föstudagur","Laugardagur","Sunnudagur"),IF(B1872&lt;&gt;"",B1872,""))</f>
        <v>Fimmtudagur</v>
      </c>
      <c r="C1873" s="33">
        <f>IF(A1873&lt;&gt;"",WEEKNUM(A1873,21),IF(C1872&lt;&gt;"",C1872,""))</f>
        <v>27</v>
      </c>
      <c r="D1873" s="34"/>
      <c r="E1873" s="34"/>
      <c r="F1873" s="34"/>
      <c r="G1873" s="34"/>
      <c r="H1873" s="34"/>
      <c r="I1873" s="35"/>
      <c r="J1873" s="35"/>
      <c r="K1873" s="36"/>
      <c r="L1873" s="26" t="str">
        <f>IF(OR(F1873 = "", G1873 = ""), "", IF(F1873 = "Vara", IFERROR(_xlfn.SINGLE(_xlfn.XLOOKUP(G1873, Vöruskrá!A:A, Vöruskrá!E:E, "")), ""), IF(F1873 = "Réttur", IFERROR(_xlfn.SINGLE(_xlfn.XLOOKUP(G1873, Réttabanki!A:A, Réttabanki!AS:AS, "")), ""), "")))</f>
        <v/>
      </c>
      <c r="M1873" s="26" t="str">
        <f>IF(OR(F1873 = "", G1873 = ""), "", IF(F1873 = "Vara", IFERROR(_xlfn.SINGLE(_xlfn.XLOOKUP(G1873, Vöruskrá!A:A, Vöruskrá!F:F, "")), ""), IF(F1873 = "Réttur", IFERROR(_xlfn.SINGLE(_xlfn.XLOOKUP(G1873, Réttabanki!A:A, Réttabanki!AT:AT, "")), ""), "")))</f>
        <v/>
      </c>
      <c r="N1873" s="26" t="str">
        <f>IF(OR(F1873 = "", G1873 = ""), "", IF(F1873 = "Vara", IFERROR(_xlfn.SINGLE(_xlfn.XLOOKUP(G1873, Vöruskrá!A:A, Vöruskrá!G:G, "")), ""), IF(F1873 = "Réttur", IFERROR(_xlfn.SINGLE(_xlfn.XLOOKUP(G1873, Réttabanki!A:A, Réttabanki!AU:AU, "")), ""), "")))</f>
        <v/>
      </c>
      <c r="O1873" s="26" t="str">
        <f>IF(OR(F1873 = "", G1873 = "", I1873 = ""), "", IF(F1873 = "Vara", IFERROR(_xlfn.SINGLE(_xlfn.XLOOKUP(G1873, Vöruskrá!A:A, Vöruskrá!I:I, "")) * I1873 / 100, ""), IF(F1873 = "Réttur", IFERROR(_xlfn.SINGLE(_xlfn.XLOOKUP(G1873, Réttabanki!A:A, Réttabanki!AV:AV, "")) * I1873 / 100, ""), "")))</f>
        <v/>
      </c>
      <c r="P1873" s="26" t="str">
        <f>IF(OR(F1873 = "", G1873 = "", I1873 = ""), "", IF(F1873 = "Vara", IFERROR(_xlfn.SINGLE(_xlfn.XLOOKUP(G1873, Vöruskrá!A:A, Vöruskrá!J:J, "")) * I1873 / 100, ""), IF(F1873 = "Réttur", IFERROR(_xlfn.SINGLE(_xlfn.XLOOKUP(G1873, Réttabanki!A:A, Réttabanki!AW:AW, "")) * I1873 / 100, ""), "")))</f>
        <v/>
      </c>
      <c r="Q1873" s="26" t="str">
        <f>IF(OR(F1873 = "", G1873 = "", I1873 = ""), "", IF(F1873 = "Vara", IFERROR(_xlfn.SINGLE(_xlfn.XLOOKUP(G1873, Vöruskrá!A:A, Vöruskrá!N:N, "")) * I1873 / 100, ""), IF(F1873 = "Réttur", IFERROR(_xlfn.SINGLE(_xlfn.XLOOKUP(G1873, Réttabanki!A:A, Réttabanki!BB:BB, "")) * I1873 / 100, ""), "")))</f>
        <v/>
      </c>
    </row>
    <row r="1874" spans="2:17">
      <c r="B1874" s="33" t="str">
        <f>IF(A1874&lt;&gt;"",CHOOSE(WEEKDAY(A1874,2),"Mánudagur","Þriðjudagur","Miðvikudagur","Fimmtudagur","Föstudagur","Laugardagur","Sunnudagur"),IF(B1873&lt;&gt;"",B1873,""))</f>
        <v>Fimmtudagur</v>
      </c>
      <c r="C1874" s="33">
        <f>IF(A1874&lt;&gt;"",WEEKNUM(A1874,21),IF(C1873&lt;&gt;"",C1873,""))</f>
        <v>27</v>
      </c>
      <c r="D1874" s="34"/>
      <c r="E1874" s="34"/>
      <c r="F1874" s="34"/>
      <c r="G1874" s="34"/>
      <c r="H1874" s="34"/>
      <c r="I1874" s="35"/>
      <c r="J1874" s="35"/>
      <c r="K1874" s="36"/>
      <c r="L1874" s="26" t="str">
        <f>IF(OR(F1874 = "", G1874 = ""), "", IF(F1874 = "Vara", IFERROR(_xlfn.SINGLE(_xlfn.XLOOKUP(G1874, Vöruskrá!A:A, Vöruskrá!E:E, "")), ""), IF(F1874 = "Réttur", IFERROR(_xlfn.SINGLE(_xlfn.XLOOKUP(G1874, Réttabanki!A:A, Réttabanki!AS:AS, "")), ""), "")))</f>
        <v/>
      </c>
      <c r="M1874" s="26" t="str">
        <f>IF(OR(F1874 = "", G1874 = ""), "", IF(F1874 = "Vara", IFERROR(_xlfn.SINGLE(_xlfn.XLOOKUP(G1874, Vöruskrá!A:A, Vöruskrá!F:F, "")), ""), IF(F1874 = "Réttur", IFERROR(_xlfn.SINGLE(_xlfn.XLOOKUP(G1874, Réttabanki!A:A, Réttabanki!AT:AT, "")), ""), "")))</f>
        <v/>
      </c>
      <c r="N1874" s="26" t="str">
        <f>IF(OR(F1874 = "", G1874 = ""), "", IF(F1874 = "Vara", IFERROR(_xlfn.SINGLE(_xlfn.XLOOKUP(G1874, Vöruskrá!A:A, Vöruskrá!G:G, "")), ""), IF(F1874 = "Réttur", IFERROR(_xlfn.SINGLE(_xlfn.XLOOKUP(G1874, Réttabanki!A:A, Réttabanki!AU:AU, "")), ""), "")))</f>
        <v/>
      </c>
      <c r="O1874" s="26" t="str">
        <f>IF(OR(F1874 = "", G1874 = "", I1874 = ""), "", IF(F1874 = "Vara", IFERROR(_xlfn.SINGLE(_xlfn.XLOOKUP(G1874, Vöruskrá!A:A, Vöruskrá!I:I, "")) * I1874 / 100, ""), IF(F1874 = "Réttur", IFERROR(_xlfn.SINGLE(_xlfn.XLOOKUP(G1874, Réttabanki!A:A, Réttabanki!AV:AV, "")) * I1874 / 100, ""), "")))</f>
        <v/>
      </c>
      <c r="P1874" s="26" t="str">
        <f>IF(OR(F1874 = "", G1874 = "", I1874 = ""), "", IF(F1874 = "Vara", IFERROR(_xlfn.SINGLE(_xlfn.XLOOKUP(G1874, Vöruskrá!A:A, Vöruskrá!J:J, "")) * I1874 / 100, ""), IF(F1874 = "Réttur", IFERROR(_xlfn.SINGLE(_xlfn.XLOOKUP(G1874, Réttabanki!A:A, Réttabanki!AW:AW, "")) * I1874 / 100, ""), "")))</f>
        <v/>
      </c>
      <c r="Q1874" s="26" t="str">
        <f>IF(OR(F1874 = "", G1874 = "", I1874 = ""), "", IF(F1874 = "Vara", IFERROR(_xlfn.SINGLE(_xlfn.XLOOKUP(G1874, Vöruskrá!A:A, Vöruskrá!N:N, "")) * I1874 / 100, ""), IF(F1874 = "Réttur", IFERROR(_xlfn.SINGLE(_xlfn.XLOOKUP(G1874, Réttabanki!A:A, Réttabanki!BB:BB, "")) * I1874 / 100, ""), "")))</f>
        <v/>
      </c>
    </row>
    <row r="1875" spans="2:17">
      <c r="B1875" s="33" t="str">
        <f>IF(A1875&lt;&gt;"",CHOOSE(WEEKDAY(A1875,2),"Mánudagur","Þriðjudagur","Miðvikudagur","Fimmtudagur","Föstudagur","Laugardagur","Sunnudagur"),IF(B1874&lt;&gt;"",B1874,""))</f>
        <v>Fimmtudagur</v>
      </c>
      <c r="C1875" s="33">
        <f>IF(A1875&lt;&gt;"",WEEKNUM(A1875,21),IF(C1874&lt;&gt;"",C1874,""))</f>
        <v>27</v>
      </c>
      <c r="D1875" s="34"/>
      <c r="E1875" s="34"/>
      <c r="F1875" s="34"/>
      <c r="G1875" s="34"/>
      <c r="H1875" s="34"/>
      <c r="I1875" s="35"/>
      <c r="J1875" s="35"/>
      <c r="K1875" s="36"/>
      <c r="L1875" s="26" t="str">
        <f>IF(OR(F1875 = "", G1875 = ""), "", IF(F1875 = "Vara", IFERROR(_xlfn.SINGLE(_xlfn.XLOOKUP(G1875, Vöruskrá!A:A, Vöruskrá!E:E, "")), ""), IF(F1875 = "Réttur", IFERROR(_xlfn.SINGLE(_xlfn.XLOOKUP(G1875, Réttabanki!A:A, Réttabanki!AS:AS, "")), ""), "")))</f>
        <v/>
      </c>
      <c r="M1875" s="26" t="str">
        <f>IF(OR(F1875 = "", G1875 = ""), "", IF(F1875 = "Vara", IFERROR(_xlfn.SINGLE(_xlfn.XLOOKUP(G1875, Vöruskrá!A:A, Vöruskrá!F:F, "")), ""), IF(F1875 = "Réttur", IFERROR(_xlfn.SINGLE(_xlfn.XLOOKUP(G1875, Réttabanki!A:A, Réttabanki!AT:AT, "")), ""), "")))</f>
        <v/>
      </c>
      <c r="N1875" s="26" t="str">
        <f>IF(OR(F1875 = "", G1875 = ""), "", IF(F1875 = "Vara", IFERROR(_xlfn.SINGLE(_xlfn.XLOOKUP(G1875, Vöruskrá!A:A, Vöruskrá!G:G, "")), ""), IF(F1875 = "Réttur", IFERROR(_xlfn.SINGLE(_xlfn.XLOOKUP(G1875, Réttabanki!A:A, Réttabanki!AU:AU, "")), ""), "")))</f>
        <v/>
      </c>
      <c r="O1875" s="26" t="str">
        <f>IF(OR(F1875 = "", G1875 = "", I1875 = ""), "", IF(F1875 = "Vara", IFERROR(_xlfn.SINGLE(_xlfn.XLOOKUP(G1875, Vöruskrá!A:A, Vöruskrá!I:I, "")) * I1875 / 100, ""), IF(F1875 = "Réttur", IFERROR(_xlfn.SINGLE(_xlfn.XLOOKUP(G1875, Réttabanki!A:A, Réttabanki!AV:AV, "")) * I1875 / 100, ""), "")))</f>
        <v/>
      </c>
      <c r="P1875" s="26" t="str">
        <f>IF(OR(F1875 = "", G1875 = "", I1875 = ""), "", IF(F1875 = "Vara", IFERROR(_xlfn.SINGLE(_xlfn.XLOOKUP(G1875, Vöruskrá!A:A, Vöruskrá!J:J, "")) * I1875 / 100, ""), IF(F1875 = "Réttur", IFERROR(_xlfn.SINGLE(_xlfn.XLOOKUP(G1875, Réttabanki!A:A, Réttabanki!AW:AW, "")) * I1875 / 100, ""), "")))</f>
        <v/>
      </c>
      <c r="Q1875" s="26" t="str">
        <f>IF(OR(F1875 = "", G1875 = "", I1875 = ""), "", IF(F1875 = "Vara", IFERROR(_xlfn.SINGLE(_xlfn.XLOOKUP(G1875, Vöruskrá!A:A, Vöruskrá!N:N, "")) * I1875 / 100, ""), IF(F1875 = "Réttur", IFERROR(_xlfn.SINGLE(_xlfn.XLOOKUP(G1875, Réttabanki!A:A, Réttabanki!BB:BB, "")) * I1875 / 100, ""), "")))</f>
        <v/>
      </c>
    </row>
    <row r="1876" spans="2:17">
      <c r="B1876" s="33" t="str">
        <f>IF(A1876&lt;&gt;"",CHOOSE(WEEKDAY(A1876,2),"Mánudagur","Þriðjudagur","Miðvikudagur","Fimmtudagur","Föstudagur","Laugardagur","Sunnudagur"),IF(B1875&lt;&gt;"",B1875,""))</f>
        <v>Fimmtudagur</v>
      </c>
      <c r="C1876" s="33">
        <f>IF(A1876&lt;&gt;"",WEEKNUM(A1876,21),IF(C1875&lt;&gt;"",C1875,""))</f>
        <v>27</v>
      </c>
      <c r="D1876" s="34"/>
      <c r="E1876" s="34"/>
      <c r="F1876" s="34"/>
      <c r="G1876" s="34"/>
      <c r="H1876" s="34"/>
      <c r="I1876" s="35"/>
      <c r="J1876" s="35"/>
      <c r="K1876" s="36"/>
      <c r="L1876" s="26" t="str">
        <f>IF(OR(F1876 = "", G1876 = ""), "", IF(F1876 = "Vara", IFERROR(_xlfn.SINGLE(_xlfn.XLOOKUP(G1876, Vöruskrá!A:A, Vöruskrá!E:E, "")), ""), IF(F1876 = "Réttur", IFERROR(_xlfn.SINGLE(_xlfn.XLOOKUP(G1876, Réttabanki!A:A, Réttabanki!AS:AS, "")), ""), "")))</f>
        <v/>
      </c>
      <c r="M1876" s="26" t="str">
        <f>IF(OR(F1876 = "", G1876 = ""), "", IF(F1876 = "Vara", IFERROR(_xlfn.SINGLE(_xlfn.XLOOKUP(G1876, Vöruskrá!A:A, Vöruskrá!F:F, "")), ""), IF(F1876 = "Réttur", IFERROR(_xlfn.SINGLE(_xlfn.XLOOKUP(G1876, Réttabanki!A:A, Réttabanki!AT:AT, "")), ""), "")))</f>
        <v/>
      </c>
      <c r="N1876" s="26" t="str">
        <f>IF(OR(F1876 = "", G1876 = ""), "", IF(F1876 = "Vara", IFERROR(_xlfn.SINGLE(_xlfn.XLOOKUP(G1876, Vöruskrá!A:A, Vöruskrá!G:G, "")), ""), IF(F1876 = "Réttur", IFERROR(_xlfn.SINGLE(_xlfn.XLOOKUP(G1876, Réttabanki!A:A, Réttabanki!AU:AU, "")), ""), "")))</f>
        <v/>
      </c>
      <c r="O1876" s="26" t="str">
        <f>IF(OR(F1876 = "", G1876 = "", I1876 = ""), "", IF(F1876 = "Vara", IFERROR(_xlfn.SINGLE(_xlfn.XLOOKUP(G1876, Vöruskrá!A:A, Vöruskrá!I:I, "")) * I1876 / 100, ""), IF(F1876 = "Réttur", IFERROR(_xlfn.SINGLE(_xlfn.XLOOKUP(G1876, Réttabanki!A:A, Réttabanki!AV:AV, "")) * I1876 / 100, ""), "")))</f>
        <v/>
      </c>
      <c r="P1876" s="26" t="str">
        <f>IF(OR(F1876 = "", G1876 = "", I1876 = ""), "", IF(F1876 = "Vara", IFERROR(_xlfn.SINGLE(_xlfn.XLOOKUP(G1876, Vöruskrá!A:A, Vöruskrá!J:J, "")) * I1876 / 100, ""), IF(F1876 = "Réttur", IFERROR(_xlfn.SINGLE(_xlfn.XLOOKUP(G1876, Réttabanki!A:A, Réttabanki!AW:AW, "")) * I1876 / 100, ""), "")))</f>
        <v/>
      </c>
      <c r="Q1876" s="26" t="str">
        <f>IF(OR(F1876 = "", G1876 = "", I1876 = ""), "", IF(F1876 = "Vara", IFERROR(_xlfn.SINGLE(_xlfn.XLOOKUP(G1876, Vöruskrá!A:A, Vöruskrá!N:N, "")) * I1876 / 100, ""), IF(F1876 = "Réttur", IFERROR(_xlfn.SINGLE(_xlfn.XLOOKUP(G1876, Réttabanki!A:A, Réttabanki!BB:BB, "")) * I1876 / 100, ""), "")))</f>
        <v/>
      </c>
    </row>
    <row r="1877" spans="2:17">
      <c r="B1877" s="33" t="str">
        <f>IF(A1877&lt;&gt;"",CHOOSE(WEEKDAY(A1877,2),"Mánudagur","Þriðjudagur","Miðvikudagur","Fimmtudagur","Föstudagur","Laugardagur","Sunnudagur"),IF(B1876&lt;&gt;"",B1876,""))</f>
        <v>Fimmtudagur</v>
      </c>
      <c r="C1877" s="33">
        <f>IF(A1877&lt;&gt;"",WEEKNUM(A1877,21),IF(C1876&lt;&gt;"",C1876,""))</f>
        <v>27</v>
      </c>
      <c r="D1877" s="34"/>
      <c r="E1877" s="34"/>
      <c r="F1877" s="34"/>
      <c r="G1877" s="34"/>
      <c r="H1877" s="34"/>
      <c r="I1877" s="35"/>
      <c r="J1877" s="35"/>
      <c r="K1877" s="36"/>
      <c r="L1877" s="26" t="str">
        <f>IF(OR(F1877 = "", G1877 = ""), "", IF(F1877 = "Vara", IFERROR(_xlfn.SINGLE(_xlfn.XLOOKUP(G1877, Vöruskrá!A:A, Vöruskrá!E:E, "")), ""), IF(F1877 = "Réttur", IFERROR(_xlfn.SINGLE(_xlfn.XLOOKUP(G1877, Réttabanki!A:A, Réttabanki!AS:AS, "")), ""), "")))</f>
        <v/>
      </c>
      <c r="M1877" s="26" t="str">
        <f>IF(OR(F1877 = "", G1877 = ""), "", IF(F1877 = "Vara", IFERROR(_xlfn.SINGLE(_xlfn.XLOOKUP(G1877, Vöruskrá!A:A, Vöruskrá!F:F, "")), ""), IF(F1877 = "Réttur", IFERROR(_xlfn.SINGLE(_xlfn.XLOOKUP(G1877, Réttabanki!A:A, Réttabanki!AT:AT, "")), ""), "")))</f>
        <v/>
      </c>
      <c r="N1877" s="26" t="str">
        <f>IF(OR(F1877 = "", G1877 = ""), "", IF(F1877 = "Vara", IFERROR(_xlfn.SINGLE(_xlfn.XLOOKUP(G1877, Vöruskrá!A:A, Vöruskrá!G:G, "")), ""), IF(F1877 = "Réttur", IFERROR(_xlfn.SINGLE(_xlfn.XLOOKUP(G1877, Réttabanki!A:A, Réttabanki!AU:AU, "")), ""), "")))</f>
        <v/>
      </c>
      <c r="O1877" s="26" t="str">
        <f>IF(OR(F1877 = "", G1877 = "", I1877 = ""), "", IF(F1877 = "Vara", IFERROR(_xlfn.SINGLE(_xlfn.XLOOKUP(G1877, Vöruskrá!A:A, Vöruskrá!I:I, "")) * I1877 / 100, ""), IF(F1877 = "Réttur", IFERROR(_xlfn.SINGLE(_xlfn.XLOOKUP(G1877, Réttabanki!A:A, Réttabanki!AV:AV, "")) * I1877 / 100, ""), "")))</f>
        <v/>
      </c>
      <c r="P1877" s="26" t="str">
        <f>IF(OR(F1877 = "", G1877 = "", I1877 = ""), "", IF(F1877 = "Vara", IFERROR(_xlfn.SINGLE(_xlfn.XLOOKUP(G1877, Vöruskrá!A:A, Vöruskrá!J:J, "")) * I1877 / 100, ""), IF(F1877 = "Réttur", IFERROR(_xlfn.SINGLE(_xlfn.XLOOKUP(G1877, Réttabanki!A:A, Réttabanki!AW:AW, "")) * I1877 / 100, ""), "")))</f>
        <v/>
      </c>
      <c r="Q1877" s="26" t="str">
        <f>IF(OR(F1877 = "", G1877 = "", I1877 = ""), "", IF(F1877 = "Vara", IFERROR(_xlfn.SINGLE(_xlfn.XLOOKUP(G1877, Vöruskrá!A:A, Vöruskrá!N:N, "")) * I1877 / 100, ""), IF(F1877 = "Réttur", IFERROR(_xlfn.SINGLE(_xlfn.XLOOKUP(G1877, Réttabanki!A:A, Réttabanki!BB:BB, "")) * I1877 / 100, ""), "")))</f>
        <v/>
      </c>
    </row>
    <row r="1878" spans="2:17">
      <c r="B1878" s="33" t="str">
        <f>IF(A1878&lt;&gt;"",CHOOSE(WEEKDAY(A1878,2),"Mánudagur","Þriðjudagur","Miðvikudagur","Fimmtudagur","Föstudagur","Laugardagur","Sunnudagur"),IF(B1877&lt;&gt;"",B1877,""))</f>
        <v>Fimmtudagur</v>
      </c>
      <c r="C1878" s="33">
        <f>IF(A1878&lt;&gt;"",WEEKNUM(A1878,21),IF(C1877&lt;&gt;"",C1877,""))</f>
        <v>27</v>
      </c>
      <c r="D1878" s="34"/>
      <c r="E1878" s="34"/>
      <c r="F1878" s="34"/>
      <c r="G1878" s="34"/>
      <c r="H1878" s="34"/>
      <c r="I1878" s="35"/>
      <c r="J1878" s="35"/>
      <c r="K1878" s="36"/>
      <c r="L1878" s="26" t="str">
        <f>IF(OR(F1878 = "", G1878 = ""), "", IF(F1878 = "Vara", IFERROR(_xlfn.SINGLE(_xlfn.XLOOKUP(G1878, Vöruskrá!A:A, Vöruskrá!E:E, "")), ""), IF(F1878 = "Réttur", IFERROR(_xlfn.SINGLE(_xlfn.XLOOKUP(G1878, Réttabanki!A:A, Réttabanki!AS:AS, "")), ""), "")))</f>
        <v/>
      </c>
      <c r="M1878" s="26" t="str">
        <f>IF(OR(F1878 = "", G1878 = ""), "", IF(F1878 = "Vara", IFERROR(_xlfn.SINGLE(_xlfn.XLOOKUP(G1878, Vöruskrá!A:A, Vöruskrá!F:F, "")), ""), IF(F1878 = "Réttur", IFERROR(_xlfn.SINGLE(_xlfn.XLOOKUP(G1878, Réttabanki!A:A, Réttabanki!AT:AT, "")), ""), "")))</f>
        <v/>
      </c>
      <c r="N1878" s="26" t="str">
        <f>IF(OR(F1878 = "", G1878 = ""), "", IF(F1878 = "Vara", IFERROR(_xlfn.SINGLE(_xlfn.XLOOKUP(G1878, Vöruskrá!A:A, Vöruskrá!G:G, "")), ""), IF(F1878 = "Réttur", IFERROR(_xlfn.SINGLE(_xlfn.XLOOKUP(G1878, Réttabanki!A:A, Réttabanki!AU:AU, "")), ""), "")))</f>
        <v/>
      </c>
      <c r="O1878" s="26" t="str">
        <f>IF(OR(F1878 = "", G1878 = "", I1878 = ""), "", IF(F1878 = "Vara", IFERROR(_xlfn.SINGLE(_xlfn.XLOOKUP(G1878, Vöruskrá!A:A, Vöruskrá!I:I, "")) * I1878 / 100, ""), IF(F1878 = "Réttur", IFERROR(_xlfn.SINGLE(_xlfn.XLOOKUP(G1878, Réttabanki!A:A, Réttabanki!AV:AV, "")) * I1878 / 100, ""), "")))</f>
        <v/>
      </c>
      <c r="P1878" s="26" t="str">
        <f>IF(OR(F1878 = "", G1878 = "", I1878 = ""), "", IF(F1878 = "Vara", IFERROR(_xlfn.SINGLE(_xlfn.XLOOKUP(G1878, Vöruskrá!A:A, Vöruskrá!J:J, "")) * I1878 / 100, ""), IF(F1878 = "Réttur", IFERROR(_xlfn.SINGLE(_xlfn.XLOOKUP(G1878, Réttabanki!A:A, Réttabanki!AW:AW, "")) * I1878 / 100, ""), "")))</f>
        <v/>
      </c>
      <c r="Q1878" s="26" t="str">
        <f>IF(OR(F1878 = "", G1878 = "", I1878 = ""), "", IF(F1878 = "Vara", IFERROR(_xlfn.SINGLE(_xlfn.XLOOKUP(G1878, Vöruskrá!A:A, Vöruskrá!N:N, "")) * I1878 / 100, ""), IF(F1878 = "Réttur", IFERROR(_xlfn.SINGLE(_xlfn.XLOOKUP(G1878, Réttabanki!A:A, Réttabanki!BB:BB, "")) * I1878 / 100, ""), "")))</f>
        <v/>
      </c>
    </row>
    <row r="1879" spans="2:17">
      <c r="B1879" s="33" t="str">
        <f>IF(A1879&lt;&gt;"",CHOOSE(WEEKDAY(A1879,2),"Mánudagur","Þriðjudagur","Miðvikudagur","Fimmtudagur","Föstudagur","Laugardagur","Sunnudagur"),IF(B1878&lt;&gt;"",B1878,""))</f>
        <v>Fimmtudagur</v>
      </c>
      <c r="C1879" s="33">
        <f>IF(A1879&lt;&gt;"",WEEKNUM(A1879,21),IF(C1878&lt;&gt;"",C1878,""))</f>
        <v>27</v>
      </c>
      <c r="D1879" s="34"/>
      <c r="E1879" s="34"/>
      <c r="F1879" s="34"/>
      <c r="G1879" s="34"/>
      <c r="H1879" s="34"/>
      <c r="I1879" s="35"/>
      <c r="J1879" s="35"/>
      <c r="K1879" s="36"/>
      <c r="L1879" s="26" t="str">
        <f>IF(OR(F1879 = "", G1879 = ""), "", IF(F1879 = "Vara", IFERROR(_xlfn.SINGLE(_xlfn.XLOOKUP(G1879, Vöruskrá!A:A, Vöruskrá!E:E, "")), ""), IF(F1879 = "Réttur", IFERROR(_xlfn.SINGLE(_xlfn.XLOOKUP(G1879, Réttabanki!A:A, Réttabanki!AS:AS, "")), ""), "")))</f>
        <v/>
      </c>
      <c r="M1879" s="26" t="str">
        <f>IF(OR(F1879 = "", G1879 = ""), "", IF(F1879 = "Vara", IFERROR(_xlfn.SINGLE(_xlfn.XLOOKUP(G1879, Vöruskrá!A:A, Vöruskrá!F:F, "")), ""), IF(F1879 = "Réttur", IFERROR(_xlfn.SINGLE(_xlfn.XLOOKUP(G1879, Réttabanki!A:A, Réttabanki!AT:AT, "")), ""), "")))</f>
        <v/>
      </c>
      <c r="N1879" s="26" t="str">
        <f>IF(OR(F1879 = "", G1879 = ""), "", IF(F1879 = "Vara", IFERROR(_xlfn.SINGLE(_xlfn.XLOOKUP(G1879, Vöruskrá!A:A, Vöruskrá!G:G, "")), ""), IF(F1879 = "Réttur", IFERROR(_xlfn.SINGLE(_xlfn.XLOOKUP(G1879, Réttabanki!A:A, Réttabanki!AU:AU, "")), ""), "")))</f>
        <v/>
      </c>
      <c r="O1879" s="26" t="str">
        <f>IF(OR(F1879 = "", G1879 = "", I1879 = ""), "", IF(F1879 = "Vara", IFERROR(_xlfn.SINGLE(_xlfn.XLOOKUP(G1879, Vöruskrá!A:A, Vöruskrá!I:I, "")) * I1879 / 100, ""), IF(F1879 = "Réttur", IFERROR(_xlfn.SINGLE(_xlfn.XLOOKUP(G1879, Réttabanki!A:A, Réttabanki!AV:AV, "")) * I1879 / 100, ""), "")))</f>
        <v/>
      </c>
      <c r="P1879" s="26" t="str">
        <f>IF(OR(F1879 = "", G1879 = "", I1879 = ""), "", IF(F1879 = "Vara", IFERROR(_xlfn.SINGLE(_xlfn.XLOOKUP(G1879, Vöruskrá!A:A, Vöruskrá!J:J, "")) * I1879 / 100, ""), IF(F1879 = "Réttur", IFERROR(_xlfn.SINGLE(_xlfn.XLOOKUP(G1879, Réttabanki!A:A, Réttabanki!AW:AW, "")) * I1879 / 100, ""), "")))</f>
        <v/>
      </c>
      <c r="Q1879" s="26" t="str">
        <f>IF(OR(F1879 = "", G1879 = "", I1879 = ""), "", IF(F1879 = "Vara", IFERROR(_xlfn.SINGLE(_xlfn.XLOOKUP(G1879, Vöruskrá!A:A, Vöruskrá!N:N, "")) * I1879 / 100, ""), IF(F1879 = "Réttur", IFERROR(_xlfn.SINGLE(_xlfn.XLOOKUP(G1879, Réttabanki!A:A, Réttabanki!BB:BB, "")) * I1879 / 100, ""), "")))</f>
        <v/>
      </c>
    </row>
    <row r="1880" spans="2:17">
      <c r="B1880" s="33" t="str">
        <f>IF(A1880&lt;&gt;"",CHOOSE(WEEKDAY(A1880,2),"Mánudagur","Þriðjudagur","Miðvikudagur","Fimmtudagur","Föstudagur","Laugardagur","Sunnudagur"),IF(B1879&lt;&gt;"",B1879,""))</f>
        <v>Fimmtudagur</v>
      </c>
      <c r="C1880" s="33">
        <f>IF(A1880&lt;&gt;"",WEEKNUM(A1880,21),IF(C1879&lt;&gt;"",C1879,""))</f>
        <v>27</v>
      </c>
      <c r="D1880" s="34"/>
      <c r="E1880" s="34"/>
      <c r="F1880" s="34"/>
      <c r="G1880" s="34"/>
      <c r="H1880" s="34"/>
      <c r="I1880" s="35"/>
      <c r="J1880" s="35"/>
      <c r="K1880" s="36"/>
      <c r="L1880" s="26" t="str">
        <f>IF(OR(F1880 = "", G1880 = ""), "", IF(F1880 = "Vara", IFERROR(_xlfn.SINGLE(_xlfn.XLOOKUP(G1880, Vöruskrá!A:A, Vöruskrá!E:E, "")), ""), IF(F1880 = "Réttur", IFERROR(_xlfn.SINGLE(_xlfn.XLOOKUP(G1880, Réttabanki!A:A, Réttabanki!AS:AS, "")), ""), "")))</f>
        <v/>
      </c>
      <c r="M1880" s="26" t="str">
        <f>IF(OR(F1880 = "", G1880 = ""), "", IF(F1880 = "Vara", IFERROR(_xlfn.SINGLE(_xlfn.XLOOKUP(G1880, Vöruskrá!A:A, Vöruskrá!F:F, "")), ""), IF(F1880 = "Réttur", IFERROR(_xlfn.SINGLE(_xlfn.XLOOKUP(G1880, Réttabanki!A:A, Réttabanki!AT:AT, "")), ""), "")))</f>
        <v/>
      </c>
      <c r="N1880" s="26" t="str">
        <f>IF(OR(F1880 = "", G1880 = ""), "", IF(F1880 = "Vara", IFERROR(_xlfn.SINGLE(_xlfn.XLOOKUP(G1880, Vöruskrá!A:A, Vöruskrá!G:G, "")), ""), IF(F1880 = "Réttur", IFERROR(_xlfn.SINGLE(_xlfn.XLOOKUP(G1880, Réttabanki!A:A, Réttabanki!AU:AU, "")), ""), "")))</f>
        <v/>
      </c>
      <c r="O1880" s="26" t="str">
        <f>IF(OR(F1880 = "", G1880 = "", I1880 = ""), "", IF(F1880 = "Vara", IFERROR(_xlfn.SINGLE(_xlfn.XLOOKUP(G1880, Vöruskrá!A:A, Vöruskrá!I:I, "")) * I1880 / 100, ""), IF(F1880 = "Réttur", IFERROR(_xlfn.SINGLE(_xlfn.XLOOKUP(G1880, Réttabanki!A:A, Réttabanki!AV:AV, "")) * I1880 / 100, ""), "")))</f>
        <v/>
      </c>
      <c r="P1880" s="26" t="str">
        <f>IF(OR(F1880 = "", G1880 = "", I1880 = ""), "", IF(F1880 = "Vara", IFERROR(_xlfn.SINGLE(_xlfn.XLOOKUP(G1880, Vöruskrá!A:A, Vöruskrá!J:J, "")) * I1880 / 100, ""), IF(F1880 = "Réttur", IFERROR(_xlfn.SINGLE(_xlfn.XLOOKUP(G1880, Réttabanki!A:A, Réttabanki!AW:AW, "")) * I1880 / 100, ""), "")))</f>
        <v/>
      </c>
      <c r="Q1880" s="26" t="str">
        <f>IF(OR(F1880 = "", G1880 = "", I1880 = ""), "", IF(F1880 = "Vara", IFERROR(_xlfn.SINGLE(_xlfn.XLOOKUP(G1880, Vöruskrá!A:A, Vöruskrá!N:N, "")) * I1880 / 100, ""), IF(F1880 = "Réttur", IFERROR(_xlfn.SINGLE(_xlfn.XLOOKUP(G1880, Réttabanki!A:A, Réttabanki!BB:BB, "")) * I1880 / 100, ""), "")))</f>
        <v/>
      </c>
    </row>
    <row r="1881" spans="2:17">
      <c r="B1881" s="33" t="str">
        <f>IF(A1881&lt;&gt;"",CHOOSE(WEEKDAY(A1881,2),"Mánudagur","Þriðjudagur","Miðvikudagur","Fimmtudagur","Föstudagur","Laugardagur","Sunnudagur"),IF(B1880&lt;&gt;"",B1880,""))</f>
        <v>Fimmtudagur</v>
      </c>
      <c r="C1881" s="33">
        <f>IF(A1881&lt;&gt;"",WEEKNUM(A1881,21),IF(C1880&lt;&gt;"",C1880,""))</f>
        <v>27</v>
      </c>
      <c r="D1881" s="34"/>
      <c r="E1881" s="34"/>
      <c r="F1881" s="34"/>
      <c r="G1881" s="34"/>
      <c r="H1881" s="34"/>
      <c r="I1881" s="35"/>
      <c r="J1881" s="35"/>
      <c r="K1881" s="36"/>
      <c r="L1881" s="26" t="str">
        <f>IF(OR(F1881 = "", G1881 = ""), "", IF(F1881 = "Vara", IFERROR(_xlfn.SINGLE(_xlfn.XLOOKUP(G1881, Vöruskrá!A:A, Vöruskrá!E:E, "")), ""), IF(F1881 = "Réttur", IFERROR(_xlfn.SINGLE(_xlfn.XLOOKUP(G1881, Réttabanki!A:A, Réttabanki!AS:AS, "")), ""), "")))</f>
        <v/>
      </c>
      <c r="M1881" s="26" t="str">
        <f>IF(OR(F1881 = "", G1881 = ""), "", IF(F1881 = "Vara", IFERROR(_xlfn.SINGLE(_xlfn.XLOOKUP(G1881, Vöruskrá!A:A, Vöruskrá!F:F, "")), ""), IF(F1881 = "Réttur", IFERROR(_xlfn.SINGLE(_xlfn.XLOOKUP(G1881, Réttabanki!A:A, Réttabanki!AT:AT, "")), ""), "")))</f>
        <v/>
      </c>
      <c r="N1881" s="26" t="str">
        <f>IF(OR(F1881 = "", G1881 = ""), "", IF(F1881 = "Vara", IFERROR(_xlfn.SINGLE(_xlfn.XLOOKUP(G1881, Vöruskrá!A:A, Vöruskrá!G:G, "")), ""), IF(F1881 = "Réttur", IFERROR(_xlfn.SINGLE(_xlfn.XLOOKUP(G1881, Réttabanki!A:A, Réttabanki!AU:AU, "")), ""), "")))</f>
        <v/>
      </c>
      <c r="O1881" s="26" t="str">
        <f>IF(OR(F1881 = "", G1881 = "", I1881 = ""), "", IF(F1881 = "Vara", IFERROR(_xlfn.SINGLE(_xlfn.XLOOKUP(G1881, Vöruskrá!A:A, Vöruskrá!I:I, "")) * I1881 / 100, ""), IF(F1881 = "Réttur", IFERROR(_xlfn.SINGLE(_xlfn.XLOOKUP(G1881, Réttabanki!A:A, Réttabanki!AV:AV, "")) * I1881 / 100, ""), "")))</f>
        <v/>
      </c>
      <c r="P1881" s="26" t="str">
        <f>IF(OR(F1881 = "", G1881 = "", I1881 = ""), "", IF(F1881 = "Vara", IFERROR(_xlfn.SINGLE(_xlfn.XLOOKUP(G1881, Vöruskrá!A:A, Vöruskrá!J:J, "")) * I1881 / 100, ""), IF(F1881 = "Réttur", IFERROR(_xlfn.SINGLE(_xlfn.XLOOKUP(G1881, Réttabanki!A:A, Réttabanki!AW:AW, "")) * I1881 / 100, ""), "")))</f>
        <v/>
      </c>
      <c r="Q1881" s="26" t="str">
        <f>IF(OR(F1881 = "", G1881 = "", I1881 = ""), "", IF(F1881 = "Vara", IFERROR(_xlfn.SINGLE(_xlfn.XLOOKUP(G1881, Vöruskrá!A:A, Vöruskrá!N:N, "")) * I1881 / 100, ""), IF(F1881 = "Réttur", IFERROR(_xlfn.SINGLE(_xlfn.XLOOKUP(G1881, Réttabanki!A:A, Réttabanki!BB:BB, "")) * I1881 / 100, ""), "")))</f>
        <v/>
      </c>
    </row>
    <row r="1882" spans="2:17">
      <c r="B1882" s="33" t="str">
        <f>IF(A1882&lt;&gt;"",CHOOSE(WEEKDAY(A1882,2),"Mánudagur","Þriðjudagur","Miðvikudagur","Fimmtudagur","Föstudagur","Laugardagur","Sunnudagur"),IF(B1881&lt;&gt;"",B1881,""))</f>
        <v>Fimmtudagur</v>
      </c>
      <c r="C1882" s="33">
        <f>IF(A1882&lt;&gt;"",WEEKNUM(A1882,21),IF(C1881&lt;&gt;"",C1881,""))</f>
        <v>27</v>
      </c>
      <c r="D1882" s="34"/>
      <c r="E1882" s="34"/>
      <c r="F1882" s="34"/>
      <c r="G1882" s="34"/>
      <c r="H1882" s="34"/>
      <c r="I1882" s="35"/>
      <c r="J1882" s="35"/>
      <c r="K1882" s="36"/>
      <c r="L1882" s="26" t="str">
        <f>IF(OR(F1882 = "", G1882 = ""), "", IF(F1882 = "Vara", IFERROR(_xlfn.SINGLE(_xlfn.XLOOKUP(G1882, Vöruskrá!A:A, Vöruskrá!E:E, "")), ""), IF(F1882 = "Réttur", IFERROR(_xlfn.SINGLE(_xlfn.XLOOKUP(G1882, Réttabanki!A:A, Réttabanki!AS:AS, "")), ""), "")))</f>
        <v/>
      </c>
      <c r="M1882" s="26" t="str">
        <f>IF(OR(F1882 = "", G1882 = ""), "", IF(F1882 = "Vara", IFERROR(_xlfn.SINGLE(_xlfn.XLOOKUP(G1882, Vöruskrá!A:A, Vöruskrá!F:F, "")), ""), IF(F1882 = "Réttur", IFERROR(_xlfn.SINGLE(_xlfn.XLOOKUP(G1882, Réttabanki!A:A, Réttabanki!AT:AT, "")), ""), "")))</f>
        <v/>
      </c>
      <c r="N1882" s="26" t="str">
        <f>IF(OR(F1882 = "", G1882 = ""), "", IF(F1882 = "Vara", IFERROR(_xlfn.SINGLE(_xlfn.XLOOKUP(G1882, Vöruskrá!A:A, Vöruskrá!G:G, "")), ""), IF(F1882 = "Réttur", IFERROR(_xlfn.SINGLE(_xlfn.XLOOKUP(G1882, Réttabanki!A:A, Réttabanki!AU:AU, "")), ""), "")))</f>
        <v/>
      </c>
      <c r="O1882" s="26" t="str">
        <f>IF(OR(F1882 = "", G1882 = "", I1882 = ""), "", IF(F1882 = "Vara", IFERROR(_xlfn.SINGLE(_xlfn.XLOOKUP(G1882, Vöruskrá!A:A, Vöruskrá!I:I, "")) * I1882 / 100, ""), IF(F1882 = "Réttur", IFERROR(_xlfn.SINGLE(_xlfn.XLOOKUP(G1882, Réttabanki!A:A, Réttabanki!AV:AV, "")) * I1882 / 100, ""), "")))</f>
        <v/>
      </c>
      <c r="P1882" s="26" t="str">
        <f>IF(OR(F1882 = "", G1882 = "", I1882 = ""), "", IF(F1882 = "Vara", IFERROR(_xlfn.SINGLE(_xlfn.XLOOKUP(G1882, Vöruskrá!A:A, Vöruskrá!J:J, "")) * I1882 / 100, ""), IF(F1882 = "Réttur", IFERROR(_xlfn.SINGLE(_xlfn.XLOOKUP(G1882, Réttabanki!A:A, Réttabanki!AW:AW, "")) * I1882 / 100, ""), "")))</f>
        <v/>
      </c>
      <c r="Q1882" s="26" t="str">
        <f>IF(OR(F1882 = "", G1882 = "", I1882 = ""), "", IF(F1882 = "Vara", IFERROR(_xlfn.SINGLE(_xlfn.XLOOKUP(G1882, Vöruskrá!A:A, Vöruskrá!N:N, "")) * I1882 / 100, ""), IF(F1882 = "Réttur", IFERROR(_xlfn.SINGLE(_xlfn.XLOOKUP(G1882, Réttabanki!A:A, Réttabanki!BB:BB, "")) * I1882 / 100, ""), "")))</f>
        <v/>
      </c>
    </row>
    <row r="1883" spans="2:17">
      <c r="B1883" s="33" t="str">
        <f>IF(A1883&lt;&gt;"",CHOOSE(WEEKDAY(A1883,2),"Mánudagur","Þriðjudagur","Miðvikudagur","Fimmtudagur","Föstudagur","Laugardagur","Sunnudagur"),IF(B1882&lt;&gt;"",B1882,""))</f>
        <v>Fimmtudagur</v>
      </c>
      <c r="C1883" s="33">
        <f>IF(A1883&lt;&gt;"",WEEKNUM(A1883,21),IF(C1882&lt;&gt;"",C1882,""))</f>
        <v>27</v>
      </c>
      <c r="D1883" s="34"/>
      <c r="E1883" s="34"/>
      <c r="F1883" s="34"/>
      <c r="G1883" s="34"/>
      <c r="H1883" s="34"/>
      <c r="I1883" s="35"/>
      <c r="J1883" s="35"/>
      <c r="K1883" s="36"/>
      <c r="L1883" s="26" t="str">
        <f>IF(OR(F1883 = "", G1883 = ""), "", IF(F1883 = "Vara", IFERROR(_xlfn.SINGLE(_xlfn.XLOOKUP(G1883, Vöruskrá!A:A, Vöruskrá!E:E, "")), ""), IF(F1883 = "Réttur", IFERROR(_xlfn.SINGLE(_xlfn.XLOOKUP(G1883, Réttabanki!A:A, Réttabanki!AS:AS, "")), ""), "")))</f>
        <v/>
      </c>
      <c r="M1883" s="26" t="str">
        <f>IF(OR(F1883 = "", G1883 = ""), "", IF(F1883 = "Vara", IFERROR(_xlfn.SINGLE(_xlfn.XLOOKUP(G1883, Vöruskrá!A:A, Vöruskrá!F:F, "")), ""), IF(F1883 = "Réttur", IFERROR(_xlfn.SINGLE(_xlfn.XLOOKUP(G1883, Réttabanki!A:A, Réttabanki!AT:AT, "")), ""), "")))</f>
        <v/>
      </c>
      <c r="N1883" s="26" t="str">
        <f>IF(OR(F1883 = "", G1883 = ""), "", IF(F1883 = "Vara", IFERROR(_xlfn.SINGLE(_xlfn.XLOOKUP(G1883, Vöruskrá!A:A, Vöruskrá!G:G, "")), ""), IF(F1883 = "Réttur", IFERROR(_xlfn.SINGLE(_xlfn.XLOOKUP(G1883, Réttabanki!A:A, Réttabanki!AU:AU, "")), ""), "")))</f>
        <v/>
      </c>
      <c r="O1883" s="26" t="str">
        <f>IF(OR(F1883 = "", G1883 = "", I1883 = ""), "", IF(F1883 = "Vara", IFERROR(_xlfn.SINGLE(_xlfn.XLOOKUP(G1883, Vöruskrá!A:A, Vöruskrá!I:I, "")) * I1883 / 100, ""), IF(F1883 = "Réttur", IFERROR(_xlfn.SINGLE(_xlfn.XLOOKUP(G1883, Réttabanki!A:A, Réttabanki!AV:AV, "")) * I1883 / 100, ""), "")))</f>
        <v/>
      </c>
      <c r="P1883" s="26" t="str">
        <f>IF(OR(F1883 = "", G1883 = "", I1883 = ""), "", IF(F1883 = "Vara", IFERROR(_xlfn.SINGLE(_xlfn.XLOOKUP(G1883, Vöruskrá!A:A, Vöruskrá!J:J, "")) * I1883 / 100, ""), IF(F1883 = "Réttur", IFERROR(_xlfn.SINGLE(_xlfn.XLOOKUP(G1883, Réttabanki!A:A, Réttabanki!AW:AW, "")) * I1883 / 100, ""), "")))</f>
        <v/>
      </c>
      <c r="Q1883" s="26" t="str">
        <f>IF(OR(F1883 = "", G1883 = "", I1883 = ""), "", IF(F1883 = "Vara", IFERROR(_xlfn.SINGLE(_xlfn.XLOOKUP(G1883, Vöruskrá!A:A, Vöruskrá!N:N, "")) * I1883 / 100, ""), IF(F1883 = "Réttur", IFERROR(_xlfn.SINGLE(_xlfn.XLOOKUP(G1883, Réttabanki!A:A, Réttabanki!BB:BB, "")) * I1883 / 100, ""), "")))</f>
        <v/>
      </c>
    </row>
    <row r="1884" spans="2:17">
      <c r="B1884" s="33" t="str">
        <f>IF(A1884&lt;&gt;"",CHOOSE(WEEKDAY(A1884,2),"Mánudagur","Þriðjudagur","Miðvikudagur","Fimmtudagur","Föstudagur","Laugardagur","Sunnudagur"),IF(B1883&lt;&gt;"",B1883,""))</f>
        <v>Fimmtudagur</v>
      </c>
      <c r="C1884" s="33">
        <f>IF(A1884&lt;&gt;"",WEEKNUM(A1884,21),IF(C1883&lt;&gt;"",C1883,""))</f>
        <v>27</v>
      </c>
      <c r="D1884" s="34"/>
      <c r="E1884" s="34"/>
      <c r="F1884" s="34"/>
      <c r="G1884" s="34"/>
      <c r="H1884" s="34"/>
      <c r="I1884" s="35"/>
      <c r="J1884" s="35"/>
      <c r="K1884" s="36"/>
      <c r="L1884" s="26" t="str">
        <f>IF(OR(F1884 = "", G1884 = ""), "", IF(F1884 = "Vara", IFERROR(_xlfn.SINGLE(_xlfn.XLOOKUP(G1884, Vöruskrá!A:A, Vöruskrá!E:E, "")), ""), IF(F1884 = "Réttur", IFERROR(_xlfn.SINGLE(_xlfn.XLOOKUP(G1884, Réttabanki!A:A, Réttabanki!AS:AS, "")), ""), "")))</f>
        <v/>
      </c>
      <c r="M1884" s="26" t="str">
        <f>IF(OR(F1884 = "", G1884 = ""), "", IF(F1884 = "Vara", IFERROR(_xlfn.SINGLE(_xlfn.XLOOKUP(G1884, Vöruskrá!A:A, Vöruskrá!F:F, "")), ""), IF(F1884 = "Réttur", IFERROR(_xlfn.SINGLE(_xlfn.XLOOKUP(G1884, Réttabanki!A:A, Réttabanki!AT:AT, "")), ""), "")))</f>
        <v/>
      </c>
      <c r="N1884" s="26" t="str">
        <f>IF(OR(F1884 = "", G1884 = ""), "", IF(F1884 = "Vara", IFERROR(_xlfn.SINGLE(_xlfn.XLOOKUP(G1884, Vöruskrá!A:A, Vöruskrá!G:G, "")), ""), IF(F1884 = "Réttur", IFERROR(_xlfn.SINGLE(_xlfn.XLOOKUP(G1884, Réttabanki!A:A, Réttabanki!AU:AU, "")), ""), "")))</f>
        <v/>
      </c>
      <c r="O1884" s="26" t="str">
        <f>IF(OR(F1884 = "", G1884 = "", I1884 = ""), "", IF(F1884 = "Vara", IFERROR(_xlfn.SINGLE(_xlfn.XLOOKUP(G1884, Vöruskrá!A:A, Vöruskrá!I:I, "")) * I1884 / 100, ""), IF(F1884 = "Réttur", IFERROR(_xlfn.SINGLE(_xlfn.XLOOKUP(G1884, Réttabanki!A:A, Réttabanki!AV:AV, "")) * I1884 / 100, ""), "")))</f>
        <v/>
      </c>
      <c r="P1884" s="26" t="str">
        <f>IF(OR(F1884 = "", G1884 = "", I1884 = ""), "", IF(F1884 = "Vara", IFERROR(_xlfn.SINGLE(_xlfn.XLOOKUP(G1884, Vöruskrá!A:A, Vöruskrá!J:J, "")) * I1884 / 100, ""), IF(F1884 = "Réttur", IFERROR(_xlfn.SINGLE(_xlfn.XLOOKUP(G1884, Réttabanki!A:A, Réttabanki!AW:AW, "")) * I1884 / 100, ""), "")))</f>
        <v/>
      </c>
      <c r="Q1884" s="26" t="str">
        <f>IF(OR(F1884 = "", G1884 = "", I1884 = ""), "", IF(F1884 = "Vara", IFERROR(_xlfn.SINGLE(_xlfn.XLOOKUP(G1884, Vöruskrá!A:A, Vöruskrá!N:N, "")) * I1884 / 100, ""), IF(F1884 = "Réttur", IFERROR(_xlfn.SINGLE(_xlfn.XLOOKUP(G1884, Réttabanki!A:A, Réttabanki!BB:BB, "")) * I1884 / 100, ""), "")))</f>
        <v/>
      </c>
    </row>
    <row r="1885" spans="2:17">
      <c r="B1885" s="33" t="str">
        <f>IF(A1885&lt;&gt;"",CHOOSE(WEEKDAY(A1885,2),"Mánudagur","Þriðjudagur","Miðvikudagur","Fimmtudagur","Föstudagur","Laugardagur","Sunnudagur"),IF(B1884&lt;&gt;"",B1884,""))</f>
        <v>Fimmtudagur</v>
      </c>
      <c r="C1885" s="33">
        <f>IF(A1885&lt;&gt;"",WEEKNUM(A1885,21),IF(C1884&lt;&gt;"",C1884,""))</f>
        <v>27</v>
      </c>
      <c r="D1885" s="34"/>
      <c r="E1885" s="34"/>
      <c r="F1885" s="34"/>
      <c r="G1885" s="34"/>
      <c r="H1885" s="34"/>
      <c r="I1885" s="35"/>
      <c r="J1885" s="35"/>
      <c r="K1885" s="36"/>
      <c r="L1885" s="26" t="str">
        <f>IF(OR(F1885 = "", G1885 = ""), "", IF(F1885 = "Vara", IFERROR(_xlfn.SINGLE(_xlfn.XLOOKUP(G1885, Vöruskrá!A:A, Vöruskrá!E:E, "")), ""), IF(F1885 = "Réttur", IFERROR(_xlfn.SINGLE(_xlfn.XLOOKUP(G1885, Réttabanki!A:A, Réttabanki!AS:AS, "")), ""), "")))</f>
        <v/>
      </c>
      <c r="M1885" s="26" t="str">
        <f>IF(OR(F1885 = "", G1885 = ""), "", IF(F1885 = "Vara", IFERROR(_xlfn.SINGLE(_xlfn.XLOOKUP(G1885, Vöruskrá!A:A, Vöruskrá!F:F, "")), ""), IF(F1885 = "Réttur", IFERROR(_xlfn.SINGLE(_xlfn.XLOOKUP(G1885, Réttabanki!A:A, Réttabanki!AT:AT, "")), ""), "")))</f>
        <v/>
      </c>
      <c r="N1885" s="26" t="str">
        <f>IF(OR(F1885 = "", G1885 = ""), "", IF(F1885 = "Vara", IFERROR(_xlfn.SINGLE(_xlfn.XLOOKUP(G1885, Vöruskrá!A:A, Vöruskrá!G:G, "")), ""), IF(F1885 = "Réttur", IFERROR(_xlfn.SINGLE(_xlfn.XLOOKUP(G1885, Réttabanki!A:A, Réttabanki!AU:AU, "")), ""), "")))</f>
        <v/>
      </c>
      <c r="O1885" s="26" t="str">
        <f>IF(OR(F1885 = "", G1885 = "", I1885 = ""), "", IF(F1885 = "Vara", IFERROR(_xlfn.SINGLE(_xlfn.XLOOKUP(G1885, Vöruskrá!A:A, Vöruskrá!I:I, "")) * I1885 / 100, ""), IF(F1885 = "Réttur", IFERROR(_xlfn.SINGLE(_xlfn.XLOOKUP(G1885, Réttabanki!A:A, Réttabanki!AV:AV, "")) * I1885 / 100, ""), "")))</f>
        <v/>
      </c>
      <c r="P1885" s="26" t="str">
        <f>IF(OR(F1885 = "", G1885 = "", I1885 = ""), "", IF(F1885 = "Vara", IFERROR(_xlfn.SINGLE(_xlfn.XLOOKUP(G1885, Vöruskrá!A:A, Vöruskrá!J:J, "")) * I1885 / 100, ""), IF(F1885 = "Réttur", IFERROR(_xlfn.SINGLE(_xlfn.XLOOKUP(G1885, Réttabanki!A:A, Réttabanki!AW:AW, "")) * I1885 / 100, ""), "")))</f>
        <v/>
      </c>
      <c r="Q1885" s="26" t="str">
        <f>IF(OR(F1885 = "", G1885 = "", I1885 = ""), "", IF(F1885 = "Vara", IFERROR(_xlfn.SINGLE(_xlfn.XLOOKUP(G1885, Vöruskrá!A:A, Vöruskrá!N:N, "")) * I1885 / 100, ""), IF(F1885 = "Réttur", IFERROR(_xlfn.SINGLE(_xlfn.XLOOKUP(G1885, Réttabanki!A:A, Réttabanki!BB:BB, "")) * I1885 / 100, ""), "")))</f>
        <v/>
      </c>
    </row>
    <row r="1886" spans="2:17">
      <c r="B1886" s="33" t="str">
        <f>IF(A1886&lt;&gt;"",CHOOSE(WEEKDAY(A1886,2),"Mánudagur","Þriðjudagur","Miðvikudagur","Fimmtudagur","Föstudagur","Laugardagur","Sunnudagur"),IF(B1885&lt;&gt;"",B1885,""))</f>
        <v>Fimmtudagur</v>
      </c>
      <c r="C1886" s="33">
        <f>IF(A1886&lt;&gt;"",WEEKNUM(A1886,21),IF(C1885&lt;&gt;"",C1885,""))</f>
        <v>27</v>
      </c>
      <c r="D1886" s="34"/>
      <c r="E1886" s="34"/>
      <c r="F1886" s="34"/>
      <c r="G1886" s="34"/>
      <c r="H1886" s="34"/>
      <c r="I1886" s="35"/>
      <c r="J1886" s="35"/>
      <c r="K1886" s="36"/>
      <c r="L1886" s="26" t="str">
        <f>IF(OR(F1886 = "", G1886 = ""), "", IF(F1886 = "Vara", IFERROR(_xlfn.SINGLE(_xlfn.XLOOKUP(G1886, Vöruskrá!A:A, Vöruskrá!E:E, "")), ""), IF(F1886 = "Réttur", IFERROR(_xlfn.SINGLE(_xlfn.XLOOKUP(G1886, Réttabanki!A:A, Réttabanki!AS:AS, "")), ""), "")))</f>
        <v/>
      </c>
      <c r="M1886" s="26" t="str">
        <f>IF(OR(F1886 = "", G1886 = ""), "", IF(F1886 = "Vara", IFERROR(_xlfn.SINGLE(_xlfn.XLOOKUP(G1886, Vöruskrá!A:A, Vöruskrá!F:F, "")), ""), IF(F1886 = "Réttur", IFERROR(_xlfn.SINGLE(_xlfn.XLOOKUP(G1886, Réttabanki!A:A, Réttabanki!AT:AT, "")), ""), "")))</f>
        <v/>
      </c>
      <c r="N1886" s="26" t="str">
        <f>IF(OR(F1886 = "", G1886 = ""), "", IF(F1886 = "Vara", IFERROR(_xlfn.SINGLE(_xlfn.XLOOKUP(G1886, Vöruskrá!A:A, Vöruskrá!G:G, "")), ""), IF(F1886 = "Réttur", IFERROR(_xlfn.SINGLE(_xlfn.XLOOKUP(G1886, Réttabanki!A:A, Réttabanki!AU:AU, "")), ""), "")))</f>
        <v/>
      </c>
      <c r="O1886" s="26" t="str">
        <f>IF(OR(F1886 = "", G1886 = "", I1886 = ""), "", IF(F1886 = "Vara", IFERROR(_xlfn.SINGLE(_xlfn.XLOOKUP(G1886, Vöruskrá!A:A, Vöruskrá!I:I, "")) * I1886 / 100, ""), IF(F1886 = "Réttur", IFERROR(_xlfn.SINGLE(_xlfn.XLOOKUP(G1886, Réttabanki!A:A, Réttabanki!AV:AV, "")) * I1886 / 100, ""), "")))</f>
        <v/>
      </c>
      <c r="P1886" s="26" t="str">
        <f>IF(OR(F1886 = "", G1886 = "", I1886 = ""), "", IF(F1886 = "Vara", IFERROR(_xlfn.SINGLE(_xlfn.XLOOKUP(G1886, Vöruskrá!A:A, Vöruskrá!J:J, "")) * I1886 / 100, ""), IF(F1886 = "Réttur", IFERROR(_xlfn.SINGLE(_xlfn.XLOOKUP(G1886, Réttabanki!A:A, Réttabanki!AW:AW, "")) * I1886 / 100, ""), "")))</f>
        <v/>
      </c>
      <c r="Q1886" s="26" t="str">
        <f>IF(OR(F1886 = "", G1886 = "", I1886 = ""), "", IF(F1886 = "Vara", IFERROR(_xlfn.SINGLE(_xlfn.XLOOKUP(G1886, Vöruskrá!A:A, Vöruskrá!N:N, "")) * I1886 / 100, ""), IF(F1886 = "Réttur", IFERROR(_xlfn.SINGLE(_xlfn.XLOOKUP(G1886, Réttabanki!A:A, Réttabanki!BB:BB, "")) * I1886 / 100, ""), "")))</f>
        <v/>
      </c>
    </row>
    <row r="1887" spans="2:17">
      <c r="B1887" s="33" t="str">
        <f>IF(A1887&lt;&gt;"",CHOOSE(WEEKDAY(A1887,2),"Mánudagur","Þriðjudagur","Miðvikudagur","Fimmtudagur","Föstudagur","Laugardagur","Sunnudagur"),IF(B1886&lt;&gt;"",B1886,""))</f>
        <v>Fimmtudagur</v>
      </c>
      <c r="C1887" s="33">
        <f>IF(A1887&lt;&gt;"",WEEKNUM(A1887,21),IF(C1886&lt;&gt;"",C1886,""))</f>
        <v>27</v>
      </c>
      <c r="D1887" s="34"/>
      <c r="E1887" s="34"/>
      <c r="F1887" s="34"/>
      <c r="G1887" s="34"/>
      <c r="H1887" s="34"/>
      <c r="I1887" s="35"/>
      <c r="J1887" s="35"/>
      <c r="K1887" s="36"/>
      <c r="L1887" s="26" t="str">
        <f>IF(OR(F1887 = "", G1887 = ""), "", IF(F1887 = "Vara", IFERROR(_xlfn.SINGLE(_xlfn.XLOOKUP(G1887, Vöruskrá!A:A, Vöruskrá!E:E, "")), ""), IF(F1887 = "Réttur", IFERROR(_xlfn.SINGLE(_xlfn.XLOOKUP(G1887, Réttabanki!A:A, Réttabanki!AS:AS, "")), ""), "")))</f>
        <v/>
      </c>
      <c r="M1887" s="26" t="str">
        <f>IF(OR(F1887 = "", G1887 = ""), "", IF(F1887 = "Vara", IFERROR(_xlfn.SINGLE(_xlfn.XLOOKUP(G1887, Vöruskrá!A:A, Vöruskrá!F:F, "")), ""), IF(F1887 = "Réttur", IFERROR(_xlfn.SINGLE(_xlfn.XLOOKUP(G1887, Réttabanki!A:A, Réttabanki!AT:AT, "")), ""), "")))</f>
        <v/>
      </c>
      <c r="N1887" s="26" t="str">
        <f>IF(OR(F1887 = "", G1887 = ""), "", IF(F1887 = "Vara", IFERROR(_xlfn.SINGLE(_xlfn.XLOOKUP(G1887, Vöruskrá!A:A, Vöruskrá!G:G, "")), ""), IF(F1887 = "Réttur", IFERROR(_xlfn.SINGLE(_xlfn.XLOOKUP(G1887, Réttabanki!A:A, Réttabanki!AU:AU, "")), ""), "")))</f>
        <v/>
      </c>
      <c r="O1887" s="26" t="str">
        <f>IF(OR(F1887 = "", G1887 = "", I1887 = ""), "", IF(F1887 = "Vara", IFERROR(_xlfn.SINGLE(_xlfn.XLOOKUP(G1887, Vöruskrá!A:A, Vöruskrá!I:I, "")) * I1887 / 100, ""), IF(F1887 = "Réttur", IFERROR(_xlfn.SINGLE(_xlfn.XLOOKUP(G1887, Réttabanki!A:A, Réttabanki!AV:AV, "")) * I1887 / 100, ""), "")))</f>
        <v/>
      </c>
      <c r="P1887" s="26" t="str">
        <f>IF(OR(F1887 = "", G1887 = "", I1887 = ""), "", IF(F1887 = "Vara", IFERROR(_xlfn.SINGLE(_xlfn.XLOOKUP(G1887, Vöruskrá!A:A, Vöruskrá!J:J, "")) * I1887 / 100, ""), IF(F1887 = "Réttur", IFERROR(_xlfn.SINGLE(_xlfn.XLOOKUP(G1887, Réttabanki!A:A, Réttabanki!AW:AW, "")) * I1887 / 100, ""), "")))</f>
        <v/>
      </c>
      <c r="Q1887" s="26" t="str">
        <f>IF(OR(F1887 = "", G1887 = "", I1887 = ""), "", IF(F1887 = "Vara", IFERROR(_xlfn.SINGLE(_xlfn.XLOOKUP(G1887, Vöruskrá!A:A, Vöruskrá!N:N, "")) * I1887 / 100, ""), IF(F1887 = "Réttur", IFERROR(_xlfn.SINGLE(_xlfn.XLOOKUP(G1887, Réttabanki!A:A, Réttabanki!BB:BB, "")) * I1887 / 100, ""), "")))</f>
        <v/>
      </c>
    </row>
    <row r="1888" spans="2:17">
      <c r="B1888" s="33" t="str">
        <f>IF(A1888&lt;&gt;"",CHOOSE(WEEKDAY(A1888,2),"Mánudagur","Þriðjudagur","Miðvikudagur","Fimmtudagur","Föstudagur","Laugardagur","Sunnudagur"),IF(B1887&lt;&gt;"",B1887,""))</f>
        <v>Fimmtudagur</v>
      </c>
      <c r="C1888" s="33">
        <f>IF(A1888&lt;&gt;"",WEEKNUM(A1888,21),IF(C1887&lt;&gt;"",C1887,""))</f>
        <v>27</v>
      </c>
      <c r="D1888" s="34"/>
      <c r="E1888" s="34"/>
      <c r="F1888" s="34"/>
      <c r="G1888" s="34"/>
      <c r="H1888" s="34"/>
      <c r="I1888" s="35"/>
      <c r="J1888" s="35"/>
      <c r="K1888" s="36"/>
      <c r="L1888" s="26" t="str">
        <f>IF(OR(F1888 = "", G1888 = ""), "", IF(F1888 = "Vara", IFERROR(_xlfn.SINGLE(_xlfn.XLOOKUP(G1888, Vöruskrá!A:A, Vöruskrá!E:E, "")), ""), IF(F1888 = "Réttur", IFERROR(_xlfn.SINGLE(_xlfn.XLOOKUP(G1888, Réttabanki!A:A, Réttabanki!AS:AS, "")), ""), "")))</f>
        <v/>
      </c>
      <c r="M1888" s="26" t="str">
        <f>IF(OR(F1888 = "", G1888 = ""), "", IF(F1888 = "Vara", IFERROR(_xlfn.SINGLE(_xlfn.XLOOKUP(G1888, Vöruskrá!A:A, Vöruskrá!F:F, "")), ""), IF(F1888 = "Réttur", IFERROR(_xlfn.SINGLE(_xlfn.XLOOKUP(G1888, Réttabanki!A:A, Réttabanki!AT:AT, "")), ""), "")))</f>
        <v/>
      </c>
      <c r="N1888" s="26" t="str">
        <f>IF(OR(F1888 = "", G1888 = ""), "", IF(F1888 = "Vara", IFERROR(_xlfn.SINGLE(_xlfn.XLOOKUP(G1888, Vöruskrá!A:A, Vöruskrá!G:G, "")), ""), IF(F1888 = "Réttur", IFERROR(_xlfn.SINGLE(_xlfn.XLOOKUP(G1888, Réttabanki!A:A, Réttabanki!AU:AU, "")), ""), "")))</f>
        <v/>
      </c>
      <c r="O1888" s="26" t="str">
        <f>IF(OR(F1888 = "", G1888 = "", I1888 = ""), "", IF(F1888 = "Vara", IFERROR(_xlfn.SINGLE(_xlfn.XLOOKUP(G1888, Vöruskrá!A:A, Vöruskrá!I:I, "")) * I1888 / 100, ""), IF(F1888 = "Réttur", IFERROR(_xlfn.SINGLE(_xlfn.XLOOKUP(G1888, Réttabanki!A:A, Réttabanki!AV:AV, "")) * I1888 / 100, ""), "")))</f>
        <v/>
      </c>
      <c r="P1888" s="26" t="str">
        <f>IF(OR(F1888 = "", G1888 = "", I1888 = ""), "", IF(F1888 = "Vara", IFERROR(_xlfn.SINGLE(_xlfn.XLOOKUP(G1888, Vöruskrá!A:A, Vöruskrá!J:J, "")) * I1888 / 100, ""), IF(F1888 = "Réttur", IFERROR(_xlfn.SINGLE(_xlfn.XLOOKUP(G1888, Réttabanki!A:A, Réttabanki!AW:AW, "")) * I1888 / 100, ""), "")))</f>
        <v/>
      </c>
      <c r="Q1888" s="26" t="str">
        <f>IF(OR(F1888 = "", G1888 = "", I1888 = ""), "", IF(F1888 = "Vara", IFERROR(_xlfn.SINGLE(_xlfn.XLOOKUP(G1888, Vöruskrá!A:A, Vöruskrá!N:N, "")) * I1888 / 100, ""), IF(F1888 = "Réttur", IFERROR(_xlfn.SINGLE(_xlfn.XLOOKUP(G1888, Réttabanki!A:A, Réttabanki!BB:BB, "")) * I1888 / 100, ""), "")))</f>
        <v/>
      </c>
    </row>
    <row r="1889" spans="2:17">
      <c r="B1889" s="33" t="str">
        <f>IF(A1889&lt;&gt;"",CHOOSE(WEEKDAY(A1889,2),"Mánudagur","Þriðjudagur","Miðvikudagur","Fimmtudagur","Föstudagur","Laugardagur","Sunnudagur"),IF(B1888&lt;&gt;"",B1888,""))</f>
        <v>Fimmtudagur</v>
      </c>
      <c r="C1889" s="33">
        <f>IF(A1889&lt;&gt;"",WEEKNUM(A1889,21),IF(C1888&lt;&gt;"",C1888,""))</f>
        <v>27</v>
      </c>
      <c r="D1889" s="34"/>
      <c r="E1889" s="34"/>
      <c r="F1889" s="34"/>
      <c r="G1889" s="34"/>
      <c r="H1889" s="34"/>
      <c r="I1889" s="35"/>
      <c r="J1889" s="35"/>
      <c r="K1889" s="36"/>
      <c r="L1889" s="26" t="str">
        <f>IF(OR(F1889 = "", G1889 = ""), "", IF(F1889 = "Vara", IFERROR(_xlfn.SINGLE(_xlfn.XLOOKUP(G1889, Vöruskrá!A:A, Vöruskrá!E:E, "")), ""), IF(F1889 = "Réttur", IFERROR(_xlfn.SINGLE(_xlfn.XLOOKUP(G1889, Réttabanki!A:A, Réttabanki!AS:AS, "")), ""), "")))</f>
        <v/>
      </c>
      <c r="M1889" s="26" t="str">
        <f>IF(OR(F1889 = "", G1889 = ""), "", IF(F1889 = "Vara", IFERROR(_xlfn.SINGLE(_xlfn.XLOOKUP(G1889, Vöruskrá!A:A, Vöruskrá!F:F, "")), ""), IF(F1889 = "Réttur", IFERROR(_xlfn.SINGLE(_xlfn.XLOOKUP(G1889, Réttabanki!A:A, Réttabanki!AT:AT, "")), ""), "")))</f>
        <v/>
      </c>
      <c r="N1889" s="26" t="str">
        <f>IF(OR(F1889 = "", G1889 = ""), "", IF(F1889 = "Vara", IFERROR(_xlfn.SINGLE(_xlfn.XLOOKUP(G1889, Vöruskrá!A:A, Vöruskrá!G:G, "")), ""), IF(F1889 = "Réttur", IFERROR(_xlfn.SINGLE(_xlfn.XLOOKUP(G1889, Réttabanki!A:A, Réttabanki!AU:AU, "")), ""), "")))</f>
        <v/>
      </c>
      <c r="O1889" s="26" t="str">
        <f>IF(OR(F1889 = "", G1889 = "", I1889 = ""), "", IF(F1889 = "Vara", IFERROR(_xlfn.SINGLE(_xlfn.XLOOKUP(G1889, Vöruskrá!A:A, Vöruskrá!I:I, "")) * I1889 / 100, ""), IF(F1889 = "Réttur", IFERROR(_xlfn.SINGLE(_xlfn.XLOOKUP(G1889, Réttabanki!A:A, Réttabanki!AV:AV, "")) * I1889 / 100, ""), "")))</f>
        <v/>
      </c>
      <c r="P1889" s="26" t="str">
        <f>IF(OR(F1889 = "", G1889 = "", I1889 = ""), "", IF(F1889 = "Vara", IFERROR(_xlfn.SINGLE(_xlfn.XLOOKUP(G1889, Vöruskrá!A:A, Vöruskrá!J:J, "")) * I1889 / 100, ""), IF(F1889 = "Réttur", IFERROR(_xlfn.SINGLE(_xlfn.XLOOKUP(G1889, Réttabanki!A:A, Réttabanki!AW:AW, "")) * I1889 / 100, ""), "")))</f>
        <v/>
      </c>
      <c r="Q1889" s="26" t="str">
        <f>IF(OR(F1889 = "", G1889 = "", I1889 = ""), "", IF(F1889 = "Vara", IFERROR(_xlfn.SINGLE(_xlfn.XLOOKUP(G1889, Vöruskrá!A:A, Vöruskrá!N:N, "")) * I1889 / 100, ""), IF(F1889 = "Réttur", IFERROR(_xlfn.SINGLE(_xlfn.XLOOKUP(G1889, Réttabanki!A:A, Réttabanki!BB:BB, "")) * I1889 / 100, ""), "")))</f>
        <v/>
      </c>
    </row>
    <row r="1890" spans="2:17">
      <c r="B1890" s="33" t="str">
        <f>IF(A1890&lt;&gt;"",CHOOSE(WEEKDAY(A1890,2),"Mánudagur","Þriðjudagur","Miðvikudagur","Fimmtudagur","Föstudagur","Laugardagur","Sunnudagur"),IF(B1889&lt;&gt;"",B1889,""))</f>
        <v>Fimmtudagur</v>
      </c>
      <c r="C1890" s="33">
        <f>IF(A1890&lt;&gt;"",WEEKNUM(A1890,21),IF(C1889&lt;&gt;"",C1889,""))</f>
        <v>27</v>
      </c>
      <c r="D1890" s="34"/>
      <c r="E1890" s="34"/>
      <c r="F1890" s="34"/>
      <c r="G1890" s="34"/>
      <c r="H1890" s="34"/>
      <c r="I1890" s="35"/>
      <c r="J1890" s="35"/>
      <c r="K1890" s="36"/>
      <c r="L1890" s="26" t="str">
        <f>IF(OR(F1890 = "", G1890 = ""), "", IF(F1890 = "Vara", IFERROR(_xlfn.SINGLE(_xlfn.XLOOKUP(G1890, Vöruskrá!A:A, Vöruskrá!E:E, "")), ""), IF(F1890 = "Réttur", IFERROR(_xlfn.SINGLE(_xlfn.XLOOKUP(G1890, Réttabanki!A:A, Réttabanki!AS:AS, "")), ""), "")))</f>
        <v/>
      </c>
      <c r="M1890" s="26" t="str">
        <f>IF(OR(F1890 = "", G1890 = ""), "", IF(F1890 = "Vara", IFERROR(_xlfn.SINGLE(_xlfn.XLOOKUP(G1890, Vöruskrá!A:A, Vöruskrá!F:F, "")), ""), IF(F1890 = "Réttur", IFERROR(_xlfn.SINGLE(_xlfn.XLOOKUP(G1890, Réttabanki!A:A, Réttabanki!AT:AT, "")), ""), "")))</f>
        <v/>
      </c>
      <c r="N1890" s="26" t="str">
        <f>IF(OR(F1890 = "", G1890 = ""), "", IF(F1890 = "Vara", IFERROR(_xlfn.SINGLE(_xlfn.XLOOKUP(G1890, Vöruskrá!A:A, Vöruskrá!G:G, "")), ""), IF(F1890 = "Réttur", IFERROR(_xlfn.SINGLE(_xlfn.XLOOKUP(G1890, Réttabanki!A:A, Réttabanki!AU:AU, "")), ""), "")))</f>
        <v/>
      </c>
      <c r="O1890" s="26" t="str">
        <f>IF(OR(F1890 = "", G1890 = "", I1890 = ""), "", IF(F1890 = "Vara", IFERROR(_xlfn.SINGLE(_xlfn.XLOOKUP(G1890, Vöruskrá!A:A, Vöruskrá!I:I, "")) * I1890 / 100, ""), IF(F1890 = "Réttur", IFERROR(_xlfn.SINGLE(_xlfn.XLOOKUP(G1890, Réttabanki!A:A, Réttabanki!AV:AV, "")) * I1890 / 100, ""), "")))</f>
        <v/>
      </c>
      <c r="P1890" s="26" t="str">
        <f>IF(OR(F1890 = "", G1890 = "", I1890 = ""), "", IF(F1890 = "Vara", IFERROR(_xlfn.SINGLE(_xlfn.XLOOKUP(G1890, Vöruskrá!A:A, Vöruskrá!J:J, "")) * I1890 / 100, ""), IF(F1890 = "Réttur", IFERROR(_xlfn.SINGLE(_xlfn.XLOOKUP(G1890, Réttabanki!A:A, Réttabanki!AW:AW, "")) * I1890 / 100, ""), "")))</f>
        <v/>
      </c>
      <c r="Q1890" s="26" t="str">
        <f>IF(OR(F1890 = "", G1890 = "", I1890 = ""), "", IF(F1890 = "Vara", IFERROR(_xlfn.SINGLE(_xlfn.XLOOKUP(G1890, Vöruskrá!A:A, Vöruskrá!N:N, "")) * I1890 / 100, ""), IF(F1890 = "Réttur", IFERROR(_xlfn.SINGLE(_xlfn.XLOOKUP(G1890, Réttabanki!A:A, Réttabanki!BB:BB, "")) * I1890 / 100, ""), "")))</f>
        <v/>
      </c>
    </row>
    <row r="1891" spans="2:17">
      <c r="B1891" s="33" t="str">
        <f>IF(A1891&lt;&gt;"",CHOOSE(WEEKDAY(A1891,2),"Mánudagur","Þriðjudagur","Miðvikudagur","Fimmtudagur","Föstudagur","Laugardagur","Sunnudagur"),IF(B1890&lt;&gt;"",B1890,""))</f>
        <v>Fimmtudagur</v>
      </c>
      <c r="C1891" s="33">
        <f>IF(A1891&lt;&gt;"",WEEKNUM(A1891,21),IF(C1890&lt;&gt;"",C1890,""))</f>
        <v>27</v>
      </c>
      <c r="D1891" s="34"/>
      <c r="E1891" s="34"/>
      <c r="F1891" s="34"/>
      <c r="G1891" s="34"/>
      <c r="H1891" s="34"/>
      <c r="I1891" s="35"/>
      <c r="J1891" s="35"/>
      <c r="K1891" s="36"/>
      <c r="L1891" s="26" t="str">
        <f>IF(OR(F1891 = "", G1891 = ""), "", IF(F1891 = "Vara", IFERROR(_xlfn.SINGLE(_xlfn.XLOOKUP(G1891, Vöruskrá!A:A, Vöruskrá!E:E, "")), ""), IF(F1891 = "Réttur", IFERROR(_xlfn.SINGLE(_xlfn.XLOOKUP(G1891, Réttabanki!A:A, Réttabanki!AS:AS, "")), ""), "")))</f>
        <v/>
      </c>
      <c r="M1891" s="26" t="str">
        <f>IF(OR(F1891 = "", G1891 = ""), "", IF(F1891 = "Vara", IFERROR(_xlfn.SINGLE(_xlfn.XLOOKUP(G1891, Vöruskrá!A:A, Vöruskrá!F:F, "")), ""), IF(F1891 = "Réttur", IFERROR(_xlfn.SINGLE(_xlfn.XLOOKUP(G1891, Réttabanki!A:A, Réttabanki!AT:AT, "")), ""), "")))</f>
        <v/>
      </c>
      <c r="N1891" s="26" t="str">
        <f>IF(OR(F1891 = "", G1891 = ""), "", IF(F1891 = "Vara", IFERROR(_xlfn.SINGLE(_xlfn.XLOOKUP(G1891, Vöruskrá!A:A, Vöruskrá!G:G, "")), ""), IF(F1891 = "Réttur", IFERROR(_xlfn.SINGLE(_xlfn.XLOOKUP(G1891, Réttabanki!A:A, Réttabanki!AU:AU, "")), ""), "")))</f>
        <v/>
      </c>
      <c r="O1891" s="26" t="str">
        <f>IF(OR(F1891 = "", G1891 = "", I1891 = ""), "", IF(F1891 = "Vara", IFERROR(_xlfn.SINGLE(_xlfn.XLOOKUP(G1891, Vöruskrá!A:A, Vöruskrá!I:I, "")) * I1891 / 100, ""), IF(F1891 = "Réttur", IFERROR(_xlfn.SINGLE(_xlfn.XLOOKUP(G1891, Réttabanki!A:A, Réttabanki!AV:AV, "")) * I1891 / 100, ""), "")))</f>
        <v/>
      </c>
      <c r="P1891" s="26" t="str">
        <f>IF(OR(F1891 = "", G1891 = "", I1891 = ""), "", IF(F1891 = "Vara", IFERROR(_xlfn.SINGLE(_xlfn.XLOOKUP(G1891, Vöruskrá!A:A, Vöruskrá!J:J, "")) * I1891 / 100, ""), IF(F1891 = "Réttur", IFERROR(_xlfn.SINGLE(_xlfn.XLOOKUP(G1891, Réttabanki!A:A, Réttabanki!AW:AW, "")) * I1891 / 100, ""), "")))</f>
        <v/>
      </c>
      <c r="Q1891" s="26" t="str">
        <f>IF(OR(F1891 = "", G1891 = "", I1891 = ""), "", IF(F1891 = "Vara", IFERROR(_xlfn.SINGLE(_xlfn.XLOOKUP(G1891, Vöruskrá!A:A, Vöruskrá!N:N, "")) * I1891 / 100, ""), IF(F1891 = "Réttur", IFERROR(_xlfn.SINGLE(_xlfn.XLOOKUP(G1891, Réttabanki!A:A, Réttabanki!BB:BB, "")) * I1891 / 100, ""), "")))</f>
        <v/>
      </c>
    </row>
    <row r="1892" spans="2:17">
      <c r="B1892" s="33" t="str">
        <f>IF(A1892&lt;&gt;"",CHOOSE(WEEKDAY(A1892,2),"Mánudagur","Þriðjudagur","Miðvikudagur","Fimmtudagur","Föstudagur","Laugardagur","Sunnudagur"),IF(B1891&lt;&gt;"",B1891,""))</f>
        <v>Fimmtudagur</v>
      </c>
      <c r="C1892" s="33">
        <f>IF(A1892&lt;&gt;"",WEEKNUM(A1892,21),IF(C1891&lt;&gt;"",C1891,""))</f>
        <v>27</v>
      </c>
      <c r="D1892" s="34"/>
      <c r="E1892" s="34"/>
      <c r="F1892" s="34"/>
      <c r="G1892" s="34"/>
      <c r="H1892" s="34"/>
      <c r="I1892" s="35"/>
      <c r="J1892" s="35"/>
      <c r="K1892" s="36"/>
      <c r="L1892" s="26" t="str">
        <f>IF(OR(F1892 = "", G1892 = ""), "", IF(F1892 = "Vara", IFERROR(_xlfn.SINGLE(_xlfn.XLOOKUP(G1892, Vöruskrá!A:A, Vöruskrá!E:E, "")), ""), IF(F1892 = "Réttur", IFERROR(_xlfn.SINGLE(_xlfn.XLOOKUP(G1892, Réttabanki!A:A, Réttabanki!AS:AS, "")), ""), "")))</f>
        <v/>
      </c>
      <c r="M1892" s="26" t="str">
        <f>IF(OR(F1892 = "", G1892 = ""), "", IF(F1892 = "Vara", IFERROR(_xlfn.SINGLE(_xlfn.XLOOKUP(G1892, Vöruskrá!A:A, Vöruskrá!F:F, "")), ""), IF(F1892 = "Réttur", IFERROR(_xlfn.SINGLE(_xlfn.XLOOKUP(G1892, Réttabanki!A:A, Réttabanki!AT:AT, "")), ""), "")))</f>
        <v/>
      </c>
      <c r="N1892" s="26" t="str">
        <f>IF(OR(F1892 = "", G1892 = ""), "", IF(F1892 = "Vara", IFERROR(_xlfn.SINGLE(_xlfn.XLOOKUP(G1892, Vöruskrá!A:A, Vöruskrá!G:G, "")), ""), IF(F1892 = "Réttur", IFERROR(_xlfn.SINGLE(_xlfn.XLOOKUP(G1892, Réttabanki!A:A, Réttabanki!AU:AU, "")), ""), "")))</f>
        <v/>
      </c>
      <c r="O1892" s="26" t="str">
        <f>IF(OR(F1892 = "", G1892 = "", I1892 = ""), "", IF(F1892 = "Vara", IFERROR(_xlfn.SINGLE(_xlfn.XLOOKUP(G1892, Vöruskrá!A:A, Vöruskrá!I:I, "")) * I1892 / 100, ""), IF(F1892 = "Réttur", IFERROR(_xlfn.SINGLE(_xlfn.XLOOKUP(G1892, Réttabanki!A:A, Réttabanki!AV:AV, "")) * I1892 / 100, ""), "")))</f>
        <v/>
      </c>
      <c r="P1892" s="26" t="str">
        <f>IF(OR(F1892 = "", G1892 = "", I1892 = ""), "", IF(F1892 = "Vara", IFERROR(_xlfn.SINGLE(_xlfn.XLOOKUP(G1892, Vöruskrá!A:A, Vöruskrá!J:J, "")) * I1892 / 100, ""), IF(F1892 = "Réttur", IFERROR(_xlfn.SINGLE(_xlfn.XLOOKUP(G1892, Réttabanki!A:A, Réttabanki!AW:AW, "")) * I1892 / 100, ""), "")))</f>
        <v/>
      </c>
      <c r="Q1892" s="26" t="str">
        <f>IF(OR(F1892 = "", G1892 = "", I1892 = ""), "", IF(F1892 = "Vara", IFERROR(_xlfn.SINGLE(_xlfn.XLOOKUP(G1892, Vöruskrá!A:A, Vöruskrá!N:N, "")) * I1892 / 100, ""), IF(F1892 = "Réttur", IFERROR(_xlfn.SINGLE(_xlfn.XLOOKUP(G1892, Réttabanki!A:A, Réttabanki!BB:BB, "")) * I1892 / 100, ""), "")))</f>
        <v/>
      </c>
    </row>
    <row r="1893" spans="2:17">
      <c r="B1893" s="33" t="str">
        <f>IF(A1893&lt;&gt;"",CHOOSE(WEEKDAY(A1893,2),"Mánudagur","Þriðjudagur","Miðvikudagur","Fimmtudagur","Föstudagur","Laugardagur","Sunnudagur"),IF(B1892&lt;&gt;"",B1892,""))</f>
        <v>Fimmtudagur</v>
      </c>
      <c r="C1893" s="33">
        <f>IF(A1893&lt;&gt;"",WEEKNUM(A1893,21),IF(C1892&lt;&gt;"",C1892,""))</f>
        <v>27</v>
      </c>
      <c r="D1893" s="34"/>
      <c r="E1893" s="34"/>
      <c r="F1893" s="34"/>
      <c r="G1893" s="34"/>
      <c r="H1893" s="34"/>
      <c r="I1893" s="35"/>
      <c r="J1893" s="35"/>
      <c r="K1893" s="36"/>
      <c r="L1893" s="26" t="str">
        <f>IF(OR(F1893 = "", G1893 = ""), "", IF(F1893 = "Vara", IFERROR(_xlfn.SINGLE(_xlfn.XLOOKUP(G1893, Vöruskrá!A:A, Vöruskrá!E:E, "")), ""), IF(F1893 = "Réttur", IFERROR(_xlfn.SINGLE(_xlfn.XLOOKUP(G1893, Réttabanki!A:A, Réttabanki!AS:AS, "")), ""), "")))</f>
        <v/>
      </c>
      <c r="M1893" s="26" t="str">
        <f>IF(OR(F1893 = "", G1893 = ""), "", IF(F1893 = "Vara", IFERROR(_xlfn.SINGLE(_xlfn.XLOOKUP(G1893, Vöruskrá!A:A, Vöruskrá!F:F, "")), ""), IF(F1893 = "Réttur", IFERROR(_xlfn.SINGLE(_xlfn.XLOOKUP(G1893, Réttabanki!A:A, Réttabanki!AT:AT, "")), ""), "")))</f>
        <v/>
      </c>
      <c r="N1893" s="26" t="str">
        <f>IF(OR(F1893 = "", G1893 = ""), "", IF(F1893 = "Vara", IFERROR(_xlfn.SINGLE(_xlfn.XLOOKUP(G1893, Vöruskrá!A:A, Vöruskrá!G:G, "")), ""), IF(F1893 = "Réttur", IFERROR(_xlfn.SINGLE(_xlfn.XLOOKUP(G1893, Réttabanki!A:A, Réttabanki!AU:AU, "")), ""), "")))</f>
        <v/>
      </c>
      <c r="O1893" s="26" t="str">
        <f>IF(OR(F1893 = "", G1893 = "", I1893 = ""), "", IF(F1893 = "Vara", IFERROR(_xlfn.SINGLE(_xlfn.XLOOKUP(G1893, Vöruskrá!A:A, Vöruskrá!I:I, "")) * I1893 / 100, ""), IF(F1893 = "Réttur", IFERROR(_xlfn.SINGLE(_xlfn.XLOOKUP(G1893, Réttabanki!A:A, Réttabanki!AV:AV, "")) * I1893 / 100, ""), "")))</f>
        <v/>
      </c>
      <c r="P1893" s="26" t="str">
        <f>IF(OR(F1893 = "", G1893 = "", I1893 = ""), "", IF(F1893 = "Vara", IFERROR(_xlfn.SINGLE(_xlfn.XLOOKUP(G1893, Vöruskrá!A:A, Vöruskrá!J:J, "")) * I1893 / 100, ""), IF(F1893 = "Réttur", IFERROR(_xlfn.SINGLE(_xlfn.XLOOKUP(G1893, Réttabanki!A:A, Réttabanki!AW:AW, "")) * I1893 / 100, ""), "")))</f>
        <v/>
      </c>
      <c r="Q1893" s="26" t="str">
        <f>IF(OR(F1893 = "", G1893 = "", I1893 = ""), "", IF(F1893 = "Vara", IFERROR(_xlfn.SINGLE(_xlfn.XLOOKUP(G1893, Vöruskrá!A:A, Vöruskrá!N:N, "")) * I1893 / 100, ""), IF(F1893 = "Réttur", IFERROR(_xlfn.SINGLE(_xlfn.XLOOKUP(G1893, Réttabanki!A:A, Réttabanki!BB:BB, "")) * I1893 / 100, ""), "")))</f>
        <v/>
      </c>
    </row>
    <row r="1894" spans="2:17">
      <c r="B1894" s="33" t="str">
        <f>IF(A1894&lt;&gt;"",CHOOSE(WEEKDAY(A1894,2),"Mánudagur","Þriðjudagur","Miðvikudagur","Fimmtudagur","Föstudagur","Laugardagur","Sunnudagur"),IF(B1893&lt;&gt;"",B1893,""))</f>
        <v>Fimmtudagur</v>
      </c>
      <c r="C1894" s="33">
        <f>IF(A1894&lt;&gt;"",WEEKNUM(A1894,21),IF(C1893&lt;&gt;"",C1893,""))</f>
        <v>27</v>
      </c>
      <c r="D1894" s="34"/>
      <c r="E1894" s="34"/>
      <c r="F1894" s="34"/>
      <c r="G1894" s="34"/>
      <c r="H1894" s="34"/>
      <c r="I1894" s="35"/>
      <c r="J1894" s="35"/>
      <c r="K1894" s="36"/>
      <c r="L1894" s="26" t="str">
        <f>IF(OR(F1894 = "", G1894 = ""), "", IF(F1894 = "Vara", IFERROR(_xlfn.SINGLE(_xlfn.XLOOKUP(G1894, Vöruskrá!A:A, Vöruskrá!E:E, "")), ""), IF(F1894 = "Réttur", IFERROR(_xlfn.SINGLE(_xlfn.XLOOKUP(G1894, Réttabanki!A:A, Réttabanki!AS:AS, "")), ""), "")))</f>
        <v/>
      </c>
      <c r="M1894" s="26" t="str">
        <f>IF(OR(F1894 = "", G1894 = ""), "", IF(F1894 = "Vara", IFERROR(_xlfn.SINGLE(_xlfn.XLOOKUP(G1894, Vöruskrá!A:A, Vöruskrá!F:F, "")), ""), IF(F1894 = "Réttur", IFERROR(_xlfn.SINGLE(_xlfn.XLOOKUP(G1894, Réttabanki!A:A, Réttabanki!AT:AT, "")), ""), "")))</f>
        <v/>
      </c>
      <c r="N1894" s="26" t="str">
        <f>IF(OR(F1894 = "", G1894 = ""), "", IF(F1894 = "Vara", IFERROR(_xlfn.SINGLE(_xlfn.XLOOKUP(G1894, Vöruskrá!A:A, Vöruskrá!G:G, "")), ""), IF(F1894 = "Réttur", IFERROR(_xlfn.SINGLE(_xlfn.XLOOKUP(G1894, Réttabanki!A:A, Réttabanki!AU:AU, "")), ""), "")))</f>
        <v/>
      </c>
      <c r="O1894" s="26" t="str">
        <f>IF(OR(F1894 = "", G1894 = "", I1894 = ""), "", IF(F1894 = "Vara", IFERROR(_xlfn.SINGLE(_xlfn.XLOOKUP(G1894, Vöruskrá!A:A, Vöruskrá!I:I, "")) * I1894 / 100, ""), IF(F1894 = "Réttur", IFERROR(_xlfn.SINGLE(_xlfn.XLOOKUP(G1894, Réttabanki!A:A, Réttabanki!AV:AV, "")) * I1894 / 100, ""), "")))</f>
        <v/>
      </c>
      <c r="P1894" s="26" t="str">
        <f>IF(OR(F1894 = "", G1894 = "", I1894 = ""), "", IF(F1894 = "Vara", IFERROR(_xlfn.SINGLE(_xlfn.XLOOKUP(G1894, Vöruskrá!A:A, Vöruskrá!J:J, "")) * I1894 / 100, ""), IF(F1894 = "Réttur", IFERROR(_xlfn.SINGLE(_xlfn.XLOOKUP(G1894, Réttabanki!A:A, Réttabanki!AW:AW, "")) * I1894 / 100, ""), "")))</f>
        <v/>
      </c>
      <c r="Q1894" s="26" t="str">
        <f>IF(OR(F1894 = "", G1894 = "", I1894 = ""), "", IF(F1894 = "Vara", IFERROR(_xlfn.SINGLE(_xlfn.XLOOKUP(G1894, Vöruskrá!A:A, Vöruskrá!N:N, "")) * I1894 / 100, ""), IF(F1894 = "Réttur", IFERROR(_xlfn.SINGLE(_xlfn.XLOOKUP(G1894, Réttabanki!A:A, Réttabanki!BB:BB, "")) * I1894 / 100, ""), "")))</f>
        <v/>
      </c>
    </row>
    <row r="1895" spans="2:17">
      <c r="B1895" s="33" t="str">
        <f>IF(A1895&lt;&gt;"",CHOOSE(WEEKDAY(A1895,2),"Mánudagur","Þriðjudagur","Miðvikudagur","Fimmtudagur","Föstudagur","Laugardagur","Sunnudagur"),IF(B1894&lt;&gt;"",B1894,""))</f>
        <v>Fimmtudagur</v>
      </c>
      <c r="C1895" s="33">
        <f>IF(A1895&lt;&gt;"",WEEKNUM(A1895,21),IF(C1894&lt;&gt;"",C1894,""))</f>
        <v>27</v>
      </c>
      <c r="D1895" s="34"/>
      <c r="E1895" s="34"/>
      <c r="F1895" s="34"/>
      <c r="G1895" s="34"/>
      <c r="H1895" s="34"/>
      <c r="I1895" s="35"/>
      <c r="J1895" s="35"/>
      <c r="K1895" s="36"/>
      <c r="L1895" s="26" t="str">
        <f>IF(OR(F1895 = "", G1895 = ""), "", IF(F1895 = "Vara", IFERROR(_xlfn.SINGLE(_xlfn.XLOOKUP(G1895, Vöruskrá!A:A, Vöruskrá!E:E, "")), ""), IF(F1895 = "Réttur", IFERROR(_xlfn.SINGLE(_xlfn.XLOOKUP(G1895, Réttabanki!A:A, Réttabanki!AS:AS, "")), ""), "")))</f>
        <v/>
      </c>
      <c r="M1895" s="26" t="str">
        <f>IF(OR(F1895 = "", G1895 = ""), "", IF(F1895 = "Vara", IFERROR(_xlfn.SINGLE(_xlfn.XLOOKUP(G1895, Vöruskrá!A:A, Vöruskrá!F:F, "")), ""), IF(F1895 = "Réttur", IFERROR(_xlfn.SINGLE(_xlfn.XLOOKUP(G1895, Réttabanki!A:A, Réttabanki!AT:AT, "")), ""), "")))</f>
        <v/>
      </c>
      <c r="N1895" s="26" t="str">
        <f>IF(OR(F1895 = "", G1895 = ""), "", IF(F1895 = "Vara", IFERROR(_xlfn.SINGLE(_xlfn.XLOOKUP(G1895, Vöruskrá!A:A, Vöruskrá!G:G, "")), ""), IF(F1895 = "Réttur", IFERROR(_xlfn.SINGLE(_xlfn.XLOOKUP(G1895, Réttabanki!A:A, Réttabanki!AU:AU, "")), ""), "")))</f>
        <v/>
      </c>
      <c r="O1895" s="26" t="str">
        <f>IF(OR(F1895 = "", G1895 = "", I1895 = ""), "", IF(F1895 = "Vara", IFERROR(_xlfn.SINGLE(_xlfn.XLOOKUP(G1895, Vöruskrá!A:A, Vöruskrá!I:I, "")) * I1895 / 100, ""), IF(F1895 = "Réttur", IFERROR(_xlfn.SINGLE(_xlfn.XLOOKUP(G1895, Réttabanki!A:A, Réttabanki!AV:AV, "")) * I1895 / 100, ""), "")))</f>
        <v/>
      </c>
      <c r="P1895" s="26" t="str">
        <f>IF(OR(F1895 = "", G1895 = "", I1895 = ""), "", IF(F1895 = "Vara", IFERROR(_xlfn.SINGLE(_xlfn.XLOOKUP(G1895, Vöruskrá!A:A, Vöruskrá!J:J, "")) * I1895 / 100, ""), IF(F1895 = "Réttur", IFERROR(_xlfn.SINGLE(_xlfn.XLOOKUP(G1895, Réttabanki!A:A, Réttabanki!AW:AW, "")) * I1895 / 100, ""), "")))</f>
        <v/>
      </c>
      <c r="Q1895" s="26" t="str">
        <f>IF(OR(F1895 = "", G1895 = "", I1895 = ""), "", IF(F1895 = "Vara", IFERROR(_xlfn.SINGLE(_xlfn.XLOOKUP(G1895, Vöruskrá!A:A, Vöruskrá!N:N, "")) * I1895 / 100, ""), IF(F1895 = "Réttur", IFERROR(_xlfn.SINGLE(_xlfn.XLOOKUP(G1895, Réttabanki!A:A, Réttabanki!BB:BB, "")) * I1895 / 100, ""), "")))</f>
        <v/>
      </c>
    </row>
    <row r="1896" spans="2:17">
      <c r="B1896" s="33" t="str">
        <f>IF(A1896&lt;&gt;"",CHOOSE(WEEKDAY(A1896,2),"Mánudagur","Þriðjudagur","Miðvikudagur","Fimmtudagur","Föstudagur","Laugardagur","Sunnudagur"),IF(B1895&lt;&gt;"",B1895,""))</f>
        <v>Fimmtudagur</v>
      </c>
      <c r="C1896" s="33">
        <f>IF(A1896&lt;&gt;"",WEEKNUM(A1896,21),IF(C1895&lt;&gt;"",C1895,""))</f>
        <v>27</v>
      </c>
      <c r="D1896" s="34"/>
      <c r="E1896" s="34"/>
      <c r="F1896" s="34"/>
      <c r="G1896" s="34"/>
      <c r="H1896" s="34"/>
      <c r="I1896" s="35"/>
      <c r="J1896" s="35"/>
      <c r="K1896" s="36"/>
      <c r="L1896" s="26" t="str">
        <f>IF(OR(F1896 = "", G1896 = ""), "", IF(F1896 = "Vara", IFERROR(_xlfn.SINGLE(_xlfn.XLOOKUP(G1896, Vöruskrá!A:A, Vöruskrá!E:E, "")), ""), IF(F1896 = "Réttur", IFERROR(_xlfn.SINGLE(_xlfn.XLOOKUP(G1896, Réttabanki!A:A, Réttabanki!AS:AS, "")), ""), "")))</f>
        <v/>
      </c>
      <c r="M1896" s="26" t="str">
        <f>IF(OR(F1896 = "", G1896 = ""), "", IF(F1896 = "Vara", IFERROR(_xlfn.SINGLE(_xlfn.XLOOKUP(G1896, Vöruskrá!A:A, Vöruskrá!F:F, "")), ""), IF(F1896 = "Réttur", IFERROR(_xlfn.SINGLE(_xlfn.XLOOKUP(G1896, Réttabanki!A:A, Réttabanki!AT:AT, "")), ""), "")))</f>
        <v/>
      </c>
      <c r="N1896" s="26" t="str">
        <f>IF(OR(F1896 = "", G1896 = ""), "", IF(F1896 = "Vara", IFERROR(_xlfn.SINGLE(_xlfn.XLOOKUP(G1896, Vöruskrá!A:A, Vöruskrá!G:G, "")), ""), IF(F1896 = "Réttur", IFERROR(_xlfn.SINGLE(_xlfn.XLOOKUP(G1896, Réttabanki!A:A, Réttabanki!AU:AU, "")), ""), "")))</f>
        <v/>
      </c>
      <c r="O1896" s="26" t="str">
        <f>IF(OR(F1896 = "", G1896 = "", I1896 = ""), "", IF(F1896 = "Vara", IFERROR(_xlfn.SINGLE(_xlfn.XLOOKUP(G1896, Vöruskrá!A:A, Vöruskrá!I:I, "")) * I1896 / 100, ""), IF(F1896 = "Réttur", IFERROR(_xlfn.SINGLE(_xlfn.XLOOKUP(G1896, Réttabanki!A:A, Réttabanki!AV:AV, "")) * I1896 / 100, ""), "")))</f>
        <v/>
      </c>
      <c r="P1896" s="26" t="str">
        <f>IF(OR(F1896 = "", G1896 = "", I1896 = ""), "", IF(F1896 = "Vara", IFERROR(_xlfn.SINGLE(_xlfn.XLOOKUP(G1896, Vöruskrá!A:A, Vöruskrá!J:J, "")) * I1896 / 100, ""), IF(F1896 = "Réttur", IFERROR(_xlfn.SINGLE(_xlfn.XLOOKUP(G1896, Réttabanki!A:A, Réttabanki!AW:AW, "")) * I1896 / 100, ""), "")))</f>
        <v/>
      </c>
      <c r="Q1896" s="26" t="str">
        <f>IF(OR(F1896 = "", G1896 = "", I1896 = ""), "", IF(F1896 = "Vara", IFERROR(_xlfn.SINGLE(_xlfn.XLOOKUP(G1896, Vöruskrá!A:A, Vöruskrá!N:N, "")) * I1896 / 100, ""), IF(F1896 = "Réttur", IFERROR(_xlfn.SINGLE(_xlfn.XLOOKUP(G1896, Réttabanki!A:A, Réttabanki!BB:BB, "")) * I1896 / 100, ""), "")))</f>
        <v/>
      </c>
    </row>
    <row r="1897" spans="2:17">
      <c r="B1897" s="33" t="str">
        <f>IF(A1897&lt;&gt;"",CHOOSE(WEEKDAY(A1897,2),"Mánudagur","Þriðjudagur","Miðvikudagur","Fimmtudagur","Föstudagur","Laugardagur","Sunnudagur"),IF(B1896&lt;&gt;"",B1896,""))</f>
        <v>Fimmtudagur</v>
      </c>
      <c r="C1897" s="33">
        <f>IF(A1897&lt;&gt;"",WEEKNUM(A1897,21),IF(C1896&lt;&gt;"",C1896,""))</f>
        <v>27</v>
      </c>
      <c r="D1897" s="34"/>
      <c r="E1897" s="34"/>
      <c r="F1897" s="34"/>
      <c r="G1897" s="34"/>
      <c r="H1897" s="34"/>
      <c r="I1897" s="35"/>
      <c r="J1897" s="35"/>
      <c r="K1897" s="36"/>
      <c r="L1897" s="26" t="str">
        <f>IF(OR(F1897 = "", G1897 = ""), "", IF(F1897 = "Vara", IFERROR(_xlfn.SINGLE(_xlfn.XLOOKUP(G1897, Vöruskrá!A:A, Vöruskrá!E:E, "")), ""), IF(F1897 = "Réttur", IFERROR(_xlfn.SINGLE(_xlfn.XLOOKUP(G1897, Réttabanki!A:A, Réttabanki!AS:AS, "")), ""), "")))</f>
        <v/>
      </c>
      <c r="M1897" s="26" t="str">
        <f>IF(OR(F1897 = "", G1897 = ""), "", IF(F1897 = "Vara", IFERROR(_xlfn.SINGLE(_xlfn.XLOOKUP(G1897, Vöruskrá!A:A, Vöruskrá!F:F, "")), ""), IF(F1897 = "Réttur", IFERROR(_xlfn.SINGLE(_xlfn.XLOOKUP(G1897, Réttabanki!A:A, Réttabanki!AT:AT, "")), ""), "")))</f>
        <v/>
      </c>
      <c r="N1897" s="26" t="str">
        <f>IF(OR(F1897 = "", G1897 = ""), "", IF(F1897 = "Vara", IFERROR(_xlfn.SINGLE(_xlfn.XLOOKUP(G1897, Vöruskrá!A:A, Vöruskrá!G:G, "")), ""), IF(F1897 = "Réttur", IFERROR(_xlfn.SINGLE(_xlfn.XLOOKUP(G1897, Réttabanki!A:A, Réttabanki!AU:AU, "")), ""), "")))</f>
        <v/>
      </c>
      <c r="O1897" s="26" t="str">
        <f>IF(OR(F1897 = "", G1897 = "", I1897 = ""), "", IF(F1897 = "Vara", IFERROR(_xlfn.SINGLE(_xlfn.XLOOKUP(G1897, Vöruskrá!A:A, Vöruskrá!I:I, "")) * I1897 / 100, ""), IF(F1897 = "Réttur", IFERROR(_xlfn.SINGLE(_xlfn.XLOOKUP(G1897, Réttabanki!A:A, Réttabanki!AV:AV, "")) * I1897 / 100, ""), "")))</f>
        <v/>
      </c>
      <c r="P1897" s="26" t="str">
        <f>IF(OR(F1897 = "", G1897 = "", I1897 = ""), "", IF(F1897 = "Vara", IFERROR(_xlfn.SINGLE(_xlfn.XLOOKUP(G1897, Vöruskrá!A:A, Vöruskrá!J:J, "")) * I1897 / 100, ""), IF(F1897 = "Réttur", IFERROR(_xlfn.SINGLE(_xlfn.XLOOKUP(G1897, Réttabanki!A:A, Réttabanki!AW:AW, "")) * I1897 / 100, ""), "")))</f>
        <v/>
      </c>
      <c r="Q1897" s="26" t="str">
        <f>IF(OR(F1897 = "", G1897 = "", I1897 = ""), "", IF(F1897 = "Vara", IFERROR(_xlfn.SINGLE(_xlfn.XLOOKUP(G1897, Vöruskrá!A:A, Vöruskrá!N:N, "")) * I1897 / 100, ""), IF(F1897 = "Réttur", IFERROR(_xlfn.SINGLE(_xlfn.XLOOKUP(G1897, Réttabanki!A:A, Réttabanki!BB:BB, "")) * I1897 / 100, ""), "")))</f>
        <v/>
      </c>
    </row>
    <row r="1898" spans="2:17">
      <c r="B1898" s="33" t="str">
        <f>IF(A1898&lt;&gt;"",CHOOSE(WEEKDAY(A1898,2),"Mánudagur","Þriðjudagur","Miðvikudagur","Fimmtudagur","Föstudagur","Laugardagur","Sunnudagur"),IF(B1897&lt;&gt;"",B1897,""))</f>
        <v>Fimmtudagur</v>
      </c>
      <c r="C1898" s="33">
        <f>IF(A1898&lt;&gt;"",WEEKNUM(A1898,21),IF(C1897&lt;&gt;"",C1897,""))</f>
        <v>27</v>
      </c>
      <c r="D1898" s="34"/>
      <c r="E1898" s="34"/>
      <c r="F1898" s="34"/>
      <c r="G1898" s="34"/>
      <c r="H1898" s="34"/>
      <c r="I1898" s="35"/>
      <c r="J1898" s="35"/>
      <c r="K1898" s="36"/>
      <c r="L1898" s="26" t="str">
        <f>IF(OR(F1898 = "", G1898 = ""), "", IF(F1898 = "Vara", IFERROR(_xlfn.SINGLE(_xlfn.XLOOKUP(G1898, Vöruskrá!A:A, Vöruskrá!E:E, "")), ""), IF(F1898 = "Réttur", IFERROR(_xlfn.SINGLE(_xlfn.XLOOKUP(G1898, Réttabanki!A:A, Réttabanki!AS:AS, "")), ""), "")))</f>
        <v/>
      </c>
      <c r="M1898" s="26" t="str">
        <f>IF(OR(F1898 = "", G1898 = ""), "", IF(F1898 = "Vara", IFERROR(_xlfn.SINGLE(_xlfn.XLOOKUP(G1898, Vöruskrá!A:A, Vöruskrá!F:F, "")), ""), IF(F1898 = "Réttur", IFERROR(_xlfn.SINGLE(_xlfn.XLOOKUP(G1898, Réttabanki!A:A, Réttabanki!AT:AT, "")), ""), "")))</f>
        <v/>
      </c>
      <c r="N1898" s="26" t="str">
        <f>IF(OR(F1898 = "", G1898 = ""), "", IF(F1898 = "Vara", IFERROR(_xlfn.SINGLE(_xlfn.XLOOKUP(G1898, Vöruskrá!A:A, Vöruskrá!G:G, "")), ""), IF(F1898 = "Réttur", IFERROR(_xlfn.SINGLE(_xlfn.XLOOKUP(G1898, Réttabanki!A:A, Réttabanki!AU:AU, "")), ""), "")))</f>
        <v/>
      </c>
      <c r="O1898" s="26" t="str">
        <f>IF(OR(F1898 = "", G1898 = "", I1898 = ""), "", IF(F1898 = "Vara", IFERROR(_xlfn.SINGLE(_xlfn.XLOOKUP(G1898, Vöruskrá!A:A, Vöruskrá!I:I, "")) * I1898 / 100, ""), IF(F1898 = "Réttur", IFERROR(_xlfn.SINGLE(_xlfn.XLOOKUP(G1898, Réttabanki!A:A, Réttabanki!AV:AV, "")) * I1898 / 100, ""), "")))</f>
        <v/>
      </c>
      <c r="P1898" s="26" t="str">
        <f>IF(OR(F1898 = "", G1898 = "", I1898 = ""), "", IF(F1898 = "Vara", IFERROR(_xlfn.SINGLE(_xlfn.XLOOKUP(G1898, Vöruskrá!A:A, Vöruskrá!J:J, "")) * I1898 / 100, ""), IF(F1898 = "Réttur", IFERROR(_xlfn.SINGLE(_xlfn.XLOOKUP(G1898, Réttabanki!A:A, Réttabanki!AW:AW, "")) * I1898 / 100, ""), "")))</f>
        <v/>
      </c>
      <c r="Q1898" s="26" t="str">
        <f>IF(OR(F1898 = "", G1898 = "", I1898 = ""), "", IF(F1898 = "Vara", IFERROR(_xlfn.SINGLE(_xlfn.XLOOKUP(G1898, Vöruskrá!A:A, Vöruskrá!N:N, "")) * I1898 / 100, ""), IF(F1898 = "Réttur", IFERROR(_xlfn.SINGLE(_xlfn.XLOOKUP(G1898, Réttabanki!A:A, Réttabanki!BB:BB, "")) * I1898 / 100, ""), "")))</f>
        <v/>
      </c>
    </row>
    <row r="1899" spans="2:17">
      <c r="B1899" s="33" t="str">
        <f>IF(A1899&lt;&gt;"",CHOOSE(WEEKDAY(A1899,2),"Mánudagur","Þriðjudagur","Miðvikudagur","Fimmtudagur","Föstudagur","Laugardagur","Sunnudagur"),IF(B1898&lt;&gt;"",B1898,""))</f>
        <v>Fimmtudagur</v>
      </c>
      <c r="C1899" s="33">
        <f>IF(A1899&lt;&gt;"",WEEKNUM(A1899,21),IF(C1898&lt;&gt;"",C1898,""))</f>
        <v>27</v>
      </c>
      <c r="D1899" s="34"/>
      <c r="E1899" s="34"/>
      <c r="F1899" s="34"/>
      <c r="G1899" s="34"/>
      <c r="H1899" s="34"/>
      <c r="I1899" s="35"/>
      <c r="J1899" s="35"/>
      <c r="K1899" s="36"/>
      <c r="L1899" s="26" t="str">
        <f>IF(OR(F1899 = "", G1899 = ""), "", IF(F1899 = "Vara", IFERROR(_xlfn.SINGLE(_xlfn.XLOOKUP(G1899, Vöruskrá!A:A, Vöruskrá!E:E, "")), ""), IF(F1899 = "Réttur", IFERROR(_xlfn.SINGLE(_xlfn.XLOOKUP(G1899, Réttabanki!A:A, Réttabanki!AS:AS, "")), ""), "")))</f>
        <v/>
      </c>
      <c r="M1899" s="26" t="str">
        <f>IF(OR(F1899 = "", G1899 = ""), "", IF(F1899 = "Vara", IFERROR(_xlfn.SINGLE(_xlfn.XLOOKUP(G1899, Vöruskrá!A:A, Vöruskrá!F:F, "")), ""), IF(F1899 = "Réttur", IFERROR(_xlfn.SINGLE(_xlfn.XLOOKUP(G1899, Réttabanki!A:A, Réttabanki!AT:AT, "")), ""), "")))</f>
        <v/>
      </c>
      <c r="N1899" s="26" t="str">
        <f>IF(OR(F1899 = "", G1899 = ""), "", IF(F1899 = "Vara", IFERROR(_xlfn.SINGLE(_xlfn.XLOOKUP(G1899, Vöruskrá!A:A, Vöruskrá!G:G, "")), ""), IF(F1899 = "Réttur", IFERROR(_xlfn.SINGLE(_xlfn.XLOOKUP(G1899, Réttabanki!A:A, Réttabanki!AU:AU, "")), ""), "")))</f>
        <v/>
      </c>
      <c r="O1899" s="26" t="str">
        <f>IF(OR(F1899 = "", G1899 = "", I1899 = ""), "", IF(F1899 = "Vara", IFERROR(_xlfn.SINGLE(_xlfn.XLOOKUP(G1899, Vöruskrá!A:A, Vöruskrá!I:I, "")) * I1899 / 100, ""), IF(F1899 = "Réttur", IFERROR(_xlfn.SINGLE(_xlfn.XLOOKUP(G1899, Réttabanki!A:A, Réttabanki!AV:AV, "")) * I1899 / 100, ""), "")))</f>
        <v/>
      </c>
      <c r="P1899" s="26" t="str">
        <f>IF(OR(F1899 = "", G1899 = "", I1899 = ""), "", IF(F1899 = "Vara", IFERROR(_xlfn.SINGLE(_xlfn.XLOOKUP(G1899, Vöruskrá!A:A, Vöruskrá!J:J, "")) * I1899 / 100, ""), IF(F1899 = "Réttur", IFERROR(_xlfn.SINGLE(_xlfn.XLOOKUP(G1899, Réttabanki!A:A, Réttabanki!AW:AW, "")) * I1899 / 100, ""), "")))</f>
        <v/>
      </c>
      <c r="Q1899" s="26" t="str">
        <f>IF(OR(F1899 = "", G1899 = "", I1899 = ""), "", IF(F1899 = "Vara", IFERROR(_xlfn.SINGLE(_xlfn.XLOOKUP(G1899, Vöruskrá!A:A, Vöruskrá!N:N, "")) * I1899 / 100, ""), IF(F1899 = "Réttur", IFERROR(_xlfn.SINGLE(_xlfn.XLOOKUP(G1899, Réttabanki!A:A, Réttabanki!BB:BB, "")) * I1899 / 100, ""), "")))</f>
        <v/>
      </c>
    </row>
    <row r="1900" spans="2:17">
      <c r="B1900" s="33" t="str">
        <f>IF(A1900&lt;&gt;"",CHOOSE(WEEKDAY(A1900,2),"Mánudagur","Þriðjudagur","Miðvikudagur","Fimmtudagur","Föstudagur","Laugardagur","Sunnudagur"),IF(B1899&lt;&gt;"",B1899,""))</f>
        <v>Fimmtudagur</v>
      </c>
      <c r="C1900" s="33">
        <f>IF(A1900&lt;&gt;"",WEEKNUM(A1900,21),IF(C1899&lt;&gt;"",C1899,""))</f>
        <v>27</v>
      </c>
      <c r="D1900" s="34"/>
      <c r="E1900" s="34"/>
      <c r="F1900" s="34"/>
      <c r="G1900" s="34"/>
      <c r="H1900" s="34"/>
      <c r="I1900" s="35"/>
      <c r="J1900" s="35"/>
      <c r="K1900" s="36"/>
      <c r="L1900" s="26" t="str">
        <f>IF(OR(F1900 = "", G1900 = ""), "", IF(F1900 = "Vara", IFERROR(_xlfn.SINGLE(_xlfn.XLOOKUP(G1900, Vöruskrá!A:A, Vöruskrá!E:E, "")), ""), IF(F1900 = "Réttur", IFERROR(_xlfn.SINGLE(_xlfn.XLOOKUP(G1900, Réttabanki!A:A, Réttabanki!AS:AS, "")), ""), "")))</f>
        <v/>
      </c>
      <c r="M1900" s="26" t="str">
        <f>IF(OR(F1900 = "", G1900 = ""), "", IF(F1900 = "Vara", IFERROR(_xlfn.SINGLE(_xlfn.XLOOKUP(G1900, Vöruskrá!A:A, Vöruskrá!F:F, "")), ""), IF(F1900 = "Réttur", IFERROR(_xlfn.SINGLE(_xlfn.XLOOKUP(G1900, Réttabanki!A:A, Réttabanki!AT:AT, "")), ""), "")))</f>
        <v/>
      </c>
      <c r="N1900" s="26" t="str">
        <f>IF(OR(F1900 = "", G1900 = ""), "", IF(F1900 = "Vara", IFERROR(_xlfn.SINGLE(_xlfn.XLOOKUP(G1900, Vöruskrá!A:A, Vöruskrá!G:G, "")), ""), IF(F1900 = "Réttur", IFERROR(_xlfn.SINGLE(_xlfn.XLOOKUP(G1900, Réttabanki!A:A, Réttabanki!AU:AU, "")), ""), "")))</f>
        <v/>
      </c>
      <c r="O1900" s="26" t="str">
        <f>IF(OR(F1900 = "", G1900 = "", I1900 = ""), "", IF(F1900 = "Vara", IFERROR(_xlfn.SINGLE(_xlfn.XLOOKUP(G1900, Vöruskrá!A:A, Vöruskrá!I:I, "")) * I1900 / 100, ""), IF(F1900 = "Réttur", IFERROR(_xlfn.SINGLE(_xlfn.XLOOKUP(G1900, Réttabanki!A:A, Réttabanki!AV:AV, "")) * I1900 / 100, ""), "")))</f>
        <v/>
      </c>
      <c r="P1900" s="26" t="str">
        <f>IF(OR(F1900 = "", G1900 = "", I1900 = ""), "", IF(F1900 = "Vara", IFERROR(_xlfn.SINGLE(_xlfn.XLOOKUP(G1900, Vöruskrá!A:A, Vöruskrá!J:J, "")) * I1900 / 100, ""), IF(F1900 = "Réttur", IFERROR(_xlfn.SINGLE(_xlfn.XLOOKUP(G1900, Réttabanki!A:A, Réttabanki!AW:AW, "")) * I1900 / 100, ""), "")))</f>
        <v/>
      </c>
      <c r="Q1900" s="26" t="str">
        <f>IF(OR(F1900 = "", G1900 = "", I1900 = ""), "", IF(F1900 = "Vara", IFERROR(_xlfn.SINGLE(_xlfn.XLOOKUP(G1900, Vöruskrá!A:A, Vöruskrá!N:N, "")) * I1900 / 100, ""), IF(F1900 = "Réttur", IFERROR(_xlfn.SINGLE(_xlfn.XLOOKUP(G1900, Réttabanki!A:A, Réttabanki!BB:BB, "")) * I1900 / 100, ""), "")))</f>
        <v/>
      </c>
    </row>
    <row r="1901" spans="2:17">
      <c r="B1901" s="33" t="str">
        <f>IF(A1901&lt;&gt;"",CHOOSE(WEEKDAY(A1901,2),"Mánudagur","Þriðjudagur","Miðvikudagur","Fimmtudagur","Föstudagur","Laugardagur","Sunnudagur"),IF(B1900&lt;&gt;"",B1900,""))</f>
        <v>Fimmtudagur</v>
      </c>
      <c r="C1901" s="33">
        <f>IF(A1901&lt;&gt;"",WEEKNUM(A1901,21),IF(C1900&lt;&gt;"",C1900,""))</f>
        <v>27</v>
      </c>
      <c r="D1901" s="34"/>
      <c r="E1901" s="34"/>
      <c r="F1901" s="34"/>
      <c r="G1901" s="34"/>
      <c r="H1901" s="34"/>
      <c r="I1901" s="35"/>
      <c r="J1901" s="35"/>
      <c r="K1901" s="36"/>
      <c r="L1901" s="26" t="str">
        <f>IF(OR(F1901 = "", G1901 = ""), "", IF(F1901 = "Vara", IFERROR(_xlfn.SINGLE(_xlfn.XLOOKUP(G1901, Vöruskrá!A:A, Vöruskrá!E:E, "")), ""), IF(F1901 = "Réttur", IFERROR(_xlfn.SINGLE(_xlfn.XLOOKUP(G1901, Réttabanki!A:A, Réttabanki!AS:AS, "")), ""), "")))</f>
        <v/>
      </c>
      <c r="M1901" s="26" t="str">
        <f>IF(OR(F1901 = "", G1901 = ""), "", IF(F1901 = "Vara", IFERROR(_xlfn.SINGLE(_xlfn.XLOOKUP(G1901, Vöruskrá!A:A, Vöruskrá!F:F, "")), ""), IF(F1901 = "Réttur", IFERROR(_xlfn.SINGLE(_xlfn.XLOOKUP(G1901, Réttabanki!A:A, Réttabanki!AT:AT, "")), ""), "")))</f>
        <v/>
      </c>
      <c r="N1901" s="26" t="str">
        <f>IF(OR(F1901 = "", G1901 = ""), "", IF(F1901 = "Vara", IFERROR(_xlfn.SINGLE(_xlfn.XLOOKUP(G1901, Vöruskrá!A:A, Vöruskrá!G:G, "")), ""), IF(F1901 = "Réttur", IFERROR(_xlfn.SINGLE(_xlfn.XLOOKUP(G1901, Réttabanki!A:A, Réttabanki!AU:AU, "")), ""), "")))</f>
        <v/>
      </c>
      <c r="O1901" s="26" t="str">
        <f>IF(OR(F1901 = "", G1901 = "", I1901 = ""), "", IF(F1901 = "Vara", IFERROR(_xlfn.SINGLE(_xlfn.XLOOKUP(G1901, Vöruskrá!A:A, Vöruskrá!I:I, "")) * I1901 / 100, ""), IF(F1901 = "Réttur", IFERROR(_xlfn.SINGLE(_xlfn.XLOOKUP(G1901, Réttabanki!A:A, Réttabanki!AV:AV, "")) * I1901 / 100, ""), "")))</f>
        <v/>
      </c>
      <c r="P1901" s="26" t="str">
        <f>IF(OR(F1901 = "", G1901 = "", I1901 = ""), "", IF(F1901 = "Vara", IFERROR(_xlfn.SINGLE(_xlfn.XLOOKUP(G1901, Vöruskrá!A:A, Vöruskrá!J:J, "")) * I1901 / 100, ""), IF(F1901 = "Réttur", IFERROR(_xlfn.SINGLE(_xlfn.XLOOKUP(G1901, Réttabanki!A:A, Réttabanki!AW:AW, "")) * I1901 / 100, ""), "")))</f>
        <v/>
      </c>
      <c r="Q1901" s="26" t="str">
        <f>IF(OR(F1901 = "", G1901 = "", I1901 = ""), "", IF(F1901 = "Vara", IFERROR(_xlfn.SINGLE(_xlfn.XLOOKUP(G1901, Vöruskrá!A:A, Vöruskrá!N:N, "")) * I1901 / 100, ""), IF(F1901 = "Réttur", IFERROR(_xlfn.SINGLE(_xlfn.XLOOKUP(G1901, Réttabanki!A:A, Réttabanki!BB:BB, "")) * I1901 / 100, ""), "")))</f>
        <v/>
      </c>
    </row>
    <row r="1902" spans="2:17">
      <c r="B1902" s="33" t="str">
        <f>IF(A1902&lt;&gt;"",CHOOSE(WEEKDAY(A1902,2),"Mánudagur","Þriðjudagur","Miðvikudagur","Fimmtudagur","Föstudagur","Laugardagur","Sunnudagur"),IF(B1901&lt;&gt;"",B1901,""))</f>
        <v>Fimmtudagur</v>
      </c>
      <c r="C1902" s="33">
        <f>IF(A1902&lt;&gt;"",WEEKNUM(A1902,21),IF(C1901&lt;&gt;"",C1901,""))</f>
        <v>27</v>
      </c>
      <c r="D1902" s="34"/>
      <c r="E1902" s="34"/>
      <c r="F1902" s="34"/>
      <c r="G1902" s="34"/>
      <c r="H1902" s="34"/>
      <c r="I1902" s="35"/>
      <c r="J1902" s="35"/>
      <c r="K1902" s="36"/>
      <c r="L1902" s="26" t="str">
        <f>IF(OR(F1902 = "", G1902 = ""), "", IF(F1902 = "Vara", IFERROR(_xlfn.SINGLE(_xlfn.XLOOKUP(G1902, Vöruskrá!A:A, Vöruskrá!E:E, "")), ""), IF(F1902 = "Réttur", IFERROR(_xlfn.SINGLE(_xlfn.XLOOKUP(G1902, Réttabanki!A:A, Réttabanki!AS:AS, "")), ""), "")))</f>
        <v/>
      </c>
      <c r="M1902" s="26" t="str">
        <f>IF(OR(F1902 = "", G1902 = ""), "", IF(F1902 = "Vara", IFERROR(_xlfn.SINGLE(_xlfn.XLOOKUP(G1902, Vöruskrá!A:A, Vöruskrá!F:F, "")), ""), IF(F1902 = "Réttur", IFERROR(_xlfn.SINGLE(_xlfn.XLOOKUP(G1902, Réttabanki!A:A, Réttabanki!AT:AT, "")), ""), "")))</f>
        <v/>
      </c>
      <c r="N1902" s="26" t="str">
        <f>IF(OR(F1902 = "", G1902 = ""), "", IF(F1902 = "Vara", IFERROR(_xlfn.SINGLE(_xlfn.XLOOKUP(G1902, Vöruskrá!A:A, Vöruskrá!G:G, "")), ""), IF(F1902 = "Réttur", IFERROR(_xlfn.SINGLE(_xlfn.XLOOKUP(G1902, Réttabanki!A:A, Réttabanki!AU:AU, "")), ""), "")))</f>
        <v/>
      </c>
      <c r="O1902" s="26" t="str">
        <f>IF(OR(F1902 = "", G1902 = "", I1902 = ""), "", IF(F1902 = "Vara", IFERROR(_xlfn.SINGLE(_xlfn.XLOOKUP(G1902, Vöruskrá!A:A, Vöruskrá!I:I, "")) * I1902 / 100, ""), IF(F1902 = "Réttur", IFERROR(_xlfn.SINGLE(_xlfn.XLOOKUP(G1902, Réttabanki!A:A, Réttabanki!AV:AV, "")) * I1902 / 100, ""), "")))</f>
        <v/>
      </c>
      <c r="P1902" s="26" t="str">
        <f>IF(OR(F1902 = "", G1902 = "", I1902 = ""), "", IF(F1902 = "Vara", IFERROR(_xlfn.SINGLE(_xlfn.XLOOKUP(G1902, Vöruskrá!A:A, Vöruskrá!J:J, "")) * I1902 / 100, ""), IF(F1902 = "Réttur", IFERROR(_xlfn.SINGLE(_xlfn.XLOOKUP(G1902, Réttabanki!A:A, Réttabanki!AW:AW, "")) * I1902 / 100, ""), "")))</f>
        <v/>
      </c>
      <c r="Q1902" s="26" t="str">
        <f>IF(OR(F1902 = "", G1902 = "", I1902 = ""), "", IF(F1902 = "Vara", IFERROR(_xlfn.SINGLE(_xlfn.XLOOKUP(G1902, Vöruskrá!A:A, Vöruskrá!N:N, "")) * I1902 / 100, ""), IF(F1902 = "Réttur", IFERROR(_xlfn.SINGLE(_xlfn.XLOOKUP(G1902, Réttabanki!A:A, Réttabanki!BB:BB, "")) * I1902 / 100, ""), "")))</f>
        <v/>
      </c>
    </row>
    <row r="1903" spans="2:17">
      <c r="B1903" s="33" t="str">
        <f>IF(A1903&lt;&gt;"",CHOOSE(WEEKDAY(A1903,2),"Mánudagur","Þriðjudagur","Miðvikudagur","Fimmtudagur","Föstudagur","Laugardagur","Sunnudagur"),IF(B1902&lt;&gt;"",B1902,""))</f>
        <v>Fimmtudagur</v>
      </c>
      <c r="C1903" s="33">
        <f>IF(A1903&lt;&gt;"",WEEKNUM(A1903,21),IF(C1902&lt;&gt;"",C1902,""))</f>
        <v>27</v>
      </c>
      <c r="D1903" s="34"/>
      <c r="E1903" s="34"/>
      <c r="F1903" s="34"/>
      <c r="G1903" s="34"/>
      <c r="H1903" s="34"/>
      <c r="I1903" s="35"/>
      <c r="J1903" s="35"/>
      <c r="K1903" s="36"/>
      <c r="L1903" s="26" t="str">
        <f>IF(OR(F1903 = "", G1903 = ""), "", IF(F1903 = "Vara", IFERROR(_xlfn.SINGLE(_xlfn.XLOOKUP(G1903, Vöruskrá!A:A, Vöruskrá!E:E, "")), ""), IF(F1903 = "Réttur", IFERROR(_xlfn.SINGLE(_xlfn.XLOOKUP(G1903, Réttabanki!A:A, Réttabanki!AS:AS, "")), ""), "")))</f>
        <v/>
      </c>
      <c r="M1903" s="26" t="str">
        <f>IF(OR(F1903 = "", G1903 = ""), "", IF(F1903 = "Vara", IFERROR(_xlfn.SINGLE(_xlfn.XLOOKUP(G1903, Vöruskrá!A:A, Vöruskrá!F:F, "")), ""), IF(F1903 = "Réttur", IFERROR(_xlfn.SINGLE(_xlfn.XLOOKUP(G1903, Réttabanki!A:A, Réttabanki!AT:AT, "")), ""), "")))</f>
        <v/>
      </c>
      <c r="N1903" s="26" t="str">
        <f>IF(OR(F1903 = "", G1903 = ""), "", IF(F1903 = "Vara", IFERROR(_xlfn.SINGLE(_xlfn.XLOOKUP(G1903, Vöruskrá!A:A, Vöruskrá!G:G, "")), ""), IF(F1903 = "Réttur", IFERROR(_xlfn.SINGLE(_xlfn.XLOOKUP(G1903, Réttabanki!A:A, Réttabanki!AU:AU, "")), ""), "")))</f>
        <v/>
      </c>
      <c r="O1903" s="26" t="str">
        <f>IF(OR(F1903 = "", G1903 = "", I1903 = ""), "", IF(F1903 = "Vara", IFERROR(_xlfn.SINGLE(_xlfn.XLOOKUP(G1903, Vöruskrá!A:A, Vöruskrá!I:I, "")) * I1903 / 100, ""), IF(F1903 = "Réttur", IFERROR(_xlfn.SINGLE(_xlfn.XLOOKUP(G1903, Réttabanki!A:A, Réttabanki!AV:AV, "")) * I1903 / 100, ""), "")))</f>
        <v/>
      </c>
      <c r="P1903" s="26" t="str">
        <f>IF(OR(F1903 = "", G1903 = "", I1903 = ""), "", IF(F1903 = "Vara", IFERROR(_xlfn.SINGLE(_xlfn.XLOOKUP(G1903, Vöruskrá!A:A, Vöruskrá!J:J, "")) * I1903 / 100, ""), IF(F1903 = "Réttur", IFERROR(_xlfn.SINGLE(_xlfn.XLOOKUP(G1903, Réttabanki!A:A, Réttabanki!AW:AW, "")) * I1903 / 100, ""), "")))</f>
        <v/>
      </c>
      <c r="Q1903" s="26" t="str">
        <f>IF(OR(F1903 = "", G1903 = "", I1903 = ""), "", IF(F1903 = "Vara", IFERROR(_xlfn.SINGLE(_xlfn.XLOOKUP(G1903, Vöruskrá!A:A, Vöruskrá!N:N, "")) * I1903 / 100, ""), IF(F1903 = "Réttur", IFERROR(_xlfn.SINGLE(_xlfn.XLOOKUP(G1903, Réttabanki!A:A, Réttabanki!BB:BB, "")) * I1903 / 100, ""), "")))</f>
        <v/>
      </c>
    </row>
    <row r="1904" spans="2:17">
      <c r="B1904" s="33" t="str">
        <f>IF(A1904&lt;&gt;"",CHOOSE(WEEKDAY(A1904,2),"Mánudagur","Þriðjudagur","Miðvikudagur","Fimmtudagur","Föstudagur","Laugardagur","Sunnudagur"),IF(B1903&lt;&gt;"",B1903,""))</f>
        <v>Fimmtudagur</v>
      </c>
      <c r="C1904" s="33">
        <f>IF(A1904&lt;&gt;"",WEEKNUM(A1904,21),IF(C1903&lt;&gt;"",C1903,""))</f>
        <v>27</v>
      </c>
      <c r="D1904" s="34"/>
      <c r="E1904" s="34"/>
      <c r="F1904" s="34"/>
      <c r="G1904" s="34"/>
      <c r="H1904" s="34"/>
      <c r="I1904" s="35"/>
      <c r="J1904" s="35"/>
      <c r="K1904" s="36"/>
      <c r="L1904" s="26" t="str">
        <f>IF(OR(F1904 = "", G1904 = ""), "", IF(F1904 = "Vara", IFERROR(_xlfn.SINGLE(_xlfn.XLOOKUP(G1904, Vöruskrá!A:A, Vöruskrá!E:E, "")), ""), IF(F1904 = "Réttur", IFERROR(_xlfn.SINGLE(_xlfn.XLOOKUP(G1904, Réttabanki!A:A, Réttabanki!AS:AS, "")), ""), "")))</f>
        <v/>
      </c>
      <c r="M1904" s="26" t="str">
        <f>IF(OR(F1904 = "", G1904 = ""), "", IF(F1904 = "Vara", IFERROR(_xlfn.SINGLE(_xlfn.XLOOKUP(G1904, Vöruskrá!A:A, Vöruskrá!F:F, "")), ""), IF(F1904 = "Réttur", IFERROR(_xlfn.SINGLE(_xlfn.XLOOKUP(G1904, Réttabanki!A:A, Réttabanki!AT:AT, "")), ""), "")))</f>
        <v/>
      </c>
      <c r="N1904" s="26" t="str">
        <f>IF(OR(F1904 = "", G1904 = ""), "", IF(F1904 = "Vara", IFERROR(_xlfn.SINGLE(_xlfn.XLOOKUP(G1904, Vöruskrá!A:A, Vöruskrá!G:G, "")), ""), IF(F1904 = "Réttur", IFERROR(_xlfn.SINGLE(_xlfn.XLOOKUP(G1904, Réttabanki!A:A, Réttabanki!AU:AU, "")), ""), "")))</f>
        <v/>
      </c>
      <c r="O1904" s="26" t="str">
        <f>IF(OR(F1904 = "", G1904 = "", I1904 = ""), "", IF(F1904 = "Vara", IFERROR(_xlfn.SINGLE(_xlfn.XLOOKUP(G1904, Vöruskrá!A:A, Vöruskrá!I:I, "")) * I1904 / 100, ""), IF(F1904 = "Réttur", IFERROR(_xlfn.SINGLE(_xlfn.XLOOKUP(G1904, Réttabanki!A:A, Réttabanki!AV:AV, "")) * I1904 / 100, ""), "")))</f>
        <v/>
      </c>
      <c r="P1904" s="26" t="str">
        <f>IF(OR(F1904 = "", G1904 = "", I1904 = ""), "", IF(F1904 = "Vara", IFERROR(_xlfn.SINGLE(_xlfn.XLOOKUP(G1904, Vöruskrá!A:A, Vöruskrá!J:J, "")) * I1904 / 100, ""), IF(F1904 = "Réttur", IFERROR(_xlfn.SINGLE(_xlfn.XLOOKUP(G1904, Réttabanki!A:A, Réttabanki!AW:AW, "")) * I1904 / 100, ""), "")))</f>
        <v/>
      </c>
      <c r="Q1904" s="26" t="str">
        <f>IF(OR(F1904 = "", G1904 = "", I1904 = ""), "", IF(F1904 = "Vara", IFERROR(_xlfn.SINGLE(_xlfn.XLOOKUP(G1904, Vöruskrá!A:A, Vöruskrá!N:N, "")) * I1904 / 100, ""), IF(F1904 = "Réttur", IFERROR(_xlfn.SINGLE(_xlfn.XLOOKUP(G1904, Réttabanki!A:A, Réttabanki!BB:BB, "")) * I1904 / 100, ""), "")))</f>
        <v/>
      </c>
    </row>
    <row r="1905" spans="2:17">
      <c r="B1905" s="33" t="str">
        <f>IF(A1905&lt;&gt;"",CHOOSE(WEEKDAY(A1905,2),"Mánudagur","Þriðjudagur","Miðvikudagur","Fimmtudagur","Föstudagur","Laugardagur","Sunnudagur"),IF(B1904&lt;&gt;"",B1904,""))</f>
        <v>Fimmtudagur</v>
      </c>
      <c r="C1905" s="33">
        <f>IF(A1905&lt;&gt;"",WEEKNUM(A1905,21),IF(C1904&lt;&gt;"",C1904,""))</f>
        <v>27</v>
      </c>
      <c r="D1905" s="34"/>
      <c r="E1905" s="34"/>
      <c r="F1905" s="34"/>
      <c r="G1905" s="34"/>
      <c r="H1905" s="34"/>
      <c r="I1905" s="35"/>
      <c r="J1905" s="35"/>
      <c r="K1905" s="36"/>
      <c r="L1905" s="26" t="str">
        <f>IF(OR(F1905 = "", G1905 = ""), "", IF(F1905 = "Vara", IFERROR(_xlfn.SINGLE(_xlfn.XLOOKUP(G1905, Vöruskrá!A:A, Vöruskrá!E:E, "")), ""), IF(F1905 = "Réttur", IFERROR(_xlfn.SINGLE(_xlfn.XLOOKUP(G1905, Réttabanki!A:A, Réttabanki!AS:AS, "")), ""), "")))</f>
        <v/>
      </c>
      <c r="M1905" s="26" t="str">
        <f>IF(OR(F1905 = "", G1905 = ""), "", IF(F1905 = "Vara", IFERROR(_xlfn.SINGLE(_xlfn.XLOOKUP(G1905, Vöruskrá!A:A, Vöruskrá!F:F, "")), ""), IF(F1905 = "Réttur", IFERROR(_xlfn.SINGLE(_xlfn.XLOOKUP(G1905, Réttabanki!A:A, Réttabanki!AT:AT, "")), ""), "")))</f>
        <v/>
      </c>
      <c r="N1905" s="26" t="str">
        <f>IF(OR(F1905 = "", G1905 = ""), "", IF(F1905 = "Vara", IFERROR(_xlfn.SINGLE(_xlfn.XLOOKUP(G1905, Vöruskrá!A:A, Vöruskrá!G:G, "")), ""), IF(F1905 = "Réttur", IFERROR(_xlfn.SINGLE(_xlfn.XLOOKUP(G1905, Réttabanki!A:A, Réttabanki!AU:AU, "")), ""), "")))</f>
        <v/>
      </c>
      <c r="O1905" s="26" t="str">
        <f>IF(OR(F1905 = "", G1905 = "", I1905 = ""), "", IF(F1905 = "Vara", IFERROR(_xlfn.SINGLE(_xlfn.XLOOKUP(G1905, Vöruskrá!A:A, Vöruskrá!I:I, "")) * I1905 / 100, ""), IF(F1905 = "Réttur", IFERROR(_xlfn.SINGLE(_xlfn.XLOOKUP(G1905, Réttabanki!A:A, Réttabanki!AV:AV, "")) * I1905 / 100, ""), "")))</f>
        <v/>
      </c>
      <c r="P1905" s="26" t="str">
        <f>IF(OR(F1905 = "", G1905 = "", I1905 = ""), "", IF(F1905 = "Vara", IFERROR(_xlfn.SINGLE(_xlfn.XLOOKUP(G1905, Vöruskrá!A:A, Vöruskrá!J:J, "")) * I1905 / 100, ""), IF(F1905 = "Réttur", IFERROR(_xlfn.SINGLE(_xlfn.XLOOKUP(G1905, Réttabanki!A:A, Réttabanki!AW:AW, "")) * I1905 / 100, ""), "")))</f>
        <v/>
      </c>
      <c r="Q1905" s="26" t="str">
        <f>IF(OR(F1905 = "", G1905 = "", I1905 = ""), "", IF(F1905 = "Vara", IFERROR(_xlfn.SINGLE(_xlfn.XLOOKUP(G1905, Vöruskrá!A:A, Vöruskrá!N:N, "")) * I1905 / 100, ""), IF(F1905 = "Réttur", IFERROR(_xlfn.SINGLE(_xlfn.XLOOKUP(G1905, Réttabanki!A:A, Réttabanki!BB:BB, "")) * I1905 / 100, ""), "")))</f>
        <v/>
      </c>
    </row>
    <row r="1906" spans="2:17">
      <c r="B1906" s="33" t="str">
        <f>IF(A1906&lt;&gt;"",CHOOSE(WEEKDAY(A1906,2),"Mánudagur","Þriðjudagur","Miðvikudagur","Fimmtudagur","Föstudagur","Laugardagur","Sunnudagur"),IF(B1905&lt;&gt;"",B1905,""))</f>
        <v>Fimmtudagur</v>
      </c>
      <c r="C1906" s="33">
        <f>IF(A1906&lt;&gt;"",WEEKNUM(A1906,21),IF(C1905&lt;&gt;"",C1905,""))</f>
        <v>27</v>
      </c>
      <c r="D1906" s="34"/>
      <c r="E1906" s="34"/>
      <c r="F1906" s="34"/>
      <c r="G1906" s="34"/>
      <c r="H1906" s="34"/>
      <c r="I1906" s="35"/>
      <c r="J1906" s="35"/>
      <c r="K1906" s="36"/>
      <c r="L1906" s="26" t="str">
        <f>IF(OR(F1906 = "", G1906 = ""), "", IF(F1906 = "Vara", IFERROR(_xlfn.SINGLE(_xlfn.XLOOKUP(G1906, Vöruskrá!A:A, Vöruskrá!E:E, "")), ""), IF(F1906 = "Réttur", IFERROR(_xlfn.SINGLE(_xlfn.XLOOKUP(G1906, Réttabanki!A:A, Réttabanki!AS:AS, "")), ""), "")))</f>
        <v/>
      </c>
      <c r="M1906" s="26" t="str">
        <f>IF(OR(F1906 = "", G1906 = ""), "", IF(F1906 = "Vara", IFERROR(_xlfn.SINGLE(_xlfn.XLOOKUP(G1906, Vöruskrá!A:A, Vöruskrá!F:F, "")), ""), IF(F1906 = "Réttur", IFERROR(_xlfn.SINGLE(_xlfn.XLOOKUP(G1906, Réttabanki!A:A, Réttabanki!AT:AT, "")), ""), "")))</f>
        <v/>
      </c>
      <c r="N1906" s="26" t="str">
        <f>IF(OR(F1906 = "", G1906 = ""), "", IF(F1906 = "Vara", IFERROR(_xlfn.SINGLE(_xlfn.XLOOKUP(G1906, Vöruskrá!A:A, Vöruskrá!G:G, "")), ""), IF(F1906 = "Réttur", IFERROR(_xlfn.SINGLE(_xlfn.XLOOKUP(G1906, Réttabanki!A:A, Réttabanki!AU:AU, "")), ""), "")))</f>
        <v/>
      </c>
      <c r="O1906" s="26" t="str">
        <f>IF(OR(F1906 = "", G1906 = "", I1906 = ""), "", IF(F1906 = "Vara", IFERROR(_xlfn.SINGLE(_xlfn.XLOOKUP(G1906, Vöruskrá!A:A, Vöruskrá!I:I, "")) * I1906 / 100, ""), IF(F1906 = "Réttur", IFERROR(_xlfn.SINGLE(_xlfn.XLOOKUP(G1906, Réttabanki!A:A, Réttabanki!AV:AV, "")) * I1906 / 100, ""), "")))</f>
        <v/>
      </c>
      <c r="P1906" s="26" t="str">
        <f>IF(OR(F1906 = "", G1906 = "", I1906 = ""), "", IF(F1906 = "Vara", IFERROR(_xlfn.SINGLE(_xlfn.XLOOKUP(G1906, Vöruskrá!A:A, Vöruskrá!J:J, "")) * I1906 / 100, ""), IF(F1906 = "Réttur", IFERROR(_xlfn.SINGLE(_xlfn.XLOOKUP(G1906, Réttabanki!A:A, Réttabanki!AW:AW, "")) * I1906 / 100, ""), "")))</f>
        <v/>
      </c>
      <c r="Q1906" s="26" t="str">
        <f>IF(OR(F1906 = "", G1906 = "", I1906 = ""), "", IF(F1906 = "Vara", IFERROR(_xlfn.SINGLE(_xlfn.XLOOKUP(G1906, Vöruskrá!A:A, Vöruskrá!N:N, "")) * I1906 / 100, ""), IF(F1906 = "Réttur", IFERROR(_xlfn.SINGLE(_xlfn.XLOOKUP(G1906, Réttabanki!A:A, Réttabanki!BB:BB, "")) * I1906 / 100, ""), "")))</f>
        <v/>
      </c>
    </row>
    <row r="1907" spans="2:17">
      <c r="B1907" s="33" t="str">
        <f>IF(A1907&lt;&gt;"",CHOOSE(WEEKDAY(A1907,2),"Mánudagur","Þriðjudagur","Miðvikudagur","Fimmtudagur","Föstudagur","Laugardagur","Sunnudagur"),IF(B1906&lt;&gt;"",B1906,""))</f>
        <v>Fimmtudagur</v>
      </c>
      <c r="C1907" s="33">
        <f>IF(A1907&lt;&gt;"",WEEKNUM(A1907,21),IF(C1906&lt;&gt;"",C1906,""))</f>
        <v>27</v>
      </c>
      <c r="D1907" s="34"/>
      <c r="E1907" s="34"/>
      <c r="F1907" s="34"/>
      <c r="G1907" s="34"/>
      <c r="H1907" s="34"/>
      <c r="I1907" s="35"/>
      <c r="J1907" s="35"/>
      <c r="K1907" s="36"/>
      <c r="L1907" s="26" t="str">
        <f>IF(OR(F1907 = "", G1907 = ""), "", IF(F1907 = "Vara", IFERROR(_xlfn.SINGLE(_xlfn.XLOOKUP(G1907, Vöruskrá!A:A, Vöruskrá!E:E, "")), ""), IF(F1907 = "Réttur", IFERROR(_xlfn.SINGLE(_xlfn.XLOOKUP(G1907, Réttabanki!A:A, Réttabanki!AS:AS, "")), ""), "")))</f>
        <v/>
      </c>
      <c r="M1907" s="26" t="str">
        <f>IF(OR(F1907 = "", G1907 = ""), "", IF(F1907 = "Vara", IFERROR(_xlfn.SINGLE(_xlfn.XLOOKUP(G1907, Vöruskrá!A:A, Vöruskrá!F:F, "")), ""), IF(F1907 = "Réttur", IFERROR(_xlfn.SINGLE(_xlfn.XLOOKUP(G1907, Réttabanki!A:A, Réttabanki!AT:AT, "")), ""), "")))</f>
        <v/>
      </c>
      <c r="N1907" s="26" t="str">
        <f>IF(OR(F1907 = "", G1907 = ""), "", IF(F1907 = "Vara", IFERROR(_xlfn.SINGLE(_xlfn.XLOOKUP(G1907, Vöruskrá!A:A, Vöruskrá!G:G, "")), ""), IF(F1907 = "Réttur", IFERROR(_xlfn.SINGLE(_xlfn.XLOOKUP(G1907, Réttabanki!A:A, Réttabanki!AU:AU, "")), ""), "")))</f>
        <v/>
      </c>
      <c r="O1907" s="26" t="str">
        <f>IF(OR(F1907 = "", G1907 = "", I1907 = ""), "", IF(F1907 = "Vara", IFERROR(_xlfn.SINGLE(_xlfn.XLOOKUP(G1907, Vöruskrá!A:A, Vöruskrá!I:I, "")) * I1907 / 100, ""), IF(F1907 = "Réttur", IFERROR(_xlfn.SINGLE(_xlfn.XLOOKUP(G1907, Réttabanki!A:A, Réttabanki!AV:AV, "")) * I1907 / 100, ""), "")))</f>
        <v/>
      </c>
      <c r="P1907" s="26" t="str">
        <f>IF(OR(F1907 = "", G1907 = "", I1907 = ""), "", IF(F1907 = "Vara", IFERROR(_xlfn.SINGLE(_xlfn.XLOOKUP(G1907, Vöruskrá!A:A, Vöruskrá!J:J, "")) * I1907 / 100, ""), IF(F1907 = "Réttur", IFERROR(_xlfn.SINGLE(_xlfn.XLOOKUP(G1907, Réttabanki!A:A, Réttabanki!AW:AW, "")) * I1907 / 100, ""), "")))</f>
        <v/>
      </c>
      <c r="Q1907" s="26" t="str">
        <f>IF(OR(F1907 = "", G1907 = "", I1907 = ""), "", IF(F1907 = "Vara", IFERROR(_xlfn.SINGLE(_xlfn.XLOOKUP(G1907, Vöruskrá!A:A, Vöruskrá!N:N, "")) * I1907 / 100, ""), IF(F1907 = "Réttur", IFERROR(_xlfn.SINGLE(_xlfn.XLOOKUP(G1907, Réttabanki!A:A, Réttabanki!BB:BB, "")) * I1907 / 100, ""), "")))</f>
        <v/>
      </c>
    </row>
    <row r="1908" spans="2:17">
      <c r="B1908" s="33" t="str">
        <f>IF(A1908&lt;&gt;"",CHOOSE(WEEKDAY(A1908,2),"Mánudagur","Þriðjudagur","Miðvikudagur","Fimmtudagur","Föstudagur","Laugardagur","Sunnudagur"),IF(B1907&lt;&gt;"",B1907,""))</f>
        <v>Fimmtudagur</v>
      </c>
      <c r="C1908" s="33">
        <f>IF(A1908&lt;&gt;"",WEEKNUM(A1908,21),IF(C1907&lt;&gt;"",C1907,""))</f>
        <v>27</v>
      </c>
      <c r="D1908" s="34"/>
      <c r="E1908" s="34"/>
      <c r="F1908" s="34"/>
      <c r="G1908" s="34"/>
      <c r="H1908" s="34"/>
      <c r="I1908" s="35"/>
      <c r="J1908" s="35"/>
      <c r="K1908" s="36"/>
      <c r="L1908" s="26" t="str">
        <f>IF(OR(F1908 = "", G1908 = ""), "", IF(F1908 = "Vara", IFERROR(_xlfn.SINGLE(_xlfn.XLOOKUP(G1908, Vöruskrá!A:A, Vöruskrá!E:E, "")), ""), IF(F1908 = "Réttur", IFERROR(_xlfn.SINGLE(_xlfn.XLOOKUP(G1908, Réttabanki!A:A, Réttabanki!AS:AS, "")), ""), "")))</f>
        <v/>
      </c>
      <c r="M1908" s="26" t="str">
        <f>IF(OR(F1908 = "", G1908 = ""), "", IF(F1908 = "Vara", IFERROR(_xlfn.SINGLE(_xlfn.XLOOKUP(G1908, Vöruskrá!A:A, Vöruskrá!F:F, "")), ""), IF(F1908 = "Réttur", IFERROR(_xlfn.SINGLE(_xlfn.XLOOKUP(G1908, Réttabanki!A:A, Réttabanki!AT:AT, "")), ""), "")))</f>
        <v/>
      </c>
      <c r="N1908" s="26" t="str">
        <f>IF(OR(F1908 = "", G1908 = ""), "", IF(F1908 = "Vara", IFERROR(_xlfn.SINGLE(_xlfn.XLOOKUP(G1908, Vöruskrá!A:A, Vöruskrá!G:G, "")), ""), IF(F1908 = "Réttur", IFERROR(_xlfn.SINGLE(_xlfn.XLOOKUP(G1908, Réttabanki!A:A, Réttabanki!AU:AU, "")), ""), "")))</f>
        <v/>
      </c>
      <c r="O1908" s="26" t="str">
        <f>IF(OR(F1908 = "", G1908 = "", I1908 = ""), "", IF(F1908 = "Vara", IFERROR(_xlfn.SINGLE(_xlfn.XLOOKUP(G1908, Vöruskrá!A:A, Vöruskrá!I:I, "")) * I1908 / 100, ""), IF(F1908 = "Réttur", IFERROR(_xlfn.SINGLE(_xlfn.XLOOKUP(G1908, Réttabanki!A:A, Réttabanki!AV:AV, "")) * I1908 / 100, ""), "")))</f>
        <v/>
      </c>
      <c r="P1908" s="26" t="str">
        <f>IF(OR(F1908 = "", G1908 = "", I1908 = ""), "", IF(F1908 = "Vara", IFERROR(_xlfn.SINGLE(_xlfn.XLOOKUP(G1908, Vöruskrá!A:A, Vöruskrá!J:J, "")) * I1908 / 100, ""), IF(F1908 = "Réttur", IFERROR(_xlfn.SINGLE(_xlfn.XLOOKUP(G1908, Réttabanki!A:A, Réttabanki!AW:AW, "")) * I1908 / 100, ""), "")))</f>
        <v/>
      </c>
      <c r="Q1908" s="26" t="str">
        <f>IF(OR(F1908 = "", G1908 = "", I1908 = ""), "", IF(F1908 = "Vara", IFERROR(_xlfn.SINGLE(_xlfn.XLOOKUP(G1908, Vöruskrá!A:A, Vöruskrá!N:N, "")) * I1908 / 100, ""), IF(F1908 = "Réttur", IFERROR(_xlfn.SINGLE(_xlfn.XLOOKUP(G1908, Réttabanki!A:A, Réttabanki!BB:BB, "")) * I1908 / 100, ""), "")))</f>
        <v/>
      </c>
    </row>
    <row r="1909" spans="2:17">
      <c r="B1909" s="33" t="str">
        <f>IF(A1909&lt;&gt;"",CHOOSE(WEEKDAY(A1909,2),"Mánudagur","Þriðjudagur","Miðvikudagur","Fimmtudagur","Föstudagur","Laugardagur","Sunnudagur"),IF(B1908&lt;&gt;"",B1908,""))</f>
        <v>Fimmtudagur</v>
      </c>
      <c r="C1909" s="33">
        <f>IF(A1909&lt;&gt;"",WEEKNUM(A1909,21),IF(C1908&lt;&gt;"",C1908,""))</f>
        <v>27</v>
      </c>
      <c r="D1909" s="34"/>
      <c r="E1909" s="34"/>
      <c r="F1909" s="34"/>
      <c r="G1909" s="34"/>
      <c r="H1909" s="34"/>
      <c r="I1909" s="35"/>
      <c r="J1909" s="35"/>
      <c r="K1909" s="36"/>
      <c r="L1909" s="26" t="str">
        <f>IF(OR(F1909 = "", G1909 = ""), "", IF(F1909 = "Vara", IFERROR(_xlfn.SINGLE(_xlfn.XLOOKUP(G1909, Vöruskrá!A:A, Vöruskrá!E:E, "")), ""), IF(F1909 = "Réttur", IFERROR(_xlfn.SINGLE(_xlfn.XLOOKUP(G1909, Réttabanki!A:A, Réttabanki!AS:AS, "")), ""), "")))</f>
        <v/>
      </c>
      <c r="M1909" s="26" t="str">
        <f>IF(OR(F1909 = "", G1909 = ""), "", IF(F1909 = "Vara", IFERROR(_xlfn.SINGLE(_xlfn.XLOOKUP(G1909, Vöruskrá!A:A, Vöruskrá!F:F, "")), ""), IF(F1909 = "Réttur", IFERROR(_xlfn.SINGLE(_xlfn.XLOOKUP(G1909, Réttabanki!A:A, Réttabanki!AT:AT, "")), ""), "")))</f>
        <v/>
      </c>
      <c r="N1909" s="26" t="str">
        <f>IF(OR(F1909 = "", G1909 = ""), "", IF(F1909 = "Vara", IFERROR(_xlfn.SINGLE(_xlfn.XLOOKUP(G1909, Vöruskrá!A:A, Vöruskrá!G:G, "")), ""), IF(F1909 = "Réttur", IFERROR(_xlfn.SINGLE(_xlfn.XLOOKUP(G1909, Réttabanki!A:A, Réttabanki!AU:AU, "")), ""), "")))</f>
        <v/>
      </c>
      <c r="O1909" s="26" t="str">
        <f>IF(OR(F1909 = "", G1909 = "", I1909 = ""), "", IF(F1909 = "Vara", IFERROR(_xlfn.SINGLE(_xlfn.XLOOKUP(G1909, Vöruskrá!A:A, Vöruskrá!I:I, "")) * I1909 / 100, ""), IF(F1909 = "Réttur", IFERROR(_xlfn.SINGLE(_xlfn.XLOOKUP(G1909, Réttabanki!A:A, Réttabanki!AV:AV, "")) * I1909 / 100, ""), "")))</f>
        <v/>
      </c>
      <c r="P1909" s="26" t="str">
        <f>IF(OR(F1909 = "", G1909 = "", I1909 = ""), "", IF(F1909 = "Vara", IFERROR(_xlfn.SINGLE(_xlfn.XLOOKUP(G1909, Vöruskrá!A:A, Vöruskrá!J:J, "")) * I1909 / 100, ""), IF(F1909 = "Réttur", IFERROR(_xlfn.SINGLE(_xlfn.XLOOKUP(G1909, Réttabanki!A:A, Réttabanki!AW:AW, "")) * I1909 / 100, ""), "")))</f>
        <v/>
      </c>
      <c r="Q1909" s="26" t="str">
        <f>IF(OR(F1909 = "", G1909 = "", I1909 = ""), "", IF(F1909 = "Vara", IFERROR(_xlfn.SINGLE(_xlfn.XLOOKUP(G1909, Vöruskrá!A:A, Vöruskrá!N:N, "")) * I1909 / 100, ""), IF(F1909 = "Réttur", IFERROR(_xlfn.SINGLE(_xlfn.XLOOKUP(G1909, Réttabanki!A:A, Réttabanki!BB:BB, "")) * I1909 / 100, ""), "")))</f>
        <v/>
      </c>
    </row>
    <row r="1910" spans="2:17">
      <c r="B1910" s="33" t="str">
        <f>IF(A1910&lt;&gt;"",CHOOSE(WEEKDAY(A1910,2),"Mánudagur","Þriðjudagur","Miðvikudagur","Fimmtudagur","Föstudagur","Laugardagur","Sunnudagur"),IF(B1909&lt;&gt;"",B1909,""))</f>
        <v>Fimmtudagur</v>
      </c>
      <c r="C1910" s="33">
        <f>IF(A1910&lt;&gt;"",WEEKNUM(A1910,21),IF(C1909&lt;&gt;"",C1909,""))</f>
        <v>27</v>
      </c>
      <c r="D1910" s="34"/>
      <c r="E1910" s="34"/>
      <c r="F1910" s="34"/>
      <c r="G1910" s="34"/>
      <c r="H1910" s="34"/>
      <c r="I1910" s="35"/>
      <c r="J1910" s="35"/>
      <c r="K1910" s="36"/>
      <c r="L1910" s="26" t="str">
        <f>IF(OR(F1910 = "", G1910 = ""), "", IF(F1910 = "Vara", IFERROR(_xlfn.SINGLE(_xlfn.XLOOKUP(G1910, Vöruskrá!A:A, Vöruskrá!E:E, "")), ""), IF(F1910 = "Réttur", IFERROR(_xlfn.SINGLE(_xlfn.XLOOKUP(G1910, Réttabanki!A:A, Réttabanki!AS:AS, "")), ""), "")))</f>
        <v/>
      </c>
      <c r="M1910" s="26" t="str">
        <f>IF(OR(F1910 = "", G1910 = ""), "", IF(F1910 = "Vara", IFERROR(_xlfn.SINGLE(_xlfn.XLOOKUP(G1910, Vöruskrá!A:A, Vöruskrá!F:F, "")), ""), IF(F1910 = "Réttur", IFERROR(_xlfn.SINGLE(_xlfn.XLOOKUP(G1910, Réttabanki!A:A, Réttabanki!AT:AT, "")), ""), "")))</f>
        <v/>
      </c>
      <c r="N1910" s="26" t="str">
        <f>IF(OR(F1910 = "", G1910 = ""), "", IF(F1910 = "Vara", IFERROR(_xlfn.SINGLE(_xlfn.XLOOKUP(G1910, Vöruskrá!A:A, Vöruskrá!G:G, "")), ""), IF(F1910 = "Réttur", IFERROR(_xlfn.SINGLE(_xlfn.XLOOKUP(G1910, Réttabanki!A:A, Réttabanki!AU:AU, "")), ""), "")))</f>
        <v/>
      </c>
      <c r="O1910" s="26" t="str">
        <f>IF(OR(F1910 = "", G1910 = "", I1910 = ""), "", IF(F1910 = "Vara", IFERROR(_xlfn.SINGLE(_xlfn.XLOOKUP(G1910, Vöruskrá!A:A, Vöruskrá!I:I, "")) * I1910 / 100, ""), IF(F1910 = "Réttur", IFERROR(_xlfn.SINGLE(_xlfn.XLOOKUP(G1910, Réttabanki!A:A, Réttabanki!AV:AV, "")) * I1910 / 100, ""), "")))</f>
        <v/>
      </c>
      <c r="P1910" s="26" t="str">
        <f>IF(OR(F1910 = "", G1910 = "", I1910 = ""), "", IF(F1910 = "Vara", IFERROR(_xlfn.SINGLE(_xlfn.XLOOKUP(G1910, Vöruskrá!A:A, Vöruskrá!J:J, "")) * I1910 / 100, ""), IF(F1910 = "Réttur", IFERROR(_xlfn.SINGLE(_xlfn.XLOOKUP(G1910, Réttabanki!A:A, Réttabanki!AW:AW, "")) * I1910 / 100, ""), "")))</f>
        <v/>
      </c>
      <c r="Q1910" s="26" t="str">
        <f>IF(OR(F1910 = "", G1910 = "", I1910 = ""), "", IF(F1910 = "Vara", IFERROR(_xlfn.SINGLE(_xlfn.XLOOKUP(G1910, Vöruskrá!A:A, Vöruskrá!N:N, "")) * I1910 / 100, ""), IF(F1910 = "Réttur", IFERROR(_xlfn.SINGLE(_xlfn.XLOOKUP(G1910, Réttabanki!A:A, Réttabanki!BB:BB, "")) * I1910 / 100, ""), "")))</f>
        <v/>
      </c>
    </row>
    <row r="1911" spans="2:17">
      <c r="B1911" s="33" t="str">
        <f>IF(A1911&lt;&gt;"",CHOOSE(WEEKDAY(A1911,2),"Mánudagur","Þriðjudagur","Miðvikudagur","Fimmtudagur","Föstudagur","Laugardagur","Sunnudagur"),IF(B1910&lt;&gt;"",B1910,""))</f>
        <v>Fimmtudagur</v>
      </c>
      <c r="C1911" s="33">
        <f>IF(A1911&lt;&gt;"",WEEKNUM(A1911,21),IF(C1910&lt;&gt;"",C1910,""))</f>
        <v>27</v>
      </c>
      <c r="D1911" s="34"/>
      <c r="E1911" s="34"/>
      <c r="F1911" s="34"/>
      <c r="G1911" s="34"/>
      <c r="H1911" s="34"/>
      <c r="I1911" s="35"/>
      <c r="J1911" s="35"/>
      <c r="K1911" s="36"/>
      <c r="L1911" s="26" t="str">
        <f>IF(OR(F1911 = "", G1911 = ""), "", IF(F1911 = "Vara", IFERROR(_xlfn.SINGLE(_xlfn.XLOOKUP(G1911, Vöruskrá!A:A, Vöruskrá!E:E, "")), ""), IF(F1911 = "Réttur", IFERROR(_xlfn.SINGLE(_xlfn.XLOOKUP(G1911, Réttabanki!A:A, Réttabanki!AS:AS, "")), ""), "")))</f>
        <v/>
      </c>
      <c r="M1911" s="26" t="str">
        <f>IF(OR(F1911 = "", G1911 = ""), "", IF(F1911 = "Vara", IFERROR(_xlfn.SINGLE(_xlfn.XLOOKUP(G1911, Vöruskrá!A:A, Vöruskrá!F:F, "")), ""), IF(F1911 = "Réttur", IFERROR(_xlfn.SINGLE(_xlfn.XLOOKUP(G1911, Réttabanki!A:A, Réttabanki!AT:AT, "")), ""), "")))</f>
        <v/>
      </c>
      <c r="N1911" s="26" t="str">
        <f>IF(OR(F1911 = "", G1911 = ""), "", IF(F1911 = "Vara", IFERROR(_xlfn.SINGLE(_xlfn.XLOOKUP(G1911, Vöruskrá!A:A, Vöruskrá!G:G, "")), ""), IF(F1911 = "Réttur", IFERROR(_xlfn.SINGLE(_xlfn.XLOOKUP(G1911, Réttabanki!A:A, Réttabanki!AU:AU, "")), ""), "")))</f>
        <v/>
      </c>
      <c r="O1911" s="26" t="str">
        <f>IF(OR(F1911 = "", G1911 = "", I1911 = ""), "", IF(F1911 = "Vara", IFERROR(_xlfn.SINGLE(_xlfn.XLOOKUP(G1911, Vöruskrá!A:A, Vöruskrá!I:I, "")) * I1911 / 100, ""), IF(F1911 = "Réttur", IFERROR(_xlfn.SINGLE(_xlfn.XLOOKUP(G1911, Réttabanki!A:A, Réttabanki!AV:AV, "")) * I1911 / 100, ""), "")))</f>
        <v/>
      </c>
      <c r="P1911" s="26" t="str">
        <f>IF(OR(F1911 = "", G1911 = "", I1911 = ""), "", IF(F1911 = "Vara", IFERROR(_xlfn.SINGLE(_xlfn.XLOOKUP(G1911, Vöruskrá!A:A, Vöruskrá!J:J, "")) * I1911 / 100, ""), IF(F1911 = "Réttur", IFERROR(_xlfn.SINGLE(_xlfn.XLOOKUP(G1911, Réttabanki!A:A, Réttabanki!AW:AW, "")) * I1911 / 100, ""), "")))</f>
        <v/>
      </c>
      <c r="Q1911" s="26" t="str">
        <f>IF(OR(F1911 = "", G1911 = "", I1911 = ""), "", IF(F1911 = "Vara", IFERROR(_xlfn.SINGLE(_xlfn.XLOOKUP(G1911, Vöruskrá!A:A, Vöruskrá!N:N, "")) * I1911 / 100, ""), IF(F1911 = "Réttur", IFERROR(_xlfn.SINGLE(_xlfn.XLOOKUP(G1911, Réttabanki!A:A, Réttabanki!BB:BB, "")) * I1911 / 100, ""), "")))</f>
        <v/>
      </c>
    </row>
    <row r="1912" spans="2:17">
      <c r="B1912" s="33" t="str">
        <f>IF(A1912&lt;&gt;"",CHOOSE(WEEKDAY(A1912,2),"Mánudagur","Þriðjudagur","Miðvikudagur","Fimmtudagur","Föstudagur","Laugardagur","Sunnudagur"),IF(B1911&lt;&gt;"",B1911,""))</f>
        <v>Fimmtudagur</v>
      </c>
      <c r="C1912" s="33">
        <f>IF(A1912&lt;&gt;"",WEEKNUM(A1912,21),IF(C1911&lt;&gt;"",C1911,""))</f>
        <v>27</v>
      </c>
      <c r="D1912" s="34"/>
      <c r="E1912" s="34"/>
      <c r="F1912" s="34"/>
      <c r="G1912" s="34"/>
      <c r="H1912" s="34"/>
      <c r="I1912" s="35"/>
      <c r="J1912" s="35"/>
      <c r="K1912" s="36"/>
      <c r="L1912" s="26" t="str">
        <f>IF(OR(F1912 = "", G1912 = ""), "", IF(F1912 = "Vara", IFERROR(_xlfn.SINGLE(_xlfn.XLOOKUP(G1912, Vöruskrá!A:A, Vöruskrá!E:E, "")), ""), IF(F1912 = "Réttur", IFERROR(_xlfn.SINGLE(_xlfn.XLOOKUP(G1912, Réttabanki!A:A, Réttabanki!AS:AS, "")), ""), "")))</f>
        <v/>
      </c>
      <c r="M1912" s="26" t="str">
        <f>IF(OR(F1912 = "", G1912 = ""), "", IF(F1912 = "Vara", IFERROR(_xlfn.SINGLE(_xlfn.XLOOKUP(G1912, Vöruskrá!A:A, Vöruskrá!F:F, "")), ""), IF(F1912 = "Réttur", IFERROR(_xlfn.SINGLE(_xlfn.XLOOKUP(G1912, Réttabanki!A:A, Réttabanki!AT:AT, "")), ""), "")))</f>
        <v/>
      </c>
      <c r="N1912" s="26" t="str">
        <f>IF(OR(F1912 = "", G1912 = ""), "", IF(F1912 = "Vara", IFERROR(_xlfn.SINGLE(_xlfn.XLOOKUP(G1912, Vöruskrá!A:A, Vöruskrá!G:G, "")), ""), IF(F1912 = "Réttur", IFERROR(_xlfn.SINGLE(_xlfn.XLOOKUP(G1912, Réttabanki!A:A, Réttabanki!AU:AU, "")), ""), "")))</f>
        <v/>
      </c>
      <c r="O1912" s="26" t="str">
        <f>IF(OR(F1912 = "", G1912 = "", I1912 = ""), "", IF(F1912 = "Vara", IFERROR(_xlfn.SINGLE(_xlfn.XLOOKUP(G1912, Vöruskrá!A:A, Vöruskrá!I:I, "")) * I1912 / 100, ""), IF(F1912 = "Réttur", IFERROR(_xlfn.SINGLE(_xlfn.XLOOKUP(G1912, Réttabanki!A:A, Réttabanki!AV:AV, "")) * I1912 / 100, ""), "")))</f>
        <v/>
      </c>
      <c r="P1912" s="26" t="str">
        <f>IF(OR(F1912 = "", G1912 = "", I1912 = ""), "", IF(F1912 = "Vara", IFERROR(_xlfn.SINGLE(_xlfn.XLOOKUP(G1912, Vöruskrá!A:A, Vöruskrá!J:J, "")) * I1912 / 100, ""), IF(F1912 = "Réttur", IFERROR(_xlfn.SINGLE(_xlfn.XLOOKUP(G1912, Réttabanki!A:A, Réttabanki!AW:AW, "")) * I1912 / 100, ""), "")))</f>
        <v/>
      </c>
      <c r="Q1912" s="26" t="str">
        <f>IF(OR(F1912 = "", G1912 = "", I1912 = ""), "", IF(F1912 = "Vara", IFERROR(_xlfn.SINGLE(_xlfn.XLOOKUP(G1912, Vöruskrá!A:A, Vöruskrá!N:N, "")) * I1912 / 100, ""), IF(F1912 = "Réttur", IFERROR(_xlfn.SINGLE(_xlfn.XLOOKUP(G1912, Réttabanki!A:A, Réttabanki!BB:BB, "")) * I1912 / 100, ""), "")))</f>
        <v/>
      </c>
    </row>
    <row r="1913" spans="2:17">
      <c r="B1913" s="33" t="str">
        <f>IF(A1913&lt;&gt;"",CHOOSE(WEEKDAY(A1913,2),"Mánudagur","Þriðjudagur","Miðvikudagur","Fimmtudagur","Föstudagur","Laugardagur","Sunnudagur"),IF(B1912&lt;&gt;"",B1912,""))</f>
        <v>Fimmtudagur</v>
      </c>
      <c r="C1913" s="33">
        <f>IF(A1913&lt;&gt;"",WEEKNUM(A1913,21),IF(C1912&lt;&gt;"",C1912,""))</f>
        <v>27</v>
      </c>
      <c r="D1913" s="34"/>
      <c r="E1913" s="34"/>
      <c r="F1913" s="34"/>
      <c r="G1913" s="34"/>
      <c r="H1913" s="34"/>
      <c r="I1913" s="35"/>
      <c r="J1913" s="35"/>
      <c r="K1913" s="36"/>
      <c r="L1913" s="26" t="str">
        <f>IF(OR(F1913 = "", G1913 = ""), "", IF(F1913 = "Vara", IFERROR(_xlfn.SINGLE(_xlfn.XLOOKUP(G1913, Vöruskrá!A:A, Vöruskrá!E:E, "")), ""), IF(F1913 = "Réttur", IFERROR(_xlfn.SINGLE(_xlfn.XLOOKUP(G1913, Réttabanki!A:A, Réttabanki!AS:AS, "")), ""), "")))</f>
        <v/>
      </c>
      <c r="M1913" s="26" t="str">
        <f>IF(OR(F1913 = "", G1913 = ""), "", IF(F1913 = "Vara", IFERROR(_xlfn.SINGLE(_xlfn.XLOOKUP(G1913, Vöruskrá!A:A, Vöruskrá!F:F, "")), ""), IF(F1913 = "Réttur", IFERROR(_xlfn.SINGLE(_xlfn.XLOOKUP(G1913, Réttabanki!A:A, Réttabanki!AT:AT, "")), ""), "")))</f>
        <v/>
      </c>
      <c r="N1913" s="26" t="str">
        <f>IF(OR(F1913 = "", G1913 = ""), "", IF(F1913 = "Vara", IFERROR(_xlfn.SINGLE(_xlfn.XLOOKUP(G1913, Vöruskrá!A:A, Vöruskrá!G:G, "")), ""), IF(F1913 = "Réttur", IFERROR(_xlfn.SINGLE(_xlfn.XLOOKUP(G1913, Réttabanki!A:A, Réttabanki!AU:AU, "")), ""), "")))</f>
        <v/>
      </c>
      <c r="O1913" s="26" t="str">
        <f>IF(OR(F1913 = "", G1913 = "", I1913 = ""), "", IF(F1913 = "Vara", IFERROR(_xlfn.SINGLE(_xlfn.XLOOKUP(G1913, Vöruskrá!A:A, Vöruskrá!I:I, "")) * I1913 / 100, ""), IF(F1913 = "Réttur", IFERROR(_xlfn.SINGLE(_xlfn.XLOOKUP(G1913, Réttabanki!A:A, Réttabanki!AV:AV, "")) * I1913 / 100, ""), "")))</f>
        <v/>
      </c>
      <c r="P1913" s="26" t="str">
        <f>IF(OR(F1913 = "", G1913 = "", I1913 = ""), "", IF(F1913 = "Vara", IFERROR(_xlfn.SINGLE(_xlfn.XLOOKUP(G1913, Vöruskrá!A:A, Vöruskrá!J:J, "")) * I1913 / 100, ""), IF(F1913 = "Réttur", IFERROR(_xlfn.SINGLE(_xlfn.XLOOKUP(G1913, Réttabanki!A:A, Réttabanki!AW:AW, "")) * I1913 / 100, ""), "")))</f>
        <v/>
      </c>
      <c r="Q1913" s="26" t="str">
        <f>IF(OR(F1913 = "", G1913 = "", I1913 = ""), "", IF(F1913 = "Vara", IFERROR(_xlfn.SINGLE(_xlfn.XLOOKUP(G1913, Vöruskrá!A:A, Vöruskrá!N:N, "")) * I1913 / 100, ""), IF(F1913 = "Réttur", IFERROR(_xlfn.SINGLE(_xlfn.XLOOKUP(G1913, Réttabanki!A:A, Réttabanki!BB:BB, "")) * I1913 / 100, ""), "")))</f>
        <v/>
      </c>
    </row>
    <row r="1914" spans="2:17">
      <c r="B1914" s="33" t="str">
        <f>IF(A1914&lt;&gt;"",CHOOSE(WEEKDAY(A1914,2),"Mánudagur","Þriðjudagur","Miðvikudagur","Fimmtudagur","Föstudagur","Laugardagur","Sunnudagur"),IF(B1913&lt;&gt;"",B1913,""))</f>
        <v>Fimmtudagur</v>
      </c>
      <c r="C1914" s="33">
        <f>IF(A1914&lt;&gt;"",WEEKNUM(A1914,21),IF(C1913&lt;&gt;"",C1913,""))</f>
        <v>27</v>
      </c>
      <c r="D1914" s="34"/>
      <c r="E1914" s="34"/>
      <c r="F1914" s="34"/>
      <c r="G1914" s="34"/>
      <c r="H1914" s="34"/>
      <c r="I1914" s="35"/>
      <c r="J1914" s="35"/>
      <c r="K1914" s="36"/>
      <c r="L1914" s="26" t="str">
        <f>IF(OR(F1914 = "", G1914 = ""), "", IF(F1914 = "Vara", IFERROR(_xlfn.SINGLE(_xlfn.XLOOKUP(G1914, Vöruskrá!A:A, Vöruskrá!E:E, "")), ""), IF(F1914 = "Réttur", IFERROR(_xlfn.SINGLE(_xlfn.XLOOKUP(G1914, Réttabanki!A:A, Réttabanki!AS:AS, "")), ""), "")))</f>
        <v/>
      </c>
      <c r="M1914" s="26" t="str">
        <f>IF(OR(F1914 = "", G1914 = ""), "", IF(F1914 = "Vara", IFERROR(_xlfn.SINGLE(_xlfn.XLOOKUP(G1914, Vöruskrá!A:A, Vöruskrá!F:F, "")), ""), IF(F1914 = "Réttur", IFERROR(_xlfn.SINGLE(_xlfn.XLOOKUP(G1914, Réttabanki!A:A, Réttabanki!AT:AT, "")), ""), "")))</f>
        <v/>
      </c>
      <c r="N1914" s="26" t="str">
        <f>IF(OR(F1914 = "", G1914 = ""), "", IF(F1914 = "Vara", IFERROR(_xlfn.SINGLE(_xlfn.XLOOKUP(G1914, Vöruskrá!A:A, Vöruskrá!G:G, "")), ""), IF(F1914 = "Réttur", IFERROR(_xlfn.SINGLE(_xlfn.XLOOKUP(G1914, Réttabanki!A:A, Réttabanki!AU:AU, "")), ""), "")))</f>
        <v/>
      </c>
      <c r="O1914" s="26" t="str">
        <f>IF(OR(F1914 = "", G1914 = "", I1914 = ""), "", IF(F1914 = "Vara", IFERROR(_xlfn.SINGLE(_xlfn.XLOOKUP(G1914, Vöruskrá!A:A, Vöruskrá!I:I, "")) * I1914 / 100, ""), IF(F1914 = "Réttur", IFERROR(_xlfn.SINGLE(_xlfn.XLOOKUP(G1914, Réttabanki!A:A, Réttabanki!AV:AV, "")) * I1914 / 100, ""), "")))</f>
        <v/>
      </c>
      <c r="P1914" s="26" t="str">
        <f>IF(OR(F1914 = "", G1914 = "", I1914 = ""), "", IF(F1914 = "Vara", IFERROR(_xlfn.SINGLE(_xlfn.XLOOKUP(G1914, Vöruskrá!A:A, Vöruskrá!J:J, "")) * I1914 / 100, ""), IF(F1914 = "Réttur", IFERROR(_xlfn.SINGLE(_xlfn.XLOOKUP(G1914, Réttabanki!A:A, Réttabanki!AW:AW, "")) * I1914 / 100, ""), "")))</f>
        <v/>
      </c>
      <c r="Q1914" s="26" t="str">
        <f>IF(OR(F1914 = "", G1914 = "", I1914 = ""), "", IF(F1914 = "Vara", IFERROR(_xlfn.SINGLE(_xlfn.XLOOKUP(G1914, Vöruskrá!A:A, Vöruskrá!N:N, "")) * I1914 / 100, ""), IF(F1914 = "Réttur", IFERROR(_xlfn.SINGLE(_xlfn.XLOOKUP(G1914, Réttabanki!A:A, Réttabanki!BB:BB, "")) * I1914 / 100, ""), "")))</f>
        <v/>
      </c>
    </row>
    <row r="1915" spans="2:17">
      <c r="B1915" s="33" t="str">
        <f>IF(A1915&lt;&gt;"",CHOOSE(WEEKDAY(A1915,2),"Mánudagur","Þriðjudagur","Miðvikudagur","Fimmtudagur","Föstudagur","Laugardagur","Sunnudagur"),IF(B1914&lt;&gt;"",B1914,""))</f>
        <v>Fimmtudagur</v>
      </c>
      <c r="C1915" s="33">
        <f>IF(A1915&lt;&gt;"",WEEKNUM(A1915,21),IF(C1914&lt;&gt;"",C1914,""))</f>
        <v>27</v>
      </c>
      <c r="D1915" s="34"/>
      <c r="E1915" s="34"/>
      <c r="F1915" s="34"/>
      <c r="G1915" s="34"/>
      <c r="H1915" s="34"/>
      <c r="I1915" s="35"/>
      <c r="J1915" s="35"/>
      <c r="K1915" s="36"/>
      <c r="L1915" s="26" t="str">
        <f>IF(OR(F1915 = "", G1915 = ""), "", IF(F1915 = "Vara", IFERROR(_xlfn.SINGLE(_xlfn.XLOOKUP(G1915, Vöruskrá!A:A, Vöruskrá!E:E, "")), ""), IF(F1915 = "Réttur", IFERROR(_xlfn.SINGLE(_xlfn.XLOOKUP(G1915, Réttabanki!A:A, Réttabanki!AS:AS, "")), ""), "")))</f>
        <v/>
      </c>
      <c r="M1915" s="26" t="str">
        <f>IF(OR(F1915 = "", G1915 = ""), "", IF(F1915 = "Vara", IFERROR(_xlfn.SINGLE(_xlfn.XLOOKUP(G1915, Vöruskrá!A:A, Vöruskrá!F:F, "")), ""), IF(F1915 = "Réttur", IFERROR(_xlfn.SINGLE(_xlfn.XLOOKUP(G1915, Réttabanki!A:A, Réttabanki!AT:AT, "")), ""), "")))</f>
        <v/>
      </c>
      <c r="N1915" s="26" t="str">
        <f>IF(OR(F1915 = "", G1915 = ""), "", IF(F1915 = "Vara", IFERROR(_xlfn.SINGLE(_xlfn.XLOOKUP(G1915, Vöruskrá!A:A, Vöruskrá!G:G, "")), ""), IF(F1915 = "Réttur", IFERROR(_xlfn.SINGLE(_xlfn.XLOOKUP(G1915, Réttabanki!A:A, Réttabanki!AU:AU, "")), ""), "")))</f>
        <v/>
      </c>
      <c r="O1915" s="26" t="str">
        <f>IF(OR(F1915 = "", G1915 = "", I1915 = ""), "", IF(F1915 = "Vara", IFERROR(_xlfn.SINGLE(_xlfn.XLOOKUP(G1915, Vöruskrá!A:A, Vöruskrá!I:I, "")) * I1915 / 100, ""), IF(F1915 = "Réttur", IFERROR(_xlfn.SINGLE(_xlfn.XLOOKUP(G1915, Réttabanki!A:A, Réttabanki!AV:AV, "")) * I1915 / 100, ""), "")))</f>
        <v/>
      </c>
      <c r="P1915" s="26" t="str">
        <f>IF(OR(F1915 = "", G1915 = "", I1915 = ""), "", IF(F1915 = "Vara", IFERROR(_xlfn.SINGLE(_xlfn.XLOOKUP(G1915, Vöruskrá!A:A, Vöruskrá!J:J, "")) * I1915 / 100, ""), IF(F1915 = "Réttur", IFERROR(_xlfn.SINGLE(_xlfn.XLOOKUP(G1915, Réttabanki!A:A, Réttabanki!AW:AW, "")) * I1915 / 100, ""), "")))</f>
        <v/>
      </c>
      <c r="Q1915" s="26" t="str">
        <f>IF(OR(F1915 = "", G1915 = "", I1915 = ""), "", IF(F1915 = "Vara", IFERROR(_xlfn.SINGLE(_xlfn.XLOOKUP(G1915, Vöruskrá!A:A, Vöruskrá!N:N, "")) * I1915 / 100, ""), IF(F1915 = "Réttur", IFERROR(_xlfn.SINGLE(_xlfn.XLOOKUP(G1915, Réttabanki!A:A, Réttabanki!BB:BB, "")) * I1915 / 100, ""), "")))</f>
        <v/>
      </c>
    </row>
    <row r="1916" spans="2:17">
      <c r="B1916" s="33" t="str">
        <f>IF(A1916&lt;&gt;"",CHOOSE(WEEKDAY(A1916,2),"Mánudagur","Þriðjudagur","Miðvikudagur","Fimmtudagur","Föstudagur","Laugardagur","Sunnudagur"),IF(B1915&lt;&gt;"",B1915,""))</f>
        <v>Fimmtudagur</v>
      </c>
      <c r="C1916" s="33">
        <f>IF(A1916&lt;&gt;"",WEEKNUM(A1916,21),IF(C1915&lt;&gt;"",C1915,""))</f>
        <v>27</v>
      </c>
      <c r="D1916" s="34"/>
      <c r="E1916" s="34"/>
      <c r="F1916" s="34"/>
      <c r="G1916" s="34"/>
      <c r="H1916" s="34"/>
      <c r="I1916" s="35"/>
      <c r="J1916" s="35"/>
      <c r="K1916" s="36"/>
      <c r="L1916" s="26" t="str">
        <f>IF(OR(F1916 = "", G1916 = ""), "", IF(F1916 = "Vara", IFERROR(_xlfn.SINGLE(_xlfn.XLOOKUP(G1916, Vöruskrá!A:A, Vöruskrá!E:E, "")), ""), IF(F1916 = "Réttur", IFERROR(_xlfn.SINGLE(_xlfn.XLOOKUP(G1916, Réttabanki!A:A, Réttabanki!AS:AS, "")), ""), "")))</f>
        <v/>
      </c>
      <c r="M1916" s="26" t="str">
        <f>IF(OR(F1916 = "", G1916 = ""), "", IF(F1916 = "Vara", IFERROR(_xlfn.SINGLE(_xlfn.XLOOKUP(G1916, Vöruskrá!A:A, Vöruskrá!F:F, "")), ""), IF(F1916 = "Réttur", IFERROR(_xlfn.SINGLE(_xlfn.XLOOKUP(G1916, Réttabanki!A:A, Réttabanki!AT:AT, "")), ""), "")))</f>
        <v/>
      </c>
      <c r="N1916" s="26" t="str">
        <f>IF(OR(F1916 = "", G1916 = ""), "", IF(F1916 = "Vara", IFERROR(_xlfn.SINGLE(_xlfn.XLOOKUP(G1916, Vöruskrá!A:A, Vöruskrá!G:G, "")), ""), IF(F1916 = "Réttur", IFERROR(_xlfn.SINGLE(_xlfn.XLOOKUP(G1916, Réttabanki!A:A, Réttabanki!AU:AU, "")), ""), "")))</f>
        <v/>
      </c>
      <c r="O1916" s="26" t="str">
        <f>IF(OR(F1916 = "", G1916 = "", I1916 = ""), "", IF(F1916 = "Vara", IFERROR(_xlfn.SINGLE(_xlfn.XLOOKUP(G1916, Vöruskrá!A:A, Vöruskrá!I:I, "")) * I1916 / 100, ""), IF(F1916 = "Réttur", IFERROR(_xlfn.SINGLE(_xlfn.XLOOKUP(G1916, Réttabanki!A:A, Réttabanki!AV:AV, "")) * I1916 / 100, ""), "")))</f>
        <v/>
      </c>
      <c r="P1916" s="26" t="str">
        <f>IF(OR(F1916 = "", G1916 = "", I1916 = ""), "", IF(F1916 = "Vara", IFERROR(_xlfn.SINGLE(_xlfn.XLOOKUP(G1916, Vöruskrá!A:A, Vöruskrá!J:J, "")) * I1916 / 100, ""), IF(F1916 = "Réttur", IFERROR(_xlfn.SINGLE(_xlfn.XLOOKUP(G1916, Réttabanki!A:A, Réttabanki!AW:AW, "")) * I1916 / 100, ""), "")))</f>
        <v/>
      </c>
      <c r="Q1916" s="26" t="str">
        <f>IF(OR(F1916 = "", G1916 = "", I1916 = ""), "", IF(F1916 = "Vara", IFERROR(_xlfn.SINGLE(_xlfn.XLOOKUP(G1916, Vöruskrá!A:A, Vöruskrá!N:N, "")) * I1916 / 100, ""), IF(F1916 = "Réttur", IFERROR(_xlfn.SINGLE(_xlfn.XLOOKUP(G1916, Réttabanki!A:A, Réttabanki!BB:BB, "")) * I1916 / 100, ""), "")))</f>
        <v/>
      </c>
    </row>
    <row r="1917" spans="2:17">
      <c r="B1917" s="33" t="str">
        <f>IF(A1917&lt;&gt;"",CHOOSE(WEEKDAY(A1917,2),"Mánudagur","Þriðjudagur","Miðvikudagur","Fimmtudagur","Föstudagur","Laugardagur","Sunnudagur"),IF(B1916&lt;&gt;"",B1916,""))</f>
        <v>Fimmtudagur</v>
      </c>
      <c r="C1917" s="33">
        <f>IF(A1917&lt;&gt;"",WEEKNUM(A1917,21),IF(C1916&lt;&gt;"",C1916,""))</f>
        <v>27</v>
      </c>
      <c r="D1917" s="34"/>
      <c r="E1917" s="34"/>
      <c r="F1917" s="34"/>
      <c r="G1917" s="34"/>
      <c r="H1917" s="34"/>
      <c r="I1917" s="35"/>
      <c r="J1917" s="35"/>
      <c r="K1917" s="36"/>
      <c r="L1917" s="26" t="str">
        <f>IF(OR(F1917 = "", G1917 = ""), "", IF(F1917 = "Vara", IFERROR(_xlfn.SINGLE(_xlfn.XLOOKUP(G1917, Vöruskrá!A:A, Vöruskrá!E:E, "")), ""), IF(F1917 = "Réttur", IFERROR(_xlfn.SINGLE(_xlfn.XLOOKUP(G1917, Réttabanki!A:A, Réttabanki!AS:AS, "")), ""), "")))</f>
        <v/>
      </c>
      <c r="M1917" s="26" t="str">
        <f>IF(OR(F1917 = "", G1917 = ""), "", IF(F1917 = "Vara", IFERROR(_xlfn.SINGLE(_xlfn.XLOOKUP(G1917, Vöruskrá!A:A, Vöruskrá!F:F, "")), ""), IF(F1917 = "Réttur", IFERROR(_xlfn.SINGLE(_xlfn.XLOOKUP(G1917, Réttabanki!A:A, Réttabanki!AT:AT, "")), ""), "")))</f>
        <v/>
      </c>
      <c r="N1917" s="26" t="str">
        <f>IF(OR(F1917 = "", G1917 = ""), "", IF(F1917 = "Vara", IFERROR(_xlfn.SINGLE(_xlfn.XLOOKUP(G1917, Vöruskrá!A:A, Vöruskrá!G:G, "")), ""), IF(F1917 = "Réttur", IFERROR(_xlfn.SINGLE(_xlfn.XLOOKUP(G1917, Réttabanki!A:A, Réttabanki!AU:AU, "")), ""), "")))</f>
        <v/>
      </c>
      <c r="O1917" s="26" t="str">
        <f>IF(OR(F1917 = "", G1917 = "", I1917 = ""), "", IF(F1917 = "Vara", IFERROR(_xlfn.SINGLE(_xlfn.XLOOKUP(G1917, Vöruskrá!A:A, Vöruskrá!I:I, "")) * I1917 / 100, ""), IF(F1917 = "Réttur", IFERROR(_xlfn.SINGLE(_xlfn.XLOOKUP(G1917, Réttabanki!A:A, Réttabanki!AV:AV, "")) * I1917 / 100, ""), "")))</f>
        <v/>
      </c>
      <c r="P1917" s="26" t="str">
        <f>IF(OR(F1917 = "", G1917 = "", I1917 = ""), "", IF(F1917 = "Vara", IFERROR(_xlfn.SINGLE(_xlfn.XLOOKUP(G1917, Vöruskrá!A:A, Vöruskrá!J:J, "")) * I1917 / 100, ""), IF(F1917 = "Réttur", IFERROR(_xlfn.SINGLE(_xlfn.XLOOKUP(G1917, Réttabanki!A:A, Réttabanki!AW:AW, "")) * I1917 / 100, ""), "")))</f>
        <v/>
      </c>
      <c r="Q1917" s="26" t="str">
        <f>IF(OR(F1917 = "", G1917 = "", I1917 = ""), "", IF(F1917 = "Vara", IFERROR(_xlfn.SINGLE(_xlfn.XLOOKUP(G1917, Vöruskrá!A:A, Vöruskrá!N:N, "")) * I1917 / 100, ""), IF(F1917 = "Réttur", IFERROR(_xlfn.SINGLE(_xlfn.XLOOKUP(G1917, Réttabanki!A:A, Réttabanki!BB:BB, "")) * I1917 / 100, ""), "")))</f>
        <v/>
      </c>
    </row>
    <row r="1918" spans="2:17">
      <c r="B1918" s="33" t="str">
        <f>IF(A1918&lt;&gt;"",CHOOSE(WEEKDAY(A1918,2),"Mánudagur","Þriðjudagur","Miðvikudagur","Fimmtudagur","Föstudagur","Laugardagur","Sunnudagur"),IF(B1917&lt;&gt;"",B1917,""))</f>
        <v>Fimmtudagur</v>
      </c>
      <c r="C1918" s="33">
        <f>IF(A1918&lt;&gt;"",WEEKNUM(A1918,21),IF(C1917&lt;&gt;"",C1917,""))</f>
        <v>27</v>
      </c>
      <c r="D1918" s="34"/>
      <c r="E1918" s="34"/>
      <c r="F1918" s="34"/>
      <c r="G1918" s="34"/>
      <c r="H1918" s="34"/>
      <c r="I1918" s="35"/>
      <c r="J1918" s="35"/>
      <c r="K1918" s="36"/>
      <c r="L1918" s="26" t="str">
        <f>IF(OR(F1918 = "", G1918 = ""), "", IF(F1918 = "Vara", IFERROR(_xlfn.SINGLE(_xlfn.XLOOKUP(G1918, Vöruskrá!A:A, Vöruskrá!E:E, "")), ""), IF(F1918 = "Réttur", IFERROR(_xlfn.SINGLE(_xlfn.XLOOKUP(G1918, Réttabanki!A:A, Réttabanki!AS:AS, "")), ""), "")))</f>
        <v/>
      </c>
      <c r="M1918" s="26" t="str">
        <f>IF(OR(F1918 = "", G1918 = ""), "", IF(F1918 = "Vara", IFERROR(_xlfn.SINGLE(_xlfn.XLOOKUP(G1918, Vöruskrá!A:A, Vöruskrá!F:F, "")), ""), IF(F1918 = "Réttur", IFERROR(_xlfn.SINGLE(_xlfn.XLOOKUP(G1918, Réttabanki!A:A, Réttabanki!AT:AT, "")), ""), "")))</f>
        <v/>
      </c>
      <c r="N1918" s="26" t="str">
        <f>IF(OR(F1918 = "", G1918 = ""), "", IF(F1918 = "Vara", IFERROR(_xlfn.SINGLE(_xlfn.XLOOKUP(G1918, Vöruskrá!A:A, Vöruskrá!G:G, "")), ""), IF(F1918 = "Réttur", IFERROR(_xlfn.SINGLE(_xlfn.XLOOKUP(G1918, Réttabanki!A:A, Réttabanki!AU:AU, "")), ""), "")))</f>
        <v/>
      </c>
      <c r="O1918" s="26" t="str">
        <f>IF(OR(F1918 = "", G1918 = "", I1918 = ""), "", IF(F1918 = "Vara", IFERROR(_xlfn.SINGLE(_xlfn.XLOOKUP(G1918, Vöruskrá!A:A, Vöruskrá!I:I, "")) * I1918 / 100, ""), IF(F1918 = "Réttur", IFERROR(_xlfn.SINGLE(_xlfn.XLOOKUP(G1918, Réttabanki!A:A, Réttabanki!AV:AV, "")) * I1918 / 100, ""), "")))</f>
        <v/>
      </c>
      <c r="P1918" s="26" t="str">
        <f>IF(OR(F1918 = "", G1918 = "", I1918 = ""), "", IF(F1918 = "Vara", IFERROR(_xlfn.SINGLE(_xlfn.XLOOKUP(G1918, Vöruskrá!A:A, Vöruskrá!J:J, "")) * I1918 / 100, ""), IF(F1918 = "Réttur", IFERROR(_xlfn.SINGLE(_xlfn.XLOOKUP(G1918, Réttabanki!A:A, Réttabanki!AW:AW, "")) * I1918 / 100, ""), "")))</f>
        <v/>
      </c>
      <c r="Q1918" s="26" t="str">
        <f>IF(OR(F1918 = "", G1918 = "", I1918 = ""), "", IF(F1918 = "Vara", IFERROR(_xlfn.SINGLE(_xlfn.XLOOKUP(G1918, Vöruskrá!A:A, Vöruskrá!N:N, "")) * I1918 / 100, ""), IF(F1918 = "Réttur", IFERROR(_xlfn.SINGLE(_xlfn.XLOOKUP(G1918, Réttabanki!A:A, Réttabanki!BB:BB, "")) * I1918 / 100, ""), "")))</f>
        <v/>
      </c>
    </row>
    <row r="1919" spans="2:17">
      <c r="B1919" s="33" t="str">
        <f>IF(A1919&lt;&gt;"",CHOOSE(WEEKDAY(A1919,2),"Mánudagur","Þriðjudagur","Miðvikudagur","Fimmtudagur","Föstudagur","Laugardagur","Sunnudagur"),IF(B1918&lt;&gt;"",B1918,""))</f>
        <v>Fimmtudagur</v>
      </c>
      <c r="C1919" s="33">
        <f>IF(A1919&lt;&gt;"",WEEKNUM(A1919,21),IF(C1918&lt;&gt;"",C1918,""))</f>
        <v>27</v>
      </c>
      <c r="D1919" s="34"/>
      <c r="E1919" s="34"/>
      <c r="F1919" s="34"/>
      <c r="G1919" s="34"/>
      <c r="H1919" s="34"/>
      <c r="I1919" s="35"/>
      <c r="J1919" s="35"/>
      <c r="K1919" s="36"/>
      <c r="L1919" s="26" t="str">
        <f>IF(OR(F1919 = "", G1919 = ""), "", IF(F1919 = "Vara", IFERROR(_xlfn.SINGLE(_xlfn.XLOOKUP(G1919, Vöruskrá!A:A, Vöruskrá!E:E, "")), ""), IF(F1919 = "Réttur", IFERROR(_xlfn.SINGLE(_xlfn.XLOOKUP(G1919, Réttabanki!A:A, Réttabanki!AS:AS, "")), ""), "")))</f>
        <v/>
      </c>
      <c r="M1919" s="26" t="str">
        <f>IF(OR(F1919 = "", G1919 = ""), "", IF(F1919 = "Vara", IFERROR(_xlfn.SINGLE(_xlfn.XLOOKUP(G1919, Vöruskrá!A:A, Vöruskrá!F:F, "")), ""), IF(F1919 = "Réttur", IFERROR(_xlfn.SINGLE(_xlfn.XLOOKUP(G1919, Réttabanki!A:A, Réttabanki!AT:AT, "")), ""), "")))</f>
        <v/>
      </c>
      <c r="N1919" s="26" t="str">
        <f>IF(OR(F1919 = "", G1919 = ""), "", IF(F1919 = "Vara", IFERROR(_xlfn.SINGLE(_xlfn.XLOOKUP(G1919, Vöruskrá!A:A, Vöruskrá!G:G, "")), ""), IF(F1919 = "Réttur", IFERROR(_xlfn.SINGLE(_xlfn.XLOOKUP(G1919, Réttabanki!A:A, Réttabanki!AU:AU, "")), ""), "")))</f>
        <v/>
      </c>
      <c r="O1919" s="26" t="str">
        <f>IF(OR(F1919 = "", G1919 = "", I1919 = ""), "", IF(F1919 = "Vara", IFERROR(_xlfn.SINGLE(_xlfn.XLOOKUP(G1919, Vöruskrá!A:A, Vöruskrá!I:I, "")) * I1919 / 100, ""), IF(F1919 = "Réttur", IFERROR(_xlfn.SINGLE(_xlfn.XLOOKUP(G1919, Réttabanki!A:A, Réttabanki!AV:AV, "")) * I1919 / 100, ""), "")))</f>
        <v/>
      </c>
      <c r="P1919" s="26" t="str">
        <f>IF(OR(F1919 = "", G1919 = "", I1919 = ""), "", IF(F1919 = "Vara", IFERROR(_xlfn.SINGLE(_xlfn.XLOOKUP(G1919, Vöruskrá!A:A, Vöruskrá!J:J, "")) * I1919 / 100, ""), IF(F1919 = "Réttur", IFERROR(_xlfn.SINGLE(_xlfn.XLOOKUP(G1919, Réttabanki!A:A, Réttabanki!AW:AW, "")) * I1919 / 100, ""), "")))</f>
        <v/>
      </c>
      <c r="Q1919" s="26" t="str">
        <f>IF(OR(F1919 = "", G1919 = "", I1919 = ""), "", IF(F1919 = "Vara", IFERROR(_xlfn.SINGLE(_xlfn.XLOOKUP(G1919, Vöruskrá!A:A, Vöruskrá!N:N, "")) * I1919 / 100, ""), IF(F1919 = "Réttur", IFERROR(_xlfn.SINGLE(_xlfn.XLOOKUP(G1919, Réttabanki!A:A, Réttabanki!BB:BB, "")) * I1919 / 100, ""), "")))</f>
        <v/>
      </c>
    </row>
    <row r="1920" spans="2:17">
      <c r="B1920" s="33" t="str">
        <f>IF(A1920&lt;&gt;"",CHOOSE(WEEKDAY(A1920,2),"Mánudagur","Þriðjudagur","Miðvikudagur","Fimmtudagur","Föstudagur","Laugardagur","Sunnudagur"),IF(B1919&lt;&gt;"",B1919,""))</f>
        <v>Fimmtudagur</v>
      </c>
      <c r="C1920" s="33">
        <f>IF(A1920&lt;&gt;"",WEEKNUM(A1920,21),IF(C1919&lt;&gt;"",C1919,""))</f>
        <v>27</v>
      </c>
      <c r="D1920" s="34"/>
      <c r="E1920" s="34"/>
      <c r="F1920" s="34"/>
      <c r="G1920" s="34"/>
      <c r="H1920" s="34"/>
      <c r="I1920" s="35"/>
      <c r="J1920" s="35"/>
      <c r="K1920" s="36"/>
      <c r="L1920" s="26" t="str">
        <f>IF(OR(F1920 = "", G1920 = ""), "", IF(F1920 = "Vara", IFERROR(_xlfn.SINGLE(_xlfn.XLOOKUP(G1920, Vöruskrá!A:A, Vöruskrá!E:E, "")), ""), IF(F1920 = "Réttur", IFERROR(_xlfn.SINGLE(_xlfn.XLOOKUP(G1920, Réttabanki!A:A, Réttabanki!AS:AS, "")), ""), "")))</f>
        <v/>
      </c>
      <c r="M1920" s="26" t="str">
        <f>IF(OR(F1920 = "", G1920 = ""), "", IF(F1920 = "Vara", IFERROR(_xlfn.SINGLE(_xlfn.XLOOKUP(G1920, Vöruskrá!A:A, Vöruskrá!F:F, "")), ""), IF(F1920 = "Réttur", IFERROR(_xlfn.SINGLE(_xlfn.XLOOKUP(G1920, Réttabanki!A:A, Réttabanki!AT:AT, "")), ""), "")))</f>
        <v/>
      </c>
      <c r="N1920" s="26" t="str">
        <f>IF(OR(F1920 = "", G1920 = ""), "", IF(F1920 = "Vara", IFERROR(_xlfn.SINGLE(_xlfn.XLOOKUP(G1920, Vöruskrá!A:A, Vöruskrá!G:G, "")), ""), IF(F1920 = "Réttur", IFERROR(_xlfn.SINGLE(_xlfn.XLOOKUP(G1920, Réttabanki!A:A, Réttabanki!AU:AU, "")), ""), "")))</f>
        <v/>
      </c>
      <c r="O1920" s="26" t="str">
        <f>IF(OR(F1920 = "", G1920 = "", I1920 = ""), "", IF(F1920 = "Vara", IFERROR(_xlfn.SINGLE(_xlfn.XLOOKUP(G1920, Vöruskrá!A:A, Vöruskrá!I:I, "")) * I1920 / 100, ""), IF(F1920 = "Réttur", IFERROR(_xlfn.SINGLE(_xlfn.XLOOKUP(G1920, Réttabanki!A:A, Réttabanki!AV:AV, "")) * I1920 / 100, ""), "")))</f>
        <v/>
      </c>
      <c r="P1920" s="26" t="str">
        <f>IF(OR(F1920 = "", G1920 = "", I1920 = ""), "", IF(F1920 = "Vara", IFERROR(_xlfn.SINGLE(_xlfn.XLOOKUP(G1920, Vöruskrá!A:A, Vöruskrá!J:J, "")) * I1920 / 100, ""), IF(F1920 = "Réttur", IFERROR(_xlfn.SINGLE(_xlfn.XLOOKUP(G1920, Réttabanki!A:A, Réttabanki!AW:AW, "")) * I1920 / 100, ""), "")))</f>
        <v/>
      </c>
      <c r="Q1920" s="26" t="str">
        <f>IF(OR(F1920 = "", G1920 = "", I1920 = ""), "", IF(F1920 = "Vara", IFERROR(_xlfn.SINGLE(_xlfn.XLOOKUP(G1920, Vöruskrá!A:A, Vöruskrá!N:N, "")) * I1920 / 100, ""), IF(F1920 = "Réttur", IFERROR(_xlfn.SINGLE(_xlfn.XLOOKUP(G1920, Réttabanki!A:A, Réttabanki!BB:BB, "")) * I1920 / 100, ""), "")))</f>
        <v/>
      </c>
    </row>
    <row r="1921" spans="2:17">
      <c r="B1921" s="33" t="str">
        <f>IF(A1921&lt;&gt;"",CHOOSE(WEEKDAY(A1921,2),"Mánudagur","Þriðjudagur","Miðvikudagur","Fimmtudagur","Föstudagur","Laugardagur","Sunnudagur"),IF(B1920&lt;&gt;"",B1920,""))</f>
        <v>Fimmtudagur</v>
      </c>
      <c r="C1921" s="33">
        <f>IF(A1921&lt;&gt;"",WEEKNUM(A1921,21),IF(C1920&lt;&gt;"",C1920,""))</f>
        <v>27</v>
      </c>
      <c r="D1921" s="34"/>
      <c r="E1921" s="34"/>
      <c r="F1921" s="34"/>
      <c r="G1921" s="34"/>
      <c r="H1921" s="34"/>
      <c r="I1921" s="35"/>
      <c r="J1921" s="35"/>
      <c r="K1921" s="36"/>
      <c r="L1921" s="26" t="str">
        <f>IF(OR(F1921 = "", G1921 = ""), "", IF(F1921 = "Vara", IFERROR(_xlfn.SINGLE(_xlfn.XLOOKUP(G1921, Vöruskrá!A:A, Vöruskrá!E:E, "")), ""), IF(F1921 = "Réttur", IFERROR(_xlfn.SINGLE(_xlfn.XLOOKUP(G1921, Réttabanki!A:A, Réttabanki!AS:AS, "")), ""), "")))</f>
        <v/>
      </c>
      <c r="M1921" s="26" t="str">
        <f>IF(OR(F1921 = "", G1921 = ""), "", IF(F1921 = "Vara", IFERROR(_xlfn.SINGLE(_xlfn.XLOOKUP(G1921, Vöruskrá!A:A, Vöruskrá!F:F, "")), ""), IF(F1921 = "Réttur", IFERROR(_xlfn.SINGLE(_xlfn.XLOOKUP(G1921, Réttabanki!A:A, Réttabanki!AT:AT, "")), ""), "")))</f>
        <v/>
      </c>
      <c r="N1921" s="26" t="str">
        <f>IF(OR(F1921 = "", G1921 = ""), "", IF(F1921 = "Vara", IFERROR(_xlfn.SINGLE(_xlfn.XLOOKUP(G1921, Vöruskrá!A:A, Vöruskrá!G:G, "")), ""), IF(F1921 = "Réttur", IFERROR(_xlfn.SINGLE(_xlfn.XLOOKUP(G1921, Réttabanki!A:A, Réttabanki!AU:AU, "")), ""), "")))</f>
        <v/>
      </c>
      <c r="O1921" s="26" t="str">
        <f>IF(OR(F1921 = "", G1921 = "", I1921 = ""), "", IF(F1921 = "Vara", IFERROR(_xlfn.SINGLE(_xlfn.XLOOKUP(G1921, Vöruskrá!A:A, Vöruskrá!I:I, "")) * I1921 / 100, ""), IF(F1921 = "Réttur", IFERROR(_xlfn.SINGLE(_xlfn.XLOOKUP(G1921, Réttabanki!A:A, Réttabanki!AV:AV, "")) * I1921 / 100, ""), "")))</f>
        <v/>
      </c>
      <c r="P1921" s="26" t="str">
        <f>IF(OR(F1921 = "", G1921 = "", I1921 = ""), "", IF(F1921 = "Vara", IFERROR(_xlfn.SINGLE(_xlfn.XLOOKUP(G1921, Vöruskrá!A:A, Vöruskrá!J:J, "")) * I1921 / 100, ""), IF(F1921 = "Réttur", IFERROR(_xlfn.SINGLE(_xlfn.XLOOKUP(G1921, Réttabanki!A:A, Réttabanki!AW:AW, "")) * I1921 / 100, ""), "")))</f>
        <v/>
      </c>
      <c r="Q1921" s="26" t="str">
        <f>IF(OR(F1921 = "", G1921 = "", I1921 = ""), "", IF(F1921 = "Vara", IFERROR(_xlfn.SINGLE(_xlfn.XLOOKUP(G1921, Vöruskrá!A:A, Vöruskrá!N:N, "")) * I1921 / 100, ""), IF(F1921 = "Réttur", IFERROR(_xlfn.SINGLE(_xlfn.XLOOKUP(G1921, Réttabanki!A:A, Réttabanki!BB:BB, "")) * I1921 / 100, ""), "")))</f>
        <v/>
      </c>
    </row>
    <row r="1922" spans="2:17">
      <c r="B1922" s="33" t="str">
        <f>IF(A1922&lt;&gt;"",CHOOSE(WEEKDAY(A1922,2),"Mánudagur","Þriðjudagur","Miðvikudagur","Fimmtudagur","Föstudagur","Laugardagur","Sunnudagur"),IF(B1921&lt;&gt;"",B1921,""))</f>
        <v>Fimmtudagur</v>
      </c>
      <c r="C1922" s="33">
        <f>IF(A1922&lt;&gt;"",WEEKNUM(A1922,21),IF(C1921&lt;&gt;"",C1921,""))</f>
        <v>27</v>
      </c>
      <c r="D1922" s="34"/>
      <c r="E1922" s="34"/>
      <c r="F1922" s="34"/>
      <c r="G1922" s="34"/>
      <c r="H1922" s="34"/>
      <c r="I1922" s="35"/>
      <c r="J1922" s="35"/>
      <c r="K1922" s="36"/>
      <c r="L1922" s="26" t="str">
        <f>IF(OR(F1922 = "", G1922 = ""), "", IF(F1922 = "Vara", IFERROR(_xlfn.SINGLE(_xlfn.XLOOKUP(G1922, Vöruskrá!A:A, Vöruskrá!E:E, "")), ""), IF(F1922 = "Réttur", IFERROR(_xlfn.SINGLE(_xlfn.XLOOKUP(G1922, Réttabanki!A:A, Réttabanki!AS:AS, "")), ""), "")))</f>
        <v/>
      </c>
      <c r="M1922" s="26" t="str">
        <f>IF(OR(F1922 = "", G1922 = ""), "", IF(F1922 = "Vara", IFERROR(_xlfn.SINGLE(_xlfn.XLOOKUP(G1922, Vöruskrá!A:A, Vöruskrá!F:F, "")), ""), IF(F1922 = "Réttur", IFERROR(_xlfn.SINGLE(_xlfn.XLOOKUP(G1922, Réttabanki!A:A, Réttabanki!AT:AT, "")), ""), "")))</f>
        <v/>
      </c>
      <c r="N1922" s="26" t="str">
        <f>IF(OR(F1922 = "", G1922 = ""), "", IF(F1922 = "Vara", IFERROR(_xlfn.SINGLE(_xlfn.XLOOKUP(G1922, Vöruskrá!A:A, Vöruskrá!G:G, "")), ""), IF(F1922 = "Réttur", IFERROR(_xlfn.SINGLE(_xlfn.XLOOKUP(G1922, Réttabanki!A:A, Réttabanki!AU:AU, "")), ""), "")))</f>
        <v/>
      </c>
      <c r="O1922" s="26" t="str">
        <f>IF(OR(F1922 = "", G1922 = "", I1922 = ""), "", IF(F1922 = "Vara", IFERROR(_xlfn.SINGLE(_xlfn.XLOOKUP(G1922, Vöruskrá!A:A, Vöruskrá!I:I, "")) * I1922 / 100, ""), IF(F1922 = "Réttur", IFERROR(_xlfn.SINGLE(_xlfn.XLOOKUP(G1922, Réttabanki!A:A, Réttabanki!AV:AV, "")) * I1922 / 100, ""), "")))</f>
        <v/>
      </c>
      <c r="P1922" s="26" t="str">
        <f>IF(OR(F1922 = "", G1922 = "", I1922 = ""), "", IF(F1922 = "Vara", IFERROR(_xlfn.SINGLE(_xlfn.XLOOKUP(G1922, Vöruskrá!A:A, Vöruskrá!J:J, "")) * I1922 / 100, ""), IF(F1922 = "Réttur", IFERROR(_xlfn.SINGLE(_xlfn.XLOOKUP(G1922, Réttabanki!A:A, Réttabanki!AW:AW, "")) * I1922 / 100, ""), "")))</f>
        <v/>
      </c>
      <c r="Q1922" s="26" t="str">
        <f>IF(OR(F1922 = "", G1922 = "", I1922 = ""), "", IF(F1922 = "Vara", IFERROR(_xlfn.SINGLE(_xlfn.XLOOKUP(G1922, Vöruskrá!A:A, Vöruskrá!N:N, "")) * I1922 / 100, ""), IF(F1922 = "Réttur", IFERROR(_xlfn.SINGLE(_xlfn.XLOOKUP(G1922, Réttabanki!A:A, Réttabanki!BB:BB, "")) * I1922 / 100, ""), "")))</f>
        <v/>
      </c>
    </row>
    <row r="1923" spans="2:17">
      <c r="B1923" s="33" t="str">
        <f>IF(A1923&lt;&gt;"",CHOOSE(WEEKDAY(A1923,2),"Mánudagur","Þriðjudagur","Miðvikudagur","Fimmtudagur","Föstudagur","Laugardagur","Sunnudagur"),IF(B1922&lt;&gt;"",B1922,""))</f>
        <v>Fimmtudagur</v>
      </c>
      <c r="C1923" s="33">
        <f>IF(A1923&lt;&gt;"",WEEKNUM(A1923,21),IF(C1922&lt;&gt;"",C1922,""))</f>
        <v>27</v>
      </c>
      <c r="D1923" s="34"/>
      <c r="E1923" s="34"/>
      <c r="F1923" s="34"/>
      <c r="G1923" s="34"/>
      <c r="H1923" s="34"/>
      <c r="I1923" s="35"/>
      <c r="J1923" s="35"/>
      <c r="K1923" s="36"/>
      <c r="L1923" s="26" t="str">
        <f>IF(OR(F1923 = "", G1923 = ""), "", IF(F1923 = "Vara", IFERROR(_xlfn.SINGLE(_xlfn.XLOOKUP(G1923, Vöruskrá!A:A, Vöruskrá!E:E, "")), ""), IF(F1923 = "Réttur", IFERROR(_xlfn.SINGLE(_xlfn.XLOOKUP(G1923, Réttabanki!A:A, Réttabanki!AS:AS, "")), ""), "")))</f>
        <v/>
      </c>
      <c r="M1923" s="26" t="str">
        <f>IF(OR(F1923 = "", G1923 = ""), "", IF(F1923 = "Vara", IFERROR(_xlfn.SINGLE(_xlfn.XLOOKUP(G1923, Vöruskrá!A:A, Vöruskrá!F:F, "")), ""), IF(F1923 = "Réttur", IFERROR(_xlfn.SINGLE(_xlfn.XLOOKUP(G1923, Réttabanki!A:A, Réttabanki!AT:AT, "")), ""), "")))</f>
        <v/>
      </c>
      <c r="N1923" s="26" t="str">
        <f>IF(OR(F1923 = "", G1923 = ""), "", IF(F1923 = "Vara", IFERROR(_xlfn.SINGLE(_xlfn.XLOOKUP(G1923, Vöruskrá!A:A, Vöruskrá!G:G, "")), ""), IF(F1923 = "Réttur", IFERROR(_xlfn.SINGLE(_xlfn.XLOOKUP(G1923, Réttabanki!A:A, Réttabanki!AU:AU, "")), ""), "")))</f>
        <v/>
      </c>
      <c r="O1923" s="26" t="str">
        <f>IF(OR(F1923 = "", G1923 = "", I1923 = ""), "", IF(F1923 = "Vara", IFERROR(_xlfn.SINGLE(_xlfn.XLOOKUP(G1923, Vöruskrá!A:A, Vöruskrá!I:I, "")) * I1923 / 100, ""), IF(F1923 = "Réttur", IFERROR(_xlfn.SINGLE(_xlfn.XLOOKUP(G1923, Réttabanki!A:A, Réttabanki!AV:AV, "")) * I1923 / 100, ""), "")))</f>
        <v/>
      </c>
      <c r="P1923" s="26" t="str">
        <f>IF(OR(F1923 = "", G1923 = "", I1923 = ""), "", IF(F1923 = "Vara", IFERROR(_xlfn.SINGLE(_xlfn.XLOOKUP(G1923, Vöruskrá!A:A, Vöruskrá!J:J, "")) * I1923 / 100, ""), IF(F1923 = "Réttur", IFERROR(_xlfn.SINGLE(_xlfn.XLOOKUP(G1923, Réttabanki!A:A, Réttabanki!AW:AW, "")) * I1923 / 100, ""), "")))</f>
        <v/>
      </c>
      <c r="Q1923" s="26" t="str">
        <f>IF(OR(F1923 = "", G1923 = "", I1923 = ""), "", IF(F1923 = "Vara", IFERROR(_xlfn.SINGLE(_xlfn.XLOOKUP(G1923, Vöruskrá!A:A, Vöruskrá!N:N, "")) * I1923 / 100, ""), IF(F1923 = "Réttur", IFERROR(_xlfn.SINGLE(_xlfn.XLOOKUP(G1923, Réttabanki!A:A, Réttabanki!BB:BB, "")) * I1923 / 100, ""), "")))</f>
        <v/>
      </c>
    </row>
    <row r="1924" spans="2:17">
      <c r="B1924" s="33" t="str">
        <f>IF(A1924&lt;&gt;"",CHOOSE(WEEKDAY(A1924,2),"Mánudagur","Þriðjudagur","Miðvikudagur","Fimmtudagur","Föstudagur","Laugardagur","Sunnudagur"),IF(B1923&lt;&gt;"",B1923,""))</f>
        <v>Fimmtudagur</v>
      </c>
      <c r="C1924" s="33">
        <f>IF(A1924&lt;&gt;"",WEEKNUM(A1924,21),IF(C1923&lt;&gt;"",C1923,""))</f>
        <v>27</v>
      </c>
      <c r="D1924" s="34"/>
      <c r="E1924" s="34"/>
      <c r="F1924" s="34"/>
      <c r="G1924" s="34"/>
      <c r="H1924" s="34"/>
      <c r="I1924" s="35"/>
      <c r="J1924" s="35"/>
      <c r="K1924" s="36"/>
      <c r="L1924" s="26" t="str">
        <f>IF(OR(F1924 = "", G1924 = ""), "", IF(F1924 = "Vara", IFERROR(_xlfn.SINGLE(_xlfn.XLOOKUP(G1924, Vöruskrá!A:A, Vöruskrá!E:E, "")), ""), IF(F1924 = "Réttur", IFERROR(_xlfn.SINGLE(_xlfn.XLOOKUP(G1924, Réttabanki!A:A, Réttabanki!AS:AS, "")), ""), "")))</f>
        <v/>
      </c>
      <c r="M1924" s="26" t="str">
        <f>IF(OR(F1924 = "", G1924 = ""), "", IF(F1924 = "Vara", IFERROR(_xlfn.SINGLE(_xlfn.XLOOKUP(G1924, Vöruskrá!A:A, Vöruskrá!F:F, "")), ""), IF(F1924 = "Réttur", IFERROR(_xlfn.SINGLE(_xlfn.XLOOKUP(G1924, Réttabanki!A:A, Réttabanki!AT:AT, "")), ""), "")))</f>
        <v/>
      </c>
      <c r="N1924" s="26" t="str">
        <f>IF(OR(F1924 = "", G1924 = ""), "", IF(F1924 = "Vara", IFERROR(_xlfn.SINGLE(_xlfn.XLOOKUP(G1924, Vöruskrá!A:A, Vöruskrá!G:G, "")), ""), IF(F1924 = "Réttur", IFERROR(_xlfn.SINGLE(_xlfn.XLOOKUP(G1924, Réttabanki!A:A, Réttabanki!AU:AU, "")), ""), "")))</f>
        <v/>
      </c>
      <c r="O1924" s="26" t="str">
        <f>IF(OR(F1924 = "", G1924 = "", I1924 = ""), "", IF(F1924 = "Vara", IFERROR(_xlfn.SINGLE(_xlfn.XLOOKUP(G1924, Vöruskrá!A:A, Vöruskrá!I:I, "")) * I1924 / 100, ""), IF(F1924 = "Réttur", IFERROR(_xlfn.SINGLE(_xlfn.XLOOKUP(G1924, Réttabanki!A:A, Réttabanki!AV:AV, "")) * I1924 / 100, ""), "")))</f>
        <v/>
      </c>
      <c r="P1924" s="26" t="str">
        <f>IF(OR(F1924 = "", G1924 = "", I1924 = ""), "", IF(F1924 = "Vara", IFERROR(_xlfn.SINGLE(_xlfn.XLOOKUP(G1924, Vöruskrá!A:A, Vöruskrá!J:J, "")) * I1924 / 100, ""), IF(F1924 = "Réttur", IFERROR(_xlfn.SINGLE(_xlfn.XLOOKUP(G1924, Réttabanki!A:A, Réttabanki!AW:AW, "")) * I1924 / 100, ""), "")))</f>
        <v/>
      </c>
      <c r="Q1924" s="26" t="str">
        <f>IF(OR(F1924 = "", G1924 = "", I1924 = ""), "", IF(F1924 = "Vara", IFERROR(_xlfn.SINGLE(_xlfn.XLOOKUP(G1924, Vöruskrá!A:A, Vöruskrá!N:N, "")) * I1924 / 100, ""), IF(F1924 = "Réttur", IFERROR(_xlfn.SINGLE(_xlfn.XLOOKUP(G1924, Réttabanki!A:A, Réttabanki!BB:BB, "")) * I1924 / 100, ""), "")))</f>
        <v/>
      </c>
    </row>
    <row r="1925" spans="2:17">
      <c r="B1925" s="33" t="str">
        <f>IF(A1925&lt;&gt;"",CHOOSE(WEEKDAY(A1925,2),"Mánudagur","Þriðjudagur","Miðvikudagur","Fimmtudagur","Föstudagur","Laugardagur","Sunnudagur"),IF(B1924&lt;&gt;"",B1924,""))</f>
        <v>Fimmtudagur</v>
      </c>
      <c r="C1925" s="33">
        <f>IF(A1925&lt;&gt;"",WEEKNUM(A1925,21),IF(C1924&lt;&gt;"",C1924,""))</f>
        <v>27</v>
      </c>
      <c r="D1925" s="34"/>
      <c r="E1925" s="34"/>
      <c r="F1925" s="34"/>
      <c r="G1925" s="34"/>
      <c r="H1925" s="34"/>
      <c r="I1925" s="35"/>
      <c r="J1925" s="35"/>
      <c r="K1925" s="36"/>
      <c r="L1925" s="26" t="str">
        <f>IF(OR(F1925 = "", G1925 = ""), "", IF(F1925 = "Vara", IFERROR(_xlfn.SINGLE(_xlfn.XLOOKUP(G1925, Vöruskrá!A:A, Vöruskrá!E:E, "")), ""), IF(F1925 = "Réttur", IFERROR(_xlfn.SINGLE(_xlfn.XLOOKUP(G1925, Réttabanki!A:A, Réttabanki!AS:AS, "")), ""), "")))</f>
        <v/>
      </c>
      <c r="M1925" s="26" t="str">
        <f>IF(OR(F1925 = "", G1925 = ""), "", IF(F1925 = "Vara", IFERROR(_xlfn.SINGLE(_xlfn.XLOOKUP(G1925, Vöruskrá!A:A, Vöruskrá!F:F, "")), ""), IF(F1925 = "Réttur", IFERROR(_xlfn.SINGLE(_xlfn.XLOOKUP(G1925, Réttabanki!A:A, Réttabanki!AT:AT, "")), ""), "")))</f>
        <v/>
      </c>
      <c r="N1925" s="26" t="str">
        <f>IF(OR(F1925 = "", G1925 = ""), "", IF(F1925 = "Vara", IFERROR(_xlfn.SINGLE(_xlfn.XLOOKUP(G1925, Vöruskrá!A:A, Vöruskrá!G:G, "")), ""), IF(F1925 = "Réttur", IFERROR(_xlfn.SINGLE(_xlfn.XLOOKUP(G1925, Réttabanki!A:A, Réttabanki!AU:AU, "")), ""), "")))</f>
        <v/>
      </c>
      <c r="O1925" s="26" t="str">
        <f>IF(OR(F1925 = "", G1925 = "", I1925 = ""), "", IF(F1925 = "Vara", IFERROR(_xlfn.SINGLE(_xlfn.XLOOKUP(G1925, Vöruskrá!A:A, Vöruskrá!I:I, "")) * I1925 / 100, ""), IF(F1925 = "Réttur", IFERROR(_xlfn.SINGLE(_xlfn.XLOOKUP(G1925, Réttabanki!A:A, Réttabanki!AV:AV, "")) * I1925 / 100, ""), "")))</f>
        <v/>
      </c>
      <c r="P1925" s="26" t="str">
        <f>IF(OR(F1925 = "", G1925 = "", I1925 = ""), "", IF(F1925 = "Vara", IFERROR(_xlfn.SINGLE(_xlfn.XLOOKUP(G1925, Vöruskrá!A:A, Vöruskrá!J:J, "")) * I1925 / 100, ""), IF(F1925 = "Réttur", IFERROR(_xlfn.SINGLE(_xlfn.XLOOKUP(G1925, Réttabanki!A:A, Réttabanki!AW:AW, "")) * I1925 / 100, ""), "")))</f>
        <v/>
      </c>
      <c r="Q1925" s="26" t="str">
        <f>IF(OR(F1925 = "", G1925 = "", I1925 = ""), "", IF(F1925 = "Vara", IFERROR(_xlfn.SINGLE(_xlfn.XLOOKUP(G1925, Vöruskrá!A:A, Vöruskrá!N:N, "")) * I1925 / 100, ""), IF(F1925 = "Réttur", IFERROR(_xlfn.SINGLE(_xlfn.XLOOKUP(G1925, Réttabanki!A:A, Réttabanki!BB:BB, "")) * I1925 / 100, ""), "")))</f>
        <v/>
      </c>
    </row>
    <row r="1926" spans="2:17">
      <c r="B1926" s="33" t="str">
        <f>IF(A1926&lt;&gt;"",CHOOSE(WEEKDAY(A1926,2),"Mánudagur","Þriðjudagur","Miðvikudagur","Fimmtudagur","Föstudagur","Laugardagur","Sunnudagur"),IF(B1925&lt;&gt;"",B1925,""))</f>
        <v>Fimmtudagur</v>
      </c>
      <c r="C1926" s="33">
        <f>IF(A1926&lt;&gt;"",WEEKNUM(A1926,21),IF(C1925&lt;&gt;"",C1925,""))</f>
        <v>27</v>
      </c>
      <c r="D1926" s="34"/>
      <c r="E1926" s="34"/>
      <c r="F1926" s="34"/>
      <c r="G1926" s="34"/>
      <c r="H1926" s="34"/>
      <c r="I1926" s="35"/>
      <c r="J1926" s="35"/>
      <c r="K1926" s="36"/>
      <c r="L1926" s="26" t="str">
        <f>IF(OR(F1926 = "", G1926 = ""), "", IF(F1926 = "Vara", IFERROR(_xlfn.SINGLE(_xlfn.XLOOKUP(G1926, Vöruskrá!A:A, Vöruskrá!E:E, "")), ""), IF(F1926 = "Réttur", IFERROR(_xlfn.SINGLE(_xlfn.XLOOKUP(G1926, Réttabanki!A:A, Réttabanki!AS:AS, "")), ""), "")))</f>
        <v/>
      </c>
      <c r="M1926" s="26" t="str">
        <f>IF(OR(F1926 = "", G1926 = ""), "", IF(F1926 = "Vara", IFERROR(_xlfn.SINGLE(_xlfn.XLOOKUP(G1926, Vöruskrá!A:A, Vöruskrá!F:F, "")), ""), IF(F1926 = "Réttur", IFERROR(_xlfn.SINGLE(_xlfn.XLOOKUP(G1926, Réttabanki!A:A, Réttabanki!AT:AT, "")), ""), "")))</f>
        <v/>
      </c>
      <c r="N1926" s="26" t="str">
        <f>IF(OR(F1926 = "", G1926 = ""), "", IF(F1926 = "Vara", IFERROR(_xlfn.SINGLE(_xlfn.XLOOKUP(G1926, Vöruskrá!A:A, Vöruskrá!G:G, "")), ""), IF(F1926 = "Réttur", IFERROR(_xlfn.SINGLE(_xlfn.XLOOKUP(G1926, Réttabanki!A:A, Réttabanki!AU:AU, "")), ""), "")))</f>
        <v/>
      </c>
      <c r="O1926" s="26" t="str">
        <f>IF(OR(F1926 = "", G1926 = "", I1926 = ""), "", IF(F1926 = "Vara", IFERROR(_xlfn.SINGLE(_xlfn.XLOOKUP(G1926, Vöruskrá!A:A, Vöruskrá!I:I, "")) * I1926 / 100, ""), IF(F1926 = "Réttur", IFERROR(_xlfn.SINGLE(_xlfn.XLOOKUP(G1926, Réttabanki!A:A, Réttabanki!AV:AV, "")) * I1926 / 100, ""), "")))</f>
        <v/>
      </c>
      <c r="P1926" s="26" t="str">
        <f>IF(OR(F1926 = "", G1926 = "", I1926 = ""), "", IF(F1926 = "Vara", IFERROR(_xlfn.SINGLE(_xlfn.XLOOKUP(G1926, Vöruskrá!A:A, Vöruskrá!J:J, "")) * I1926 / 100, ""), IF(F1926 = "Réttur", IFERROR(_xlfn.SINGLE(_xlfn.XLOOKUP(G1926, Réttabanki!A:A, Réttabanki!AW:AW, "")) * I1926 / 100, ""), "")))</f>
        <v/>
      </c>
      <c r="Q1926" s="26" t="str">
        <f>IF(OR(F1926 = "", G1926 = "", I1926 = ""), "", IF(F1926 = "Vara", IFERROR(_xlfn.SINGLE(_xlfn.XLOOKUP(G1926, Vöruskrá!A:A, Vöruskrá!N:N, "")) * I1926 / 100, ""), IF(F1926 = "Réttur", IFERROR(_xlfn.SINGLE(_xlfn.XLOOKUP(G1926, Réttabanki!A:A, Réttabanki!BB:BB, "")) * I1926 / 100, ""), "")))</f>
        <v/>
      </c>
    </row>
    <row r="1927" spans="2:17">
      <c r="B1927" s="33" t="str">
        <f>IF(A1927&lt;&gt;"",CHOOSE(WEEKDAY(A1927,2),"Mánudagur","Þriðjudagur","Miðvikudagur","Fimmtudagur","Föstudagur","Laugardagur","Sunnudagur"),IF(B1926&lt;&gt;"",B1926,""))</f>
        <v>Fimmtudagur</v>
      </c>
      <c r="C1927" s="33">
        <f>IF(A1927&lt;&gt;"",WEEKNUM(A1927,21),IF(C1926&lt;&gt;"",C1926,""))</f>
        <v>27</v>
      </c>
      <c r="D1927" s="34"/>
      <c r="E1927" s="34"/>
      <c r="F1927" s="34"/>
      <c r="G1927" s="34"/>
      <c r="H1927" s="34"/>
      <c r="I1927" s="35"/>
      <c r="J1927" s="35"/>
      <c r="K1927" s="36"/>
      <c r="L1927" s="26" t="str">
        <f>IF(OR(F1927 = "", G1927 = ""), "", IF(F1927 = "Vara", IFERROR(_xlfn.SINGLE(_xlfn.XLOOKUP(G1927, Vöruskrá!A:A, Vöruskrá!E:E, "")), ""), IF(F1927 = "Réttur", IFERROR(_xlfn.SINGLE(_xlfn.XLOOKUP(G1927, Réttabanki!A:A, Réttabanki!AS:AS, "")), ""), "")))</f>
        <v/>
      </c>
      <c r="M1927" s="26" t="str">
        <f>IF(OR(F1927 = "", G1927 = ""), "", IF(F1927 = "Vara", IFERROR(_xlfn.SINGLE(_xlfn.XLOOKUP(G1927, Vöruskrá!A:A, Vöruskrá!F:F, "")), ""), IF(F1927 = "Réttur", IFERROR(_xlfn.SINGLE(_xlfn.XLOOKUP(G1927, Réttabanki!A:A, Réttabanki!AT:AT, "")), ""), "")))</f>
        <v/>
      </c>
      <c r="N1927" s="26" t="str">
        <f>IF(OR(F1927 = "", G1927 = ""), "", IF(F1927 = "Vara", IFERROR(_xlfn.SINGLE(_xlfn.XLOOKUP(G1927, Vöruskrá!A:A, Vöruskrá!G:G, "")), ""), IF(F1927 = "Réttur", IFERROR(_xlfn.SINGLE(_xlfn.XLOOKUP(G1927, Réttabanki!A:A, Réttabanki!AU:AU, "")), ""), "")))</f>
        <v/>
      </c>
      <c r="O1927" s="26" t="str">
        <f>IF(OR(F1927 = "", G1927 = "", I1927 = ""), "", IF(F1927 = "Vara", IFERROR(_xlfn.SINGLE(_xlfn.XLOOKUP(G1927, Vöruskrá!A:A, Vöruskrá!I:I, "")) * I1927 / 100, ""), IF(F1927 = "Réttur", IFERROR(_xlfn.SINGLE(_xlfn.XLOOKUP(G1927, Réttabanki!A:A, Réttabanki!AV:AV, "")) * I1927 / 100, ""), "")))</f>
        <v/>
      </c>
      <c r="P1927" s="26" t="str">
        <f>IF(OR(F1927 = "", G1927 = "", I1927 = ""), "", IF(F1927 = "Vara", IFERROR(_xlfn.SINGLE(_xlfn.XLOOKUP(G1927, Vöruskrá!A:A, Vöruskrá!J:J, "")) * I1927 / 100, ""), IF(F1927 = "Réttur", IFERROR(_xlfn.SINGLE(_xlfn.XLOOKUP(G1927, Réttabanki!A:A, Réttabanki!AW:AW, "")) * I1927 / 100, ""), "")))</f>
        <v/>
      </c>
      <c r="Q1927" s="26" t="str">
        <f>IF(OR(F1927 = "", G1927 = "", I1927 = ""), "", IF(F1927 = "Vara", IFERROR(_xlfn.SINGLE(_xlfn.XLOOKUP(G1927, Vöruskrá!A:A, Vöruskrá!N:N, "")) * I1927 / 100, ""), IF(F1927 = "Réttur", IFERROR(_xlfn.SINGLE(_xlfn.XLOOKUP(G1927, Réttabanki!A:A, Réttabanki!BB:BB, "")) * I1927 / 100, ""), "")))</f>
        <v/>
      </c>
    </row>
    <row r="1928" spans="2:17">
      <c r="B1928" s="33" t="str">
        <f>IF(A1928&lt;&gt;"",CHOOSE(WEEKDAY(A1928,2),"Mánudagur","Þriðjudagur","Miðvikudagur","Fimmtudagur","Föstudagur","Laugardagur","Sunnudagur"),IF(B1927&lt;&gt;"",B1927,""))</f>
        <v>Fimmtudagur</v>
      </c>
      <c r="C1928" s="33">
        <f>IF(A1928&lt;&gt;"",WEEKNUM(A1928,21),IF(C1927&lt;&gt;"",C1927,""))</f>
        <v>27</v>
      </c>
      <c r="D1928" s="34"/>
      <c r="E1928" s="34"/>
      <c r="F1928" s="34"/>
      <c r="G1928" s="34"/>
      <c r="H1928" s="34"/>
      <c r="I1928" s="35"/>
      <c r="J1928" s="35"/>
      <c r="K1928" s="36"/>
      <c r="L1928" s="26" t="str">
        <f>IF(OR(F1928 = "", G1928 = ""), "", IF(F1928 = "Vara", IFERROR(_xlfn.SINGLE(_xlfn.XLOOKUP(G1928, Vöruskrá!A:A, Vöruskrá!E:E, "")), ""), IF(F1928 = "Réttur", IFERROR(_xlfn.SINGLE(_xlfn.XLOOKUP(G1928, Réttabanki!A:A, Réttabanki!AS:AS, "")), ""), "")))</f>
        <v/>
      </c>
      <c r="M1928" s="26" t="str">
        <f>IF(OR(F1928 = "", G1928 = ""), "", IF(F1928 = "Vara", IFERROR(_xlfn.SINGLE(_xlfn.XLOOKUP(G1928, Vöruskrá!A:A, Vöruskrá!F:F, "")), ""), IF(F1928 = "Réttur", IFERROR(_xlfn.SINGLE(_xlfn.XLOOKUP(G1928, Réttabanki!A:A, Réttabanki!AT:AT, "")), ""), "")))</f>
        <v/>
      </c>
      <c r="N1928" s="26" t="str">
        <f>IF(OR(F1928 = "", G1928 = ""), "", IF(F1928 = "Vara", IFERROR(_xlfn.SINGLE(_xlfn.XLOOKUP(G1928, Vöruskrá!A:A, Vöruskrá!G:G, "")), ""), IF(F1928 = "Réttur", IFERROR(_xlfn.SINGLE(_xlfn.XLOOKUP(G1928, Réttabanki!A:A, Réttabanki!AU:AU, "")), ""), "")))</f>
        <v/>
      </c>
      <c r="O1928" s="26" t="str">
        <f>IF(OR(F1928 = "", G1928 = "", I1928 = ""), "", IF(F1928 = "Vara", IFERROR(_xlfn.SINGLE(_xlfn.XLOOKUP(G1928, Vöruskrá!A:A, Vöruskrá!I:I, "")) * I1928 / 100, ""), IF(F1928 = "Réttur", IFERROR(_xlfn.SINGLE(_xlfn.XLOOKUP(G1928, Réttabanki!A:A, Réttabanki!AV:AV, "")) * I1928 / 100, ""), "")))</f>
        <v/>
      </c>
      <c r="P1928" s="26" t="str">
        <f>IF(OR(F1928 = "", G1928 = "", I1928 = ""), "", IF(F1928 = "Vara", IFERROR(_xlfn.SINGLE(_xlfn.XLOOKUP(G1928, Vöruskrá!A:A, Vöruskrá!J:J, "")) * I1928 / 100, ""), IF(F1928 = "Réttur", IFERROR(_xlfn.SINGLE(_xlfn.XLOOKUP(G1928, Réttabanki!A:A, Réttabanki!AW:AW, "")) * I1928 / 100, ""), "")))</f>
        <v/>
      </c>
      <c r="Q1928" s="26" t="str">
        <f>IF(OR(F1928 = "", G1928 = "", I1928 = ""), "", IF(F1928 = "Vara", IFERROR(_xlfn.SINGLE(_xlfn.XLOOKUP(G1928, Vöruskrá!A:A, Vöruskrá!N:N, "")) * I1928 / 100, ""), IF(F1928 = "Réttur", IFERROR(_xlfn.SINGLE(_xlfn.XLOOKUP(G1928, Réttabanki!A:A, Réttabanki!BB:BB, "")) * I1928 / 100, ""), "")))</f>
        <v/>
      </c>
    </row>
    <row r="1929" spans="2:17">
      <c r="B1929" s="33" t="str">
        <f>IF(A1929&lt;&gt;"",CHOOSE(WEEKDAY(A1929,2),"Mánudagur","Þriðjudagur","Miðvikudagur","Fimmtudagur","Föstudagur","Laugardagur","Sunnudagur"),IF(B1928&lt;&gt;"",B1928,""))</f>
        <v>Fimmtudagur</v>
      </c>
      <c r="C1929" s="33">
        <f>IF(A1929&lt;&gt;"",WEEKNUM(A1929,21),IF(C1928&lt;&gt;"",C1928,""))</f>
        <v>27</v>
      </c>
      <c r="D1929" s="34"/>
      <c r="E1929" s="34"/>
      <c r="F1929" s="34"/>
      <c r="G1929" s="34"/>
      <c r="H1929" s="34"/>
      <c r="I1929" s="35"/>
      <c r="J1929" s="35"/>
      <c r="K1929" s="36"/>
      <c r="L1929" s="26" t="str">
        <f>IF(OR(F1929 = "", G1929 = ""), "", IF(F1929 = "Vara", IFERROR(_xlfn.SINGLE(_xlfn.XLOOKUP(G1929, Vöruskrá!A:A, Vöruskrá!E:E, "")), ""), IF(F1929 = "Réttur", IFERROR(_xlfn.SINGLE(_xlfn.XLOOKUP(G1929, Réttabanki!A:A, Réttabanki!AS:AS, "")), ""), "")))</f>
        <v/>
      </c>
      <c r="M1929" s="26" t="str">
        <f>IF(OR(F1929 = "", G1929 = ""), "", IF(F1929 = "Vara", IFERROR(_xlfn.SINGLE(_xlfn.XLOOKUP(G1929, Vöruskrá!A:A, Vöruskrá!F:F, "")), ""), IF(F1929 = "Réttur", IFERROR(_xlfn.SINGLE(_xlfn.XLOOKUP(G1929, Réttabanki!A:A, Réttabanki!AT:AT, "")), ""), "")))</f>
        <v/>
      </c>
      <c r="N1929" s="26" t="str">
        <f>IF(OR(F1929 = "", G1929 = ""), "", IF(F1929 = "Vara", IFERROR(_xlfn.SINGLE(_xlfn.XLOOKUP(G1929, Vöruskrá!A:A, Vöruskrá!G:G, "")), ""), IF(F1929 = "Réttur", IFERROR(_xlfn.SINGLE(_xlfn.XLOOKUP(G1929, Réttabanki!A:A, Réttabanki!AU:AU, "")), ""), "")))</f>
        <v/>
      </c>
      <c r="O1929" s="26" t="str">
        <f>IF(OR(F1929 = "", G1929 = "", I1929 = ""), "", IF(F1929 = "Vara", IFERROR(_xlfn.SINGLE(_xlfn.XLOOKUP(G1929, Vöruskrá!A:A, Vöruskrá!I:I, "")) * I1929 / 100, ""), IF(F1929 = "Réttur", IFERROR(_xlfn.SINGLE(_xlfn.XLOOKUP(G1929, Réttabanki!A:A, Réttabanki!AV:AV, "")) * I1929 / 100, ""), "")))</f>
        <v/>
      </c>
      <c r="P1929" s="26" t="str">
        <f>IF(OR(F1929 = "", G1929 = "", I1929 = ""), "", IF(F1929 = "Vara", IFERROR(_xlfn.SINGLE(_xlfn.XLOOKUP(G1929, Vöruskrá!A:A, Vöruskrá!J:J, "")) * I1929 / 100, ""), IF(F1929 = "Réttur", IFERROR(_xlfn.SINGLE(_xlfn.XLOOKUP(G1929, Réttabanki!A:A, Réttabanki!AW:AW, "")) * I1929 / 100, ""), "")))</f>
        <v/>
      </c>
      <c r="Q1929" s="26" t="str">
        <f>IF(OR(F1929 = "", G1929 = "", I1929 = ""), "", IF(F1929 = "Vara", IFERROR(_xlfn.SINGLE(_xlfn.XLOOKUP(G1929, Vöruskrá!A:A, Vöruskrá!N:N, "")) * I1929 / 100, ""), IF(F1929 = "Réttur", IFERROR(_xlfn.SINGLE(_xlfn.XLOOKUP(G1929, Réttabanki!A:A, Réttabanki!BB:BB, "")) * I1929 / 100, ""), "")))</f>
        <v/>
      </c>
    </row>
    <row r="1930" spans="2:17">
      <c r="B1930" s="33" t="str">
        <f>IF(A1930&lt;&gt;"",CHOOSE(WEEKDAY(A1930,2),"Mánudagur","Þriðjudagur","Miðvikudagur","Fimmtudagur","Föstudagur","Laugardagur","Sunnudagur"),IF(B1929&lt;&gt;"",B1929,""))</f>
        <v>Fimmtudagur</v>
      </c>
      <c r="C1930" s="33">
        <f>IF(A1930&lt;&gt;"",WEEKNUM(A1930,21),IF(C1929&lt;&gt;"",C1929,""))</f>
        <v>27</v>
      </c>
      <c r="D1930" s="34"/>
      <c r="E1930" s="34"/>
      <c r="F1930" s="34"/>
      <c r="G1930" s="34"/>
      <c r="H1930" s="34"/>
      <c r="I1930" s="35"/>
      <c r="J1930" s="35"/>
      <c r="K1930" s="36"/>
      <c r="L1930" s="26" t="str">
        <f>IF(OR(F1930 = "", G1930 = ""), "", IF(F1930 = "Vara", IFERROR(_xlfn.SINGLE(_xlfn.XLOOKUP(G1930, Vöruskrá!A:A, Vöruskrá!E:E, "")), ""), IF(F1930 = "Réttur", IFERROR(_xlfn.SINGLE(_xlfn.XLOOKUP(G1930, Réttabanki!A:A, Réttabanki!AS:AS, "")), ""), "")))</f>
        <v/>
      </c>
      <c r="M1930" s="26" t="str">
        <f>IF(OR(F1930 = "", G1930 = ""), "", IF(F1930 = "Vara", IFERROR(_xlfn.SINGLE(_xlfn.XLOOKUP(G1930, Vöruskrá!A:A, Vöruskrá!F:F, "")), ""), IF(F1930 = "Réttur", IFERROR(_xlfn.SINGLE(_xlfn.XLOOKUP(G1930, Réttabanki!A:A, Réttabanki!AT:AT, "")), ""), "")))</f>
        <v/>
      </c>
      <c r="N1930" s="26" t="str">
        <f>IF(OR(F1930 = "", G1930 = ""), "", IF(F1930 = "Vara", IFERROR(_xlfn.SINGLE(_xlfn.XLOOKUP(G1930, Vöruskrá!A:A, Vöruskrá!G:G, "")), ""), IF(F1930 = "Réttur", IFERROR(_xlfn.SINGLE(_xlfn.XLOOKUP(G1930, Réttabanki!A:A, Réttabanki!AU:AU, "")), ""), "")))</f>
        <v/>
      </c>
      <c r="O1930" s="26" t="str">
        <f>IF(OR(F1930 = "", G1930 = "", I1930 = ""), "", IF(F1930 = "Vara", IFERROR(_xlfn.SINGLE(_xlfn.XLOOKUP(G1930, Vöruskrá!A:A, Vöruskrá!I:I, "")) * I1930 / 100, ""), IF(F1930 = "Réttur", IFERROR(_xlfn.SINGLE(_xlfn.XLOOKUP(G1930, Réttabanki!A:A, Réttabanki!AV:AV, "")) * I1930 / 100, ""), "")))</f>
        <v/>
      </c>
      <c r="P1930" s="26" t="str">
        <f>IF(OR(F1930 = "", G1930 = "", I1930 = ""), "", IF(F1930 = "Vara", IFERROR(_xlfn.SINGLE(_xlfn.XLOOKUP(G1930, Vöruskrá!A:A, Vöruskrá!J:J, "")) * I1930 / 100, ""), IF(F1930 = "Réttur", IFERROR(_xlfn.SINGLE(_xlfn.XLOOKUP(G1930, Réttabanki!A:A, Réttabanki!AW:AW, "")) * I1930 / 100, ""), "")))</f>
        <v/>
      </c>
      <c r="Q1930" s="26" t="str">
        <f>IF(OR(F1930 = "", G1930 = "", I1930 = ""), "", IF(F1930 = "Vara", IFERROR(_xlfn.SINGLE(_xlfn.XLOOKUP(G1930, Vöruskrá!A:A, Vöruskrá!N:N, "")) * I1930 / 100, ""), IF(F1930 = "Réttur", IFERROR(_xlfn.SINGLE(_xlfn.XLOOKUP(G1930, Réttabanki!A:A, Réttabanki!BB:BB, "")) * I1930 / 100, ""), "")))</f>
        <v/>
      </c>
    </row>
    <row r="1931" spans="2:17">
      <c r="B1931" s="33" t="str">
        <f>IF(A1931&lt;&gt;"",CHOOSE(WEEKDAY(A1931,2),"Mánudagur","Þriðjudagur","Miðvikudagur","Fimmtudagur","Föstudagur","Laugardagur","Sunnudagur"),IF(B1930&lt;&gt;"",B1930,""))</f>
        <v>Fimmtudagur</v>
      </c>
      <c r="C1931" s="33">
        <f>IF(A1931&lt;&gt;"",WEEKNUM(A1931,21),IF(C1930&lt;&gt;"",C1930,""))</f>
        <v>27</v>
      </c>
      <c r="D1931" s="34"/>
      <c r="E1931" s="34"/>
      <c r="F1931" s="34"/>
      <c r="G1931" s="34"/>
      <c r="H1931" s="34"/>
      <c r="I1931" s="35"/>
      <c r="J1931" s="35"/>
      <c r="K1931" s="36"/>
      <c r="L1931" s="26" t="str">
        <f>IF(OR(F1931 = "", G1931 = ""), "", IF(F1931 = "Vara", IFERROR(_xlfn.SINGLE(_xlfn.XLOOKUP(G1931, Vöruskrá!A:A, Vöruskrá!E:E, "")), ""), IF(F1931 = "Réttur", IFERROR(_xlfn.SINGLE(_xlfn.XLOOKUP(G1931, Réttabanki!A:A, Réttabanki!AS:AS, "")), ""), "")))</f>
        <v/>
      </c>
      <c r="M1931" s="26" t="str">
        <f>IF(OR(F1931 = "", G1931 = ""), "", IF(F1931 = "Vara", IFERROR(_xlfn.SINGLE(_xlfn.XLOOKUP(G1931, Vöruskrá!A:A, Vöruskrá!F:F, "")), ""), IF(F1931 = "Réttur", IFERROR(_xlfn.SINGLE(_xlfn.XLOOKUP(G1931, Réttabanki!A:A, Réttabanki!AT:AT, "")), ""), "")))</f>
        <v/>
      </c>
      <c r="N1931" s="26" t="str">
        <f>IF(OR(F1931 = "", G1931 = ""), "", IF(F1931 = "Vara", IFERROR(_xlfn.SINGLE(_xlfn.XLOOKUP(G1931, Vöruskrá!A:A, Vöruskrá!G:G, "")), ""), IF(F1931 = "Réttur", IFERROR(_xlfn.SINGLE(_xlfn.XLOOKUP(G1931, Réttabanki!A:A, Réttabanki!AU:AU, "")), ""), "")))</f>
        <v/>
      </c>
      <c r="O1931" s="26" t="str">
        <f>IF(OR(F1931 = "", G1931 = "", I1931 = ""), "", IF(F1931 = "Vara", IFERROR(_xlfn.SINGLE(_xlfn.XLOOKUP(G1931, Vöruskrá!A:A, Vöruskrá!I:I, "")) * I1931 / 100, ""), IF(F1931 = "Réttur", IFERROR(_xlfn.SINGLE(_xlfn.XLOOKUP(G1931, Réttabanki!A:A, Réttabanki!AV:AV, "")) * I1931 / 100, ""), "")))</f>
        <v/>
      </c>
      <c r="P1931" s="26" t="str">
        <f>IF(OR(F1931 = "", G1931 = "", I1931 = ""), "", IF(F1931 = "Vara", IFERROR(_xlfn.SINGLE(_xlfn.XLOOKUP(G1931, Vöruskrá!A:A, Vöruskrá!J:J, "")) * I1931 / 100, ""), IF(F1931 = "Réttur", IFERROR(_xlfn.SINGLE(_xlfn.XLOOKUP(G1931, Réttabanki!A:A, Réttabanki!AW:AW, "")) * I1931 / 100, ""), "")))</f>
        <v/>
      </c>
      <c r="Q1931" s="26" t="str">
        <f>IF(OR(F1931 = "", G1931 = "", I1931 = ""), "", IF(F1931 = "Vara", IFERROR(_xlfn.SINGLE(_xlfn.XLOOKUP(G1931, Vöruskrá!A:A, Vöruskrá!N:N, "")) * I1931 / 100, ""), IF(F1931 = "Réttur", IFERROR(_xlfn.SINGLE(_xlfn.XLOOKUP(G1931, Réttabanki!A:A, Réttabanki!BB:BB, "")) * I1931 / 100, ""), "")))</f>
        <v/>
      </c>
    </row>
    <row r="1932" spans="2:17">
      <c r="B1932" s="33" t="str">
        <f>IF(A1932&lt;&gt;"",CHOOSE(WEEKDAY(A1932,2),"Mánudagur","Þriðjudagur","Miðvikudagur","Fimmtudagur","Föstudagur","Laugardagur","Sunnudagur"),IF(B1931&lt;&gt;"",B1931,""))</f>
        <v>Fimmtudagur</v>
      </c>
      <c r="C1932" s="33">
        <f>IF(A1932&lt;&gt;"",WEEKNUM(A1932,21),IF(C1931&lt;&gt;"",C1931,""))</f>
        <v>27</v>
      </c>
      <c r="D1932" s="34"/>
      <c r="E1932" s="34"/>
      <c r="F1932" s="34"/>
      <c r="G1932" s="34"/>
      <c r="H1932" s="34"/>
      <c r="I1932" s="35"/>
      <c r="J1932" s="35"/>
      <c r="K1932" s="36"/>
      <c r="L1932" s="26" t="str">
        <f>IF(OR(F1932 = "", G1932 = ""), "", IF(F1932 = "Vara", IFERROR(_xlfn.SINGLE(_xlfn.XLOOKUP(G1932, Vöruskrá!A:A, Vöruskrá!E:E, "")), ""), IF(F1932 = "Réttur", IFERROR(_xlfn.SINGLE(_xlfn.XLOOKUP(G1932, Réttabanki!A:A, Réttabanki!AS:AS, "")), ""), "")))</f>
        <v/>
      </c>
      <c r="M1932" s="26" t="str">
        <f>IF(OR(F1932 = "", G1932 = ""), "", IF(F1932 = "Vara", IFERROR(_xlfn.SINGLE(_xlfn.XLOOKUP(G1932, Vöruskrá!A:A, Vöruskrá!F:F, "")), ""), IF(F1932 = "Réttur", IFERROR(_xlfn.SINGLE(_xlfn.XLOOKUP(G1932, Réttabanki!A:A, Réttabanki!AT:AT, "")), ""), "")))</f>
        <v/>
      </c>
      <c r="N1932" s="26" t="str">
        <f>IF(OR(F1932 = "", G1932 = ""), "", IF(F1932 = "Vara", IFERROR(_xlfn.SINGLE(_xlfn.XLOOKUP(G1932, Vöruskrá!A:A, Vöruskrá!G:G, "")), ""), IF(F1932 = "Réttur", IFERROR(_xlfn.SINGLE(_xlfn.XLOOKUP(G1932, Réttabanki!A:A, Réttabanki!AU:AU, "")), ""), "")))</f>
        <v/>
      </c>
      <c r="O1932" s="26" t="str">
        <f>IF(OR(F1932 = "", G1932 = "", I1932 = ""), "", IF(F1932 = "Vara", IFERROR(_xlfn.SINGLE(_xlfn.XLOOKUP(G1932, Vöruskrá!A:A, Vöruskrá!I:I, "")) * I1932 / 100, ""), IF(F1932 = "Réttur", IFERROR(_xlfn.SINGLE(_xlfn.XLOOKUP(G1932, Réttabanki!A:A, Réttabanki!AV:AV, "")) * I1932 / 100, ""), "")))</f>
        <v/>
      </c>
      <c r="P1932" s="26" t="str">
        <f>IF(OR(F1932 = "", G1932 = "", I1932 = ""), "", IF(F1932 = "Vara", IFERROR(_xlfn.SINGLE(_xlfn.XLOOKUP(G1932, Vöruskrá!A:A, Vöruskrá!J:J, "")) * I1932 / 100, ""), IF(F1932 = "Réttur", IFERROR(_xlfn.SINGLE(_xlfn.XLOOKUP(G1932, Réttabanki!A:A, Réttabanki!AW:AW, "")) * I1932 / 100, ""), "")))</f>
        <v/>
      </c>
      <c r="Q1932" s="26" t="str">
        <f>IF(OR(F1932 = "", G1932 = "", I1932 = ""), "", IF(F1932 = "Vara", IFERROR(_xlfn.SINGLE(_xlfn.XLOOKUP(G1932, Vöruskrá!A:A, Vöruskrá!N:N, "")) * I1932 / 100, ""), IF(F1932 = "Réttur", IFERROR(_xlfn.SINGLE(_xlfn.XLOOKUP(G1932, Réttabanki!A:A, Réttabanki!BB:BB, "")) * I1932 / 100, ""), "")))</f>
        <v/>
      </c>
    </row>
    <row r="1933" spans="2:17">
      <c r="B1933" s="33" t="str">
        <f>IF(A1933&lt;&gt;"",CHOOSE(WEEKDAY(A1933,2),"Mánudagur","Þriðjudagur","Miðvikudagur","Fimmtudagur","Föstudagur","Laugardagur","Sunnudagur"),IF(B1932&lt;&gt;"",B1932,""))</f>
        <v>Fimmtudagur</v>
      </c>
      <c r="C1933" s="33">
        <f>IF(A1933&lt;&gt;"",WEEKNUM(A1933,21),IF(C1932&lt;&gt;"",C1932,""))</f>
        <v>27</v>
      </c>
      <c r="D1933" s="34"/>
      <c r="E1933" s="34"/>
      <c r="F1933" s="34"/>
      <c r="G1933" s="34"/>
      <c r="H1933" s="34"/>
      <c r="I1933" s="35"/>
      <c r="J1933" s="35"/>
      <c r="K1933" s="36"/>
      <c r="L1933" s="26" t="str">
        <f>IF(OR(F1933 = "", G1933 = ""), "", IF(F1933 = "Vara", IFERROR(_xlfn.SINGLE(_xlfn.XLOOKUP(G1933, Vöruskrá!A:A, Vöruskrá!E:E, "")), ""), IF(F1933 = "Réttur", IFERROR(_xlfn.SINGLE(_xlfn.XLOOKUP(G1933, Réttabanki!A:A, Réttabanki!AS:AS, "")), ""), "")))</f>
        <v/>
      </c>
      <c r="M1933" s="26" t="str">
        <f>IF(OR(F1933 = "", G1933 = ""), "", IF(F1933 = "Vara", IFERROR(_xlfn.SINGLE(_xlfn.XLOOKUP(G1933, Vöruskrá!A:A, Vöruskrá!F:F, "")), ""), IF(F1933 = "Réttur", IFERROR(_xlfn.SINGLE(_xlfn.XLOOKUP(G1933, Réttabanki!A:A, Réttabanki!AT:AT, "")), ""), "")))</f>
        <v/>
      </c>
      <c r="N1933" s="26" t="str">
        <f>IF(OR(F1933 = "", G1933 = ""), "", IF(F1933 = "Vara", IFERROR(_xlfn.SINGLE(_xlfn.XLOOKUP(G1933, Vöruskrá!A:A, Vöruskrá!G:G, "")), ""), IF(F1933 = "Réttur", IFERROR(_xlfn.SINGLE(_xlfn.XLOOKUP(G1933, Réttabanki!A:A, Réttabanki!AU:AU, "")), ""), "")))</f>
        <v/>
      </c>
      <c r="O1933" s="26" t="str">
        <f>IF(OR(F1933 = "", G1933 = "", I1933 = ""), "", IF(F1933 = "Vara", IFERROR(_xlfn.SINGLE(_xlfn.XLOOKUP(G1933, Vöruskrá!A:A, Vöruskrá!I:I, "")) * I1933 / 100, ""), IF(F1933 = "Réttur", IFERROR(_xlfn.SINGLE(_xlfn.XLOOKUP(G1933, Réttabanki!A:A, Réttabanki!AV:AV, "")) * I1933 / 100, ""), "")))</f>
        <v/>
      </c>
      <c r="P1933" s="26" t="str">
        <f>IF(OR(F1933 = "", G1933 = "", I1933 = ""), "", IF(F1933 = "Vara", IFERROR(_xlfn.SINGLE(_xlfn.XLOOKUP(G1933, Vöruskrá!A:A, Vöruskrá!J:J, "")) * I1933 / 100, ""), IF(F1933 = "Réttur", IFERROR(_xlfn.SINGLE(_xlfn.XLOOKUP(G1933, Réttabanki!A:A, Réttabanki!AW:AW, "")) * I1933 / 100, ""), "")))</f>
        <v/>
      </c>
      <c r="Q1933" s="26" t="str">
        <f>IF(OR(F1933 = "", G1933 = "", I1933 = ""), "", IF(F1933 = "Vara", IFERROR(_xlfn.SINGLE(_xlfn.XLOOKUP(G1933, Vöruskrá!A:A, Vöruskrá!N:N, "")) * I1933 / 100, ""), IF(F1933 = "Réttur", IFERROR(_xlfn.SINGLE(_xlfn.XLOOKUP(G1933, Réttabanki!A:A, Réttabanki!BB:BB, "")) * I1933 / 100, ""), "")))</f>
        <v/>
      </c>
    </row>
    <row r="1934" spans="2:17">
      <c r="B1934" s="33" t="str">
        <f>IF(A1934&lt;&gt;"",CHOOSE(WEEKDAY(A1934,2),"Mánudagur","Þriðjudagur","Miðvikudagur","Fimmtudagur","Föstudagur","Laugardagur","Sunnudagur"),IF(B1933&lt;&gt;"",B1933,""))</f>
        <v>Fimmtudagur</v>
      </c>
      <c r="C1934" s="33">
        <f>IF(A1934&lt;&gt;"",WEEKNUM(A1934,21),IF(C1933&lt;&gt;"",C1933,""))</f>
        <v>27</v>
      </c>
      <c r="D1934" s="34"/>
      <c r="E1934" s="34"/>
      <c r="F1934" s="34"/>
      <c r="G1934" s="34"/>
      <c r="H1934" s="34"/>
      <c r="I1934" s="35"/>
      <c r="J1934" s="35"/>
      <c r="K1934" s="36"/>
      <c r="L1934" s="26" t="str">
        <f>IF(OR(F1934 = "", G1934 = ""), "", IF(F1934 = "Vara", IFERROR(_xlfn.SINGLE(_xlfn.XLOOKUP(G1934, Vöruskrá!A:A, Vöruskrá!E:E, "")), ""), IF(F1934 = "Réttur", IFERROR(_xlfn.SINGLE(_xlfn.XLOOKUP(G1934, Réttabanki!A:A, Réttabanki!AS:AS, "")), ""), "")))</f>
        <v/>
      </c>
      <c r="M1934" s="26" t="str">
        <f>IF(OR(F1934 = "", G1934 = ""), "", IF(F1934 = "Vara", IFERROR(_xlfn.SINGLE(_xlfn.XLOOKUP(G1934, Vöruskrá!A:A, Vöruskrá!F:F, "")), ""), IF(F1934 = "Réttur", IFERROR(_xlfn.SINGLE(_xlfn.XLOOKUP(G1934, Réttabanki!A:A, Réttabanki!AT:AT, "")), ""), "")))</f>
        <v/>
      </c>
      <c r="N1934" s="26" t="str">
        <f>IF(OR(F1934 = "", G1934 = ""), "", IF(F1934 = "Vara", IFERROR(_xlfn.SINGLE(_xlfn.XLOOKUP(G1934, Vöruskrá!A:A, Vöruskrá!G:G, "")), ""), IF(F1934 = "Réttur", IFERROR(_xlfn.SINGLE(_xlfn.XLOOKUP(G1934, Réttabanki!A:A, Réttabanki!AU:AU, "")), ""), "")))</f>
        <v/>
      </c>
      <c r="O1934" s="26" t="str">
        <f>IF(OR(F1934 = "", G1934 = "", I1934 = ""), "", IF(F1934 = "Vara", IFERROR(_xlfn.SINGLE(_xlfn.XLOOKUP(G1934, Vöruskrá!A:A, Vöruskrá!I:I, "")) * I1934 / 100, ""), IF(F1934 = "Réttur", IFERROR(_xlfn.SINGLE(_xlfn.XLOOKUP(G1934, Réttabanki!A:A, Réttabanki!AV:AV, "")) * I1934 / 100, ""), "")))</f>
        <v/>
      </c>
      <c r="P1934" s="26" t="str">
        <f>IF(OR(F1934 = "", G1934 = "", I1934 = ""), "", IF(F1934 = "Vara", IFERROR(_xlfn.SINGLE(_xlfn.XLOOKUP(G1934, Vöruskrá!A:A, Vöruskrá!J:J, "")) * I1934 / 100, ""), IF(F1934 = "Réttur", IFERROR(_xlfn.SINGLE(_xlfn.XLOOKUP(G1934, Réttabanki!A:A, Réttabanki!AW:AW, "")) * I1934 / 100, ""), "")))</f>
        <v/>
      </c>
      <c r="Q1934" s="26" t="str">
        <f>IF(OR(F1934 = "", G1934 = "", I1934 = ""), "", IF(F1934 = "Vara", IFERROR(_xlfn.SINGLE(_xlfn.XLOOKUP(G1934, Vöruskrá!A:A, Vöruskrá!N:N, "")) * I1934 / 100, ""), IF(F1934 = "Réttur", IFERROR(_xlfn.SINGLE(_xlfn.XLOOKUP(G1934, Réttabanki!A:A, Réttabanki!BB:BB, "")) * I1934 / 100, ""), "")))</f>
        <v/>
      </c>
    </row>
    <row r="1935" spans="2:17">
      <c r="B1935" s="33" t="str">
        <f>IF(A1935&lt;&gt;"",CHOOSE(WEEKDAY(A1935,2),"Mánudagur","Þriðjudagur","Miðvikudagur","Fimmtudagur","Föstudagur","Laugardagur","Sunnudagur"),IF(B1934&lt;&gt;"",B1934,""))</f>
        <v>Fimmtudagur</v>
      </c>
      <c r="C1935" s="33">
        <f>IF(A1935&lt;&gt;"",WEEKNUM(A1935,21),IF(C1934&lt;&gt;"",C1934,""))</f>
        <v>27</v>
      </c>
      <c r="D1935" s="34"/>
      <c r="E1935" s="34"/>
      <c r="F1935" s="34"/>
      <c r="G1935" s="34"/>
      <c r="H1935" s="34"/>
      <c r="I1935" s="35"/>
      <c r="J1935" s="35"/>
      <c r="K1935" s="36"/>
      <c r="L1935" s="26" t="str">
        <f>IF(OR(F1935 = "", G1935 = ""), "", IF(F1935 = "Vara", IFERROR(_xlfn.SINGLE(_xlfn.XLOOKUP(G1935, Vöruskrá!A:A, Vöruskrá!E:E, "")), ""), IF(F1935 = "Réttur", IFERROR(_xlfn.SINGLE(_xlfn.XLOOKUP(G1935, Réttabanki!A:A, Réttabanki!AS:AS, "")), ""), "")))</f>
        <v/>
      </c>
      <c r="M1935" s="26" t="str">
        <f>IF(OR(F1935 = "", G1935 = ""), "", IF(F1935 = "Vara", IFERROR(_xlfn.SINGLE(_xlfn.XLOOKUP(G1935, Vöruskrá!A:A, Vöruskrá!F:F, "")), ""), IF(F1935 = "Réttur", IFERROR(_xlfn.SINGLE(_xlfn.XLOOKUP(G1935, Réttabanki!A:A, Réttabanki!AT:AT, "")), ""), "")))</f>
        <v/>
      </c>
      <c r="N1935" s="26" t="str">
        <f>IF(OR(F1935 = "", G1935 = ""), "", IF(F1935 = "Vara", IFERROR(_xlfn.SINGLE(_xlfn.XLOOKUP(G1935, Vöruskrá!A:A, Vöruskrá!G:G, "")), ""), IF(F1935 = "Réttur", IFERROR(_xlfn.SINGLE(_xlfn.XLOOKUP(G1935, Réttabanki!A:A, Réttabanki!AU:AU, "")), ""), "")))</f>
        <v/>
      </c>
      <c r="O1935" s="26" t="str">
        <f>IF(OR(F1935 = "", G1935 = "", I1935 = ""), "", IF(F1935 = "Vara", IFERROR(_xlfn.SINGLE(_xlfn.XLOOKUP(G1935, Vöruskrá!A:A, Vöruskrá!I:I, "")) * I1935 / 100, ""), IF(F1935 = "Réttur", IFERROR(_xlfn.SINGLE(_xlfn.XLOOKUP(G1935, Réttabanki!A:A, Réttabanki!AV:AV, "")) * I1935 / 100, ""), "")))</f>
        <v/>
      </c>
      <c r="P1935" s="26" t="str">
        <f>IF(OR(F1935 = "", G1935 = "", I1935 = ""), "", IF(F1935 = "Vara", IFERROR(_xlfn.SINGLE(_xlfn.XLOOKUP(G1935, Vöruskrá!A:A, Vöruskrá!J:J, "")) * I1935 / 100, ""), IF(F1935 = "Réttur", IFERROR(_xlfn.SINGLE(_xlfn.XLOOKUP(G1935, Réttabanki!A:A, Réttabanki!AW:AW, "")) * I1935 / 100, ""), "")))</f>
        <v/>
      </c>
      <c r="Q1935" s="26" t="str">
        <f>IF(OR(F1935 = "", G1935 = "", I1935 = ""), "", IF(F1935 = "Vara", IFERROR(_xlfn.SINGLE(_xlfn.XLOOKUP(G1935, Vöruskrá!A:A, Vöruskrá!N:N, "")) * I1935 / 100, ""), IF(F1935 = "Réttur", IFERROR(_xlfn.SINGLE(_xlfn.XLOOKUP(G1935, Réttabanki!A:A, Réttabanki!BB:BB, "")) * I1935 / 100, ""), "")))</f>
        <v/>
      </c>
    </row>
    <row r="1936" spans="2:17">
      <c r="B1936" s="33" t="str">
        <f>IF(A1936&lt;&gt;"",CHOOSE(WEEKDAY(A1936,2),"Mánudagur","Þriðjudagur","Miðvikudagur","Fimmtudagur","Föstudagur","Laugardagur","Sunnudagur"),IF(B1935&lt;&gt;"",B1935,""))</f>
        <v>Fimmtudagur</v>
      </c>
      <c r="C1936" s="33">
        <f>IF(A1936&lt;&gt;"",WEEKNUM(A1936,21),IF(C1935&lt;&gt;"",C1935,""))</f>
        <v>27</v>
      </c>
      <c r="D1936" s="34"/>
      <c r="E1936" s="34"/>
      <c r="F1936" s="34"/>
      <c r="G1936" s="34"/>
      <c r="H1936" s="34"/>
      <c r="I1936" s="35"/>
      <c r="J1936" s="35"/>
      <c r="K1936" s="36"/>
      <c r="L1936" s="26" t="str">
        <f>IF(OR(F1936 = "", G1936 = ""), "", IF(F1936 = "Vara", IFERROR(_xlfn.SINGLE(_xlfn.XLOOKUP(G1936, Vöruskrá!A:A, Vöruskrá!E:E, "")), ""), IF(F1936 = "Réttur", IFERROR(_xlfn.SINGLE(_xlfn.XLOOKUP(G1936, Réttabanki!A:A, Réttabanki!AS:AS, "")), ""), "")))</f>
        <v/>
      </c>
      <c r="M1936" s="26" t="str">
        <f>IF(OR(F1936 = "", G1936 = ""), "", IF(F1936 = "Vara", IFERROR(_xlfn.SINGLE(_xlfn.XLOOKUP(G1936, Vöruskrá!A:A, Vöruskrá!F:F, "")), ""), IF(F1936 = "Réttur", IFERROR(_xlfn.SINGLE(_xlfn.XLOOKUP(G1936, Réttabanki!A:A, Réttabanki!AT:AT, "")), ""), "")))</f>
        <v/>
      </c>
      <c r="N1936" s="26" t="str">
        <f>IF(OR(F1936 = "", G1936 = ""), "", IF(F1936 = "Vara", IFERROR(_xlfn.SINGLE(_xlfn.XLOOKUP(G1936, Vöruskrá!A:A, Vöruskrá!G:G, "")), ""), IF(F1936 = "Réttur", IFERROR(_xlfn.SINGLE(_xlfn.XLOOKUP(G1936, Réttabanki!A:A, Réttabanki!AU:AU, "")), ""), "")))</f>
        <v/>
      </c>
      <c r="O1936" s="26" t="str">
        <f>IF(OR(F1936 = "", G1936 = "", I1936 = ""), "", IF(F1936 = "Vara", IFERROR(_xlfn.SINGLE(_xlfn.XLOOKUP(G1936, Vöruskrá!A:A, Vöruskrá!I:I, "")) * I1936 / 100, ""), IF(F1936 = "Réttur", IFERROR(_xlfn.SINGLE(_xlfn.XLOOKUP(G1936, Réttabanki!A:A, Réttabanki!AV:AV, "")) * I1936 / 100, ""), "")))</f>
        <v/>
      </c>
      <c r="P1936" s="26" t="str">
        <f>IF(OR(F1936 = "", G1936 = "", I1936 = ""), "", IF(F1936 = "Vara", IFERROR(_xlfn.SINGLE(_xlfn.XLOOKUP(G1936, Vöruskrá!A:A, Vöruskrá!J:J, "")) * I1936 / 100, ""), IF(F1936 = "Réttur", IFERROR(_xlfn.SINGLE(_xlfn.XLOOKUP(G1936, Réttabanki!A:A, Réttabanki!AW:AW, "")) * I1936 / 100, ""), "")))</f>
        <v/>
      </c>
      <c r="Q1936" s="26" t="str">
        <f>IF(OR(F1936 = "", G1936 = "", I1936 = ""), "", IF(F1936 = "Vara", IFERROR(_xlfn.SINGLE(_xlfn.XLOOKUP(G1936, Vöruskrá!A:A, Vöruskrá!N:N, "")) * I1936 / 100, ""), IF(F1936 = "Réttur", IFERROR(_xlfn.SINGLE(_xlfn.XLOOKUP(G1936, Réttabanki!A:A, Réttabanki!BB:BB, "")) * I1936 / 100, ""), "")))</f>
        <v/>
      </c>
    </row>
    <row r="1937" spans="2:17">
      <c r="B1937" s="33" t="str">
        <f>IF(A1937&lt;&gt;"",CHOOSE(WEEKDAY(A1937,2),"Mánudagur","Þriðjudagur","Miðvikudagur","Fimmtudagur","Föstudagur","Laugardagur","Sunnudagur"),IF(B1936&lt;&gt;"",B1936,""))</f>
        <v>Fimmtudagur</v>
      </c>
      <c r="C1937" s="33">
        <f>IF(A1937&lt;&gt;"",WEEKNUM(A1937,21),IF(C1936&lt;&gt;"",C1936,""))</f>
        <v>27</v>
      </c>
      <c r="D1937" s="34"/>
      <c r="E1937" s="34"/>
      <c r="F1937" s="34"/>
      <c r="G1937" s="34"/>
      <c r="H1937" s="34"/>
      <c r="I1937" s="35"/>
      <c r="J1937" s="35"/>
      <c r="K1937" s="36"/>
      <c r="L1937" s="26" t="str">
        <f>IF(OR(F1937 = "", G1937 = ""), "", IF(F1937 = "Vara", IFERROR(_xlfn.SINGLE(_xlfn.XLOOKUP(G1937, Vöruskrá!A:A, Vöruskrá!E:E, "")), ""), IF(F1937 = "Réttur", IFERROR(_xlfn.SINGLE(_xlfn.XLOOKUP(G1937, Réttabanki!A:A, Réttabanki!AS:AS, "")), ""), "")))</f>
        <v/>
      </c>
      <c r="M1937" s="26" t="str">
        <f>IF(OR(F1937 = "", G1937 = ""), "", IF(F1937 = "Vara", IFERROR(_xlfn.SINGLE(_xlfn.XLOOKUP(G1937, Vöruskrá!A:A, Vöruskrá!F:F, "")), ""), IF(F1937 = "Réttur", IFERROR(_xlfn.SINGLE(_xlfn.XLOOKUP(G1937, Réttabanki!A:A, Réttabanki!AT:AT, "")), ""), "")))</f>
        <v/>
      </c>
      <c r="N1937" s="26" t="str">
        <f>IF(OR(F1937 = "", G1937 = ""), "", IF(F1937 = "Vara", IFERROR(_xlfn.SINGLE(_xlfn.XLOOKUP(G1937, Vöruskrá!A:A, Vöruskrá!G:G, "")), ""), IF(F1937 = "Réttur", IFERROR(_xlfn.SINGLE(_xlfn.XLOOKUP(G1937, Réttabanki!A:A, Réttabanki!AU:AU, "")), ""), "")))</f>
        <v/>
      </c>
      <c r="O1937" s="26" t="str">
        <f>IF(OR(F1937 = "", G1937 = "", I1937 = ""), "", IF(F1937 = "Vara", IFERROR(_xlfn.SINGLE(_xlfn.XLOOKUP(G1937, Vöruskrá!A:A, Vöruskrá!I:I, "")) * I1937 / 100, ""), IF(F1937 = "Réttur", IFERROR(_xlfn.SINGLE(_xlfn.XLOOKUP(G1937, Réttabanki!A:A, Réttabanki!AV:AV, "")) * I1937 / 100, ""), "")))</f>
        <v/>
      </c>
      <c r="P1937" s="26" t="str">
        <f>IF(OR(F1937 = "", G1937 = "", I1937 = ""), "", IF(F1937 = "Vara", IFERROR(_xlfn.SINGLE(_xlfn.XLOOKUP(G1937, Vöruskrá!A:A, Vöruskrá!J:J, "")) * I1937 / 100, ""), IF(F1937 = "Réttur", IFERROR(_xlfn.SINGLE(_xlfn.XLOOKUP(G1937, Réttabanki!A:A, Réttabanki!AW:AW, "")) * I1937 / 100, ""), "")))</f>
        <v/>
      </c>
      <c r="Q1937" s="26" t="str">
        <f>IF(OR(F1937 = "", G1937 = "", I1937 = ""), "", IF(F1937 = "Vara", IFERROR(_xlfn.SINGLE(_xlfn.XLOOKUP(G1937, Vöruskrá!A:A, Vöruskrá!N:N, "")) * I1937 / 100, ""), IF(F1937 = "Réttur", IFERROR(_xlfn.SINGLE(_xlfn.XLOOKUP(G1937, Réttabanki!A:A, Réttabanki!BB:BB, "")) * I1937 / 100, ""), "")))</f>
        <v/>
      </c>
    </row>
    <row r="1938" spans="2:17">
      <c r="B1938" s="33" t="str">
        <f>IF(A1938&lt;&gt;"",CHOOSE(WEEKDAY(A1938,2),"Mánudagur","Þriðjudagur","Miðvikudagur","Fimmtudagur","Föstudagur","Laugardagur","Sunnudagur"),IF(B1937&lt;&gt;"",B1937,""))</f>
        <v>Fimmtudagur</v>
      </c>
      <c r="C1938" s="33">
        <f>IF(A1938&lt;&gt;"",WEEKNUM(A1938,21),IF(C1937&lt;&gt;"",C1937,""))</f>
        <v>27</v>
      </c>
      <c r="D1938" s="34"/>
      <c r="E1938" s="34"/>
      <c r="F1938" s="34"/>
      <c r="G1938" s="34"/>
      <c r="H1938" s="34"/>
      <c r="I1938" s="35"/>
      <c r="J1938" s="35"/>
      <c r="K1938" s="36"/>
      <c r="L1938" s="26" t="str">
        <f>IF(OR(F1938 = "", G1938 = ""), "", IF(F1938 = "Vara", IFERROR(_xlfn.SINGLE(_xlfn.XLOOKUP(G1938, Vöruskrá!A:A, Vöruskrá!E:E, "")), ""), IF(F1938 = "Réttur", IFERROR(_xlfn.SINGLE(_xlfn.XLOOKUP(G1938, Réttabanki!A:A, Réttabanki!AS:AS, "")), ""), "")))</f>
        <v/>
      </c>
      <c r="M1938" s="26" t="str">
        <f>IF(OR(F1938 = "", G1938 = ""), "", IF(F1938 = "Vara", IFERROR(_xlfn.SINGLE(_xlfn.XLOOKUP(G1938, Vöruskrá!A:A, Vöruskrá!F:F, "")), ""), IF(F1938 = "Réttur", IFERROR(_xlfn.SINGLE(_xlfn.XLOOKUP(G1938, Réttabanki!A:A, Réttabanki!AT:AT, "")), ""), "")))</f>
        <v/>
      </c>
      <c r="N1938" s="26" t="str">
        <f>IF(OR(F1938 = "", G1938 = ""), "", IF(F1938 = "Vara", IFERROR(_xlfn.SINGLE(_xlfn.XLOOKUP(G1938, Vöruskrá!A:A, Vöruskrá!G:G, "")), ""), IF(F1938 = "Réttur", IFERROR(_xlfn.SINGLE(_xlfn.XLOOKUP(G1938, Réttabanki!A:A, Réttabanki!AU:AU, "")), ""), "")))</f>
        <v/>
      </c>
      <c r="O1938" s="26" t="str">
        <f>IF(OR(F1938 = "", G1938 = "", I1938 = ""), "", IF(F1938 = "Vara", IFERROR(_xlfn.SINGLE(_xlfn.XLOOKUP(G1938, Vöruskrá!A:A, Vöruskrá!I:I, "")) * I1938 / 100, ""), IF(F1938 = "Réttur", IFERROR(_xlfn.SINGLE(_xlfn.XLOOKUP(G1938, Réttabanki!A:A, Réttabanki!AV:AV, "")) * I1938 / 100, ""), "")))</f>
        <v/>
      </c>
      <c r="P1938" s="26" t="str">
        <f>IF(OR(F1938 = "", G1938 = "", I1938 = ""), "", IF(F1938 = "Vara", IFERROR(_xlfn.SINGLE(_xlfn.XLOOKUP(G1938, Vöruskrá!A:A, Vöruskrá!J:J, "")) * I1938 / 100, ""), IF(F1938 = "Réttur", IFERROR(_xlfn.SINGLE(_xlfn.XLOOKUP(G1938, Réttabanki!A:A, Réttabanki!AW:AW, "")) * I1938 / 100, ""), "")))</f>
        <v/>
      </c>
      <c r="Q1938" s="26" t="str">
        <f>IF(OR(F1938 = "", G1938 = "", I1938 = ""), "", IF(F1938 = "Vara", IFERROR(_xlfn.SINGLE(_xlfn.XLOOKUP(G1938, Vöruskrá!A:A, Vöruskrá!N:N, "")) * I1938 / 100, ""), IF(F1938 = "Réttur", IFERROR(_xlfn.SINGLE(_xlfn.XLOOKUP(G1938, Réttabanki!A:A, Réttabanki!BB:BB, "")) * I1938 / 100, ""), "")))</f>
        <v/>
      </c>
    </row>
    <row r="1939" spans="2:17">
      <c r="B1939" s="33" t="str">
        <f>IF(A1939&lt;&gt;"",CHOOSE(WEEKDAY(A1939,2),"Mánudagur","Þriðjudagur","Miðvikudagur","Fimmtudagur","Föstudagur","Laugardagur","Sunnudagur"),IF(B1938&lt;&gt;"",B1938,""))</f>
        <v>Fimmtudagur</v>
      </c>
      <c r="C1939" s="33">
        <f>IF(A1939&lt;&gt;"",WEEKNUM(A1939,21),IF(C1938&lt;&gt;"",C1938,""))</f>
        <v>27</v>
      </c>
      <c r="D1939" s="34"/>
      <c r="E1939" s="34"/>
      <c r="F1939" s="34"/>
      <c r="G1939" s="34"/>
      <c r="H1939" s="34"/>
      <c r="I1939" s="35"/>
      <c r="J1939" s="35"/>
      <c r="K1939" s="36"/>
      <c r="L1939" s="26" t="str">
        <f>IF(OR(F1939 = "", G1939 = ""), "", IF(F1939 = "Vara", IFERROR(_xlfn.SINGLE(_xlfn.XLOOKUP(G1939, Vöruskrá!A:A, Vöruskrá!E:E, "")), ""), IF(F1939 = "Réttur", IFERROR(_xlfn.SINGLE(_xlfn.XLOOKUP(G1939, Réttabanki!A:A, Réttabanki!AS:AS, "")), ""), "")))</f>
        <v/>
      </c>
      <c r="M1939" s="26" t="str">
        <f>IF(OR(F1939 = "", G1939 = ""), "", IF(F1939 = "Vara", IFERROR(_xlfn.SINGLE(_xlfn.XLOOKUP(G1939, Vöruskrá!A:A, Vöruskrá!F:F, "")), ""), IF(F1939 = "Réttur", IFERROR(_xlfn.SINGLE(_xlfn.XLOOKUP(G1939, Réttabanki!A:A, Réttabanki!AT:AT, "")), ""), "")))</f>
        <v/>
      </c>
      <c r="N1939" s="26" t="str">
        <f>IF(OR(F1939 = "", G1939 = ""), "", IF(F1939 = "Vara", IFERROR(_xlfn.SINGLE(_xlfn.XLOOKUP(G1939, Vöruskrá!A:A, Vöruskrá!G:G, "")), ""), IF(F1939 = "Réttur", IFERROR(_xlfn.SINGLE(_xlfn.XLOOKUP(G1939, Réttabanki!A:A, Réttabanki!AU:AU, "")), ""), "")))</f>
        <v/>
      </c>
      <c r="O1939" s="26" t="str">
        <f>IF(OR(F1939 = "", G1939 = "", I1939 = ""), "", IF(F1939 = "Vara", IFERROR(_xlfn.SINGLE(_xlfn.XLOOKUP(G1939, Vöruskrá!A:A, Vöruskrá!I:I, "")) * I1939 / 100, ""), IF(F1939 = "Réttur", IFERROR(_xlfn.SINGLE(_xlfn.XLOOKUP(G1939, Réttabanki!A:A, Réttabanki!AV:AV, "")) * I1939 / 100, ""), "")))</f>
        <v/>
      </c>
      <c r="P1939" s="26" t="str">
        <f>IF(OR(F1939 = "", G1939 = "", I1939 = ""), "", IF(F1939 = "Vara", IFERROR(_xlfn.SINGLE(_xlfn.XLOOKUP(G1939, Vöruskrá!A:A, Vöruskrá!J:J, "")) * I1939 / 100, ""), IF(F1939 = "Réttur", IFERROR(_xlfn.SINGLE(_xlfn.XLOOKUP(G1939, Réttabanki!A:A, Réttabanki!AW:AW, "")) * I1939 / 100, ""), "")))</f>
        <v/>
      </c>
      <c r="Q1939" s="26" t="str">
        <f>IF(OR(F1939 = "", G1939 = "", I1939 = ""), "", IF(F1939 = "Vara", IFERROR(_xlfn.SINGLE(_xlfn.XLOOKUP(G1939, Vöruskrá!A:A, Vöruskrá!N:N, "")) * I1939 / 100, ""), IF(F1939 = "Réttur", IFERROR(_xlfn.SINGLE(_xlfn.XLOOKUP(G1939, Réttabanki!A:A, Réttabanki!BB:BB, "")) * I1939 / 100, ""), "")))</f>
        <v/>
      </c>
    </row>
    <row r="1940" spans="2:17">
      <c r="B1940" s="33" t="str">
        <f>IF(A1940&lt;&gt;"",CHOOSE(WEEKDAY(A1940,2),"Mánudagur","Þriðjudagur","Miðvikudagur","Fimmtudagur","Föstudagur","Laugardagur","Sunnudagur"),IF(B1939&lt;&gt;"",B1939,""))</f>
        <v>Fimmtudagur</v>
      </c>
      <c r="C1940" s="33">
        <f>IF(A1940&lt;&gt;"",WEEKNUM(A1940,21),IF(C1939&lt;&gt;"",C1939,""))</f>
        <v>27</v>
      </c>
      <c r="D1940" s="34"/>
      <c r="E1940" s="34"/>
      <c r="F1940" s="34"/>
      <c r="G1940" s="34"/>
      <c r="H1940" s="34"/>
      <c r="I1940" s="35"/>
      <c r="J1940" s="35"/>
      <c r="K1940" s="36"/>
      <c r="L1940" s="26" t="str">
        <f>IF(OR(F1940 = "", G1940 = ""), "", IF(F1940 = "Vara", IFERROR(_xlfn.SINGLE(_xlfn.XLOOKUP(G1940, Vöruskrá!A:A, Vöruskrá!E:E, "")), ""), IF(F1940 = "Réttur", IFERROR(_xlfn.SINGLE(_xlfn.XLOOKUP(G1940, Réttabanki!A:A, Réttabanki!AS:AS, "")), ""), "")))</f>
        <v/>
      </c>
      <c r="M1940" s="26" t="str">
        <f>IF(OR(F1940 = "", G1940 = ""), "", IF(F1940 = "Vara", IFERROR(_xlfn.SINGLE(_xlfn.XLOOKUP(G1940, Vöruskrá!A:A, Vöruskrá!F:F, "")), ""), IF(F1940 = "Réttur", IFERROR(_xlfn.SINGLE(_xlfn.XLOOKUP(G1940, Réttabanki!A:A, Réttabanki!AT:AT, "")), ""), "")))</f>
        <v/>
      </c>
      <c r="N1940" s="26" t="str">
        <f>IF(OR(F1940 = "", G1940 = ""), "", IF(F1940 = "Vara", IFERROR(_xlfn.SINGLE(_xlfn.XLOOKUP(G1940, Vöruskrá!A:A, Vöruskrá!G:G, "")), ""), IF(F1940 = "Réttur", IFERROR(_xlfn.SINGLE(_xlfn.XLOOKUP(G1940, Réttabanki!A:A, Réttabanki!AU:AU, "")), ""), "")))</f>
        <v/>
      </c>
      <c r="O1940" s="26" t="str">
        <f>IF(OR(F1940 = "", G1940 = "", I1940 = ""), "", IF(F1940 = "Vara", IFERROR(_xlfn.SINGLE(_xlfn.XLOOKUP(G1940, Vöruskrá!A:A, Vöruskrá!I:I, "")) * I1940 / 100, ""), IF(F1940 = "Réttur", IFERROR(_xlfn.SINGLE(_xlfn.XLOOKUP(G1940, Réttabanki!A:A, Réttabanki!AV:AV, "")) * I1940 / 100, ""), "")))</f>
        <v/>
      </c>
      <c r="P1940" s="26" t="str">
        <f>IF(OR(F1940 = "", G1940 = "", I1940 = ""), "", IF(F1940 = "Vara", IFERROR(_xlfn.SINGLE(_xlfn.XLOOKUP(G1940, Vöruskrá!A:A, Vöruskrá!J:J, "")) * I1940 / 100, ""), IF(F1940 = "Réttur", IFERROR(_xlfn.SINGLE(_xlfn.XLOOKUP(G1940, Réttabanki!A:A, Réttabanki!AW:AW, "")) * I1940 / 100, ""), "")))</f>
        <v/>
      </c>
      <c r="Q1940" s="26" t="str">
        <f>IF(OR(F1940 = "", G1940 = "", I1940 = ""), "", IF(F1940 = "Vara", IFERROR(_xlfn.SINGLE(_xlfn.XLOOKUP(G1940, Vöruskrá!A:A, Vöruskrá!N:N, "")) * I1940 / 100, ""), IF(F1940 = "Réttur", IFERROR(_xlfn.SINGLE(_xlfn.XLOOKUP(G1940, Réttabanki!A:A, Réttabanki!BB:BB, "")) * I1940 / 100, ""), "")))</f>
        <v/>
      </c>
    </row>
    <row r="1941" spans="2:17">
      <c r="B1941" s="33" t="str">
        <f>IF(A1941&lt;&gt;"",CHOOSE(WEEKDAY(A1941,2),"Mánudagur","Þriðjudagur","Miðvikudagur","Fimmtudagur","Föstudagur","Laugardagur","Sunnudagur"),IF(B1940&lt;&gt;"",B1940,""))</f>
        <v>Fimmtudagur</v>
      </c>
      <c r="C1941" s="33">
        <f>IF(A1941&lt;&gt;"",WEEKNUM(A1941,21),IF(C1940&lt;&gt;"",C1940,""))</f>
        <v>27</v>
      </c>
      <c r="D1941" s="34"/>
      <c r="E1941" s="34"/>
      <c r="F1941" s="34"/>
      <c r="G1941" s="34"/>
      <c r="H1941" s="34"/>
      <c r="I1941" s="35"/>
      <c r="J1941" s="35"/>
      <c r="K1941" s="36"/>
      <c r="L1941" s="26" t="str">
        <f>IF(OR(F1941 = "", G1941 = ""), "", IF(F1941 = "Vara", IFERROR(_xlfn.SINGLE(_xlfn.XLOOKUP(G1941, Vöruskrá!A:A, Vöruskrá!E:E, "")), ""), IF(F1941 = "Réttur", IFERROR(_xlfn.SINGLE(_xlfn.XLOOKUP(G1941, Réttabanki!A:A, Réttabanki!AS:AS, "")), ""), "")))</f>
        <v/>
      </c>
      <c r="M1941" s="26" t="str">
        <f>IF(OR(F1941 = "", G1941 = ""), "", IF(F1941 = "Vara", IFERROR(_xlfn.SINGLE(_xlfn.XLOOKUP(G1941, Vöruskrá!A:A, Vöruskrá!F:F, "")), ""), IF(F1941 = "Réttur", IFERROR(_xlfn.SINGLE(_xlfn.XLOOKUP(G1941, Réttabanki!A:A, Réttabanki!AT:AT, "")), ""), "")))</f>
        <v/>
      </c>
      <c r="N1941" s="26" t="str">
        <f>IF(OR(F1941 = "", G1941 = ""), "", IF(F1941 = "Vara", IFERROR(_xlfn.SINGLE(_xlfn.XLOOKUP(G1941, Vöruskrá!A:A, Vöruskrá!G:G, "")), ""), IF(F1941 = "Réttur", IFERROR(_xlfn.SINGLE(_xlfn.XLOOKUP(G1941, Réttabanki!A:A, Réttabanki!AU:AU, "")), ""), "")))</f>
        <v/>
      </c>
      <c r="O1941" s="26" t="str">
        <f>IF(OR(F1941 = "", G1941 = "", I1941 = ""), "", IF(F1941 = "Vara", IFERROR(_xlfn.SINGLE(_xlfn.XLOOKUP(G1941, Vöruskrá!A:A, Vöruskrá!I:I, "")) * I1941 / 100, ""), IF(F1941 = "Réttur", IFERROR(_xlfn.SINGLE(_xlfn.XLOOKUP(G1941, Réttabanki!A:A, Réttabanki!AV:AV, "")) * I1941 / 100, ""), "")))</f>
        <v/>
      </c>
      <c r="P1941" s="26" t="str">
        <f>IF(OR(F1941 = "", G1941 = "", I1941 = ""), "", IF(F1941 = "Vara", IFERROR(_xlfn.SINGLE(_xlfn.XLOOKUP(G1941, Vöruskrá!A:A, Vöruskrá!J:J, "")) * I1941 / 100, ""), IF(F1941 = "Réttur", IFERROR(_xlfn.SINGLE(_xlfn.XLOOKUP(G1941, Réttabanki!A:A, Réttabanki!AW:AW, "")) * I1941 / 100, ""), "")))</f>
        <v/>
      </c>
      <c r="Q1941" s="26" t="str">
        <f>IF(OR(F1941 = "", G1941 = "", I1941 = ""), "", IF(F1941 = "Vara", IFERROR(_xlfn.SINGLE(_xlfn.XLOOKUP(G1941, Vöruskrá!A:A, Vöruskrá!N:N, "")) * I1941 / 100, ""), IF(F1941 = "Réttur", IFERROR(_xlfn.SINGLE(_xlfn.XLOOKUP(G1941, Réttabanki!A:A, Réttabanki!BB:BB, "")) * I1941 / 100, ""), "")))</f>
        <v/>
      </c>
    </row>
    <row r="1942" spans="2:17">
      <c r="B1942" s="33" t="str">
        <f>IF(A1942&lt;&gt;"",CHOOSE(WEEKDAY(A1942,2),"Mánudagur","Þriðjudagur","Miðvikudagur","Fimmtudagur","Föstudagur","Laugardagur","Sunnudagur"),IF(B1941&lt;&gt;"",B1941,""))</f>
        <v>Fimmtudagur</v>
      </c>
      <c r="C1942" s="33">
        <f>IF(A1942&lt;&gt;"",WEEKNUM(A1942,21),IF(C1941&lt;&gt;"",C1941,""))</f>
        <v>27</v>
      </c>
      <c r="D1942" s="34"/>
      <c r="E1942" s="34"/>
      <c r="F1942" s="34"/>
      <c r="G1942" s="34"/>
      <c r="H1942" s="34"/>
      <c r="I1942" s="35"/>
      <c r="J1942" s="35"/>
      <c r="K1942" s="36"/>
      <c r="L1942" s="26" t="str">
        <f>IF(OR(F1942 = "", G1942 = ""), "", IF(F1942 = "Vara", IFERROR(_xlfn.SINGLE(_xlfn.XLOOKUP(G1942, Vöruskrá!A:A, Vöruskrá!E:E, "")), ""), IF(F1942 = "Réttur", IFERROR(_xlfn.SINGLE(_xlfn.XLOOKUP(G1942, Réttabanki!A:A, Réttabanki!AS:AS, "")), ""), "")))</f>
        <v/>
      </c>
      <c r="M1942" s="26" t="str">
        <f>IF(OR(F1942 = "", G1942 = ""), "", IF(F1942 = "Vara", IFERROR(_xlfn.SINGLE(_xlfn.XLOOKUP(G1942, Vöruskrá!A:A, Vöruskrá!F:F, "")), ""), IF(F1942 = "Réttur", IFERROR(_xlfn.SINGLE(_xlfn.XLOOKUP(G1942, Réttabanki!A:A, Réttabanki!AT:AT, "")), ""), "")))</f>
        <v/>
      </c>
      <c r="N1942" s="26" t="str">
        <f>IF(OR(F1942 = "", G1942 = ""), "", IF(F1942 = "Vara", IFERROR(_xlfn.SINGLE(_xlfn.XLOOKUP(G1942, Vöruskrá!A:A, Vöruskrá!G:G, "")), ""), IF(F1942 = "Réttur", IFERROR(_xlfn.SINGLE(_xlfn.XLOOKUP(G1942, Réttabanki!A:A, Réttabanki!AU:AU, "")), ""), "")))</f>
        <v/>
      </c>
      <c r="O1942" s="26" t="str">
        <f>IF(OR(F1942 = "", G1942 = "", I1942 = ""), "", IF(F1942 = "Vara", IFERROR(_xlfn.SINGLE(_xlfn.XLOOKUP(G1942, Vöruskrá!A:A, Vöruskrá!I:I, "")) * I1942 / 100, ""), IF(F1942 = "Réttur", IFERROR(_xlfn.SINGLE(_xlfn.XLOOKUP(G1942, Réttabanki!A:A, Réttabanki!AV:AV, "")) * I1942 / 100, ""), "")))</f>
        <v/>
      </c>
      <c r="P1942" s="26" t="str">
        <f>IF(OR(F1942 = "", G1942 = "", I1942 = ""), "", IF(F1942 = "Vara", IFERROR(_xlfn.SINGLE(_xlfn.XLOOKUP(G1942, Vöruskrá!A:A, Vöruskrá!J:J, "")) * I1942 / 100, ""), IF(F1942 = "Réttur", IFERROR(_xlfn.SINGLE(_xlfn.XLOOKUP(G1942, Réttabanki!A:A, Réttabanki!AW:AW, "")) * I1942 / 100, ""), "")))</f>
        <v/>
      </c>
      <c r="Q1942" s="26" t="str">
        <f>IF(OR(F1942 = "", G1942 = "", I1942 = ""), "", IF(F1942 = "Vara", IFERROR(_xlfn.SINGLE(_xlfn.XLOOKUP(G1942, Vöruskrá!A:A, Vöruskrá!N:N, "")) * I1942 / 100, ""), IF(F1942 = "Réttur", IFERROR(_xlfn.SINGLE(_xlfn.XLOOKUP(G1942, Réttabanki!A:A, Réttabanki!BB:BB, "")) * I1942 / 100, ""), "")))</f>
        <v/>
      </c>
    </row>
    <row r="1943" spans="2:17">
      <c r="B1943" s="33" t="str">
        <f>IF(A1943&lt;&gt;"",CHOOSE(WEEKDAY(A1943,2),"Mánudagur","Þriðjudagur","Miðvikudagur","Fimmtudagur","Föstudagur","Laugardagur","Sunnudagur"),IF(B1942&lt;&gt;"",B1942,""))</f>
        <v>Fimmtudagur</v>
      </c>
      <c r="C1943" s="33">
        <f>IF(A1943&lt;&gt;"",WEEKNUM(A1943,21),IF(C1942&lt;&gt;"",C1942,""))</f>
        <v>27</v>
      </c>
      <c r="D1943" s="34"/>
      <c r="E1943" s="34"/>
      <c r="F1943" s="34"/>
      <c r="G1943" s="34"/>
      <c r="H1943" s="34"/>
      <c r="I1943" s="35"/>
      <c r="J1943" s="35"/>
      <c r="K1943" s="36"/>
      <c r="L1943" s="26" t="str">
        <f>IF(OR(F1943 = "", G1943 = ""), "", IF(F1943 = "Vara", IFERROR(_xlfn.SINGLE(_xlfn.XLOOKUP(G1943, Vöruskrá!A:A, Vöruskrá!E:E, "")), ""), IF(F1943 = "Réttur", IFERROR(_xlfn.SINGLE(_xlfn.XLOOKUP(G1943, Réttabanki!A:A, Réttabanki!AS:AS, "")), ""), "")))</f>
        <v/>
      </c>
      <c r="M1943" s="26" t="str">
        <f>IF(OR(F1943 = "", G1943 = ""), "", IF(F1943 = "Vara", IFERROR(_xlfn.SINGLE(_xlfn.XLOOKUP(G1943, Vöruskrá!A:A, Vöruskrá!F:F, "")), ""), IF(F1943 = "Réttur", IFERROR(_xlfn.SINGLE(_xlfn.XLOOKUP(G1943, Réttabanki!A:A, Réttabanki!AT:AT, "")), ""), "")))</f>
        <v/>
      </c>
      <c r="N1943" s="26" t="str">
        <f>IF(OR(F1943 = "", G1943 = ""), "", IF(F1943 = "Vara", IFERROR(_xlfn.SINGLE(_xlfn.XLOOKUP(G1943, Vöruskrá!A:A, Vöruskrá!G:G, "")), ""), IF(F1943 = "Réttur", IFERROR(_xlfn.SINGLE(_xlfn.XLOOKUP(G1943, Réttabanki!A:A, Réttabanki!AU:AU, "")), ""), "")))</f>
        <v/>
      </c>
      <c r="O1943" s="26" t="str">
        <f>IF(OR(F1943 = "", G1943 = "", I1943 = ""), "", IF(F1943 = "Vara", IFERROR(_xlfn.SINGLE(_xlfn.XLOOKUP(G1943, Vöruskrá!A:A, Vöruskrá!I:I, "")) * I1943 / 100, ""), IF(F1943 = "Réttur", IFERROR(_xlfn.SINGLE(_xlfn.XLOOKUP(G1943, Réttabanki!A:A, Réttabanki!AV:AV, "")) * I1943 / 100, ""), "")))</f>
        <v/>
      </c>
      <c r="P1943" s="26" t="str">
        <f>IF(OR(F1943 = "", G1943 = "", I1943 = ""), "", IF(F1943 = "Vara", IFERROR(_xlfn.SINGLE(_xlfn.XLOOKUP(G1943, Vöruskrá!A:A, Vöruskrá!J:J, "")) * I1943 / 100, ""), IF(F1943 = "Réttur", IFERROR(_xlfn.SINGLE(_xlfn.XLOOKUP(G1943, Réttabanki!A:A, Réttabanki!AW:AW, "")) * I1943 / 100, ""), "")))</f>
        <v/>
      </c>
      <c r="Q1943" s="26" t="str">
        <f>IF(OR(F1943 = "", G1943 = "", I1943 = ""), "", IF(F1943 = "Vara", IFERROR(_xlfn.SINGLE(_xlfn.XLOOKUP(G1943, Vöruskrá!A:A, Vöruskrá!N:N, "")) * I1943 / 100, ""), IF(F1943 = "Réttur", IFERROR(_xlfn.SINGLE(_xlfn.XLOOKUP(G1943, Réttabanki!A:A, Réttabanki!BB:BB, "")) * I1943 / 100, ""), "")))</f>
        <v/>
      </c>
    </row>
    <row r="1944" spans="2:17">
      <c r="B1944" s="33" t="str">
        <f>IF(A1944&lt;&gt;"",CHOOSE(WEEKDAY(A1944,2),"Mánudagur","Þriðjudagur","Miðvikudagur","Fimmtudagur","Föstudagur","Laugardagur","Sunnudagur"),IF(B1943&lt;&gt;"",B1943,""))</f>
        <v>Fimmtudagur</v>
      </c>
      <c r="C1944" s="33">
        <f>IF(A1944&lt;&gt;"",WEEKNUM(A1944,21),IF(C1943&lt;&gt;"",C1943,""))</f>
        <v>27</v>
      </c>
      <c r="D1944" s="34"/>
      <c r="E1944" s="34"/>
      <c r="F1944" s="34"/>
      <c r="G1944" s="34"/>
      <c r="H1944" s="34"/>
      <c r="I1944" s="35"/>
      <c r="J1944" s="35"/>
      <c r="K1944" s="36"/>
      <c r="L1944" s="26" t="str">
        <f>IF(OR(F1944 = "", G1944 = ""), "", IF(F1944 = "Vara", IFERROR(_xlfn.SINGLE(_xlfn.XLOOKUP(G1944, Vöruskrá!A:A, Vöruskrá!E:E, "")), ""), IF(F1944 = "Réttur", IFERROR(_xlfn.SINGLE(_xlfn.XLOOKUP(G1944, Réttabanki!A:A, Réttabanki!AS:AS, "")), ""), "")))</f>
        <v/>
      </c>
      <c r="M1944" s="26" t="str">
        <f>IF(OR(F1944 = "", G1944 = ""), "", IF(F1944 = "Vara", IFERROR(_xlfn.SINGLE(_xlfn.XLOOKUP(G1944, Vöruskrá!A:A, Vöruskrá!F:F, "")), ""), IF(F1944 = "Réttur", IFERROR(_xlfn.SINGLE(_xlfn.XLOOKUP(G1944, Réttabanki!A:A, Réttabanki!AT:AT, "")), ""), "")))</f>
        <v/>
      </c>
      <c r="N1944" s="26" t="str">
        <f>IF(OR(F1944 = "", G1944 = ""), "", IF(F1944 = "Vara", IFERROR(_xlfn.SINGLE(_xlfn.XLOOKUP(G1944, Vöruskrá!A:A, Vöruskrá!G:G, "")), ""), IF(F1944 = "Réttur", IFERROR(_xlfn.SINGLE(_xlfn.XLOOKUP(G1944, Réttabanki!A:A, Réttabanki!AU:AU, "")), ""), "")))</f>
        <v/>
      </c>
      <c r="O1944" s="26" t="str">
        <f>IF(OR(F1944 = "", G1944 = "", I1944 = ""), "", IF(F1944 = "Vara", IFERROR(_xlfn.SINGLE(_xlfn.XLOOKUP(G1944, Vöruskrá!A:A, Vöruskrá!I:I, "")) * I1944 / 100, ""), IF(F1944 = "Réttur", IFERROR(_xlfn.SINGLE(_xlfn.XLOOKUP(G1944, Réttabanki!A:A, Réttabanki!AV:AV, "")) * I1944 / 100, ""), "")))</f>
        <v/>
      </c>
      <c r="P1944" s="26" t="str">
        <f>IF(OR(F1944 = "", G1944 = "", I1944 = ""), "", IF(F1944 = "Vara", IFERROR(_xlfn.SINGLE(_xlfn.XLOOKUP(G1944, Vöruskrá!A:A, Vöruskrá!J:J, "")) * I1944 / 100, ""), IF(F1944 = "Réttur", IFERROR(_xlfn.SINGLE(_xlfn.XLOOKUP(G1944, Réttabanki!A:A, Réttabanki!AW:AW, "")) * I1944 / 100, ""), "")))</f>
        <v/>
      </c>
      <c r="Q1944" s="26" t="str">
        <f>IF(OR(F1944 = "", G1944 = "", I1944 = ""), "", IF(F1944 = "Vara", IFERROR(_xlfn.SINGLE(_xlfn.XLOOKUP(G1944, Vöruskrá!A:A, Vöruskrá!N:N, "")) * I1944 / 100, ""), IF(F1944 = "Réttur", IFERROR(_xlfn.SINGLE(_xlfn.XLOOKUP(G1944, Réttabanki!A:A, Réttabanki!BB:BB, "")) * I1944 / 100, ""), "")))</f>
        <v/>
      </c>
    </row>
    <row r="1945" spans="2:17">
      <c r="B1945" s="33" t="str">
        <f>IF(A1945&lt;&gt;"",CHOOSE(WEEKDAY(A1945,2),"Mánudagur","Þriðjudagur","Miðvikudagur","Fimmtudagur","Föstudagur","Laugardagur","Sunnudagur"),IF(B1944&lt;&gt;"",B1944,""))</f>
        <v>Fimmtudagur</v>
      </c>
      <c r="C1945" s="33">
        <f>IF(A1945&lt;&gt;"",WEEKNUM(A1945,21),IF(C1944&lt;&gt;"",C1944,""))</f>
        <v>27</v>
      </c>
      <c r="D1945" s="34"/>
      <c r="E1945" s="34"/>
      <c r="F1945" s="34"/>
      <c r="G1945" s="34"/>
      <c r="H1945" s="34"/>
      <c r="I1945" s="35"/>
      <c r="J1945" s="35"/>
      <c r="K1945" s="36"/>
      <c r="L1945" s="26" t="str">
        <f>IF(OR(F1945 = "", G1945 = ""), "", IF(F1945 = "Vara", IFERROR(_xlfn.SINGLE(_xlfn.XLOOKUP(G1945, Vöruskrá!A:A, Vöruskrá!E:E, "")), ""), IF(F1945 = "Réttur", IFERROR(_xlfn.SINGLE(_xlfn.XLOOKUP(G1945, Réttabanki!A:A, Réttabanki!AS:AS, "")), ""), "")))</f>
        <v/>
      </c>
      <c r="M1945" s="26" t="str">
        <f>IF(OR(F1945 = "", G1945 = ""), "", IF(F1945 = "Vara", IFERROR(_xlfn.SINGLE(_xlfn.XLOOKUP(G1945, Vöruskrá!A:A, Vöruskrá!F:F, "")), ""), IF(F1945 = "Réttur", IFERROR(_xlfn.SINGLE(_xlfn.XLOOKUP(G1945, Réttabanki!A:A, Réttabanki!AT:AT, "")), ""), "")))</f>
        <v/>
      </c>
      <c r="N1945" s="26" t="str">
        <f>IF(OR(F1945 = "", G1945 = ""), "", IF(F1945 = "Vara", IFERROR(_xlfn.SINGLE(_xlfn.XLOOKUP(G1945, Vöruskrá!A:A, Vöruskrá!G:G, "")), ""), IF(F1945 = "Réttur", IFERROR(_xlfn.SINGLE(_xlfn.XLOOKUP(G1945, Réttabanki!A:A, Réttabanki!AU:AU, "")), ""), "")))</f>
        <v/>
      </c>
      <c r="O1945" s="26" t="str">
        <f>IF(OR(F1945 = "", G1945 = "", I1945 = ""), "", IF(F1945 = "Vara", IFERROR(_xlfn.SINGLE(_xlfn.XLOOKUP(G1945, Vöruskrá!A:A, Vöruskrá!I:I, "")) * I1945 / 100, ""), IF(F1945 = "Réttur", IFERROR(_xlfn.SINGLE(_xlfn.XLOOKUP(G1945, Réttabanki!A:A, Réttabanki!AV:AV, "")) * I1945 / 100, ""), "")))</f>
        <v/>
      </c>
      <c r="P1945" s="26" t="str">
        <f>IF(OR(F1945 = "", G1945 = "", I1945 = ""), "", IF(F1945 = "Vara", IFERROR(_xlfn.SINGLE(_xlfn.XLOOKUP(G1945, Vöruskrá!A:A, Vöruskrá!J:J, "")) * I1945 / 100, ""), IF(F1945 = "Réttur", IFERROR(_xlfn.SINGLE(_xlfn.XLOOKUP(G1945, Réttabanki!A:A, Réttabanki!AW:AW, "")) * I1945 / 100, ""), "")))</f>
        <v/>
      </c>
      <c r="Q1945" s="26" t="str">
        <f>IF(OR(F1945 = "", G1945 = "", I1945 = ""), "", IF(F1945 = "Vara", IFERROR(_xlfn.SINGLE(_xlfn.XLOOKUP(G1945, Vöruskrá!A:A, Vöruskrá!N:N, "")) * I1945 / 100, ""), IF(F1945 = "Réttur", IFERROR(_xlfn.SINGLE(_xlfn.XLOOKUP(G1945, Réttabanki!A:A, Réttabanki!BB:BB, "")) * I1945 / 100, ""), "")))</f>
        <v/>
      </c>
    </row>
    <row r="1946" spans="2:17">
      <c r="B1946" s="33" t="str">
        <f>IF(A1946&lt;&gt;"",CHOOSE(WEEKDAY(A1946,2),"Mánudagur","Þriðjudagur","Miðvikudagur","Fimmtudagur","Föstudagur","Laugardagur","Sunnudagur"),IF(B1945&lt;&gt;"",B1945,""))</f>
        <v>Fimmtudagur</v>
      </c>
      <c r="C1946" s="33">
        <f>IF(A1946&lt;&gt;"",WEEKNUM(A1946,21),IF(C1945&lt;&gt;"",C1945,""))</f>
        <v>27</v>
      </c>
      <c r="D1946" s="34"/>
      <c r="E1946" s="34"/>
      <c r="F1946" s="34"/>
      <c r="G1946" s="34"/>
      <c r="H1946" s="34"/>
      <c r="I1946" s="35"/>
      <c r="J1946" s="35"/>
      <c r="K1946" s="36"/>
      <c r="L1946" s="26" t="str">
        <f>IF(OR(F1946 = "", G1946 = ""), "", IF(F1946 = "Vara", IFERROR(_xlfn.SINGLE(_xlfn.XLOOKUP(G1946, Vöruskrá!A:A, Vöruskrá!E:E, "")), ""), IF(F1946 = "Réttur", IFERROR(_xlfn.SINGLE(_xlfn.XLOOKUP(G1946, Réttabanki!A:A, Réttabanki!AS:AS, "")), ""), "")))</f>
        <v/>
      </c>
      <c r="M1946" s="26" t="str">
        <f>IF(OR(F1946 = "", G1946 = ""), "", IF(F1946 = "Vara", IFERROR(_xlfn.SINGLE(_xlfn.XLOOKUP(G1946, Vöruskrá!A:A, Vöruskrá!F:F, "")), ""), IF(F1946 = "Réttur", IFERROR(_xlfn.SINGLE(_xlfn.XLOOKUP(G1946, Réttabanki!A:A, Réttabanki!AT:AT, "")), ""), "")))</f>
        <v/>
      </c>
      <c r="N1946" s="26" t="str">
        <f>IF(OR(F1946 = "", G1946 = ""), "", IF(F1946 = "Vara", IFERROR(_xlfn.SINGLE(_xlfn.XLOOKUP(G1946, Vöruskrá!A:A, Vöruskrá!G:G, "")), ""), IF(F1946 = "Réttur", IFERROR(_xlfn.SINGLE(_xlfn.XLOOKUP(G1946, Réttabanki!A:A, Réttabanki!AU:AU, "")), ""), "")))</f>
        <v/>
      </c>
      <c r="O1946" s="26" t="str">
        <f>IF(OR(F1946 = "", G1946 = "", I1946 = ""), "", IF(F1946 = "Vara", IFERROR(_xlfn.SINGLE(_xlfn.XLOOKUP(G1946, Vöruskrá!A:A, Vöruskrá!I:I, "")) * I1946 / 100, ""), IF(F1946 = "Réttur", IFERROR(_xlfn.SINGLE(_xlfn.XLOOKUP(G1946, Réttabanki!A:A, Réttabanki!AV:AV, "")) * I1946 / 100, ""), "")))</f>
        <v/>
      </c>
      <c r="P1946" s="26" t="str">
        <f>IF(OR(F1946 = "", G1946 = "", I1946 = ""), "", IF(F1946 = "Vara", IFERROR(_xlfn.SINGLE(_xlfn.XLOOKUP(G1946, Vöruskrá!A:A, Vöruskrá!J:J, "")) * I1946 / 100, ""), IF(F1946 = "Réttur", IFERROR(_xlfn.SINGLE(_xlfn.XLOOKUP(G1946, Réttabanki!A:A, Réttabanki!AW:AW, "")) * I1946 / 100, ""), "")))</f>
        <v/>
      </c>
      <c r="Q1946" s="26" t="str">
        <f>IF(OR(F1946 = "", G1946 = "", I1946 = ""), "", IF(F1946 = "Vara", IFERROR(_xlfn.SINGLE(_xlfn.XLOOKUP(G1946, Vöruskrá!A:A, Vöruskrá!N:N, "")) * I1946 / 100, ""), IF(F1946 = "Réttur", IFERROR(_xlfn.SINGLE(_xlfn.XLOOKUP(G1946, Réttabanki!A:A, Réttabanki!BB:BB, "")) * I1946 / 100, ""), "")))</f>
        <v/>
      </c>
    </row>
    <row r="1947" spans="2:17">
      <c r="B1947" s="33" t="str">
        <f>IF(A1947&lt;&gt;"",CHOOSE(WEEKDAY(A1947,2),"Mánudagur","Þriðjudagur","Miðvikudagur","Fimmtudagur","Föstudagur","Laugardagur","Sunnudagur"),IF(B1946&lt;&gt;"",B1946,""))</f>
        <v>Fimmtudagur</v>
      </c>
      <c r="C1947" s="33">
        <f>IF(A1947&lt;&gt;"",WEEKNUM(A1947,21),IF(C1946&lt;&gt;"",C1946,""))</f>
        <v>27</v>
      </c>
      <c r="D1947" s="34"/>
      <c r="E1947" s="34"/>
      <c r="F1947" s="34"/>
      <c r="G1947" s="34"/>
      <c r="H1947" s="34"/>
      <c r="I1947" s="35"/>
      <c r="J1947" s="35"/>
      <c r="K1947" s="36"/>
      <c r="L1947" s="26" t="str">
        <f>IF(OR(F1947 = "", G1947 = ""), "", IF(F1947 = "Vara", IFERROR(_xlfn.SINGLE(_xlfn.XLOOKUP(G1947, Vöruskrá!A:A, Vöruskrá!E:E, "")), ""), IF(F1947 = "Réttur", IFERROR(_xlfn.SINGLE(_xlfn.XLOOKUP(G1947, Réttabanki!A:A, Réttabanki!AS:AS, "")), ""), "")))</f>
        <v/>
      </c>
      <c r="M1947" s="26" t="str">
        <f>IF(OR(F1947 = "", G1947 = ""), "", IF(F1947 = "Vara", IFERROR(_xlfn.SINGLE(_xlfn.XLOOKUP(G1947, Vöruskrá!A:A, Vöruskrá!F:F, "")), ""), IF(F1947 = "Réttur", IFERROR(_xlfn.SINGLE(_xlfn.XLOOKUP(G1947, Réttabanki!A:A, Réttabanki!AT:AT, "")), ""), "")))</f>
        <v/>
      </c>
      <c r="N1947" s="26" t="str">
        <f>IF(OR(F1947 = "", G1947 = ""), "", IF(F1947 = "Vara", IFERROR(_xlfn.SINGLE(_xlfn.XLOOKUP(G1947, Vöruskrá!A:A, Vöruskrá!G:G, "")), ""), IF(F1947 = "Réttur", IFERROR(_xlfn.SINGLE(_xlfn.XLOOKUP(G1947, Réttabanki!A:A, Réttabanki!AU:AU, "")), ""), "")))</f>
        <v/>
      </c>
      <c r="O1947" s="26" t="str">
        <f>IF(OR(F1947 = "", G1947 = "", I1947 = ""), "", IF(F1947 = "Vara", IFERROR(_xlfn.SINGLE(_xlfn.XLOOKUP(G1947, Vöruskrá!A:A, Vöruskrá!I:I, "")) * I1947 / 100, ""), IF(F1947 = "Réttur", IFERROR(_xlfn.SINGLE(_xlfn.XLOOKUP(G1947, Réttabanki!A:A, Réttabanki!AV:AV, "")) * I1947 / 100, ""), "")))</f>
        <v/>
      </c>
      <c r="P1947" s="26" t="str">
        <f>IF(OR(F1947 = "", G1947 = "", I1947 = ""), "", IF(F1947 = "Vara", IFERROR(_xlfn.SINGLE(_xlfn.XLOOKUP(G1947, Vöruskrá!A:A, Vöruskrá!J:J, "")) * I1947 / 100, ""), IF(F1947 = "Réttur", IFERROR(_xlfn.SINGLE(_xlfn.XLOOKUP(G1947, Réttabanki!A:A, Réttabanki!AW:AW, "")) * I1947 / 100, ""), "")))</f>
        <v/>
      </c>
      <c r="Q1947" s="26" t="str">
        <f>IF(OR(F1947 = "", G1947 = "", I1947 = ""), "", IF(F1947 = "Vara", IFERROR(_xlfn.SINGLE(_xlfn.XLOOKUP(G1947, Vöruskrá!A:A, Vöruskrá!N:N, "")) * I1947 / 100, ""), IF(F1947 = "Réttur", IFERROR(_xlfn.SINGLE(_xlfn.XLOOKUP(G1947, Réttabanki!A:A, Réttabanki!BB:BB, "")) * I1947 / 100, ""), "")))</f>
        <v/>
      </c>
    </row>
    <row r="1948" spans="2:17">
      <c r="B1948" s="33" t="str">
        <f>IF(A1948&lt;&gt;"",CHOOSE(WEEKDAY(A1948,2),"Mánudagur","Þriðjudagur","Miðvikudagur","Fimmtudagur","Föstudagur","Laugardagur","Sunnudagur"),IF(B1947&lt;&gt;"",B1947,""))</f>
        <v>Fimmtudagur</v>
      </c>
      <c r="C1948" s="33">
        <f>IF(A1948&lt;&gt;"",WEEKNUM(A1948,21),IF(C1947&lt;&gt;"",C1947,""))</f>
        <v>27</v>
      </c>
      <c r="D1948" s="34"/>
      <c r="E1948" s="34"/>
      <c r="F1948" s="34"/>
      <c r="G1948" s="34"/>
      <c r="H1948" s="34"/>
      <c r="I1948" s="35"/>
      <c r="J1948" s="35"/>
      <c r="K1948" s="36"/>
      <c r="L1948" s="26" t="str">
        <f>IF(OR(F1948 = "", G1948 = ""), "", IF(F1948 = "Vara", IFERROR(_xlfn.SINGLE(_xlfn.XLOOKUP(G1948, Vöruskrá!A:A, Vöruskrá!E:E, "")), ""), IF(F1948 = "Réttur", IFERROR(_xlfn.SINGLE(_xlfn.XLOOKUP(G1948, Réttabanki!A:A, Réttabanki!AS:AS, "")), ""), "")))</f>
        <v/>
      </c>
      <c r="M1948" s="26" t="str">
        <f>IF(OR(F1948 = "", G1948 = ""), "", IF(F1948 = "Vara", IFERROR(_xlfn.SINGLE(_xlfn.XLOOKUP(G1948, Vöruskrá!A:A, Vöruskrá!F:F, "")), ""), IF(F1948 = "Réttur", IFERROR(_xlfn.SINGLE(_xlfn.XLOOKUP(G1948, Réttabanki!A:A, Réttabanki!AT:AT, "")), ""), "")))</f>
        <v/>
      </c>
      <c r="N1948" s="26" t="str">
        <f>IF(OR(F1948 = "", G1948 = ""), "", IF(F1948 = "Vara", IFERROR(_xlfn.SINGLE(_xlfn.XLOOKUP(G1948, Vöruskrá!A:A, Vöruskrá!G:G, "")), ""), IF(F1948 = "Réttur", IFERROR(_xlfn.SINGLE(_xlfn.XLOOKUP(G1948, Réttabanki!A:A, Réttabanki!AU:AU, "")), ""), "")))</f>
        <v/>
      </c>
      <c r="O1948" s="26" t="str">
        <f>IF(OR(F1948 = "", G1948 = "", I1948 = ""), "", IF(F1948 = "Vara", IFERROR(_xlfn.SINGLE(_xlfn.XLOOKUP(G1948, Vöruskrá!A:A, Vöruskrá!I:I, "")) * I1948 / 100, ""), IF(F1948 = "Réttur", IFERROR(_xlfn.SINGLE(_xlfn.XLOOKUP(G1948, Réttabanki!A:A, Réttabanki!AV:AV, "")) * I1948 / 100, ""), "")))</f>
        <v/>
      </c>
      <c r="P1948" s="26" t="str">
        <f>IF(OR(F1948 = "", G1948 = "", I1948 = ""), "", IF(F1948 = "Vara", IFERROR(_xlfn.SINGLE(_xlfn.XLOOKUP(G1948, Vöruskrá!A:A, Vöruskrá!J:J, "")) * I1948 / 100, ""), IF(F1948 = "Réttur", IFERROR(_xlfn.SINGLE(_xlfn.XLOOKUP(G1948, Réttabanki!A:A, Réttabanki!AW:AW, "")) * I1948 / 100, ""), "")))</f>
        <v/>
      </c>
      <c r="Q1948" s="26" t="str">
        <f>IF(OR(F1948 = "", G1948 = "", I1948 = ""), "", IF(F1948 = "Vara", IFERROR(_xlfn.SINGLE(_xlfn.XLOOKUP(G1948, Vöruskrá!A:A, Vöruskrá!N:N, "")) * I1948 / 100, ""), IF(F1948 = "Réttur", IFERROR(_xlfn.SINGLE(_xlfn.XLOOKUP(G1948, Réttabanki!A:A, Réttabanki!BB:BB, "")) * I1948 / 100, ""), "")))</f>
        <v/>
      </c>
    </row>
    <row r="1949" spans="2:17">
      <c r="B1949" s="33" t="str">
        <f>IF(A1949&lt;&gt;"",CHOOSE(WEEKDAY(A1949,2),"Mánudagur","Þriðjudagur","Miðvikudagur","Fimmtudagur","Föstudagur","Laugardagur","Sunnudagur"),IF(B1948&lt;&gt;"",B1948,""))</f>
        <v>Fimmtudagur</v>
      </c>
      <c r="C1949" s="33">
        <f>IF(A1949&lt;&gt;"",WEEKNUM(A1949,21),IF(C1948&lt;&gt;"",C1948,""))</f>
        <v>27</v>
      </c>
      <c r="D1949" s="34"/>
      <c r="E1949" s="34"/>
      <c r="F1949" s="34"/>
      <c r="G1949" s="34"/>
      <c r="H1949" s="34"/>
      <c r="I1949" s="35"/>
      <c r="J1949" s="35"/>
      <c r="K1949" s="36"/>
      <c r="L1949" s="26" t="str">
        <f>IF(OR(F1949 = "", G1949 = ""), "", IF(F1949 = "Vara", IFERROR(_xlfn.SINGLE(_xlfn.XLOOKUP(G1949, Vöruskrá!A:A, Vöruskrá!E:E, "")), ""), IF(F1949 = "Réttur", IFERROR(_xlfn.SINGLE(_xlfn.XLOOKUP(G1949, Réttabanki!A:A, Réttabanki!AS:AS, "")), ""), "")))</f>
        <v/>
      </c>
      <c r="M1949" s="26" t="str">
        <f>IF(OR(F1949 = "", G1949 = ""), "", IF(F1949 = "Vara", IFERROR(_xlfn.SINGLE(_xlfn.XLOOKUP(G1949, Vöruskrá!A:A, Vöruskrá!F:F, "")), ""), IF(F1949 = "Réttur", IFERROR(_xlfn.SINGLE(_xlfn.XLOOKUP(G1949, Réttabanki!A:A, Réttabanki!AT:AT, "")), ""), "")))</f>
        <v/>
      </c>
      <c r="N1949" s="26" t="str">
        <f>IF(OR(F1949 = "", G1949 = ""), "", IF(F1949 = "Vara", IFERROR(_xlfn.SINGLE(_xlfn.XLOOKUP(G1949, Vöruskrá!A:A, Vöruskrá!G:G, "")), ""), IF(F1949 = "Réttur", IFERROR(_xlfn.SINGLE(_xlfn.XLOOKUP(G1949, Réttabanki!A:A, Réttabanki!AU:AU, "")), ""), "")))</f>
        <v/>
      </c>
      <c r="O1949" s="26" t="str">
        <f>IF(OR(F1949 = "", G1949 = "", I1949 = ""), "", IF(F1949 = "Vara", IFERROR(_xlfn.SINGLE(_xlfn.XLOOKUP(G1949, Vöruskrá!A:A, Vöruskrá!I:I, "")) * I1949 / 100, ""), IF(F1949 = "Réttur", IFERROR(_xlfn.SINGLE(_xlfn.XLOOKUP(G1949, Réttabanki!A:A, Réttabanki!AV:AV, "")) * I1949 / 100, ""), "")))</f>
        <v/>
      </c>
      <c r="P1949" s="26" t="str">
        <f>IF(OR(F1949 = "", G1949 = "", I1949 = ""), "", IF(F1949 = "Vara", IFERROR(_xlfn.SINGLE(_xlfn.XLOOKUP(G1949, Vöruskrá!A:A, Vöruskrá!J:J, "")) * I1949 / 100, ""), IF(F1949 = "Réttur", IFERROR(_xlfn.SINGLE(_xlfn.XLOOKUP(G1949, Réttabanki!A:A, Réttabanki!AW:AW, "")) * I1949 / 100, ""), "")))</f>
        <v/>
      </c>
      <c r="Q1949" s="26" t="str">
        <f>IF(OR(F1949 = "", G1949 = "", I1949 = ""), "", IF(F1949 = "Vara", IFERROR(_xlfn.SINGLE(_xlfn.XLOOKUP(G1949, Vöruskrá!A:A, Vöruskrá!N:N, "")) * I1949 / 100, ""), IF(F1949 = "Réttur", IFERROR(_xlfn.SINGLE(_xlfn.XLOOKUP(G1949, Réttabanki!A:A, Réttabanki!BB:BB, "")) * I1949 / 100, ""), "")))</f>
        <v/>
      </c>
    </row>
    <row r="1950" spans="2:17">
      <c r="B1950" s="33" t="str">
        <f>IF(A1950&lt;&gt;"",CHOOSE(WEEKDAY(A1950,2),"Mánudagur","Þriðjudagur","Miðvikudagur","Fimmtudagur","Föstudagur","Laugardagur","Sunnudagur"),IF(B1949&lt;&gt;"",B1949,""))</f>
        <v>Fimmtudagur</v>
      </c>
      <c r="C1950" s="33">
        <f>IF(A1950&lt;&gt;"",WEEKNUM(A1950,21),IF(C1949&lt;&gt;"",C1949,""))</f>
        <v>27</v>
      </c>
      <c r="D1950" s="34"/>
      <c r="E1950" s="34"/>
      <c r="F1950" s="34"/>
      <c r="G1950" s="34"/>
      <c r="H1950" s="34"/>
      <c r="I1950" s="35"/>
      <c r="J1950" s="35"/>
      <c r="K1950" s="36"/>
      <c r="L1950" s="26" t="str">
        <f>IF(OR(F1950 = "", G1950 = ""), "", IF(F1950 = "Vara", IFERROR(_xlfn.SINGLE(_xlfn.XLOOKUP(G1950, Vöruskrá!A:A, Vöruskrá!E:E, "")), ""), IF(F1950 = "Réttur", IFERROR(_xlfn.SINGLE(_xlfn.XLOOKUP(G1950, Réttabanki!A:A, Réttabanki!AS:AS, "")), ""), "")))</f>
        <v/>
      </c>
      <c r="M1950" s="26" t="str">
        <f>IF(OR(F1950 = "", G1950 = ""), "", IF(F1950 = "Vara", IFERROR(_xlfn.SINGLE(_xlfn.XLOOKUP(G1950, Vöruskrá!A:A, Vöruskrá!F:F, "")), ""), IF(F1950 = "Réttur", IFERROR(_xlfn.SINGLE(_xlfn.XLOOKUP(G1950, Réttabanki!A:A, Réttabanki!AT:AT, "")), ""), "")))</f>
        <v/>
      </c>
      <c r="N1950" s="26" t="str">
        <f>IF(OR(F1950 = "", G1950 = ""), "", IF(F1950 = "Vara", IFERROR(_xlfn.SINGLE(_xlfn.XLOOKUP(G1950, Vöruskrá!A:A, Vöruskrá!G:G, "")), ""), IF(F1950 = "Réttur", IFERROR(_xlfn.SINGLE(_xlfn.XLOOKUP(G1950, Réttabanki!A:A, Réttabanki!AU:AU, "")), ""), "")))</f>
        <v/>
      </c>
      <c r="O1950" s="26" t="str">
        <f>IF(OR(F1950 = "", G1950 = "", I1950 = ""), "", IF(F1950 = "Vara", IFERROR(_xlfn.SINGLE(_xlfn.XLOOKUP(G1950, Vöruskrá!A:A, Vöruskrá!I:I, "")) * I1950 / 100, ""), IF(F1950 = "Réttur", IFERROR(_xlfn.SINGLE(_xlfn.XLOOKUP(G1950, Réttabanki!A:A, Réttabanki!AV:AV, "")) * I1950 / 100, ""), "")))</f>
        <v/>
      </c>
      <c r="P1950" s="26" t="str">
        <f>IF(OR(F1950 = "", G1950 = "", I1950 = ""), "", IF(F1950 = "Vara", IFERROR(_xlfn.SINGLE(_xlfn.XLOOKUP(G1950, Vöruskrá!A:A, Vöruskrá!J:J, "")) * I1950 / 100, ""), IF(F1950 = "Réttur", IFERROR(_xlfn.SINGLE(_xlfn.XLOOKUP(G1950, Réttabanki!A:A, Réttabanki!AW:AW, "")) * I1950 / 100, ""), "")))</f>
        <v/>
      </c>
      <c r="Q1950" s="26" t="str">
        <f>IF(OR(F1950 = "", G1950 = "", I1950 = ""), "", IF(F1950 = "Vara", IFERROR(_xlfn.SINGLE(_xlfn.XLOOKUP(G1950, Vöruskrá!A:A, Vöruskrá!N:N, "")) * I1950 / 100, ""), IF(F1950 = "Réttur", IFERROR(_xlfn.SINGLE(_xlfn.XLOOKUP(G1950, Réttabanki!A:A, Réttabanki!BB:BB, "")) * I1950 / 100, ""), "")))</f>
        <v/>
      </c>
    </row>
    <row r="1951" spans="2:17">
      <c r="B1951" s="33" t="str">
        <f>IF(A1951&lt;&gt;"",CHOOSE(WEEKDAY(A1951,2),"Mánudagur","Þriðjudagur","Miðvikudagur","Fimmtudagur","Föstudagur","Laugardagur","Sunnudagur"),IF(B1950&lt;&gt;"",B1950,""))</f>
        <v>Fimmtudagur</v>
      </c>
      <c r="C1951" s="33">
        <f>IF(A1951&lt;&gt;"",WEEKNUM(A1951,21),IF(C1950&lt;&gt;"",C1950,""))</f>
        <v>27</v>
      </c>
      <c r="D1951" s="34"/>
      <c r="E1951" s="34"/>
      <c r="F1951" s="34"/>
      <c r="G1951" s="34"/>
      <c r="H1951" s="34"/>
      <c r="I1951" s="35"/>
      <c r="J1951" s="35"/>
      <c r="K1951" s="36"/>
      <c r="L1951" s="26" t="str">
        <f>IF(OR(F1951 = "", G1951 = ""), "", IF(F1951 = "Vara", IFERROR(_xlfn.SINGLE(_xlfn.XLOOKUP(G1951, Vöruskrá!A:A, Vöruskrá!E:E, "")), ""), IF(F1951 = "Réttur", IFERROR(_xlfn.SINGLE(_xlfn.XLOOKUP(G1951, Réttabanki!A:A, Réttabanki!AS:AS, "")), ""), "")))</f>
        <v/>
      </c>
      <c r="M1951" s="26" t="str">
        <f>IF(OR(F1951 = "", G1951 = ""), "", IF(F1951 = "Vara", IFERROR(_xlfn.SINGLE(_xlfn.XLOOKUP(G1951, Vöruskrá!A:A, Vöruskrá!F:F, "")), ""), IF(F1951 = "Réttur", IFERROR(_xlfn.SINGLE(_xlfn.XLOOKUP(G1951, Réttabanki!A:A, Réttabanki!AT:AT, "")), ""), "")))</f>
        <v/>
      </c>
      <c r="N1951" s="26" t="str">
        <f>IF(OR(F1951 = "", G1951 = ""), "", IF(F1951 = "Vara", IFERROR(_xlfn.SINGLE(_xlfn.XLOOKUP(G1951, Vöruskrá!A:A, Vöruskrá!G:G, "")), ""), IF(F1951 = "Réttur", IFERROR(_xlfn.SINGLE(_xlfn.XLOOKUP(G1951, Réttabanki!A:A, Réttabanki!AU:AU, "")), ""), "")))</f>
        <v/>
      </c>
      <c r="O1951" s="26" t="str">
        <f>IF(OR(F1951 = "", G1951 = "", I1951 = ""), "", IF(F1951 = "Vara", IFERROR(_xlfn.SINGLE(_xlfn.XLOOKUP(G1951, Vöruskrá!A:A, Vöruskrá!I:I, "")) * I1951 / 100, ""), IF(F1951 = "Réttur", IFERROR(_xlfn.SINGLE(_xlfn.XLOOKUP(G1951, Réttabanki!A:A, Réttabanki!AV:AV, "")) * I1951 / 100, ""), "")))</f>
        <v/>
      </c>
      <c r="P1951" s="26" t="str">
        <f>IF(OR(F1951 = "", G1951 = "", I1951 = ""), "", IF(F1951 = "Vara", IFERROR(_xlfn.SINGLE(_xlfn.XLOOKUP(G1951, Vöruskrá!A:A, Vöruskrá!J:J, "")) * I1951 / 100, ""), IF(F1951 = "Réttur", IFERROR(_xlfn.SINGLE(_xlfn.XLOOKUP(G1951, Réttabanki!A:A, Réttabanki!AW:AW, "")) * I1951 / 100, ""), "")))</f>
        <v/>
      </c>
      <c r="Q1951" s="26" t="str">
        <f>IF(OR(F1951 = "", G1951 = "", I1951 = ""), "", IF(F1951 = "Vara", IFERROR(_xlfn.SINGLE(_xlfn.XLOOKUP(G1951, Vöruskrá!A:A, Vöruskrá!N:N, "")) * I1951 / 100, ""), IF(F1951 = "Réttur", IFERROR(_xlfn.SINGLE(_xlfn.XLOOKUP(G1951, Réttabanki!A:A, Réttabanki!BB:BB, "")) * I1951 / 100, ""), "")))</f>
        <v/>
      </c>
    </row>
    <row r="1952" spans="2:17">
      <c r="B1952" s="33" t="str">
        <f>IF(A1952&lt;&gt;"",CHOOSE(WEEKDAY(A1952,2),"Mánudagur","Þriðjudagur","Miðvikudagur","Fimmtudagur","Föstudagur","Laugardagur","Sunnudagur"),IF(B1951&lt;&gt;"",B1951,""))</f>
        <v>Fimmtudagur</v>
      </c>
      <c r="C1952" s="33">
        <f>IF(A1952&lt;&gt;"",WEEKNUM(A1952,21),IF(C1951&lt;&gt;"",C1951,""))</f>
        <v>27</v>
      </c>
      <c r="D1952" s="34"/>
      <c r="E1952" s="34"/>
      <c r="F1952" s="34"/>
      <c r="G1952" s="34"/>
      <c r="H1952" s="34"/>
      <c r="I1952" s="35"/>
      <c r="J1952" s="35"/>
      <c r="K1952" s="36"/>
      <c r="L1952" s="26" t="str">
        <f>IF(OR(F1952 = "", G1952 = ""), "", IF(F1952 = "Vara", IFERROR(_xlfn.SINGLE(_xlfn.XLOOKUP(G1952, Vöruskrá!A:A, Vöruskrá!E:E, "")), ""), IF(F1952 = "Réttur", IFERROR(_xlfn.SINGLE(_xlfn.XLOOKUP(G1952, Réttabanki!A:A, Réttabanki!AS:AS, "")), ""), "")))</f>
        <v/>
      </c>
      <c r="M1952" s="26" t="str">
        <f>IF(OR(F1952 = "", G1952 = ""), "", IF(F1952 = "Vara", IFERROR(_xlfn.SINGLE(_xlfn.XLOOKUP(G1952, Vöruskrá!A:A, Vöruskrá!F:F, "")), ""), IF(F1952 = "Réttur", IFERROR(_xlfn.SINGLE(_xlfn.XLOOKUP(G1952, Réttabanki!A:A, Réttabanki!AT:AT, "")), ""), "")))</f>
        <v/>
      </c>
      <c r="N1952" s="26" t="str">
        <f>IF(OR(F1952 = "", G1952 = ""), "", IF(F1952 = "Vara", IFERROR(_xlfn.SINGLE(_xlfn.XLOOKUP(G1952, Vöruskrá!A:A, Vöruskrá!G:G, "")), ""), IF(F1952 = "Réttur", IFERROR(_xlfn.SINGLE(_xlfn.XLOOKUP(G1952, Réttabanki!A:A, Réttabanki!AU:AU, "")), ""), "")))</f>
        <v/>
      </c>
      <c r="O1952" s="26" t="str">
        <f>IF(OR(F1952 = "", G1952 = "", I1952 = ""), "", IF(F1952 = "Vara", IFERROR(_xlfn.SINGLE(_xlfn.XLOOKUP(G1952, Vöruskrá!A:A, Vöruskrá!I:I, "")) * I1952 / 100, ""), IF(F1952 = "Réttur", IFERROR(_xlfn.SINGLE(_xlfn.XLOOKUP(G1952, Réttabanki!A:A, Réttabanki!AV:AV, "")) * I1952 / 100, ""), "")))</f>
        <v/>
      </c>
      <c r="P1952" s="26" t="str">
        <f>IF(OR(F1952 = "", G1952 = "", I1952 = ""), "", IF(F1952 = "Vara", IFERROR(_xlfn.SINGLE(_xlfn.XLOOKUP(G1952, Vöruskrá!A:A, Vöruskrá!J:J, "")) * I1952 / 100, ""), IF(F1952 = "Réttur", IFERROR(_xlfn.SINGLE(_xlfn.XLOOKUP(G1952, Réttabanki!A:A, Réttabanki!AW:AW, "")) * I1952 / 100, ""), "")))</f>
        <v/>
      </c>
      <c r="Q1952" s="26" t="str">
        <f>IF(OR(F1952 = "", G1952 = "", I1952 = ""), "", IF(F1952 = "Vara", IFERROR(_xlfn.SINGLE(_xlfn.XLOOKUP(G1952, Vöruskrá!A:A, Vöruskrá!N:N, "")) * I1952 / 100, ""), IF(F1952 = "Réttur", IFERROR(_xlfn.SINGLE(_xlfn.XLOOKUP(G1952, Réttabanki!A:A, Réttabanki!BB:BB, "")) * I1952 / 100, ""), "")))</f>
        <v/>
      </c>
    </row>
    <row r="1953" spans="2:17">
      <c r="B1953" s="33" t="str">
        <f>IF(A1953&lt;&gt;"",CHOOSE(WEEKDAY(A1953,2),"Mánudagur","Þriðjudagur","Miðvikudagur","Fimmtudagur","Föstudagur","Laugardagur","Sunnudagur"),IF(B1952&lt;&gt;"",B1952,""))</f>
        <v>Fimmtudagur</v>
      </c>
      <c r="C1953" s="33">
        <f>IF(A1953&lt;&gt;"",WEEKNUM(A1953,21),IF(C1952&lt;&gt;"",C1952,""))</f>
        <v>27</v>
      </c>
      <c r="D1953" s="34"/>
      <c r="E1953" s="34"/>
      <c r="F1953" s="34"/>
      <c r="G1953" s="34"/>
      <c r="H1953" s="34"/>
      <c r="I1953" s="35"/>
      <c r="J1953" s="35"/>
      <c r="K1953" s="36"/>
      <c r="L1953" s="26" t="str">
        <f>IF(OR(F1953 = "", G1953 = ""), "", IF(F1953 = "Vara", IFERROR(_xlfn.SINGLE(_xlfn.XLOOKUP(G1953, Vöruskrá!A:A, Vöruskrá!E:E, "")), ""), IF(F1953 = "Réttur", IFERROR(_xlfn.SINGLE(_xlfn.XLOOKUP(G1953, Réttabanki!A:A, Réttabanki!AS:AS, "")), ""), "")))</f>
        <v/>
      </c>
      <c r="M1953" s="26" t="str">
        <f>IF(OR(F1953 = "", G1953 = ""), "", IF(F1953 = "Vara", IFERROR(_xlfn.SINGLE(_xlfn.XLOOKUP(G1953, Vöruskrá!A:A, Vöruskrá!F:F, "")), ""), IF(F1953 = "Réttur", IFERROR(_xlfn.SINGLE(_xlfn.XLOOKUP(G1953, Réttabanki!A:A, Réttabanki!AT:AT, "")), ""), "")))</f>
        <v/>
      </c>
      <c r="N1953" s="26" t="str">
        <f>IF(OR(F1953 = "", G1953 = ""), "", IF(F1953 = "Vara", IFERROR(_xlfn.SINGLE(_xlfn.XLOOKUP(G1953, Vöruskrá!A:A, Vöruskrá!G:G, "")), ""), IF(F1953 = "Réttur", IFERROR(_xlfn.SINGLE(_xlfn.XLOOKUP(G1953, Réttabanki!A:A, Réttabanki!AU:AU, "")), ""), "")))</f>
        <v/>
      </c>
      <c r="O1953" s="26" t="str">
        <f>IF(OR(F1953 = "", G1953 = "", I1953 = ""), "", IF(F1953 = "Vara", IFERROR(_xlfn.SINGLE(_xlfn.XLOOKUP(G1953, Vöruskrá!A:A, Vöruskrá!I:I, "")) * I1953 / 100, ""), IF(F1953 = "Réttur", IFERROR(_xlfn.SINGLE(_xlfn.XLOOKUP(G1953, Réttabanki!A:A, Réttabanki!AV:AV, "")) * I1953 / 100, ""), "")))</f>
        <v/>
      </c>
      <c r="P1953" s="26" t="str">
        <f>IF(OR(F1953 = "", G1953 = "", I1953 = ""), "", IF(F1953 = "Vara", IFERROR(_xlfn.SINGLE(_xlfn.XLOOKUP(G1953, Vöruskrá!A:A, Vöruskrá!J:J, "")) * I1953 / 100, ""), IF(F1953 = "Réttur", IFERROR(_xlfn.SINGLE(_xlfn.XLOOKUP(G1953, Réttabanki!A:A, Réttabanki!AW:AW, "")) * I1953 / 100, ""), "")))</f>
        <v/>
      </c>
      <c r="Q1953" s="26" t="str">
        <f>IF(OR(F1953 = "", G1953 = "", I1953 = ""), "", IF(F1953 = "Vara", IFERROR(_xlfn.SINGLE(_xlfn.XLOOKUP(G1953, Vöruskrá!A:A, Vöruskrá!N:N, "")) * I1953 / 100, ""), IF(F1953 = "Réttur", IFERROR(_xlfn.SINGLE(_xlfn.XLOOKUP(G1953, Réttabanki!A:A, Réttabanki!BB:BB, "")) * I1953 / 100, ""), "")))</f>
        <v/>
      </c>
    </row>
    <row r="1954" spans="2:17">
      <c r="B1954" s="33" t="str">
        <f>IF(A1954&lt;&gt;"",CHOOSE(WEEKDAY(A1954,2),"Mánudagur","Þriðjudagur","Miðvikudagur","Fimmtudagur","Föstudagur","Laugardagur","Sunnudagur"),IF(B1953&lt;&gt;"",B1953,""))</f>
        <v>Fimmtudagur</v>
      </c>
      <c r="C1954" s="33">
        <f>IF(A1954&lt;&gt;"",WEEKNUM(A1954,21),IF(C1953&lt;&gt;"",C1953,""))</f>
        <v>27</v>
      </c>
      <c r="D1954" s="34"/>
      <c r="E1954" s="34"/>
      <c r="F1954" s="34"/>
      <c r="G1954" s="34"/>
      <c r="H1954" s="34"/>
      <c r="I1954" s="35"/>
      <c r="J1954" s="35"/>
      <c r="K1954" s="36"/>
      <c r="L1954" s="26" t="str">
        <f>IF(OR(F1954 = "", G1954 = ""), "", IF(F1954 = "Vara", IFERROR(_xlfn.SINGLE(_xlfn.XLOOKUP(G1954, Vöruskrá!A:A, Vöruskrá!E:E, "")), ""), IF(F1954 = "Réttur", IFERROR(_xlfn.SINGLE(_xlfn.XLOOKUP(G1954, Réttabanki!A:A, Réttabanki!AS:AS, "")), ""), "")))</f>
        <v/>
      </c>
      <c r="M1954" s="26" t="str">
        <f>IF(OR(F1954 = "", G1954 = ""), "", IF(F1954 = "Vara", IFERROR(_xlfn.SINGLE(_xlfn.XLOOKUP(G1954, Vöruskrá!A:A, Vöruskrá!F:F, "")), ""), IF(F1954 = "Réttur", IFERROR(_xlfn.SINGLE(_xlfn.XLOOKUP(G1954, Réttabanki!A:A, Réttabanki!AT:AT, "")), ""), "")))</f>
        <v/>
      </c>
      <c r="N1954" s="26" t="str">
        <f>IF(OR(F1954 = "", G1954 = ""), "", IF(F1954 = "Vara", IFERROR(_xlfn.SINGLE(_xlfn.XLOOKUP(G1954, Vöruskrá!A:A, Vöruskrá!G:G, "")), ""), IF(F1954 = "Réttur", IFERROR(_xlfn.SINGLE(_xlfn.XLOOKUP(G1954, Réttabanki!A:A, Réttabanki!AU:AU, "")), ""), "")))</f>
        <v/>
      </c>
      <c r="O1954" s="26" t="str">
        <f>IF(OR(F1954 = "", G1954 = "", I1954 = ""), "", IF(F1954 = "Vara", IFERROR(_xlfn.SINGLE(_xlfn.XLOOKUP(G1954, Vöruskrá!A:A, Vöruskrá!I:I, "")) * I1954 / 100, ""), IF(F1954 = "Réttur", IFERROR(_xlfn.SINGLE(_xlfn.XLOOKUP(G1954, Réttabanki!A:A, Réttabanki!AV:AV, "")) * I1954 / 100, ""), "")))</f>
        <v/>
      </c>
      <c r="P1954" s="26" t="str">
        <f>IF(OR(F1954 = "", G1954 = "", I1954 = ""), "", IF(F1954 = "Vara", IFERROR(_xlfn.SINGLE(_xlfn.XLOOKUP(G1954, Vöruskrá!A:A, Vöruskrá!J:J, "")) * I1954 / 100, ""), IF(F1954 = "Réttur", IFERROR(_xlfn.SINGLE(_xlfn.XLOOKUP(G1954, Réttabanki!A:A, Réttabanki!AW:AW, "")) * I1954 / 100, ""), "")))</f>
        <v/>
      </c>
      <c r="Q1954" s="26" t="str">
        <f>IF(OR(F1954 = "", G1954 = "", I1954 = ""), "", IF(F1954 = "Vara", IFERROR(_xlfn.SINGLE(_xlfn.XLOOKUP(G1954, Vöruskrá!A:A, Vöruskrá!N:N, "")) * I1954 / 100, ""), IF(F1954 = "Réttur", IFERROR(_xlfn.SINGLE(_xlfn.XLOOKUP(G1954, Réttabanki!A:A, Réttabanki!BB:BB, "")) * I1954 / 100, ""), "")))</f>
        <v/>
      </c>
    </row>
    <row r="1955" spans="2:17">
      <c r="B1955" s="33" t="str">
        <f>IF(A1955&lt;&gt;"",CHOOSE(WEEKDAY(A1955,2),"Mánudagur","Þriðjudagur","Miðvikudagur","Fimmtudagur","Föstudagur","Laugardagur","Sunnudagur"),IF(B1954&lt;&gt;"",B1954,""))</f>
        <v>Fimmtudagur</v>
      </c>
      <c r="C1955" s="33">
        <f>IF(A1955&lt;&gt;"",WEEKNUM(A1955,21),IF(C1954&lt;&gt;"",C1954,""))</f>
        <v>27</v>
      </c>
      <c r="D1955" s="34"/>
      <c r="E1955" s="34"/>
      <c r="F1955" s="34"/>
      <c r="G1955" s="34"/>
      <c r="H1955" s="34"/>
      <c r="I1955" s="35"/>
      <c r="J1955" s="35"/>
      <c r="K1955" s="36"/>
      <c r="L1955" s="26" t="str">
        <f>IF(OR(F1955 = "", G1955 = ""), "", IF(F1955 = "Vara", IFERROR(_xlfn.SINGLE(_xlfn.XLOOKUP(G1955, Vöruskrá!A:A, Vöruskrá!E:E, "")), ""), IF(F1955 = "Réttur", IFERROR(_xlfn.SINGLE(_xlfn.XLOOKUP(G1955, Réttabanki!A:A, Réttabanki!AS:AS, "")), ""), "")))</f>
        <v/>
      </c>
      <c r="M1955" s="26" t="str">
        <f>IF(OR(F1955 = "", G1955 = ""), "", IF(F1955 = "Vara", IFERROR(_xlfn.SINGLE(_xlfn.XLOOKUP(G1955, Vöruskrá!A:A, Vöruskrá!F:F, "")), ""), IF(F1955 = "Réttur", IFERROR(_xlfn.SINGLE(_xlfn.XLOOKUP(G1955, Réttabanki!A:A, Réttabanki!AT:AT, "")), ""), "")))</f>
        <v/>
      </c>
      <c r="N1955" s="26" t="str">
        <f>IF(OR(F1955 = "", G1955 = ""), "", IF(F1955 = "Vara", IFERROR(_xlfn.SINGLE(_xlfn.XLOOKUP(G1955, Vöruskrá!A:A, Vöruskrá!G:G, "")), ""), IF(F1955 = "Réttur", IFERROR(_xlfn.SINGLE(_xlfn.XLOOKUP(G1955, Réttabanki!A:A, Réttabanki!AU:AU, "")), ""), "")))</f>
        <v/>
      </c>
      <c r="O1955" s="26" t="str">
        <f>IF(OR(F1955 = "", G1955 = "", I1955 = ""), "", IF(F1955 = "Vara", IFERROR(_xlfn.SINGLE(_xlfn.XLOOKUP(G1955, Vöruskrá!A:A, Vöruskrá!I:I, "")) * I1955 / 100, ""), IF(F1955 = "Réttur", IFERROR(_xlfn.SINGLE(_xlfn.XLOOKUP(G1955, Réttabanki!A:A, Réttabanki!AV:AV, "")) * I1955 / 100, ""), "")))</f>
        <v/>
      </c>
      <c r="P1955" s="26" t="str">
        <f>IF(OR(F1955 = "", G1955 = "", I1955 = ""), "", IF(F1955 = "Vara", IFERROR(_xlfn.SINGLE(_xlfn.XLOOKUP(G1955, Vöruskrá!A:A, Vöruskrá!J:J, "")) * I1955 / 100, ""), IF(F1955 = "Réttur", IFERROR(_xlfn.SINGLE(_xlfn.XLOOKUP(G1955, Réttabanki!A:A, Réttabanki!AW:AW, "")) * I1955 / 100, ""), "")))</f>
        <v/>
      </c>
      <c r="Q1955" s="26" t="str">
        <f>IF(OR(F1955 = "", G1955 = "", I1955 = ""), "", IF(F1955 = "Vara", IFERROR(_xlfn.SINGLE(_xlfn.XLOOKUP(G1955, Vöruskrá!A:A, Vöruskrá!N:N, "")) * I1955 / 100, ""), IF(F1955 = "Réttur", IFERROR(_xlfn.SINGLE(_xlfn.XLOOKUP(G1955, Réttabanki!A:A, Réttabanki!BB:BB, "")) * I1955 / 100, ""), "")))</f>
        <v/>
      </c>
    </row>
    <row r="1956" spans="2:17">
      <c r="B1956" s="33" t="str">
        <f>IF(A1956&lt;&gt;"",CHOOSE(WEEKDAY(A1956,2),"Mánudagur","Þriðjudagur","Miðvikudagur","Fimmtudagur","Föstudagur","Laugardagur","Sunnudagur"),IF(B1955&lt;&gt;"",B1955,""))</f>
        <v>Fimmtudagur</v>
      </c>
      <c r="C1956" s="33">
        <f>IF(A1956&lt;&gt;"",WEEKNUM(A1956,21),IF(C1955&lt;&gt;"",C1955,""))</f>
        <v>27</v>
      </c>
      <c r="D1956" s="34"/>
      <c r="E1956" s="34"/>
      <c r="F1956" s="34"/>
      <c r="G1956" s="34"/>
      <c r="H1956" s="34"/>
      <c r="I1956" s="35"/>
      <c r="J1956" s="35"/>
      <c r="K1956" s="36"/>
      <c r="L1956" s="26" t="str">
        <f>IF(OR(F1956 = "", G1956 = ""), "", IF(F1956 = "Vara", IFERROR(_xlfn.SINGLE(_xlfn.XLOOKUP(G1956, Vöruskrá!A:A, Vöruskrá!E:E, "")), ""), IF(F1956 = "Réttur", IFERROR(_xlfn.SINGLE(_xlfn.XLOOKUP(G1956, Réttabanki!A:A, Réttabanki!AS:AS, "")), ""), "")))</f>
        <v/>
      </c>
      <c r="M1956" s="26" t="str">
        <f>IF(OR(F1956 = "", G1956 = ""), "", IF(F1956 = "Vara", IFERROR(_xlfn.SINGLE(_xlfn.XLOOKUP(G1956, Vöruskrá!A:A, Vöruskrá!F:F, "")), ""), IF(F1956 = "Réttur", IFERROR(_xlfn.SINGLE(_xlfn.XLOOKUP(G1956, Réttabanki!A:A, Réttabanki!AT:AT, "")), ""), "")))</f>
        <v/>
      </c>
      <c r="N1956" s="26" t="str">
        <f>IF(OR(F1956 = "", G1956 = ""), "", IF(F1956 = "Vara", IFERROR(_xlfn.SINGLE(_xlfn.XLOOKUP(G1956, Vöruskrá!A:A, Vöruskrá!G:G, "")), ""), IF(F1956 = "Réttur", IFERROR(_xlfn.SINGLE(_xlfn.XLOOKUP(G1956, Réttabanki!A:A, Réttabanki!AU:AU, "")), ""), "")))</f>
        <v/>
      </c>
      <c r="O1956" s="26" t="str">
        <f>IF(OR(F1956 = "", G1956 = "", I1956 = ""), "", IF(F1956 = "Vara", IFERROR(_xlfn.SINGLE(_xlfn.XLOOKUP(G1956, Vöruskrá!A:A, Vöruskrá!I:I, "")) * I1956 / 100, ""), IF(F1956 = "Réttur", IFERROR(_xlfn.SINGLE(_xlfn.XLOOKUP(G1956, Réttabanki!A:A, Réttabanki!AV:AV, "")) * I1956 / 100, ""), "")))</f>
        <v/>
      </c>
      <c r="P1956" s="26" t="str">
        <f>IF(OR(F1956 = "", G1956 = "", I1956 = ""), "", IF(F1956 = "Vara", IFERROR(_xlfn.SINGLE(_xlfn.XLOOKUP(G1956, Vöruskrá!A:A, Vöruskrá!J:J, "")) * I1956 / 100, ""), IF(F1956 = "Réttur", IFERROR(_xlfn.SINGLE(_xlfn.XLOOKUP(G1956, Réttabanki!A:A, Réttabanki!AW:AW, "")) * I1956 / 100, ""), "")))</f>
        <v/>
      </c>
      <c r="Q1956" s="26" t="str">
        <f>IF(OR(F1956 = "", G1956 = "", I1956 = ""), "", IF(F1956 = "Vara", IFERROR(_xlfn.SINGLE(_xlfn.XLOOKUP(G1956, Vöruskrá!A:A, Vöruskrá!N:N, "")) * I1956 / 100, ""), IF(F1956 = "Réttur", IFERROR(_xlfn.SINGLE(_xlfn.XLOOKUP(G1956, Réttabanki!A:A, Réttabanki!BB:BB, "")) * I1956 / 100, ""), "")))</f>
        <v/>
      </c>
    </row>
    <row r="1957" spans="2:17">
      <c r="B1957" s="33" t="str">
        <f>IF(A1957&lt;&gt;"",CHOOSE(WEEKDAY(A1957,2),"Mánudagur","Þriðjudagur","Miðvikudagur","Fimmtudagur","Föstudagur","Laugardagur","Sunnudagur"),IF(B1956&lt;&gt;"",B1956,""))</f>
        <v>Fimmtudagur</v>
      </c>
      <c r="C1957" s="33">
        <f>IF(A1957&lt;&gt;"",WEEKNUM(A1957,21),IF(C1956&lt;&gt;"",C1956,""))</f>
        <v>27</v>
      </c>
      <c r="D1957" s="34"/>
      <c r="E1957" s="34"/>
      <c r="F1957" s="34"/>
      <c r="G1957" s="34"/>
      <c r="H1957" s="34"/>
      <c r="I1957" s="35"/>
      <c r="J1957" s="35"/>
      <c r="K1957" s="36"/>
      <c r="L1957" s="26" t="str">
        <f>IF(OR(F1957 = "", G1957 = ""), "", IF(F1957 = "Vara", IFERROR(_xlfn.SINGLE(_xlfn.XLOOKUP(G1957, Vöruskrá!A:A, Vöruskrá!E:E, "")), ""), IF(F1957 = "Réttur", IFERROR(_xlfn.SINGLE(_xlfn.XLOOKUP(G1957, Réttabanki!A:A, Réttabanki!AS:AS, "")), ""), "")))</f>
        <v/>
      </c>
      <c r="M1957" s="26" t="str">
        <f>IF(OR(F1957 = "", G1957 = ""), "", IF(F1957 = "Vara", IFERROR(_xlfn.SINGLE(_xlfn.XLOOKUP(G1957, Vöruskrá!A:A, Vöruskrá!F:F, "")), ""), IF(F1957 = "Réttur", IFERROR(_xlfn.SINGLE(_xlfn.XLOOKUP(G1957, Réttabanki!A:A, Réttabanki!AT:AT, "")), ""), "")))</f>
        <v/>
      </c>
      <c r="N1957" s="26" t="str">
        <f>IF(OR(F1957 = "", G1957 = ""), "", IF(F1957 = "Vara", IFERROR(_xlfn.SINGLE(_xlfn.XLOOKUP(G1957, Vöruskrá!A:A, Vöruskrá!G:G, "")), ""), IF(F1957 = "Réttur", IFERROR(_xlfn.SINGLE(_xlfn.XLOOKUP(G1957, Réttabanki!A:A, Réttabanki!AU:AU, "")), ""), "")))</f>
        <v/>
      </c>
      <c r="O1957" s="26" t="str">
        <f>IF(OR(F1957 = "", G1957 = "", I1957 = ""), "", IF(F1957 = "Vara", IFERROR(_xlfn.SINGLE(_xlfn.XLOOKUP(G1957, Vöruskrá!A:A, Vöruskrá!I:I, "")) * I1957 / 100, ""), IF(F1957 = "Réttur", IFERROR(_xlfn.SINGLE(_xlfn.XLOOKUP(G1957, Réttabanki!A:A, Réttabanki!AV:AV, "")) * I1957 / 100, ""), "")))</f>
        <v/>
      </c>
      <c r="P1957" s="26" t="str">
        <f>IF(OR(F1957 = "", G1957 = "", I1957 = ""), "", IF(F1957 = "Vara", IFERROR(_xlfn.SINGLE(_xlfn.XLOOKUP(G1957, Vöruskrá!A:A, Vöruskrá!J:J, "")) * I1957 / 100, ""), IF(F1957 = "Réttur", IFERROR(_xlfn.SINGLE(_xlfn.XLOOKUP(G1957, Réttabanki!A:A, Réttabanki!AW:AW, "")) * I1957 / 100, ""), "")))</f>
        <v/>
      </c>
      <c r="Q1957" s="26" t="str">
        <f>IF(OR(F1957 = "", G1957 = "", I1957 = ""), "", IF(F1957 = "Vara", IFERROR(_xlfn.SINGLE(_xlfn.XLOOKUP(G1957, Vöruskrá!A:A, Vöruskrá!N:N, "")) * I1957 / 100, ""), IF(F1957 = "Réttur", IFERROR(_xlfn.SINGLE(_xlfn.XLOOKUP(G1957, Réttabanki!A:A, Réttabanki!BB:BB, "")) * I1957 / 100, ""), "")))</f>
        <v/>
      </c>
    </row>
    <row r="1958" spans="2:17">
      <c r="B1958" s="33" t="str">
        <f>IF(A1958&lt;&gt;"",CHOOSE(WEEKDAY(A1958,2),"Mánudagur","Þriðjudagur","Miðvikudagur","Fimmtudagur","Föstudagur","Laugardagur","Sunnudagur"),IF(B1957&lt;&gt;"",B1957,""))</f>
        <v>Fimmtudagur</v>
      </c>
      <c r="C1958" s="33">
        <f>IF(A1958&lt;&gt;"",WEEKNUM(A1958,21),IF(C1957&lt;&gt;"",C1957,""))</f>
        <v>27</v>
      </c>
      <c r="D1958" s="34"/>
      <c r="E1958" s="34"/>
      <c r="F1958" s="34"/>
      <c r="G1958" s="34"/>
      <c r="H1958" s="34"/>
      <c r="I1958" s="35"/>
      <c r="J1958" s="35"/>
      <c r="K1958" s="36"/>
      <c r="L1958" s="26" t="str">
        <f>IF(OR(F1958 = "", G1958 = ""), "", IF(F1958 = "Vara", IFERROR(_xlfn.SINGLE(_xlfn.XLOOKUP(G1958, Vöruskrá!A:A, Vöruskrá!E:E, "")), ""), IF(F1958 = "Réttur", IFERROR(_xlfn.SINGLE(_xlfn.XLOOKUP(G1958, Réttabanki!A:A, Réttabanki!AS:AS, "")), ""), "")))</f>
        <v/>
      </c>
      <c r="M1958" s="26" t="str">
        <f>IF(OR(F1958 = "", G1958 = ""), "", IF(F1958 = "Vara", IFERROR(_xlfn.SINGLE(_xlfn.XLOOKUP(G1958, Vöruskrá!A:A, Vöruskrá!F:F, "")), ""), IF(F1958 = "Réttur", IFERROR(_xlfn.SINGLE(_xlfn.XLOOKUP(G1958, Réttabanki!A:A, Réttabanki!AT:AT, "")), ""), "")))</f>
        <v/>
      </c>
      <c r="N1958" s="26" t="str">
        <f>IF(OR(F1958 = "", G1958 = ""), "", IF(F1958 = "Vara", IFERROR(_xlfn.SINGLE(_xlfn.XLOOKUP(G1958, Vöruskrá!A:A, Vöruskrá!G:G, "")), ""), IF(F1958 = "Réttur", IFERROR(_xlfn.SINGLE(_xlfn.XLOOKUP(G1958, Réttabanki!A:A, Réttabanki!AU:AU, "")), ""), "")))</f>
        <v/>
      </c>
      <c r="O1958" s="26" t="str">
        <f>IF(OR(F1958 = "", G1958 = "", I1958 = ""), "", IF(F1958 = "Vara", IFERROR(_xlfn.SINGLE(_xlfn.XLOOKUP(G1958, Vöruskrá!A:A, Vöruskrá!I:I, "")) * I1958 / 100, ""), IF(F1958 = "Réttur", IFERROR(_xlfn.SINGLE(_xlfn.XLOOKUP(G1958, Réttabanki!A:A, Réttabanki!AV:AV, "")) * I1958 / 100, ""), "")))</f>
        <v/>
      </c>
      <c r="P1958" s="26" t="str">
        <f>IF(OR(F1958 = "", G1958 = "", I1958 = ""), "", IF(F1958 = "Vara", IFERROR(_xlfn.SINGLE(_xlfn.XLOOKUP(G1958, Vöruskrá!A:A, Vöruskrá!J:J, "")) * I1958 / 100, ""), IF(F1958 = "Réttur", IFERROR(_xlfn.SINGLE(_xlfn.XLOOKUP(G1958, Réttabanki!A:A, Réttabanki!AW:AW, "")) * I1958 / 100, ""), "")))</f>
        <v/>
      </c>
      <c r="Q1958" s="26" t="str">
        <f>IF(OR(F1958 = "", G1958 = "", I1958 = ""), "", IF(F1958 = "Vara", IFERROR(_xlfn.SINGLE(_xlfn.XLOOKUP(G1958, Vöruskrá!A:A, Vöruskrá!N:N, "")) * I1958 / 100, ""), IF(F1958 = "Réttur", IFERROR(_xlfn.SINGLE(_xlfn.XLOOKUP(G1958, Réttabanki!A:A, Réttabanki!BB:BB, "")) * I1958 / 100, ""), "")))</f>
        <v/>
      </c>
    </row>
    <row r="1959" spans="2:17">
      <c r="B1959" s="33" t="str">
        <f>IF(A1959&lt;&gt;"",CHOOSE(WEEKDAY(A1959,2),"Mánudagur","Þriðjudagur","Miðvikudagur","Fimmtudagur","Föstudagur","Laugardagur","Sunnudagur"),IF(B1958&lt;&gt;"",B1958,""))</f>
        <v>Fimmtudagur</v>
      </c>
      <c r="C1959" s="33">
        <f>IF(A1959&lt;&gt;"",WEEKNUM(A1959,21),IF(C1958&lt;&gt;"",C1958,""))</f>
        <v>27</v>
      </c>
      <c r="D1959" s="34"/>
      <c r="E1959" s="34"/>
      <c r="F1959" s="34"/>
      <c r="G1959" s="34"/>
      <c r="H1959" s="34"/>
      <c r="I1959" s="35"/>
      <c r="J1959" s="35"/>
      <c r="K1959" s="36"/>
      <c r="L1959" s="26" t="str">
        <f>IF(OR(F1959 = "", G1959 = ""), "", IF(F1959 = "Vara", IFERROR(_xlfn.SINGLE(_xlfn.XLOOKUP(G1959, Vöruskrá!A:A, Vöruskrá!E:E, "")), ""), IF(F1959 = "Réttur", IFERROR(_xlfn.SINGLE(_xlfn.XLOOKUP(G1959, Réttabanki!A:A, Réttabanki!AS:AS, "")), ""), "")))</f>
        <v/>
      </c>
      <c r="M1959" s="26" t="str">
        <f>IF(OR(F1959 = "", G1959 = ""), "", IF(F1959 = "Vara", IFERROR(_xlfn.SINGLE(_xlfn.XLOOKUP(G1959, Vöruskrá!A:A, Vöruskrá!F:F, "")), ""), IF(F1959 = "Réttur", IFERROR(_xlfn.SINGLE(_xlfn.XLOOKUP(G1959, Réttabanki!A:A, Réttabanki!AT:AT, "")), ""), "")))</f>
        <v/>
      </c>
      <c r="N1959" s="26" t="str">
        <f>IF(OR(F1959 = "", G1959 = ""), "", IF(F1959 = "Vara", IFERROR(_xlfn.SINGLE(_xlfn.XLOOKUP(G1959, Vöruskrá!A:A, Vöruskrá!G:G, "")), ""), IF(F1959 = "Réttur", IFERROR(_xlfn.SINGLE(_xlfn.XLOOKUP(G1959, Réttabanki!A:A, Réttabanki!AU:AU, "")), ""), "")))</f>
        <v/>
      </c>
      <c r="O1959" s="26" t="str">
        <f>IF(OR(F1959 = "", G1959 = "", I1959 = ""), "", IF(F1959 = "Vara", IFERROR(_xlfn.SINGLE(_xlfn.XLOOKUP(G1959, Vöruskrá!A:A, Vöruskrá!I:I, "")) * I1959 / 100, ""), IF(F1959 = "Réttur", IFERROR(_xlfn.SINGLE(_xlfn.XLOOKUP(G1959, Réttabanki!A:A, Réttabanki!AV:AV, "")) * I1959 / 100, ""), "")))</f>
        <v/>
      </c>
      <c r="P1959" s="26" t="str">
        <f>IF(OR(F1959 = "", G1959 = "", I1959 = ""), "", IF(F1959 = "Vara", IFERROR(_xlfn.SINGLE(_xlfn.XLOOKUP(G1959, Vöruskrá!A:A, Vöruskrá!J:J, "")) * I1959 / 100, ""), IF(F1959 = "Réttur", IFERROR(_xlfn.SINGLE(_xlfn.XLOOKUP(G1959, Réttabanki!A:A, Réttabanki!AW:AW, "")) * I1959 / 100, ""), "")))</f>
        <v/>
      </c>
      <c r="Q1959" s="26" t="str">
        <f>IF(OR(F1959 = "", G1959 = "", I1959 = ""), "", IF(F1959 = "Vara", IFERROR(_xlfn.SINGLE(_xlfn.XLOOKUP(G1959, Vöruskrá!A:A, Vöruskrá!N:N, "")) * I1959 / 100, ""), IF(F1959 = "Réttur", IFERROR(_xlfn.SINGLE(_xlfn.XLOOKUP(G1959, Réttabanki!A:A, Réttabanki!BB:BB, "")) * I1959 / 100, ""), "")))</f>
        <v/>
      </c>
    </row>
    <row r="1960" spans="2:17">
      <c r="B1960" s="33" t="str">
        <f>IF(A1960&lt;&gt;"",CHOOSE(WEEKDAY(A1960,2),"Mánudagur","Þriðjudagur","Miðvikudagur","Fimmtudagur","Föstudagur","Laugardagur","Sunnudagur"),IF(B1959&lt;&gt;"",B1959,""))</f>
        <v>Fimmtudagur</v>
      </c>
      <c r="C1960" s="33">
        <f>IF(A1960&lt;&gt;"",WEEKNUM(A1960,21),IF(C1959&lt;&gt;"",C1959,""))</f>
        <v>27</v>
      </c>
      <c r="D1960" s="34"/>
      <c r="E1960" s="34"/>
      <c r="F1960" s="34"/>
      <c r="G1960" s="34"/>
      <c r="H1960" s="34"/>
      <c r="I1960" s="35"/>
      <c r="J1960" s="35"/>
      <c r="K1960" s="36"/>
      <c r="L1960" s="26" t="str">
        <f>IF(OR(F1960 = "", G1960 = ""), "", IF(F1960 = "Vara", IFERROR(_xlfn.SINGLE(_xlfn.XLOOKUP(G1960, Vöruskrá!A:A, Vöruskrá!E:E, "")), ""), IF(F1960 = "Réttur", IFERROR(_xlfn.SINGLE(_xlfn.XLOOKUP(G1960, Réttabanki!A:A, Réttabanki!AS:AS, "")), ""), "")))</f>
        <v/>
      </c>
      <c r="M1960" s="26" t="str">
        <f>IF(OR(F1960 = "", G1960 = ""), "", IF(F1960 = "Vara", IFERROR(_xlfn.SINGLE(_xlfn.XLOOKUP(G1960, Vöruskrá!A:A, Vöruskrá!F:F, "")), ""), IF(F1960 = "Réttur", IFERROR(_xlfn.SINGLE(_xlfn.XLOOKUP(G1960, Réttabanki!A:A, Réttabanki!AT:AT, "")), ""), "")))</f>
        <v/>
      </c>
      <c r="N1960" s="26" t="str">
        <f>IF(OR(F1960 = "", G1960 = ""), "", IF(F1960 = "Vara", IFERROR(_xlfn.SINGLE(_xlfn.XLOOKUP(G1960, Vöruskrá!A:A, Vöruskrá!G:G, "")), ""), IF(F1960 = "Réttur", IFERROR(_xlfn.SINGLE(_xlfn.XLOOKUP(G1960, Réttabanki!A:A, Réttabanki!AU:AU, "")), ""), "")))</f>
        <v/>
      </c>
      <c r="O1960" s="26" t="str">
        <f>IF(OR(F1960 = "", G1960 = "", I1960 = ""), "", IF(F1960 = "Vara", IFERROR(_xlfn.SINGLE(_xlfn.XLOOKUP(G1960, Vöruskrá!A:A, Vöruskrá!I:I, "")) * I1960 / 100, ""), IF(F1960 = "Réttur", IFERROR(_xlfn.SINGLE(_xlfn.XLOOKUP(G1960, Réttabanki!A:A, Réttabanki!AV:AV, "")) * I1960 / 100, ""), "")))</f>
        <v/>
      </c>
      <c r="P1960" s="26" t="str">
        <f>IF(OR(F1960 = "", G1960 = "", I1960 = ""), "", IF(F1960 = "Vara", IFERROR(_xlfn.SINGLE(_xlfn.XLOOKUP(G1960, Vöruskrá!A:A, Vöruskrá!J:J, "")) * I1960 / 100, ""), IF(F1960 = "Réttur", IFERROR(_xlfn.SINGLE(_xlfn.XLOOKUP(G1960, Réttabanki!A:A, Réttabanki!AW:AW, "")) * I1960 / 100, ""), "")))</f>
        <v/>
      </c>
      <c r="Q1960" s="26" t="str">
        <f>IF(OR(F1960 = "", G1960 = "", I1960 = ""), "", IF(F1960 = "Vara", IFERROR(_xlfn.SINGLE(_xlfn.XLOOKUP(G1960, Vöruskrá!A:A, Vöruskrá!N:N, "")) * I1960 / 100, ""), IF(F1960 = "Réttur", IFERROR(_xlfn.SINGLE(_xlfn.XLOOKUP(G1960, Réttabanki!A:A, Réttabanki!BB:BB, "")) * I1960 / 100, ""), "")))</f>
        <v/>
      </c>
    </row>
    <row r="1961" spans="2:17">
      <c r="B1961" s="33" t="str">
        <f>IF(A1961&lt;&gt;"",CHOOSE(WEEKDAY(A1961,2),"Mánudagur","Þriðjudagur","Miðvikudagur","Fimmtudagur","Föstudagur","Laugardagur","Sunnudagur"),IF(B1960&lt;&gt;"",B1960,""))</f>
        <v>Fimmtudagur</v>
      </c>
      <c r="C1961" s="33">
        <f>IF(A1961&lt;&gt;"",WEEKNUM(A1961,21),IF(C1960&lt;&gt;"",C1960,""))</f>
        <v>27</v>
      </c>
      <c r="D1961" s="34"/>
      <c r="E1961" s="34"/>
      <c r="F1961" s="34"/>
      <c r="G1961" s="34"/>
      <c r="H1961" s="34"/>
      <c r="I1961" s="35"/>
      <c r="J1961" s="35"/>
      <c r="K1961" s="36"/>
      <c r="L1961" s="26" t="str">
        <f>IF(OR(F1961 = "", G1961 = ""), "", IF(F1961 = "Vara", IFERROR(_xlfn.SINGLE(_xlfn.XLOOKUP(G1961, Vöruskrá!A:A, Vöruskrá!E:E, "")), ""), IF(F1961 = "Réttur", IFERROR(_xlfn.SINGLE(_xlfn.XLOOKUP(G1961, Réttabanki!A:A, Réttabanki!AS:AS, "")), ""), "")))</f>
        <v/>
      </c>
      <c r="M1961" s="26" t="str">
        <f>IF(OR(F1961 = "", G1961 = ""), "", IF(F1961 = "Vara", IFERROR(_xlfn.SINGLE(_xlfn.XLOOKUP(G1961, Vöruskrá!A:A, Vöruskrá!F:F, "")), ""), IF(F1961 = "Réttur", IFERROR(_xlfn.SINGLE(_xlfn.XLOOKUP(G1961, Réttabanki!A:A, Réttabanki!AT:AT, "")), ""), "")))</f>
        <v/>
      </c>
      <c r="N1961" s="26" t="str">
        <f>IF(OR(F1961 = "", G1961 = ""), "", IF(F1961 = "Vara", IFERROR(_xlfn.SINGLE(_xlfn.XLOOKUP(G1961, Vöruskrá!A:A, Vöruskrá!G:G, "")), ""), IF(F1961 = "Réttur", IFERROR(_xlfn.SINGLE(_xlfn.XLOOKUP(G1961, Réttabanki!A:A, Réttabanki!AU:AU, "")), ""), "")))</f>
        <v/>
      </c>
      <c r="O1961" s="26" t="str">
        <f>IF(OR(F1961 = "", G1961 = "", I1961 = ""), "", IF(F1961 = "Vara", IFERROR(_xlfn.SINGLE(_xlfn.XLOOKUP(G1961, Vöruskrá!A:A, Vöruskrá!I:I, "")) * I1961 / 100, ""), IF(F1961 = "Réttur", IFERROR(_xlfn.SINGLE(_xlfn.XLOOKUP(G1961, Réttabanki!A:A, Réttabanki!AV:AV, "")) * I1961 / 100, ""), "")))</f>
        <v/>
      </c>
      <c r="P1961" s="26" t="str">
        <f>IF(OR(F1961 = "", G1961 = "", I1961 = ""), "", IF(F1961 = "Vara", IFERROR(_xlfn.SINGLE(_xlfn.XLOOKUP(G1961, Vöruskrá!A:A, Vöruskrá!J:J, "")) * I1961 / 100, ""), IF(F1961 = "Réttur", IFERROR(_xlfn.SINGLE(_xlfn.XLOOKUP(G1961, Réttabanki!A:A, Réttabanki!AW:AW, "")) * I1961 / 100, ""), "")))</f>
        <v/>
      </c>
      <c r="Q1961" s="26" t="str">
        <f>IF(OR(F1961 = "", G1961 = "", I1961 = ""), "", IF(F1961 = "Vara", IFERROR(_xlfn.SINGLE(_xlfn.XLOOKUP(G1961, Vöruskrá!A:A, Vöruskrá!N:N, "")) * I1961 / 100, ""), IF(F1961 = "Réttur", IFERROR(_xlfn.SINGLE(_xlfn.XLOOKUP(G1961, Réttabanki!A:A, Réttabanki!BB:BB, "")) * I1961 / 100, ""), "")))</f>
        <v/>
      </c>
    </row>
    <row r="1962" spans="2:17">
      <c r="B1962" s="33" t="str">
        <f>IF(A1962&lt;&gt;"",CHOOSE(WEEKDAY(A1962,2),"Mánudagur","Þriðjudagur","Miðvikudagur","Fimmtudagur","Föstudagur","Laugardagur","Sunnudagur"),IF(B1961&lt;&gt;"",B1961,""))</f>
        <v>Fimmtudagur</v>
      </c>
      <c r="C1962" s="33">
        <f>IF(A1962&lt;&gt;"",WEEKNUM(A1962,21),IF(C1961&lt;&gt;"",C1961,""))</f>
        <v>27</v>
      </c>
      <c r="D1962" s="34"/>
      <c r="E1962" s="34"/>
      <c r="F1962" s="34"/>
      <c r="G1962" s="34"/>
      <c r="H1962" s="34"/>
      <c r="I1962" s="35"/>
      <c r="J1962" s="35"/>
      <c r="K1962" s="36"/>
      <c r="L1962" s="26" t="str">
        <f>IF(OR(F1962 = "", G1962 = ""), "", IF(F1962 = "Vara", IFERROR(_xlfn.SINGLE(_xlfn.XLOOKUP(G1962, Vöruskrá!A:A, Vöruskrá!E:E, "")), ""), IF(F1962 = "Réttur", IFERROR(_xlfn.SINGLE(_xlfn.XLOOKUP(G1962, Réttabanki!A:A, Réttabanki!AS:AS, "")), ""), "")))</f>
        <v/>
      </c>
      <c r="M1962" s="26" t="str">
        <f>IF(OR(F1962 = "", G1962 = ""), "", IF(F1962 = "Vara", IFERROR(_xlfn.SINGLE(_xlfn.XLOOKUP(G1962, Vöruskrá!A:A, Vöruskrá!F:F, "")), ""), IF(F1962 = "Réttur", IFERROR(_xlfn.SINGLE(_xlfn.XLOOKUP(G1962, Réttabanki!A:A, Réttabanki!AT:AT, "")), ""), "")))</f>
        <v/>
      </c>
      <c r="N1962" s="26" t="str">
        <f>IF(OR(F1962 = "", G1962 = ""), "", IF(F1962 = "Vara", IFERROR(_xlfn.SINGLE(_xlfn.XLOOKUP(G1962, Vöruskrá!A:A, Vöruskrá!G:G, "")), ""), IF(F1962 = "Réttur", IFERROR(_xlfn.SINGLE(_xlfn.XLOOKUP(G1962, Réttabanki!A:A, Réttabanki!AU:AU, "")), ""), "")))</f>
        <v/>
      </c>
      <c r="O1962" s="26" t="str">
        <f>IF(OR(F1962 = "", G1962 = "", I1962 = ""), "", IF(F1962 = "Vara", IFERROR(_xlfn.SINGLE(_xlfn.XLOOKUP(G1962, Vöruskrá!A:A, Vöruskrá!I:I, "")) * I1962 / 100, ""), IF(F1962 = "Réttur", IFERROR(_xlfn.SINGLE(_xlfn.XLOOKUP(G1962, Réttabanki!A:A, Réttabanki!AV:AV, "")) * I1962 / 100, ""), "")))</f>
        <v/>
      </c>
      <c r="P1962" s="26" t="str">
        <f>IF(OR(F1962 = "", G1962 = "", I1962 = ""), "", IF(F1962 = "Vara", IFERROR(_xlfn.SINGLE(_xlfn.XLOOKUP(G1962, Vöruskrá!A:A, Vöruskrá!J:J, "")) * I1962 / 100, ""), IF(F1962 = "Réttur", IFERROR(_xlfn.SINGLE(_xlfn.XLOOKUP(G1962, Réttabanki!A:A, Réttabanki!AW:AW, "")) * I1962 / 100, ""), "")))</f>
        <v/>
      </c>
      <c r="Q1962" s="26" t="str">
        <f>IF(OR(F1962 = "", G1962 = "", I1962 = ""), "", IF(F1962 = "Vara", IFERROR(_xlfn.SINGLE(_xlfn.XLOOKUP(G1962, Vöruskrá!A:A, Vöruskrá!N:N, "")) * I1962 / 100, ""), IF(F1962 = "Réttur", IFERROR(_xlfn.SINGLE(_xlfn.XLOOKUP(G1962, Réttabanki!A:A, Réttabanki!BB:BB, "")) * I1962 / 100, ""), "")))</f>
        <v/>
      </c>
    </row>
    <row r="1963" spans="2:17">
      <c r="B1963" s="33" t="str">
        <f>IF(A1963&lt;&gt;"",CHOOSE(WEEKDAY(A1963,2),"Mánudagur","Þriðjudagur","Miðvikudagur","Fimmtudagur","Föstudagur","Laugardagur","Sunnudagur"),IF(B1962&lt;&gt;"",B1962,""))</f>
        <v>Fimmtudagur</v>
      </c>
      <c r="C1963" s="33">
        <f>IF(A1963&lt;&gt;"",WEEKNUM(A1963,21),IF(C1962&lt;&gt;"",C1962,""))</f>
        <v>27</v>
      </c>
      <c r="D1963" s="34"/>
      <c r="E1963" s="34"/>
      <c r="F1963" s="34"/>
      <c r="G1963" s="34"/>
      <c r="H1963" s="34"/>
      <c r="I1963" s="35"/>
      <c r="J1963" s="35"/>
      <c r="K1963" s="36"/>
      <c r="L1963" s="26" t="str">
        <f>IF(OR(F1963 = "", G1963 = ""), "", IF(F1963 = "Vara", IFERROR(_xlfn.SINGLE(_xlfn.XLOOKUP(G1963, Vöruskrá!A:A, Vöruskrá!E:E, "")), ""), IF(F1963 = "Réttur", IFERROR(_xlfn.SINGLE(_xlfn.XLOOKUP(G1963, Réttabanki!A:A, Réttabanki!AS:AS, "")), ""), "")))</f>
        <v/>
      </c>
      <c r="M1963" s="26" t="str">
        <f>IF(OR(F1963 = "", G1963 = ""), "", IF(F1963 = "Vara", IFERROR(_xlfn.SINGLE(_xlfn.XLOOKUP(G1963, Vöruskrá!A:A, Vöruskrá!F:F, "")), ""), IF(F1963 = "Réttur", IFERROR(_xlfn.SINGLE(_xlfn.XLOOKUP(G1963, Réttabanki!A:A, Réttabanki!AT:AT, "")), ""), "")))</f>
        <v/>
      </c>
      <c r="N1963" s="26" t="str">
        <f>IF(OR(F1963 = "", G1963 = ""), "", IF(F1963 = "Vara", IFERROR(_xlfn.SINGLE(_xlfn.XLOOKUP(G1963, Vöruskrá!A:A, Vöruskrá!G:G, "")), ""), IF(F1963 = "Réttur", IFERROR(_xlfn.SINGLE(_xlfn.XLOOKUP(G1963, Réttabanki!A:A, Réttabanki!AU:AU, "")), ""), "")))</f>
        <v/>
      </c>
      <c r="O1963" s="26" t="str">
        <f>IF(OR(F1963 = "", G1963 = "", I1963 = ""), "", IF(F1963 = "Vara", IFERROR(_xlfn.SINGLE(_xlfn.XLOOKUP(G1963, Vöruskrá!A:A, Vöruskrá!I:I, "")) * I1963 / 100, ""), IF(F1963 = "Réttur", IFERROR(_xlfn.SINGLE(_xlfn.XLOOKUP(G1963, Réttabanki!A:A, Réttabanki!AV:AV, "")) * I1963 / 100, ""), "")))</f>
        <v/>
      </c>
      <c r="P1963" s="26" t="str">
        <f>IF(OR(F1963 = "", G1963 = "", I1963 = ""), "", IF(F1963 = "Vara", IFERROR(_xlfn.SINGLE(_xlfn.XLOOKUP(G1963, Vöruskrá!A:A, Vöruskrá!J:J, "")) * I1963 / 100, ""), IF(F1963 = "Réttur", IFERROR(_xlfn.SINGLE(_xlfn.XLOOKUP(G1963, Réttabanki!A:A, Réttabanki!AW:AW, "")) * I1963 / 100, ""), "")))</f>
        <v/>
      </c>
      <c r="Q1963" s="26" t="str">
        <f>IF(OR(F1963 = "", G1963 = "", I1963 = ""), "", IF(F1963 = "Vara", IFERROR(_xlfn.SINGLE(_xlfn.XLOOKUP(G1963, Vöruskrá!A:A, Vöruskrá!N:N, "")) * I1963 / 100, ""), IF(F1963 = "Réttur", IFERROR(_xlfn.SINGLE(_xlfn.XLOOKUP(G1963, Réttabanki!A:A, Réttabanki!BB:BB, "")) * I1963 / 100, ""), "")))</f>
        <v/>
      </c>
    </row>
    <row r="1964" spans="2:17">
      <c r="B1964" s="33" t="str">
        <f>IF(A1964&lt;&gt;"",CHOOSE(WEEKDAY(A1964,2),"Mánudagur","Þriðjudagur","Miðvikudagur","Fimmtudagur","Föstudagur","Laugardagur","Sunnudagur"),IF(B1963&lt;&gt;"",B1963,""))</f>
        <v>Fimmtudagur</v>
      </c>
      <c r="C1964" s="33">
        <f>IF(A1964&lt;&gt;"",WEEKNUM(A1964,21),IF(C1963&lt;&gt;"",C1963,""))</f>
        <v>27</v>
      </c>
      <c r="D1964" s="34"/>
      <c r="E1964" s="34"/>
      <c r="F1964" s="34"/>
      <c r="G1964" s="34"/>
      <c r="H1964" s="34"/>
      <c r="I1964" s="35"/>
      <c r="J1964" s="35"/>
      <c r="K1964" s="36"/>
      <c r="L1964" s="26" t="str">
        <f>IF(OR(F1964 = "", G1964 = ""), "", IF(F1964 = "Vara", IFERROR(_xlfn.SINGLE(_xlfn.XLOOKUP(G1964, Vöruskrá!A:A, Vöruskrá!E:E, "")), ""), IF(F1964 = "Réttur", IFERROR(_xlfn.SINGLE(_xlfn.XLOOKUP(G1964, Réttabanki!A:A, Réttabanki!AS:AS, "")), ""), "")))</f>
        <v/>
      </c>
      <c r="M1964" s="26" t="str">
        <f>IF(OR(F1964 = "", G1964 = ""), "", IF(F1964 = "Vara", IFERROR(_xlfn.SINGLE(_xlfn.XLOOKUP(G1964, Vöruskrá!A:A, Vöruskrá!F:F, "")), ""), IF(F1964 = "Réttur", IFERROR(_xlfn.SINGLE(_xlfn.XLOOKUP(G1964, Réttabanki!A:A, Réttabanki!AT:AT, "")), ""), "")))</f>
        <v/>
      </c>
      <c r="N1964" s="26" t="str">
        <f>IF(OR(F1964 = "", G1964 = ""), "", IF(F1964 = "Vara", IFERROR(_xlfn.SINGLE(_xlfn.XLOOKUP(G1964, Vöruskrá!A:A, Vöruskrá!G:G, "")), ""), IF(F1964 = "Réttur", IFERROR(_xlfn.SINGLE(_xlfn.XLOOKUP(G1964, Réttabanki!A:A, Réttabanki!AU:AU, "")), ""), "")))</f>
        <v/>
      </c>
      <c r="O1964" s="26" t="str">
        <f>IF(OR(F1964 = "", G1964 = "", I1964 = ""), "", IF(F1964 = "Vara", IFERROR(_xlfn.SINGLE(_xlfn.XLOOKUP(G1964, Vöruskrá!A:A, Vöruskrá!I:I, "")) * I1964 / 100, ""), IF(F1964 = "Réttur", IFERROR(_xlfn.SINGLE(_xlfn.XLOOKUP(G1964, Réttabanki!A:A, Réttabanki!AV:AV, "")) * I1964 / 100, ""), "")))</f>
        <v/>
      </c>
      <c r="P1964" s="26" t="str">
        <f>IF(OR(F1964 = "", G1964 = "", I1964 = ""), "", IF(F1964 = "Vara", IFERROR(_xlfn.SINGLE(_xlfn.XLOOKUP(G1964, Vöruskrá!A:A, Vöruskrá!J:J, "")) * I1964 / 100, ""), IF(F1964 = "Réttur", IFERROR(_xlfn.SINGLE(_xlfn.XLOOKUP(G1964, Réttabanki!A:A, Réttabanki!AW:AW, "")) * I1964 / 100, ""), "")))</f>
        <v/>
      </c>
      <c r="Q1964" s="26" t="str">
        <f>IF(OR(F1964 = "", G1964 = "", I1964 = ""), "", IF(F1964 = "Vara", IFERROR(_xlfn.SINGLE(_xlfn.XLOOKUP(G1964, Vöruskrá!A:A, Vöruskrá!N:N, "")) * I1964 / 100, ""), IF(F1964 = "Réttur", IFERROR(_xlfn.SINGLE(_xlfn.XLOOKUP(G1964, Réttabanki!A:A, Réttabanki!BB:BB, "")) * I1964 / 100, ""), "")))</f>
        <v/>
      </c>
    </row>
    <row r="1965" spans="2:17">
      <c r="B1965" s="33" t="str">
        <f>IF(A1965&lt;&gt;"",CHOOSE(WEEKDAY(A1965,2),"Mánudagur","Þriðjudagur","Miðvikudagur","Fimmtudagur","Föstudagur","Laugardagur","Sunnudagur"),IF(B1964&lt;&gt;"",B1964,""))</f>
        <v>Fimmtudagur</v>
      </c>
      <c r="C1965" s="33">
        <f>IF(A1965&lt;&gt;"",WEEKNUM(A1965,21),IF(C1964&lt;&gt;"",C1964,""))</f>
        <v>27</v>
      </c>
      <c r="D1965" s="34"/>
      <c r="E1965" s="34"/>
      <c r="F1965" s="34"/>
      <c r="G1965" s="34"/>
      <c r="H1965" s="34"/>
      <c r="I1965" s="35"/>
      <c r="J1965" s="35"/>
      <c r="K1965" s="36"/>
      <c r="L1965" s="26" t="str">
        <f>IF(OR(F1965 = "", G1965 = ""), "", IF(F1965 = "Vara", IFERROR(_xlfn.SINGLE(_xlfn.XLOOKUP(G1965, Vöruskrá!A:A, Vöruskrá!E:E, "")), ""), IF(F1965 = "Réttur", IFERROR(_xlfn.SINGLE(_xlfn.XLOOKUP(G1965, Réttabanki!A:A, Réttabanki!AS:AS, "")), ""), "")))</f>
        <v/>
      </c>
      <c r="M1965" s="26" t="str">
        <f>IF(OR(F1965 = "", G1965 = ""), "", IF(F1965 = "Vara", IFERROR(_xlfn.SINGLE(_xlfn.XLOOKUP(G1965, Vöruskrá!A:A, Vöruskrá!F:F, "")), ""), IF(F1965 = "Réttur", IFERROR(_xlfn.SINGLE(_xlfn.XLOOKUP(G1965, Réttabanki!A:A, Réttabanki!AT:AT, "")), ""), "")))</f>
        <v/>
      </c>
      <c r="N1965" s="26" t="str">
        <f>IF(OR(F1965 = "", G1965 = ""), "", IF(F1965 = "Vara", IFERROR(_xlfn.SINGLE(_xlfn.XLOOKUP(G1965, Vöruskrá!A:A, Vöruskrá!G:G, "")), ""), IF(F1965 = "Réttur", IFERROR(_xlfn.SINGLE(_xlfn.XLOOKUP(G1965, Réttabanki!A:A, Réttabanki!AU:AU, "")), ""), "")))</f>
        <v/>
      </c>
      <c r="O1965" s="26" t="str">
        <f>IF(OR(F1965 = "", G1965 = "", I1965 = ""), "", IF(F1965 = "Vara", IFERROR(_xlfn.SINGLE(_xlfn.XLOOKUP(G1965, Vöruskrá!A:A, Vöruskrá!I:I, "")) * I1965 / 100, ""), IF(F1965 = "Réttur", IFERROR(_xlfn.SINGLE(_xlfn.XLOOKUP(G1965, Réttabanki!A:A, Réttabanki!AV:AV, "")) * I1965 / 100, ""), "")))</f>
        <v/>
      </c>
      <c r="P1965" s="26" t="str">
        <f>IF(OR(F1965 = "", G1965 = "", I1965 = ""), "", IF(F1965 = "Vara", IFERROR(_xlfn.SINGLE(_xlfn.XLOOKUP(G1965, Vöruskrá!A:A, Vöruskrá!J:J, "")) * I1965 / 100, ""), IF(F1965 = "Réttur", IFERROR(_xlfn.SINGLE(_xlfn.XLOOKUP(G1965, Réttabanki!A:A, Réttabanki!AW:AW, "")) * I1965 / 100, ""), "")))</f>
        <v/>
      </c>
      <c r="Q1965" s="26" t="str">
        <f>IF(OR(F1965 = "", G1965 = "", I1965 = ""), "", IF(F1965 = "Vara", IFERROR(_xlfn.SINGLE(_xlfn.XLOOKUP(G1965, Vöruskrá!A:A, Vöruskrá!N:N, "")) * I1965 / 100, ""), IF(F1965 = "Réttur", IFERROR(_xlfn.SINGLE(_xlfn.XLOOKUP(G1965, Réttabanki!A:A, Réttabanki!BB:BB, "")) * I1965 / 100, ""), "")))</f>
        <v/>
      </c>
    </row>
    <row r="1966" spans="2:17">
      <c r="B1966" s="33" t="str">
        <f>IF(A1966&lt;&gt;"",CHOOSE(WEEKDAY(A1966,2),"Mánudagur","Þriðjudagur","Miðvikudagur","Fimmtudagur","Föstudagur","Laugardagur","Sunnudagur"),IF(B1965&lt;&gt;"",B1965,""))</f>
        <v>Fimmtudagur</v>
      </c>
      <c r="C1966" s="33">
        <f>IF(A1966&lt;&gt;"",WEEKNUM(A1966,21),IF(C1965&lt;&gt;"",C1965,""))</f>
        <v>27</v>
      </c>
      <c r="D1966" s="34"/>
      <c r="E1966" s="34"/>
      <c r="F1966" s="34"/>
      <c r="G1966" s="34"/>
      <c r="H1966" s="34"/>
      <c r="I1966" s="35"/>
      <c r="J1966" s="35"/>
      <c r="K1966" s="36"/>
      <c r="L1966" s="26" t="str">
        <f>IF(OR(F1966 = "", G1966 = ""), "", IF(F1966 = "Vara", IFERROR(_xlfn.SINGLE(_xlfn.XLOOKUP(G1966, Vöruskrá!A:A, Vöruskrá!E:E, "")), ""), IF(F1966 = "Réttur", IFERROR(_xlfn.SINGLE(_xlfn.XLOOKUP(G1966, Réttabanki!A:A, Réttabanki!AS:AS, "")), ""), "")))</f>
        <v/>
      </c>
      <c r="M1966" s="26" t="str">
        <f>IF(OR(F1966 = "", G1966 = ""), "", IF(F1966 = "Vara", IFERROR(_xlfn.SINGLE(_xlfn.XLOOKUP(G1966, Vöruskrá!A:A, Vöruskrá!F:F, "")), ""), IF(F1966 = "Réttur", IFERROR(_xlfn.SINGLE(_xlfn.XLOOKUP(G1966, Réttabanki!A:A, Réttabanki!AT:AT, "")), ""), "")))</f>
        <v/>
      </c>
      <c r="N1966" s="26" t="str">
        <f>IF(OR(F1966 = "", G1966 = ""), "", IF(F1966 = "Vara", IFERROR(_xlfn.SINGLE(_xlfn.XLOOKUP(G1966, Vöruskrá!A:A, Vöruskrá!G:G, "")), ""), IF(F1966 = "Réttur", IFERROR(_xlfn.SINGLE(_xlfn.XLOOKUP(G1966, Réttabanki!A:A, Réttabanki!AU:AU, "")), ""), "")))</f>
        <v/>
      </c>
      <c r="O1966" s="26" t="str">
        <f>IF(OR(F1966 = "", G1966 = "", I1966 = ""), "", IF(F1966 = "Vara", IFERROR(_xlfn.SINGLE(_xlfn.XLOOKUP(G1966, Vöruskrá!A:A, Vöruskrá!I:I, "")) * I1966 / 100, ""), IF(F1966 = "Réttur", IFERROR(_xlfn.SINGLE(_xlfn.XLOOKUP(G1966, Réttabanki!A:A, Réttabanki!AV:AV, "")) * I1966 / 100, ""), "")))</f>
        <v/>
      </c>
      <c r="P1966" s="26" t="str">
        <f>IF(OR(F1966 = "", G1966 = "", I1966 = ""), "", IF(F1966 = "Vara", IFERROR(_xlfn.SINGLE(_xlfn.XLOOKUP(G1966, Vöruskrá!A:A, Vöruskrá!J:J, "")) * I1966 / 100, ""), IF(F1966 = "Réttur", IFERROR(_xlfn.SINGLE(_xlfn.XLOOKUP(G1966, Réttabanki!A:A, Réttabanki!AW:AW, "")) * I1966 / 100, ""), "")))</f>
        <v/>
      </c>
      <c r="Q1966" s="26" t="str">
        <f>IF(OR(F1966 = "", G1966 = "", I1966 = ""), "", IF(F1966 = "Vara", IFERROR(_xlfn.SINGLE(_xlfn.XLOOKUP(G1966, Vöruskrá!A:A, Vöruskrá!N:N, "")) * I1966 / 100, ""), IF(F1966 = "Réttur", IFERROR(_xlfn.SINGLE(_xlfn.XLOOKUP(G1966, Réttabanki!A:A, Réttabanki!BB:BB, "")) * I1966 / 100, ""), "")))</f>
        <v/>
      </c>
    </row>
    <row r="1967" spans="2:17">
      <c r="B1967" s="33" t="str">
        <f>IF(A1967&lt;&gt;"",CHOOSE(WEEKDAY(A1967,2),"Mánudagur","Þriðjudagur","Miðvikudagur","Fimmtudagur","Föstudagur","Laugardagur","Sunnudagur"),IF(B1966&lt;&gt;"",B1966,""))</f>
        <v>Fimmtudagur</v>
      </c>
      <c r="C1967" s="33">
        <f>IF(A1967&lt;&gt;"",WEEKNUM(A1967,21),IF(C1966&lt;&gt;"",C1966,""))</f>
        <v>27</v>
      </c>
      <c r="D1967" s="34"/>
      <c r="E1967" s="34"/>
      <c r="F1967" s="34"/>
      <c r="G1967" s="34"/>
      <c r="H1967" s="34"/>
      <c r="I1967" s="35"/>
      <c r="J1967" s="35"/>
      <c r="K1967" s="36"/>
      <c r="L1967" s="26" t="str">
        <f>IF(OR(F1967 = "", G1967 = ""), "", IF(F1967 = "Vara", IFERROR(_xlfn.SINGLE(_xlfn.XLOOKUP(G1967, Vöruskrá!A:A, Vöruskrá!E:E, "")), ""), IF(F1967 = "Réttur", IFERROR(_xlfn.SINGLE(_xlfn.XLOOKUP(G1967, Réttabanki!A:A, Réttabanki!AS:AS, "")), ""), "")))</f>
        <v/>
      </c>
      <c r="M1967" s="26" t="str">
        <f>IF(OR(F1967 = "", G1967 = ""), "", IF(F1967 = "Vara", IFERROR(_xlfn.SINGLE(_xlfn.XLOOKUP(G1967, Vöruskrá!A:A, Vöruskrá!F:F, "")), ""), IF(F1967 = "Réttur", IFERROR(_xlfn.SINGLE(_xlfn.XLOOKUP(G1967, Réttabanki!A:A, Réttabanki!AT:AT, "")), ""), "")))</f>
        <v/>
      </c>
      <c r="N1967" s="26" t="str">
        <f>IF(OR(F1967 = "", G1967 = ""), "", IF(F1967 = "Vara", IFERROR(_xlfn.SINGLE(_xlfn.XLOOKUP(G1967, Vöruskrá!A:A, Vöruskrá!G:G, "")), ""), IF(F1967 = "Réttur", IFERROR(_xlfn.SINGLE(_xlfn.XLOOKUP(G1967, Réttabanki!A:A, Réttabanki!AU:AU, "")), ""), "")))</f>
        <v/>
      </c>
      <c r="O1967" s="26" t="str">
        <f>IF(OR(F1967 = "", G1967 = "", I1967 = ""), "", IF(F1967 = "Vara", IFERROR(_xlfn.SINGLE(_xlfn.XLOOKUP(G1967, Vöruskrá!A:A, Vöruskrá!I:I, "")) * I1967 / 100, ""), IF(F1967 = "Réttur", IFERROR(_xlfn.SINGLE(_xlfn.XLOOKUP(G1967, Réttabanki!A:A, Réttabanki!AV:AV, "")) * I1967 / 100, ""), "")))</f>
        <v/>
      </c>
      <c r="P1967" s="26" t="str">
        <f>IF(OR(F1967 = "", G1967 = "", I1967 = ""), "", IF(F1967 = "Vara", IFERROR(_xlfn.SINGLE(_xlfn.XLOOKUP(G1967, Vöruskrá!A:A, Vöruskrá!J:J, "")) * I1967 / 100, ""), IF(F1967 = "Réttur", IFERROR(_xlfn.SINGLE(_xlfn.XLOOKUP(G1967, Réttabanki!A:A, Réttabanki!AW:AW, "")) * I1967 / 100, ""), "")))</f>
        <v/>
      </c>
      <c r="Q1967" s="26" t="str">
        <f>IF(OR(F1967 = "", G1967 = "", I1967 = ""), "", IF(F1967 = "Vara", IFERROR(_xlfn.SINGLE(_xlfn.XLOOKUP(G1967, Vöruskrá!A:A, Vöruskrá!N:N, "")) * I1967 / 100, ""), IF(F1967 = "Réttur", IFERROR(_xlfn.SINGLE(_xlfn.XLOOKUP(G1967, Réttabanki!A:A, Réttabanki!BB:BB, "")) * I1967 / 100, ""), "")))</f>
        <v/>
      </c>
    </row>
    <row r="1968" spans="2:17">
      <c r="B1968" s="33" t="str">
        <f>IF(A1968&lt;&gt;"",CHOOSE(WEEKDAY(A1968,2),"Mánudagur","Þriðjudagur","Miðvikudagur","Fimmtudagur","Föstudagur","Laugardagur","Sunnudagur"),IF(B1967&lt;&gt;"",B1967,""))</f>
        <v>Fimmtudagur</v>
      </c>
      <c r="C1968" s="33">
        <f>IF(A1968&lt;&gt;"",WEEKNUM(A1968,21),IF(C1967&lt;&gt;"",C1967,""))</f>
        <v>27</v>
      </c>
      <c r="D1968" s="34"/>
      <c r="E1968" s="34"/>
      <c r="F1968" s="34"/>
      <c r="G1968" s="34"/>
      <c r="H1968" s="34"/>
      <c r="I1968" s="35"/>
      <c r="J1968" s="35"/>
      <c r="K1968" s="36"/>
      <c r="L1968" s="26" t="str">
        <f>IF(OR(F1968 = "", G1968 = ""), "", IF(F1968 = "Vara", IFERROR(_xlfn.SINGLE(_xlfn.XLOOKUP(G1968, Vöruskrá!A:A, Vöruskrá!E:E, "")), ""), IF(F1968 = "Réttur", IFERROR(_xlfn.SINGLE(_xlfn.XLOOKUP(G1968, Réttabanki!A:A, Réttabanki!AS:AS, "")), ""), "")))</f>
        <v/>
      </c>
      <c r="M1968" s="26" t="str">
        <f>IF(OR(F1968 = "", G1968 = ""), "", IF(F1968 = "Vara", IFERROR(_xlfn.SINGLE(_xlfn.XLOOKUP(G1968, Vöruskrá!A:A, Vöruskrá!F:F, "")), ""), IF(F1968 = "Réttur", IFERROR(_xlfn.SINGLE(_xlfn.XLOOKUP(G1968, Réttabanki!A:A, Réttabanki!AT:AT, "")), ""), "")))</f>
        <v/>
      </c>
      <c r="N1968" s="26" t="str">
        <f>IF(OR(F1968 = "", G1968 = ""), "", IF(F1968 = "Vara", IFERROR(_xlfn.SINGLE(_xlfn.XLOOKUP(G1968, Vöruskrá!A:A, Vöruskrá!G:G, "")), ""), IF(F1968 = "Réttur", IFERROR(_xlfn.SINGLE(_xlfn.XLOOKUP(G1968, Réttabanki!A:A, Réttabanki!AU:AU, "")), ""), "")))</f>
        <v/>
      </c>
      <c r="O1968" s="26" t="str">
        <f>IF(OR(F1968 = "", G1968 = "", I1968 = ""), "", IF(F1968 = "Vara", IFERROR(_xlfn.SINGLE(_xlfn.XLOOKUP(G1968, Vöruskrá!A:A, Vöruskrá!I:I, "")) * I1968 / 100, ""), IF(F1968 = "Réttur", IFERROR(_xlfn.SINGLE(_xlfn.XLOOKUP(G1968, Réttabanki!A:A, Réttabanki!AV:AV, "")) * I1968 / 100, ""), "")))</f>
        <v/>
      </c>
      <c r="P1968" s="26" t="str">
        <f>IF(OR(F1968 = "", G1968 = "", I1968 = ""), "", IF(F1968 = "Vara", IFERROR(_xlfn.SINGLE(_xlfn.XLOOKUP(G1968, Vöruskrá!A:A, Vöruskrá!J:J, "")) * I1968 / 100, ""), IF(F1968 = "Réttur", IFERROR(_xlfn.SINGLE(_xlfn.XLOOKUP(G1968, Réttabanki!A:A, Réttabanki!AW:AW, "")) * I1968 / 100, ""), "")))</f>
        <v/>
      </c>
      <c r="Q1968" s="26" t="str">
        <f>IF(OR(F1968 = "", G1968 = "", I1968 = ""), "", IF(F1968 = "Vara", IFERROR(_xlfn.SINGLE(_xlfn.XLOOKUP(G1968, Vöruskrá!A:A, Vöruskrá!N:N, "")) * I1968 / 100, ""), IF(F1968 = "Réttur", IFERROR(_xlfn.SINGLE(_xlfn.XLOOKUP(G1968, Réttabanki!A:A, Réttabanki!BB:BB, "")) * I1968 / 100, ""), "")))</f>
        <v/>
      </c>
    </row>
    <row r="1969" spans="2:17">
      <c r="B1969" s="33" t="str">
        <f>IF(A1969&lt;&gt;"",CHOOSE(WEEKDAY(A1969,2),"Mánudagur","Þriðjudagur","Miðvikudagur","Fimmtudagur","Föstudagur","Laugardagur","Sunnudagur"),IF(B1968&lt;&gt;"",B1968,""))</f>
        <v>Fimmtudagur</v>
      </c>
      <c r="C1969" s="33">
        <f>IF(A1969&lt;&gt;"",WEEKNUM(A1969,21),IF(C1968&lt;&gt;"",C1968,""))</f>
        <v>27</v>
      </c>
      <c r="D1969" s="34"/>
      <c r="E1969" s="34"/>
      <c r="F1969" s="34"/>
      <c r="G1969" s="34"/>
      <c r="H1969" s="34"/>
      <c r="I1969" s="35"/>
      <c r="J1969" s="35"/>
      <c r="K1969" s="36"/>
      <c r="L1969" s="26" t="str">
        <f>IF(OR(F1969 = "", G1969 = ""), "", IF(F1969 = "Vara", IFERROR(_xlfn.SINGLE(_xlfn.XLOOKUP(G1969, Vöruskrá!A:A, Vöruskrá!E:E, "")), ""), IF(F1969 = "Réttur", IFERROR(_xlfn.SINGLE(_xlfn.XLOOKUP(G1969, Réttabanki!A:A, Réttabanki!AS:AS, "")), ""), "")))</f>
        <v/>
      </c>
      <c r="M1969" s="26" t="str">
        <f>IF(OR(F1969 = "", G1969 = ""), "", IF(F1969 = "Vara", IFERROR(_xlfn.SINGLE(_xlfn.XLOOKUP(G1969, Vöruskrá!A:A, Vöruskrá!F:F, "")), ""), IF(F1969 = "Réttur", IFERROR(_xlfn.SINGLE(_xlfn.XLOOKUP(G1969, Réttabanki!A:A, Réttabanki!AT:AT, "")), ""), "")))</f>
        <v/>
      </c>
      <c r="N1969" s="26" t="str">
        <f>IF(OR(F1969 = "", G1969 = ""), "", IF(F1969 = "Vara", IFERROR(_xlfn.SINGLE(_xlfn.XLOOKUP(G1969, Vöruskrá!A:A, Vöruskrá!G:G, "")), ""), IF(F1969 = "Réttur", IFERROR(_xlfn.SINGLE(_xlfn.XLOOKUP(G1969, Réttabanki!A:A, Réttabanki!AU:AU, "")), ""), "")))</f>
        <v/>
      </c>
      <c r="O1969" s="26" t="str">
        <f>IF(OR(F1969 = "", G1969 = "", I1969 = ""), "", IF(F1969 = "Vara", IFERROR(_xlfn.SINGLE(_xlfn.XLOOKUP(G1969, Vöruskrá!A:A, Vöruskrá!I:I, "")) * I1969 / 100, ""), IF(F1969 = "Réttur", IFERROR(_xlfn.SINGLE(_xlfn.XLOOKUP(G1969, Réttabanki!A:A, Réttabanki!AV:AV, "")) * I1969 / 100, ""), "")))</f>
        <v/>
      </c>
      <c r="P1969" s="26" t="str">
        <f>IF(OR(F1969 = "", G1969 = "", I1969 = ""), "", IF(F1969 = "Vara", IFERROR(_xlfn.SINGLE(_xlfn.XLOOKUP(G1969, Vöruskrá!A:A, Vöruskrá!J:J, "")) * I1969 / 100, ""), IF(F1969 = "Réttur", IFERROR(_xlfn.SINGLE(_xlfn.XLOOKUP(G1969, Réttabanki!A:A, Réttabanki!AW:AW, "")) * I1969 / 100, ""), "")))</f>
        <v/>
      </c>
      <c r="Q1969" s="26" t="str">
        <f>IF(OR(F1969 = "", G1969 = "", I1969 = ""), "", IF(F1969 = "Vara", IFERROR(_xlfn.SINGLE(_xlfn.XLOOKUP(G1969, Vöruskrá!A:A, Vöruskrá!N:N, "")) * I1969 / 100, ""), IF(F1969 = "Réttur", IFERROR(_xlfn.SINGLE(_xlfn.XLOOKUP(G1969, Réttabanki!A:A, Réttabanki!BB:BB, "")) * I1969 / 100, ""), "")))</f>
        <v/>
      </c>
    </row>
    <row r="1970" spans="2:17">
      <c r="B1970" s="33" t="str">
        <f>IF(A1970&lt;&gt;"",CHOOSE(WEEKDAY(A1970,2),"Mánudagur","Þriðjudagur","Miðvikudagur","Fimmtudagur","Föstudagur","Laugardagur","Sunnudagur"),IF(B1969&lt;&gt;"",B1969,""))</f>
        <v>Fimmtudagur</v>
      </c>
      <c r="C1970" s="33">
        <f>IF(A1970&lt;&gt;"",WEEKNUM(A1970,21),IF(C1969&lt;&gt;"",C1969,""))</f>
        <v>27</v>
      </c>
      <c r="D1970" s="34"/>
      <c r="E1970" s="34"/>
      <c r="F1970" s="34"/>
      <c r="G1970" s="34"/>
      <c r="H1970" s="34"/>
      <c r="I1970" s="35"/>
      <c r="J1970" s="35"/>
      <c r="K1970" s="36"/>
      <c r="L1970" s="26" t="str">
        <f>IF(OR(F1970 = "", G1970 = ""), "", IF(F1970 = "Vara", IFERROR(_xlfn.SINGLE(_xlfn.XLOOKUP(G1970, Vöruskrá!A:A, Vöruskrá!E:E, "")), ""), IF(F1970 = "Réttur", IFERROR(_xlfn.SINGLE(_xlfn.XLOOKUP(G1970, Réttabanki!A:A, Réttabanki!AS:AS, "")), ""), "")))</f>
        <v/>
      </c>
      <c r="M1970" s="26" t="str">
        <f>IF(OR(F1970 = "", G1970 = ""), "", IF(F1970 = "Vara", IFERROR(_xlfn.SINGLE(_xlfn.XLOOKUP(G1970, Vöruskrá!A:A, Vöruskrá!F:F, "")), ""), IF(F1970 = "Réttur", IFERROR(_xlfn.SINGLE(_xlfn.XLOOKUP(G1970, Réttabanki!A:A, Réttabanki!AT:AT, "")), ""), "")))</f>
        <v/>
      </c>
      <c r="N1970" s="26" t="str">
        <f>IF(OR(F1970 = "", G1970 = ""), "", IF(F1970 = "Vara", IFERROR(_xlfn.SINGLE(_xlfn.XLOOKUP(G1970, Vöruskrá!A:A, Vöruskrá!G:G, "")), ""), IF(F1970 = "Réttur", IFERROR(_xlfn.SINGLE(_xlfn.XLOOKUP(G1970, Réttabanki!A:A, Réttabanki!AU:AU, "")), ""), "")))</f>
        <v/>
      </c>
      <c r="O1970" s="26" t="str">
        <f>IF(OR(F1970 = "", G1970 = "", I1970 = ""), "", IF(F1970 = "Vara", IFERROR(_xlfn.SINGLE(_xlfn.XLOOKUP(G1970, Vöruskrá!A:A, Vöruskrá!I:I, "")) * I1970 / 100, ""), IF(F1970 = "Réttur", IFERROR(_xlfn.SINGLE(_xlfn.XLOOKUP(G1970, Réttabanki!A:A, Réttabanki!AV:AV, "")) * I1970 / 100, ""), "")))</f>
        <v/>
      </c>
      <c r="P1970" s="26" t="str">
        <f>IF(OR(F1970 = "", G1970 = "", I1970 = ""), "", IF(F1970 = "Vara", IFERROR(_xlfn.SINGLE(_xlfn.XLOOKUP(G1970, Vöruskrá!A:A, Vöruskrá!J:J, "")) * I1970 / 100, ""), IF(F1970 = "Réttur", IFERROR(_xlfn.SINGLE(_xlfn.XLOOKUP(G1970, Réttabanki!A:A, Réttabanki!AW:AW, "")) * I1970 / 100, ""), "")))</f>
        <v/>
      </c>
      <c r="Q1970" s="26" t="str">
        <f>IF(OR(F1970 = "", G1970 = "", I1970 = ""), "", IF(F1970 = "Vara", IFERROR(_xlfn.SINGLE(_xlfn.XLOOKUP(G1970, Vöruskrá!A:A, Vöruskrá!N:N, "")) * I1970 / 100, ""), IF(F1970 = "Réttur", IFERROR(_xlfn.SINGLE(_xlfn.XLOOKUP(G1970, Réttabanki!A:A, Réttabanki!BB:BB, "")) * I1970 / 100, ""), "")))</f>
        <v/>
      </c>
    </row>
    <row r="1971" spans="2:17">
      <c r="B1971" s="33" t="str">
        <f>IF(A1971&lt;&gt;"",CHOOSE(WEEKDAY(A1971,2),"Mánudagur","Þriðjudagur","Miðvikudagur","Fimmtudagur","Föstudagur","Laugardagur","Sunnudagur"),IF(B1970&lt;&gt;"",B1970,""))</f>
        <v>Fimmtudagur</v>
      </c>
      <c r="C1971" s="33">
        <f>IF(A1971&lt;&gt;"",WEEKNUM(A1971,21),IF(C1970&lt;&gt;"",C1970,""))</f>
        <v>27</v>
      </c>
      <c r="D1971" s="34"/>
      <c r="E1971" s="34"/>
      <c r="F1971" s="34"/>
      <c r="G1971" s="34"/>
      <c r="H1971" s="34"/>
      <c r="I1971" s="35"/>
      <c r="J1971" s="35"/>
      <c r="K1971" s="36"/>
      <c r="L1971" s="26" t="str">
        <f>IF(OR(F1971 = "", G1971 = ""), "", IF(F1971 = "Vara", IFERROR(_xlfn.SINGLE(_xlfn.XLOOKUP(G1971, Vöruskrá!A:A, Vöruskrá!E:E, "")), ""), IF(F1971 = "Réttur", IFERROR(_xlfn.SINGLE(_xlfn.XLOOKUP(G1971, Réttabanki!A:A, Réttabanki!AS:AS, "")), ""), "")))</f>
        <v/>
      </c>
      <c r="M1971" s="26" t="str">
        <f>IF(OR(F1971 = "", G1971 = ""), "", IF(F1971 = "Vara", IFERROR(_xlfn.SINGLE(_xlfn.XLOOKUP(G1971, Vöruskrá!A:A, Vöruskrá!F:F, "")), ""), IF(F1971 = "Réttur", IFERROR(_xlfn.SINGLE(_xlfn.XLOOKUP(G1971, Réttabanki!A:A, Réttabanki!AT:AT, "")), ""), "")))</f>
        <v/>
      </c>
      <c r="N1971" s="26" t="str">
        <f>IF(OR(F1971 = "", G1971 = ""), "", IF(F1971 = "Vara", IFERROR(_xlfn.SINGLE(_xlfn.XLOOKUP(G1971, Vöruskrá!A:A, Vöruskrá!G:G, "")), ""), IF(F1971 = "Réttur", IFERROR(_xlfn.SINGLE(_xlfn.XLOOKUP(G1971, Réttabanki!A:A, Réttabanki!AU:AU, "")), ""), "")))</f>
        <v/>
      </c>
      <c r="O1971" s="26" t="str">
        <f>IF(OR(F1971 = "", G1971 = "", I1971 = ""), "", IF(F1971 = "Vara", IFERROR(_xlfn.SINGLE(_xlfn.XLOOKUP(G1971, Vöruskrá!A:A, Vöruskrá!I:I, "")) * I1971 / 100, ""), IF(F1971 = "Réttur", IFERROR(_xlfn.SINGLE(_xlfn.XLOOKUP(G1971, Réttabanki!A:A, Réttabanki!AV:AV, "")) * I1971 / 100, ""), "")))</f>
        <v/>
      </c>
      <c r="P1971" s="26" t="str">
        <f>IF(OR(F1971 = "", G1971 = "", I1971 = ""), "", IF(F1971 = "Vara", IFERROR(_xlfn.SINGLE(_xlfn.XLOOKUP(G1971, Vöruskrá!A:A, Vöruskrá!J:J, "")) * I1971 / 100, ""), IF(F1971 = "Réttur", IFERROR(_xlfn.SINGLE(_xlfn.XLOOKUP(G1971, Réttabanki!A:A, Réttabanki!AW:AW, "")) * I1971 / 100, ""), "")))</f>
        <v/>
      </c>
      <c r="Q1971" s="26" t="str">
        <f>IF(OR(F1971 = "", G1971 = "", I1971 = ""), "", IF(F1971 = "Vara", IFERROR(_xlfn.SINGLE(_xlfn.XLOOKUP(G1971, Vöruskrá!A:A, Vöruskrá!N:N, "")) * I1971 / 100, ""), IF(F1971 = "Réttur", IFERROR(_xlfn.SINGLE(_xlfn.XLOOKUP(G1971, Réttabanki!A:A, Réttabanki!BB:BB, "")) * I1971 / 100, ""), "")))</f>
        <v/>
      </c>
    </row>
    <row r="1972" spans="2:17">
      <c r="B1972" s="33" t="str">
        <f>IF(A1972&lt;&gt;"",CHOOSE(WEEKDAY(A1972,2),"Mánudagur","Þriðjudagur","Miðvikudagur","Fimmtudagur","Föstudagur","Laugardagur","Sunnudagur"),IF(B1971&lt;&gt;"",B1971,""))</f>
        <v>Fimmtudagur</v>
      </c>
      <c r="C1972" s="33">
        <f>IF(A1972&lt;&gt;"",WEEKNUM(A1972,21),IF(C1971&lt;&gt;"",C1971,""))</f>
        <v>27</v>
      </c>
      <c r="D1972" s="34"/>
      <c r="E1972" s="34"/>
      <c r="F1972" s="34"/>
      <c r="G1972" s="34"/>
      <c r="H1972" s="34"/>
      <c r="I1972" s="35"/>
      <c r="J1972" s="35"/>
      <c r="K1972" s="36"/>
      <c r="L1972" s="26" t="str">
        <f>IF(OR(F1972 = "", G1972 = ""), "", IF(F1972 = "Vara", IFERROR(_xlfn.SINGLE(_xlfn.XLOOKUP(G1972, Vöruskrá!A:A, Vöruskrá!E:E, "")), ""), IF(F1972 = "Réttur", IFERROR(_xlfn.SINGLE(_xlfn.XLOOKUP(G1972, Réttabanki!A:A, Réttabanki!AS:AS, "")), ""), "")))</f>
        <v/>
      </c>
      <c r="M1972" s="26" t="str">
        <f>IF(OR(F1972 = "", G1972 = ""), "", IF(F1972 = "Vara", IFERROR(_xlfn.SINGLE(_xlfn.XLOOKUP(G1972, Vöruskrá!A:A, Vöruskrá!F:F, "")), ""), IF(F1972 = "Réttur", IFERROR(_xlfn.SINGLE(_xlfn.XLOOKUP(G1972, Réttabanki!A:A, Réttabanki!AT:AT, "")), ""), "")))</f>
        <v/>
      </c>
      <c r="N1972" s="26" t="str">
        <f>IF(OR(F1972 = "", G1972 = ""), "", IF(F1972 = "Vara", IFERROR(_xlfn.SINGLE(_xlfn.XLOOKUP(G1972, Vöruskrá!A:A, Vöruskrá!G:G, "")), ""), IF(F1972 = "Réttur", IFERROR(_xlfn.SINGLE(_xlfn.XLOOKUP(G1972, Réttabanki!A:A, Réttabanki!AU:AU, "")), ""), "")))</f>
        <v/>
      </c>
      <c r="O1972" s="26" t="str">
        <f>IF(OR(F1972 = "", G1972 = "", I1972 = ""), "", IF(F1972 = "Vara", IFERROR(_xlfn.SINGLE(_xlfn.XLOOKUP(G1972, Vöruskrá!A:A, Vöruskrá!I:I, "")) * I1972 / 100, ""), IF(F1972 = "Réttur", IFERROR(_xlfn.SINGLE(_xlfn.XLOOKUP(G1972, Réttabanki!A:A, Réttabanki!AV:AV, "")) * I1972 / 100, ""), "")))</f>
        <v/>
      </c>
      <c r="P1972" s="26" t="str">
        <f>IF(OR(F1972 = "", G1972 = "", I1972 = ""), "", IF(F1972 = "Vara", IFERROR(_xlfn.SINGLE(_xlfn.XLOOKUP(G1972, Vöruskrá!A:A, Vöruskrá!J:J, "")) * I1972 / 100, ""), IF(F1972 = "Réttur", IFERROR(_xlfn.SINGLE(_xlfn.XLOOKUP(G1972, Réttabanki!A:A, Réttabanki!AW:AW, "")) * I1972 / 100, ""), "")))</f>
        <v/>
      </c>
      <c r="Q1972" s="26" t="str">
        <f>IF(OR(F1972 = "", G1972 = "", I1972 = ""), "", IF(F1972 = "Vara", IFERROR(_xlfn.SINGLE(_xlfn.XLOOKUP(G1972, Vöruskrá!A:A, Vöruskrá!N:N, "")) * I1972 / 100, ""), IF(F1972 = "Réttur", IFERROR(_xlfn.SINGLE(_xlfn.XLOOKUP(G1972, Réttabanki!A:A, Réttabanki!BB:BB, "")) * I1972 / 100, ""), "")))</f>
        <v/>
      </c>
    </row>
    <row r="1973" spans="2:17">
      <c r="B1973" s="33" t="str">
        <f>IF(A1973&lt;&gt;"",CHOOSE(WEEKDAY(A1973,2),"Mánudagur","Þriðjudagur","Miðvikudagur","Fimmtudagur","Föstudagur","Laugardagur","Sunnudagur"),IF(B1972&lt;&gt;"",B1972,""))</f>
        <v>Fimmtudagur</v>
      </c>
      <c r="C1973" s="33">
        <f>IF(A1973&lt;&gt;"",WEEKNUM(A1973,21),IF(C1972&lt;&gt;"",C1972,""))</f>
        <v>27</v>
      </c>
      <c r="D1973" s="34"/>
      <c r="E1973" s="34"/>
      <c r="F1973" s="34"/>
      <c r="G1973" s="34"/>
      <c r="H1973" s="34"/>
      <c r="I1973" s="35"/>
      <c r="J1973" s="35"/>
      <c r="K1973" s="36"/>
      <c r="L1973" s="26" t="str">
        <f>IF(OR(F1973 = "", G1973 = ""), "", IF(F1973 = "Vara", IFERROR(_xlfn.SINGLE(_xlfn.XLOOKUP(G1973, Vöruskrá!A:A, Vöruskrá!E:E, "")), ""), IF(F1973 = "Réttur", IFERROR(_xlfn.SINGLE(_xlfn.XLOOKUP(G1973, Réttabanki!A:A, Réttabanki!AS:AS, "")), ""), "")))</f>
        <v/>
      </c>
      <c r="M1973" s="26" t="str">
        <f>IF(OR(F1973 = "", G1973 = ""), "", IF(F1973 = "Vara", IFERROR(_xlfn.SINGLE(_xlfn.XLOOKUP(G1973, Vöruskrá!A:A, Vöruskrá!F:F, "")), ""), IF(F1973 = "Réttur", IFERROR(_xlfn.SINGLE(_xlfn.XLOOKUP(G1973, Réttabanki!A:A, Réttabanki!AT:AT, "")), ""), "")))</f>
        <v/>
      </c>
      <c r="N1973" s="26" t="str">
        <f>IF(OR(F1973 = "", G1973 = ""), "", IF(F1973 = "Vara", IFERROR(_xlfn.SINGLE(_xlfn.XLOOKUP(G1973, Vöruskrá!A:A, Vöruskrá!G:G, "")), ""), IF(F1973 = "Réttur", IFERROR(_xlfn.SINGLE(_xlfn.XLOOKUP(G1973, Réttabanki!A:A, Réttabanki!AU:AU, "")), ""), "")))</f>
        <v/>
      </c>
      <c r="O1973" s="26" t="str">
        <f>IF(OR(F1973 = "", G1973 = "", I1973 = ""), "", IF(F1973 = "Vara", IFERROR(_xlfn.SINGLE(_xlfn.XLOOKUP(G1973, Vöruskrá!A:A, Vöruskrá!I:I, "")) * I1973 / 100, ""), IF(F1973 = "Réttur", IFERROR(_xlfn.SINGLE(_xlfn.XLOOKUP(G1973, Réttabanki!A:A, Réttabanki!AV:AV, "")) * I1973 / 100, ""), "")))</f>
        <v/>
      </c>
      <c r="P1973" s="26" t="str">
        <f>IF(OR(F1973 = "", G1973 = "", I1973 = ""), "", IF(F1973 = "Vara", IFERROR(_xlfn.SINGLE(_xlfn.XLOOKUP(G1973, Vöruskrá!A:A, Vöruskrá!J:J, "")) * I1973 / 100, ""), IF(F1973 = "Réttur", IFERROR(_xlfn.SINGLE(_xlfn.XLOOKUP(G1973, Réttabanki!A:A, Réttabanki!AW:AW, "")) * I1973 / 100, ""), "")))</f>
        <v/>
      </c>
      <c r="Q1973" s="26" t="str">
        <f>IF(OR(F1973 = "", G1973 = "", I1973 = ""), "", IF(F1973 = "Vara", IFERROR(_xlfn.SINGLE(_xlfn.XLOOKUP(G1973, Vöruskrá!A:A, Vöruskrá!N:N, "")) * I1973 / 100, ""), IF(F1973 = "Réttur", IFERROR(_xlfn.SINGLE(_xlfn.XLOOKUP(G1973, Réttabanki!A:A, Réttabanki!BB:BB, "")) * I1973 / 100, ""), "")))</f>
        <v/>
      </c>
    </row>
    <row r="1974" spans="2:17">
      <c r="B1974" s="33" t="str">
        <f>IF(A1974&lt;&gt;"",CHOOSE(WEEKDAY(A1974,2),"Mánudagur","Þriðjudagur","Miðvikudagur","Fimmtudagur","Föstudagur","Laugardagur","Sunnudagur"),IF(B1973&lt;&gt;"",B1973,""))</f>
        <v>Fimmtudagur</v>
      </c>
      <c r="C1974" s="33">
        <f>IF(A1974&lt;&gt;"",WEEKNUM(A1974,21),IF(C1973&lt;&gt;"",C1973,""))</f>
        <v>27</v>
      </c>
      <c r="D1974" s="34"/>
      <c r="E1974" s="34"/>
      <c r="F1974" s="34"/>
      <c r="G1974" s="34"/>
      <c r="H1974" s="34"/>
      <c r="I1974" s="35"/>
      <c r="J1974" s="35"/>
      <c r="K1974" s="36"/>
      <c r="L1974" s="26" t="str">
        <f>IF(OR(F1974 = "", G1974 = ""), "", IF(F1974 = "Vara", IFERROR(_xlfn.SINGLE(_xlfn.XLOOKUP(G1974, Vöruskrá!A:A, Vöruskrá!E:E, "")), ""), IF(F1974 = "Réttur", IFERROR(_xlfn.SINGLE(_xlfn.XLOOKUP(G1974, Réttabanki!A:A, Réttabanki!AS:AS, "")), ""), "")))</f>
        <v/>
      </c>
      <c r="M1974" s="26" t="str">
        <f>IF(OR(F1974 = "", G1974 = ""), "", IF(F1974 = "Vara", IFERROR(_xlfn.SINGLE(_xlfn.XLOOKUP(G1974, Vöruskrá!A:A, Vöruskrá!F:F, "")), ""), IF(F1974 = "Réttur", IFERROR(_xlfn.SINGLE(_xlfn.XLOOKUP(G1974, Réttabanki!A:A, Réttabanki!AT:AT, "")), ""), "")))</f>
        <v/>
      </c>
      <c r="N1974" s="26" t="str">
        <f>IF(OR(F1974 = "", G1974 = ""), "", IF(F1974 = "Vara", IFERROR(_xlfn.SINGLE(_xlfn.XLOOKUP(G1974, Vöruskrá!A:A, Vöruskrá!G:G, "")), ""), IF(F1974 = "Réttur", IFERROR(_xlfn.SINGLE(_xlfn.XLOOKUP(G1974, Réttabanki!A:A, Réttabanki!AU:AU, "")), ""), "")))</f>
        <v/>
      </c>
      <c r="O1974" s="26" t="str">
        <f>IF(OR(F1974 = "", G1974 = "", I1974 = ""), "", IF(F1974 = "Vara", IFERROR(_xlfn.SINGLE(_xlfn.XLOOKUP(G1974, Vöruskrá!A:A, Vöruskrá!I:I, "")) * I1974 / 100, ""), IF(F1974 = "Réttur", IFERROR(_xlfn.SINGLE(_xlfn.XLOOKUP(G1974, Réttabanki!A:A, Réttabanki!AV:AV, "")) * I1974 / 100, ""), "")))</f>
        <v/>
      </c>
      <c r="P1974" s="26" t="str">
        <f>IF(OR(F1974 = "", G1974 = "", I1974 = ""), "", IF(F1974 = "Vara", IFERROR(_xlfn.SINGLE(_xlfn.XLOOKUP(G1974, Vöruskrá!A:A, Vöruskrá!J:J, "")) * I1974 / 100, ""), IF(F1974 = "Réttur", IFERROR(_xlfn.SINGLE(_xlfn.XLOOKUP(G1974, Réttabanki!A:A, Réttabanki!AW:AW, "")) * I1974 / 100, ""), "")))</f>
        <v/>
      </c>
      <c r="Q1974" s="26" t="str">
        <f>IF(OR(F1974 = "", G1974 = "", I1974 = ""), "", IF(F1974 = "Vara", IFERROR(_xlfn.SINGLE(_xlfn.XLOOKUP(G1974, Vöruskrá!A:A, Vöruskrá!N:N, "")) * I1974 / 100, ""), IF(F1974 = "Réttur", IFERROR(_xlfn.SINGLE(_xlfn.XLOOKUP(G1974, Réttabanki!A:A, Réttabanki!BB:BB, "")) * I1974 / 100, ""), "")))</f>
        <v/>
      </c>
    </row>
    <row r="1975" spans="2:17">
      <c r="B1975" s="33" t="str">
        <f>IF(A1975&lt;&gt;"",CHOOSE(WEEKDAY(A1975,2),"Mánudagur","Þriðjudagur","Miðvikudagur","Fimmtudagur","Föstudagur","Laugardagur","Sunnudagur"),IF(B1974&lt;&gt;"",B1974,""))</f>
        <v>Fimmtudagur</v>
      </c>
      <c r="C1975" s="33">
        <f>IF(A1975&lt;&gt;"",WEEKNUM(A1975,21),IF(C1974&lt;&gt;"",C1974,""))</f>
        <v>27</v>
      </c>
      <c r="D1975" s="34"/>
      <c r="E1975" s="34"/>
      <c r="F1975" s="34"/>
      <c r="G1975" s="34"/>
      <c r="H1975" s="34"/>
      <c r="I1975" s="35"/>
      <c r="J1975" s="35"/>
      <c r="K1975" s="36"/>
      <c r="L1975" s="26" t="str">
        <f>IF(OR(F1975 = "", G1975 = ""), "", IF(F1975 = "Vara", IFERROR(_xlfn.SINGLE(_xlfn.XLOOKUP(G1975, Vöruskrá!A:A, Vöruskrá!E:E, "")), ""), IF(F1975 = "Réttur", IFERROR(_xlfn.SINGLE(_xlfn.XLOOKUP(G1975, Réttabanki!A:A, Réttabanki!AS:AS, "")), ""), "")))</f>
        <v/>
      </c>
      <c r="M1975" s="26" t="str">
        <f>IF(OR(F1975 = "", G1975 = ""), "", IF(F1975 = "Vara", IFERROR(_xlfn.SINGLE(_xlfn.XLOOKUP(G1975, Vöruskrá!A:A, Vöruskrá!F:F, "")), ""), IF(F1975 = "Réttur", IFERROR(_xlfn.SINGLE(_xlfn.XLOOKUP(G1975, Réttabanki!A:A, Réttabanki!AT:AT, "")), ""), "")))</f>
        <v/>
      </c>
      <c r="N1975" s="26" t="str">
        <f>IF(OR(F1975 = "", G1975 = ""), "", IF(F1975 = "Vara", IFERROR(_xlfn.SINGLE(_xlfn.XLOOKUP(G1975, Vöruskrá!A:A, Vöruskrá!G:G, "")), ""), IF(F1975 = "Réttur", IFERROR(_xlfn.SINGLE(_xlfn.XLOOKUP(G1975, Réttabanki!A:A, Réttabanki!AU:AU, "")), ""), "")))</f>
        <v/>
      </c>
      <c r="O1975" s="26" t="str">
        <f>IF(OR(F1975 = "", G1975 = "", I1975 = ""), "", IF(F1975 = "Vara", IFERROR(_xlfn.SINGLE(_xlfn.XLOOKUP(G1975, Vöruskrá!A:A, Vöruskrá!I:I, "")) * I1975 / 100, ""), IF(F1975 = "Réttur", IFERROR(_xlfn.SINGLE(_xlfn.XLOOKUP(G1975, Réttabanki!A:A, Réttabanki!AV:AV, "")) * I1975 / 100, ""), "")))</f>
        <v/>
      </c>
      <c r="P1975" s="26" t="str">
        <f>IF(OR(F1975 = "", G1975 = "", I1975 = ""), "", IF(F1975 = "Vara", IFERROR(_xlfn.SINGLE(_xlfn.XLOOKUP(G1975, Vöruskrá!A:A, Vöruskrá!J:J, "")) * I1975 / 100, ""), IF(F1975 = "Réttur", IFERROR(_xlfn.SINGLE(_xlfn.XLOOKUP(G1975, Réttabanki!A:A, Réttabanki!AW:AW, "")) * I1975 / 100, ""), "")))</f>
        <v/>
      </c>
      <c r="Q1975" s="26" t="str">
        <f>IF(OR(F1975 = "", G1975 = "", I1975 = ""), "", IF(F1975 = "Vara", IFERROR(_xlfn.SINGLE(_xlfn.XLOOKUP(G1975, Vöruskrá!A:A, Vöruskrá!N:N, "")) * I1975 / 100, ""), IF(F1975 = "Réttur", IFERROR(_xlfn.SINGLE(_xlfn.XLOOKUP(G1975, Réttabanki!A:A, Réttabanki!BB:BB, "")) * I1975 / 100, ""), "")))</f>
        <v/>
      </c>
    </row>
    <row r="1976" spans="2:17">
      <c r="B1976" s="33" t="str">
        <f>IF(A1976&lt;&gt;"",CHOOSE(WEEKDAY(A1976,2),"Mánudagur","Þriðjudagur","Miðvikudagur","Fimmtudagur","Föstudagur","Laugardagur","Sunnudagur"),IF(B1975&lt;&gt;"",B1975,""))</f>
        <v>Fimmtudagur</v>
      </c>
      <c r="C1976" s="33">
        <f>IF(A1976&lt;&gt;"",WEEKNUM(A1976,21),IF(C1975&lt;&gt;"",C1975,""))</f>
        <v>27</v>
      </c>
      <c r="D1976" s="34"/>
      <c r="E1976" s="34"/>
      <c r="F1976" s="34"/>
      <c r="G1976" s="34"/>
      <c r="H1976" s="34"/>
      <c r="I1976" s="35"/>
      <c r="J1976" s="35"/>
      <c r="K1976" s="36"/>
      <c r="L1976" s="26" t="str">
        <f>IF(OR(F1976 = "", G1976 = ""), "", IF(F1976 = "Vara", IFERROR(_xlfn.SINGLE(_xlfn.XLOOKUP(G1976, Vöruskrá!A:A, Vöruskrá!E:E, "")), ""), IF(F1976 = "Réttur", IFERROR(_xlfn.SINGLE(_xlfn.XLOOKUP(G1976, Réttabanki!A:A, Réttabanki!AS:AS, "")), ""), "")))</f>
        <v/>
      </c>
      <c r="M1976" s="26" t="str">
        <f>IF(OR(F1976 = "", G1976 = ""), "", IF(F1976 = "Vara", IFERROR(_xlfn.SINGLE(_xlfn.XLOOKUP(G1976, Vöruskrá!A:A, Vöruskrá!F:F, "")), ""), IF(F1976 = "Réttur", IFERROR(_xlfn.SINGLE(_xlfn.XLOOKUP(G1976, Réttabanki!A:A, Réttabanki!AT:AT, "")), ""), "")))</f>
        <v/>
      </c>
      <c r="N1976" s="26" t="str">
        <f>IF(OR(F1976 = "", G1976 = ""), "", IF(F1976 = "Vara", IFERROR(_xlfn.SINGLE(_xlfn.XLOOKUP(G1976, Vöruskrá!A:A, Vöruskrá!G:G, "")), ""), IF(F1976 = "Réttur", IFERROR(_xlfn.SINGLE(_xlfn.XLOOKUP(G1976, Réttabanki!A:A, Réttabanki!AU:AU, "")), ""), "")))</f>
        <v/>
      </c>
      <c r="O1976" s="26" t="str">
        <f>IF(OR(F1976 = "", G1976 = "", I1976 = ""), "", IF(F1976 = "Vara", IFERROR(_xlfn.SINGLE(_xlfn.XLOOKUP(G1976, Vöruskrá!A:A, Vöruskrá!I:I, "")) * I1976 / 100, ""), IF(F1976 = "Réttur", IFERROR(_xlfn.SINGLE(_xlfn.XLOOKUP(G1976, Réttabanki!A:A, Réttabanki!AV:AV, "")) * I1976 / 100, ""), "")))</f>
        <v/>
      </c>
      <c r="P1976" s="26" t="str">
        <f>IF(OR(F1976 = "", G1976 = "", I1976 = ""), "", IF(F1976 = "Vara", IFERROR(_xlfn.SINGLE(_xlfn.XLOOKUP(G1976, Vöruskrá!A:A, Vöruskrá!J:J, "")) * I1976 / 100, ""), IF(F1976 = "Réttur", IFERROR(_xlfn.SINGLE(_xlfn.XLOOKUP(G1976, Réttabanki!A:A, Réttabanki!AW:AW, "")) * I1976 / 100, ""), "")))</f>
        <v/>
      </c>
      <c r="Q1976" s="26" t="str">
        <f>IF(OR(F1976 = "", G1976 = "", I1976 = ""), "", IF(F1976 = "Vara", IFERROR(_xlfn.SINGLE(_xlfn.XLOOKUP(G1976, Vöruskrá!A:A, Vöruskrá!N:N, "")) * I1976 / 100, ""), IF(F1976 = "Réttur", IFERROR(_xlfn.SINGLE(_xlfn.XLOOKUP(G1976, Réttabanki!A:A, Réttabanki!BB:BB, "")) * I1976 / 100, ""), "")))</f>
        <v/>
      </c>
    </row>
    <row r="1977" spans="2:17">
      <c r="B1977" s="33" t="str">
        <f>IF(A1977&lt;&gt;"",CHOOSE(WEEKDAY(A1977,2),"Mánudagur","Þriðjudagur","Miðvikudagur","Fimmtudagur","Föstudagur","Laugardagur","Sunnudagur"),IF(B1976&lt;&gt;"",B1976,""))</f>
        <v>Fimmtudagur</v>
      </c>
      <c r="C1977" s="33">
        <f>IF(A1977&lt;&gt;"",WEEKNUM(A1977,21),IF(C1976&lt;&gt;"",C1976,""))</f>
        <v>27</v>
      </c>
      <c r="D1977" s="34"/>
      <c r="E1977" s="34"/>
      <c r="F1977" s="34"/>
      <c r="G1977" s="34"/>
      <c r="H1977" s="34"/>
      <c r="I1977" s="35"/>
      <c r="J1977" s="35"/>
      <c r="K1977" s="36"/>
      <c r="L1977" s="26" t="str">
        <f>IF(OR(F1977 = "", G1977 = ""), "", IF(F1977 = "Vara", IFERROR(_xlfn.SINGLE(_xlfn.XLOOKUP(G1977, Vöruskrá!A:A, Vöruskrá!E:E, "")), ""), IF(F1977 = "Réttur", IFERROR(_xlfn.SINGLE(_xlfn.XLOOKUP(G1977, Réttabanki!A:A, Réttabanki!AS:AS, "")), ""), "")))</f>
        <v/>
      </c>
      <c r="M1977" s="26" t="str">
        <f>IF(OR(F1977 = "", G1977 = ""), "", IF(F1977 = "Vara", IFERROR(_xlfn.SINGLE(_xlfn.XLOOKUP(G1977, Vöruskrá!A:A, Vöruskrá!F:F, "")), ""), IF(F1977 = "Réttur", IFERROR(_xlfn.SINGLE(_xlfn.XLOOKUP(G1977, Réttabanki!A:A, Réttabanki!AT:AT, "")), ""), "")))</f>
        <v/>
      </c>
      <c r="N1977" s="26" t="str">
        <f>IF(OR(F1977 = "", G1977 = ""), "", IF(F1977 = "Vara", IFERROR(_xlfn.SINGLE(_xlfn.XLOOKUP(G1977, Vöruskrá!A:A, Vöruskrá!G:G, "")), ""), IF(F1977 = "Réttur", IFERROR(_xlfn.SINGLE(_xlfn.XLOOKUP(G1977, Réttabanki!A:A, Réttabanki!AU:AU, "")), ""), "")))</f>
        <v/>
      </c>
      <c r="O1977" s="26" t="str">
        <f>IF(OR(F1977 = "", G1977 = "", I1977 = ""), "", IF(F1977 = "Vara", IFERROR(_xlfn.SINGLE(_xlfn.XLOOKUP(G1977, Vöruskrá!A:A, Vöruskrá!I:I, "")) * I1977 / 100, ""), IF(F1977 = "Réttur", IFERROR(_xlfn.SINGLE(_xlfn.XLOOKUP(G1977, Réttabanki!A:A, Réttabanki!AV:AV, "")) * I1977 / 100, ""), "")))</f>
        <v/>
      </c>
      <c r="P1977" s="26" t="str">
        <f>IF(OR(F1977 = "", G1977 = "", I1977 = ""), "", IF(F1977 = "Vara", IFERROR(_xlfn.SINGLE(_xlfn.XLOOKUP(G1977, Vöruskrá!A:A, Vöruskrá!J:J, "")) * I1977 / 100, ""), IF(F1977 = "Réttur", IFERROR(_xlfn.SINGLE(_xlfn.XLOOKUP(G1977, Réttabanki!A:A, Réttabanki!AW:AW, "")) * I1977 / 100, ""), "")))</f>
        <v/>
      </c>
      <c r="Q1977" s="26" t="str">
        <f>IF(OR(F1977 = "", G1977 = "", I1977 = ""), "", IF(F1977 = "Vara", IFERROR(_xlfn.SINGLE(_xlfn.XLOOKUP(G1977, Vöruskrá!A:A, Vöruskrá!N:N, "")) * I1977 / 100, ""), IF(F1977 = "Réttur", IFERROR(_xlfn.SINGLE(_xlfn.XLOOKUP(G1977, Réttabanki!A:A, Réttabanki!BB:BB, "")) * I1977 / 100, ""), "")))</f>
        <v/>
      </c>
    </row>
    <row r="1978" spans="2:17">
      <c r="B1978" s="33" t="str">
        <f>IF(A1978&lt;&gt;"",CHOOSE(WEEKDAY(A1978,2),"Mánudagur","Þriðjudagur","Miðvikudagur","Fimmtudagur","Föstudagur","Laugardagur","Sunnudagur"),IF(B1977&lt;&gt;"",B1977,""))</f>
        <v>Fimmtudagur</v>
      </c>
      <c r="C1978" s="33">
        <f>IF(A1978&lt;&gt;"",WEEKNUM(A1978,21),IF(C1977&lt;&gt;"",C1977,""))</f>
        <v>27</v>
      </c>
      <c r="D1978" s="34"/>
      <c r="E1978" s="34"/>
      <c r="F1978" s="34"/>
      <c r="G1978" s="34"/>
      <c r="H1978" s="34"/>
      <c r="I1978" s="35"/>
      <c r="J1978" s="35"/>
      <c r="K1978" s="36"/>
      <c r="L1978" s="26" t="str">
        <f>IF(OR(F1978 = "", G1978 = ""), "", IF(F1978 = "Vara", IFERROR(_xlfn.SINGLE(_xlfn.XLOOKUP(G1978, Vöruskrá!A:A, Vöruskrá!E:E, "")), ""), IF(F1978 = "Réttur", IFERROR(_xlfn.SINGLE(_xlfn.XLOOKUP(G1978, Réttabanki!A:A, Réttabanki!AS:AS, "")), ""), "")))</f>
        <v/>
      </c>
      <c r="M1978" s="26" t="str">
        <f>IF(OR(F1978 = "", G1978 = ""), "", IF(F1978 = "Vara", IFERROR(_xlfn.SINGLE(_xlfn.XLOOKUP(G1978, Vöruskrá!A:A, Vöruskrá!F:F, "")), ""), IF(F1978 = "Réttur", IFERROR(_xlfn.SINGLE(_xlfn.XLOOKUP(G1978, Réttabanki!A:A, Réttabanki!AT:AT, "")), ""), "")))</f>
        <v/>
      </c>
      <c r="N1978" s="26" t="str">
        <f>IF(OR(F1978 = "", G1978 = ""), "", IF(F1978 = "Vara", IFERROR(_xlfn.SINGLE(_xlfn.XLOOKUP(G1978, Vöruskrá!A:A, Vöruskrá!G:G, "")), ""), IF(F1978 = "Réttur", IFERROR(_xlfn.SINGLE(_xlfn.XLOOKUP(G1978, Réttabanki!A:A, Réttabanki!AU:AU, "")), ""), "")))</f>
        <v/>
      </c>
      <c r="O1978" s="26" t="str">
        <f>IF(OR(F1978 = "", G1978 = "", I1978 = ""), "", IF(F1978 = "Vara", IFERROR(_xlfn.SINGLE(_xlfn.XLOOKUP(G1978, Vöruskrá!A:A, Vöruskrá!I:I, "")) * I1978 / 100, ""), IF(F1978 = "Réttur", IFERROR(_xlfn.SINGLE(_xlfn.XLOOKUP(G1978, Réttabanki!A:A, Réttabanki!AV:AV, "")) * I1978 / 100, ""), "")))</f>
        <v/>
      </c>
      <c r="P1978" s="26" t="str">
        <f>IF(OR(F1978 = "", G1978 = "", I1978 = ""), "", IF(F1978 = "Vara", IFERROR(_xlfn.SINGLE(_xlfn.XLOOKUP(G1978, Vöruskrá!A:A, Vöruskrá!J:J, "")) * I1978 / 100, ""), IF(F1978 = "Réttur", IFERROR(_xlfn.SINGLE(_xlfn.XLOOKUP(G1978, Réttabanki!A:A, Réttabanki!AW:AW, "")) * I1978 / 100, ""), "")))</f>
        <v/>
      </c>
      <c r="Q1978" s="26" t="str">
        <f>IF(OR(F1978 = "", G1978 = "", I1978 = ""), "", IF(F1978 = "Vara", IFERROR(_xlfn.SINGLE(_xlfn.XLOOKUP(G1978, Vöruskrá!A:A, Vöruskrá!N:N, "")) * I1978 / 100, ""), IF(F1978 = "Réttur", IFERROR(_xlfn.SINGLE(_xlfn.XLOOKUP(G1978, Réttabanki!A:A, Réttabanki!BB:BB, "")) * I1978 / 100, ""), "")))</f>
        <v/>
      </c>
    </row>
    <row r="1979" spans="2:17">
      <c r="B1979" s="33" t="str">
        <f>IF(A1979&lt;&gt;"",CHOOSE(WEEKDAY(A1979,2),"Mánudagur","Þriðjudagur","Miðvikudagur","Fimmtudagur","Föstudagur","Laugardagur","Sunnudagur"),IF(B1978&lt;&gt;"",B1978,""))</f>
        <v>Fimmtudagur</v>
      </c>
      <c r="C1979" s="33">
        <f>IF(A1979&lt;&gt;"",WEEKNUM(A1979,21),IF(C1978&lt;&gt;"",C1978,""))</f>
        <v>27</v>
      </c>
      <c r="D1979" s="34"/>
      <c r="E1979" s="34"/>
      <c r="F1979" s="34"/>
      <c r="G1979" s="34"/>
      <c r="H1979" s="34"/>
      <c r="I1979" s="35"/>
      <c r="J1979" s="35"/>
      <c r="K1979" s="36"/>
      <c r="L1979" s="26" t="str">
        <f>IF(OR(F1979 = "", G1979 = ""), "", IF(F1979 = "Vara", IFERROR(_xlfn.SINGLE(_xlfn.XLOOKUP(G1979, Vöruskrá!A:A, Vöruskrá!E:E, "")), ""), IF(F1979 = "Réttur", IFERROR(_xlfn.SINGLE(_xlfn.XLOOKUP(G1979, Réttabanki!A:A, Réttabanki!AS:AS, "")), ""), "")))</f>
        <v/>
      </c>
      <c r="M1979" s="26" t="str">
        <f>IF(OR(F1979 = "", G1979 = ""), "", IF(F1979 = "Vara", IFERROR(_xlfn.SINGLE(_xlfn.XLOOKUP(G1979, Vöruskrá!A:A, Vöruskrá!F:F, "")), ""), IF(F1979 = "Réttur", IFERROR(_xlfn.SINGLE(_xlfn.XLOOKUP(G1979, Réttabanki!A:A, Réttabanki!AT:AT, "")), ""), "")))</f>
        <v/>
      </c>
      <c r="N1979" s="26" t="str">
        <f>IF(OR(F1979 = "", G1979 = ""), "", IF(F1979 = "Vara", IFERROR(_xlfn.SINGLE(_xlfn.XLOOKUP(G1979, Vöruskrá!A:A, Vöruskrá!G:G, "")), ""), IF(F1979 = "Réttur", IFERROR(_xlfn.SINGLE(_xlfn.XLOOKUP(G1979, Réttabanki!A:A, Réttabanki!AU:AU, "")), ""), "")))</f>
        <v/>
      </c>
      <c r="O1979" s="26" t="str">
        <f>IF(OR(F1979 = "", G1979 = "", I1979 = ""), "", IF(F1979 = "Vara", IFERROR(_xlfn.SINGLE(_xlfn.XLOOKUP(G1979, Vöruskrá!A:A, Vöruskrá!I:I, "")) * I1979 / 100, ""), IF(F1979 = "Réttur", IFERROR(_xlfn.SINGLE(_xlfn.XLOOKUP(G1979, Réttabanki!A:A, Réttabanki!AV:AV, "")) * I1979 / 100, ""), "")))</f>
        <v/>
      </c>
      <c r="P1979" s="26" t="str">
        <f>IF(OR(F1979 = "", G1979 = "", I1979 = ""), "", IF(F1979 = "Vara", IFERROR(_xlfn.SINGLE(_xlfn.XLOOKUP(G1979, Vöruskrá!A:A, Vöruskrá!J:J, "")) * I1979 / 100, ""), IF(F1979 = "Réttur", IFERROR(_xlfn.SINGLE(_xlfn.XLOOKUP(G1979, Réttabanki!A:A, Réttabanki!AW:AW, "")) * I1979 / 100, ""), "")))</f>
        <v/>
      </c>
      <c r="Q1979" s="26" t="str">
        <f>IF(OR(F1979 = "", G1979 = "", I1979 = ""), "", IF(F1979 = "Vara", IFERROR(_xlfn.SINGLE(_xlfn.XLOOKUP(G1979, Vöruskrá!A:A, Vöruskrá!N:N, "")) * I1979 / 100, ""), IF(F1979 = "Réttur", IFERROR(_xlfn.SINGLE(_xlfn.XLOOKUP(G1979, Réttabanki!A:A, Réttabanki!BB:BB, "")) * I1979 / 100, ""), "")))</f>
        <v/>
      </c>
    </row>
    <row r="1980" spans="2:17">
      <c r="B1980" s="33" t="str">
        <f>IF(A1980&lt;&gt;"",CHOOSE(WEEKDAY(A1980,2),"Mánudagur","Þriðjudagur","Miðvikudagur","Fimmtudagur","Föstudagur","Laugardagur","Sunnudagur"),IF(B1979&lt;&gt;"",B1979,""))</f>
        <v>Fimmtudagur</v>
      </c>
      <c r="C1980" s="33">
        <f>IF(A1980&lt;&gt;"",WEEKNUM(A1980,21),IF(C1979&lt;&gt;"",C1979,""))</f>
        <v>27</v>
      </c>
      <c r="D1980" s="34"/>
      <c r="E1980" s="34"/>
      <c r="F1980" s="34"/>
      <c r="G1980" s="34"/>
      <c r="H1980" s="34"/>
      <c r="I1980" s="35"/>
      <c r="J1980" s="35"/>
      <c r="K1980" s="36"/>
      <c r="L1980" s="26" t="str">
        <f>IF(OR(F1980 = "", G1980 = ""), "", IF(F1980 = "Vara", IFERROR(_xlfn.SINGLE(_xlfn.XLOOKUP(G1980, Vöruskrá!A:A, Vöruskrá!E:E, "")), ""), IF(F1980 = "Réttur", IFERROR(_xlfn.SINGLE(_xlfn.XLOOKUP(G1980, Réttabanki!A:A, Réttabanki!AS:AS, "")), ""), "")))</f>
        <v/>
      </c>
      <c r="M1980" s="26" t="str">
        <f>IF(OR(F1980 = "", G1980 = ""), "", IF(F1980 = "Vara", IFERROR(_xlfn.SINGLE(_xlfn.XLOOKUP(G1980, Vöruskrá!A:A, Vöruskrá!F:F, "")), ""), IF(F1980 = "Réttur", IFERROR(_xlfn.SINGLE(_xlfn.XLOOKUP(G1980, Réttabanki!A:A, Réttabanki!AT:AT, "")), ""), "")))</f>
        <v/>
      </c>
      <c r="N1980" s="26" t="str">
        <f>IF(OR(F1980 = "", G1980 = ""), "", IF(F1980 = "Vara", IFERROR(_xlfn.SINGLE(_xlfn.XLOOKUP(G1980, Vöruskrá!A:A, Vöruskrá!G:G, "")), ""), IF(F1980 = "Réttur", IFERROR(_xlfn.SINGLE(_xlfn.XLOOKUP(G1980, Réttabanki!A:A, Réttabanki!AU:AU, "")), ""), "")))</f>
        <v/>
      </c>
      <c r="O1980" s="26" t="str">
        <f>IF(OR(F1980 = "", G1980 = "", I1980 = ""), "", IF(F1980 = "Vara", IFERROR(_xlfn.SINGLE(_xlfn.XLOOKUP(G1980, Vöruskrá!A:A, Vöruskrá!I:I, "")) * I1980 / 100, ""), IF(F1980 = "Réttur", IFERROR(_xlfn.SINGLE(_xlfn.XLOOKUP(G1980, Réttabanki!A:A, Réttabanki!AV:AV, "")) * I1980 / 100, ""), "")))</f>
        <v/>
      </c>
      <c r="P1980" s="26" t="str">
        <f>IF(OR(F1980 = "", G1980 = "", I1980 = ""), "", IF(F1980 = "Vara", IFERROR(_xlfn.SINGLE(_xlfn.XLOOKUP(G1980, Vöruskrá!A:A, Vöruskrá!J:J, "")) * I1980 / 100, ""), IF(F1980 = "Réttur", IFERROR(_xlfn.SINGLE(_xlfn.XLOOKUP(G1980, Réttabanki!A:A, Réttabanki!AW:AW, "")) * I1980 / 100, ""), "")))</f>
        <v/>
      </c>
      <c r="Q1980" s="26" t="str">
        <f>IF(OR(F1980 = "", G1980 = "", I1980 = ""), "", IF(F1980 = "Vara", IFERROR(_xlfn.SINGLE(_xlfn.XLOOKUP(G1980, Vöruskrá!A:A, Vöruskrá!N:N, "")) * I1980 / 100, ""), IF(F1980 = "Réttur", IFERROR(_xlfn.SINGLE(_xlfn.XLOOKUP(G1980, Réttabanki!A:A, Réttabanki!BB:BB, "")) * I1980 / 100, ""), "")))</f>
        <v/>
      </c>
    </row>
    <row r="1981" spans="2:17">
      <c r="B1981" s="33" t="str">
        <f>IF(A1981&lt;&gt;"",CHOOSE(WEEKDAY(A1981,2),"Mánudagur","Þriðjudagur","Miðvikudagur","Fimmtudagur","Föstudagur","Laugardagur","Sunnudagur"),IF(B1980&lt;&gt;"",B1980,""))</f>
        <v>Fimmtudagur</v>
      </c>
      <c r="C1981" s="33">
        <f>IF(A1981&lt;&gt;"",WEEKNUM(A1981,21),IF(C1980&lt;&gt;"",C1980,""))</f>
        <v>27</v>
      </c>
      <c r="D1981" s="34"/>
      <c r="E1981" s="34"/>
      <c r="F1981" s="34"/>
      <c r="G1981" s="34"/>
      <c r="H1981" s="34"/>
      <c r="I1981" s="35"/>
      <c r="J1981" s="35"/>
      <c r="K1981" s="36"/>
      <c r="L1981" s="26" t="str">
        <f>IF(OR(F1981 = "", G1981 = ""), "", IF(F1981 = "Vara", IFERROR(_xlfn.SINGLE(_xlfn.XLOOKUP(G1981, Vöruskrá!A:A, Vöruskrá!E:E, "")), ""), IF(F1981 = "Réttur", IFERROR(_xlfn.SINGLE(_xlfn.XLOOKUP(G1981, Réttabanki!A:A, Réttabanki!AS:AS, "")), ""), "")))</f>
        <v/>
      </c>
      <c r="M1981" s="26" t="str">
        <f>IF(OR(F1981 = "", G1981 = ""), "", IF(F1981 = "Vara", IFERROR(_xlfn.SINGLE(_xlfn.XLOOKUP(G1981, Vöruskrá!A:A, Vöruskrá!F:F, "")), ""), IF(F1981 = "Réttur", IFERROR(_xlfn.SINGLE(_xlfn.XLOOKUP(G1981, Réttabanki!A:A, Réttabanki!AT:AT, "")), ""), "")))</f>
        <v/>
      </c>
      <c r="N1981" s="26" t="str">
        <f>IF(OR(F1981 = "", G1981 = ""), "", IF(F1981 = "Vara", IFERROR(_xlfn.SINGLE(_xlfn.XLOOKUP(G1981, Vöruskrá!A:A, Vöruskrá!G:G, "")), ""), IF(F1981 = "Réttur", IFERROR(_xlfn.SINGLE(_xlfn.XLOOKUP(G1981, Réttabanki!A:A, Réttabanki!AU:AU, "")), ""), "")))</f>
        <v/>
      </c>
      <c r="O1981" s="26" t="str">
        <f>IF(OR(F1981 = "", G1981 = "", I1981 = ""), "", IF(F1981 = "Vara", IFERROR(_xlfn.SINGLE(_xlfn.XLOOKUP(G1981, Vöruskrá!A:A, Vöruskrá!I:I, "")) * I1981 / 100, ""), IF(F1981 = "Réttur", IFERROR(_xlfn.SINGLE(_xlfn.XLOOKUP(G1981, Réttabanki!A:A, Réttabanki!AV:AV, "")) * I1981 / 100, ""), "")))</f>
        <v/>
      </c>
      <c r="P1981" s="26" t="str">
        <f>IF(OR(F1981 = "", G1981 = "", I1981 = ""), "", IF(F1981 = "Vara", IFERROR(_xlfn.SINGLE(_xlfn.XLOOKUP(G1981, Vöruskrá!A:A, Vöruskrá!J:J, "")) * I1981 / 100, ""), IF(F1981 = "Réttur", IFERROR(_xlfn.SINGLE(_xlfn.XLOOKUP(G1981, Réttabanki!A:A, Réttabanki!AW:AW, "")) * I1981 / 100, ""), "")))</f>
        <v/>
      </c>
      <c r="Q1981" s="26" t="str">
        <f>IF(OR(F1981 = "", G1981 = "", I1981 = ""), "", IF(F1981 = "Vara", IFERROR(_xlfn.SINGLE(_xlfn.XLOOKUP(G1981, Vöruskrá!A:A, Vöruskrá!N:N, "")) * I1981 / 100, ""), IF(F1981 = "Réttur", IFERROR(_xlfn.SINGLE(_xlfn.XLOOKUP(G1981, Réttabanki!A:A, Réttabanki!BB:BB, "")) * I1981 / 100, ""), "")))</f>
        <v/>
      </c>
    </row>
    <row r="1982" spans="2:17">
      <c r="B1982" s="33" t="str">
        <f>IF(A1982&lt;&gt;"",CHOOSE(WEEKDAY(A1982,2),"Mánudagur","Þriðjudagur","Miðvikudagur","Fimmtudagur","Föstudagur","Laugardagur","Sunnudagur"),IF(B1981&lt;&gt;"",B1981,""))</f>
        <v>Fimmtudagur</v>
      </c>
      <c r="C1982" s="33">
        <f>IF(A1982&lt;&gt;"",WEEKNUM(A1982,21),IF(C1981&lt;&gt;"",C1981,""))</f>
        <v>27</v>
      </c>
      <c r="D1982" s="34"/>
      <c r="E1982" s="34"/>
      <c r="F1982" s="34"/>
      <c r="G1982" s="34"/>
      <c r="H1982" s="34"/>
      <c r="I1982" s="35"/>
      <c r="J1982" s="35"/>
      <c r="K1982" s="36"/>
      <c r="L1982" s="26" t="str">
        <f>IF(OR(F1982 = "", G1982 = ""), "", IF(F1982 = "Vara", IFERROR(_xlfn.SINGLE(_xlfn.XLOOKUP(G1982, Vöruskrá!A:A, Vöruskrá!E:E, "")), ""), IF(F1982 = "Réttur", IFERROR(_xlfn.SINGLE(_xlfn.XLOOKUP(G1982, Réttabanki!A:A, Réttabanki!AS:AS, "")), ""), "")))</f>
        <v/>
      </c>
      <c r="M1982" s="26" t="str">
        <f>IF(OR(F1982 = "", G1982 = ""), "", IF(F1982 = "Vara", IFERROR(_xlfn.SINGLE(_xlfn.XLOOKUP(G1982, Vöruskrá!A:A, Vöruskrá!F:F, "")), ""), IF(F1982 = "Réttur", IFERROR(_xlfn.SINGLE(_xlfn.XLOOKUP(G1982, Réttabanki!A:A, Réttabanki!AT:AT, "")), ""), "")))</f>
        <v/>
      </c>
      <c r="N1982" s="26" t="str">
        <f>IF(OR(F1982 = "", G1982 = ""), "", IF(F1982 = "Vara", IFERROR(_xlfn.SINGLE(_xlfn.XLOOKUP(G1982, Vöruskrá!A:A, Vöruskrá!G:G, "")), ""), IF(F1982 = "Réttur", IFERROR(_xlfn.SINGLE(_xlfn.XLOOKUP(G1982, Réttabanki!A:A, Réttabanki!AU:AU, "")), ""), "")))</f>
        <v/>
      </c>
      <c r="O1982" s="26" t="str">
        <f>IF(OR(F1982 = "", G1982 = "", I1982 = ""), "", IF(F1982 = "Vara", IFERROR(_xlfn.SINGLE(_xlfn.XLOOKUP(G1982, Vöruskrá!A:A, Vöruskrá!I:I, "")) * I1982 / 100, ""), IF(F1982 = "Réttur", IFERROR(_xlfn.SINGLE(_xlfn.XLOOKUP(G1982, Réttabanki!A:A, Réttabanki!AV:AV, "")) * I1982 / 100, ""), "")))</f>
        <v/>
      </c>
      <c r="P1982" s="26" t="str">
        <f>IF(OR(F1982 = "", G1982 = "", I1982 = ""), "", IF(F1982 = "Vara", IFERROR(_xlfn.SINGLE(_xlfn.XLOOKUP(G1982, Vöruskrá!A:A, Vöruskrá!J:J, "")) * I1982 / 100, ""), IF(F1982 = "Réttur", IFERROR(_xlfn.SINGLE(_xlfn.XLOOKUP(G1982, Réttabanki!A:A, Réttabanki!AW:AW, "")) * I1982 / 100, ""), "")))</f>
        <v/>
      </c>
      <c r="Q1982" s="26" t="str">
        <f>IF(OR(F1982 = "", G1982 = "", I1982 = ""), "", IF(F1982 = "Vara", IFERROR(_xlfn.SINGLE(_xlfn.XLOOKUP(G1982, Vöruskrá!A:A, Vöruskrá!N:N, "")) * I1982 / 100, ""), IF(F1982 = "Réttur", IFERROR(_xlfn.SINGLE(_xlfn.XLOOKUP(G1982, Réttabanki!A:A, Réttabanki!BB:BB, "")) * I1982 / 100, ""), "")))</f>
        <v/>
      </c>
    </row>
  </sheetData>
  <mergeCells count="1">
    <mergeCell ref="A1:Q1"/>
  </mergeCells>
  <conditionalFormatting sqref="A3:Q1982">
    <cfRule type="expression" dxfId="1" priority="2">
      <formula>$A3&lt;&gt;""</formula>
    </cfRule>
    <cfRule type="expression" dxfId="0" priority="3">
      <formula>AND($A3="",$F3="")</formula>
    </cfRule>
  </conditionalFormatting>
  <dataValidations count="3">
    <dataValidation type="list" allowBlank="1" sqref="E3:E1982" xr:uid="{00000000-0002-0000-0200-000000000000}">
      <formula1>"Aðalréttur,Hliðarréttur,Meðlæti,Meðlætisbar,Síðdegishressing,Ávaxtastund"</formula1>
      <formula2>0</formula2>
    </dataValidation>
    <dataValidation type="list" allowBlank="1" sqref="F3:F1982" xr:uid="{00000000-0002-0000-0200-000001000000}">
      <formula1>"Vara,Réttur"</formula1>
      <formula2>0</formula2>
    </dataValidation>
    <dataValidation type="list" allowBlank="1" sqref="D3:D1982" xr:uid="{00000000-0002-0000-0200-000002000000}">
      <formula1>"Bæði,Leikskóli,Grunnskóli"</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D47A1"/>
  </sheetPr>
  <dimension ref="A1:L500"/>
  <sheetViews>
    <sheetView zoomScaleNormal="100" workbookViewId="0">
      <pane ySplit="2" topLeftCell="A3" activePane="bottomLeft" state="frozen"/>
      <selection pane="bottomLeft"/>
    </sheetView>
  </sheetViews>
  <sheetFormatPr defaultColWidth="8.7109375" defaultRowHeight="15"/>
  <cols>
    <col min="1" max="1" width="180" customWidth="1"/>
    <col min="2" max="2" width="100" customWidth="1"/>
    <col min="3" max="3" width="110" customWidth="1"/>
    <col min="4" max="4" width="140" customWidth="1"/>
    <col min="5" max="5" width="110" customWidth="1"/>
    <col min="6" max="6" width="240" customWidth="1"/>
    <col min="7" max="7" width="200" customWidth="1"/>
    <col min="8" max="9" width="110" customWidth="1"/>
    <col min="10" max="10" width="115" customWidth="1"/>
    <col min="11" max="11" width="100" customWidth="1"/>
    <col min="12" max="12" width="260" customWidth="1"/>
  </cols>
  <sheetData>
    <row r="1" spans="1:12" ht="36" customHeight="1">
      <c r="A1" s="66" t="s">
        <v>1100</v>
      </c>
      <c r="B1" s="66"/>
      <c r="C1" s="66"/>
      <c r="D1" s="66"/>
      <c r="E1" s="66"/>
      <c r="F1" s="66"/>
      <c r="G1" s="66"/>
      <c r="H1" s="66"/>
      <c r="I1" s="66"/>
      <c r="J1" s="66"/>
      <c r="K1" s="66"/>
      <c r="L1" s="66"/>
    </row>
    <row r="2" spans="1:12" ht="43.5" customHeight="1">
      <c r="A2" s="37" t="s">
        <v>1101</v>
      </c>
      <c r="B2" s="37" t="s">
        <v>897</v>
      </c>
      <c r="C2" s="17" t="s">
        <v>898</v>
      </c>
      <c r="D2" s="37" t="s">
        <v>901</v>
      </c>
      <c r="E2" s="37" t="s">
        <v>902</v>
      </c>
      <c r="F2" s="37" t="s">
        <v>903</v>
      </c>
      <c r="G2" s="37" t="s">
        <v>1102</v>
      </c>
      <c r="H2" s="37" t="s">
        <v>900</v>
      </c>
      <c r="I2" s="37" t="s">
        <v>905</v>
      </c>
      <c r="J2" s="37" t="s">
        <v>906</v>
      </c>
      <c r="K2" s="31" t="s">
        <v>840</v>
      </c>
      <c r="L2" s="37" t="s">
        <v>1103</v>
      </c>
    </row>
    <row r="3" spans="1:12" ht="15" customHeight="1">
      <c r="A3" s="38"/>
      <c r="B3" s="39"/>
      <c r="C3" s="40" t="str">
        <f>IF(B3="","",CHOOSE(WEEKDAY(B3,2),"Mánudagur","Þriðjudagur","Miðvikudagur","Fimmtudagur","Föstudagur","Laugardagur","Sunnudagur"))</f>
        <v/>
      </c>
      <c r="D3" s="38"/>
      <c r="E3" s="38"/>
      <c r="F3" s="38"/>
      <c r="G3" s="38"/>
      <c r="H3" s="38"/>
      <c r="I3" s="41"/>
      <c r="J3" s="41"/>
      <c r="K3" s="42"/>
      <c r="L3" s="38"/>
    </row>
    <row r="4" spans="1:12" ht="15" customHeight="1">
      <c r="A4" s="9"/>
      <c r="B4" s="43"/>
      <c r="C4" s="44" t="str">
        <f>IF(B4="","",CHOOSE(WEEKDAY(B4,2),"Mánudagur","Þriðjudagur","Miðvikudagur","Fimmtudagur","Föstudagur","Laugardagur","Sunnudagur"))</f>
        <v/>
      </c>
      <c r="D4" s="9"/>
      <c r="E4" s="9"/>
      <c r="F4" s="9"/>
      <c r="G4" s="9"/>
      <c r="H4" s="9"/>
      <c r="I4" s="24"/>
      <c r="J4" s="24"/>
      <c r="K4" s="42"/>
      <c r="L4" s="9"/>
    </row>
    <row r="5" spans="1:12" ht="15" customHeight="1">
      <c r="A5" s="38"/>
      <c r="B5" s="39"/>
      <c r="C5" s="40" t="str">
        <f>IF(B5="","",CHOOSE(WEEKDAY(B5,2),"Mánudagur","Þriðjudagur","Miðvikudagur","Fimmtudagur","Föstudagur","Laugardagur","Sunnudagur"))</f>
        <v/>
      </c>
      <c r="D5" s="38"/>
      <c r="E5" s="38"/>
      <c r="F5" s="38"/>
      <c r="G5" s="38"/>
      <c r="H5" s="38"/>
      <c r="I5" s="41"/>
      <c r="J5" s="41"/>
      <c r="K5" s="42"/>
      <c r="L5" s="38"/>
    </row>
    <row r="6" spans="1:12" ht="15" customHeight="1">
      <c r="A6" s="9"/>
      <c r="B6" s="43"/>
      <c r="C6" s="44" t="str">
        <f>IF(B6="","",CHOOSE(WEEKDAY(B6,2),"Mánudagur","Þriðjudagur","Miðvikudagur","Fimmtudagur","Föstudagur","Laugardagur","Sunnudagur"))</f>
        <v/>
      </c>
      <c r="D6" s="9"/>
      <c r="E6" s="9"/>
      <c r="F6" s="9"/>
      <c r="G6" s="9"/>
      <c r="H6" s="9"/>
      <c r="I6" s="24"/>
      <c r="J6" s="24"/>
      <c r="K6" s="42"/>
      <c r="L6" s="9"/>
    </row>
    <row r="7" spans="1:12" ht="15" customHeight="1">
      <c r="A7" s="38"/>
      <c r="B7" s="39"/>
      <c r="C7" s="40" t="str">
        <f>IF(B7="","",CHOOSE(WEEKDAY(B7,2),"Mánudagur","Þriðjudagur","Miðvikudagur","Fimmtudagur","Föstudagur","Laugardagur","Sunnudagur"))</f>
        <v/>
      </c>
      <c r="D7" s="38"/>
      <c r="E7" s="38"/>
      <c r="F7" s="38"/>
      <c r="G7" s="38"/>
      <c r="H7" s="38"/>
      <c r="I7" s="41"/>
      <c r="J7" s="41"/>
      <c r="K7" s="42"/>
      <c r="L7" s="38"/>
    </row>
    <row r="8" spans="1:12" ht="15" customHeight="1">
      <c r="A8" s="9"/>
      <c r="B8" s="43"/>
      <c r="C8" s="44" t="str">
        <f>IF(B8="","",CHOOSE(WEEKDAY(B8,2),"Mánudagur","Þriðjudagur","Miðvikudagur","Fimmtudagur","Föstudagur","Laugardagur","Sunnudagur"))</f>
        <v/>
      </c>
      <c r="D8" s="9"/>
      <c r="E8" s="9"/>
      <c r="F8" s="9"/>
      <c r="G8" s="9"/>
      <c r="H8" s="9"/>
      <c r="I8" s="24"/>
      <c r="J8" s="24"/>
      <c r="K8" s="42"/>
      <c r="L8" s="9"/>
    </row>
    <row r="9" spans="1:12" ht="15" customHeight="1">
      <c r="A9" s="38"/>
      <c r="B9" s="39"/>
      <c r="C9" s="40" t="str">
        <f>IF(B9="","",CHOOSE(WEEKDAY(B9,2),"Mánudagur","Þriðjudagur","Miðvikudagur","Fimmtudagur","Föstudagur","Laugardagur","Sunnudagur"))</f>
        <v/>
      </c>
      <c r="D9" s="38"/>
      <c r="E9" s="38"/>
      <c r="F9" s="38"/>
      <c r="G9" s="38"/>
      <c r="H9" s="38"/>
      <c r="I9" s="41"/>
      <c r="J9" s="41"/>
      <c r="K9" s="42"/>
      <c r="L9" s="38"/>
    </row>
    <row r="10" spans="1:12" ht="15" customHeight="1">
      <c r="A10" s="9"/>
      <c r="B10" s="43"/>
      <c r="C10" s="44" t="str">
        <f>IF(B10="","",CHOOSE(WEEKDAY(B10,2),"Mánudagur","Þriðjudagur","Miðvikudagur","Fimmtudagur","Föstudagur","Laugardagur","Sunnudagur"))</f>
        <v/>
      </c>
      <c r="D10" s="9"/>
      <c r="E10" s="9"/>
      <c r="F10" s="9"/>
      <c r="G10" s="9"/>
      <c r="H10" s="9"/>
      <c r="I10" s="24"/>
      <c r="J10" s="24"/>
      <c r="K10" s="42"/>
      <c r="L10" s="9"/>
    </row>
    <row r="11" spans="1:12" ht="15" customHeight="1">
      <c r="A11" s="38"/>
      <c r="B11" s="39"/>
      <c r="C11" s="40" t="str">
        <f>IF(B11="","",CHOOSE(WEEKDAY(B11,2),"Mánudagur","Þriðjudagur","Miðvikudagur","Fimmtudagur","Föstudagur","Laugardagur","Sunnudagur"))</f>
        <v/>
      </c>
      <c r="D11" s="38"/>
      <c r="E11" s="38"/>
      <c r="F11" s="38"/>
      <c r="G11" s="38"/>
      <c r="H11" s="38"/>
      <c r="I11" s="41"/>
      <c r="J11" s="41"/>
      <c r="K11" s="42"/>
      <c r="L11" s="38"/>
    </row>
    <row r="12" spans="1:12" ht="15" customHeight="1">
      <c r="A12" s="9"/>
      <c r="B12" s="43"/>
      <c r="C12" s="44" t="str">
        <f>IF(B12="","",CHOOSE(WEEKDAY(B12,2),"Mánudagur","Þriðjudagur","Miðvikudagur","Fimmtudagur","Föstudagur","Laugardagur","Sunnudagur"))</f>
        <v/>
      </c>
      <c r="D12" s="9"/>
      <c r="E12" s="9"/>
      <c r="F12" s="9"/>
      <c r="G12" s="9"/>
      <c r="H12" s="9"/>
      <c r="I12" s="24"/>
      <c r="J12" s="24"/>
      <c r="K12" s="42"/>
      <c r="L12" s="9"/>
    </row>
    <row r="13" spans="1:12" ht="15" customHeight="1">
      <c r="A13" s="38"/>
      <c r="B13" s="39"/>
      <c r="C13" s="40" t="str">
        <f>IF(B13="","",CHOOSE(WEEKDAY(B13,2),"Mánudagur","Þriðjudagur","Miðvikudagur","Fimmtudagur","Föstudagur","Laugardagur","Sunnudagur"))</f>
        <v/>
      </c>
      <c r="D13" s="38"/>
      <c r="E13" s="38"/>
      <c r="F13" s="38"/>
      <c r="G13" s="38"/>
      <c r="H13" s="38"/>
      <c r="I13" s="41"/>
      <c r="J13" s="41"/>
      <c r="K13" s="42"/>
      <c r="L13" s="38"/>
    </row>
    <row r="14" spans="1:12" ht="15" customHeight="1">
      <c r="A14" s="9"/>
      <c r="B14" s="43"/>
      <c r="C14" s="44" t="str">
        <f>IF(B14="","",CHOOSE(WEEKDAY(B14,2),"Mánudagur","Þriðjudagur","Miðvikudagur","Fimmtudagur","Föstudagur","Laugardagur","Sunnudagur"))</f>
        <v/>
      </c>
      <c r="D14" s="9"/>
      <c r="E14" s="9"/>
      <c r="F14" s="9"/>
      <c r="G14" s="9"/>
      <c r="H14" s="9"/>
      <c r="I14" s="24"/>
      <c r="J14" s="24"/>
      <c r="K14" s="42"/>
      <c r="L14" s="9"/>
    </row>
    <row r="15" spans="1:12" ht="15" customHeight="1">
      <c r="A15" s="38"/>
      <c r="B15" s="39"/>
      <c r="C15" s="40" t="str">
        <f>IF(B15="","",CHOOSE(WEEKDAY(B15,2),"Mánudagur","Þriðjudagur","Miðvikudagur","Fimmtudagur","Föstudagur","Laugardagur","Sunnudagur"))</f>
        <v/>
      </c>
      <c r="D15" s="38"/>
      <c r="E15" s="38"/>
      <c r="F15" s="38"/>
      <c r="G15" s="38"/>
      <c r="H15" s="38"/>
      <c r="I15" s="41"/>
      <c r="J15" s="41"/>
      <c r="K15" s="42"/>
      <c r="L15" s="38"/>
    </row>
    <row r="16" spans="1:12" ht="15" customHeight="1">
      <c r="A16" s="9"/>
      <c r="B16" s="43"/>
      <c r="C16" s="44" t="str">
        <f>IF(B16="","",CHOOSE(WEEKDAY(B16,2),"Mánudagur","Þriðjudagur","Miðvikudagur","Fimmtudagur","Föstudagur","Laugardagur","Sunnudagur"))</f>
        <v/>
      </c>
      <c r="D16" s="9"/>
      <c r="E16" s="9"/>
      <c r="F16" s="9"/>
      <c r="G16" s="9"/>
      <c r="H16" s="9"/>
      <c r="I16" s="24"/>
      <c r="J16" s="24"/>
      <c r="K16" s="42"/>
      <c r="L16" s="9"/>
    </row>
    <row r="17" spans="1:12" ht="15" customHeight="1">
      <c r="A17" s="38"/>
      <c r="B17" s="39"/>
      <c r="C17" s="40" t="str">
        <f>IF(B17="","",CHOOSE(WEEKDAY(B17,2),"Mánudagur","Þriðjudagur","Miðvikudagur","Fimmtudagur","Föstudagur","Laugardagur","Sunnudagur"))</f>
        <v/>
      </c>
      <c r="D17" s="38"/>
      <c r="E17" s="38"/>
      <c r="F17" s="38"/>
      <c r="G17" s="38"/>
      <c r="H17" s="38"/>
      <c r="I17" s="41"/>
      <c r="J17" s="41"/>
      <c r="K17" s="42"/>
      <c r="L17" s="38"/>
    </row>
    <row r="18" spans="1:12" ht="15" customHeight="1">
      <c r="A18" s="9"/>
      <c r="B18" s="43"/>
      <c r="C18" s="44" t="str">
        <f>IF(B18="","",CHOOSE(WEEKDAY(B18,2),"Mánudagur","Þriðjudagur","Miðvikudagur","Fimmtudagur","Föstudagur","Laugardagur","Sunnudagur"))</f>
        <v/>
      </c>
      <c r="D18" s="9"/>
      <c r="E18" s="9"/>
      <c r="F18" s="9"/>
      <c r="G18" s="9"/>
      <c r="H18" s="9"/>
      <c r="I18" s="24"/>
      <c r="J18" s="24"/>
      <c r="K18" s="42"/>
      <c r="L18" s="9"/>
    </row>
    <row r="19" spans="1:12" ht="15" customHeight="1">
      <c r="A19" s="38"/>
      <c r="B19" s="39"/>
      <c r="C19" s="40" t="str">
        <f>IF(B19="","",CHOOSE(WEEKDAY(B19,2),"Mánudagur","Þriðjudagur","Miðvikudagur","Fimmtudagur","Föstudagur","Laugardagur","Sunnudagur"))</f>
        <v/>
      </c>
      <c r="D19" s="38"/>
      <c r="E19" s="38"/>
      <c r="F19" s="38"/>
      <c r="G19" s="38"/>
      <c r="H19" s="38"/>
      <c r="I19" s="41"/>
      <c r="J19" s="41"/>
      <c r="K19" s="42"/>
      <c r="L19" s="38"/>
    </row>
    <row r="20" spans="1:12" ht="15" customHeight="1">
      <c r="A20" s="9"/>
      <c r="B20" s="43"/>
      <c r="C20" s="44" t="str">
        <f>IF(B20="","",CHOOSE(WEEKDAY(B20,2),"Mánudagur","Þriðjudagur","Miðvikudagur","Fimmtudagur","Föstudagur","Laugardagur","Sunnudagur"))</f>
        <v/>
      </c>
      <c r="D20" s="9"/>
      <c r="E20" s="9"/>
      <c r="F20" s="9"/>
      <c r="G20" s="9"/>
      <c r="H20" s="9"/>
      <c r="I20" s="24"/>
      <c r="J20" s="24"/>
      <c r="K20" s="42"/>
      <c r="L20" s="9"/>
    </row>
    <row r="21" spans="1:12" ht="15" customHeight="1">
      <c r="A21" s="38"/>
      <c r="B21" s="39"/>
      <c r="C21" s="40" t="str">
        <f>IF(B21="","",CHOOSE(WEEKDAY(B21,2),"Mánudagur","Þriðjudagur","Miðvikudagur","Fimmtudagur","Föstudagur","Laugardagur","Sunnudagur"))</f>
        <v/>
      </c>
      <c r="D21" s="38"/>
      <c r="E21" s="38"/>
      <c r="F21" s="38"/>
      <c r="G21" s="38"/>
      <c r="H21" s="38"/>
      <c r="I21" s="41"/>
      <c r="J21" s="41"/>
      <c r="K21" s="42"/>
      <c r="L21" s="38"/>
    </row>
    <row r="22" spans="1:12" ht="15" customHeight="1">
      <c r="A22" s="9"/>
      <c r="B22" s="43"/>
      <c r="C22" s="44" t="str">
        <f>IF(B22="","",CHOOSE(WEEKDAY(B22,2),"Mánudagur","Þriðjudagur","Miðvikudagur","Fimmtudagur","Föstudagur","Laugardagur","Sunnudagur"))</f>
        <v/>
      </c>
      <c r="D22" s="9"/>
      <c r="E22" s="9"/>
      <c r="F22" s="9"/>
      <c r="G22" s="9"/>
      <c r="H22" s="9"/>
      <c r="I22" s="24"/>
      <c r="J22" s="24"/>
      <c r="K22" s="42"/>
      <c r="L22" s="9"/>
    </row>
    <row r="23" spans="1:12" ht="15" customHeight="1">
      <c r="A23" s="38"/>
      <c r="B23" s="39"/>
      <c r="C23" s="40" t="str">
        <f>IF(B23="","",CHOOSE(WEEKDAY(B23,2),"Mánudagur","Þriðjudagur","Miðvikudagur","Fimmtudagur","Föstudagur","Laugardagur","Sunnudagur"))</f>
        <v/>
      </c>
      <c r="D23" s="38"/>
      <c r="E23" s="38"/>
      <c r="F23" s="38"/>
      <c r="G23" s="38"/>
      <c r="H23" s="38"/>
      <c r="I23" s="41"/>
      <c r="J23" s="41"/>
      <c r="K23" s="42"/>
      <c r="L23" s="38"/>
    </row>
    <row r="24" spans="1:12" ht="15" customHeight="1">
      <c r="A24" s="9"/>
      <c r="B24" s="43"/>
      <c r="C24" s="44" t="str">
        <f>IF(B24="","",CHOOSE(WEEKDAY(B24,2),"Mánudagur","Þriðjudagur","Miðvikudagur","Fimmtudagur","Föstudagur","Laugardagur","Sunnudagur"))</f>
        <v/>
      </c>
      <c r="D24" s="9"/>
      <c r="E24" s="9"/>
      <c r="F24" s="9"/>
      <c r="G24" s="9"/>
      <c r="H24" s="9"/>
      <c r="I24" s="24"/>
      <c r="J24" s="24"/>
      <c r="K24" s="42"/>
      <c r="L24" s="9"/>
    </row>
    <row r="25" spans="1:12" ht="15" customHeight="1">
      <c r="A25" s="38"/>
      <c r="B25" s="39"/>
      <c r="C25" s="40" t="str">
        <f>IF(B25="","",CHOOSE(WEEKDAY(B25,2),"Mánudagur","Þriðjudagur","Miðvikudagur","Fimmtudagur","Föstudagur","Laugardagur","Sunnudagur"))</f>
        <v/>
      </c>
      <c r="D25" s="38"/>
      <c r="E25" s="38"/>
      <c r="F25" s="38"/>
      <c r="G25" s="38"/>
      <c r="H25" s="38"/>
      <c r="I25" s="41"/>
      <c r="J25" s="41"/>
      <c r="K25" s="42"/>
      <c r="L25" s="38"/>
    </row>
    <row r="26" spans="1:12" ht="15" customHeight="1">
      <c r="A26" s="9"/>
      <c r="B26" s="43"/>
      <c r="C26" s="44" t="str">
        <f>IF(B26="","",CHOOSE(WEEKDAY(B26,2),"Mánudagur","Þriðjudagur","Miðvikudagur","Fimmtudagur","Föstudagur","Laugardagur","Sunnudagur"))</f>
        <v/>
      </c>
      <c r="D26" s="9"/>
      <c r="E26" s="9"/>
      <c r="F26" s="9"/>
      <c r="G26" s="9"/>
      <c r="H26" s="9"/>
      <c r="I26" s="24"/>
      <c r="J26" s="24"/>
      <c r="K26" s="42"/>
      <c r="L26" s="9"/>
    </row>
    <row r="27" spans="1:12" ht="15" customHeight="1">
      <c r="A27" s="38"/>
      <c r="B27" s="39"/>
      <c r="C27" s="40" t="str">
        <f>IF(B27="","",CHOOSE(WEEKDAY(B27,2),"Mánudagur","Þriðjudagur","Miðvikudagur","Fimmtudagur","Föstudagur","Laugardagur","Sunnudagur"))</f>
        <v/>
      </c>
      <c r="D27" s="38"/>
      <c r="E27" s="38"/>
      <c r="F27" s="38"/>
      <c r="G27" s="38"/>
      <c r="H27" s="38"/>
      <c r="I27" s="41"/>
      <c r="J27" s="41"/>
      <c r="K27" s="42"/>
      <c r="L27" s="38"/>
    </row>
    <row r="28" spans="1:12" ht="15" customHeight="1">
      <c r="A28" s="9"/>
      <c r="B28" s="43"/>
      <c r="C28" s="44" t="str">
        <f>IF(B28="","",CHOOSE(WEEKDAY(B28,2),"Mánudagur","Þriðjudagur","Miðvikudagur","Fimmtudagur","Föstudagur","Laugardagur","Sunnudagur"))</f>
        <v/>
      </c>
      <c r="D28" s="9"/>
      <c r="E28" s="9"/>
      <c r="F28" s="9"/>
      <c r="G28" s="9"/>
      <c r="H28" s="9"/>
      <c r="I28" s="24"/>
      <c r="J28" s="24"/>
      <c r="K28" s="42"/>
      <c r="L28" s="9"/>
    </row>
    <row r="29" spans="1:12" ht="15" customHeight="1">
      <c r="A29" s="38"/>
      <c r="B29" s="39"/>
      <c r="C29" s="40" t="str">
        <f>IF(B29="","",CHOOSE(WEEKDAY(B29,2),"Mánudagur","Þriðjudagur","Miðvikudagur","Fimmtudagur","Föstudagur","Laugardagur","Sunnudagur"))</f>
        <v/>
      </c>
      <c r="D29" s="38"/>
      <c r="E29" s="38"/>
      <c r="F29" s="38"/>
      <c r="G29" s="38"/>
      <c r="H29" s="38"/>
      <c r="I29" s="41"/>
      <c r="J29" s="41"/>
      <c r="K29" s="42"/>
      <c r="L29" s="38"/>
    </row>
    <row r="30" spans="1:12" ht="15" customHeight="1">
      <c r="A30" s="9"/>
      <c r="B30" s="43"/>
      <c r="C30" s="44" t="str">
        <f>IF(B30="","",CHOOSE(WEEKDAY(B30,2),"Mánudagur","Þriðjudagur","Miðvikudagur","Fimmtudagur","Föstudagur","Laugardagur","Sunnudagur"))</f>
        <v/>
      </c>
      <c r="D30" s="9"/>
      <c r="E30" s="9"/>
      <c r="F30" s="9"/>
      <c r="G30" s="9"/>
      <c r="H30" s="9"/>
      <c r="I30" s="24"/>
      <c r="J30" s="24"/>
      <c r="K30" s="42"/>
      <c r="L30" s="9"/>
    </row>
    <row r="31" spans="1:12" ht="15" customHeight="1">
      <c r="A31" s="38"/>
      <c r="B31" s="39"/>
      <c r="C31" s="40" t="str">
        <f>IF(B31="","",CHOOSE(WEEKDAY(B31,2),"Mánudagur","Þriðjudagur","Miðvikudagur","Fimmtudagur","Föstudagur","Laugardagur","Sunnudagur"))</f>
        <v/>
      </c>
      <c r="D31" s="38"/>
      <c r="E31" s="38"/>
      <c r="F31" s="38"/>
      <c r="G31" s="38"/>
      <c r="H31" s="38"/>
      <c r="I31" s="41"/>
      <c r="J31" s="41"/>
      <c r="K31" s="42"/>
      <c r="L31" s="38"/>
    </row>
    <row r="32" spans="1:12" ht="15" customHeight="1">
      <c r="A32" s="9"/>
      <c r="B32" s="43"/>
      <c r="C32" s="44" t="str">
        <f>IF(B32="","",CHOOSE(WEEKDAY(B32,2),"Mánudagur","Þriðjudagur","Miðvikudagur","Fimmtudagur","Föstudagur","Laugardagur","Sunnudagur"))</f>
        <v/>
      </c>
      <c r="D32" s="9"/>
      <c r="E32" s="9"/>
      <c r="F32" s="9"/>
      <c r="G32" s="9"/>
      <c r="H32" s="9"/>
      <c r="I32" s="24"/>
      <c r="J32" s="24"/>
      <c r="K32" s="42"/>
      <c r="L32" s="9"/>
    </row>
    <row r="33" spans="1:12" ht="15" customHeight="1">
      <c r="A33" s="38"/>
      <c r="B33" s="39"/>
      <c r="C33" s="40" t="str">
        <f>IF(B33="","",CHOOSE(WEEKDAY(B33,2),"Mánudagur","Þriðjudagur","Miðvikudagur","Fimmtudagur","Föstudagur","Laugardagur","Sunnudagur"))</f>
        <v/>
      </c>
      <c r="D33" s="38"/>
      <c r="E33" s="38"/>
      <c r="F33" s="38"/>
      <c r="G33" s="38"/>
      <c r="H33" s="38"/>
      <c r="I33" s="41"/>
      <c r="J33" s="41"/>
      <c r="K33" s="42"/>
      <c r="L33" s="38"/>
    </row>
    <row r="34" spans="1:12" ht="15" customHeight="1">
      <c r="A34" s="9"/>
      <c r="B34" s="43"/>
      <c r="C34" s="44" t="str">
        <f>IF(B34="","",CHOOSE(WEEKDAY(B34,2),"Mánudagur","Þriðjudagur","Miðvikudagur","Fimmtudagur","Föstudagur","Laugardagur","Sunnudagur"))</f>
        <v/>
      </c>
      <c r="D34" s="9"/>
      <c r="E34" s="9"/>
      <c r="F34" s="9"/>
      <c r="G34" s="9"/>
      <c r="H34" s="9"/>
      <c r="I34" s="24"/>
      <c r="J34" s="24"/>
      <c r="K34" s="42"/>
      <c r="L34" s="9"/>
    </row>
    <row r="35" spans="1:12" ht="15" customHeight="1">
      <c r="A35" s="38"/>
      <c r="B35" s="39"/>
      <c r="C35" s="40" t="str">
        <f>IF(B35="","",CHOOSE(WEEKDAY(B35,2),"Mánudagur","Þriðjudagur","Miðvikudagur","Fimmtudagur","Föstudagur","Laugardagur","Sunnudagur"))</f>
        <v/>
      </c>
      <c r="D35" s="38"/>
      <c r="E35" s="38"/>
      <c r="F35" s="38"/>
      <c r="G35" s="38"/>
      <c r="H35" s="38"/>
      <c r="I35" s="41"/>
      <c r="J35" s="41"/>
      <c r="K35" s="42"/>
      <c r="L35" s="38"/>
    </row>
    <row r="36" spans="1:12" ht="15" customHeight="1">
      <c r="A36" s="9"/>
      <c r="B36" s="43"/>
      <c r="C36" s="44" t="str">
        <f>IF(B36="","",CHOOSE(WEEKDAY(B36,2),"Mánudagur","Þriðjudagur","Miðvikudagur","Fimmtudagur","Föstudagur","Laugardagur","Sunnudagur"))</f>
        <v/>
      </c>
      <c r="D36" s="9"/>
      <c r="E36" s="9"/>
      <c r="F36" s="9"/>
      <c r="G36" s="9"/>
      <c r="H36" s="9"/>
      <c r="I36" s="24"/>
      <c r="J36" s="24"/>
      <c r="K36" s="42"/>
      <c r="L36" s="9"/>
    </row>
    <row r="37" spans="1:12" ht="15" customHeight="1">
      <c r="A37" s="38"/>
      <c r="B37" s="39"/>
      <c r="C37" s="40" t="str">
        <f>IF(B37="","",CHOOSE(WEEKDAY(B37,2),"Mánudagur","Þriðjudagur","Miðvikudagur","Fimmtudagur","Föstudagur","Laugardagur","Sunnudagur"))</f>
        <v/>
      </c>
      <c r="D37" s="38"/>
      <c r="E37" s="38"/>
      <c r="F37" s="38"/>
      <c r="G37" s="38"/>
      <c r="H37" s="38"/>
      <c r="I37" s="41"/>
      <c r="J37" s="41"/>
      <c r="K37" s="42"/>
      <c r="L37" s="38"/>
    </row>
    <row r="38" spans="1:12" ht="15" customHeight="1">
      <c r="A38" s="9"/>
      <c r="B38" s="43"/>
      <c r="C38" s="44" t="str">
        <f>IF(B38="","",CHOOSE(WEEKDAY(B38,2),"Mánudagur","Þriðjudagur","Miðvikudagur","Fimmtudagur","Föstudagur","Laugardagur","Sunnudagur"))</f>
        <v/>
      </c>
      <c r="D38" s="9"/>
      <c r="E38" s="9"/>
      <c r="F38" s="9"/>
      <c r="G38" s="9"/>
      <c r="H38" s="9"/>
      <c r="I38" s="24"/>
      <c r="J38" s="24"/>
      <c r="K38" s="42"/>
      <c r="L38" s="9"/>
    </row>
    <row r="39" spans="1:12" ht="15" customHeight="1">
      <c r="A39" s="38"/>
      <c r="B39" s="39"/>
      <c r="C39" s="40" t="str">
        <f>IF(B39="","",CHOOSE(WEEKDAY(B39,2),"Mánudagur","Þriðjudagur","Miðvikudagur","Fimmtudagur","Föstudagur","Laugardagur","Sunnudagur"))</f>
        <v/>
      </c>
      <c r="D39" s="38"/>
      <c r="E39" s="38"/>
      <c r="F39" s="38"/>
      <c r="G39" s="38"/>
      <c r="H39" s="38"/>
      <c r="I39" s="41"/>
      <c r="J39" s="41"/>
      <c r="K39" s="42"/>
      <c r="L39" s="38"/>
    </row>
    <row r="40" spans="1:12" ht="15" customHeight="1">
      <c r="A40" s="9"/>
      <c r="B40" s="43"/>
      <c r="C40" s="44" t="str">
        <f>IF(B40="","",CHOOSE(WEEKDAY(B40,2),"Mánudagur","Þriðjudagur","Miðvikudagur","Fimmtudagur","Föstudagur","Laugardagur","Sunnudagur"))</f>
        <v/>
      </c>
      <c r="D40" s="9"/>
      <c r="E40" s="9"/>
      <c r="F40" s="9"/>
      <c r="G40" s="9"/>
      <c r="H40" s="9"/>
      <c r="I40" s="24"/>
      <c r="J40" s="24"/>
      <c r="K40" s="42"/>
      <c r="L40" s="9"/>
    </row>
    <row r="41" spans="1:12" ht="15" customHeight="1">
      <c r="A41" s="38"/>
      <c r="B41" s="39"/>
      <c r="C41" s="40" t="str">
        <f>IF(B41="","",CHOOSE(WEEKDAY(B41,2),"Mánudagur","Þriðjudagur","Miðvikudagur","Fimmtudagur","Föstudagur","Laugardagur","Sunnudagur"))</f>
        <v/>
      </c>
      <c r="D41" s="38"/>
      <c r="E41" s="38"/>
      <c r="F41" s="38"/>
      <c r="G41" s="38"/>
      <c r="H41" s="38"/>
      <c r="I41" s="41"/>
      <c r="J41" s="41"/>
      <c r="K41" s="42"/>
      <c r="L41" s="38"/>
    </row>
    <row r="42" spans="1:12" ht="15" customHeight="1">
      <c r="A42" s="9"/>
      <c r="B42" s="43"/>
      <c r="C42" s="44" t="str">
        <f>IF(B42="","",CHOOSE(WEEKDAY(B42,2),"Mánudagur","Þriðjudagur","Miðvikudagur","Fimmtudagur","Föstudagur","Laugardagur","Sunnudagur"))</f>
        <v/>
      </c>
      <c r="D42" s="9"/>
      <c r="E42" s="9"/>
      <c r="F42" s="9"/>
      <c r="G42" s="9"/>
      <c r="H42" s="9"/>
      <c r="I42" s="24"/>
      <c r="J42" s="24"/>
      <c r="K42" s="42"/>
      <c r="L42" s="9"/>
    </row>
    <row r="43" spans="1:12" ht="15" customHeight="1">
      <c r="A43" s="38"/>
      <c r="B43" s="39"/>
      <c r="C43" s="40" t="str">
        <f>IF(B43="","",CHOOSE(WEEKDAY(B43,2),"Mánudagur","Þriðjudagur","Miðvikudagur","Fimmtudagur","Föstudagur","Laugardagur","Sunnudagur"))</f>
        <v/>
      </c>
      <c r="D43" s="38"/>
      <c r="E43" s="38"/>
      <c r="F43" s="38"/>
      <c r="G43" s="38"/>
      <c r="H43" s="38"/>
      <c r="I43" s="41"/>
      <c r="J43" s="41"/>
      <c r="K43" s="42"/>
      <c r="L43" s="38"/>
    </row>
    <row r="44" spans="1:12" ht="15" customHeight="1">
      <c r="A44" s="9"/>
      <c r="B44" s="43"/>
      <c r="C44" s="44" t="str">
        <f>IF(B44="","",CHOOSE(WEEKDAY(B44,2),"Mánudagur","Þriðjudagur","Miðvikudagur","Fimmtudagur","Föstudagur","Laugardagur","Sunnudagur"))</f>
        <v/>
      </c>
      <c r="D44" s="9"/>
      <c r="E44" s="9"/>
      <c r="F44" s="9"/>
      <c r="G44" s="9"/>
      <c r="H44" s="9"/>
      <c r="I44" s="24"/>
      <c r="J44" s="24"/>
      <c r="K44" s="42"/>
      <c r="L44" s="9"/>
    </row>
    <row r="45" spans="1:12" ht="15" customHeight="1">
      <c r="A45" s="38"/>
      <c r="B45" s="39"/>
      <c r="C45" s="40" t="str">
        <f>IF(B45="","",CHOOSE(WEEKDAY(B45,2),"Mánudagur","Þriðjudagur","Miðvikudagur","Fimmtudagur","Föstudagur","Laugardagur","Sunnudagur"))</f>
        <v/>
      </c>
      <c r="D45" s="38"/>
      <c r="E45" s="38"/>
      <c r="F45" s="38"/>
      <c r="G45" s="38"/>
      <c r="H45" s="38"/>
      <c r="I45" s="41"/>
      <c r="J45" s="41"/>
      <c r="K45" s="42"/>
      <c r="L45" s="38"/>
    </row>
    <row r="46" spans="1:12" ht="15" customHeight="1">
      <c r="A46" s="9"/>
      <c r="B46" s="43"/>
      <c r="C46" s="44" t="str">
        <f>IF(B46="","",CHOOSE(WEEKDAY(B46,2),"Mánudagur","Þriðjudagur","Miðvikudagur","Fimmtudagur","Föstudagur","Laugardagur","Sunnudagur"))</f>
        <v/>
      </c>
      <c r="D46" s="9"/>
      <c r="E46" s="9"/>
      <c r="F46" s="9"/>
      <c r="G46" s="9"/>
      <c r="H46" s="9"/>
      <c r="I46" s="24"/>
      <c r="J46" s="24"/>
      <c r="K46" s="42"/>
      <c r="L46" s="9"/>
    </row>
    <row r="47" spans="1:12" ht="15" customHeight="1">
      <c r="A47" s="38"/>
      <c r="B47" s="39"/>
      <c r="C47" s="40" t="str">
        <f>IF(B47="","",CHOOSE(WEEKDAY(B47,2),"Mánudagur","Þriðjudagur","Miðvikudagur","Fimmtudagur","Föstudagur","Laugardagur","Sunnudagur"))</f>
        <v/>
      </c>
      <c r="D47" s="38"/>
      <c r="E47" s="38"/>
      <c r="F47" s="38"/>
      <c r="G47" s="38"/>
      <c r="H47" s="38"/>
      <c r="I47" s="41"/>
      <c r="J47" s="41"/>
      <c r="K47" s="42"/>
      <c r="L47" s="38"/>
    </row>
    <row r="48" spans="1:12" ht="15" customHeight="1">
      <c r="A48" s="9"/>
      <c r="B48" s="43"/>
      <c r="C48" s="44" t="str">
        <f>IF(B48="","",CHOOSE(WEEKDAY(B48,2),"Mánudagur","Þriðjudagur","Miðvikudagur","Fimmtudagur","Föstudagur","Laugardagur","Sunnudagur"))</f>
        <v/>
      </c>
      <c r="D48" s="9"/>
      <c r="E48" s="9"/>
      <c r="F48" s="9"/>
      <c r="G48" s="9"/>
      <c r="H48" s="9"/>
      <c r="I48" s="24"/>
      <c r="J48" s="24"/>
      <c r="K48" s="42"/>
      <c r="L48" s="9"/>
    </row>
    <row r="49" spans="1:12" ht="15" customHeight="1">
      <c r="A49" s="38"/>
      <c r="B49" s="39"/>
      <c r="C49" s="40" t="str">
        <f>IF(B49="","",CHOOSE(WEEKDAY(B49,2),"Mánudagur","Þriðjudagur","Miðvikudagur","Fimmtudagur","Föstudagur","Laugardagur","Sunnudagur"))</f>
        <v/>
      </c>
      <c r="D49" s="38"/>
      <c r="E49" s="38"/>
      <c r="F49" s="38"/>
      <c r="G49" s="38"/>
      <c r="H49" s="38"/>
      <c r="I49" s="41"/>
      <c r="J49" s="41"/>
      <c r="K49" s="42"/>
      <c r="L49" s="38"/>
    </row>
    <row r="50" spans="1:12" ht="15" customHeight="1">
      <c r="A50" s="9"/>
      <c r="B50" s="43"/>
      <c r="C50" s="44" t="str">
        <f>IF(B50="","",CHOOSE(WEEKDAY(B50,2),"Mánudagur","Þriðjudagur","Miðvikudagur","Fimmtudagur","Föstudagur","Laugardagur","Sunnudagur"))</f>
        <v/>
      </c>
      <c r="D50" s="9"/>
      <c r="E50" s="9"/>
      <c r="F50" s="9"/>
      <c r="G50" s="9"/>
      <c r="H50" s="9"/>
      <c r="I50" s="24"/>
      <c r="J50" s="24"/>
      <c r="K50" s="42"/>
      <c r="L50" s="9"/>
    </row>
    <row r="51" spans="1:12" ht="15" customHeight="1">
      <c r="A51" s="38"/>
      <c r="B51" s="39"/>
      <c r="C51" s="40" t="str">
        <f>IF(B51="","",CHOOSE(WEEKDAY(B51,2),"Mánudagur","Þriðjudagur","Miðvikudagur","Fimmtudagur","Föstudagur","Laugardagur","Sunnudagur"))</f>
        <v/>
      </c>
      <c r="D51" s="38"/>
      <c r="E51" s="38"/>
      <c r="F51" s="38"/>
      <c r="G51" s="38"/>
      <c r="H51" s="38"/>
      <c r="I51" s="41"/>
      <c r="J51" s="41"/>
      <c r="K51" s="42"/>
      <c r="L51" s="38"/>
    </row>
    <row r="52" spans="1:12" ht="15" customHeight="1">
      <c r="A52" s="9"/>
      <c r="B52" s="43"/>
      <c r="C52" s="44" t="str">
        <f>IF(B52="","",CHOOSE(WEEKDAY(B52,2),"Mánudagur","Þriðjudagur","Miðvikudagur","Fimmtudagur","Föstudagur","Laugardagur","Sunnudagur"))</f>
        <v/>
      </c>
      <c r="D52" s="9"/>
      <c r="E52" s="9"/>
      <c r="F52" s="9"/>
      <c r="G52" s="9"/>
      <c r="H52" s="9"/>
      <c r="I52" s="24"/>
      <c r="J52" s="24"/>
      <c r="K52" s="42"/>
      <c r="L52" s="9"/>
    </row>
    <row r="53" spans="1:12" ht="15" customHeight="1">
      <c r="A53" s="38"/>
      <c r="B53" s="39"/>
      <c r="C53" s="40" t="str">
        <f>IF(B53="","",CHOOSE(WEEKDAY(B53,2),"Mánudagur","Þriðjudagur","Miðvikudagur","Fimmtudagur","Föstudagur","Laugardagur","Sunnudagur"))</f>
        <v/>
      </c>
      <c r="D53" s="38"/>
      <c r="E53" s="38"/>
      <c r="F53" s="38"/>
      <c r="G53" s="38"/>
      <c r="H53" s="38"/>
      <c r="I53" s="41"/>
      <c r="J53" s="41"/>
      <c r="K53" s="42"/>
      <c r="L53" s="38"/>
    </row>
    <row r="54" spans="1:12" ht="15" customHeight="1">
      <c r="A54" s="9"/>
      <c r="B54" s="43"/>
      <c r="C54" s="44" t="str">
        <f>IF(B54="","",CHOOSE(WEEKDAY(B54,2),"Mánudagur","Þriðjudagur","Miðvikudagur","Fimmtudagur","Föstudagur","Laugardagur","Sunnudagur"))</f>
        <v/>
      </c>
      <c r="D54" s="9"/>
      <c r="E54" s="9"/>
      <c r="F54" s="9"/>
      <c r="G54" s="9"/>
      <c r="H54" s="9"/>
      <c r="I54" s="24"/>
      <c r="J54" s="24"/>
      <c r="K54" s="42"/>
      <c r="L54" s="9"/>
    </row>
    <row r="55" spans="1:12" ht="15" customHeight="1">
      <c r="A55" s="38"/>
      <c r="B55" s="39"/>
      <c r="C55" s="40" t="str">
        <f>IF(B55="","",CHOOSE(WEEKDAY(B55,2),"Mánudagur","Þriðjudagur","Miðvikudagur","Fimmtudagur","Föstudagur","Laugardagur","Sunnudagur"))</f>
        <v/>
      </c>
      <c r="D55" s="38"/>
      <c r="E55" s="38"/>
      <c r="F55" s="38"/>
      <c r="G55" s="38"/>
      <c r="H55" s="38"/>
      <c r="I55" s="41"/>
      <c r="J55" s="41"/>
      <c r="K55" s="42"/>
      <c r="L55" s="38"/>
    </row>
    <row r="56" spans="1:12" ht="15" customHeight="1">
      <c r="A56" s="9"/>
      <c r="B56" s="43"/>
      <c r="C56" s="44" t="str">
        <f>IF(B56="","",CHOOSE(WEEKDAY(B56,2),"Mánudagur","Þriðjudagur","Miðvikudagur","Fimmtudagur","Föstudagur","Laugardagur","Sunnudagur"))</f>
        <v/>
      </c>
      <c r="D56" s="9"/>
      <c r="E56" s="9"/>
      <c r="F56" s="9"/>
      <c r="G56" s="9"/>
      <c r="H56" s="9"/>
      <c r="I56" s="24"/>
      <c r="J56" s="24"/>
      <c r="K56" s="42"/>
      <c r="L56" s="9"/>
    </row>
    <row r="57" spans="1:12" ht="15" customHeight="1">
      <c r="A57" s="38"/>
      <c r="B57" s="39"/>
      <c r="C57" s="40" t="str">
        <f>IF(B57="","",CHOOSE(WEEKDAY(B57,2),"Mánudagur","Þriðjudagur","Miðvikudagur","Fimmtudagur","Föstudagur","Laugardagur","Sunnudagur"))</f>
        <v/>
      </c>
      <c r="D57" s="38"/>
      <c r="E57" s="38"/>
      <c r="F57" s="38"/>
      <c r="G57" s="38"/>
      <c r="H57" s="38"/>
      <c r="I57" s="41"/>
      <c r="J57" s="41"/>
      <c r="K57" s="42"/>
      <c r="L57" s="38"/>
    </row>
    <row r="58" spans="1:12" ht="15" customHeight="1">
      <c r="A58" s="9"/>
      <c r="B58" s="43"/>
      <c r="C58" s="44" t="str">
        <f>IF(B58="","",CHOOSE(WEEKDAY(B58,2),"Mánudagur","Þriðjudagur","Miðvikudagur","Fimmtudagur","Föstudagur","Laugardagur","Sunnudagur"))</f>
        <v/>
      </c>
      <c r="D58" s="9"/>
      <c r="E58" s="9"/>
      <c r="F58" s="9"/>
      <c r="G58" s="9"/>
      <c r="H58" s="9"/>
      <c r="I58" s="24"/>
      <c r="J58" s="24"/>
      <c r="K58" s="42"/>
      <c r="L58" s="9"/>
    </row>
    <row r="59" spans="1:12" ht="15" customHeight="1">
      <c r="A59" s="38"/>
      <c r="B59" s="39"/>
      <c r="C59" s="40" t="str">
        <f>IF(B59="","",CHOOSE(WEEKDAY(B59,2),"Mánudagur","Þriðjudagur","Miðvikudagur","Fimmtudagur","Föstudagur","Laugardagur","Sunnudagur"))</f>
        <v/>
      </c>
      <c r="D59" s="38"/>
      <c r="E59" s="38"/>
      <c r="F59" s="38"/>
      <c r="G59" s="38"/>
      <c r="H59" s="38"/>
      <c r="I59" s="41"/>
      <c r="J59" s="41"/>
      <c r="K59" s="42"/>
      <c r="L59" s="38"/>
    </row>
    <row r="60" spans="1:12" ht="15" customHeight="1">
      <c r="A60" s="9"/>
      <c r="B60" s="43"/>
      <c r="C60" s="44" t="str">
        <f>IF(B60="","",CHOOSE(WEEKDAY(B60,2),"Mánudagur","Þriðjudagur","Miðvikudagur","Fimmtudagur","Föstudagur","Laugardagur","Sunnudagur"))</f>
        <v/>
      </c>
      <c r="D60" s="9"/>
      <c r="E60" s="9"/>
      <c r="F60" s="9"/>
      <c r="G60" s="9"/>
      <c r="H60" s="9"/>
      <c r="I60" s="24"/>
      <c r="J60" s="24"/>
      <c r="K60" s="42"/>
      <c r="L60" s="9"/>
    </row>
    <row r="61" spans="1:12" ht="15" customHeight="1">
      <c r="A61" s="38"/>
      <c r="B61" s="39"/>
      <c r="C61" s="40" t="str">
        <f>IF(B61="","",CHOOSE(WEEKDAY(B61,2),"Mánudagur","Þriðjudagur","Miðvikudagur","Fimmtudagur","Föstudagur","Laugardagur","Sunnudagur"))</f>
        <v/>
      </c>
      <c r="D61" s="38"/>
      <c r="E61" s="38"/>
      <c r="F61" s="38"/>
      <c r="G61" s="38"/>
      <c r="H61" s="38"/>
      <c r="I61" s="41"/>
      <c r="J61" s="41"/>
      <c r="K61" s="42"/>
      <c r="L61" s="38"/>
    </row>
    <row r="62" spans="1:12" ht="15" customHeight="1">
      <c r="A62" s="9"/>
      <c r="B62" s="43"/>
      <c r="C62" s="44" t="str">
        <f>IF(B62="","",CHOOSE(WEEKDAY(B62,2),"Mánudagur","Þriðjudagur","Miðvikudagur","Fimmtudagur","Föstudagur","Laugardagur","Sunnudagur"))</f>
        <v/>
      </c>
      <c r="D62" s="9"/>
      <c r="E62" s="9"/>
      <c r="F62" s="9"/>
      <c r="G62" s="9"/>
      <c r="H62" s="9"/>
      <c r="I62" s="24"/>
      <c r="J62" s="24"/>
      <c r="K62" s="42"/>
      <c r="L62" s="9"/>
    </row>
    <row r="63" spans="1:12" ht="15" customHeight="1">
      <c r="A63" s="38"/>
      <c r="B63" s="39"/>
      <c r="C63" s="40" t="str">
        <f>IF(B63="","",CHOOSE(WEEKDAY(B63,2),"Mánudagur","Þriðjudagur","Miðvikudagur","Fimmtudagur","Föstudagur","Laugardagur","Sunnudagur"))</f>
        <v/>
      </c>
      <c r="D63" s="38"/>
      <c r="E63" s="38"/>
      <c r="F63" s="38"/>
      <c r="G63" s="38"/>
      <c r="H63" s="38"/>
      <c r="I63" s="41"/>
      <c r="J63" s="41"/>
      <c r="K63" s="42"/>
      <c r="L63" s="38"/>
    </row>
    <row r="64" spans="1:12" ht="15" customHeight="1">
      <c r="A64" s="9"/>
      <c r="B64" s="43"/>
      <c r="C64" s="44" t="str">
        <f>IF(B64="","",CHOOSE(WEEKDAY(B64,2),"Mánudagur","Þriðjudagur","Miðvikudagur","Fimmtudagur","Föstudagur","Laugardagur","Sunnudagur"))</f>
        <v/>
      </c>
      <c r="D64" s="9"/>
      <c r="E64" s="9"/>
      <c r="F64" s="9"/>
      <c r="G64" s="9"/>
      <c r="H64" s="9"/>
      <c r="I64" s="24"/>
      <c r="J64" s="24"/>
      <c r="K64" s="42"/>
      <c r="L64" s="9"/>
    </row>
    <row r="65" spans="1:12" ht="15" customHeight="1">
      <c r="A65" s="38"/>
      <c r="B65" s="39"/>
      <c r="C65" s="40" t="str">
        <f>IF(B65="","",CHOOSE(WEEKDAY(B65,2),"Mánudagur","Þriðjudagur","Miðvikudagur","Fimmtudagur","Föstudagur","Laugardagur","Sunnudagur"))</f>
        <v/>
      </c>
      <c r="D65" s="38"/>
      <c r="E65" s="38"/>
      <c r="F65" s="38"/>
      <c r="G65" s="38"/>
      <c r="H65" s="38"/>
      <c r="I65" s="41"/>
      <c r="J65" s="41"/>
      <c r="K65" s="42"/>
      <c r="L65" s="38"/>
    </row>
    <row r="66" spans="1:12" ht="15" customHeight="1">
      <c r="A66" s="9"/>
      <c r="B66" s="43"/>
      <c r="C66" s="44" t="str">
        <f>IF(B66="","",CHOOSE(WEEKDAY(B66,2),"Mánudagur","Þriðjudagur","Miðvikudagur","Fimmtudagur","Föstudagur","Laugardagur","Sunnudagur"))</f>
        <v/>
      </c>
      <c r="D66" s="9"/>
      <c r="E66" s="9"/>
      <c r="F66" s="9"/>
      <c r="G66" s="9"/>
      <c r="H66" s="9"/>
      <c r="I66" s="24"/>
      <c r="J66" s="24"/>
      <c r="K66" s="42"/>
      <c r="L66" s="9"/>
    </row>
    <row r="67" spans="1:12" ht="15" customHeight="1">
      <c r="A67" s="38"/>
      <c r="B67" s="39"/>
      <c r="C67" s="40" t="str">
        <f>IF(B67="","",CHOOSE(WEEKDAY(B67,2),"Mánudagur","Þriðjudagur","Miðvikudagur","Fimmtudagur","Föstudagur","Laugardagur","Sunnudagur"))</f>
        <v/>
      </c>
      <c r="D67" s="38"/>
      <c r="E67" s="38"/>
      <c r="F67" s="38"/>
      <c r="G67" s="38"/>
      <c r="H67" s="38"/>
      <c r="I67" s="41"/>
      <c r="J67" s="41"/>
      <c r="K67" s="42"/>
      <c r="L67" s="38"/>
    </row>
    <row r="68" spans="1:12" ht="15" customHeight="1">
      <c r="A68" s="9"/>
      <c r="B68" s="43"/>
      <c r="C68" s="44" t="str">
        <f>IF(B68="","",CHOOSE(WEEKDAY(B68,2),"Mánudagur","Þriðjudagur","Miðvikudagur","Fimmtudagur","Föstudagur","Laugardagur","Sunnudagur"))</f>
        <v/>
      </c>
      <c r="D68" s="9"/>
      <c r="E68" s="9"/>
      <c r="F68" s="9"/>
      <c r="G68" s="9"/>
      <c r="H68" s="9"/>
      <c r="I68" s="24"/>
      <c r="J68" s="24"/>
      <c r="K68" s="42"/>
      <c r="L68" s="9"/>
    </row>
    <row r="69" spans="1:12" ht="15" customHeight="1">
      <c r="A69" s="38"/>
      <c r="B69" s="39"/>
      <c r="C69" s="40" t="str">
        <f>IF(B69="","",CHOOSE(WEEKDAY(B69,2),"Mánudagur","Þriðjudagur","Miðvikudagur","Fimmtudagur","Föstudagur","Laugardagur","Sunnudagur"))</f>
        <v/>
      </c>
      <c r="D69" s="38"/>
      <c r="E69" s="38"/>
      <c r="F69" s="38"/>
      <c r="G69" s="38"/>
      <c r="H69" s="38"/>
      <c r="I69" s="41"/>
      <c r="J69" s="41"/>
      <c r="K69" s="42"/>
      <c r="L69" s="38"/>
    </row>
    <row r="70" spans="1:12" ht="15" customHeight="1">
      <c r="A70" s="9"/>
      <c r="B70" s="43"/>
      <c r="C70" s="44" t="str">
        <f>IF(B70="","",CHOOSE(WEEKDAY(B70,2),"Mánudagur","Þriðjudagur","Miðvikudagur","Fimmtudagur","Föstudagur","Laugardagur","Sunnudagur"))</f>
        <v/>
      </c>
      <c r="D70" s="9"/>
      <c r="E70" s="9"/>
      <c r="F70" s="9"/>
      <c r="G70" s="9"/>
      <c r="H70" s="9"/>
      <c r="I70" s="24"/>
      <c r="J70" s="24"/>
      <c r="K70" s="42"/>
      <c r="L70" s="9"/>
    </row>
    <row r="71" spans="1:12" ht="15" customHeight="1">
      <c r="A71" s="38"/>
      <c r="B71" s="39"/>
      <c r="C71" s="40" t="str">
        <f>IF(B71="","",CHOOSE(WEEKDAY(B71,2),"Mánudagur","Þriðjudagur","Miðvikudagur","Fimmtudagur","Föstudagur","Laugardagur","Sunnudagur"))</f>
        <v/>
      </c>
      <c r="D71" s="38"/>
      <c r="E71" s="38"/>
      <c r="F71" s="38"/>
      <c r="G71" s="38"/>
      <c r="H71" s="38"/>
      <c r="I71" s="41"/>
      <c r="J71" s="41"/>
      <c r="K71" s="42"/>
      <c r="L71" s="38"/>
    </row>
    <row r="72" spans="1:12" ht="15" customHeight="1">
      <c r="A72" s="9"/>
      <c r="B72" s="43"/>
      <c r="C72" s="44" t="str">
        <f>IF(B72="","",CHOOSE(WEEKDAY(B72,2),"Mánudagur","Þriðjudagur","Miðvikudagur","Fimmtudagur","Föstudagur","Laugardagur","Sunnudagur"))</f>
        <v/>
      </c>
      <c r="D72" s="9"/>
      <c r="E72" s="9"/>
      <c r="F72" s="9"/>
      <c r="G72" s="9"/>
      <c r="H72" s="9"/>
      <c r="I72" s="24"/>
      <c r="J72" s="24"/>
      <c r="K72" s="42"/>
      <c r="L72" s="9"/>
    </row>
    <row r="73" spans="1:12" ht="15" customHeight="1">
      <c r="A73" s="38"/>
      <c r="B73" s="39"/>
      <c r="C73" s="40" t="str">
        <f>IF(B73="","",CHOOSE(WEEKDAY(B73,2),"Mánudagur","Þriðjudagur","Miðvikudagur","Fimmtudagur","Föstudagur","Laugardagur","Sunnudagur"))</f>
        <v/>
      </c>
      <c r="D73" s="38"/>
      <c r="E73" s="38"/>
      <c r="F73" s="38"/>
      <c r="G73" s="38"/>
      <c r="H73" s="38"/>
      <c r="I73" s="41"/>
      <c r="J73" s="41"/>
      <c r="K73" s="42"/>
      <c r="L73" s="38"/>
    </row>
    <row r="74" spans="1:12" ht="15" customHeight="1">
      <c r="A74" s="9"/>
      <c r="B74" s="43"/>
      <c r="C74" s="44" t="str">
        <f>IF(B74="","",CHOOSE(WEEKDAY(B74,2),"Mánudagur","Þriðjudagur","Miðvikudagur","Fimmtudagur","Föstudagur","Laugardagur","Sunnudagur"))</f>
        <v/>
      </c>
      <c r="D74" s="9"/>
      <c r="E74" s="9"/>
      <c r="F74" s="9"/>
      <c r="G74" s="9"/>
      <c r="H74" s="9"/>
      <c r="I74" s="24"/>
      <c r="J74" s="24"/>
      <c r="K74" s="42"/>
      <c r="L74" s="9"/>
    </row>
    <row r="75" spans="1:12" ht="15" customHeight="1">
      <c r="A75" s="38"/>
      <c r="B75" s="39"/>
      <c r="C75" s="40" t="str">
        <f>IF(B75="","",CHOOSE(WEEKDAY(B75,2),"Mánudagur","Þriðjudagur","Miðvikudagur","Fimmtudagur","Föstudagur","Laugardagur","Sunnudagur"))</f>
        <v/>
      </c>
      <c r="D75" s="38"/>
      <c r="E75" s="38"/>
      <c r="F75" s="38"/>
      <c r="G75" s="38"/>
      <c r="H75" s="38"/>
      <c r="I75" s="41"/>
      <c r="J75" s="41"/>
      <c r="K75" s="42"/>
      <c r="L75" s="38"/>
    </row>
    <row r="76" spans="1:12" ht="15" customHeight="1">
      <c r="A76" s="9"/>
      <c r="B76" s="43"/>
      <c r="C76" s="44" t="str">
        <f>IF(B76="","",CHOOSE(WEEKDAY(B76,2),"Mánudagur","Þriðjudagur","Miðvikudagur","Fimmtudagur","Föstudagur","Laugardagur","Sunnudagur"))</f>
        <v/>
      </c>
      <c r="D76" s="9"/>
      <c r="E76" s="9"/>
      <c r="F76" s="9"/>
      <c r="G76" s="9"/>
      <c r="H76" s="9"/>
      <c r="I76" s="24"/>
      <c r="J76" s="24"/>
      <c r="K76" s="42"/>
      <c r="L76" s="9"/>
    </row>
    <row r="77" spans="1:12" ht="15" customHeight="1">
      <c r="A77" s="38"/>
      <c r="B77" s="39"/>
      <c r="C77" s="40" t="str">
        <f>IF(B77="","",CHOOSE(WEEKDAY(B77,2),"Mánudagur","Þriðjudagur","Miðvikudagur","Fimmtudagur","Föstudagur","Laugardagur","Sunnudagur"))</f>
        <v/>
      </c>
      <c r="D77" s="38"/>
      <c r="E77" s="38"/>
      <c r="F77" s="38"/>
      <c r="G77" s="38"/>
      <c r="H77" s="38"/>
      <c r="I77" s="41"/>
      <c r="J77" s="41"/>
      <c r="K77" s="42"/>
      <c r="L77" s="38"/>
    </row>
    <row r="78" spans="1:12" ht="15" customHeight="1">
      <c r="A78" s="9"/>
      <c r="B78" s="43"/>
      <c r="C78" s="44" t="str">
        <f>IF(B78="","",CHOOSE(WEEKDAY(B78,2),"Mánudagur","Þriðjudagur","Miðvikudagur","Fimmtudagur","Föstudagur","Laugardagur","Sunnudagur"))</f>
        <v/>
      </c>
      <c r="D78" s="9"/>
      <c r="E78" s="9"/>
      <c r="F78" s="9"/>
      <c r="G78" s="9"/>
      <c r="H78" s="9"/>
      <c r="I78" s="24"/>
      <c r="J78" s="24"/>
      <c r="K78" s="42"/>
      <c r="L78" s="9"/>
    </row>
    <row r="79" spans="1:12" ht="15" customHeight="1">
      <c r="A79" s="38"/>
      <c r="B79" s="39"/>
      <c r="C79" s="40" t="str">
        <f>IF(B79="","",CHOOSE(WEEKDAY(B79,2),"Mánudagur","Þriðjudagur","Miðvikudagur","Fimmtudagur","Föstudagur","Laugardagur","Sunnudagur"))</f>
        <v/>
      </c>
      <c r="D79" s="38"/>
      <c r="E79" s="38"/>
      <c r="F79" s="38"/>
      <c r="G79" s="38"/>
      <c r="H79" s="38"/>
      <c r="I79" s="41"/>
      <c r="J79" s="41"/>
      <c r="K79" s="42"/>
      <c r="L79" s="38"/>
    </row>
    <row r="80" spans="1:12" ht="15" customHeight="1">
      <c r="A80" s="9"/>
      <c r="B80" s="43"/>
      <c r="C80" s="44" t="str">
        <f>IF(B80="","",CHOOSE(WEEKDAY(B80,2),"Mánudagur","Þriðjudagur","Miðvikudagur","Fimmtudagur","Föstudagur","Laugardagur","Sunnudagur"))</f>
        <v/>
      </c>
      <c r="D80" s="9"/>
      <c r="E80" s="9"/>
      <c r="F80" s="9"/>
      <c r="G80" s="9"/>
      <c r="H80" s="9"/>
      <c r="I80" s="24"/>
      <c r="J80" s="24"/>
      <c r="K80" s="42"/>
      <c r="L80" s="9"/>
    </row>
    <row r="81" spans="1:12" ht="15" customHeight="1">
      <c r="A81" s="38"/>
      <c r="B81" s="39"/>
      <c r="C81" s="40" t="str">
        <f>IF(B81="","",CHOOSE(WEEKDAY(B81,2),"Mánudagur","Þriðjudagur","Miðvikudagur","Fimmtudagur","Föstudagur","Laugardagur","Sunnudagur"))</f>
        <v/>
      </c>
      <c r="D81" s="38"/>
      <c r="E81" s="38"/>
      <c r="F81" s="38"/>
      <c r="G81" s="38"/>
      <c r="H81" s="38"/>
      <c r="I81" s="41"/>
      <c r="J81" s="41"/>
      <c r="K81" s="42"/>
      <c r="L81" s="38"/>
    </row>
    <row r="82" spans="1:12" ht="15" customHeight="1">
      <c r="A82" s="9"/>
      <c r="B82" s="43"/>
      <c r="C82" s="44" t="str">
        <f>IF(B82="","",CHOOSE(WEEKDAY(B82,2),"Mánudagur","Þriðjudagur","Miðvikudagur","Fimmtudagur","Föstudagur","Laugardagur","Sunnudagur"))</f>
        <v/>
      </c>
      <c r="D82" s="9"/>
      <c r="E82" s="9"/>
      <c r="F82" s="9"/>
      <c r="G82" s="9"/>
      <c r="H82" s="9"/>
      <c r="I82" s="24"/>
      <c r="J82" s="24"/>
      <c r="K82" s="42"/>
      <c r="L82" s="9"/>
    </row>
    <row r="83" spans="1:12" ht="15" customHeight="1">
      <c r="A83" s="38"/>
      <c r="B83" s="39"/>
      <c r="C83" s="40" t="str">
        <f>IF(B83="","",CHOOSE(WEEKDAY(B83,2),"Mánudagur","Þriðjudagur","Miðvikudagur","Fimmtudagur","Föstudagur","Laugardagur","Sunnudagur"))</f>
        <v/>
      </c>
      <c r="D83" s="38"/>
      <c r="E83" s="38"/>
      <c r="F83" s="38"/>
      <c r="G83" s="38"/>
      <c r="H83" s="38"/>
      <c r="I83" s="41"/>
      <c r="J83" s="41"/>
      <c r="K83" s="42"/>
      <c r="L83" s="38"/>
    </row>
    <row r="84" spans="1:12" ht="15" customHeight="1">
      <c r="A84" s="9"/>
      <c r="B84" s="43"/>
      <c r="C84" s="44" t="str">
        <f>IF(B84="","",CHOOSE(WEEKDAY(B84,2),"Mánudagur","Þriðjudagur","Miðvikudagur","Fimmtudagur","Föstudagur","Laugardagur","Sunnudagur"))</f>
        <v/>
      </c>
      <c r="D84" s="9"/>
      <c r="E84" s="9"/>
      <c r="F84" s="9"/>
      <c r="G84" s="9"/>
      <c r="H84" s="9"/>
      <c r="I84" s="24"/>
      <c r="J84" s="24"/>
      <c r="K84" s="42"/>
      <c r="L84" s="9"/>
    </row>
    <row r="85" spans="1:12" ht="15" customHeight="1">
      <c r="A85" s="38"/>
      <c r="B85" s="39"/>
      <c r="C85" s="40" t="str">
        <f>IF(B85="","",CHOOSE(WEEKDAY(B85,2),"Mánudagur","Þriðjudagur","Miðvikudagur","Fimmtudagur","Föstudagur","Laugardagur","Sunnudagur"))</f>
        <v/>
      </c>
      <c r="D85" s="38"/>
      <c r="E85" s="38"/>
      <c r="F85" s="38"/>
      <c r="G85" s="38"/>
      <c r="H85" s="38"/>
      <c r="I85" s="41"/>
      <c r="J85" s="41"/>
      <c r="K85" s="42"/>
      <c r="L85" s="38"/>
    </row>
    <row r="86" spans="1:12" ht="15" customHeight="1">
      <c r="A86" s="9"/>
      <c r="B86" s="43"/>
      <c r="C86" s="44" t="str">
        <f>IF(B86="","",CHOOSE(WEEKDAY(B86,2),"Mánudagur","Þriðjudagur","Miðvikudagur","Fimmtudagur","Föstudagur","Laugardagur","Sunnudagur"))</f>
        <v/>
      </c>
      <c r="D86" s="9"/>
      <c r="E86" s="9"/>
      <c r="F86" s="9"/>
      <c r="G86" s="9"/>
      <c r="H86" s="9"/>
      <c r="I86" s="24"/>
      <c r="J86" s="24"/>
      <c r="K86" s="42"/>
      <c r="L86" s="9"/>
    </row>
    <row r="87" spans="1:12" ht="15" customHeight="1">
      <c r="A87" s="38"/>
      <c r="B87" s="39"/>
      <c r="C87" s="40" t="str">
        <f>IF(B87="","",CHOOSE(WEEKDAY(B87,2),"Mánudagur","Þriðjudagur","Miðvikudagur","Fimmtudagur","Föstudagur","Laugardagur","Sunnudagur"))</f>
        <v/>
      </c>
      <c r="D87" s="38"/>
      <c r="E87" s="38"/>
      <c r="F87" s="38"/>
      <c r="G87" s="38"/>
      <c r="H87" s="38"/>
      <c r="I87" s="41"/>
      <c r="J87" s="41"/>
      <c r="K87" s="42"/>
      <c r="L87" s="38"/>
    </row>
    <row r="88" spans="1:12" ht="15" customHeight="1">
      <c r="A88" s="9"/>
      <c r="B88" s="43"/>
      <c r="C88" s="44" t="str">
        <f>IF(B88="","",CHOOSE(WEEKDAY(B88,2),"Mánudagur","Þriðjudagur","Miðvikudagur","Fimmtudagur","Föstudagur","Laugardagur","Sunnudagur"))</f>
        <v/>
      </c>
      <c r="D88" s="9"/>
      <c r="E88" s="9"/>
      <c r="F88" s="9"/>
      <c r="G88" s="9"/>
      <c r="H88" s="9"/>
      <c r="I88" s="24"/>
      <c r="J88" s="24"/>
      <c r="K88" s="42"/>
      <c r="L88" s="9"/>
    </row>
    <row r="89" spans="1:12" ht="15" customHeight="1">
      <c r="A89" s="38"/>
      <c r="B89" s="39"/>
      <c r="C89" s="40" t="str">
        <f>IF(B89="","",CHOOSE(WEEKDAY(B89,2),"Mánudagur","Þriðjudagur","Miðvikudagur","Fimmtudagur","Föstudagur","Laugardagur","Sunnudagur"))</f>
        <v/>
      </c>
      <c r="D89" s="38"/>
      <c r="E89" s="38"/>
      <c r="F89" s="38"/>
      <c r="G89" s="38"/>
      <c r="H89" s="38"/>
      <c r="I89" s="41"/>
      <c r="J89" s="41"/>
      <c r="K89" s="42"/>
      <c r="L89" s="38"/>
    </row>
    <row r="90" spans="1:12" ht="15" customHeight="1">
      <c r="A90" s="9"/>
      <c r="B90" s="43"/>
      <c r="C90" s="44" t="str">
        <f>IF(B90="","",CHOOSE(WEEKDAY(B90,2),"Mánudagur","Þriðjudagur","Miðvikudagur","Fimmtudagur","Föstudagur","Laugardagur","Sunnudagur"))</f>
        <v/>
      </c>
      <c r="D90" s="9"/>
      <c r="E90" s="9"/>
      <c r="F90" s="9"/>
      <c r="G90" s="9"/>
      <c r="H90" s="9"/>
      <c r="I90" s="24"/>
      <c r="J90" s="24"/>
      <c r="K90" s="42"/>
      <c r="L90" s="9"/>
    </row>
    <row r="91" spans="1:12" ht="15" customHeight="1">
      <c r="A91" s="38"/>
      <c r="B91" s="39"/>
      <c r="C91" s="40" t="str">
        <f>IF(B91="","",CHOOSE(WEEKDAY(B91,2),"Mánudagur","Þriðjudagur","Miðvikudagur","Fimmtudagur","Föstudagur","Laugardagur","Sunnudagur"))</f>
        <v/>
      </c>
      <c r="D91" s="38"/>
      <c r="E91" s="38"/>
      <c r="F91" s="38"/>
      <c r="G91" s="38"/>
      <c r="H91" s="38"/>
      <c r="I91" s="41"/>
      <c r="J91" s="41"/>
      <c r="K91" s="42"/>
      <c r="L91" s="38"/>
    </row>
    <row r="92" spans="1:12" ht="15" customHeight="1">
      <c r="A92" s="9"/>
      <c r="B92" s="43"/>
      <c r="C92" s="44" t="str">
        <f>IF(B92="","",CHOOSE(WEEKDAY(B92,2),"Mánudagur","Þriðjudagur","Miðvikudagur","Fimmtudagur","Föstudagur","Laugardagur","Sunnudagur"))</f>
        <v/>
      </c>
      <c r="D92" s="9"/>
      <c r="E92" s="9"/>
      <c r="F92" s="9"/>
      <c r="G92" s="9"/>
      <c r="H92" s="9"/>
      <c r="I92" s="24"/>
      <c r="J92" s="24"/>
      <c r="K92" s="42"/>
      <c r="L92" s="9"/>
    </row>
    <row r="93" spans="1:12" ht="15" customHeight="1">
      <c r="A93" s="38"/>
      <c r="B93" s="39"/>
      <c r="C93" s="40" t="str">
        <f>IF(B93="","",CHOOSE(WEEKDAY(B93,2),"Mánudagur","Þriðjudagur","Miðvikudagur","Fimmtudagur","Föstudagur","Laugardagur","Sunnudagur"))</f>
        <v/>
      </c>
      <c r="D93" s="38"/>
      <c r="E93" s="38"/>
      <c r="F93" s="38"/>
      <c r="G93" s="38"/>
      <c r="H93" s="38"/>
      <c r="I93" s="41"/>
      <c r="J93" s="41"/>
      <c r="K93" s="42"/>
      <c r="L93" s="38"/>
    </row>
    <row r="94" spans="1:12" ht="15" customHeight="1">
      <c r="A94" s="9"/>
      <c r="B94" s="43"/>
      <c r="C94" s="44" t="str">
        <f>IF(B94="","",CHOOSE(WEEKDAY(B94,2),"Mánudagur","Þriðjudagur","Miðvikudagur","Fimmtudagur","Föstudagur","Laugardagur","Sunnudagur"))</f>
        <v/>
      </c>
      <c r="D94" s="9"/>
      <c r="E94" s="9"/>
      <c r="F94" s="9"/>
      <c r="G94" s="9"/>
      <c r="H94" s="9"/>
      <c r="I94" s="24"/>
      <c r="J94" s="24"/>
      <c r="K94" s="42"/>
      <c r="L94" s="9"/>
    </row>
    <row r="95" spans="1:12" ht="15" customHeight="1">
      <c r="A95" s="38"/>
      <c r="B95" s="39"/>
      <c r="C95" s="40" t="str">
        <f>IF(B95="","",CHOOSE(WEEKDAY(B95,2),"Mánudagur","Þriðjudagur","Miðvikudagur","Fimmtudagur","Föstudagur","Laugardagur","Sunnudagur"))</f>
        <v/>
      </c>
      <c r="D95" s="38"/>
      <c r="E95" s="38"/>
      <c r="F95" s="38"/>
      <c r="G95" s="38"/>
      <c r="H95" s="38"/>
      <c r="I95" s="41"/>
      <c r="J95" s="41"/>
      <c r="K95" s="42"/>
      <c r="L95" s="38"/>
    </row>
    <row r="96" spans="1:12" ht="15" customHeight="1">
      <c r="A96" s="9"/>
      <c r="B96" s="43"/>
      <c r="C96" s="44" t="str">
        <f>IF(B96="","",CHOOSE(WEEKDAY(B96,2),"Mánudagur","Þriðjudagur","Miðvikudagur","Fimmtudagur","Föstudagur","Laugardagur","Sunnudagur"))</f>
        <v/>
      </c>
      <c r="D96" s="9"/>
      <c r="E96" s="9"/>
      <c r="F96" s="9"/>
      <c r="G96" s="9"/>
      <c r="H96" s="9"/>
      <c r="I96" s="24"/>
      <c r="J96" s="24"/>
      <c r="K96" s="42"/>
      <c r="L96" s="9"/>
    </row>
    <row r="97" spans="1:12" ht="15" customHeight="1">
      <c r="A97" s="38"/>
      <c r="B97" s="39"/>
      <c r="C97" s="40" t="str">
        <f>IF(B97="","",CHOOSE(WEEKDAY(B97,2),"Mánudagur","Þriðjudagur","Miðvikudagur","Fimmtudagur","Föstudagur","Laugardagur","Sunnudagur"))</f>
        <v/>
      </c>
      <c r="D97" s="38"/>
      <c r="E97" s="38"/>
      <c r="F97" s="38"/>
      <c r="G97" s="38"/>
      <c r="H97" s="38"/>
      <c r="I97" s="41"/>
      <c r="J97" s="41"/>
      <c r="K97" s="42"/>
      <c r="L97" s="38"/>
    </row>
    <row r="98" spans="1:12" ht="15" customHeight="1">
      <c r="A98" s="9"/>
      <c r="B98" s="43"/>
      <c r="C98" s="44" t="str">
        <f>IF(B98="","",CHOOSE(WEEKDAY(B98,2),"Mánudagur","Þriðjudagur","Miðvikudagur","Fimmtudagur","Föstudagur","Laugardagur","Sunnudagur"))</f>
        <v/>
      </c>
      <c r="D98" s="9"/>
      <c r="E98" s="9"/>
      <c r="F98" s="9"/>
      <c r="G98" s="9"/>
      <c r="H98" s="9"/>
      <c r="I98" s="24"/>
      <c r="J98" s="24"/>
      <c r="K98" s="42"/>
      <c r="L98" s="9"/>
    </row>
    <row r="99" spans="1:12" ht="15" customHeight="1">
      <c r="A99" s="38"/>
      <c r="B99" s="39"/>
      <c r="C99" s="40" t="str">
        <f>IF(B99="","",CHOOSE(WEEKDAY(B99,2),"Mánudagur","Þriðjudagur","Miðvikudagur","Fimmtudagur","Föstudagur","Laugardagur","Sunnudagur"))</f>
        <v/>
      </c>
      <c r="D99" s="38"/>
      <c r="E99" s="38"/>
      <c r="F99" s="38"/>
      <c r="G99" s="38"/>
      <c r="H99" s="38"/>
      <c r="I99" s="41"/>
      <c r="J99" s="41"/>
      <c r="K99" s="42"/>
      <c r="L99" s="38"/>
    </row>
    <row r="100" spans="1:12" ht="15" customHeight="1">
      <c r="A100" s="9"/>
      <c r="B100" s="43"/>
      <c r="C100" s="44" t="str">
        <f>IF(B100="","",CHOOSE(WEEKDAY(B100,2),"Mánudagur","Þriðjudagur","Miðvikudagur","Fimmtudagur","Föstudagur","Laugardagur","Sunnudagur"))</f>
        <v/>
      </c>
      <c r="D100" s="9"/>
      <c r="E100" s="9"/>
      <c r="F100" s="9"/>
      <c r="G100" s="9"/>
      <c r="H100" s="9"/>
      <c r="I100" s="24"/>
      <c r="J100" s="24"/>
      <c r="K100" s="42"/>
      <c r="L100" s="9"/>
    </row>
    <row r="101" spans="1:12" ht="15" customHeight="1">
      <c r="A101" s="38"/>
      <c r="B101" s="39"/>
      <c r="C101" s="40" t="str">
        <f>IF(B101="","",CHOOSE(WEEKDAY(B101,2),"Mánudagur","Þriðjudagur","Miðvikudagur","Fimmtudagur","Föstudagur","Laugardagur","Sunnudagur"))</f>
        <v/>
      </c>
      <c r="D101" s="38"/>
      <c r="E101" s="38"/>
      <c r="F101" s="38"/>
      <c r="G101" s="38"/>
      <c r="H101" s="38"/>
      <c r="I101" s="41"/>
      <c r="J101" s="41"/>
      <c r="K101" s="42"/>
      <c r="L101" s="38"/>
    </row>
    <row r="102" spans="1:12" ht="15" customHeight="1">
      <c r="A102" s="9"/>
      <c r="B102" s="43"/>
      <c r="C102" s="44" t="str">
        <f>IF(B102="","",CHOOSE(WEEKDAY(B102,2),"Mánudagur","Þriðjudagur","Miðvikudagur","Fimmtudagur","Föstudagur","Laugardagur","Sunnudagur"))</f>
        <v/>
      </c>
      <c r="D102" s="9"/>
      <c r="E102" s="9"/>
      <c r="F102" s="9"/>
      <c r="G102" s="9"/>
      <c r="H102" s="9"/>
      <c r="I102" s="24"/>
      <c r="J102" s="24"/>
      <c r="K102" s="42"/>
      <c r="L102" s="9"/>
    </row>
    <row r="103" spans="1:12" ht="15" customHeight="1">
      <c r="A103" s="38"/>
      <c r="B103" s="39"/>
      <c r="C103" s="40" t="str">
        <f>IF(B103="","",CHOOSE(WEEKDAY(B103,2),"Mánudagur","Þriðjudagur","Miðvikudagur","Fimmtudagur","Föstudagur","Laugardagur","Sunnudagur"))</f>
        <v/>
      </c>
      <c r="D103" s="38"/>
      <c r="E103" s="38"/>
      <c r="F103" s="38"/>
      <c r="G103" s="38"/>
      <c r="H103" s="38"/>
      <c r="I103" s="41"/>
      <c r="J103" s="41"/>
      <c r="K103" s="42"/>
      <c r="L103" s="38"/>
    </row>
    <row r="104" spans="1:12" ht="15" customHeight="1">
      <c r="A104" s="9"/>
      <c r="B104" s="43"/>
      <c r="C104" s="44" t="str">
        <f>IF(B104="","",CHOOSE(WEEKDAY(B104,2),"Mánudagur","Þriðjudagur","Miðvikudagur","Fimmtudagur","Föstudagur","Laugardagur","Sunnudagur"))</f>
        <v/>
      </c>
      <c r="D104" s="9"/>
      <c r="E104" s="9"/>
      <c r="F104" s="9"/>
      <c r="G104" s="9"/>
      <c r="H104" s="9"/>
      <c r="I104" s="24"/>
      <c r="J104" s="24"/>
      <c r="K104" s="42"/>
      <c r="L104" s="9"/>
    </row>
    <row r="105" spans="1:12" ht="15" customHeight="1">
      <c r="A105" s="38"/>
      <c r="B105" s="39"/>
      <c r="C105" s="40" t="str">
        <f>IF(B105="","",CHOOSE(WEEKDAY(B105,2),"Mánudagur","Þriðjudagur","Miðvikudagur","Fimmtudagur","Föstudagur","Laugardagur","Sunnudagur"))</f>
        <v/>
      </c>
      <c r="D105" s="38"/>
      <c r="E105" s="38"/>
      <c r="F105" s="38"/>
      <c r="G105" s="38"/>
      <c r="H105" s="38"/>
      <c r="I105" s="41"/>
      <c r="J105" s="41"/>
      <c r="K105" s="42"/>
      <c r="L105" s="38"/>
    </row>
    <row r="106" spans="1:12" ht="15" customHeight="1">
      <c r="A106" s="9"/>
      <c r="B106" s="43"/>
      <c r="C106" s="44" t="str">
        <f>IF(B106="","",CHOOSE(WEEKDAY(B106,2),"Mánudagur","Þriðjudagur","Miðvikudagur","Fimmtudagur","Föstudagur","Laugardagur","Sunnudagur"))</f>
        <v/>
      </c>
      <c r="D106" s="9"/>
      <c r="E106" s="9"/>
      <c r="F106" s="9"/>
      <c r="G106" s="9"/>
      <c r="H106" s="9"/>
      <c r="I106" s="24"/>
      <c r="J106" s="24"/>
      <c r="K106" s="42"/>
      <c r="L106" s="9"/>
    </row>
    <row r="107" spans="1:12" ht="15" customHeight="1">
      <c r="A107" s="38"/>
      <c r="B107" s="39"/>
      <c r="C107" s="40" t="str">
        <f>IF(B107="","",CHOOSE(WEEKDAY(B107,2),"Mánudagur","Þriðjudagur","Miðvikudagur","Fimmtudagur","Föstudagur","Laugardagur","Sunnudagur"))</f>
        <v/>
      </c>
      <c r="D107" s="38"/>
      <c r="E107" s="38"/>
      <c r="F107" s="38"/>
      <c r="G107" s="38"/>
      <c r="H107" s="38"/>
      <c r="I107" s="41"/>
      <c r="J107" s="41"/>
      <c r="K107" s="42"/>
      <c r="L107" s="38"/>
    </row>
    <row r="108" spans="1:12" ht="15" customHeight="1">
      <c r="A108" s="9"/>
      <c r="B108" s="43"/>
      <c r="C108" s="44" t="str">
        <f>IF(B108="","",CHOOSE(WEEKDAY(B108,2),"Mánudagur","Þriðjudagur","Miðvikudagur","Fimmtudagur","Föstudagur","Laugardagur","Sunnudagur"))</f>
        <v/>
      </c>
      <c r="D108" s="9"/>
      <c r="E108" s="9"/>
      <c r="F108" s="9"/>
      <c r="G108" s="9"/>
      <c r="H108" s="9"/>
      <c r="I108" s="24"/>
      <c r="J108" s="24"/>
      <c r="K108" s="42"/>
      <c r="L108" s="9"/>
    </row>
    <row r="109" spans="1:12" ht="15" customHeight="1">
      <c r="A109" s="38"/>
      <c r="B109" s="39"/>
      <c r="C109" s="40" t="str">
        <f>IF(B109="","",CHOOSE(WEEKDAY(B109,2),"Mánudagur","Þriðjudagur","Miðvikudagur","Fimmtudagur","Föstudagur","Laugardagur","Sunnudagur"))</f>
        <v/>
      </c>
      <c r="D109" s="38"/>
      <c r="E109" s="38"/>
      <c r="F109" s="38"/>
      <c r="G109" s="38"/>
      <c r="H109" s="38"/>
      <c r="I109" s="41"/>
      <c r="J109" s="41"/>
      <c r="K109" s="42"/>
      <c r="L109" s="38"/>
    </row>
    <row r="110" spans="1:12" ht="15" customHeight="1">
      <c r="A110" s="9"/>
      <c r="B110" s="43"/>
      <c r="C110" s="44" t="str">
        <f>IF(B110="","",CHOOSE(WEEKDAY(B110,2),"Mánudagur","Þriðjudagur","Miðvikudagur","Fimmtudagur","Föstudagur","Laugardagur","Sunnudagur"))</f>
        <v/>
      </c>
      <c r="D110" s="9"/>
      <c r="E110" s="9"/>
      <c r="F110" s="9"/>
      <c r="G110" s="9"/>
      <c r="H110" s="9"/>
      <c r="I110" s="24"/>
      <c r="J110" s="24"/>
      <c r="K110" s="42"/>
      <c r="L110" s="9"/>
    </row>
    <row r="111" spans="1:12" ht="15" customHeight="1">
      <c r="A111" s="38"/>
      <c r="B111" s="39"/>
      <c r="C111" s="40" t="str">
        <f>IF(B111="","",CHOOSE(WEEKDAY(B111,2),"Mánudagur","Þriðjudagur","Miðvikudagur","Fimmtudagur","Föstudagur","Laugardagur","Sunnudagur"))</f>
        <v/>
      </c>
      <c r="D111" s="38"/>
      <c r="E111" s="38"/>
      <c r="F111" s="38"/>
      <c r="G111" s="38"/>
      <c r="H111" s="38"/>
      <c r="I111" s="41"/>
      <c r="J111" s="41"/>
      <c r="K111" s="42"/>
      <c r="L111" s="38"/>
    </row>
    <row r="112" spans="1:12" ht="15" customHeight="1">
      <c r="A112" s="9"/>
      <c r="B112" s="43"/>
      <c r="C112" s="44" t="str">
        <f>IF(B112="","",CHOOSE(WEEKDAY(B112,2),"Mánudagur","Þriðjudagur","Miðvikudagur","Fimmtudagur","Föstudagur","Laugardagur","Sunnudagur"))</f>
        <v/>
      </c>
      <c r="D112" s="9"/>
      <c r="E112" s="9"/>
      <c r="F112" s="9"/>
      <c r="G112" s="9"/>
      <c r="H112" s="9"/>
      <c r="I112" s="24"/>
      <c r="J112" s="24"/>
      <c r="K112" s="42"/>
      <c r="L112" s="9"/>
    </row>
    <row r="113" spans="1:12" ht="15" customHeight="1">
      <c r="A113" s="38"/>
      <c r="B113" s="39"/>
      <c r="C113" s="40" t="str">
        <f>IF(B113="","",CHOOSE(WEEKDAY(B113,2),"Mánudagur","Þriðjudagur","Miðvikudagur","Fimmtudagur","Föstudagur","Laugardagur","Sunnudagur"))</f>
        <v/>
      </c>
      <c r="D113" s="38"/>
      <c r="E113" s="38"/>
      <c r="F113" s="38"/>
      <c r="G113" s="38"/>
      <c r="H113" s="38"/>
      <c r="I113" s="41"/>
      <c r="J113" s="41"/>
      <c r="K113" s="42"/>
      <c r="L113" s="38"/>
    </row>
    <row r="114" spans="1:12" ht="15" customHeight="1">
      <c r="A114" s="9"/>
      <c r="B114" s="43"/>
      <c r="C114" s="44" t="str">
        <f>IF(B114="","",CHOOSE(WEEKDAY(B114,2),"Mánudagur","Þriðjudagur","Miðvikudagur","Fimmtudagur","Föstudagur","Laugardagur","Sunnudagur"))</f>
        <v/>
      </c>
      <c r="D114" s="9"/>
      <c r="E114" s="9"/>
      <c r="F114" s="9"/>
      <c r="G114" s="9"/>
      <c r="H114" s="9"/>
      <c r="I114" s="24"/>
      <c r="J114" s="24"/>
      <c r="K114" s="42"/>
      <c r="L114" s="9"/>
    </row>
    <row r="115" spans="1:12" ht="15" customHeight="1">
      <c r="A115" s="38"/>
      <c r="B115" s="39"/>
      <c r="C115" s="40" t="str">
        <f>IF(B115="","",CHOOSE(WEEKDAY(B115,2),"Mánudagur","Þriðjudagur","Miðvikudagur","Fimmtudagur","Föstudagur","Laugardagur","Sunnudagur"))</f>
        <v/>
      </c>
      <c r="D115" s="38"/>
      <c r="E115" s="38"/>
      <c r="F115" s="38"/>
      <c r="G115" s="38"/>
      <c r="H115" s="38"/>
      <c r="I115" s="41"/>
      <c r="J115" s="41"/>
      <c r="K115" s="42"/>
      <c r="L115" s="38"/>
    </row>
    <row r="116" spans="1:12" ht="15" customHeight="1">
      <c r="A116" s="9"/>
      <c r="B116" s="43"/>
      <c r="C116" s="44" t="str">
        <f>IF(B116="","",CHOOSE(WEEKDAY(B116,2),"Mánudagur","Þriðjudagur","Miðvikudagur","Fimmtudagur","Föstudagur","Laugardagur","Sunnudagur"))</f>
        <v/>
      </c>
      <c r="D116" s="9"/>
      <c r="E116" s="9"/>
      <c r="F116" s="9"/>
      <c r="G116" s="9"/>
      <c r="H116" s="9"/>
      <c r="I116" s="24"/>
      <c r="J116" s="24"/>
      <c r="K116" s="42"/>
      <c r="L116" s="9"/>
    </row>
    <row r="117" spans="1:12" ht="15" customHeight="1">
      <c r="A117" s="38"/>
      <c r="B117" s="39"/>
      <c r="C117" s="40" t="str">
        <f>IF(B117="","",CHOOSE(WEEKDAY(B117,2),"Mánudagur","Þriðjudagur","Miðvikudagur","Fimmtudagur","Föstudagur","Laugardagur","Sunnudagur"))</f>
        <v/>
      </c>
      <c r="D117" s="38"/>
      <c r="E117" s="38"/>
      <c r="F117" s="38"/>
      <c r="G117" s="38"/>
      <c r="H117" s="38"/>
      <c r="I117" s="41"/>
      <c r="J117" s="41"/>
      <c r="K117" s="42"/>
      <c r="L117" s="38"/>
    </row>
    <row r="118" spans="1:12" ht="15" customHeight="1">
      <c r="A118" s="9"/>
      <c r="B118" s="43"/>
      <c r="C118" s="44" t="str">
        <f>IF(B118="","",CHOOSE(WEEKDAY(B118,2),"Mánudagur","Þriðjudagur","Miðvikudagur","Fimmtudagur","Föstudagur","Laugardagur","Sunnudagur"))</f>
        <v/>
      </c>
      <c r="D118" s="9"/>
      <c r="E118" s="9"/>
      <c r="F118" s="9"/>
      <c r="G118" s="9"/>
      <c r="H118" s="9"/>
      <c r="I118" s="24"/>
      <c r="J118" s="24"/>
      <c r="K118" s="42"/>
      <c r="L118" s="9"/>
    </row>
    <row r="119" spans="1:12" ht="15" customHeight="1">
      <c r="A119" s="38"/>
      <c r="B119" s="39"/>
      <c r="C119" s="40" t="str">
        <f>IF(B119="","",CHOOSE(WEEKDAY(B119,2),"Mánudagur","Þriðjudagur","Miðvikudagur","Fimmtudagur","Föstudagur","Laugardagur","Sunnudagur"))</f>
        <v/>
      </c>
      <c r="D119" s="38"/>
      <c r="E119" s="38"/>
      <c r="F119" s="38"/>
      <c r="G119" s="38"/>
      <c r="H119" s="38"/>
      <c r="I119" s="41"/>
      <c r="J119" s="41"/>
      <c r="K119" s="42"/>
      <c r="L119" s="38"/>
    </row>
    <row r="120" spans="1:12" ht="15" customHeight="1">
      <c r="A120" s="9"/>
      <c r="B120" s="43"/>
      <c r="C120" s="44" t="str">
        <f>IF(B120="","",CHOOSE(WEEKDAY(B120,2),"Mánudagur","Þriðjudagur","Miðvikudagur","Fimmtudagur","Föstudagur","Laugardagur","Sunnudagur"))</f>
        <v/>
      </c>
      <c r="D120" s="9"/>
      <c r="E120" s="9"/>
      <c r="F120" s="9"/>
      <c r="G120" s="9"/>
      <c r="H120" s="9"/>
      <c r="I120" s="24"/>
      <c r="J120" s="24"/>
      <c r="K120" s="42"/>
      <c r="L120" s="9"/>
    </row>
    <row r="121" spans="1:12" ht="15" customHeight="1">
      <c r="A121" s="38"/>
      <c r="B121" s="39"/>
      <c r="C121" s="40" t="str">
        <f>IF(B121="","",CHOOSE(WEEKDAY(B121,2),"Mánudagur","Þriðjudagur","Miðvikudagur","Fimmtudagur","Föstudagur","Laugardagur","Sunnudagur"))</f>
        <v/>
      </c>
      <c r="D121" s="38"/>
      <c r="E121" s="38"/>
      <c r="F121" s="38"/>
      <c r="G121" s="38"/>
      <c r="H121" s="38"/>
      <c r="I121" s="41"/>
      <c r="J121" s="41"/>
      <c r="K121" s="42"/>
      <c r="L121" s="38"/>
    </row>
    <row r="122" spans="1:12" ht="15" customHeight="1">
      <c r="A122" s="9"/>
      <c r="B122" s="43"/>
      <c r="C122" s="44" t="str">
        <f>IF(B122="","",CHOOSE(WEEKDAY(B122,2),"Mánudagur","Þriðjudagur","Miðvikudagur","Fimmtudagur","Föstudagur","Laugardagur","Sunnudagur"))</f>
        <v/>
      </c>
      <c r="D122" s="9"/>
      <c r="E122" s="9"/>
      <c r="F122" s="9"/>
      <c r="G122" s="9"/>
      <c r="H122" s="9"/>
      <c r="I122" s="24"/>
      <c r="J122" s="24"/>
      <c r="K122" s="42"/>
      <c r="L122" s="9"/>
    </row>
    <row r="123" spans="1:12" ht="15" customHeight="1">
      <c r="A123" s="38"/>
      <c r="B123" s="39"/>
      <c r="C123" s="40" t="str">
        <f>IF(B123="","",CHOOSE(WEEKDAY(B123,2),"Mánudagur","Þriðjudagur","Miðvikudagur","Fimmtudagur","Föstudagur","Laugardagur","Sunnudagur"))</f>
        <v/>
      </c>
      <c r="D123" s="38"/>
      <c r="E123" s="38"/>
      <c r="F123" s="38"/>
      <c r="G123" s="38"/>
      <c r="H123" s="38"/>
      <c r="I123" s="41"/>
      <c r="J123" s="41"/>
      <c r="K123" s="42"/>
      <c r="L123" s="38"/>
    </row>
    <row r="124" spans="1:12" ht="15" customHeight="1">
      <c r="A124" s="9"/>
      <c r="B124" s="43"/>
      <c r="C124" s="44" t="str">
        <f>IF(B124="","",CHOOSE(WEEKDAY(B124,2),"Mánudagur","Þriðjudagur","Miðvikudagur","Fimmtudagur","Föstudagur","Laugardagur","Sunnudagur"))</f>
        <v/>
      </c>
      <c r="D124" s="9"/>
      <c r="E124" s="9"/>
      <c r="F124" s="9"/>
      <c r="G124" s="9"/>
      <c r="H124" s="9"/>
      <c r="I124" s="24"/>
      <c r="J124" s="24"/>
      <c r="K124" s="42"/>
      <c r="L124" s="9"/>
    </row>
    <row r="125" spans="1:12" ht="15" customHeight="1">
      <c r="A125" s="38"/>
      <c r="B125" s="39"/>
      <c r="C125" s="40" t="str">
        <f>IF(B125="","",CHOOSE(WEEKDAY(B125,2),"Mánudagur","Þriðjudagur","Miðvikudagur","Fimmtudagur","Föstudagur","Laugardagur","Sunnudagur"))</f>
        <v/>
      </c>
      <c r="D125" s="38"/>
      <c r="E125" s="38"/>
      <c r="F125" s="38"/>
      <c r="G125" s="38"/>
      <c r="H125" s="38"/>
      <c r="I125" s="41"/>
      <c r="J125" s="41"/>
      <c r="K125" s="42"/>
      <c r="L125" s="38"/>
    </row>
    <row r="126" spans="1:12" ht="15" customHeight="1">
      <c r="A126" s="9"/>
      <c r="B126" s="43"/>
      <c r="C126" s="44" t="str">
        <f>IF(B126="","",CHOOSE(WEEKDAY(B126,2),"Mánudagur","Þriðjudagur","Miðvikudagur","Fimmtudagur","Föstudagur","Laugardagur","Sunnudagur"))</f>
        <v/>
      </c>
      <c r="D126" s="9"/>
      <c r="E126" s="9"/>
      <c r="F126" s="9"/>
      <c r="G126" s="9"/>
      <c r="H126" s="9"/>
      <c r="I126" s="24"/>
      <c r="J126" s="24"/>
      <c r="K126" s="42"/>
      <c r="L126" s="9"/>
    </row>
    <row r="127" spans="1:12" ht="15" customHeight="1">
      <c r="A127" s="38"/>
      <c r="B127" s="39"/>
      <c r="C127" s="40" t="str">
        <f>IF(B127="","",CHOOSE(WEEKDAY(B127,2),"Mánudagur","Þriðjudagur","Miðvikudagur","Fimmtudagur","Föstudagur","Laugardagur","Sunnudagur"))</f>
        <v/>
      </c>
      <c r="D127" s="38"/>
      <c r="E127" s="38"/>
      <c r="F127" s="38"/>
      <c r="G127" s="38"/>
      <c r="H127" s="38"/>
      <c r="I127" s="41"/>
      <c r="J127" s="41"/>
      <c r="K127" s="42"/>
      <c r="L127" s="38"/>
    </row>
    <row r="128" spans="1:12" ht="15" customHeight="1">
      <c r="A128" s="9"/>
      <c r="B128" s="43"/>
      <c r="C128" s="44" t="str">
        <f>IF(B128="","",CHOOSE(WEEKDAY(B128,2),"Mánudagur","Þriðjudagur","Miðvikudagur","Fimmtudagur","Föstudagur","Laugardagur","Sunnudagur"))</f>
        <v/>
      </c>
      <c r="D128" s="9"/>
      <c r="E128" s="9"/>
      <c r="F128" s="9"/>
      <c r="G128" s="9"/>
      <c r="H128" s="9"/>
      <c r="I128" s="24"/>
      <c r="J128" s="24"/>
      <c r="K128" s="42"/>
      <c r="L128" s="9"/>
    </row>
    <row r="129" spans="1:12" ht="15" customHeight="1">
      <c r="A129" s="38"/>
      <c r="B129" s="39"/>
      <c r="C129" s="40" t="str">
        <f>IF(B129="","",CHOOSE(WEEKDAY(B129,2),"Mánudagur","Þriðjudagur","Miðvikudagur","Fimmtudagur","Föstudagur","Laugardagur","Sunnudagur"))</f>
        <v/>
      </c>
      <c r="D129" s="38"/>
      <c r="E129" s="38"/>
      <c r="F129" s="38"/>
      <c r="G129" s="38"/>
      <c r="H129" s="38"/>
      <c r="I129" s="41"/>
      <c r="J129" s="41"/>
      <c r="K129" s="42"/>
      <c r="L129" s="38"/>
    </row>
    <row r="130" spans="1:12" ht="15" customHeight="1">
      <c r="A130" s="9"/>
      <c r="B130" s="43"/>
      <c r="C130" s="44" t="str">
        <f>IF(B130="","",CHOOSE(WEEKDAY(B130,2),"Mánudagur","Þriðjudagur","Miðvikudagur","Fimmtudagur","Föstudagur","Laugardagur","Sunnudagur"))</f>
        <v/>
      </c>
      <c r="D130" s="9"/>
      <c r="E130" s="9"/>
      <c r="F130" s="9"/>
      <c r="G130" s="9"/>
      <c r="H130" s="9"/>
      <c r="I130" s="24"/>
      <c r="J130" s="24"/>
      <c r="K130" s="42"/>
      <c r="L130" s="9"/>
    </row>
    <row r="131" spans="1:12" ht="15" customHeight="1">
      <c r="A131" s="38"/>
      <c r="B131" s="39"/>
      <c r="C131" s="40" t="str">
        <f>IF(B131="","",CHOOSE(WEEKDAY(B131,2),"Mánudagur","Þriðjudagur","Miðvikudagur","Fimmtudagur","Föstudagur","Laugardagur","Sunnudagur"))</f>
        <v/>
      </c>
      <c r="D131" s="38"/>
      <c r="E131" s="38"/>
      <c r="F131" s="38"/>
      <c r="G131" s="38"/>
      <c r="H131" s="38"/>
      <c r="I131" s="41"/>
      <c r="J131" s="41"/>
      <c r="K131" s="42"/>
      <c r="L131" s="38"/>
    </row>
    <row r="132" spans="1:12" ht="15" customHeight="1">
      <c r="A132" s="9"/>
      <c r="B132" s="43"/>
      <c r="C132" s="44" t="str">
        <f>IF(B132="","",CHOOSE(WEEKDAY(B132,2),"Mánudagur","Þriðjudagur","Miðvikudagur","Fimmtudagur","Föstudagur","Laugardagur","Sunnudagur"))</f>
        <v/>
      </c>
      <c r="D132" s="9"/>
      <c r="E132" s="9"/>
      <c r="F132" s="9"/>
      <c r="G132" s="9"/>
      <c r="H132" s="9"/>
      <c r="I132" s="24"/>
      <c r="J132" s="24"/>
      <c r="K132" s="42"/>
      <c r="L132" s="9"/>
    </row>
    <row r="133" spans="1:12" ht="15" customHeight="1">
      <c r="A133" s="38"/>
      <c r="B133" s="39"/>
      <c r="C133" s="40" t="str">
        <f>IF(B133="","",CHOOSE(WEEKDAY(B133,2),"Mánudagur","Þriðjudagur","Miðvikudagur","Fimmtudagur","Föstudagur","Laugardagur","Sunnudagur"))</f>
        <v/>
      </c>
      <c r="D133" s="38"/>
      <c r="E133" s="38"/>
      <c r="F133" s="38"/>
      <c r="G133" s="38"/>
      <c r="H133" s="38"/>
      <c r="I133" s="41"/>
      <c r="J133" s="41"/>
      <c r="K133" s="42"/>
      <c r="L133" s="38"/>
    </row>
    <row r="134" spans="1:12" ht="15" customHeight="1">
      <c r="A134" s="9"/>
      <c r="B134" s="43"/>
      <c r="C134" s="44" t="str">
        <f>IF(B134="","",CHOOSE(WEEKDAY(B134,2),"Mánudagur","Þriðjudagur","Miðvikudagur","Fimmtudagur","Föstudagur","Laugardagur","Sunnudagur"))</f>
        <v/>
      </c>
      <c r="D134" s="9"/>
      <c r="E134" s="9"/>
      <c r="F134" s="9"/>
      <c r="G134" s="9"/>
      <c r="H134" s="9"/>
      <c r="I134" s="24"/>
      <c r="J134" s="24"/>
      <c r="K134" s="42"/>
      <c r="L134" s="9"/>
    </row>
    <row r="135" spans="1:12" ht="15" customHeight="1">
      <c r="A135" s="38"/>
      <c r="B135" s="39"/>
      <c r="C135" s="40" t="str">
        <f>IF(B135="","",CHOOSE(WEEKDAY(B135,2),"Mánudagur","Þriðjudagur","Miðvikudagur","Fimmtudagur","Föstudagur","Laugardagur","Sunnudagur"))</f>
        <v/>
      </c>
      <c r="D135" s="38"/>
      <c r="E135" s="38"/>
      <c r="F135" s="38"/>
      <c r="G135" s="38"/>
      <c r="H135" s="38"/>
      <c r="I135" s="41"/>
      <c r="J135" s="41"/>
      <c r="K135" s="42"/>
      <c r="L135" s="38"/>
    </row>
    <row r="136" spans="1:12" ht="15" customHeight="1">
      <c r="A136" s="9"/>
      <c r="B136" s="43"/>
      <c r="C136" s="44" t="str">
        <f>IF(B136="","",CHOOSE(WEEKDAY(B136,2),"Mánudagur","Þriðjudagur","Miðvikudagur","Fimmtudagur","Föstudagur","Laugardagur","Sunnudagur"))</f>
        <v/>
      </c>
      <c r="D136" s="9"/>
      <c r="E136" s="9"/>
      <c r="F136" s="9"/>
      <c r="G136" s="9"/>
      <c r="H136" s="9"/>
      <c r="I136" s="24"/>
      <c r="J136" s="24"/>
      <c r="K136" s="42"/>
      <c r="L136" s="9"/>
    </row>
    <row r="137" spans="1:12" ht="15" customHeight="1">
      <c r="A137" s="38"/>
      <c r="B137" s="39"/>
      <c r="C137" s="40" t="str">
        <f>IF(B137="","",CHOOSE(WEEKDAY(B137,2),"Mánudagur","Þriðjudagur","Miðvikudagur","Fimmtudagur","Föstudagur","Laugardagur","Sunnudagur"))</f>
        <v/>
      </c>
      <c r="D137" s="38"/>
      <c r="E137" s="38"/>
      <c r="F137" s="38"/>
      <c r="G137" s="38"/>
      <c r="H137" s="38"/>
      <c r="I137" s="41"/>
      <c r="J137" s="41"/>
      <c r="K137" s="42"/>
      <c r="L137" s="38"/>
    </row>
    <row r="138" spans="1:12" ht="15" customHeight="1">
      <c r="A138" s="9"/>
      <c r="B138" s="43"/>
      <c r="C138" s="44" t="str">
        <f>IF(B138="","",CHOOSE(WEEKDAY(B138,2),"Mánudagur","Þriðjudagur","Miðvikudagur","Fimmtudagur","Föstudagur","Laugardagur","Sunnudagur"))</f>
        <v/>
      </c>
      <c r="D138" s="9"/>
      <c r="E138" s="9"/>
      <c r="F138" s="9"/>
      <c r="G138" s="9"/>
      <c r="H138" s="9"/>
      <c r="I138" s="24"/>
      <c r="J138" s="24"/>
      <c r="K138" s="42"/>
      <c r="L138" s="9"/>
    </row>
    <row r="139" spans="1:12" ht="15" customHeight="1">
      <c r="A139" s="38"/>
      <c r="B139" s="39"/>
      <c r="C139" s="40" t="str">
        <f>IF(B139="","",CHOOSE(WEEKDAY(B139,2),"Mánudagur","Þriðjudagur","Miðvikudagur","Fimmtudagur","Föstudagur","Laugardagur","Sunnudagur"))</f>
        <v/>
      </c>
      <c r="D139" s="38"/>
      <c r="E139" s="38"/>
      <c r="F139" s="38"/>
      <c r="G139" s="38"/>
      <c r="H139" s="38"/>
      <c r="I139" s="41"/>
      <c r="J139" s="41"/>
      <c r="K139" s="42"/>
      <c r="L139" s="38"/>
    </row>
    <row r="140" spans="1:12" ht="15" customHeight="1">
      <c r="A140" s="9"/>
      <c r="B140" s="43"/>
      <c r="C140" s="44" t="str">
        <f>IF(B140="","",CHOOSE(WEEKDAY(B140,2),"Mánudagur","Þriðjudagur","Miðvikudagur","Fimmtudagur","Föstudagur","Laugardagur","Sunnudagur"))</f>
        <v/>
      </c>
      <c r="D140" s="9"/>
      <c r="E140" s="9"/>
      <c r="F140" s="9"/>
      <c r="G140" s="9"/>
      <c r="H140" s="9"/>
      <c r="I140" s="24"/>
      <c r="J140" s="24"/>
      <c r="K140" s="42"/>
      <c r="L140" s="9"/>
    </row>
    <row r="141" spans="1:12" ht="15" customHeight="1">
      <c r="A141" s="38"/>
      <c r="B141" s="39"/>
      <c r="C141" s="40" t="str">
        <f>IF(B141="","",CHOOSE(WEEKDAY(B141,2),"Mánudagur","Þriðjudagur","Miðvikudagur","Fimmtudagur","Föstudagur","Laugardagur","Sunnudagur"))</f>
        <v/>
      </c>
      <c r="D141" s="38"/>
      <c r="E141" s="38"/>
      <c r="F141" s="38"/>
      <c r="G141" s="38"/>
      <c r="H141" s="38"/>
      <c r="I141" s="41"/>
      <c r="J141" s="41"/>
      <c r="K141" s="42"/>
      <c r="L141" s="38"/>
    </row>
    <row r="142" spans="1:12" ht="15" customHeight="1">
      <c r="A142" s="9"/>
      <c r="B142" s="43"/>
      <c r="C142" s="44" t="str">
        <f>IF(B142="","",CHOOSE(WEEKDAY(B142,2),"Mánudagur","Þriðjudagur","Miðvikudagur","Fimmtudagur","Föstudagur","Laugardagur","Sunnudagur"))</f>
        <v/>
      </c>
      <c r="D142" s="9"/>
      <c r="E142" s="9"/>
      <c r="F142" s="9"/>
      <c r="G142" s="9"/>
      <c r="H142" s="9"/>
      <c r="I142" s="24"/>
      <c r="J142" s="24"/>
      <c r="K142" s="42"/>
      <c r="L142" s="9"/>
    </row>
    <row r="143" spans="1:12" ht="15" customHeight="1">
      <c r="A143" s="38"/>
      <c r="B143" s="39"/>
      <c r="C143" s="40" t="str">
        <f>IF(B143="","",CHOOSE(WEEKDAY(B143,2),"Mánudagur","Þriðjudagur","Miðvikudagur","Fimmtudagur","Föstudagur","Laugardagur","Sunnudagur"))</f>
        <v/>
      </c>
      <c r="D143" s="38"/>
      <c r="E143" s="38"/>
      <c r="F143" s="38"/>
      <c r="G143" s="38"/>
      <c r="H143" s="38"/>
      <c r="I143" s="41"/>
      <c r="J143" s="41"/>
      <c r="K143" s="42"/>
      <c r="L143" s="38"/>
    </row>
    <row r="144" spans="1:12" ht="15" customHeight="1">
      <c r="A144" s="9"/>
      <c r="B144" s="43"/>
      <c r="C144" s="44" t="str">
        <f>IF(B144="","",CHOOSE(WEEKDAY(B144,2),"Mánudagur","Þriðjudagur","Miðvikudagur","Fimmtudagur","Föstudagur","Laugardagur","Sunnudagur"))</f>
        <v/>
      </c>
      <c r="D144" s="9"/>
      <c r="E144" s="9"/>
      <c r="F144" s="9"/>
      <c r="G144" s="9"/>
      <c r="H144" s="9"/>
      <c r="I144" s="24"/>
      <c r="J144" s="24"/>
      <c r="K144" s="42"/>
      <c r="L144" s="9"/>
    </row>
    <row r="145" spans="1:12" ht="15" customHeight="1">
      <c r="A145" s="38"/>
      <c r="B145" s="39"/>
      <c r="C145" s="40" t="str">
        <f>IF(B145="","",CHOOSE(WEEKDAY(B145,2),"Mánudagur","Þriðjudagur","Miðvikudagur","Fimmtudagur","Föstudagur","Laugardagur","Sunnudagur"))</f>
        <v/>
      </c>
      <c r="D145" s="38"/>
      <c r="E145" s="38"/>
      <c r="F145" s="38"/>
      <c r="G145" s="38"/>
      <c r="H145" s="38"/>
      <c r="I145" s="41"/>
      <c r="J145" s="41"/>
      <c r="K145" s="42"/>
      <c r="L145" s="38"/>
    </row>
    <row r="146" spans="1:12" ht="15" customHeight="1">
      <c r="A146" s="9"/>
      <c r="B146" s="43"/>
      <c r="C146" s="44" t="str">
        <f>IF(B146="","",CHOOSE(WEEKDAY(B146,2),"Mánudagur","Þriðjudagur","Miðvikudagur","Fimmtudagur","Föstudagur","Laugardagur","Sunnudagur"))</f>
        <v/>
      </c>
      <c r="D146" s="9"/>
      <c r="E146" s="9"/>
      <c r="F146" s="9"/>
      <c r="G146" s="9"/>
      <c r="H146" s="9"/>
      <c r="I146" s="24"/>
      <c r="J146" s="24"/>
      <c r="K146" s="42"/>
      <c r="L146" s="9"/>
    </row>
    <row r="147" spans="1:12" ht="15" customHeight="1">
      <c r="A147" s="38"/>
      <c r="B147" s="39"/>
      <c r="C147" s="40" t="str">
        <f>IF(B147="","",CHOOSE(WEEKDAY(B147,2),"Mánudagur","Þriðjudagur","Miðvikudagur","Fimmtudagur","Föstudagur","Laugardagur","Sunnudagur"))</f>
        <v/>
      </c>
      <c r="D147" s="38"/>
      <c r="E147" s="38"/>
      <c r="F147" s="38"/>
      <c r="G147" s="38"/>
      <c r="H147" s="38"/>
      <c r="I147" s="41"/>
      <c r="J147" s="41"/>
      <c r="K147" s="42"/>
      <c r="L147" s="38"/>
    </row>
    <row r="148" spans="1:12" ht="15" customHeight="1">
      <c r="A148" s="9"/>
      <c r="B148" s="43"/>
      <c r="C148" s="44" t="str">
        <f>IF(B148="","",CHOOSE(WEEKDAY(B148,2),"Mánudagur","Þriðjudagur","Miðvikudagur","Fimmtudagur","Föstudagur","Laugardagur","Sunnudagur"))</f>
        <v/>
      </c>
      <c r="D148" s="9"/>
      <c r="E148" s="9"/>
      <c r="F148" s="9"/>
      <c r="G148" s="9"/>
      <c r="H148" s="9"/>
      <c r="I148" s="24"/>
      <c r="J148" s="24"/>
      <c r="K148" s="42"/>
      <c r="L148" s="9"/>
    </row>
    <row r="149" spans="1:12" ht="15" customHeight="1">
      <c r="A149" s="38"/>
      <c r="B149" s="39"/>
      <c r="C149" s="40" t="str">
        <f>IF(B149="","",CHOOSE(WEEKDAY(B149,2),"Mánudagur","Þriðjudagur","Miðvikudagur","Fimmtudagur","Föstudagur","Laugardagur","Sunnudagur"))</f>
        <v/>
      </c>
      <c r="D149" s="38"/>
      <c r="E149" s="38"/>
      <c r="F149" s="38"/>
      <c r="G149" s="38"/>
      <c r="H149" s="38"/>
      <c r="I149" s="41"/>
      <c r="J149" s="41"/>
      <c r="K149" s="42"/>
      <c r="L149" s="38"/>
    </row>
    <row r="150" spans="1:12" ht="15" customHeight="1">
      <c r="A150" s="9"/>
      <c r="B150" s="43"/>
      <c r="C150" s="44" t="str">
        <f>IF(B150="","",CHOOSE(WEEKDAY(B150,2),"Mánudagur","Þriðjudagur","Miðvikudagur","Fimmtudagur","Föstudagur","Laugardagur","Sunnudagur"))</f>
        <v/>
      </c>
      <c r="D150" s="9"/>
      <c r="E150" s="9"/>
      <c r="F150" s="9"/>
      <c r="G150" s="9"/>
      <c r="H150" s="9"/>
      <c r="I150" s="24"/>
      <c r="J150" s="24"/>
      <c r="K150" s="42"/>
      <c r="L150" s="9"/>
    </row>
    <row r="151" spans="1:12" ht="15" customHeight="1">
      <c r="A151" s="38"/>
      <c r="B151" s="39"/>
      <c r="C151" s="40" t="str">
        <f>IF(B151="","",CHOOSE(WEEKDAY(B151,2),"Mánudagur","Þriðjudagur","Miðvikudagur","Fimmtudagur","Föstudagur","Laugardagur","Sunnudagur"))</f>
        <v/>
      </c>
      <c r="D151" s="38"/>
      <c r="E151" s="38"/>
      <c r="F151" s="38"/>
      <c r="G151" s="38"/>
      <c r="H151" s="38"/>
      <c r="I151" s="41"/>
      <c r="J151" s="41"/>
      <c r="K151" s="42"/>
      <c r="L151" s="38"/>
    </row>
    <row r="152" spans="1:12" ht="15" customHeight="1">
      <c r="A152" s="9"/>
      <c r="B152" s="43"/>
      <c r="C152" s="44" t="str">
        <f>IF(B152="","",CHOOSE(WEEKDAY(B152,2),"Mánudagur","Þriðjudagur","Miðvikudagur","Fimmtudagur","Föstudagur","Laugardagur","Sunnudagur"))</f>
        <v/>
      </c>
      <c r="D152" s="9"/>
      <c r="E152" s="9"/>
      <c r="F152" s="9"/>
      <c r="G152" s="9"/>
      <c r="H152" s="9"/>
      <c r="I152" s="24"/>
      <c r="J152" s="24"/>
      <c r="K152" s="42"/>
      <c r="L152" s="9"/>
    </row>
    <row r="153" spans="1:12" ht="15" customHeight="1">
      <c r="A153" s="38"/>
      <c r="B153" s="39"/>
      <c r="C153" s="40" t="str">
        <f>IF(B153="","",CHOOSE(WEEKDAY(B153,2),"Mánudagur","Þriðjudagur","Miðvikudagur","Fimmtudagur","Föstudagur","Laugardagur","Sunnudagur"))</f>
        <v/>
      </c>
      <c r="D153" s="38"/>
      <c r="E153" s="38"/>
      <c r="F153" s="38"/>
      <c r="G153" s="38"/>
      <c r="H153" s="38"/>
      <c r="I153" s="41"/>
      <c r="J153" s="41"/>
      <c r="K153" s="42"/>
      <c r="L153" s="38"/>
    </row>
    <row r="154" spans="1:12" ht="15" customHeight="1">
      <c r="A154" s="9"/>
      <c r="B154" s="43"/>
      <c r="C154" s="44" t="str">
        <f>IF(B154="","",CHOOSE(WEEKDAY(B154,2),"Mánudagur","Þriðjudagur","Miðvikudagur","Fimmtudagur","Föstudagur","Laugardagur","Sunnudagur"))</f>
        <v/>
      </c>
      <c r="D154" s="9"/>
      <c r="E154" s="9"/>
      <c r="F154" s="9"/>
      <c r="G154" s="9"/>
      <c r="H154" s="9"/>
      <c r="I154" s="24"/>
      <c r="J154" s="24"/>
      <c r="K154" s="42"/>
      <c r="L154" s="9"/>
    </row>
    <row r="155" spans="1:12" ht="15" customHeight="1">
      <c r="A155" s="38"/>
      <c r="B155" s="39"/>
      <c r="C155" s="40" t="str">
        <f>IF(B155="","",CHOOSE(WEEKDAY(B155,2),"Mánudagur","Þriðjudagur","Miðvikudagur","Fimmtudagur","Föstudagur","Laugardagur","Sunnudagur"))</f>
        <v/>
      </c>
      <c r="D155" s="38"/>
      <c r="E155" s="38"/>
      <c r="F155" s="38"/>
      <c r="G155" s="38"/>
      <c r="H155" s="38"/>
      <c r="I155" s="41"/>
      <c r="J155" s="41"/>
      <c r="K155" s="42"/>
      <c r="L155" s="38"/>
    </row>
    <row r="156" spans="1:12" ht="15" customHeight="1">
      <c r="A156" s="9"/>
      <c r="B156" s="43"/>
      <c r="C156" s="44" t="str">
        <f>IF(B156="","",CHOOSE(WEEKDAY(B156,2),"Mánudagur","Þriðjudagur","Miðvikudagur","Fimmtudagur","Föstudagur","Laugardagur","Sunnudagur"))</f>
        <v/>
      </c>
      <c r="D156" s="9"/>
      <c r="E156" s="9"/>
      <c r="F156" s="9"/>
      <c r="G156" s="9"/>
      <c r="H156" s="9"/>
      <c r="I156" s="24"/>
      <c r="J156" s="24"/>
      <c r="K156" s="42"/>
      <c r="L156" s="9"/>
    </row>
    <row r="157" spans="1:12" ht="15" customHeight="1">
      <c r="A157" s="38"/>
      <c r="B157" s="39"/>
      <c r="C157" s="40" t="str">
        <f>IF(B157="","",CHOOSE(WEEKDAY(B157,2),"Mánudagur","Þriðjudagur","Miðvikudagur","Fimmtudagur","Föstudagur","Laugardagur","Sunnudagur"))</f>
        <v/>
      </c>
      <c r="D157" s="38"/>
      <c r="E157" s="38"/>
      <c r="F157" s="38"/>
      <c r="G157" s="38"/>
      <c r="H157" s="38"/>
      <c r="I157" s="41"/>
      <c r="J157" s="41"/>
      <c r="K157" s="42"/>
      <c r="L157" s="38"/>
    </row>
    <row r="158" spans="1:12" ht="15" customHeight="1">
      <c r="A158" s="9"/>
      <c r="B158" s="43"/>
      <c r="C158" s="44" t="str">
        <f>IF(B158="","",CHOOSE(WEEKDAY(B158,2),"Mánudagur","Þriðjudagur","Miðvikudagur","Fimmtudagur","Föstudagur","Laugardagur","Sunnudagur"))</f>
        <v/>
      </c>
      <c r="D158" s="9"/>
      <c r="E158" s="9"/>
      <c r="F158" s="9"/>
      <c r="G158" s="9"/>
      <c r="H158" s="9"/>
      <c r="I158" s="24"/>
      <c r="J158" s="24"/>
      <c r="K158" s="42"/>
      <c r="L158" s="9"/>
    </row>
    <row r="159" spans="1:12" ht="15" customHeight="1">
      <c r="A159" s="38"/>
      <c r="B159" s="39"/>
      <c r="C159" s="40" t="str">
        <f>IF(B159="","",CHOOSE(WEEKDAY(B159,2),"Mánudagur","Þriðjudagur","Miðvikudagur","Fimmtudagur","Föstudagur","Laugardagur","Sunnudagur"))</f>
        <v/>
      </c>
      <c r="D159" s="38"/>
      <c r="E159" s="38"/>
      <c r="F159" s="38"/>
      <c r="G159" s="38"/>
      <c r="H159" s="38"/>
      <c r="I159" s="41"/>
      <c r="J159" s="41"/>
      <c r="K159" s="42"/>
      <c r="L159" s="38"/>
    </row>
    <row r="160" spans="1:12" ht="15" customHeight="1">
      <c r="A160" s="9"/>
      <c r="B160" s="43"/>
      <c r="C160" s="44" t="str">
        <f>IF(B160="","",CHOOSE(WEEKDAY(B160,2),"Mánudagur","Þriðjudagur","Miðvikudagur","Fimmtudagur","Föstudagur","Laugardagur","Sunnudagur"))</f>
        <v/>
      </c>
      <c r="D160" s="9"/>
      <c r="E160" s="9"/>
      <c r="F160" s="9"/>
      <c r="G160" s="9"/>
      <c r="H160" s="9"/>
      <c r="I160" s="24"/>
      <c r="J160" s="24"/>
      <c r="K160" s="42"/>
      <c r="L160" s="9"/>
    </row>
    <row r="161" spans="1:12" ht="15" customHeight="1">
      <c r="A161" s="38"/>
      <c r="B161" s="39"/>
      <c r="C161" s="40" t="str">
        <f>IF(B161="","",CHOOSE(WEEKDAY(B161,2),"Mánudagur","Þriðjudagur","Miðvikudagur","Fimmtudagur","Föstudagur","Laugardagur","Sunnudagur"))</f>
        <v/>
      </c>
      <c r="D161" s="38"/>
      <c r="E161" s="38"/>
      <c r="F161" s="38"/>
      <c r="G161" s="38"/>
      <c r="H161" s="38"/>
      <c r="I161" s="41"/>
      <c r="J161" s="41"/>
      <c r="K161" s="42"/>
      <c r="L161" s="38"/>
    </row>
    <row r="162" spans="1:12" ht="15" customHeight="1">
      <c r="A162" s="9"/>
      <c r="B162" s="43"/>
      <c r="C162" s="44" t="str">
        <f>IF(B162="","",CHOOSE(WEEKDAY(B162,2),"Mánudagur","Þriðjudagur","Miðvikudagur","Fimmtudagur","Föstudagur","Laugardagur","Sunnudagur"))</f>
        <v/>
      </c>
      <c r="D162" s="9"/>
      <c r="E162" s="9"/>
      <c r="F162" s="9"/>
      <c r="G162" s="9"/>
      <c r="H162" s="9"/>
      <c r="I162" s="24"/>
      <c r="J162" s="24"/>
      <c r="K162" s="42"/>
      <c r="L162" s="9"/>
    </row>
    <row r="163" spans="1:12" ht="15" customHeight="1">
      <c r="A163" s="38"/>
      <c r="B163" s="39"/>
      <c r="C163" s="40" t="str">
        <f>IF(B163="","",CHOOSE(WEEKDAY(B163,2),"Mánudagur","Þriðjudagur","Miðvikudagur","Fimmtudagur","Föstudagur","Laugardagur","Sunnudagur"))</f>
        <v/>
      </c>
      <c r="D163" s="38"/>
      <c r="E163" s="38"/>
      <c r="F163" s="38"/>
      <c r="G163" s="38"/>
      <c r="H163" s="38"/>
      <c r="I163" s="41"/>
      <c r="J163" s="41"/>
      <c r="K163" s="42"/>
      <c r="L163" s="38"/>
    </row>
    <row r="164" spans="1:12" ht="15" customHeight="1">
      <c r="A164" s="9"/>
      <c r="B164" s="43"/>
      <c r="C164" s="44" t="str">
        <f>IF(B164="","",CHOOSE(WEEKDAY(B164,2),"Mánudagur","Þriðjudagur","Miðvikudagur","Fimmtudagur","Föstudagur","Laugardagur","Sunnudagur"))</f>
        <v/>
      </c>
      <c r="D164" s="9"/>
      <c r="E164" s="9"/>
      <c r="F164" s="9"/>
      <c r="G164" s="9"/>
      <c r="H164" s="9"/>
      <c r="I164" s="24"/>
      <c r="J164" s="24"/>
      <c r="K164" s="42"/>
      <c r="L164" s="9"/>
    </row>
    <row r="165" spans="1:12" ht="15" customHeight="1">
      <c r="A165" s="38"/>
      <c r="B165" s="39"/>
      <c r="C165" s="40" t="str">
        <f>IF(B165="","",CHOOSE(WEEKDAY(B165,2),"Mánudagur","Þriðjudagur","Miðvikudagur","Fimmtudagur","Föstudagur","Laugardagur","Sunnudagur"))</f>
        <v/>
      </c>
      <c r="D165" s="38"/>
      <c r="E165" s="38"/>
      <c r="F165" s="38"/>
      <c r="G165" s="38"/>
      <c r="H165" s="38"/>
      <c r="I165" s="41"/>
      <c r="J165" s="41"/>
      <c r="K165" s="42"/>
      <c r="L165" s="38"/>
    </row>
    <row r="166" spans="1:12" ht="15" customHeight="1">
      <c r="A166" s="9"/>
      <c r="B166" s="43"/>
      <c r="C166" s="44" t="str">
        <f>IF(B166="","",CHOOSE(WEEKDAY(B166,2),"Mánudagur","Þriðjudagur","Miðvikudagur","Fimmtudagur","Föstudagur","Laugardagur","Sunnudagur"))</f>
        <v/>
      </c>
      <c r="D166" s="9"/>
      <c r="E166" s="9"/>
      <c r="F166" s="9"/>
      <c r="G166" s="9"/>
      <c r="H166" s="9"/>
      <c r="I166" s="24"/>
      <c r="J166" s="24"/>
      <c r="K166" s="42"/>
      <c r="L166" s="9"/>
    </row>
    <row r="167" spans="1:12" ht="15" customHeight="1">
      <c r="A167" s="38"/>
      <c r="B167" s="39"/>
      <c r="C167" s="40" t="str">
        <f>IF(B167="","",CHOOSE(WEEKDAY(B167,2),"Mánudagur","Þriðjudagur","Miðvikudagur","Fimmtudagur","Föstudagur","Laugardagur","Sunnudagur"))</f>
        <v/>
      </c>
      <c r="D167" s="38"/>
      <c r="E167" s="38"/>
      <c r="F167" s="38"/>
      <c r="G167" s="38"/>
      <c r="H167" s="38"/>
      <c r="I167" s="41"/>
      <c r="J167" s="41"/>
      <c r="K167" s="42"/>
      <c r="L167" s="38"/>
    </row>
    <row r="168" spans="1:12" ht="15" customHeight="1">
      <c r="A168" s="9"/>
      <c r="B168" s="43"/>
      <c r="C168" s="44" t="str">
        <f>IF(B168="","",CHOOSE(WEEKDAY(B168,2),"Mánudagur","Þriðjudagur","Miðvikudagur","Fimmtudagur","Föstudagur","Laugardagur","Sunnudagur"))</f>
        <v/>
      </c>
      <c r="D168" s="9"/>
      <c r="E168" s="9"/>
      <c r="F168" s="9"/>
      <c r="G168" s="9"/>
      <c r="H168" s="9"/>
      <c r="I168" s="24"/>
      <c r="J168" s="24"/>
      <c r="K168" s="42"/>
      <c r="L168" s="9"/>
    </row>
    <row r="169" spans="1:12" ht="15" customHeight="1">
      <c r="A169" s="38"/>
      <c r="B169" s="39"/>
      <c r="C169" s="40" t="str">
        <f>IF(B169="","",CHOOSE(WEEKDAY(B169,2),"Mánudagur","Þriðjudagur","Miðvikudagur","Fimmtudagur","Föstudagur","Laugardagur","Sunnudagur"))</f>
        <v/>
      </c>
      <c r="D169" s="38"/>
      <c r="E169" s="38"/>
      <c r="F169" s="38"/>
      <c r="G169" s="38"/>
      <c r="H169" s="38"/>
      <c r="I169" s="41"/>
      <c r="J169" s="41"/>
      <c r="K169" s="42"/>
      <c r="L169" s="38"/>
    </row>
    <row r="170" spans="1:12" ht="15" customHeight="1">
      <c r="A170" s="9"/>
      <c r="B170" s="43"/>
      <c r="C170" s="44" t="str">
        <f>IF(B170="","",CHOOSE(WEEKDAY(B170,2),"Mánudagur","Þriðjudagur","Miðvikudagur","Fimmtudagur","Föstudagur","Laugardagur","Sunnudagur"))</f>
        <v/>
      </c>
      <c r="D170" s="9"/>
      <c r="E170" s="9"/>
      <c r="F170" s="9"/>
      <c r="G170" s="9"/>
      <c r="H170" s="9"/>
      <c r="I170" s="24"/>
      <c r="J170" s="24"/>
      <c r="K170" s="42"/>
      <c r="L170" s="9"/>
    </row>
    <row r="171" spans="1:12" ht="15" customHeight="1">
      <c r="A171" s="38"/>
      <c r="B171" s="39"/>
      <c r="C171" s="40" t="str">
        <f>IF(B171="","",CHOOSE(WEEKDAY(B171,2),"Mánudagur","Þriðjudagur","Miðvikudagur","Fimmtudagur","Föstudagur","Laugardagur","Sunnudagur"))</f>
        <v/>
      </c>
      <c r="D171" s="38"/>
      <c r="E171" s="38"/>
      <c r="F171" s="38"/>
      <c r="G171" s="38"/>
      <c r="H171" s="38"/>
      <c r="I171" s="41"/>
      <c r="J171" s="41"/>
      <c r="K171" s="42"/>
      <c r="L171" s="38"/>
    </row>
    <row r="172" spans="1:12" ht="15" customHeight="1">
      <c r="A172" s="9"/>
      <c r="B172" s="43"/>
      <c r="C172" s="44" t="str">
        <f>IF(B172="","",CHOOSE(WEEKDAY(B172,2),"Mánudagur","Þriðjudagur","Miðvikudagur","Fimmtudagur","Föstudagur","Laugardagur","Sunnudagur"))</f>
        <v/>
      </c>
      <c r="D172" s="9"/>
      <c r="E172" s="9"/>
      <c r="F172" s="9"/>
      <c r="G172" s="9"/>
      <c r="H172" s="9"/>
      <c r="I172" s="24"/>
      <c r="J172" s="24"/>
      <c r="K172" s="42"/>
      <c r="L172" s="9"/>
    </row>
    <row r="173" spans="1:12" ht="15" customHeight="1">
      <c r="A173" s="38"/>
      <c r="B173" s="39"/>
      <c r="C173" s="40" t="str">
        <f>IF(B173="","",CHOOSE(WEEKDAY(B173,2),"Mánudagur","Þriðjudagur","Miðvikudagur","Fimmtudagur","Föstudagur","Laugardagur","Sunnudagur"))</f>
        <v/>
      </c>
      <c r="D173" s="38"/>
      <c r="E173" s="38"/>
      <c r="F173" s="38"/>
      <c r="G173" s="38"/>
      <c r="H173" s="38"/>
      <c r="I173" s="41"/>
      <c r="J173" s="41"/>
      <c r="K173" s="42"/>
      <c r="L173" s="38"/>
    </row>
    <row r="174" spans="1:12" ht="15" customHeight="1">
      <c r="A174" s="9"/>
      <c r="B174" s="43"/>
      <c r="C174" s="44" t="str">
        <f>IF(B174="","",CHOOSE(WEEKDAY(B174,2),"Mánudagur","Þriðjudagur","Miðvikudagur","Fimmtudagur","Föstudagur","Laugardagur","Sunnudagur"))</f>
        <v/>
      </c>
      <c r="D174" s="9"/>
      <c r="E174" s="9"/>
      <c r="F174" s="9"/>
      <c r="G174" s="9"/>
      <c r="H174" s="9"/>
      <c r="I174" s="24"/>
      <c r="J174" s="24"/>
      <c r="K174" s="42"/>
      <c r="L174" s="9"/>
    </row>
    <row r="175" spans="1:12" ht="15" customHeight="1">
      <c r="A175" s="38"/>
      <c r="B175" s="39"/>
      <c r="C175" s="40" t="str">
        <f>IF(B175="","",CHOOSE(WEEKDAY(B175,2),"Mánudagur","Þriðjudagur","Miðvikudagur","Fimmtudagur","Föstudagur","Laugardagur","Sunnudagur"))</f>
        <v/>
      </c>
      <c r="D175" s="38"/>
      <c r="E175" s="38"/>
      <c r="F175" s="38"/>
      <c r="G175" s="38"/>
      <c r="H175" s="38"/>
      <c r="I175" s="41"/>
      <c r="J175" s="41"/>
      <c r="K175" s="42"/>
      <c r="L175" s="38"/>
    </row>
    <row r="176" spans="1:12" ht="15" customHeight="1">
      <c r="A176" s="9"/>
      <c r="B176" s="43"/>
      <c r="C176" s="44" t="str">
        <f>IF(B176="","",CHOOSE(WEEKDAY(B176,2),"Mánudagur","Þriðjudagur","Miðvikudagur","Fimmtudagur","Föstudagur","Laugardagur","Sunnudagur"))</f>
        <v/>
      </c>
      <c r="D176" s="9"/>
      <c r="E176" s="9"/>
      <c r="F176" s="9"/>
      <c r="G176" s="9"/>
      <c r="H176" s="9"/>
      <c r="I176" s="24"/>
      <c r="J176" s="24"/>
      <c r="K176" s="42"/>
      <c r="L176" s="9"/>
    </row>
    <row r="177" spans="1:12" ht="15" customHeight="1">
      <c r="A177" s="38"/>
      <c r="B177" s="39"/>
      <c r="C177" s="40" t="str">
        <f>IF(B177="","",CHOOSE(WEEKDAY(B177,2),"Mánudagur","Þriðjudagur","Miðvikudagur","Fimmtudagur","Föstudagur","Laugardagur","Sunnudagur"))</f>
        <v/>
      </c>
      <c r="D177" s="38"/>
      <c r="E177" s="38"/>
      <c r="F177" s="38"/>
      <c r="G177" s="38"/>
      <c r="H177" s="38"/>
      <c r="I177" s="41"/>
      <c r="J177" s="41"/>
      <c r="K177" s="42"/>
      <c r="L177" s="38"/>
    </row>
    <row r="178" spans="1:12" ht="15" customHeight="1">
      <c r="A178" s="9"/>
      <c r="B178" s="43"/>
      <c r="C178" s="44" t="str">
        <f>IF(B178="","",CHOOSE(WEEKDAY(B178,2),"Mánudagur","Þriðjudagur","Miðvikudagur","Fimmtudagur","Föstudagur","Laugardagur","Sunnudagur"))</f>
        <v/>
      </c>
      <c r="D178" s="9"/>
      <c r="E178" s="9"/>
      <c r="F178" s="9"/>
      <c r="G178" s="9"/>
      <c r="H178" s="9"/>
      <c r="I178" s="24"/>
      <c r="J178" s="24"/>
      <c r="K178" s="42"/>
      <c r="L178" s="9"/>
    </row>
    <row r="179" spans="1:12" ht="15" customHeight="1">
      <c r="A179" s="38"/>
      <c r="B179" s="39"/>
      <c r="C179" s="40" t="str">
        <f>IF(B179="","",CHOOSE(WEEKDAY(B179,2),"Mánudagur","Þriðjudagur","Miðvikudagur","Fimmtudagur","Föstudagur","Laugardagur","Sunnudagur"))</f>
        <v/>
      </c>
      <c r="D179" s="38"/>
      <c r="E179" s="38"/>
      <c r="F179" s="38"/>
      <c r="G179" s="38"/>
      <c r="H179" s="38"/>
      <c r="I179" s="41"/>
      <c r="J179" s="41"/>
      <c r="K179" s="42"/>
      <c r="L179" s="38"/>
    </row>
    <row r="180" spans="1:12" ht="15" customHeight="1">
      <c r="A180" s="9"/>
      <c r="B180" s="43"/>
      <c r="C180" s="44" t="str">
        <f>IF(B180="","",CHOOSE(WEEKDAY(B180,2),"Mánudagur","Þriðjudagur","Miðvikudagur","Fimmtudagur","Föstudagur","Laugardagur","Sunnudagur"))</f>
        <v/>
      </c>
      <c r="D180" s="9"/>
      <c r="E180" s="9"/>
      <c r="F180" s="9"/>
      <c r="G180" s="9"/>
      <c r="H180" s="9"/>
      <c r="I180" s="24"/>
      <c r="J180" s="24"/>
      <c r="K180" s="42"/>
      <c r="L180" s="9"/>
    </row>
    <row r="181" spans="1:12" ht="15" customHeight="1">
      <c r="A181" s="38"/>
      <c r="B181" s="39"/>
      <c r="C181" s="40" t="str">
        <f>IF(B181="","",CHOOSE(WEEKDAY(B181,2),"Mánudagur","Þriðjudagur","Miðvikudagur","Fimmtudagur","Föstudagur","Laugardagur","Sunnudagur"))</f>
        <v/>
      </c>
      <c r="D181" s="38"/>
      <c r="E181" s="38"/>
      <c r="F181" s="38"/>
      <c r="G181" s="38"/>
      <c r="H181" s="38"/>
      <c r="I181" s="41"/>
      <c r="J181" s="41"/>
      <c r="K181" s="42"/>
      <c r="L181" s="38"/>
    </row>
    <row r="182" spans="1:12" ht="15" customHeight="1">
      <c r="A182" s="9"/>
      <c r="B182" s="43"/>
      <c r="C182" s="44" t="str">
        <f>IF(B182="","",CHOOSE(WEEKDAY(B182,2),"Mánudagur","Þriðjudagur","Miðvikudagur","Fimmtudagur","Föstudagur","Laugardagur","Sunnudagur"))</f>
        <v/>
      </c>
      <c r="D182" s="9"/>
      <c r="E182" s="9"/>
      <c r="F182" s="9"/>
      <c r="G182" s="9"/>
      <c r="H182" s="9"/>
      <c r="I182" s="24"/>
      <c r="J182" s="24"/>
      <c r="K182" s="42"/>
      <c r="L182" s="9"/>
    </row>
    <row r="183" spans="1:12" ht="15" customHeight="1">
      <c r="A183" s="38"/>
      <c r="B183" s="39"/>
      <c r="C183" s="40" t="str">
        <f>IF(B183="","",CHOOSE(WEEKDAY(B183,2),"Mánudagur","Þriðjudagur","Miðvikudagur","Fimmtudagur","Föstudagur","Laugardagur","Sunnudagur"))</f>
        <v/>
      </c>
      <c r="D183" s="38"/>
      <c r="E183" s="38"/>
      <c r="F183" s="38"/>
      <c r="G183" s="38"/>
      <c r="H183" s="38"/>
      <c r="I183" s="41"/>
      <c r="J183" s="41"/>
      <c r="K183" s="42"/>
      <c r="L183" s="38"/>
    </row>
    <row r="184" spans="1:12" ht="15" customHeight="1">
      <c r="A184" s="9"/>
      <c r="B184" s="43"/>
      <c r="C184" s="44" t="str">
        <f>IF(B184="","",CHOOSE(WEEKDAY(B184,2),"Mánudagur","Þriðjudagur","Miðvikudagur","Fimmtudagur","Föstudagur","Laugardagur","Sunnudagur"))</f>
        <v/>
      </c>
      <c r="D184" s="9"/>
      <c r="E184" s="9"/>
      <c r="F184" s="9"/>
      <c r="G184" s="9"/>
      <c r="H184" s="9"/>
      <c r="I184" s="24"/>
      <c r="J184" s="24"/>
      <c r="K184" s="42"/>
      <c r="L184" s="9"/>
    </row>
    <row r="185" spans="1:12" ht="15" customHeight="1">
      <c r="A185" s="38"/>
      <c r="B185" s="39"/>
      <c r="C185" s="40" t="str">
        <f>IF(B185="","",CHOOSE(WEEKDAY(B185,2),"Mánudagur","Þriðjudagur","Miðvikudagur","Fimmtudagur","Föstudagur","Laugardagur","Sunnudagur"))</f>
        <v/>
      </c>
      <c r="D185" s="38"/>
      <c r="E185" s="38"/>
      <c r="F185" s="38"/>
      <c r="G185" s="38"/>
      <c r="H185" s="38"/>
      <c r="I185" s="41"/>
      <c r="J185" s="41"/>
      <c r="K185" s="42"/>
      <c r="L185" s="38"/>
    </row>
    <row r="186" spans="1:12" ht="15" customHeight="1">
      <c r="A186" s="9"/>
      <c r="B186" s="43"/>
      <c r="C186" s="44" t="str">
        <f>IF(B186="","",CHOOSE(WEEKDAY(B186,2),"Mánudagur","Þriðjudagur","Miðvikudagur","Fimmtudagur","Föstudagur","Laugardagur","Sunnudagur"))</f>
        <v/>
      </c>
      <c r="D186" s="9"/>
      <c r="E186" s="9"/>
      <c r="F186" s="9"/>
      <c r="G186" s="9"/>
      <c r="H186" s="9"/>
      <c r="I186" s="24"/>
      <c r="J186" s="24"/>
      <c r="K186" s="42"/>
      <c r="L186" s="9"/>
    </row>
    <row r="187" spans="1:12" ht="15" customHeight="1">
      <c r="A187" s="38"/>
      <c r="B187" s="39"/>
      <c r="C187" s="40" t="str">
        <f>IF(B187="","",CHOOSE(WEEKDAY(B187,2),"Mánudagur","Þriðjudagur","Miðvikudagur","Fimmtudagur","Föstudagur","Laugardagur","Sunnudagur"))</f>
        <v/>
      </c>
      <c r="D187" s="38"/>
      <c r="E187" s="38"/>
      <c r="F187" s="38"/>
      <c r="G187" s="38"/>
      <c r="H187" s="38"/>
      <c r="I187" s="41"/>
      <c r="J187" s="41"/>
      <c r="K187" s="42"/>
      <c r="L187" s="38"/>
    </row>
    <row r="188" spans="1:12" ht="15" customHeight="1">
      <c r="A188" s="9"/>
      <c r="B188" s="43"/>
      <c r="C188" s="44" t="str">
        <f>IF(B188="","",CHOOSE(WEEKDAY(B188,2),"Mánudagur","Þriðjudagur","Miðvikudagur","Fimmtudagur","Föstudagur","Laugardagur","Sunnudagur"))</f>
        <v/>
      </c>
      <c r="D188" s="9"/>
      <c r="E188" s="9"/>
      <c r="F188" s="9"/>
      <c r="G188" s="9"/>
      <c r="H188" s="9"/>
      <c r="I188" s="24"/>
      <c r="J188" s="24"/>
      <c r="K188" s="42"/>
      <c r="L188" s="9"/>
    </row>
    <row r="189" spans="1:12" ht="15" customHeight="1">
      <c r="A189" s="38"/>
      <c r="B189" s="39"/>
      <c r="C189" s="40" t="str">
        <f>IF(B189="","",CHOOSE(WEEKDAY(B189,2),"Mánudagur","Þriðjudagur","Miðvikudagur","Fimmtudagur","Föstudagur","Laugardagur","Sunnudagur"))</f>
        <v/>
      </c>
      <c r="D189" s="38"/>
      <c r="E189" s="38"/>
      <c r="F189" s="38"/>
      <c r="G189" s="38"/>
      <c r="H189" s="38"/>
      <c r="I189" s="41"/>
      <c r="J189" s="41"/>
      <c r="K189" s="42"/>
      <c r="L189" s="38"/>
    </row>
    <row r="190" spans="1:12" ht="15" customHeight="1">
      <c r="A190" s="9"/>
      <c r="B190" s="43"/>
      <c r="C190" s="44" t="str">
        <f>IF(B190="","",CHOOSE(WEEKDAY(B190,2),"Mánudagur","Þriðjudagur","Miðvikudagur","Fimmtudagur","Föstudagur","Laugardagur","Sunnudagur"))</f>
        <v/>
      </c>
      <c r="D190" s="9"/>
      <c r="E190" s="9"/>
      <c r="F190" s="9"/>
      <c r="G190" s="9"/>
      <c r="H190" s="9"/>
      <c r="I190" s="24"/>
      <c r="J190" s="24"/>
      <c r="K190" s="42"/>
      <c r="L190" s="9"/>
    </row>
    <row r="191" spans="1:12" ht="15" customHeight="1">
      <c r="A191" s="38"/>
      <c r="B191" s="39"/>
      <c r="C191" s="40" t="str">
        <f>IF(B191="","",CHOOSE(WEEKDAY(B191,2),"Mánudagur","Þriðjudagur","Miðvikudagur","Fimmtudagur","Föstudagur","Laugardagur","Sunnudagur"))</f>
        <v/>
      </c>
      <c r="D191" s="38"/>
      <c r="E191" s="38"/>
      <c r="F191" s="38"/>
      <c r="G191" s="38"/>
      <c r="H191" s="38"/>
      <c r="I191" s="41"/>
      <c r="J191" s="41"/>
      <c r="K191" s="42"/>
      <c r="L191" s="38"/>
    </row>
    <row r="192" spans="1:12" ht="15" customHeight="1">
      <c r="A192" s="9"/>
      <c r="B192" s="43"/>
      <c r="C192" s="44" t="str">
        <f>IF(B192="","",CHOOSE(WEEKDAY(B192,2),"Mánudagur","Þriðjudagur","Miðvikudagur","Fimmtudagur","Föstudagur","Laugardagur","Sunnudagur"))</f>
        <v/>
      </c>
      <c r="D192" s="9"/>
      <c r="E192" s="9"/>
      <c r="F192" s="9"/>
      <c r="G192" s="9"/>
      <c r="H192" s="9"/>
      <c r="I192" s="24"/>
      <c r="J192" s="24"/>
      <c r="K192" s="42"/>
      <c r="L192" s="9"/>
    </row>
    <row r="193" spans="1:12" ht="15" customHeight="1">
      <c r="A193" s="38"/>
      <c r="B193" s="39"/>
      <c r="C193" s="40" t="str">
        <f>IF(B193="","",CHOOSE(WEEKDAY(B193,2),"Mánudagur","Þriðjudagur","Miðvikudagur","Fimmtudagur","Föstudagur","Laugardagur","Sunnudagur"))</f>
        <v/>
      </c>
      <c r="D193" s="38"/>
      <c r="E193" s="38"/>
      <c r="F193" s="38"/>
      <c r="G193" s="38"/>
      <c r="H193" s="38"/>
      <c r="I193" s="41"/>
      <c r="J193" s="41"/>
      <c r="K193" s="42"/>
      <c r="L193" s="38"/>
    </row>
    <row r="194" spans="1:12" ht="15" customHeight="1">
      <c r="A194" s="9"/>
      <c r="B194" s="43"/>
      <c r="C194" s="44" t="str">
        <f>IF(B194="","",CHOOSE(WEEKDAY(B194,2),"Mánudagur","Þriðjudagur","Miðvikudagur","Fimmtudagur","Föstudagur","Laugardagur","Sunnudagur"))</f>
        <v/>
      </c>
      <c r="D194" s="9"/>
      <c r="E194" s="9"/>
      <c r="F194" s="9"/>
      <c r="G194" s="9"/>
      <c r="H194" s="9"/>
      <c r="I194" s="24"/>
      <c r="J194" s="24"/>
      <c r="K194" s="42"/>
      <c r="L194" s="9"/>
    </row>
    <row r="195" spans="1:12" ht="15" customHeight="1">
      <c r="A195" s="38"/>
      <c r="B195" s="39"/>
      <c r="C195" s="40" t="str">
        <f>IF(B195="","",CHOOSE(WEEKDAY(B195,2),"Mánudagur","Þriðjudagur","Miðvikudagur","Fimmtudagur","Föstudagur","Laugardagur","Sunnudagur"))</f>
        <v/>
      </c>
      <c r="D195" s="38"/>
      <c r="E195" s="38"/>
      <c r="F195" s="38"/>
      <c r="G195" s="38"/>
      <c r="H195" s="38"/>
      <c r="I195" s="41"/>
      <c r="J195" s="41"/>
      <c r="K195" s="42"/>
      <c r="L195" s="38"/>
    </row>
    <row r="196" spans="1:12" ht="15" customHeight="1">
      <c r="A196" s="9"/>
      <c r="B196" s="43"/>
      <c r="C196" s="44" t="str">
        <f>IF(B196="","",CHOOSE(WEEKDAY(B196,2),"Mánudagur","Þriðjudagur","Miðvikudagur","Fimmtudagur","Föstudagur","Laugardagur","Sunnudagur"))</f>
        <v/>
      </c>
      <c r="D196" s="9"/>
      <c r="E196" s="9"/>
      <c r="F196" s="9"/>
      <c r="G196" s="9"/>
      <c r="H196" s="9"/>
      <c r="I196" s="24"/>
      <c r="J196" s="24"/>
      <c r="K196" s="42"/>
      <c r="L196" s="9"/>
    </row>
    <row r="197" spans="1:12" ht="15" customHeight="1">
      <c r="A197" s="38"/>
      <c r="B197" s="39"/>
      <c r="C197" s="40" t="str">
        <f>IF(B197="","",CHOOSE(WEEKDAY(B197,2),"Mánudagur","Þriðjudagur","Miðvikudagur","Fimmtudagur","Föstudagur","Laugardagur","Sunnudagur"))</f>
        <v/>
      </c>
      <c r="D197" s="38"/>
      <c r="E197" s="38"/>
      <c r="F197" s="38"/>
      <c r="G197" s="38"/>
      <c r="H197" s="38"/>
      <c r="I197" s="41"/>
      <c r="J197" s="41"/>
      <c r="K197" s="42"/>
      <c r="L197" s="38"/>
    </row>
    <row r="198" spans="1:12" ht="15" customHeight="1">
      <c r="A198" s="9"/>
      <c r="B198" s="43"/>
      <c r="C198" s="44" t="str">
        <f>IF(B198="","",CHOOSE(WEEKDAY(B198,2),"Mánudagur","Þriðjudagur","Miðvikudagur","Fimmtudagur","Föstudagur","Laugardagur","Sunnudagur"))</f>
        <v/>
      </c>
      <c r="D198" s="9"/>
      <c r="E198" s="9"/>
      <c r="F198" s="9"/>
      <c r="G198" s="9"/>
      <c r="H198" s="9"/>
      <c r="I198" s="24"/>
      <c r="J198" s="24"/>
      <c r="K198" s="42"/>
      <c r="L198" s="9"/>
    </row>
    <row r="199" spans="1:12" ht="15" customHeight="1">
      <c r="A199" s="38"/>
      <c r="B199" s="39"/>
      <c r="C199" s="40" t="str">
        <f>IF(B199="","",CHOOSE(WEEKDAY(B199,2),"Mánudagur","Þriðjudagur","Miðvikudagur","Fimmtudagur","Föstudagur","Laugardagur","Sunnudagur"))</f>
        <v/>
      </c>
      <c r="D199" s="38"/>
      <c r="E199" s="38"/>
      <c r="F199" s="38"/>
      <c r="G199" s="38"/>
      <c r="H199" s="38"/>
      <c r="I199" s="41"/>
      <c r="J199" s="41"/>
      <c r="K199" s="42"/>
      <c r="L199" s="38"/>
    </row>
    <row r="200" spans="1:12" ht="15" customHeight="1">
      <c r="A200" s="9"/>
      <c r="B200" s="43"/>
      <c r="C200" s="44" t="str">
        <f>IF(B200="","",CHOOSE(WEEKDAY(B200,2),"Mánudagur","Þriðjudagur","Miðvikudagur","Fimmtudagur","Föstudagur","Laugardagur","Sunnudagur"))</f>
        <v/>
      </c>
      <c r="D200" s="9"/>
      <c r="E200" s="9"/>
      <c r="F200" s="9"/>
      <c r="G200" s="9"/>
      <c r="H200" s="9"/>
      <c r="I200" s="24"/>
      <c r="J200" s="24"/>
      <c r="K200" s="42"/>
      <c r="L200" s="9"/>
    </row>
    <row r="201" spans="1:12" ht="15" customHeight="1">
      <c r="A201" s="38"/>
      <c r="B201" s="39"/>
      <c r="C201" s="40" t="str">
        <f>IF(B201="","",CHOOSE(WEEKDAY(B201,2),"Mánudagur","Þriðjudagur","Miðvikudagur","Fimmtudagur","Föstudagur","Laugardagur","Sunnudagur"))</f>
        <v/>
      </c>
      <c r="D201" s="38"/>
      <c r="E201" s="38"/>
      <c r="F201" s="38"/>
      <c r="G201" s="38"/>
      <c r="H201" s="38"/>
      <c r="I201" s="41"/>
      <c r="J201" s="41"/>
      <c r="K201" s="42"/>
      <c r="L201" s="38"/>
    </row>
    <row r="202" spans="1:12" ht="15" customHeight="1">
      <c r="A202" s="9"/>
      <c r="B202" s="43"/>
      <c r="C202" s="44" t="str">
        <f>IF(B202="","",CHOOSE(WEEKDAY(B202,2),"Mánudagur","Þriðjudagur","Miðvikudagur","Fimmtudagur","Föstudagur","Laugardagur","Sunnudagur"))</f>
        <v/>
      </c>
      <c r="D202" s="9"/>
      <c r="E202" s="9"/>
      <c r="F202" s="9"/>
      <c r="G202" s="9"/>
      <c r="H202" s="9"/>
      <c r="I202" s="24"/>
      <c r="J202" s="24"/>
      <c r="K202" s="42"/>
      <c r="L202" s="9"/>
    </row>
    <row r="203" spans="1:12" ht="15" customHeight="1">
      <c r="A203" s="38"/>
      <c r="B203" s="39"/>
      <c r="C203" s="40" t="str">
        <f>IF(B203="","",CHOOSE(WEEKDAY(B203,2),"Mánudagur","Þriðjudagur","Miðvikudagur","Fimmtudagur","Föstudagur","Laugardagur","Sunnudagur"))</f>
        <v/>
      </c>
      <c r="D203" s="38"/>
      <c r="E203" s="38"/>
      <c r="F203" s="38"/>
      <c r="G203" s="38"/>
      <c r="H203" s="38"/>
      <c r="I203" s="41"/>
      <c r="J203" s="41"/>
      <c r="K203" s="42"/>
      <c r="L203" s="38"/>
    </row>
    <row r="204" spans="1:12" ht="15" customHeight="1">
      <c r="A204" s="9"/>
      <c r="B204" s="43"/>
      <c r="C204" s="44" t="str">
        <f>IF(B204="","",CHOOSE(WEEKDAY(B204,2),"Mánudagur","Þriðjudagur","Miðvikudagur","Fimmtudagur","Föstudagur","Laugardagur","Sunnudagur"))</f>
        <v/>
      </c>
      <c r="D204" s="9"/>
      <c r="E204" s="9"/>
      <c r="F204" s="9"/>
      <c r="G204" s="9"/>
      <c r="H204" s="9"/>
      <c r="I204" s="24"/>
      <c r="J204" s="24"/>
      <c r="K204" s="42"/>
      <c r="L204" s="9"/>
    </row>
    <row r="205" spans="1:12" ht="15" customHeight="1">
      <c r="A205" s="38"/>
      <c r="B205" s="39"/>
      <c r="C205" s="40" t="str">
        <f>IF(B205="","",CHOOSE(WEEKDAY(B205,2),"Mánudagur","Þriðjudagur","Miðvikudagur","Fimmtudagur","Föstudagur","Laugardagur","Sunnudagur"))</f>
        <v/>
      </c>
      <c r="D205" s="38"/>
      <c r="E205" s="38"/>
      <c r="F205" s="38"/>
      <c r="G205" s="38"/>
      <c r="H205" s="38"/>
      <c r="I205" s="41"/>
      <c r="J205" s="41"/>
      <c r="K205" s="42"/>
      <c r="L205" s="38"/>
    </row>
    <row r="206" spans="1:12" ht="15" customHeight="1">
      <c r="A206" s="9"/>
      <c r="B206" s="43"/>
      <c r="C206" s="44" t="str">
        <f>IF(B206="","",CHOOSE(WEEKDAY(B206,2),"Mánudagur","Þriðjudagur","Miðvikudagur","Fimmtudagur","Föstudagur","Laugardagur","Sunnudagur"))</f>
        <v/>
      </c>
      <c r="D206" s="9"/>
      <c r="E206" s="9"/>
      <c r="F206" s="9"/>
      <c r="G206" s="9"/>
      <c r="H206" s="9"/>
      <c r="I206" s="24"/>
      <c r="J206" s="24"/>
      <c r="K206" s="42"/>
      <c r="L206" s="9"/>
    </row>
    <row r="207" spans="1:12" ht="15" customHeight="1">
      <c r="A207" s="38"/>
      <c r="B207" s="39"/>
      <c r="C207" s="40" t="str">
        <f>IF(B207="","",CHOOSE(WEEKDAY(B207,2),"Mánudagur","Þriðjudagur","Miðvikudagur","Fimmtudagur","Föstudagur","Laugardagur","Sunnudagur"))</f>
        <v/>
      </c>
      <c r="D207" s="38"/>
      <c r="E207" s="38"/>
      <c r="F207" s="38"/>
      <c r="G207" s="38"/>
      <c r="H207" s="38"/>
      <c r="I207" s="41"/>
      <c r="J207" s="41"/>
      <c r="K207" s="42"/>
      <c r="L207" s="38"/>
    </row>
    <row r="208" spans="1:12" ht="15" customHeight="1">
      <c r="A208" s="9"/>
      <c r="B208" s="43"/>
      <c r="C208" s="44" t="str">
        <f>IF(B208="","",CHOOSE(WEEKDAY(B208,2),"Mánudagur","Þriðjudagur","Miðvikudagur","Fimmtudagur","Föstudagur","Laugardagur","Sunnudagur"))</f>
        <v/>
      </c>
      <c r="D208" s="9"/>
      <c r="E208" s="9"/>
      <c r="F208" s="9"/>
      <c r="G208" s="9"/>
      <c r="H208" s="9"/>
      <c r="I208" s="24"/>
      <c r="J208" s="24"/>
      <c r="K208" s="42"/>
      <c r="L208" s="9"/>
    </row>
    <row r="209" spans="1:12" ht="15" customHeight="1">
      <c r="A209" s="38"/>
      <c r="B209" s="39"/>
      <c r="C209" s="40" t="str">
        <f>IF(B209="","",CHOOSE(WEEKDAY(B209,2),"Mánudagur","Þriðjudagur","Miðvikudagur","Fimmtudagur","Föstudagur","Laugardagur","Sunnudagur"))</f>
        <v/>
      </c>
      <c r="D209" s="38"/>
      <c r="E209" s="38"/>
      <c r="F209" s="38"/>
      <c r="G209" s="38"/>
      <c r="H209" s="38"/>
      <c r="I209" s="41"/>
      <c r="J209" s="41"/>
      <c r="K209" s="42"/>
      <c r="L209" s="38"/>
    </row>
    <row r="210" spans="1:12" ht="15" customHeight="1">
      <c r="A210" s="9"/>
      <c r="B210" s="43"/>
      <c r="C210" s="44" t="str">
        <f>IF(B210="","",CHOOSE(WEEKDAY(B210,2),"Mánudagur","Þriðjudagur","Miðvikudagur","Fimmtudagur","Föstudagur","Laugardagur","Sunnudagur"))</f>
        <v/>
      </c>
      <c r="D210" s="9"/>
      <c r="E210" s="9"/>
      <c r="F210" s="9"/>
      <c r="G210" s="9"/>
      <c r="H210" s="9"/>
      <c r="I210" s="24"/>
      <c r="J210" s="24"/>
      <c r="K210" s="42"/>
      <c r="L210" s="9"/>
    </row>
    <row r="211" spans="1:12" ht="15" customHeight="1">
      <c r="A211" s="38"/>
      <c r="B211" s="39"/>
      <c r="C211" s="40" t="str">
        <f>IF(B211="","",CHOOSE(WEEKDAY(B211,2),"Mánudagur","Þriðjudagur","Miðvikudagur","Fimmtudagur","Föstudagur","Laugardagur","Sunnudagur"))</f>
        <v/>
      </c>
      <c r="D211" s="38"/>
      <c r="E211" s="38"/>
      <c r="F211" s="38"/>
      <c r="G211" s="38"/>
      <c r="H211" s="38"/>
      <c r="I211" s="41"/>
      <c r="J211" s="41"/>
      <c r="K211" s="42"/>
      <c r="L211" s="38"/>
    </row>
    <row r="212" spans="1:12" ht="15" customHeight="1">
      <c r="A212" s="9"/>
      <c r="B212" s="43"/>
      <c r="C212" s="44" t="str">
        <f>IF(B212="","",CHOOSE(WEEKDAY(B212,2),"Mánudagur","Þriðjudagur","Miðvikudagur","Fimmtudagur","Föstudagur","Laugardagur","Sunnudagur"))</f>
        <v/>
      </c>
      <c r="D212" s="9"/>
      <c r="E212" s="9"/>
      <c r="F212" s="9"/>
      <c r="G212" s="9"/>
      <c r="H212" s="9"/>
      <c r="I212" s="24"/>
      <c r="J212" s="24"/>
      <c r="K212" s="42"/>
      <c r="L212" s="9"/>
    </row>
    <row r="213" spans="1:12" ht="15" customHeight="1">
      <c r="A213" s="38"/>
      <c r="B213" s="39"/>
      <c r="C213" s="40" t="str">
        <f>IF(B213="","",CHOOSE(WEEKDAY(B213,2),"Mánudagur","Þriðjudagur","Miðvikudagur","Fimmtudagur","Föstudagur","Laugardagur","Sunnudagur"))</f>
        <v/>
      </c>
      <c r="D213" s="38"/>
      <c r="E213" s="38"/>
      <c r="F213" s="38"/>
      <c r="G213" s="38"/>
      <c r="H213" s="38"/>
      <c r="I213" s="41"/>
      <c r="J213" s="41"/>
      <c r="K213" s="42"/>
      <c r="L213" s="38"/>
    </row>
    <row r="214" spans="1:12" ht="15" customHeight="1">
      <c r="A214" s="9"/>
      <c r="B214" s="43"/>
      <c r="C214" s="44" t="str">
        <f>IF(B214="","",CHOOSE(WEEKDAY(B214,2),"Mánudagur","Þriðjudagur","Miðvikudagur","Fimmtudagur","Föstudagur","Laugardagur","Sunnudagur"))</f>
        <v/>
      </c>
      <c r="D214" s="9"/>
      <c r="E214" s="9"/>
      <c r="F214" s="9"/>
      <c r="G214" s="9"/>
      <c r="H214" s="9"/>
      <c r="I214" s="24"/>
      <c r="J214" s="24"/>
      <c r="K214" s="42"/>
      <c r="L214" s="9"/>
    </row>
    <row r="215" spans="1:12" ht="15" customHeight="1">
      <c r="A215" s="38"/>
      <c r="B215" s="39"/>
      <c r="C215" s="40" t="str">
        <f>IF(B215="","",CHOOSE(WEEKDAY(B215,2),"Mánudagur","Þriðjudagur","Miðvikudagur","Fimmtudagur","Föstudagur","Laugardagur","Sunnudagur"))</f>
        <v/>
      </c>
      <c r="D215" s="38"/>
      <c r="E215" s="38"/>
      <c r="F215" s="38"/>
      <c r="G215" s="38"/>
      <c r="H215" s="38"/>
      <c r="I215" s="41"/>
      <c r="J215" s="41"/>
      <c r="K215" s="42"/>
      <c r="L215" s="38"/>
    </row>
    <row r="216" spans="1:12" ht="15" customHeight="1">
      <c r="A216" s="9"/>
      <c r="B216" s="43"/>
      <c r="C216" s="44" t="str">
        <f>IF(B216="","",CHOOSE(WEEKDAY(B216,2),"Mánudagur","Þriðjudagur","Miðvikudagur","Fimmtudagur","Föstudagur","Laugardagur","Sunnudagur"))</f>
        <v/>
      </c>
      <c r="D216" s="9"/>
      <c r="E216" s="9"/>
      <c r="F216" s="9"/>
      <c r="G216" s="9"/>
      <c r="H216" s="9"/>
      <c r="I216" s="24"/>
      <c r="J216" s="24"/>
      <c r="K216" s="42"/>
      <c r="L216" s="9"/>
    </row>
    <row r="217" spans="1:12" ht="15" customHeight="1">
      <c r="A217" s="38"/>
      <c r="B217" s="39"/>
      <c r="C217" s="40" t="str">
        <f>IF(B217="","",CHOOSE(WEEKDAY(B217,2),"Mánudagur","Þriðjudagur","Miðvikudagur","Fimmtudagur","Föstudagur","Laugardagur","Sunnudagur"))</f>
        <v/>
      </c>
      <c r="D217" s="38"/>
      <c r="E217" s="38"/>
      <c r="F217" s="38"/>
      <c r="G217" s="38"/>
      <c r="H217" s="38"/>
      <c r="I217" s="41"/>
      <c r="J217" s="41"/>
      <c r="K217" s="42"/>
      <c r="L217" s="38"/>
    </row>
    <row r="218" spans="1:12" ht="15" customHeight="1">
      <c r="A218" s="9"/>
      <c r="B218" s="43"/>
      <c r="C218" s="44" t="str">
        <f>IF(B218="","",CHOOSE(WEEKDAY(B218,2),"Mánudagur","Þriðjudagur","Miðvikudagur","Fimmtudagur","Föstudagur","Laugardagur","Sunnudagur"))</f>
        <v/>
      </c>
      <c r="D218" s="9"/>
      <c r="E218" s="9"/>
      <c r="F218" s="9"/>
      <c r="G218" s="9"/>
      <c r="H218" s="9"/>
      <c r="I218" s="24"/>
      <c r="J218" s="24"/>
      <c r="K218" s="42"/>
      <c r="L218" s="9"/>
    </row>
    <row r="219" spans="1:12" ht="15" customHeight="1">
      <c r="A219" s="38"/>
      <c r="B219" s="39"/>
      <c r="C219" s="40" t="str">
        <f>IF(B219="","",CHOOSE(WEEKDAY(B219,2),"Mánudagur","Þriðjudagur","Miðvikudagur","Fimmtudagur","Föstudagur","Laugardagur","Sunnudagur"))</f>
        <v/>
      </c>
      <c r="D219" s="38"/>
      <c r="E219" s="38"/>
      <c r="F219" s="38"/>
      <c r="G219" s="38"/>
      <c r="H219" s="38"/>
      <c r="I219" s="41"/>
      <c r="J219" s="41"/>
      <c r="K219" s="42"/>
      <c r="L219" s="38"/>
    </row>
    <row r="220" spans="1:12" ht="15" customHeight="1">
      <c r="A220" s="9"/>
      <c r="B220" s="43"/>
      <c r="C220" s="44" t="str">
        <f>IF(B220="","",CHOOSE(WEEKDAY(B220,2),"Mánudagur","Þriðjudagur","Miðvikudagur","Fimmtudagur","Föstudagur","Laugardagur","Sunnudagur"))</f>
        <v/>
      </c>
      <c r="D220" s="9"/>
      <c r="E220" s="9"/>
      <c r="F220" s="9"/>
      <c r="G220" s="9"/>
      <c r="H220" s="9"/>
      <c r="I220" s="24"/>
      <c r="J220" s="24"/>
      <c r="K220" s="42"/>
      <c r="L220" s="9"/>
    </row>
    <row r="221" spans="1:12" ht="15" customHeight="1">
      <c r="A221" s="38"/>
      <c r="B221" s="39"/>
      <c r="C221" s="40" t="str">
        <f>IF(B221="","",CHOOSE(WEEKDAY(B221,2),"Mánudagur","Þriðjudagur","Miðvikudagur","Fimmtudagur","Föstudagur","Laugardagur","Sunnudagur"))</f>
        <v/>
      </c>
      <c r="D221" s="38"/>
      <c r="E221" s="38"/>
      <c r="F221" s="38"/>
      <c r="G221" s="38"/>
      <c r="H221" s="38"/>
      <c r="I221" s="41"/>
      <c r="J221" s="41"/>
      <c r="K221" s="42"/>
      <c r="L221" s="38"/>
    </row>
    <row r="222" spans="1:12" ht="15" customHeight="1">
      <c r="A222" s="9"/>
      <c r="B222" s="43"/>
      <c r="C222" s="44" t="str">
        <f>IF(B222="","",CHOOSE(WEEKDAY(B222,2),"Mánudagur","Þriðjudagur","Miðvikudagur","Fimmtudagur","Föstudagur","Laugardagur","Sunnudagur"))</f>
        <v/>
      </c>
      <c r="D222" s="9"/>
      <c r="E222" s="9"/>
      <c r="F222" s="9"/>
      <c r="G222" s="9"/>
      <c r="H222" s="9"/>
      <c r="I222" s="24"/>
      <c r="J222" s="24"/>
      <c r="K222" s="42"/>
      <c r="L222" s="9"/>
    </row>
    <row r="223" spans="1:12" ht="15" customHeight="1">
      <c r="A223" s="38"/>
      <c r="B223" s="39"/>
      <c r="C223" s="40" t="str">
        <f>IF(B223="","",CHOOSE(WEEKDAY(B223,2),"Mánudagur","Þriðjudagur","Miðvikudagur","Fimmtudagur","Föstudagur","Laugardagur","Sunnudagur"))</f>
        <v/>
      </c>
      <c r="D223" s="38"/>
      <c r="E223" s="38"/>
      <c r="F223" s="38"/>
      <c r="G223" s="38"/>
      <c r="H223" s="38"/>
      <c r="I223" s="41"/>
      <c r="J223" s="41"/>
      <c r="K223" s="42"/>
      <c r="L223" s="38"/>
    </row>
    <row r="224" spans="1:12" ht="15" customHeight="1">
      <c r="A224" s="9"/>
      <c r="B224" s="43"/>
      <c r="C224" s="44" t="str">
        <f>IF(B224="","",CHOOSE(WEEKDAY(B224,2),"Mánudagur","Þriðjudagur","Miðvikudagur","Fimmtudagur","Föstudagur","Laugardagur","Sunnudagur"))</f>
        <v/>
      </c>
      <c r="D224" s="9"/>
      <c r="E224" s="9"/>
      <c r="F224" s="9"/>
      <c r="G224" s="9"/>
      <c r="H224" s="9"/>
      <c r="I224" s="24"/>
      <c r="J224" s="24"/>
      <c r="K224" s="42"/>
      <c r="L224" s="9"/>
    </row>
    <row r="225" spans="1:12" ht="15" customHeight="1">
      <c r="A225" s="38"/>
      <c r="B225" s="39"/>
      <c r="C225" s="40" t="str">
        <f>IF(B225="","",CHOOSE(WEEKDAY(B225,2),"Mánudagur","Þriðjudagur","Miðvikudagur","Fimmtudagur","Föstudagur","Laugardagur","Sunnudagur"))</f>
        <v/>
      </c>
      <c r="D225" s="38"/>
      <c r="E225" s="38"/>
      <c r="F225" s="38"/>
      <c r="G225" s="38"/>
      <c r="H225" s="38"/>
      <c r="I225" s="41"/>
      <c r="J225" s="41"/>
      <c r="K225" s="42"/>
      <c r="L225" s="38"/>
    </row>
    <row r="226" spans="1:12" ht="15" customHeight="1">
      <c r="A226" s="9"/>
      <c r="B226" s="43"/>
      <c r="C226" s="44" t="str">
        <f>IF(B226="","",CHOOSE(WEEKDAY(B226,2),"Mánudagur","Þriðjudagur","Miðvikudagur","Fimmtudagur","Föstudagur","Laugardagur","Sunnudagur"))</f>
        <v/>
      </c>
      <c r="D226" s="9"/>
      <c r="E226" s="9"/>
      <c r="F226" s="9"/>
      <c r="G226" s="9"/>
      <c r="H226" s="9"/>
      <c r="I226" s="24"/>
      <c r="J226" s="24"/>
      <c r="K226" s="42"/>
      <c r="L226" s="9"/>
    </row>
    <row r="227" spans="1:12" ht="15" customHeight="1">
      <c r="A227" s="38"/>
      <c r="B227" s="39"/>
      <c r="C227" s="40" t="str">
        <f>IF(B227="","",CHOOSE(WEEKDAY(B227,2),"Mánudagur","Þriðjudagur","Miðvikudagur","Fimmtudagur","Föstudagur","Laugardagur","Sunnudagur"))</f>
        <v/>
      </c>
      <c r="D227" s="38"/>
      <c r="E227" s="38"/>
      <c r="F227" s="38"/>
      <c r="G227" s="38"/>
      <c r="H227" s="38"/>
      <c r="I227" s="41"/>
      <c r="J227" s="41"/>
      <c r="K227" s="42"/>
      <c r="L227" s="38"/>
    </row>
    <row r="228" spans="1:12" ht="15" customHeight="1">
      <c r="A228" s="9"/>
      <c r="B228" s="43"/>
      <c r="C228" s="44" t="str">
        <f>IF(B228="","",CHOOSE(WEEKDAY(B228,2),"Mánudagur","Þriðjudagur","Miðvikudagur","Fimmtudagur","Föstudagur","Laugardagur","Sunnudagur"))</f>
        <v/>
      </c>
      <c r="D228" s="9"/>
      <c r="E228" s="9"/>
      <c r="F228" s="9"/>
      <c r="G228" s="9"/>
      <c r="H228" s="9"/>
      <c r="I228" s="24"/>
      <c r="J228" s="24"/>
      <c r="K228" s="42"/>
      <c r="L228" s="9"/>
    </row>
    <row r="229" spans="1:12" ht="15" customHeight="1">
      <c r="A229" s="38"/>
      <c r="B229" s="39"/>
      <c r="C229" s="40" t="str">
        <f>IF(B229="","",CHOOSE(WEEKDAY(B229,2),"Mánudagur","Þriðjudagur","Miðvikudagur","Fimmtudagur","Föstudagur","Laugardagur","Sunnudagur"))</f>
        <v/>
      </c>
      <c r="D229" s="38"/>
      <c r="E229" s="38"/>
      <c r="F229" s="38"/>
      <c r="G229" s="38"/>
      <c r="H229" s="38"/>
      <c r="I229" s="41"/>
      <c r="J229" s="41"/>
      <c r="K229" s="42"/>
      <c r="L229" s="38"/>
    </row>
    <row r="230" spans="1:12" ht="15" customHeight="1">
      <c r="A230" s="9"/>
      <c r="B230" s="43"/>
      <c r="C230" s="44" t="str">
        <f>IF(B230="","",CHOOSE(WEEKDAY(B230,2),"Mánudagur","Þriðjudagur","Miðvikudagur","Fimmtudagur","Föstudagur","Laugardagur","Sunnudagur"))</f>
        <v/>
      </c>
      <c r="D230" s="9"/>
      <c r="E230" s="9"/>
      <c r="F230" s="9"/>
      <c r="G230" s="9"/>
      <c r="H230" s="9"/>
      <c r="I230" s="24"/>
      <c r="J230" s="24"/>
      <c r="K230" s="42"/>
      <c r="L230" s="9"/>
    </row>
    <row r="231" spans="1:12" ht="15" customHeight="1">
      <c r="A231" s="38"/>
      <c r="B231" s="39"/>
      <c r="C231" s="40" t="str">
        <f>IF(B231="","",CHOOSE(WEEKDAY(B231,2),"Mánudagur","Þriðjudagur","Miðvikudagur","Fimmtudagur","Föstudagur","Laugardagur","Sunnudagur"))</f>
        <v/>
      </c>
      <c r="D231" s="38"/>
      <c r="E231" s="38"/>
      <c r="F231" s="38"/>
      <c r="G231" s="38"/>
      <c r="H231" s="38"/>
      <c r="I231" s="41"/>
      <c r="J231" s="41"/>
      <c r="K231" s="42"/>
      <c r="L231" s="38"/>
    </row>
    <row r="232" spans="1:12" ht="15" customHeight="1">
      <c r="A232" s="9"/>
      <c r="B232" s="43"/>
      <c r="C232" s="44" t="str">
        <f>IF(B232="","",CHOOSE(WEEKDAY(B232,2),"Mánudagur","Þriðjudagur","Miðvikudagur","Fimmtudagur","Föstudagur","Laugardagur","Sunnudagur"))</f>
        <v/>
      </c>
      <c r="D232" s="9"/>
      <c r="E232" s="9"/>
      <c r="F232" s="9"/>
      <c r="G232" s="9"/>
      <c r="H232" s="9"/>
      <c r="I232" s="24"/>
      <c r="J232" s="24"/>
      <c r="K232" s="42"/>
      <c r="L232" s="9"/>
    </row>
    <row r="233" spans="1:12" ht="15" customHeight="1">
      <c r="A233" s="38"/>
      <c r="B233" s="39"/>
      <c r="C233" s="40" t="str">
        <f>IF(B233="","",CHOOSE(WEEKDAY(B233,2),"Mánudagur","Þriðjudagur","Miðvikudagur","Fimmtudagur","Föstudagur","Laugardagur","Sunnudagur"))</f>
        <v/>
      </c>
      <c r="D233" s="38"/>
      <c r="E233" s="38"/>
      <c r="F233" s="38"/>
      <c r="G233" s="38"/>
      <c r="H233" s="38"/>
      <c r="I233" s="41"/>
      <c r="J233" s="41"/>
      <c r="K233" s="42"/>
      <c r="L233" s="38"/>
    </row>
    <row r="234" spans="1:12" ht="15" customHeight="1">
      <c r="A234" s="9"/>
      <c r="B234" s="43"/>
      <c r="C234" s="44" t="str">
        <f>IF(B234="","",CHOOSE(WEEKDAY(B234,2),"Mánudagur","Þriðjudagur","Miðvikudagur","Fimmtudagur","Föstudagur","Laugardagur","Sunnudagur"))</f>
        <v/>
      </c>
      <c r="D234" s="9"/>
      <c r="E234" s="9"/>
      <c r="F234" s="9"/>
      <c r="G234" s="9"/>
      <c r="H234" s="9"/>
      <c r="I234" s="24"/>
      <c r="J234" s="24"/>
      <c r="K234" s="42"/>
      <c r="L234" s="9"/>
    </row>
    <row r="235" spans="1:12" ht="15" customHeight="1">
      <c r="A235" s="38"/>
      <c r="B235" s="39"/>
      <c r="C235" s="40" t="str">
        <f>IF(B235="","",CHOOSE(WEEKDAY(B235,2),"Mánudagur","Þriðjudagur","Miðvikudagur","Fimmtudagur","Föstudagur","Laugardagur","Sunnudagur"))</f>
        <v/>
      </c>
      <c r="D235" s="38"/>
      <c r="E235" s="38"/>
      <c r="F235" s="38"/>
      <c r="G235" s="38"/>
      <c r="H235" s="38"/>
      <c r="I235" s="41"/>
      <c r="J235" s="41"/>
      <c r="K235" s="42"/>
      <c r="L235" s="38"/>
    </row>
    <row r="236" spans="1:12" ht="15" customHeight="1">
      <c r="A236" s="9"/>
      <c r="B236" s="43"/>
      <c r="C236" s="44" t="str">
        <f>IF(B236="","",CHOOSE(WEEKDAY(B236,2),"Mánudagur","Þriðjudagur","Miðvikudagur","Fimmtudagur","Föstudagur","Laugardagur","Sunnudagur"))</f>
        <v/>
      </c>
      <c r="D236" s="9"/>
      <c r="E236" s="9"/>
      <c r="F236" s="9"/>
      <c r="G236" s="9"/>
      <c r="H236" s="9"/>
      <c r="I236" s="24"/>
      <c r="J236" s="24"/>
      <c r="K236" s="42"/>
      <c r="L236" s="9"/>
    </row>
    <row r="237" spans="1:12" ht="15" customHeight="1">
      <c r="A237" s="38"/>
      <c r="B237" s="39"/>
      <c r="C237" s="40" t="str">
        <f>IF(B237="","",CHOOSE(WEEKDAY(B237,2),"Mánudagur","Þriðjudagur","Miðvikudagur","Fimmtudagur","Föstudagur","Laugardagur","Sunnudagur"))</f>
        <v/>
      </c>
      <c r="D237" s="38"/>
      <c r="E237" s="38"/>
      <c r="F237" s="38"/>
      <c r="G237" s="38"/>
      <c r="H237" s="38"/>
      <c r="I237" s="41"/>
      <c r="J237" s="41"/>
      <c r="K237" s="42"/>
      <c r="L237" s="38"/>
    </row>
    <row r="238" spans="1:12" ht="15" customHeight="1">
      <c r="A238" s="9"/>
      <c r="B238" s="43"/>
      <c r="C238" s="44" t="str">
        <f>IF(B238="","",CHOOSE(WEEKDAY(B238,2),"Mánudagur","Þriðjudagur","Miðvikudagur","Fimmtudagur","Föstudagur","Laugardagur","Sunnudagur"))</f>
        <v/>
      </c>
      <c r="D238" s="9"/>
      <c r="E238" s="9"/>
      <c r="F238" s="9"/>
      <c r="G238" s="9"/>
      <c r="H238" s="9"/>
      <c r="I238" s="24"/>
      <c r="J238" s="24"/>
      <c r="K238" s="42"/>
      <c r="L238" s="9"/>
    </row>
    <row r="239" spans="1:12" ht="15" customHeight="1">
      <c r="A239" s="38"/>
      <c r="B239" s="39"/>
      <c r="C239" s="40" t="str">
        <f>IF(B239="","",CHOOSE(WEEKDAY(B239,2),"Mánudagur","Þriðjudagur","Miðvikudagur","Fimmtudagur","Föstudagur","Laugardagur","Sunnudagur"))</f>
        <v/>
      </c>
      <c r="D239" s="38"/>
      <c r="E239" s="38"/>
      <c r="F239" s="38"/>
      <c r="G239" s="38"/>
      <c r="H239" s="38"/>
      <c r="I239" s="41"/>
      <c r="J239" s="41"/>
      <c r="K239" s="42"/>
      <c r="L239" s="38"/>
    </row>
    <row r="240" spans="1:12" ht="15" customHeight="1">
      <c r="A240" s="9"/>
      <c r="B240" s="43"/>
      <c r="C240" s="44" t="str">
        <f>IF(B240="","",CHOOSE(WEEKDAY(B240,2),"Mánudagur","Þriðjudagur","Miðvikudagur","Fimmtudagur","Föstudagur","Laugardagur","Sunnudagur"))</f>
        <v/>
      </c>
      <c r="D240" s="9"/>
      <c r="E240" s="9"/>
      <c r="F240" s="9"/>
      <c r="G240" s="9"/>
      <c r="H240" s="9"/>
      <c r="I240" s="24"/>
      <c r="J240" s="24"/>
      <c r="K240" s="42"/>
      <c r="L240" s="9"/>
    </row>
    <row r="241" spans="1:12" ht="15" customHeight="1">
      <c r="A241" s="38"/>
      <c r="B241" s="39"/>
      <c r="C241" s="40" t="str">
        <f>IF(B241="","",CHOOSE(WEEKDAY(B241,2),"Mánudagur","Þriðjudagur","Miðvikudagur","Fimmtudagur","Föstudagur","Laugardagur","Sunnudagur"))</f>
        <v/>
      </c>
      <c r="D241" s="38"/>
      <c r="E241" s="38"/>
      <c r="F241" s="38"/>
      <c r="G241" s="38"/>
      <c r="H241" s="38"/>
      <c r="I241" s="41"/>
      <c r="J241" s="41"/>
      <c r="K241" s="42"/>
      <c r="L241" s="38"/>
    </row>
    <row r="242" spans="1:12" ht="15" customHeight="1">
      <c r="A242" s="9"/>
      <c r="B242" s="43"/>
      <c r="C242" s="44" t="str">
        <f>IF(B242="","",CHOOSE(WEEKDAY(B242,2),"Mánudagur","Þriðjudagur","Miðvikudagur","Fimmtudagur","Föstudagur","Laugardagur","Sunnudagur"))</f>
        <v/>
      </c>
      <c r="D242" s="9"/>
      <c r="E242" s="9"/>
      <c r="F242" s="9"/>
      <c r="G242" s="9"/>
      <c r="H242" s="9"/>
      <c r="I242" s="24"/>
      <c r="J242" s="24"/>
      <c r="K242" s="42"/>
      <c r="L242" s="9"/>
    </row>
    <row r="243" spans="1:12" ht="15" customHeight="1">
      <c r="A243" s="38"/>
      <c r="B243" s="39"/>
      <c r="C243" s="40" t="str">
        <f>IF(B243="","",CHOOSE(WEEKDAY(B243,2),"Mánudagur","Þriðjudagur","Miðvikudagur","Fimmtudagur","Föstudagur","Laugardagur","Sunnudagur"))</f>
        <v/>
      </c>
      <c r="D243" s="38"/>
      <c r="E243" s="38"/>
      <c r="F243" s="38"/>
      <c r="G243" s="38"/>
      <c r="H243" s="38"/>
      <c r="I243" s="41"/>
      <c r="J243" s="41"/>
      <c r="K243" s="42"/>
      <c r="L243" s="38"/>
    </row>
    <row r="244" spans="1:12" ht="15" customHeight="1">
      <c r="A244" s="9"/>
      <c r="B244" s="43"/>
      <c r="C244" s="44" t="str">
        <f>IF(B244="","",CHOOSE(WEEKDAY(B244,2),"Mánudagur","Þriðjudagur","Miðvikudagur","Fimmtudagur","Föstudagur","Laugardagur","Sunnudagur"))</f>
        <v/>
      </c>
      <c r="D244" s="9"/>
      <c r="E244" s="9"/>
      <c r="F244" s="9"/>
      <c r="G244" s="9"/>
      <c r="H244" s="9"/>
      <c r="I244" s="24"/>
      <c r="J244" s="24"/>
      <c r="K244" s="42"/>
      <c r="L244" s="9"/>
    </row>
    <row r="245" spans="1:12" ht="15" customHeight="1">
      <c r="A245" s="38"/>
      <c r="B245" s="39"/>
      <c r="C245" s="40" t="str">
        <f>IF(B245="","",CHOOSE(WEEKDAY(B245,2),"Mánudagur","Þriðjudagur","Miðvikudagur","Fimmtudagur","Föstudagur","Laugardagur","Sunnudagur"))</f>
        <v/>
      </c>
      <c r="D245" s="38"/>
      <c r="E245" s="38"/>
      <c r="F245" s="38"/>
      <c r="G245" s="38"/>
      <c r="H245" s="38"/>
      <c r="I245" s="41"/>
      <c r="J245" s="41"/>
      <c r="K245" s="42"/>
      <c r="L245" s="38"/>
    </row>
    <row r="246" spans="1:12" ht="15" customHeight="1">
      <c r="A246" s="9"/>
      <c r="B246" s="43"/>
      <c r="C246" s="44" t="str">
        <f>IF(B246="","",CHOOSE(WEEKDAY(B246,2),"Mánudagur","Þriðjudagur","Miðvikudagur","Fimmtudagur","Föstudagur","Laugardagur","Sunnudagur"))</f>
        <v/>
      </c>
      <c r="D246" s="9"/>
      <c r="E246" s="9"/>
      <c r="F246" s="9"/>
      <c r="G246" s="9"/>
      <c r="H246" s="9"/>
      <c r="I246" s="24"/>
      <c r="J246" s="24"/>
      <c r="K246" s="42"/>
      <c r="L246" s="9"/>
    </row>
    <row r="247" spans="1:12" ht="15" customHeight="1">
      <c r="A247" s="38"/>
      <c r="B247" s="39"/>
      <c r="C247" s="40" t="str">
        <f>IF(B247="","",CHOOSE(WEEKDAY(B247,2),"Mánudagur","Þriðjudagur","Miðvikudagur","Fimmtudagur","Föstudagur","Laugardagur","Sunnudagur"))</f>
        <v/>
      </c>
      <c r="D247" s="38"/>
      <c r="E247" s="38"/>
      <c r="F247" s="38"/>
      <c r="G247" s="38"/>
      <c r="H247" s="38"/>
      <c r="I247" s="41"/>
      <c r="J247" s="41"/>
      <c r="K247" s="42"/>
      <c r="L247" s="38"/>
    </row>
    <row r="248" spans="1:12" ht="15" customHeight="1">
      <c r="A248" s="9"/>
      <c r="B248" s="43"/>
      <c r="C248" s="44" t="str">
        <f>IF(B248="","",CHOOSE(WEEKDAY(B248,2),"Mánudagur","Þriðjudagur","Miðvikudagur","Fimmtudagur","Föstudagur","Laugardagur","Sunnudagur"))</f>
        <v/>
      </c>
      <c r="D248" s="9"/>
      <c r="E248" s="9"/>
      <c r="F248" s="9"/>
      <c r="G248" s="9"/>
      <c r="H248" s="9"/>
      <c r="I248" s="24"/>
      <c r="J248" s="24"/>
      <c r="K248" s="42"/>
      <c r="L248" s="9"/>
    </row>
    <row r="249" spans="1:12" ht="15" customHeight="1">
      <c r="A249" s="38"/>
      <c r="B249" s="39"/>
      <c r="C249" s="40" t="str">
        <f>IF(B249="","",CHOOSE(WEEKDAY(B249,2),"Mánudagur","Þriðjudagur","Miðvikudagur","Fimmtudagur","Föstudagur","Laugardagur","Sunnudagur"))</f>
        <v/>
      </c>
      <c r="D249" s="38"/>
      <c r="E249" s="38"/>
      <c r="F249" s="38"/>
      <c r="G249" s="38"/>
      <c r="H249" s="38"/>
      <c r="I249" s="41"/>
      <c r="J249" s="41"/>
      <c r="K249" s="42"/>
      <c r="L249" s="38"/>
    </row>
    <row r="250" spans="1:12" ht="15" customHeight="1">
      <c r="A250" s="9"/>
      <c r="B250" s="43"/>
      <c r="C250" s="44" t="str">
        <f>IF(B250="","",CHOOSE(WEEKDAY(B250,2),"Mánudagur","Þriðjudagur","Miðvikudagur","Fimmtudagur","Föstudagur","Laugardagur","Sunnudagur"))</f>
        <v/>
      </c>
      <c r="D250" s="9"/>
      <c r="E250" s="9"/>
      <c r="F250" s="9"/>
      <c r="G250" s="9"/>
      <c r="H250" s="9"/>
      <c r="I250" s="24"/>
      <c r="J250" s="24"/>
      <c r="K250" s="42"/>
      <c r="L250" s="9"/>
    </row>
    <row r="251" spans="1:12" ht="15" customHeight="1">
      <c r="A251" s="38"/>
      <c r="B251" s="39"/>
      <c r="C251" s="40" t="str">
        <f>IF(B251="","",CHOOSE(WEEKDAY(B251,2),"Mánudagur","Þriðjudagur","Miðvikudagur","Fimmtudagur","Föstudagur","Laugardagur","Sunnudagur"))</f>
        <v/>
      </c>
      <c r="D251" s="38"/>
      <c r="E251" s="38"/>
      <c r="F251" s="38"/>
      <c r="G251" s="38"/>
      <c r="H251" s="38"/>
      <c r="I251" s="41"/>
      <c r="J251" s="41"/>
      <c r="K251" s="42"/>
      <c r="L251" s="38"/>
    </row>
    <row r="252" spans="1:12" ht="15" customHeight="1">
      <c r="A252" s="9"/>
      <c r="B252" s="43"/>
      <c r="C252" s="44" t="str">
        <f>IF(B252="","",CHOOSE(WEEKDAY(B252,2),"Mánudagur","Þriðjudagur","Miðvikudagur","Fimmtudagur","Föstudagur","Laugardagur","Sunnudagur"))</f>
        <v/>
      </c>
      <c r="D252" s="9"/>
      <c r="E252" s="9"/>
      <c r="F252" s="9"/>
      <c r="G252" s="9"/>
      <c r="H252" s="9"/>
      <c r="I252" s="24"/>
      <c r="J252" s="24"/>
      <c r="K252" s="42"/>
      <c r="L252" s="9"/>
    </row>
    <row r="253" spans="1:12" ht="15" customHeight="1">
      <c r="A253" s="38"/>
      <c r="B253" s="39"/>
      <c r="C253" s="40" t="str">
        <f>IF(B253="","",CHOOSE(WEEKDAY(B253,2),"Mánudagur","Þriðjudagur","Miðvikudagur","Fimmtudagur","Föstudagur","Laugardagur","Sunnudagur"))</f>
        <v/>
      </c>
      <c r="D253" s="38"/>
      <c r="E253" s="38"/>
      <c r="F253" s="38"/>
      <c r="G253" s="38"/>
      <c r="H253" s="38"/>
      <c r="I253" s="41"/>
      <c r="J253" s="41"/>
      <c r="K253" s="42"/>
      <c r="L253" s="38"/>
    </row>
    <row r="254" spans="1:12" ht="15" customHeight="1">
      <c r="A254" s="9"/>
      <c r="B254" s="43"/>
      <c r="C254" s="44" t="str">
        <f>IF(B254="","",CHOOSE(WEEKDAY(B254,2),"Mánudagur","Þriðjudagur","Miðvikudagur","Fimmtudagur","Föstudagur","Laugardagur","Sunnudagur"))</f>
        <v/>
      </c>
      <c r="D254" s="9"/>
      <c r="E254" s="9"/>
      <c r="F254" s="9"/>
      <c r="G254" s="9"/>
      <c r="H254" s="9"/>
      <c r="I254" s="24"/>
      <c r="J254" s="24"/>
      <c r="K254" s="42"/>
      <c r="L254" s="9"/>
    </row>
    <row r="255" spans="1:12" ht="15" customHeight="1">
      <c r="A255" s="38"/>
      <c r="B255" s="39"/>
      <c r="C255" s="40" t="str">
        <f>IF(B255="","",CHOOSE(WEEKDAY(B255,2),"Mánudagur","Þriðjudagur","Miðvikudagur","Fimmtudagur","Föstudagur","Laugardagur","Sunnudagur"))</f>
        <v/>
      </c>
      <c r="D255" s="38"/>
      <c r="E255" s="38"/>
      <c r="F255" s="38"/>
      <c r="G255" s="38"/>
      <c r="H255" s="38"/>
      <c r="I255" s="41"/>
      <c r="J255" s="41"/>
      <c r="K255" s="42"/>
      <c r="L255" s="38"/>
    </row>
    <row r="256" spans="1:12" ht="15" customHeight="1">
      <c r="A256" s="9"/>
      <c r="B256" s="43"/>
      <c r="C256" s="44" t="str">
        <f>IF(B256="","",CHOOSE(WEEKDAY(B256,2),"Mánudagur","Þriðjudagur","Miðvikudagur","Fimmtudagur","Föstudagur","Laugardagur","Sunnudagur"))</f>
        <v/>
      </c>
      <c r="D256" s="9"/>
      <c r="E256" s="9"/>
      <c r="F256" s="9"/>
      <c r="G256" s="9"/>
      <c r="H256" s="9"/>
      <c r="I256" s="24"/>
      <c r="J256" s="24"/>
      <c r="K256" s="42"/>
      <c r="L256" s="9"/>
    </row>
    <row r="257" spans="1:12" ht="15" customHeight="1">
      <c r="A257" s="38"/>
      <c r="B257" s="39"/>
      <c r="C257" s="40" t="str">
        <f>IF(B257="","",CHOOSE(WEEKDAY(B257,2),"Mánudagur","Þriðjudagur","Miðvikudagur","Fimmtudagur","Föstudagur","Laugardagur","Sunnudagur"))</f>
        <v/>
      </c>
      <c r="D257" s="38"/>
      <c r="E257" s="38"/>
      <c r="F257" s="38"/>
      <c r="G257" s="38"/>
      <c r="H257" s="38"/>
      <c r="I257" s="41"/>
      <c r="J257" s="41"/>
      <c r="K257" s="42"/>
      <c r="L257" s="38"/>
    </row>
    <row r="258" spans="1:12" ht="15" customHeight="1">
      <c r="A258" s="9"/>
      <c r="B258" s="43"/>
      <c r="C258" s="44" t="str">
        <f>IF(B258="","",CHOOSE(WEEKDAY(B258,2),"Mánudagur","Þriðjudagur","Miðvikudagur","Fimmtudagur","Föstudagur","Laugardagur","Sunnudagur"))</f>
        <v/>
      </c>
      <c r="D258" s="9"/>
      <c r="E258" s="9"/>
      <c r="F258" s="9"/>
      <c r="G258" s="9"/>
      <c r="H258" s="9"/>
      <c r="I258" s="24"/>
      <c r="J258" s="24"/>
      <c r="K258" s="42"/>
      <c r="L258" s="9"/>
    </row>
    <row r="259" spans="1:12" ht="15" customHeight="1">
      <c r="A259" s="38"/>
      <c r="B259" s="39"/>
      <c r="C259" s="40" t="str">
        <f>IF(B259="","",CHOOSE(WEEKDAY(B259,2),"Mánudagur","Þriðjudagur","Miðvikudagur","Fimmtudagur","Föstudagur","Laugardagur","Sunnudagur"))</f>
        <v/>
      </c>
      <c r="D259" s="38"/>
      <c r="E259" s="38"/>
      <c r="F259" s="38"/>
      <c r="G259" s="38"/>
      <c r="H259" s="38"/>
      <c r="I259" s="41"/>
      <c r="J259" s="41"/>
      <c r="K259" s="42"/>
      <c r="L259" s="38"/>
    </row>
    <row r="260" spans="1:12" ht="15" customHeight="1">
      <c r="A260" s="9"/>
      <c r="B260" s="43"/>
      <c r="C260" s="44" t="str">
        <f>IF(B260="","",CHOOSE(WEEKDAY(B260,2),"Mánudagur","Þriðjudagur","Miðvikudagur","Fimmtudagur","Föstudagur","Laugardagur","Sunnudagur"))</f>
        <v/>
      </c>
      <c r="D260" s="9"/>
      <c r="E260" s="9"/>
      <c r="F260" s="9"/>
      <c r="G260" s="9"/>
      <c r="H260" s="9"/>
      <c r="I260" s="24"/>
      <c r="J260" s="24"/>
      <c r="K260" s="42"/>
      <c r="L260" s="9"/>
    </row>
    <row r="261" spans="1:12" ht="15" customHeight="1">
      <c r="A261" s="38"/>
      <c r="B261" s="39"/>
      <c r="C261" s="40" t="str">
        <f>IF(B261="","",CHOOSE(WEEKDAY(B261,2),"Mánudagur","Þriðjudagur","Miðvikudagur","Fimmtudagur","Föstudagur","Laugardagur","Sunnudagur"))</f>
        <v/>
      </c>
      <c r="D261" s="38"/>
      <c r="E261" s="38"/>
      <c r="F261" s="38"/>
      <c r="G261" s="38"/>
      <c r="H261" s="38"/>
      <c r="I261" s="41"/>
      <c r="J261" s="41"/>
      <c r="K261" s="42"/>
      <c r="L261" s="38"/>
    </row>
    <row r="262" spans="1:12" ht="15" customHeight="1">
      <c r="A262" s="9"/>
      <c r="B262" s="43"/>
      <c r="C262" s="44" t="str">
        <f>IF(B262="","",CHOOSE(WEEKDAY(B262,2),"Mánudagur","Þriðjudagur","Miðvikudagur","Fimmtudagur","Föstudagur","Laugardagur","Sunnudagur"))</f>
        <v/>
      </c>
      <c r="D262" s="9"/>
      <c r="E262" s="9"/>
      <c r="F262" s="9"/>
      <c r="G262" s="9"/>
      <c r="H262" s="9"/>
      <c r="I262" s="24"/>
      <c r="J262" s="24"/>
      <c r="K262" s="42"/>
      <c r="L262" s="9"/>
    </row>
    <row r="263" spans="1:12" ht="15" customHeight="1">
      <c r="A263" s="38"/>
      <c r="B263" s="39"/>
      <c r="C263" s="40" t="str">
        <f>IF(B263="","",CHOOSE(WEEKDAY(B263,2),"Mánudagur","Þriðjudagur","Miðvikudagur","Fimmtudagur","Föstudagur","Laugardagur","Sunnudagur"))</f>
        <v/>
      </c>
      <c r="D263" s="38"/>
      <c r="E263" s="38"/>
      <c r="F263" s="38"/>
      <c r="G263" s="38"/>
      <c r="H263" s="38"/>
      <c r="I263" s="41"/>
      <c r="J263" s="41"/>
      <c r="K263" s="42"/>
      <c r="L263" s="38"/>
    </row>
    <row r="264" spans="1:12" ht="15" customHeight="1">
      <c r="A264" s="9"/>
      <c r="B264" s="43"/>
      <c r="C264" s="44" t="str">
        <f>IF(B264="","",CHOOSE(WEEKDAY(B264,2),"Mánudagur","Þriðjudagur","Miðvikudagur","Fimmtudagur","Föstudagur","Laugardagur","Sunnudagur"))</f>
        <v/>
      </c>
      <c r="D264" s="9"/>
      <c r="E264" s="9"/>
      <c r="F264" s="9"/>
      <c r="G264" s="9"/>
      <c r="H264" s="9"/>
      <c r="I264" s="24"/>
      <c r="J264" s="24"/>
      <c r="K264" s="42"/>
      <c r="L264" s="9"/>
    </row>
    <row r="265" spans="1:12" ht="15" customHeight="1">
      <c r="A265" s="38"/>
      <c r="B265" s="39"/>
      <c r="C265" s="40" t="str">
        <f>IF(B265="","",CHOOSE(WEEKDAY(B265,2),"Mánudagur","Þriðjudagur","Miðvikudagur","Fimmtudagur","Föstudagur","Laugardagur","Sunnudagur"))</f>
        <v/>
      </c>
      <c r="D265" s="38"/>
      <c r="E265" s="38"/>
      <c r="F265" s="38"/>
      <c r="G265" s="38"/>
      <c r="H265" s="38"/>
      <c r="I265" s="41"/>
      <c r="J265" s="41"/>
      <c r="K265" s="42"/>
      <c r="L265" s="38"/>
    </row>
    <row r="266" spans="1:12" ht="15" customHeight="1">
      <c r="A266" s="9"/>
      <c r="B266" s="43"/>
      <c r="C266" s="44" t="str">
        <f>IF(B266="","",CHOOSE(WEEKDAY(B266,2),"Mánudagur","Þriðjudagur","Miðvikudagur","Fimmtudagur","Föstudagur","Laugardagur","Sunnudagur"))</f>
        <v/>
      </c>
      <c r="D266" s="9"/>
      <c r="E266" s="9"/>
      <c r="F266" s="9"/>
      <c r="G266" s="9"/>
      <c r="H266" s="9"/>
      <c r="I266" s="24"/>
      <c r="J266" s="24"/>
      <c r="K266" s="42"/>
      <c r="L266" s="9"/>
    </row>
    <row r="267" spans="1:12" ht="15" customHeight="1">
      <c r="A267" s="38"/>
      <c r="B267" s="39"/>
      <c r="C267" s="40" t="str">
        <f>IF(B267="","",CHOOSE(WEEKDAY(B267,2),"Mánudagur","Þriðjudagur","Miðvikudagur","Fimmtudagur","Föstudagur","Laugardagur","Sunnudagur"))</f>
        <v/>
      </c>
      <c r="D267" s="38"/>
      <c r="E267" s="38"/>
      <c r="F267" s="38"/>
      <c r="G267" s="38"/>
      <c r="H267" s="38"/>
      <c r="I267" s="41"/>
      <c r="J267" s="41"/>
      <c r="K267" s="42"/>
      <c r="L267" s="38"/>
    </row>
    <row r="268" spans="1:12" ht="15" customHeight="1">
      <c r="A268" s="9"/>
      <c r="B268" s="43"/>
      <c r="C268" s="44" t="str">
        <f>IF(B268="","",CHOOSE(WEEKDAY(B268,2),"Mánudagur","Þriðjudagur","Miðvikudagur","Fimmtudagur","Föstudagur","Laugardagur","Sunnudagur"))</f>
        <v/>
      </c>
      <c r="D268" s="9"/>
      <c r="E268" s="9"/>
      <c r="F268" s="9"/>
      <c r="G268" s="9"/>
      <c r="H268" s="9"/>
      <c r="I268" s="24"/>
      <c r="J268" s="24"/>
      <c r="K268" s="42"/>
      <c r="L268" s="9"/>
    </row>
    <row r="269" spans="1:12" ht="15" customHeight="1">
      <c r="A269" s="38"/>
      <c r="B269" s="39"/>
      <c r="C269" s="40" t="str">
        <f>IF(B269="","",CHOOSE(WEEKDAY(B269,2),"Mánudagur","Þriðjudagur","Miðvikudagur","Fimmtudagur","Föstudagur","Laugardagur","Sunnudagur"))</f>
        <v/>
      </c>
      <c r="D269" s="38"/>
      <c r="E269" s="38"/>
      <c r="F269" s="38"/>
      <c r="G269" s="38"/>
      <c r="H269" s="38"/>
      <c r="I269" s="41"/>
      <c r="J269" s="41"/>
      <c r="K269" s="42"/>
      <c r="L269" s="38"/>
    </row>
    <row r="270" spans="1:12" ht="15" customHeight="1">
      <c r="A270" s="9"/>
      <c r="B270" s="43"/>
      <c r="C270" s="44" t="str">
        <f>IF(B270="","",CHOOSE(WEEKDAY(B270,2),"Mánudagur","Þriðjudagur","Miðvikudagur","Fimmtudagur","Föstudagur","Laugardagur","Sunnudagur"))</f>
        <v/>
      </c>
      <c r="D270" s="9"/>
      <c r="E270" s="9"/>
      <c r="F270" s="9"/>
      <c r="G270" s="9"/>
      <c r="H270" s="9"/>
      <c r="I270" s="24"/>
      <c r="J270" s="24"/>
      <c r="K270" s="42"/>
      <c r="L270" s="9"/>
    </row>
    <row r="271" spans="1:12" ht="15" customHeight="1">
      <c r="A271" s="38"/>
      <c r="B271" s="39"/>
      <c r="C271" s="40" t="str">
        <f>IF(B271="","",CHOOSE(WEEKDAY(B271,2),"Mánudagur","Þriðjudagur","Miðvikudagur","Fimmtudagur","Föstudagur","Laugardagur","Sunnudagur"))</f>
        <v/>
      </c>
      <c r="D271" s="38"/>
      <c r="E271" s="38"/>
      <c r="F271" s="38"/>
      <c r="G271" s="38"/>
      <c r="H271" s="38"/>
      <c r="I271" s="41"/>
      <c r="J271" s="41"/>
      <c r="K271" s="42"/>
      <c r="L271" s="38"/>
    </row>
    <row r="272" spans="1:12" ht="15" customHeight="1">
      <c r="A272" s="9"/>
      <c r="B272" s="43"/>
      <c r="C272" s="44" t="str">
        <f>IF(B272="","",CHOOSE(WEEKDAY(B272,2),"Mánudagur","Þriðjudagur","Miðvikudagur","Fimmtudagur","Föstudagur","Laugardagur","Sunnudagur"))</f>
        <v/>
      </c>
      <c r="D272" s="9"/>
      <c r="E272" s="9"/>
      <c r="F272" s="9"/>
      <c r="G272" s="9"/>
      <c r="H272" s="9"/>
      <c r="I272" s="24"/>
      <c r="J272" s="24"/>
      <c r="K272" s="42"/>
      <c r="L272" s="9"/>
    </row>
    <row r="273" spans="1:12" ht="15" customHeight="1">
      <c r="A273" s="38"/>
      <c r="B273" s="39"/>
      <c r="C273" s="40" t="str">
        <f>IF(B273="","",CHOOSE(WEEKDAY(B273,2),"Mánudagur","Þriðjudagur","Miðvikudagur","Fimmtudagur","Föstudagur","Laugardagur","Sunnudagur"))</f>
        <v/>
      </c>
      <c r="D273" s="38"/>
      <c r="E273" s="38"/>
      <c r="F273" s="38"/>
      <c r="G273" s="38"/>
      <c r="H273" s="38"/>
      <c r="I273" s="41"/>
      <c r="J273" s="41"/>
      <c r="K273" s="42"/>
      <c r="L273" s="38"/>
    </row>
    <row r="274" spans="1:12" ht="15" customHeight="1">
      <c r="A274" s="9"/>
      <c r="B274" s="43"/>
      <c r="C274" s="44" t="str">
        <f>IF(B274="","",CHOOSE(WEEKDAY(B274,2),"Mánudagur","Þriðjudagur","Miðvikudagur","Fimmtudagur","Föstudagur","Laugardagur","Sunnudagur"))</f>
        <v/>
      </c>
      <c r="D274" s="9"/>
      <c r="E274" s="9"/>
      <c r="F274" s="9"/>
      <c r="G274" s="9"/>
      <c r="H274" s="9"/>
      <c r="I274" s="24"/>
      <c r="J274" s="24"/>
      <c r="K274" s="42"/>
      <c r="L274" s="9"/>
    </row>
    <row r="275" spans="1:12" ht="15" customHeight="1">
      <c r="A275" s="38"/>
      <c r="B275" s="39"/>
      <c r="C275" s="40" t="str">
        <f>IF(B275="","",CHOOSE(WEEKDAY(B275,2),"Mánudagur","Þriðjudagur","Miðvikudagur","Fimmtudagur","Föstudagur","Laugardagur","Sunnudagur"))</f>
        <v/>
      </c>
      <c r="D275" s="38"/>
      <c r="E275" s="38"/>
      <c r="F275" s="38"/>
      <c r="G275" s="38"/>
      <c r="H275" s="38"/>
      <c r="I275" s="41"/>
      <c r="J275" s="41"/>
      <c r="K275" s="42"/>
      <c r="L275" s="38"/>
    </row>
    <row r="276" spans="1:12" ht="15" customHeight="1">
      <c r="A276" s="9"/>
      <c r="B276" s="43"/>
      <c r="C276" s="44" t="str">
        <f>IF(B276="","",CHOOSE(WEEKDAY(B276,2),"Mánudagur","Þriðjudagur","Miðvikudagur","Fimmtudagur","Föstudagur","Laugardagur","Sunnudagur"))</f>
        <v/>
      </c>
      <c r="D276" s="9"/>
      <c r="E276" s="9"/>
      <c r="F276" s="9"/>
      <c r="G276" s="9"/>
      <c r="H276" s="9"/>
      <c r="I276" s="24"/>
      <c r="J276" s="24"/>
      <c r="K276" s="42"/>
      <c r="L276" s="9"/>
    </row>
    <row r="277" spans="1:12" ht="15" customHeight="1">
      <c r="A277" s="38"/>
      <c r="B277" s="39"/>
      <c r="C277" s="40" t="str">
        <f>IF(B277="","",CHOOSE(WEEKDAY(B277,2),"Mánudagur","Þriðjudagur","Miðvikudagur","Fimmtudagur","Föstudagur","Laugardagur","Sunnudagur"))</f>
        <v/>
      </c>
      <c r="D277" s="38"/>
      <c r="E277" s="38"/>
      <c r="F277" s="38"/>
      <c r="G277" s="38"/>
      <c r="H277" s="38"/>
      <c r="I277" s="41"/>
      <c r="J277" s="41"/>
      <c r="K277" s="42"/>
      <c r="L277" s="38"/>
    </row>
    <row r="278" spans="1:12" ht="15" customHeight="1">
      <c r="A278" s="9"/>
      <c r="B278" s="43"/>
      <c r="C278" s="44" t="str">
        <f>IF(B278="","",CHOOSE(WEEKDAY(B278,2),"Mánudagur","Þriðjudagur","Miðvikudagur","Fimmtudagur","Föstudagur","Laugardagur","Sunnudagur"))</f>
        <v/>
      </c>
      <c r="D278" s="9"/>
      <c r="E278" s="9"/>
      <c r="F278" s="9"/>
      <c r="G278" s="9"/>
      <c r="H278" s="9"/>
      <c r="I278" s="24"/>
      <c r="J278" s="24"/>
      <c r="K278" s="42"/>
      <c r="L278" s="9"/>
    </row>
    <row r="279" spans="1:12" ht="15" customHeight="1">
      <c r="A279" s="38"/>
      <c r="B279" s="39"/>
      <c r="C279" s="40" t="str">
        <f>IF(B279="","",CHOOSE(WEEKDAY(B279,2),"Mánudagur","Þriðjudagur","Miðvikudagur","Fimmtudagur","Föstudagur","Laugardagur","Sunnudagur"))</f>
        <v/>
      </c>
      <c r="D279" s="38"/>
      <c r="E279" s="38"/>
      <c r="F279" s="38"/>
      <c r="G279" s="38"/>
      <c r="H279" s="38"/>
      <c r="I279" s="41"/>
      <c r="J279" s="41"/>
      <c r="K279" s="42"/>
      <c r="L279" s="38"/>
    </row>
    <row r="280" spans="1:12" ht="15" customHeight="1">
      <c r="A280" s="9"/>
      <c r="B280" s="43"/>
      <c r="C280" s="44" t="str">
        <f>IF(B280="","",CHOOSE(WEEKDAY(B280,2),"Mánudagur","Þriðjudagur","Miðvikudagur","Fimmtudagur","Föstudagur","Laugardagur","Sunnudagur"))</f>
        <v/>
      </c>
      <c r="D280" s="9"/>
      <c r="E280" s="9"/>
      <c r="F280" s="9"/>
      <c r="G280" s="9"/>
      <c r="H280" s="9"/>
      <c r="I280" s="24"/>
      <c r="J280" s="24"/>
      <c r="K280" s="42"/>
      <c r="L280" s="9"/>
    </row>
    <row r="281" spans="1:12" ht="15" customHeight="1">
      <c r="A281" s="38"/>
      <c r="B281" s="39"/>
      <c r="C281" s="40" t="str">
        <f>IF(B281="","",CHOOSE(WEEKDAY(B281,2),"Mánudagur","Þriðjudagur","Miðvikudagur","Fimmtudagur","Föstudagur","Laugardagur","Sunnudagur"))</f>
        <v/>
      </c>
      <c r="D281" s="38"/>
      <c r="E281" s="38"/>
      <c r="F281" s="38"/>
      <c r="G281" s="38"/>
      <c r="H281" s="38"/>
      <c r="I281" s="41"/>
      <c r="J281" s="41"/>
      <c r="K281" s="42"/>
      <c r="L281" s="38"/>
    </row>
    <row r="282" spans="1:12" ht="15" customHeight="1">
      <c r="A282" s="9"/>
      <c r="B282" s="43"/>
      <c r="C282" s="44" t="str">
        <f>IF(B282="","",CHOOSE(WEEKDAY(B282,2),"Mánudagur","Þriðjudagur","Miðvikudagur","Fimmtudagur","Föstudagur","Laugardagur","Sunnudagur"))</f>
        <v/>
      </c>
      <c r="D282" s="9"/>
      <c r="E282" s="9"/>
      <c r="F282" s="9"/>
      <c r="G282" s="9"/>
      <c r="H282" s="9"/>
      <c r="I282" s="24"/>
      <c r="J282" s="24"/>
      <c r="K282" s="42"/>
      <c r="L282" s="9"/>
    </row>
    <row r="283" spans="1:12" ht="15" customHeight="1">
      <c r="A283" s="38"/>
      <c r="B283" s="39"/>
      <c r="C283" s="40" t="str">
        <f>IF(B283="","",CHOOSE(WEEKDAY(B283,2),"Mánudagur","Þriðjudagur","Miðvikudagur","Fimmtudagur","Föstudagur","Laugardagur","Sunnudagur"))</f>
        <v/>
      </c>
      <c r="D283" s="38"/>
      <c r="E283" s="38"/>
      <c r="F283" s="38"/>
      <c r="G283" s="38"/>
      <c r="H283" s="38"/>
      <c r="I283" s="41"/>
      <c r="J283" s="41"/>
      <c r="K283" s="42"/>
      <c r="L283" s="38"/>
    </row>
    <row r="284" spans="1:12" ht="15" customHeight="1">
      <c r="A284" s="9"/>
      <c r="B284" s="43"/>
      <c r="C284" s="44" t="str">
        <f>IF(B284="","",CHOOSE(WEEKDAY(B284,2),"Mánudagur","Þriðjudagur","Miðvikudagur","Fimmtudagur","Föstudagur","Laugardagur","Sunnudagur"))</f>
        <v/>
      </c>
      <c r="D284" s="9"/>
      <c r="E284" s="9"/>
      <c r="F284" s="9"/>
      <c r="G284" s="9"/>
      <c r="H284" s="9"/>
      <c r="I284" s="24"/>
      <c r="J284" s="24"/>
      <c r="K284" s="42"/>
      <c r="L284" s="9"/>
    </row>
    <row r="285" spans="1:12" ht="15" customHeight="1">
      <c r="A285" s="38"/>
      <c r="B285" s="39"/>
      <c r="C285" s="40" t="str">
        <f>IF(B285="","",CHOOSE(WEEKDAY(B285,2),"Mánudagur","Þriðjudagur","Miðvikudagur","Fimmtudagur","Föstudagur","Laugardagur","Sunnudagur"))</f>
        <v/>
      </c>
      <c r="D285" s="38"/>
      <c r="E285" s="38"/>
      <c r="F285" s="38"/>
      <c r="G285" s="38"/>
      <c r="H285" s="38"/>
      <c r="I285" s="41"/>
      <c r="J285" s="41"/>
      <c r="K285" s="42"/>
      <c r="L285" s="38"/>
    </row>
    <row r="286" spans="1:12" ht="15" customHeight="1">
      <c r="A286" s="9"/>
      <c r="B286" s="43"/>
      <c r="C286" s="44" t="str">
        <f>IF(B286="","",CHOOSE(WEEKDAY(B286,2),"Mánudagur","Þriðjudagur","Miðvikudagur","Fimmtudagur","Föstudagur","Laugardagur","Sunnudagur"))</f>
        <v/>
      </c>
      <c r="D286" s="9"/>
      <c r="E286" s="9"/>
      <c r="F286" s="9"/>
      <c r="G286" s="9"/>
      <c r="H286" s="9"/>
      <c r="I286" s="24"/>
      <c r="J286" s="24"/>
      <c r="K286" s="42"/>
      <c r="L286" s="9"/>
    </row>
    <row r="287" spans="1:12" ht="15" customHeight="1">
      <c r="A287" s="38"/>
      <c r="B287" s="39"/>
      <c r="C287" s="40" t="str">
        <f>IF(B287="","",CHOOSE(WEEKDAY(B287,2),"Mánudagur","Þriðjudagur","Miðvikudagur","Fimmtudagur","Föstudagur","Laugardagur","Sunnudagur"))</f>
        <v/>
      </c>
      <c r="D287" s="38"/>
      <c r="E287" s="38"/>
      <c r="F287" s="38"/>
      <c r="G287" s="38"/>
      <c r="H287" s="38"/>
      <c r="I287" s="41"/>
      <c r="J287" s="41"/>
      <c r="K287" s="42"/>
      <c r="L287" s="38"/>
    </row>
    <row r="288" spans="1:12" ht="15" customHeight="1">
      <c r="A288" s="9"/>
      <c r="B288" s="43"/>
      <c r="C288" s="44" t="str">
        <f>IF(B288="","",CHOOSE(WEEKDAY(B288,2),"Mánudagur","Þriðjudagur","Miðvikudagur","Fimmtudagur","Föstudagur","Laugardagur","Sunnudagur"))</f>
        <v/>
      </c>
      <c r="D288" s="9"/>
      <c r="E288" s="9"/>
      <c r="F288" s="9"/>
      <c r="G288" s="9"/>
      <c r="H288" s="9"/>
      <c r="I288" s="24"/>
      <c r="J288" s="24"/>
      <c r="K288" s="42"/>
      <c r="L288" s="9"/>
    </row>
    <row r="289" spans="1:12" ht="15" customHeight="1">
      <c r="A289" s="38"/>
      <c r="B289" s="39"/>
      <c r="C289" s="40" t="str">
        <f>IF(B289="","",CHOOSE(WEEKDAY(B289,2),"Mánudagur","Þriðjudagur","Miðvikudagur","Fimmtudagur","Föstudagur","Laugardagur","Sunnudagur"))</f>
        <v/>
      </c>
      <c r="D289" s="38"/>
      <c r="E289" s="38"/>
      <c r="F289" s="38"/>
      <c r="G289" s="38"/>
      <c r="H289" s="38"/>
      <c r="I289" s="41"/>
      <c r="J289" s="41"/>
      <c r="K289" s="42"/>
      <c r="L289" s="38"/>
    </row>
    <row r="290" spans="1:12" ht="15" customHeight="1">
      <c r="A290" s="9"/>
      <c r="B290" s="43"/>
      <c r="C290" s="44" t="str">
        <f>IF(B290="","",CHOOSE(WEEKDAY(B290,2),"Mánudagur","Þriðjudagur","Miðvikudagur","Fimmtudagur","Föstudagur","Laugardagur","Sunnudagur"))</f>
        <v/>
      </c>
      <c r="D290" s="9"/>
      <c r="E290" s="9"/>
      <c r="F290" s="9"/>
      <c r="G290" s="9"/>
      <c r="H290" s="9"/>
      <c r="I290" s="24"/>
      <c r="J290" s="24"/>
      <c r="K290" s="42"/>
      <c r="L290" s="9"/>
    </row>
    <row r="291" spans="1:12" ht="15" customHeight="1">
      <c r="A291" s="38"/>
      <c r="B291" s="39"/>
      <c r="C291" s="40" t="str">
        <f>IF(B291="","",CHOOSE(WEEKDAY(B291,2),"Mánudagur","Þriðjudagur","Miðvikudagur","Fimmtudagur","Föstudagur","Laugardagur","Sunnudagur"))</f>
        <v/>
      </c>
      <c r="D291" s="38"/>
      <c r="E291" s="38"/>
      <c r="F291" s="38"/>
      <c r="G291" s="38"/>
      <c r="H291" s="38"/>
      <c r="I291" s="41"/>
      <c r="J291" s="41"/>
      <c r="K291" s="42"/>
      <c r="L291" s="38"/>
    </row>
    <row r="292" spans="1:12" ht="15" customHeight="1">
      <c r="A292" s="9"/>
      <c r="B292" s="43"/>
      <c r="C292" s="44" t="str">
        <f>IF(B292="","",CHOOSE(WEEKDAY(B292,2),"Mánudagur","Þriðjudagur","Miðvikudagur","Fimmtudagur","Föstudagur","Laugardagur","Sunnudagur"))</f>
        <v/>
      </c>
      <c r="D292" s="9"/>
      <c r="E292" s="9"/>
      <c r="F292" s="9"/>
      <c r="G292" s="9"/>
      <c r="H292" s="9"/>
      <c r="I292" s="24"/>
      <c r="J292" s="24"/>
      <c r="K292" s="42"/>
      <c r="L292" s="9"/>
    </row>
    <row r="293" spans="1:12" ht="15" customHeight="1">
      <c r="A293" s="38"/>
      <c r="B293" s="39"/>
      <c r="C293" s="40" t="str">
        <f>IF(B293="","",CHOOSE(WEEKDAY(B293,2),"Mánudagur","Þriðjudagur","Miðvikudagur","Fimmtudagur","Föstudagur","Laugardagur","Sunnudagur"))</f>
        <v/>
      </c>
      <c r="D293" s="38"/>
      <c r="E293" s="38"/>
      <c r="F293" s="38"/>
      <c r="G293" s="38"/>
      <c r="H293" s="38"/>
      <c r="I293" s="41"/>
      <c r="J293" s="41"/>
      <c r="K293" s="42"/>
      <c r="L293" s="38"/>
    </row>
    <row r="294" spans="1:12" ht="15" customHeight="1">
      <c r="A294" s="9"/>
      <c r="B294" s="43"/>
      <c r="C294" s="44" t="str">
        <f>IF(B294="","",CHOOSE(WEEKDAY(B294,2),"Mánudagur","Þriðjudagur","Miðvikudagur","Fimmtudagur","Föstudagur","Laugardagur","Sunnudagur"))</f>
        <v/>
      </c>
      <c r="D294" s="9"/>
      <c r="E294" s="9"/>
      <c r="F294" s="9"/>
      <c r="G294" s="9"/>
      <c r="H294" s="9"/>
      <c r="I294" s="24"/>
      <c r="J294" s="24"/>
      <c r="K294" s="42"/>
      <c r="L294" s="9"/>
    </row>
    <row r="295" spans="1:12" ht="15" customHeight="1">
      <c r="A295" s="38"/>
      <c r="B295" s="39"/>
      <c r="C295" s="40" t="str">
        <f>IF(B295="","",CHOOSE(WEEKDAY(B295,2),"Mánudagur","Þriðjudagur","Miðvikudagur","Fimmtudagur","Föstudagur","Laugardagur","Sunnudagur"))</f>
        <v/>
      </c>
      <c r="D295" s="38"/>
      <c r="E295" s="38"/>
      <c r="F295" s="38"/>
      <c r="G295" s="38"/>
      <c r="H295" s="38"/>
      <c r="I295" s="41"/>
      <c r="J295" s="41"/>
      <c r="K295" s="42"/>
      <c r="L295" s="38"/>
    </row>
    <row r="296" spans="1:12" ht="15" customHeight="1">
      <c r="A296" s="9"/>
      <c r="B296" s="43"/>
      <c r="C296" s="44" t="str">
        <f>IF(B296="","",CHOOSE(WEEKDAY(B296,2),"Mánudagur","Þriðjudagur","Miðvikudagur","Fimmtudagur","Föstudagur","Laugardagur","Sunnudagur"))</f>
        <v/>
      </c>
      <c r="D296" s="9"/>
      <c r="E296" s="9"/>
      <c r="F296" s="9"/>
      <c r="G296" s="9"/>
      <c r="H296" s="9"/>
      <c r="I296" s="24"/>
      <c r="J296" s="24"/>
      <c r="K296" s="42"/>
      <c r="L296" s="9"/>
    </row>
    <row r="297" spans="1:12" ht="15" customHeight="1">
      <c r="A297" s="38"/>
      <c r="B297" s="39"/>
      <c r="C297" s="40" t="str">
        <f>IF(B297="","",CHOOSE(WEEKDAY(B297,2),"Mánudagur","Þriðjudagur","Miðvikudagur","Fimmtudagur","Föstudagur","Laugardagur","Sunnudagur"))</f>
        <v/>
      </c>
      <c r="D297" s="38"/>
      <c r="E297" s="38"/>
      <c r="F297" s="38"/>
      <c r="G297" s="38"/>
      <c r="H297" s="38"/>
      <c r="I297" s="41"/>
      <c r="J297" s="41"/>
      <c r="K297" s="42"/>
      <c r="L297" s="38"/>
    </row>
    <row r="298" spans="1:12" ht="15" customHeight="1">
      <c r="A298" s="9"/>
      <c r="B298" s="43"/>
      <c r="C298" s="44" t="str">
        <f>IF(B298="","",CHOOSE(WEEKDAY(B298,2),"Mánudagur","Þriðjudagur","Miðvikudagur","Fimmtudagur","Föstudagur","Laugardagur","Sunnudagur"))</f>
        <v/>
      </c>
      <c r="D298" s="9"/>
      <c r="E298" s="9"/>
      <c r="F298" s="9"/>
      <c r="G298" s="9"/>
      <c r="H298" s="9"/>
      <c r="I298" s="24"/>
      <c r="J298" s="24"/>
      <c r="K298" s="42"/>
      <c r="L298" s="9"/>
    </row>
    <row r="299" spans="1:12" ht="15" customHeight="1">
      <c r="A299" s="38"/>
      <c r="B299" s="39"/>
      <c r="C299" s="40" t="str">
        <f>IF(B299="","",CHOOSE(WEEKDAY(B299,2),"Mánudagur","Þriðjudagur","Miðvikudagur","Fimmtudagur","Föstudagur","Laugardagur","Sunnudagur"))</f>
        <v/>
      </c>
      <c r="D299" s="38"/>
      <c r="E299" s="38"/>
      <c r="F299" s="38"/>
      <c r="G299" s="38"/>
      <c r="H299" s="38"/>
      <c r="I299" s="41"/>
      <c r="J299" s="41"/>
      <c r="K299" s="42"/>
      <c r="L299" s="38"/>
    </row>
    <row r="300" spans="1:12" ht="15" customHeight="1">
      <c r="A300" s="9"/>
      <c r="B300" s="43"/>
      <c r="C300" s="44" t="str">
        <f>IF(B300="","",CHOOSE(WEEKDAY(B300,2),"Mánudagur","Þriðjudagur","Miðvikudagur","Fimmtudagur","Föstudagur","Laugardagur","Sunnudagur"))</f>
        <v/>
      </c>
      <c r="D300" s="9"/>
      <c r="E300" s="9"/>
      <c r="F300" s="9"/>
      <c r="G300" s="9"/>
      <c r="H300" s="9"/>
      <c r="I300" s="24"/>
      <c r="J300" s="24"/>
      <c r="K300" s="42"/>
      <c r="L300" s="9"/>
    </row>
    <row r="301" spans="1:12" ht="15" customHeight="1">
      <c r="A301" s="38"/>
      <c r="B301" s="39"/>
      <c r="C301" s="40" t="str">
        <f>IF(B301="","",CHOOSE(WEEKDAY(B301,2),"Mánudagur","Þriðjudagur","Miðvikudagur","Fimmtudagur","Föstudagur","Laugardagur","Sunnudagur"))</f>
        <v/>
      </c>
      <c r="D301" s="38"/>
      <c r="E301" s="38"/>
      <c r="F301" s="38"/>
      <c r="G301" s="38"/>
      <c r="H301" s="38"/>
      <c r="I301" s="41"/>
      <c r="J301" s="41"/>
      <c r="K301" s="42"/>
      <c r="L301" s="38"/>
    </row>
    <row r="302" spans="1:12" ht="15" customHeight="1">
      <c r="A302" s="9"/>
      <c r="B302" s="43"/>
      <c r="C302" s="44" t="str">
        <f>IF(B302="","",CHOOSE(WEEKDAY(B302,2),"Mánudagur","Þriðjudagur","Miðvikudagur","Fimmtudagur","Föstudagur","Laugardagur","Sunnudagur"))</f>
        <v/>
      </c>
      <c r="D302" s="9"/>
      <c r="E302" s="9"/>
      <c r="F302" s="9"/>
      <c r="G302" s="9"/>
      <c r="H302" s="9"/>
      <c r="I302" s="24"/>
      <c r="J302" s="24"/>
      <c r="K302" s="42"/>
      <c r="L302" s="9"/>
    </row>
    <row r="303" spans="1:12" ht="15" customHeight="1">
      <c r="A303" s="38"/>
      <c r="B303" s="39"/>
      <c r="C303" s="40" t="str">
        <f>IF(B303="","",CHOOSE(WEEKDAY(B303,2),"Mánudagur","Þriðjudagur","Miðvikudagur","Fimmtudagur","Föstudagur","Laugardagur","Sunnudagur"))</f>
        <v/>
      </c>
      <c r="D303" s="38"/>
      <c r="E303" s="38"/>
      <c r="F303" s="38"/>
      <c r="G303" s="38"/>
      <c r="H303" s="38"/>
      <c r="I303" s="41"/>
      <c r="J303" s="41"/>
      <c r="K303" s="42"/>
      <c r="L303" s="38"/>
    </row>
    <row r="304" spans="1:12" ht="15" customHeight="1">
      <c r="A304" s="9"/>
      <c r="B304" s="43"/>
      <c r="C304" s="44" t="str">
        <f>IF(B304="","",CHOOSE(WEEKDAY(B304,2),"Mánudagur","Þriðjudagur","Miðvikudagur","Fimmtudagur","Föstudagur","Laugardagur","Sunnudagur"))</f>
        <v/>
      </c>
      <c r="D304" s="9"/>
      <c r="E304" s="9"/>
      <c r="F304" s="9"/>
      <c r="G304" s="9"/>
      <c r="H304" s="9"/>
      <c r="I304" s="24"/>
      <c r="J304" s="24"/>
      <c r="K304" s="42"/>
      <c r="L304" s="9"/>
    </row>
    <row r="305" spans="1:12" ht="15" customHeight="1">
      <c r="A305" s="38"/>
      <c r="B305" s="39"/>
      <c r="C305" s="40" t="str">
        <f>IF(B305="","",CHOOSE(WEEKDAY(B305,2),"Mánudagur","Þriðjudagur","Miðvikudagur","Fimmtudagur","Föstudagur","Laugardagur","Sunnudagur"))</f>
        <v/>
      </c>
      <c r="D305" s="38"/>
      <c r="E305" s="38"/>
      <c r="F305" s="38"/>
      <c r="G305" s="38"/>
      <c r="H305" s="38"/>
      <c r="I305" s="41"/>
      <c r="J305" s="41"/>
      <c r="K305" s="42"/>
      <c r="L305" s="38"/>
    </row>
    <row r="306" spans="1:12" ht="15" customHeight="1">
      <c r="A306" s="9"/>
      <c r="B306" s="43"/>
      <c r="C306" s="44" t="str">
        <f>IF(B306="","",CHOOSE(WEEKDAY(B306,2),"Mánudagur","Þriðjudagur","Miðvikudagur","Fimmtudagur","Föstudagur","Laugardagur","Sunnudagur"))</f>
        <v/>
      </c>
      <c r="D306" s="9"/>
      <c r="E306" s="9"/>
      <c r="F306" s="9"/>
      <c r="G306" s="9"/>
      <c r="H306" s="9"/>
      <c r="I306" s="24"/>
      <c r="J306" s="24"/>
      <c r="K306" s="42"/>
      <c r="L306" s="9"/>
    </row>
    <row r="307" spans="1:12" ht="15" customHeight="1">
      <c r="A307" s="38"/>
      <c r="B307" s="39"/>
      <c r="C307" s="40" t="str">
        <f>IF(B307="","",CHOOSE(WEEKDAY(B307,2),"Mánudagur","Þriðjudagur","Miðvikudagur","Fimmtudagur","Föstudagur","Laugardagur","Sunnudagur"))</f>
        <v/>
      </c>
      <c r="D307" s="38"/>
      <c r="E307" s="38"/>
      <c r="F307" s="38"/>
      <c r="G307" s="38"/>
      <c r="H307" s="38"/>
      <c r="I307" s="41"/>
      <c r="J307" s="41"/>
      <c r="K307" s="42"/>
      <c r="L307" s="38"/>
    </row>
    <row r="308" spans="1:12" ht="15" customHeight="1">
      <c r="A308" s="9"/>
      <c r="B308" s="43"/>
      <c r="C308" s="44" t="str">
        <f>IF(B308="","",CHOOSE(WEEKDAY(B308,2),"Mánudagur","Þriðjudagur","Miðvikudagur","Fimmtudagur","Föstudagur","Laugardagur","Sunnudagur"))</f>
        <v/>
      </c>
      <c r="D308" s="9"/>
      <c r="E308" s="9"/>
      <c r="F308" s="9"/>
      <c r="G308" s="9"/>
      <c r="H308" s="9"/>
      <c r="I308" s="24"/>
      <c r="J308" s="24"/>
      <c r="K308" s="42"/>
      <c r="L308" s="9"/>
    </row>
    <row r="309" spans="1:12" ht="15" customHeight="1">
      <c r="A309" s="38"/>
      <c r="B309" s="39"/>
      <c r="C309" s="40" t="str">
        <f>IF(B309="","",CHOOSE(WEEKDAY(B309,2),"Mánudagur","Þriðjudagur","Miðvikudagur","Fimmtudagur","Föstudagur","Laugardagur","Sunnudagur"))</f>
        <v/>
      </c>
      <c r="D309" s="38"/>
      <c r="E309" s="38"/>
      <c r="F309" s="38"/>
      <c r="G309" s="38"/>
      <c r="H309" s="38"/>
      <c r="I309" s="41"/>
      <c r="J309" s="41"/>
      <c r="K309" s="42"/>
      <c r="L309" s="38"/>
    </row>
    <row r="310" spans="1:12" ht="15" customHeight="1">
      <c r="A310" s="9"/>
      <c r="B310" s="43"/>
      <c r="C310" s="44" t="str">
        <f>IF(B310="","",CHOOSE(WEEKDAY(B310,2),"Mánudagur","Þriðjudagur","Miðvikudagur","Fimmtudagur","Föstudagur","Laugardagur","Sunnudagur"))</f>
        <v/>
      </c>
      <c r="D310" s="9"/>
      <c r="E310" s="9"/>
      <c r="F310" s="9"/>
      <c r="G310" s="9"/>
      <c r="H310" s="9"/>
      <c r="I310" s="24"/>
      <c r="J310" s="24"/>
      <c r="K310" s="42"/>
      <c r="L310" s="9"/>
    </row>
    <row r="311" spans="1:12" ht="15" customHeight="1">
      <c r="A311" s="38"/>
      <c r="B311" s="39"/>
      <c r="C311" s="40" t="str">
        <f>IF(B311="","",CHOOSE(WEEKDAY(B311,2),"Mánudagur","Þriðjudagur","Miðvikudagur","Fimmtudagur","Föstudagur","Laugardagur","Sunnudagur"))</f>
        <v/>
      </c>
      <c r="D311" s="38"/>
      <c r="E311" s="38"/>
      <c r="F311" s="38"/>
      <c r="G311" s="38"/>
      <c r="H311" s="38"/>
      <c r="I311" s="41"/>
      <c r="J311" s="41"/>
      <c r="K311" s="42"/>
      <c r="L311" s="38"/>
    </row>
    <row r="312" spans="1:12" ht="15" customHeight="1">
      <c r="A312" s="9"/>
      <c r="B312" s="43"/>
      <c r="C312" s="44" t="str">
        <f>IF(B312="","",CHOOSE(WEEKDAY(B312,2),"Mánudagur","Þriðjudagur","Miðvikudagur","Fimmtudagur","Föstudagur","Laugardagur","Sunnudagur"))</f>
        <v/>
      </c>
      <c r="D312" s="9"/>
      <c r="E312" s="9"/>
      <c r="F312" s="9"/>
      <c r="G312" s="9"/>
      <c r="H312" s="9"/>
      <c r="I312" s="24"/>
      <c r="J312" s="24"/>
      <c r="K312" s="42"/>
      <c r="L312" s="9"/>
    </row>
    <row r="313" spans="1:12" ht="15" customHeight="1">
      <c r="A313" s="38"/>
      <c r="B313" s="39"/>
      <c r="C313" s="40" t="str">
        <f>IF(B313="","",CHOOSE(WEEKDAY(B313,2),"Mánudagur","Þriðjudagur","Miðvikudagur","Fimmtudagur","Föstudagur","Laugardagur","Sunnudagur"))</f>
        <v/>
      </c>
      <c r="D313" s="38"/>
      <c r="E313" s="38"/>
      <c r="F313" s="38"/>
      <c r="G313" s="38"/>
      <c r="H313" s="38"/>
      <c r="I313" s="41"/>
      <c r="J313" s="41"/>
      <c r="K313" s="42"/>
      <c r="L313" s="38"/>
    </row>
    <row r="314" spans="1:12" ht="15" customHeight="1">
      <c r="A314" s="9"/>
      <c r="B314" s="43"/>
      <c r="C314" s="44" t="str">
        <f>IF(B314="","",CHOOSE(WEEKDAY(B314,2),"Mánudagur","Þriðjudagur","Miðvikudagur","Fimmtudagur","Föstudagur","Laugardagur","Sunnudagur"))</f>
        <v/>
      </c>
      <c r="D314" s="9"/>
      <c r="E314" s="9"/>
      <c r="F314" s="9"/>
      <c r="G314" s="9"/>
      <c r="H314" s="9"/>
      <c r="I314" s="24"/>
      <c r="J314" s="24"/>
      <c r="K314" s="42"/>
      <c r="L314" s="9"/>
    </row>
    <row r="315" spans="1:12" ht="15" customHeight="1">
      <c r="A315" s="38"/>
      <c r="B315" s="39"/>
      <c r="C315" s="40" t="str">
        <f>IF(B315="","",CHOOSE(WEEKDAY(B315,2),"Mánudagur","Þriðjudagur","Miðvikudagur","Fimmtudagur","Föstudagur","Laugardagur","Sunnudagur"))</f>
        <v/>
      </c>
      <c r="D315" s="38"/>
      <c r="E315" s="38"/>
      <c r="F315" s="38"/>
      <c r="G315" s="38"/>
      <c r="H315" s="38"/>
      <c r="I315" s="41"/>
      <c r="J315" s="41"/>
      <c r="K315" s="42"/>
      <c r="L315" s="38"/>
    </row>
    <row r="316" spans="1:12" ht="15" customHeight="1">
      <c r="A316" s="9"/>
      <c r="B316" s="43"/>
      <c r="C316" s="44" t="str">
        <f>IF(B316="","",CHOOSE(WEEKDAY(B316,2),"Mánudagur","Þriðjudagur","Miðvikudagur","Fimmtudagur","Föstudagur","Laugardagur","Sunnudagur"))</f>
        <v/>
      </c>
      <c r="D316" s="9"/>
      <c r="E316" s="9"/>
      <c r="F316" s="9"/>
      <c r="G316" s="9"/>
      <c r="H316" s="9"/>
      <c r="I316" s="24"/>
      <c r="J316" s="24"/>
      <c r="K316" s="42"/>
      <c r="L316" s="9"/>
    </row>
    <row r="317" spans="1:12" ht="15" customHeight="1">
      <c r="A317" s="38"/>
      <c r="B317" s="39"/>
      <c r="C317" s="40" t="str">
        <f>IF(B317="","",CHOOSE(WEEKDAY(B317,2),"Mánudagur","Þriðjudagur","Miðvikudagur","Fimmtudagur","Föstudagur","Laugardagur","Sunnudagur"))</f>
        <v/>
      </c>
      <c r="D317" s="38"/>
      <c r="E317" s="38"/>
      <c r="F317" s="38"/>
      <c r="G317" s="38"/>
      <c r="H317" s="38"/>
      <c r="I317" s="41"/>
      <c r="J317" s="41"/>
      <c r="K317" s="42"/>
      <c r="L317" s="38"/>
    </row>
    <row r="318" spans="1:12" ht="15" customHeight="1">
      <c r="A318" s="9"/>
      <c r="B318" s="43"/>
      <c r="C318" s="44" t="str">
        <f>IF(B318="","",CHOOSE(WEEKDAY(B318,2),"Mánudagur","Þriðjudagur","Miðvikudagur","Fimmtudagur","Föstudagur","Laugardagur","Sunnudagur"))</f>
        <v/>
      </c>
      <c r="D318" s="9"/>
      <c r="E318" s="9"/>
      <c r="F318" s="9"/>
      <c r="G318" s="9"/>
      <c r="H318" s="9"/>
      <c r="I318" s="24"/>
      <c r="J318" s="24"/>
      <c r="K318" s="42"/>
      <c r="L318" s="9"/>
    </row>
    <row r="319" spans="1:12" ht="15" customHeight="1">
      <c r="A319" s="38"/>
      <c r="B319" s="39"/>
      <c r="C319" s="40" t="str">
        <f>IF(B319="","",CHOOSE(WEEKDAY(B319,2),"Mánudagur","Þriðjudagur","Miðvikudagur","Fimmtudagur","Föstudagur","Laugardagur","Sunnudagur"))</f>
        <v/>
      </c>
      <c r="D319" s="38"/>
      <c r="E319" s="38"/>
      <c r="F319" s="38"/>
      <c r="G319" s="38"/>
      <c r="H319" s="38"/>
      <c r="I319" s="41"/>
      <c r="J319" s="41"/>
      <c r="K319" s="42"/>
      <c r="L319" s="38"/>
    </row>
    <row r="320" spans="1:12" ht="15" customHeight="1">
      <c r="A320" s="9"/>
      <c r="B320" s="43"/>
      <c r="C320" s="44" t="str">
        <f>IF(B320="","",CHOOSE(WEEKDAY(B320,2),"Mánudagur","Þriðjudagur","Miðvikudagur","Fimmtudagur","Föstudagur","Laugardagur","Sunnudagur"))</f>
        <v/>
      </c>
      <c r="D320" s="9"/>
      <c r="E320" s="9"/>
      <c r="F320" s="9"/>
      <c r="G320" s="9"/>
      <c r="H320" s="9"/>
      <c r="I320" s="24"/>
      <c r="J320" s="24"/>
      <c r="K320" s="42"/>
      <c r="L320" s="9"/>
    </row>
    <row r="321" spans="1:12" ht="15" customHeight="1">
      <c r="A321" s="38"/>
      <c r="B321" s="39"/>
      <c r="C321" s="40" t="str">
        <f>IF(B321="","",CHOOSE(WEEKDAY(B321,2),"Mánudagur","Þriðjudagur","Miðvikudagur","Fimmtudagur","Föstudagur","Laugardagur","Sunnudagur"))</f>
        <v/>
      </c>
      <c r="D321" s="38"/>
      <c r="E321" s="38"/>
      <c r="F321" s="38"/>
      <c r="G321" s="38"/>
      <c r="H321" s="38"/>
      <c r="I321" s="41"/>
      <c r="J321" s="41"/>
      <c r="K321" s="42"/>
      <c r="L321" s="38"/>
    </row>
    <row r="322" spans="1:12" ht="15" customHeight="1">
      <c r="A322" s="9"/>
      <c r="B322" s="43"/>
      <c r="C322" s="44" t="str">
        <f>IF(B322="","",CHOOSE(WEEKDAY(B322,2),"Mánudagur","Þriðjudagur","Miðvikudagur","Fimmtudagur","Föstudagur","Laugardagur","Sunnudagur"))</f>
        <v/>
      </c>
      <c r="D322" s="9"/>
      <c r="E322" s="9"/>
      <c r="F322" s="9"/>
      <c r="G322" s="9"/>
      <c r="H322" s="9"/>
      <c r="I322" s="24"/>
      <c r="J322" s="24"/>
      <c r="K322" s="42"/>
      <c r="L322" s="9"/>
    </row>
    <row r="323" spans="1:12" ht="15" customHeight="1">
      <c r="A323" s="38"/>
      <c r="B323" s="39"/>
      <c r="C323" s="40" t="str">
        <f>IF(B323="","",CHOOSE(WEEKDAY(B323,2),"Mánudagur","Þriðjudagur","Miðvikudagur","Fimmtudagur","Föstudagur","Laugardagur","Sunnudagur"))</f>
        <v/>
      </c>
      <c r="D323" s="38"/>
      <c r="E323" s="38"/>
      <c r="F323" s="38"/>
      <c r="G323" s="38"/>
      <c r="H323" s="38"/>
      <c r="I323" s="41"/>
      <c r="J323" s="41"/>
      <c r="K323" s="42"/>
      <c r="L323" s="38"/>
    </row>
    <row r="324" spans="1:12" ht="15" customHeight="1">
      <c r="A324" s="9"/>
      <c r="B324" s="43"/>
      <c r="C324" s="44" t="str">
        <f>IF(B324="","",CHOOSE(WEEKDAY(B324,2),"Mánudagur","Þriðjudagur","Miðvikudagur","Fimmtudagur","Föstudagur","Laugardagur","Sunnudagur"))</f>
        <v/>
      </c>
      <c r="D324" s="9"/>
      <c r="E324" s="9"/>
      <c r="F324" s="9"/>
      <c r="G324" s="9"/>
      <c r="H324" s="9"/>
      <c r="I324" s="24"/>
      <c r="J324" s="24"/>
      <c r="K324" s="42"/>
      <c r="L324" s="9"/>
    </row>
    <row r="325" spans="1:12" ht="15" customHeight="1">
      <c r="A325" s="38"/>
      <c r="B325" s="39"/>
      <c r="C325" s="40" t="str">
        <f>IF(B325="","",CHOOSE(WEEKDAY(B325,2),"Mánudagur","Þriðjudagur","Miðvikudagur","Fimmtudagur","Föstudagur","Laugardagur","Sunnudagur"))</f>
        <v/>
      </c>
      <c r="D325" s="38"/>
      <c r="E325" s="38"/>
      <c r="F325" s="38"/>
      <c r="G325" s="38"/>
      <c r="H325" s="38"/>
      <c r="I325" s="41"/>
      <c r="J325" s="41"/>
      <c r="K325" s="42"/>
      <c r="L325" s="38"/>
    </row>
    <row r="326" spans="1:12" ht="15" customHeight="1">
      <c r="A326" s="9"/>
      <c r="B326" s="43"/>
      <c r="C326" s="44" t="str">
        <f>IF(B326="","",CHOOSE(WEEKDAY(B326,2),"Mánudagur","Þriðjudagur","Miðvikudagur","Fimmtudagur","Föstudagur","Laugardagur","Sunnudagur"))</f>
        <v/>
      </c>
      <c r="D326" s="9"/>
      <c r="E326" s="9"/>
      <c r="F326" s="9"/>
      <c r="G326" s="9"/>
      <c r="H326" s="9"/>
      <c r="I326" s="24"/>
      <c r="J326" s="24"/>
      <c r="K326" s="42"/>
      <c r="L326" s="9"/>
    </row>
    <row r="327" spans="1:12" ht="15" customHeight="1">
      <c r="A327" s="38"/>
      <c r="B327" s="39"/>
      <c r="C327" s="40" t="str">
        <f>IF(B327="","",CHOOSE(WEEKDAY(B327,2),"Mánudagur","Þriðjudagur","Miðvikudagur","Fimmtudagur","Föstudagur","Laugardagur","Sunnudagur"))</f>
        <v/>
      </c>
      <c r="D327" s="38"/>
      <c r="E327" s="38"/>
      <c r="F327" s="38"/>
      <c r="G327" s="38"/>
      <c r="H327" s="38"/>
      <c r="I327" s="41"/>
      <c r="J327" s="41"/>
      <c r="K327" s="42"/>
      <c r="L327" s="38"/>
    </row>
    <row r="328" spans="1:12" ht="15" customHeight="1">
      <c r="A328" s="9"/>
      <c r="B328" s="43"/>
      <c r="C328" s="44" t="str">
        <f>IF(B328="","",CHOOSE(WEEKDAY(B328,2),"Mánudagur","Þriðjudagur","Miðvikudagur","Fimmtudagur","Föstudagur","Laugardagur","Sunnudagur"))</f>
        <v/>
      </c>
      <c r="D328" s="9"/>
      <c r="E328" s="9"/>
      <c r="F328" s="9"/>
      <c r="G328" s="9"/>
      <c r="H328" s="9"/>
      <c r="I328" s="24"/>
      <c r="J328" s="24"/>
      <c r="K328" s="42"/>
      <c r="L328" s="9"/>
    </row>
    <row r="329" spans="1:12" ht="15" customHeight="1">
      <c r="A329" s="38"/>
      <c r="B329" s="39"/>
      <c r="C329" s="40" t="str">
        <f>IF(B329="","",CHOOSE(WEEKDAY(B329,2),"Mánudagur","Þriðjudagur","Miðvikudagur","Fimmtudagur","Föstudagur","Laugardagur","Sunnudagur"))</f>
        <v/>
      </c>
      <c r="D329" s="38"/>
      <c r="E329" s="38"/>
      <c r="F329" s="38"/>
      <c r="G329" s="38"/>
      <c r="H329" s="38"/>
      <c r="I329" s="41"/>
      <c r="J329" s="41"/>
      <c r="K329" s="42"/>
      <c r="L329" s="38"/>
    </row>
    <row r="330" spans="1:12" ht="15" customHeight="1">
      <c r="A330" s="9"/>
      <c r="B330" s="43"/>
      <c r="C330" s="44" t="str">
        <f>IF(B330="","",CHOOSE(WEEKDAY(B330,2),"Mánudagur","Þriðjudagur","Miðvikudagur","Fimmtudagur","Föstudagur","Laugardagur","Sunnudagur"))</f>
        <v/>
      </c>
      <c r="D330" s="9"/>
      <c r="E330" s="9"/>
      <c r="F330" s="9"/>
      <c r="G330" s="9"/>
      <c r="H330" s="9"/>
      <c r="I330" s="24"/>
      <c r="J330" s="24"/>
      <c r="K330" s="42"/>
      <c r="L330" s="9"/>
    </row>
    <row r="331" spans="1:12" ht="15" customHeight="1">
      <c r="A331" s="38"/>
      <c r="B331" s="39"/>
      <c r="C331" s="40" t="str">
        <f>IF(B331="","",CHOOSE(WEEKDAY(B331,2),"Mánudagur","Þriðjudagur","Miðvikudagur","Fimmtudagur","Föstudagur","Laugardagur","Sunnudagur"))</f>
        <v/>
      </c>
      <c r="D331" s="38"/>
      <c r="E331" s="38"/>
      <c r="F331" s="38"/>
      <c r="G331" s="38"/>
      <c r="H331" s="38"/>
      <c r="I331" s="41"/>
      <c r="J331" s="41"/>
      <c r="K331" s="42"/>
      <c r="L331" s="38"/>
    </row>
    <row r="332" spans="1:12" ht="15" customHeight="1">
      <c r="A332" s="9"/>
      <c r="B332" s="43"/>
      <c r="C332" s="44" t="str">
        <f>IF(B332="","",CHOOSE(WEEKDAY(B332,2),"Mánudagur","Þriðjudagur","Miðvikudagur","Fimmtudagur","Föstudagur","Laugardagur","Sunnudagur"))</f>
        <v/>
      </c>
      <c r="D332" s="9"/>
      <c r="E332" s="9"/>
      <c r="F332" s="9"/>
      <c r="G332" s="9"/>
      <c r="H332" s="9"/>
      <c r="I332" s="24"/>
      <c r="J332" s="24"/>
      <c r="K332" s="42"/>
      <c r="L332" s="9"/>
    </row>
    <row r="333" spans="1:12" ht="15" customHeight="1">
      <c r="A333" s="38"/>
      <c r="B333" s="39"/>
      <c r="C333" s="40" t="str">
        <f>IF(B333="","",CHOOSE(WEEKDAY(B333,2),"Mánudagur","Þriðjudagur","Miðvikudagur","Fimmtudagur","Föstudagur","Laugardagur","Sunnudagur"))</f>
        <v/>
      </c>
      <c r="D333" s="38"/>
      <c r="E333" s="38"/>
      <c r="F333" s="38"/>
      <c r="G333" s="38"/>
      <c r="H333" s="38"/>
      <c r="I333" s="41"/>
      <c r="J333" s="41"/>
      <c r="K333" s="42"/>
      <c r="L333" s="38"/>
    </row>
    <row r="334" spans="1:12" ht="15" customHeight="1">
      <c r="A334" s="9"/>
      <c r="B334" s="43"/>
      <c r="C334" s="44" t="str">
        <f>IF(B334="","",CHOOSE(WEEKDAY(B334,2),"Mánudagur","Þriðjudagur","Miðvikudagur","Fimmtudagur","Föstudagur","Laugardagur","Sunnudagur"))</f>
        <v/>
      </c>
      <c r="D334" s="9"/>
      <c r="E334" s="9"/>
      <c r="F334" s="9"/>
      <c r="G334" s="9"/>
      <c r="H334" s="9"/>
      <c r="I334" s="24"/>
      <c r="J334" s="24"/>
      <c r="K334" s="42"/>
      <c r="L334" s="9"/>
    </row>
    <row r="335" spans="1:12" ht="15" customHeight="1">
      <c r="A335" s="38"/>
      <c r="B335" s="39"/>
      <c r="C335" s="40" t="str">
        <f>IF(B335="","",CHOOSE(WEEKDAY(B335,2),"Mánudagur","Þriðjudagur","Miðvikudagur","Fimmtudagur","Föstudagur","Laugardagur","Sunnudagur"))</f>
        <v/>
      </c>
      <c r="D335" s="38"/>
      <c r="E335" s="38"/>
      <c r="F335" s="38"/>
      <c r="G335" s="38"/>
      <c r="H335" s="38"/>
      <c r="I335" s="41"/>
      <c r="J335" s="41"/>
      <c r="K335" s="42"/>
      <c r="L335" s="38"/>
    </row>
    <row r="336" spans="1:12" ht="15" customHeight="1">
      <c r="A336" s="9"/>
      <c r="B336" s="43"/>
      <c r="C336" s="44" t="str">
        <f>IF(B336="","",CHOOSE(WEEKDAY(B336,2),"Mánudagur","Þriðjudagur","Miðvikudagur","Fimmtudagur","Föstudagur","Laugardagur","Sunnudagur"))</f>
        <v/>
      </c>
      <c r="D336" s="9"/>
      <c r="E336" s="9"/>
      <c r="F336" s="9"/>
      <c r="G336" s="9"/>
      <c r="H336" s="9"/>
      <c r="I336" s="24"/>
      <c r="J336" s="24"/>
      <c r="K336" s="42"/>
      <c r="L336" s="9"/>
    </row>
    <row r="337" spans="1:12" ht="15" customHeight="1">
      <c r="A337" s="38"/>
      <c r="B337" s="39"/>
      <c r="C337" s="40" t="str">
        <f>IF(B337="","",CHOOSE(WEEKDAY(B337,2),"Mánudagur","Þriðjudagur","Miðvikudagur","Fimmtudagur","Föstudagur","Laugardagur","Sunnudagur"))</f>
        <v/>
      </c>
      <c r="D337" s="38"/>
      <c r="E337" s="38"/>
      <c r="F337" s="38"/>
      <c r="G337" s="38"/>
      <c r="H337" s="38"/>
      <c r="I337" s="41"/>
      <c r="J337" s="41"/>
      <c r="K337" s="42"/>
      <c r="L337" s="38"/>
    </row>
    <row r="338" spans="1:12" ht="15" customHeight="1">
      <c r="A338" s="9"/>
      <c r="B338" s="43"/>
      <c r="C338" s="44" t="str">
        <f>IF(B338="","",CHOOSE(WEEKDAY(B338,2),"Mánudagur","Þriðjudagur","Miðvikudagur","Fimmtudagur","Föstudagur","Laugardagur","Sunnudagur"))</f>
        <v/>
      </c>
      <c r="D338" s="9"/>
      <c r="E338" s="9"/>
      <c r="F338" s="9"/>
      <c r="G338" s="9"/>
      <c r="H338" s="9"/>
      <c r="I338" s="24"/>
      <c r="J338" s="24"/>
      <c r="K338" s="42"/>
      <c r="L338" s="9"/>
    </row>
    <row r="339" spans="1:12" ht="15" customHeight="1">
      <c r="A339" s="38"/>
      <c r="B339" s="39"/>
      <c r="C339" s="40" t="str">
        <f>IF(B339="","",CHOOSE(WEEKDAY(B339,2),"Mánudagur","Þriðjudagur","Miðvikudagur","Fimmtudagur","Föstudagur","Laugardagur","Sunnudagur"))</f>
        <v/>
      </c>
      <c r="D339" s="38"/>
      <c r="E339" s="38"/>
      <c r="F339" s="38"/>
      <c r="G339" s="38"/>
      <c r="H339" s="38"/>
      <c r="I339" s="41"/>
      <c r="J339" s="41"/>
      <c r="K339" s="42"/>
      <c r="L339" s="38"/>
    </row>
    <row r="340" spans="1:12" ht="15" customHeight="1">
      <c r="A340" s="9"/>
      <c r="B340" s="43"/>
      <c r="C340" s="44" t="str">
        <f>IF(B340="","",CHOOSE(WEEKDAY(B340,2),"Mánudagur","Þriðjudagur","Miðvikudagur","Fimmtudagur","Föstudagur","Laugardagur","Sunnudagur"))</f>
        <v/>
      </c>
      <c r="D340" s="9"/>
      <c r="E340" s="9"/>
      <c r="F340" s="9"/>
      <c r="G340" s="9"/>
      <c r="H340" s="9"/>
      <c r="I340" s="24"/>
      <c r="J340" s="24"/>
      <c r="K340" s="42"/>
      <c r="L340" s="9"/>
    </row>
    <row r="341" spans="1:12" ht="15" customHeight="1">
      <c r="A341" s="38"/>
      <c r="B341" s="39"/>
      <c r="C341" s="40" t="str">
        <f>IF(B341="","",CHOOSE(WEEKDAY(B341,2),"Mánudagur","Þriðjudagur","Miðvikudagur","Fimmtudagur","Föstudagur","Laugardagur","Sunnudagur"))</f>
        <v/>
      </c>
      <c r="D341" s="38"/>
      <c r="E341" s="38"/>
      <c r="F341" s="38"/>
      <c r="G341" s="38"/>
      <c r="H341" s="38"/>
      <c r="I341" s="41"/>
      <c r="J341" s="41"/>
      <c r="K341" s="42"/>
      <c r="L341" s="38"/>
    </row>
    <row r="342" spans="1:12" ht="15" customHeight="1">
      <c r="A342" s="9"/>
      <c r="B342" s="43"/>
      <c r="C342" s="44" t="str">
        <f>IF(B342="","",CHOOSE(WEEKDAY(B342,2),"Mánudagur","Þriðjudagur","Miðvikudagur","Fimmtudagur","Föstudagur","Laugardagur","Sunnudagur"))</f>
        <v/>
      </c>
      <c r="D342" s="9"/>
      <c r="E342" s="9"/>
      <c r="F342" s="9"/>
      <c r="G342" s="9"/>
      <c r="H342" s="9"/>
      <c r="I342" s="24"/>
      <c r="J342" s="24"/>
      <c r="K342" s="42"/>
      <c r="L342" s="9"/>
    </row>
    <row r="343" spans="1:12" ht="15" customHeight="1">
      <c r="A343" s="38"/>
      <c r="B343" s="39"/>
      <c r="C343" s="40" t="str">
        <f>IF(B343="","",CHOOSE(WEEKDAY(B343,2),"Mánudagur","Þriðjudagur","Miðvikudagur","Fimmtudagur","Föstudagur","Laugardagur","Sunnudagur"))</f>
        <v/>
      </c>
      <c r="D343" s="38"/>
      <c r="E343" s="38"/>
      <c r="F343" s="38"/>
      <c r="G343" s="38"/>
      <c r="H343" s="38"/>
      <c r="I343" s="41"/>
      <c r="J343" s="41"/>
      <c r="K343" s="42"/>
      <c r="L343" s="38"/>
    </row>
    <row r="344" spans="1:12" ht="15" customHeight="1">
      <c r="A344" s="9"/>
      <c r="B344" s="43"/>
      <c r="C344" s="44" t="str">
        <f>IF(B344="","",CHOOSE(WEEKDAY(B344,2),"Mánudagur","Þriðjudagur","Miðvikudagur","Fimmtudagur","Föstudagur","Laugardagur","Sunnudagur"))</f>
        <v/>
      </c>
      <c r="D344" s="9"/>
      <c r="E344" s="9"/>
      <c r="F344" s="9"/>
      <c r="G344" s="9"/>
      <c r="H344" s="9"/>
      <c r="I344" s="24"/>
      <c r="J344" s="24"/>
      <c r="K344" s="42"/>
      <c r="L344" s="9"/>
    </row>
    <row r="345" spans="1:12" ht="15" customHeight="1">
      <c r="A345" s="38"/>
      <c r="B345" s="39"/>
      <c r="C345" s="40" t="str">
        <f>IF(B345="","",CHOOSE(WEEKDAY(B345,2),"Mánudagur","Þriðjudagur","Miðvikudagur","Fimmtudagur","Föstudagur","Laugardagur","Sunnudagur"))</f>
        <v/>
      </c>
      <c r="D345" s="38"/>
      <c r="E345" s="38"/>
      <c r="F345" s="38"/>
      <c r="G345" s="38"/>
      <c r="H345" s="38"/>
      <c r="I345" s="41"/>
      <c r="J345" s="41"/>
      <c r="K345" s="42"/>
      <c r="L345" s="38"/>
    </row>
    <row r="346" spans="1:12" ht="15" customHeight="1">
      <c r="A346" s="9"/>
      <c r="B346" s="43"/>
      <c r="C346" s="44" t="str">
        <f>IF(B346="","",CHOOSE(WEEKDAY(B346,2),"Mánudagur","Þriðjudagur","Miðvikudagur","Fimmtudagur","Föstudagur","Laugardagur","Sunnudagur"))</f>
        <v/>
      </c>
      <c r="D346" s="9"/>
      <c r="E346" s="9"/>
      <c r="F346" s="9"/>
      <c r="G346" s="9"/>
      <c r="H346" s="9"/>
      <c r="I346" s="24"/>
      <c r="J346" s="24"/>
      <c r="K346" s="42"/>
      <c r="L346" s="9"/>
    </row>
    <row r="347" spans="1:12" ht="15" customHeight="1">
      <c r="A347" s="38"/>
      <c r="B347" s="39"/>
      <c r="C347" s="40" t="str">
        <f>IF(B347="","",CHOOSE(WEEKDAY(B347,2),"Mánudagur","Þriðjudagur","Miðvikudagur","Fimmtudagur","Föstudagur","Laugardagur","Sunnudagur"))</f>
        <v/>
      </c>
      <c r="D347" s="38"/>
      <c r="E347" s="38"/>
      <c r="F347" s="38"/>
      <c r="G347" s="38"/>
      <c r="H347" s="38"/>
      <c r="I347" s="41"/>
      <c r="J347" s="41"/>
      <c r="K347" s="42"/>
      <c r="L347" s="38"/>
    </row>
    <row r="348" spans="1:12" ht="15" customHeight="1">
      <c r="A348" s="9"/>
      <c r="B348" s="43"/>
      <c r="C348" s="44" t="str">
        <f>IF(B348="","",CHOOSE(WEEKDAY(B348,2),"Mánudagur","Þriðjudagur","Miðvikudagur","Fimmtudagur","Föstudagur","Laugardagur","Sunnudagur"))</f>
        <v/>
      </c>
      <c r="D348" s="9"/>
      <c r="E348" s="9"/>
      <c r="F348" s="9"/>
      <c r="G348" s="9"/>
      <c r="H348" s="9"/>
      <c r="I348" s="24"/>
      <c r="J348" s="24"/>
      <c r="K348" s="42"/>
      <c r="L348" s="9"/>
    </row>
    <row r="349" spans="1:12" ht="15" customHeight="1">
      <c r="A349" s="38"/>
      <c r="B349" s="39"/>
      <c r="C349" s="40" t="str">
        <f>IF(B349="","",CHOOSE(WEEKDAY(B349,2),"Mánudagur","Þriðjudagur","Miðvikudagur","Fimmtudagur","Föstudagur","Laugardagur","Sunnudagur"))</f>
        <v/>
      </c>
      <c r="D349" s="38"/>
      <c r="E349" s="38"/>
      <c r="F349" s="38"/>
      <c r="G349" s="38"/>
      <c r="H349" s="38"/>
      <c r="I349" s="41"/>
      <c r="J349" s="41"/>
      <c r="K349" s="42"/>
      <c r="L349" s="38"/>
    </row>
    <row r="350" spans="1:12" ht="15" customHeight="1">
      <c r="A350" s="9"/>
      <c r="B350" s="43"/>
      <c r="C350" s="44" t="str">
        <f>IF(B350="","",CHOOSE(WEEKDAY(B350,2),"Mánudagur","Þriðjudagur","Miðvikudagur","Fimmtudagur","Föstudagur","Laugardagur","Sunnudagur"))</f>
        <v/>
      </c>
      <c r="D350" s="9"/>
      <c r="E350" s="9"/>
      <c r="F350" s="9"/>
      <c r="G350" s="9"/>
      <c r="H350" s="9"/>
      <c r="I350" s="24"/>
      <c r="J350" s="24"/>
      <c r="K350" s="42"/>
      <c r="L350" s="9"/>
    </row>
    <row r="351" spans="1:12" ht="15" customHeight="1">
      <c r="A351" s="38"/>
      <c r="B351" s="39"/>
      <c r="C351" s="40" t="str">
        <f>IF(B351="","",CHOOSE(WEEKDAY(B351,2),"Mánudagur","Þriðjudagur","Miðvikudagur","Fimmtudagur","Föstudagur","Laugardagur","Sunnudagur"))</f>
        <v/>
      </c>
      <c r="D351" s="38"/>
      <c r="E351" s="38"/>
      <c r="F351" s="38"/>
      <c r="G351" s="38"/>
      <c r="H351" s="38"/>
      <c r="I351" s="41"/>
      <c r="J351" s="41"/>
      <c r="K351" s="42"/>
      <c r="L351" s="38"/>
    </row>
    <row r="352" spans="1:12" ht="15" customHeight="1">
      <c r="A352" s="9"/>
      <c r="B352" s="43"/>
      <c r="C352" s="44" t="str">
        <f>IF(B352="","",CHOOSE(WEEKDAY(B352,2),"Mánudagur","Þriðjudagur","Miðvikudagur","Fimmtudagur","Föstudagur","Laugardagur","Sunnudagur"))</f>
        <v/>
      </c>
      <c r="D352" s="9"/>
      <c r="E352" s="9"/>
      <c r="F352" s="9"/>
      <c r="G352" s="9"/>
      <c r="H352" s="9"/>
      <c r="I352" s="24"/>
      <c r="J352" s="24"/>
      <c r="K352" s="42"/>
      <c r="L352" s="9"/>
    </row>
    <row r="353" spans="1:12" ht="15" customHeight="1">
      <c r="A353" s="38"/>
      <c r="B353" s="39"/>
      <c r="C353" s="40" t="str">
        <f>IF(B353="","",CHOOSE(WEEKDAY(B353,2),"Mánudagur","Þriðjudagur","Miðvikudagur","Fimmtudagur","Föstudagur","Laugardagur","Sunnudagur"))</f>
        <v/>
      </c>
      <c r="D353" s="38"/>
      <c r="E353" s="38"/>
      <c r="F353" s="38"/>
      <c r="G353" s="38"/>
      <c r="H353" s="38"/>
      <c r="I353" s="41"/>
      <c r="J353" s="41"/>
      <c r="K353" s="42"/>
      <c r="L353" s="38"/>
    </row>
    <row r="354" spans="1:12" ht="15" customHeight="1">
      <c r="A354" s="9"/>
      <c r="B354" s="43"/>
      <c r="C354" s="44" t="str">
        <f>IF(B354="","",CHOOSE(WEEKDAY(B354,2),"Mánudagur","Þriðjudagur","Miðvikudagur","Fimmtudagur","Föstudagur","Laugardagur","Sunnudagur"))</f>
        <v/>
      </c>
      <c r="D354" s="9"/>
      <c r="E354" s="9"/>
      <c r="F354" s="9"/>
      <c r="G354" s="9"/>
      <c r="H354" s="9"/>
      <c r="I354" s="24"/>
      <c r="J354" s="24"/>
      <c r="K354" s="42"/>
      <c r="L354" s="9"/>
    </row>
    <row r="355" spans="1:12" ht="15" customHeight="1">
      <c r="A355" s="38"/>
      <c r="B355" s="39"/>
      <c r="C355" s="40" t="str">
        <f>IF(B355="","",CHOOSE(WEEKDAY(B355,2),"Mánudagur","Þriðjudagur","Miðvikudagur","Fimmtudagur","Föstudagur","Laugardagur","Sunnudagur"))</f>
        <v/>
      </c>
      <c r="D355" s="38"/>
      <c r="E355" s="38"/>
      <c r="F355" s="38"/>
      <c r="G355" s="38"/>
      <c r="H355" s="38"/>
      <c r="I355" s="41"/>
      <c r="J355" s="41"/>
      <c r="K355" s="42"/>
      <c r="L355" s="38"/>
    </row>
    <row r="356" spans="1:12" ht="15" customHeight="1">
      <c r="A356" s="9"/>
      <c r="B356" s="43"/>
      <c r="C356" s="44" t="str">
        <f>IF(B356="","",CHOOSE(WEEKDAY(B356,2),"Mánudagur","Þriðjudagur","Miðvikudagur","Fimmtudagur","Föstudagur","Laugardagur","Sunnudagur"))</f>
        <v/>
      </c>
      <c r="D356" s="9"/>
      <c r="E356" s="9"/>
      <c r="F356" s="9"/>
      <c r="G356" s="9"/>
      <c r="H356" s="9"/>
      <c r="I356" s="24"/>
      <c r="J356" s="24"/>
      <c r="K356" s="42"/>
      <c r="L356" s="9"/>
    </row>
    <row r="357" spans="1:12" ht="15" customHeight="1">
      <c r="A357" s="38"/>
      <c r="B357" s="39"/>
      <c r="C357" s="40" t="str">
        <f>IF(B357="","",CHOOSE(WEEKDAY(B357,2),"Mánudagur","Þriðjudagur","Miðvikudagur","Fimmtudagur","Föstudagur","Laugardagur","Sunnudagur"))</f>
        <v/>
      </c>
      <c r="D357" s="38"/>
      <c r="E357" s="38"/>
      <c r="F357" s="38"/>
      <c r="G357" s="38"/>
      <c r="H357" s="38"/>
      <c r="I357" s="41"/>
      <c r="J357" s="41"/>
      <c r="K357" s="42"/>
      <c r="L357" s="38"/>
    </row>
    <row r="358" spans="1:12" ht="15" customHeight="1">
      <c r="A358" s="9"/>
      <c r="B358" s="43"/>
      <c r="C358" s="44" t="str">
        <f>IF(B358="","",CHOOSE(WEEKDAY(B358,2),"Mánudagur","Þriðjudagur","Miðvikudagur","Fimmtudagur","Föstudagur","Laugardagur","Sunnudagur"))</f>
        <v/>
      </c>
      <c r="D358" s="9"/>
      <c r="E358" s="9"/>
      <c r="F358" s="9"/>
      <c r="G358" s="9"/>
      <c r="H358" s="9"/>
      <c r="I358" s="24"/>
      <c r="J358" s="24"/>
      <c r="K358" s="42"/>
      <c r="L358" s="9"/>
    </row>
    <row r="359" spans="1:12" ht="15" customHeight="1">
      <c r="A359" s="38"/>
      <c r="B359" s="39"/>
      <c r="C359" s="40" t="str">
        <f>IF(B359="","",CHOOSE(WEEKDAY(B359,2),"Mánudagur","Þriðjudagur","Miðvikudagur","Fimmtudagur","Föstudagur","Laugardagur","Sunnudagur"))</f>
        <v/>
      </c>
      <c r="D359" s="38"/>
      <c r="E359" s="38"/>
      <c r="F359" s="38"/>
      <c r="G359" s="38"/>
      <c r="H359" s="38"/>
      <c r="I359" s="41"/>
      <c r="J359" s="41"/>
      <c r="K359" s="42"/>
      <c r="L359" s="38"/>
    </row>
    <row r="360" spans="1:12" ht="15" customHeight="1">
      <c r="A360" s="9"/>
      <c r="B360" s="43"/>
      <c r="C360" s="44" t="str">
        <f>IF(B360="","",CHOOSE(WEEKDAY(B360,2),"Mánudagur","Þriðjudagur","Miðvikudagur","Fimmtudagur","Föstudagur","Laugardagur","Sunnudagur"))</f>
        <v/>
      </c>
      <c r="D360" s="9"/>
      <c r="E360" s="9"/>
      <c r="F360" s="9"/>
      <c r="G360" s="9"/>
      <c r="H360" s="9"/>
      <c r="I360" s="24"/>
      <c r="J360" s="24"/>
      <c r="K360" s="42"/>
      <c r="L360" s="9"/>
    </row>
    <row r="361" spans="1:12" ht="15" customHeight="1">
      <c r="A361" s="38"/>
      <c r="B361" s="39"/>
      <c r="C361" s="40" t="str">
        <f>IF(B361="","",CHOOSE(WEEKDAY(B361,2),"Mánudagur","Þriðjudagur","Miðvikudagur","Fimmtudagur","Föstudagur","Laugardagur","Sunnudagur"))</f>
        <v/>
      </c>
      <c r="D361" s="38"/>
      <c r="E361" s="38"/>
      <c r="F361" s="38"/>
      <c r="G361" s="38"/>
      <c r="H361" s="38"/>
      <c r="I361" s="41"/>
      <c r="J361" s="41"/>
      <c r="K361" s="42"/>
      <c r="L361" s="38"/>
    </row>
    <row r="362" spans="1:12" ht="15" customHeight="1">
      <c r="A362" s="9"/>
      <c r="B362" s="43"/>
      <c r="C362" s="44" t="str">
        <f>IF(B362="","",CHOOSE(WEEKDAY(B362,2),"Mánudagur","Þriðjudagur","Miðvikudagur","Fimmtudagur","Föstudagur","Laugardagur","Sunnudagur"))</f>
        <v/>
      </c>
      <c r="D362" s="9"/>
      <c r="E362" s="9"/>
      <c r="F362" s="9"/>
      <c r="G362" s="9"/>
      <c r="H362" s="9"/>
      <c r="I362" s="24"/>
      <c r="J362" s="24"/>
      <c r="K362" s="42"/>
      <c r="L362" s="9"/>
    </row>
    <row r="363" spans="1:12" ht="15" customHeight="1">
      <c r="A363" s="38"/>
      <c r="B363" s="39"/>
      <c r="C363" s="40" t="str">
        <f>IF(B363="","",CHOOSE(WEEKDAY(B363,2),"Mánudagur","Þriðjudagur","Miðvikudagur","Fimmtudagur","Föstudagur","Laugardagur","Sunnudagur"))</f>
        <v/>
      </c>
      <c r="D363" s="38"/>
      <c r="E363" s="38"/>
      <c r="F363" s="38"/>
      <c r="G363" s="38"/>
      <c r="H363" s="38"/>
      <c r="I363" s="41"/>
      <c r="J363" s="41"/>
      <c r="K363" s="42"/>
      <c r="L363" s="38"/>
    </row>
    <row r="364" spans="1:12" ht="15" customHeight="1">
      <c r="A364" s="9"/>
      <c r="B364" s="43"/>
      <c r="C364" s="44" t="str">
        <f>IF(B364="","",CHOOSE(WEEKDAY(B364,2),"Mánudagur","Þriðjudagur","Miðvikudagur","Fimmtudagur","Föstudagur","Laugardagur","Sunnudagur"))</f>
        <v/>
      </c>
      <c r="D364" s="9"/>
      <c r="E364" s="9"/>
      <c r="F364" s="9"/>
      <c r="G364" s="9"/>
      <c r="H364" s="9"/>
      <c r="I364" s="24"/>
      <c r="J364" s="24"/>
      <c r="K364" s="42"/>
      <c r="L364" s="9"/>
    </row>
    <row r="365" spans="1:12" ht="15" customHeight="1">
      <c r="A365" s="38"/>
      <c r="B365" s="39"/>
      <c r="C365" s="40" t="str">
        <f>IF(B365="","",CHOOSE(WEEKDAY(B365,2),"Mánudagur","Þriðjudagur","Miðvikudagur","Fimmtudagur","Föstudagur","Laugardagur","Sunnudagur"))</f>
        <v/>
      </c>
      <c r="D365" s="38"/>
      <c r="E365" s="38"/>
      <c r="F365" s="38"/>
      <c r="G365" s="38"/>
      <c r="H365" s="38"/>
      <c r="I365" s="41"/>
      <c r="J365" s="41"/>
      <c r="K365" s="42"/>
      <c r="L365" s="38"/>
    </row>
    <row r="366" spans="1:12" ht="15" customHeight="1">
      <c r="A366" s="9"/>
      <c r="B366" s="43"/>
      <c r="C366" s="44" t="str">
        <f>IF(B366="","",CHOOSE(WEEKDAY(B366,2),"Mánudagur","Þriðjudagur","Miðvikudagur","Fimmtudagur","Föstudagur","Laugardagur","Sunnudagur"))</f>
        <v/>
      </c>
      <c r="D366" s="9"/>
      <c r="E366" s="9"/>
      <c r="F366" s="9"/>
      <c r="G366" s="9"/>
      <c r="H366" s="9"/>
      <c r="I366" s="24"/>
      <c r="J366" s="24"/>
      <c r="K366" s="42"/>
      <c r="L366" s="9"/>
    </row>
    <row r="367" spans="1:12" ht="15" customHeight="1">
      <c r="A367" s="38"/>
      <c r="B367" s="39"/>
      <c r="C367" s="40" t="str">
        <f>IF(B367="","",CHOOSE(WEEKDAY(B367,2),"Mánudagur","Þriðjudagur","Miðvikudagur","Fimmtudagur","Föstudagur","Laugardagur","Sunnudagur"))</f>
        <v/>
      </c>
      <c r="D367" s="38"/>
      <c r="E367" s="38"/>
      <c r="F367" s="38"/>
      <c r="G367" s="38"/>
      <c r="H367" s="38"/>
      <c r="I367" s="41"/>
      <c r="J367" s="41"/>
      <c r="K367" s="42"/>
      <c r="L367" s="38"/>
    </row>
    <row r="368" spans="1:12" ht="15" customHeight="1">
      <c r="A368" s="9"/>
      <c r="B368" s="43"/>
      <c r="C368" s="44" t="str">
        <f>IF(B368="","",CHOOSE(WEEKDAY(B368,2),"Mánudagur","Þriðjudagur","Miðvikudagur","Fimmtudagur","Föstudagur","Laugardagur","Sunnudagur"))</f>
        <v/>
      </c>
      <c r="D368" s="9"/>
      <c r="E368" s="9"/>
      <c r="F368" s="9"/>
      <c r="G368" s="9"/>
      <c r="H368" s="9"/>
      <c r="I368" s="24"/>
      <c r="J368" s="24"/>
      <c r="K368" s="42"/>
      <c r="L368" s="9"/>
    </row>
    <row r="369" spans="1:12" ht="15" customHeight="1">
      <c r="A369" s="38"/>
      <c r="B369" s="39"/>
      <c r="C369" s="40" t="str">
        <f>IF(B369="","",CHOOSE(WEEKDAY(B369,2),"Mánudagur","Þriðjudagur","Miðvikudagur","Fimmtudagur","Föstudagur","Laugardagur","Sunnudagur"))</f>
        <v/>
      </c>
      <c r="D369" s="38"/>
      <c r="E369" s="38"/>
      <c r="F369" s="38"/>
      <c r="G369" s="38"/>
      <c r="H369" s="38"/>
      <c r="I369" s="41"/>
      <c r="J369" s="41"/>
      <c r="K369" s="42"/>
      <c r="L369" s="38"/>
    </row>
    <row r="370" spans="1:12" ht="15" customHeight="1">
      <c r="A370" s="9"/>
      <c r="B370" s="43"/>
      <c r="C370" s="44" t="str">
        <f>IF(B370="","",CHOOSE(WEEKDAY(B370,2),"Mánudagur","Þriðjudagur","Miðvikudagur","Fimmtudagur","Föstudagur","Laugardagur","Sunnudagur"))</f>
        <v/>
      </c>
      <c r="D370" s="9"/>
      <c r="E370" s="9"/>
      <c r="F370" s="9"/>
      <c r="G370" s="9"/>
      <c r="H370" s="9"/>
      <c r="I370" s="24"/>
      <c r="J370" s="24"/>
      <c r="K370" s="42"/>
      <c r="L370" s="9"/>
    </row>
    <row r="371" spans="1:12" ht="15" customHeight="1">
      <c r="A371" s="38"/>
      <c r="B371" s="39"/>
      <c r="C371" s="40" t="str">
        <f>IF(B371="","",CHOOSE(WEEKDAY(B371,2),"Mánudagur","Þriðjudagur","Miðvikudagur","Fimmtudagur","Föstudagur","Laugardagur","Sunnudagur"))</f>
        <v/>
      </c>
      <c r="D371" s="38"/>
      <c r="E371" s="38"/>
      <c r="F371" s="38"/>
      <c r="G371" s="38"/>
      <c r="H371" s="38"/>
      <c r="I371" s="41"/>
      <c r="J371" s="41"/>
      <c r="K371" s="42"/>
      <c r="L371" s="38"/>
    </row>
    <row r="372" spans="1:12" ht="15" customHeight="1">
      <c r="A372" s="9"/>
      <c r="B372" s="43"/>
      <c r="C372" s="44" t="str">
        <f>IF(B372="","",CHOOSE(WEEKDAY(B372,2),"Mánudagur","Þriðjudagur","Miðvikudagur","Fimmtudagur","Föstudagur","Laugardagur","Sunnudagur"))</f>
        <v/>
      </c>
      <c r="D372" s="9"/>
      <c r="E372" s="9"/>
      <c r="F372" s="9"/>
      <c r="G372" s="9"/>
      <c r="H372" s="9"/>
      <c r="I372" s="24"/>
      <c r="J372" s="24"/>
      <c r="K372" s="42"/>
      <c r="L372" s="9"/>
    </row>
    <row r="373" spans="1:12" ht="15" customHeight="1">
      <c r="A373" s="38"/>
      <c r="B373" s="39"/>
      <c r="C373" s="40" t="str">
        <f>IF(B373="","",CHOOSE(WEEKDAY(B373,2),"Mánudagur","Þriðjudagur","Miðvikudagur","Fimmtudagur","Föstudagur","Laugardagur","Sunnudagur"))</f>
        <v/>
      </c>
      <c r="D373" s="38"/>
      <c r="E373" s="38"/>
      <c r="F373" s="38"/>
      <c r="G373" s="38"/>
      <c r="H373" s="38"/>
      <c r="I373" s="41"/>
      <c r="J373" s="41"/>
      <c r="K373" s="42"/>
      <c r="L373" s="38"/>
    </row>
    <row r="374" spans="1:12" ht="15" customHeight="1">
      <c r="A374" s="9"/>
      <c r="B374" s="43"/>
      <c r="C374" s="44" t="str">
        <f>IF(B374="","",CHOOSE(WEEKDAY(B374,2),"Mánudagur","Þriðjudagur","Miðvikudagur","Fimmtudagur","Föstudagur","Laugardagur","Sunnudagur"))</f>
        <v/>
      </c>
      <c r="D374" s="9"/>
      <c r="E374" s="9"/>
      <c r="F374" s="9"/>
      <c r="G374" s="9"/>
      <c r="H374" s="9"/>
      <c r="I374" s="24"/>
      <c r="J374" s="24"/>
      <c r="K374" s="42"/>
      <c r="L374" s="9"/>
    </row>
    <row r="375" spans="1:12" ht="15" customHeight="1">
      <c r="A375" s="38"/>
      <c r="B375" s="39"/>
      <c r="C375" s="40" t="str">
        <f>IF(B375="","",CHOOSE(WEEKDAY(B375,2),"Mánudagur","Þriðjudagur","Miðvikudagur","Fimmtudagur","Föstudagur","Laugardagur","Sunnudagur"))</f>
        <v/>
      </c>
      <c r="D375" s="38"/>
      <c r="E375" s="38"/>
      <c r="F375" s="38"/>
      <c r="G375" s="38"/>
      <c r="H375" s="38"/>
      <c r="I375" s="41"/>
      <c r="J375" s="41"/>
      <c r="K375" s="42"/>
      <c r="L375" s="38"/>
    </row>
    <row r="376" spans="1:12" ht="15" customHeight="1">
      <c r="A376" s="9"/>
      <c r="B376" s="43"/>
      <c r="C376" s="44" t="str">
        <f>IF(B376="","",CHOOSE(WEEKDAY(B376,2),"Mánudagur","Þriðjudagur","Miðvikudagur","Fimmtudagur","Föstudagur","Laugardagur","Sunnudagur"))</f>
        <v/>
      </c>
      <c r="D376" s="9"/>
      <c r="E376" s="9"/>
      <c r="F376" s="9"/>
      <c r="G376" s="9"/>
      <c r="H376" s="9"/>
      <c r="I376" s="24"/>
      <c r="J376" s="24"/>
      <c r="K376" s="42"/>
      <c r="L376" s="9"/>
    </row>
    <row r="377" spans="1:12" ht="15" customHeight="1">
      <c r="A377" s="38"/>
      <c r="B377" s="39"/>
      <c r="C377" s="40" t="str">
        <f>IF(B377="","",CHOOSE(WEEKDAY(B377,2),"Mánudagur","Þriðjudagur","Miðvikudagur","Fimmtudagur","Föstudagur","Laugardagur","Sunnudagur"))</f>
        <v/>
      </c>
      <c r="D377" s="38"/>
      <c r="E377" s="38"/>
      <c r="F377" s="38"/>
      <c r="G377" s="38"/>
      <c r="H377" s="38"/>
      <c r="I377" s="41"/>
      <c r="J377" s="41"/>
      <c r="K377" s="42"/>
      <c r="L377" s="38"/>
    </row>
    <row r="378" spans="1:12" ht="15" customHeight="1">
      <c r="A378" s="9"/>
      <c r="B378" s="43"/>
      <c r="C378" s="44" t="str">
        <f>IF(B378="","",CHOOSE(WEEKDAY(B378,2),"Mánudagur","Þriðjudagur","Miðvikudagur","Fimmtudagur","Föstudagur","Laugardagur","Sunnudagur"))</f>
        <v/>
      </c>
      <c r="D378" s="9"/>
      <c r="E378" s="9"/>
      <c r="F378" s="9"/>
      <c r="G378" s="9"/>
      <c r="H378" s="9"/>
      <c r="I378" s="24"/>
      <c r="J378" s="24"/>
      <c r="K378" s="42"/>
      <c r="L378" s="9"/>
    </row>
    <row r="379" spans="1:12" ht="15" customHeight="1">
      <c r="A379" s="38"/>
      <c r="B379" s="39"/>
      <c r="C379" s="40" t="str">
        <f>IF(B379="","",CHOOSE(WEEKDAY(B379,2),"Mánudagur","Þriðjudagur","Miðvikudagur","Fimmtudagur","Föstudagur","Laugardagur","Sunnudagur"))</f>
        <v/>
      </c>
      <c r="D379" s="38"/>
      <c r="E379" s="38"/>
      <c r="F379" s="38"/>
      <c r="G379" s="38"/>
      <c r="H379" s="38"/>
      <c r="I379" s="41"/>
      <c r="J379" s="41"/>
      <c r="K379" s="42"/>
      <c r="L379" s="38"/>
    </row>
    <row r="380" spans="1:12" ht="15" customHeight="1">
      <c r="A380" s="9"/>
      <c r="B380" s="43"/>
      <c r="C380" s="44" t="str">
        <f>IF(B380="","",CHOOSE(WEEKDAY(B380,2),"Mánudagur","Þriðjudagur","Miðvikudagur","Fimmtudagur","Föstudagur","Laugardagur","Sunnudagur"))</f>
        <v/>
      </c>
      <c r="D380" s="9"/>
      <c r="E380" s="9"/>
      <c r="F380" s="9"/>
      <c r="G380" s="9"/>
      <c r="H380" s="9"/>
      <c r="I380" s="24"/>
      <c r="J380" s="24"/>
      <c r="K380" s="42"/>
      <c r="L380" s="9"/>
    </row>
    <row r="381" spans="1:12" ht="15" customHeight="1">
      <c r="A381" s="38"/>
      <c r="B381" s="39"/>
      <c r="C381" s="40" t="str">
        <f>IF(B381="","",CHOOSE(WEEKDAY(B381,2),"Mánudagur","Þriðjudagur","Miðvikudagur","Fimmtudagur","Föstudagur","Laugardagur","Sunnudagur"))</f>
        <v/>
      </c>
      <c r="D381" s="38"/>
      <c r="E381" s="38"/>
      <c r="F381" s="38"/>
      <c r="G381" s="38"/>
      <c r="H381" s="38"/>
      <c r="I381" s="41"/>
      <c r="J381" s="41"/>
      <c r="K381" s="42"/>
      <c r="L381" s="38"/>
    </row>
    <row r="382" spans="1:12" ht="15" customHeight="1">
      <c r="A382" s="9"/>
      <c r="B382" s="43"/>
      <c r="C382" s="44" t="str">
        <f>IF(B382="","",CHOOSE(WEEKDAY(B382,2),"Mánudagur","Þriðjudagur","Miðvikudagur","Fimmtudagur","Föstudagur","Laugardagur","Sunnudagur"))</f>
        <v/>
      </c>
      <c r="D382" s="9"/>
      <c r="E382" s="9"/>
      <c r="F382" s="9"/>
      <c r="G382" s="9"/>
      <c r="H382" s="9"/>
      <c r="I382" s="24"/>
      <c r="J382" s="24"/>
      <c r="K382" s="42"/>
      <c r="L382" s="9"/>
    </row>
    <row r="383" spans="1:12" ht="15" customHeight="1">
      <c r="A383" s="38"/>
      <c r="B383" s="39"/>
      <c r="C383" s="40" t="str">
        <f>IF(B383="","",CHOOSE(WEEKDAY(B383,2),"Mánudagur","Þriðjudagur","Miðvikudagur","Fimmtudagur","Föstudagur","Laugardagur","Sunnudagur"))</f>
        <v/>
      </c>
      <c r="D383" s="38"/>
      <c r="E383" s="38"/>
      <c r="F383" s="38"/>
      <c r="G383" s="38"/>
      <c r="H383" s="38"/>
      <c r="I383" s="41"/>
      <c r="J383" s="41"/>
      <c r="K383" s="42"/>
      <c r="L383" s="38"/>
    </row>
    <row r="384" spans="1:12" ht="15" customHeight="1">
      <c r="A384" s="9"/>
      <c r="B384" s="43"/>
      <c r="C384" s="44" t="str">
        <f>IF(B384="","",CHOOSE(WEEKDAY(B384,2),"Mánudagur","Þriðjudagur","Miðvikudagur","Fimmtudagur","Föstudagur","Laugardagur","Sunnudagur"))</f>
        <v/>
      </c>
      <c r="D384" s="9"/>
      <c r="E384" s="9"/>
      <c r="F384" s="9"/>
      <c r="G384" s="9"/>
      <c r="H384" s="9"/>
      <c r="I384" s="24"/>
      <c r="J384" s="24"/>
      <c r="K384" s="42"/>
      <c r="L384" s="9"/>
    </row>
    <row r="385" spans="1:12" ht="15" customHeight="1">
      <c r="A385" s="38"/>
      <c r="B385" s="39"/>
      <c r="C385" s="40" t="str">
        <f>IF(B385="","",CHOOSE(WEEKDAY(B385,2),"Mánudagur","Þriðjudagur","Miðvikudagur","Fimmtudagur","Föstudagur","Laugardagur","Sunnudagur"))</f>
        <v/>
      </c>
      <c r="D385" s="38"/>
      <c r="E385" s="38"/>
      <c r="F385" s="38"/>
      <c r="G385" s="38"/>
      <c r="H385" s="38"/>
      <c r="I385" s="41"/>
      <c r="J385" s="41"/>
      <c r="K385" s="42"/>
      <c r="L385" s="38"/>
    </row>
    <row r="386" spans="1:12" ht="15" customHeight="1">
      <c r="A386" s="9"/>
      <c r="B386" s="43"/>
      <c r="C386" s="44" t="str">
        <f>IF(B386="","",CHOOSE(WEEKDAY(B386,2),"Mánudagur","Þriðjudagur","Miðvikudagur","Fimmtudagur","Föstudagur","Laugardagur","Sunnudagur"))</f>
        <v/>
      </c>
      <c r="D386" s="9"/>
      <c r="E386" s="9"/>
      <c r="F386" s="9"/>
      <c r="G386" s="9"/>
      <c r="H386" s="9"/>
      <c r="I386" s="24"/>
      <c r="J386" s="24"/>
      <c r="K386" s="42"/>
      <c r="L386" s="9"/>
    </row>
    <row r="387" spans="1:12" ht="15" customHeight="1">
      <c r="A387" s="38"/>
      <c r="B387" s="39"/>
      <c r="C387" s="40" t="str">
        <f>IF(B387="","",CHOOSE(WEEKDAY(B387,2),"Mánudagur","Þriðjudagur","Miðvikudagur","Fimmtudagur","Föstudagur","Laugardagur","Sunnudagur"))</f>
        <v/>
      </c>
      <c r="D387" s="38"/>
      <c r="E387" s="38"/>
      <c r="F387" s="38"/>
      <c r="G387" s="38"/>
      <c r="H387" s="38"/>
      <c r="I387" s="41"/>
      <c r="J387" s="41"/>
      <c r="K387" s="42"/>
      <c r="L387" s="38"/>
    </row>
    <row r="388" spans="1:12" ht="15" customHeight="1">
      <c r="A388" s="9"/>
      <c r="B388" s="43"/>
      <c r="C388" s="44" t="str">
        <f>IF(B388="","",CHOOSE(WEEKDAY(B388,2),"Mánudagur","Þriðjudagur","Miðvikudagur","Fimmtudagur","Föstudagur","Laugardagur","Sunnudagur"))</f>
        <v/>
      </c>
      <c r="D388" s="9"/>
      <c r="E388" s="9"/>
      <c r="F388" s="9"/>
      <c r="G388" s="9"/>
      <c r="H388" s="9"/>
      <c r="I388" s="24"/>
      <c r="J388" s="24"/>
      <c r="K388" s="42"/>
      <c r="L388" s="9"/>
    </row>
    <row r="389" spans="1:12" ht="15" customHeight="1">
      <c r="A389" s="38"/>
      <c r="B389" s="39"/>
      <c r="C389" s="40" t="str">
        <f>IF(B389="","",CHOOSE(WEEKDAY(B389,2),"Mánudagur","Þriðjudagur","Miðvikudagur","Fimmtudagur","Föstudagur","Laugardagur","Sunnudagur"))</f>
        <v/>
      </c>
      <c r="D389" s="38"/>
      <c r="E389" s="38"/>
      <c r="F389" s="38"/>
      <c r="G389" s="38"/>
      <c r="H389" s="38"/>
      <c r="I389" s="41"/>
      <c r="J389" s="41"/>
      <c r="K389" s="42"/>
      <c r="L389" s="38"/>
    </row>
    <row r="390" spans="1:12" ht="15" customHeight="1">
      <c r="A390" s="9"/>
      <c r="B390" s="43"/>
      <c r="C390" s="44" t="str">
        <f>IF(B390="","",CHOOSE(WEEKDAY(B390,2),"Mánudagur","Þriðjudagur","Miðvikudagur","Fimmtudagur","Föstudagur","Laugardagur","Sunnudagur"))</f>
        <v/>
      </c>
      <c r="D390" s="9"/>
      <c r="E390" s="9"/>
      <c r="F390" s="9"/>
      <c r="G390" s="9"/>
      <c r="H390" s="9"/>
      <c r="I390" s="24"/>
      <c r="J390" s="24"/>
      <c r="K390" s="42"/>
      <c r="L390" s="9"/>
    </row>
    <row r="391" spans="1:12" ht="15" customHeight="1">
      <c r="A391" s="38"/>
      <c r="B391" s="39"/>
      <c r="C391" s="40" t="str">
        <f>IF(B391="","",CHOOSE(WEEKDAY(B391,2),"Mánudagur","Þriðjudagur","Miðvikudagur","Fimmtudagur","Föstudagur","Laugardagur","Sunnudagur"))</f>
        <v/>
      </c>
      <c r="D391" s="38"/>
      <c r="E391" s="38"/>
      <c r="F391" s="38"/>
      <c r="G391" s="38"/>
      <c r="H391" s="38"/>
      <c r="I391" s="41"/>
      <c r="J391" s="41"/>
      <c r="K391" s="42"/>
      <c r="L391" s="38"/>
    </row>
    <row r="392" spans="1:12" ht="15" customHeight="1">
      <c r="A392" s="9"/>
      <c r="B392" s="43"/>
      <c r="C392" s="44" t="str">
        <f>IF(B392="","",CHOOSE(WEEKDAY(B392,2),"Mánudagur","Þriðjudagur","Miðvikudagur","Fimmtudagur","Föstudagur","Laugardagur","Sunnudagur"))</f>
        <v/>
      </c>
      <c r="D392" s="9"/>
      <c r="E392" s="9"/>
      <c r="F392" s="9"/>
      <c r="G392" s="9"/>
      <c r="H392" s="9"/>
      <c r="I392" s="24"/>
      <c r="J392" s="24"/>
      <c r="K392" s="42"/>
      <c r="L392" s="9"/>
    </row>
    <row r="393" spans="1:12" ht="15" customHeight="1">
      <c r="A393" s="38"/>
      <c r="B393" s="39"/>
      <c r="C393" s="40" t="str">
        <f>IF(B393="","",CHOOSE(WEEKDAY(B393,2),"Mánudagur","Þriðjudagur","Miðvikudagur","Fimmtudagur","Föstudagur","Laugardagur","Sunnudagur"))</f>
        <v/>
      </c>
      <c r="D393" s="38"/>
      <c r="E393" s="38"/>
      <c r="F393" s="38"/>
      <c r="G393" s="38"/>
      <c r="H393" s="38"/>
      <c r="I393" s="41"/>
      <c r="J393" s="41"/>
      <c r="K393" s="42"/>
      <c r="L393" s="38"/>
    </row>
    <row r="394" spans="1:12" ht="15" customHeight="1">
      <c r="A394" s="9"/>
      <c r="B394" s="43"/>
      <c r="C394" s="44" t="str">
        <f>IF(B394="","",CHOOSE(WEEKDAY(B394,2),"Mánudagur","Þriðjudagur","Miðvikudagur","Fimmtudagur","Föstudagur","Laugardagur","Sunnudagur"))</f>
        <v/>
      </c>
      <c r="D394" s="9"/>
      <c r="E394" s="9"/>
      <c r="F394" s="9"/>
      <c r="G394" s="9"/>
      <c r="H394" s="9"/>
      <c r="I394" s="24"/>
      <c r="J394" s="24"/>
      <c r="K394" s="42"/>
      <c r="L394" s="9"/>
    </row>
    <row r="395" spans="1:12" ht="15" customHeight="1">
      <c r="A395" s="38"/>
      <c r="B395" s="39"/>
      <c r="C395" s="40" t="str">
        <f>IF(B395="","",CHOOSE(WEEKDAY(B395,2),"Mánudagur","Þriðjudagur","Miðvikudagur","Fimmtudagur","Föstudagur","Laugardagur","Sunnudagur"))</f>
        <v/>
      </c>
      <c r="D395" s="38"/>
      <c r="E395" s="38"/>
      <c r="F395" s="38"/>
      <c r="G395" s="38"/>
      <c r="H395" s="38"/>
      <c r="I395" s="41"/>
      <c r="J395" s="41"/>
      <c r="K395" s="42"/>
      <c r="L395" s="38"/>
    </row>
    <row r="396" spans="1:12" ht="15" customHeight="1">
      <c r="A396" s="9"/>
      <c r="B396" s="43"/>
      <c r="C396" s="44" t="str">
        <f>IF(B396="","",CHOOSE(WEEKDAY(B396,2),"Mánudagur","Þriðjudagur","Miðvikudagur","Fimmtudagur","Föstudagur","Laugardagur","Sunnudagur"))</f>
        <v/>
      </c>
      <c r="D396" s="9"/>
      <c r="E396" s="9"/>
      <c r="F396" s="9"/>
      <c r="G396" s="9"/>
      <c r="H396" s="9"/>
      <c r="I396" s="24"/>
      <c r="J396" s="24"/>
      <c r="K396" s="42"/>
      <c r="L396" s="9"/>
    </row>
    <row r="397" spans="1:12" ht="15" customHeight="1">
      <c r="A397" s="38"/>
      <c r="B397" s="39"/>
      <c r="C397" s="40" t="str">
        <f>IF(B397="","",CHOOSE(WEEKDAY(B397,2),"Mánudagur","Þriðjudagur","Miðvikudagur","Fimmtudagur","Föstudagur","Laugardagur","Sunnudagur"))</f>
        <v/>
      </c>
      <c r="D397" s="38"/>
      <c r="E397" s="38"/>
      <c r="F397" s="38"/>
      <c r="G397" s="38"/>
      <c r="H397" s="38"/>
      <c r="I397" s="41"/>
      <c r="J397" s="41"/>
      <c r="K397" s="42"/>
      <c r="L397" s="38"/>
    </row>
    <row r="398" spans="1:12" ht="15" customHeight="1">
      <c r="A398" s="9"/>
      <c r="B398" s="43"/>
      <c r="C398" s="44" t="str">
        <f>IF(B398="","",CHOOSE(WEEKDAY(B398,2),"Mánudagur","Þriðjudagur","Miðvikudagur","Fimmtudagur","Föstudagur","Laugardagur","Sunnudagur"))</f>
        <v/>
      </c>
      <c r="D398" s="9"/>
      <c r="E398" s="9"/>
      <c r="F398" s="9"/>
      <c r="G398" s="9"/>
      <c r="H398" s="9"/>
      <c r="I398" s="24"/>
      <c r="J398" s="24"/>
      <c r="K398" s="42"/>
      <c r="L398" s="9"/>
    </row>
    <row r="399" spans="1:12" ht="15" customHeight="1">
      <c r="A399" s="38"/>
      <c r="B399" s="39"/>
      <c r="C399" s="40" t="str">
        <f>IF(B399="","",CHOOSE(WEEKDAY(B399,2),"Mánudagur","Þriðjudagur","Miðvikudagur","Fimmtudagur","Föstudagur","Laugardagur","Sunnudagur"))</f>
        <v/>
      </c>
      <c r="D399" s="38"/>
      <c r="E399" s="38"/>
      <c r="F399" s="38"/>
      <c r="G399" s="38"/>
      <c r="H399" s="38"/>
      <c r="I399" s="41"/>
      <c r="J399" s="41"/>
      <c r="K399" s="42"/>
      <c r="L399" s="38"/>
    </row>
    <row r="400" spans="1:12" ht="15" customHeight="1">
      <c r="A400" s="9"/>
      <c r="B400" s="43"/>
      <c r="C400" s="44" t="str">
        <f>IF(B400="","",CHOOSE(WEEKDAY(B400,2),"Mánudagur","Þriðjudagur","Miðvikudagur","Fimmtudagur","Föstudagur","Laugardagur","Sunnudagur"))</f>
        <v/>
      </c>
      <c r="D400" s="9"/>
      <c r="E400" s="9"/>
      <c r="F400" s="9"/>
      <c r="G400" s="9"/>
      <c r="H400" s="9"/>
      <c r="I400" s="24"/>
      <c r="J400" s="24"/>
      <c r="K400" s="42"/>
      <c r="L400" s="9"/>
    </row>
    <row r="401" spans="1:12" ht="15" customHeight="1">
      <c r="A401" s="38"/>
      <c r="B401" s="39"/>
      <c r="C401" s="40" t="str">
        <f>IF(B401="","",CHOOSE(WEEKDAY(B401,2),"Mánudagur","Þriðjudagur","Miðvikudagur","Fimmtudagur","Föstudagur","Laugardagur","Sunnudagur"))</f>
        <v/>
      </c>
      <c r="D401" s="38"/>
      <c r="E401" s="38"/>
      <c r="F401" s="38"/>
      <c r="G401" s="38"/>
      <c r="H401" s="38"/>
      <c r="I401" s="41"/>
      <c r="J401" s="41"/>
      <c r="K401" s="42"/>
      <c r="L401" s="38"/>
    </row>
    <row r="402" spans="1:12" ht="15" customHeight="1">
      <c r="A402" s="9"/>
      <c r="B402" s="43"/>
      <c r="C402" s="44" t="str">
        <f>IF(B402="","",CHOOSE(WEEKDAY(B402,2),"Mánudagur","Þriðjudagur","Miðvikudagur","Fimmtudagur","Föstudagur","Laugardagur","Sunnudagur"))</f>
        <v/>
      </c>
      <c r="D402" s="9"/>
      <c r="E402" s="9"/>
      <c r="F402" s="9"/>
      <c r="G402" s="9"/>
      <c r="H402" s="9"/>
      <c r="I402" s="24"/>
      <c r="J402" s="24"/>
      <c r="K402" s="42"/>
      <c r="L402" s="9"/>
    </row>
    <row r="403" spans="1:12" ht="15" customHeight="1">
      <c r="A403" s="38"/>
      <c r="B403" s="39"/>
      <c r="C403" s="40" t="str">
        <f>IF(B403="","",CHOOSE(WEEKDAY(B403,2),"Mánudagur","Þriðjudagur","Miðvikudagur","Fimmtudagur","Föstudagur","Laugardagur","Sunnudagur"))</f>
        <v/>
      </c>
      <c r="D403" s="38"/>
      <c r="E403" s="38"/>
      <c r="F403" s="38"/>
      <c r="G403" s="38"/>
      <c r="H403" s="38"/>
      <c r="I403" s="41"/>
      <c r="J403" s="41"/>
      <c r="K403" s="42"/>
      <c r="L403" s="38"/>
    </row>
    <row r="404" spans="1:12" ht="15" customHeight="1">
      <c r="A404" s="9"/>
      <c r="B404" s="43"/>
      <c r="C404" s="44" t="str">
        <f>IF(B404="","",CHOOSE(WEEKDAY(B404,2),"Mánudagur","Þriðjudagur","Miðvikudagur","Fimmtudagur","Föstudagur","Laugardagur","Sunnudagur"))</f>
        <v/>
      </c>
      <c r="D404" s="9"/>
      <c r="E404" s="9"/>
      <c r="F404" s="9"/>
      <c r="G404" s="9"/>
      <c r="H404" s="9"/>
      <c r="I404" s="24"/>
      <c r="J404" s="24"/>
      <c r="K404" s="42"/>
      <c r="L404" s="9"/>
    </row>
    <row r="405" spans="1:12" ht="15" customHeight="1">
      <c r="A405" s="38"/>
      <c r="B405" s="39"/>
      <c r="C405" s="40" t="str">
        <f>IF(B405="","",CHOOSE(WEEKDAY(B405,2),"Mánudagur","Þriðjudagur","Miðvikudagur","Fimmtudagur","Föstudagur","Laugardagur","Sunnudagur"))</f>
        <v/>
      </c>
      <c r="D405" s="38"/>
      <c r="E405" s="38"/>
      <c r="F405" s="38"/>
      <c r="G405" s="38"/>
      <c r="H405" s="38"/>
      <c r="I405" s="41"/>
      <c r="J405" s="41"/>
      <c r="K405" s="42"/>
      <c r="L405" s="38"/>
    </row>
    <row r="406" spans="1:12" ht="15" customHeight="1">
      <c r="A406" s="9"/>
      <c r="B406" s="43"/>
      <c r="C406" s="44" t="str">
        <f>IF(B406="","",CHOOSE(WEEKDAY(B406,2),"Mánudagur","Þriðjudagur","Miðvikudagur","Fimmtudagur","Föstudagur","Laugardagur","Sunnudagur"))</f>
        <v/>
      </c>
      <c r="D406" s="9"/>
      <c r="E406" s="9"/>
      <c r="F406" s="9"/>
      <c r="G406" s="9"/>
      <c r="H406" s="9"/>
      <c r="I406" s="24"/>
      <c r="J406" s="24"/>
      <c r="K406" s="42"/>
      <c r="L406" s="9"/>
    </row>
    <row r="407" spans="1:12" ht="15" customHeight="1">
      <c r="A407" s="38"/>
      <c r="B407" s="39"/>
      <c r="C407" s="40" t="str">
        <f>IF(B407="","",CHOOSE(WEEKDAY(B407,2),"Mánudagur","Þriðjudagur","Miðvikudagur","Fimmtudagur","Föstudagur","Laugardagur","Sunnudagur"))</f>
        <v/>
      </c>
      <c r="D407" s="38"/>
      <c r="E407" s="38"/>
      <c r="F407" s="38"/>
      <c r="G407" s="38"/>
      <c r="H407" s="38"/>
      <c r="I407" s="41"/>
      <c r="J407" s="41"/>
      <c r="K407" s="42"/>
      <c r="L407" s="38"/>
    </row>
    <row r="408" spans="1:12" ht="15" customHeight="1">
      <c r="A408" s="9"/>
      <c r="B408" s="43"/>
      <c r="C408" s="44" t="str">
        <f>IF(B408="","",CHOOSE(WEEKDAY(B408,2),"Mánudagur","Þriðjudagur","Miðvikudagur","Fimmtudagur","Föstudagur","Laugardagur","Sunnudagur"))</f>
        <v/>
      </c>
      <c r="D408" s="9"/>
      <c r="E408" s="9"/>
      <c r="F408" s="9"/>
      <c r="G408" s="9"/>
      <c r="H408" s="9"/>
      <c r="I408" s="24"/>
      <c r="J408" s="24"/>
      <c r="K408" s="42"/>
      <c r="L408" s="9"/>
    </row>
    <row r="409" spans="1:12" ht="15" customHeight="1">
      <c r="A409" s="38"/>
      <c r="B409" s="39"/>
      <c r="C409" s="40" t="str">
        <f>IF(B409="","",CHOOSE(WEEKDAY(B409,2),"Mánudagur","Þriðjudagur","Miðvikudagur","Fimmtudagur","Föstudagur","Laugardagur","Sunnudagur"))</f>
        <v/>
      </c>
      <c r="D409" s="38"/>
      <c r="E409" s="38"/>
      <c r="F409" s="38"/>
      <c r="G409" s="38"/>
      <c r="H409" s="38"/>
      <c r="I409" s="41"/>
      <c r="J409" s="41"/>
      <c r="K409" s="42"/>
      <c r="L409" s="38"/>
    </row>
    <row r="410" spans="1:12" ht="15" customHeight="1">
      <c r="A410" s="9"/>
      <c r="B410" s="43"/>
      <c r="C410" s="44" t="str">
        <f>IF(B410="","",CHOOSE(WEEKDAY(B410,2),"Mánudagur","Þriðjudagur","Miðvikudagur","Fimmtudagur","Föstudagur","Laugardagur","Sunnudagur"))</f>
        <v/>
      </c>
      <c r="D410" s="9"/>
      <c r="E410" s="9"/>
      <c r="F410" s="9"/>
      <c r="G410" s="9"/>
      <c r="H410" s="9"/>
      <c r="I410" s="24"/>
      <c r="J410" s="24"/>
      <c r="K410" s="42"/>
      <c r="L410" s="9"/>
    </row>
    <row r="411" spans="1:12" ht="15" customHeight="1">
      <c r="A411" s="38"/>
      <c r="B411" s="39"/>
      <c r="C411" s="40" t="str">
        <f>IF(B411="","",CHOOSE(WEEKDAY(B411,2),"Mánudagur","Þriðjudagur","Miðvikudagur","Fimmtudagur","Föstudagur","Laugardagur","Sunnudagur"))</f>
        <v/>
      </c>
      <c r="D411" s="38"/>
      <c r="E411" s="38"/>
      <c r="F411" s="38"/>
      <c r="G411" s="38"/>
      <c r="H411" s="38"/>
      <c r="I411" s="41"/>
      <c r="J411" s="41"/>
      <c r="K411" s="42"/>
      <c r="L411" s="38"/>
    </row>
    <row r="412" spans="1:12" ht="15" customHeight="1">
      <c r="A412" s="9"/>
      <c r="B412" s="43"/>
      <c r="C412" s="44" t="str">
        <f>IF(B412="","",CHOOSE(WEEKDAY(B412,2),"Mánudagur","Þriðjudagur","Miðvikudagur","Fimmtudagur","Föstudagur","Laugardagur","Sunnudagur"))</f>
        <v/>
      </c>
      <c r="D412" s="9"/>
      <c r="E412" s="9"/>
      <c r="F412" s="9"/>
      <c r="G412" s="9"/>
      <c r="H412" s="9"/>
      <c r="I412" s="24"/>
      <c r="J412" s="24"/>
      <c r="K412" s="42"/>
      <c r="L412" s="9"/>
    </row>
    <row r="413" spans="1:12" ht="15" customHeight="1">
      <c r="A413" s="38"/>
      <c r="B413" s="39"/>
      <c r="C413" s="40" t="str">
        <f>IF(B413="","",CHOOSE(WEEKDAY(B413,2),"Mánudagur","Þriðjudagur","Miðvikudagur","Fimmtudagur","Föstudagur","Laugardagur","Sunnudagur"))</f>
        <v/>
      </c>
      <c r="D413" s="38"/>
      <c r="E413" s="38"/>
      <c r="F413" s="38"/>
      <c r="G413" s="38"/>
      <c r="H413" s="38"/>
      <c r="I413" s="41"/>
      <c r="J413" s="41"/>
      <c r="K413" s="42"/>
      <c r="L413" s="38"/>
    </row>
    <row r="414" spans="1:12" ht="15" customHeight="1">
      <c r="A414" s="9"/>
      <c r="B414" s="43"/>
      <c r="C414" s="44" t="str">
        <f>IF(B414="","",CHOOSE(WEEKDAY(B414,2),"Mánudagur","Þriðjudagur","Miðvikudagur","Fimmtudagur","Föstudagur","Laugardagur","Sunnudagur"))</f>
        <v/>
      </c>
      <c r="D414" s="9"/>
      <c r="E414" s="9"/>
      <c r="F414" s="9"/>
      <c r="G414" s="9"/>
      <c r="H414" s="9"/>
      <c r="I414" s="24"/>
      <c r="J414" s="24"/>
      <c r="K414" s="42"/>
      <c r="L414" s="9"/>
    </row>
    <row r="415" spans="1:12" ht="15" customHeight="1">
      <c r="A415" s="38"/>
      <c r="B415" s="39"/>
      <c r="C415" s="40" t="str">
        <f>IF(B415="","",CHOOSE(WEEKDAY(B415,2),"Mánudagur","Þriðjudagur","Miðvikudagur","Fimmtudagur","Föstudagur","Laugardagur","Sunnudagur"))</f>
        <v/>
      </c>
      <c r="D415" s="38"/>
      <c r="E415" s="38"/>
      <c r="F415" s="38"/>
      <c r="G415" s="38"/>
      <c r="H415" s="38"/>
      <c r="I415" s="41"/>
      <c r="J415" s="41"/>
      <c r="K415" s="42"/>
      <c r="L415" s="38"/>
    </row>
    <row r="416" spans="1:12" ht="15" customHeight="1">
      <c r="A416" s="9"/>
      <c r="B416" s="43"/>
      <c r="C416" s="44" t="str">
        <f>IF(B416="","",CHOOSE(WEEKDAY(B416,2),"Mánudagur","Þriðjudagur","Miðvikudagur","Fimmtudagur","Föstudagur","Laugardagur","Sunnudagur"))</f>
        <v/>
      </c>
      <c r="D416" s="9"/>
      <c r="E416" s="9"/>
      <c r="F416" s="9"/>
      <c r="G416" s="9"/>
      <c r="H416" s="9"/>
      <c r="I416" s="24"/>
      <c r="J416" s="24"/>
      <c r="K416" s="42"/>
      <c r="L416" s="9"/>
    </row>
    <row r="417" spans="1:12" ht="15" customHeight="1">
      <c r="A417" s="38"/>
      <c r="B417" s="39"/>
      <c r="C417" s="40" t="str">
        <f>IF(B417="","",CHOOSE(WEEKDAY(B417,2),"Mánudagur","Þriðjudagur","Miðvikudagur","Fimmtudagur","Föstudagur","Laugardagur","Sunnudagur"))</f>
        <v/>
      </c>
      <c r="D417" s="38"/>
      <c r="E417" s="38"/>
      <c r="F417" s="38"/>
      <c r="G417" s="38"/>
      <c r="H417" s="38"/>
      <c r="I417" s="41"/>
      <c r="J417" s="41"/>
      <c r="K417" s="42"/>
      <c r="L417" s="38"/>
    </row>
    <row r="418" spans="1:12" ht="15" customHeight="1">
      <c r="A418" s="9"/>
      <c r="B418" s="43"/>
      <c r="C418" s="44" t="str">
        <f>IF(B418="","",CHOOSE(WEEKDAY(B418,2),"Mánudagur","Þriðjudagur","Miðvikudagur","Fimmtudagur","Föstudagur","Laugardagur","Sunnudagur"))</f>
        <v/>
      </c>
      <c r="D418" s="9"/>
      <c r="E418" s="9"/>
      <c r="F418" s="9"/>
      <c r="G418" s="9"/>
      <c r="H418" s="9"/>
      <c r="I418" s="24"/>
      <c r="J418" s="24"/>
      <c r="K418" s="42"/>
      <c r="L418" s="9"/>
    </row>
    <row r="419" spans="1:12" ht="15" customHeight="1">
      <c r="A419" s="38"/>
      <c r="B419" s="39"/>
      <c r="C419" s="40" t="str">
        <f>IF(B419="","",CHOOSE(WEEKDAY(B419,2),"Mánudagur","Þriðjudagur","Miðvikudagur","Fimmtudagur","Föstudagur","Laugardagur","Sunnudagur"))</f>
        <v/>
      </c>
      <c r="D419" s="38"/>
      <c r="E419" s="38"/>
      <c r="F419" s="38"/>
      <c r="G419" s="38"/>
      <c r="H419" s="38"/>
      <c r="I419" s="41"/>
      <c r="J419" s="41"/>
      <c r="K419" s="42"/>
      <c r="L419" s="38"/>
    </row>
    <row r="420" spans="1:12" ht="15" customHeight="1">
      <c r="A420" s="9"/>
      <c r="B420" s="43"/>
      <c r="C420" s="44" t="str">
        <f>IF(B420="","",CHOOSE(WEEKDAY(B420,2),"Mánudagur","Þriðjudagur","Miðvikudagur","Fimmtudagur","Föstudagur","Laugardagur","Sunnudagur"))</f>
        <v/>
      </c>
      <c r="D420" s="9"/>
      <c r="E420" s="9"/>
      <c r="F420" s="9"/>
      <c r="G420" s="9"/>
      <c r="H420" s="9"/>
      <c r="I420" s="24"/>
      <c r="J420" s="24"/>
      <c r="K420" s="42"/>
      <c r="L420" s="9"/>
    </row>
    <row r="421" spans="1:12" ht="15" customHeight="1">
      <c r="A421" s="38"/>
      <c r="B421" s="39"/>
      <c r="C421" s="40" t="str">
        <f>IF(B421="","",CHOOSE(WEEKDAY(B421,2),"Mánudagur","Þriðjudagur","Miðvikudagur","Fimmtudagur","Föstudagur","Laugardagur","Sunnudagur"))</f>
        <v/>
      </c>
      <c r="D421" s="38"/>
      <c r="E421" s="38"/>
      <c r="F421" s="38"/>
      <c r="G421" s="38"/>
      <c r="H421" s="38"/>
      <c r="I421" s="41"/>
      <c r="J421" s="41"/>
      <c r="K421" s="42"/>
      <c r="L421" s="38"/>
    </row>
    <row r="422" spans="1:12" ht="15" customHeight="1">
      <c r="A422" s="9"/>
      <c r="B422" s="43"/>
      <c r="C422" s="44" t="str">
        <f>IF(B422="","",CHOOSE(WEEKDAY(B422,2),"Mánudagur","Þriðjudagur","Miðvikudagur","Fimmtudagur","Föstudagur","Laugardagur","Sunnudagur"))</f>
        <v/>
      </c>
      <c r="D422" s="9"/>
      <c r="E422" s="9"/>
      <c r="F422" s="9"/>
      <c r="G422" s="9"/>
      <c r="H422" s="9"/>
      <c r="I422" s="24"/>
      <c r="J422" s="24"/>
      <c r="K422" s="42"/>
      <c r="L422" s="9"/>
    </row>
    <row r="423" spans="1:12" ht="15" customHeight="1">
      <c r="A423" s="38"/>
      <c r="B423" s="39"/>
      <c r="C423" s="40" t="str">
        <f>IF(B423="","",CHOOSE(WEEKDAY(B423,2),"Mánudagur","Þriðjudagur","Miðvikudagur","Fimmtudagur","Föstudagur","Laugardagur","Sunnudagur"))</f>
        <v/>
      </c>
      <c r="D423" s="38"/>
      <c r="E423" s="38"/>
      <c r="F423" s="38"/>
      <c r="G423" s="38"/>
      <c r="H423" s="38"/>
      <c r="I423" s="41"/>
      <c r="J423" s="41"/>
      <c r="K423" s="42"/>
      <c r="L423" s="38"/>
    </row>
    <row r="424" spans="1:12" ht="15" customHeight="1">
      <c r="A424" s="9"/>
      <c r="B424" s="43"/>
      <c r="C424" s="44" t="str">
        <f>IF(B424="","",CHOOSE(WEEKDAY(B424,2),"Mánudagur","Þriðjudagur","Miðvikudagur","Fimmtudagur","Föstudagur","Laugardagur","Sunnudagur"))</f>
        <v/>
      </c>
      <c r="D424" s="9"/>
      <c r="E424" s="9"/>
      <c r="F424" s="9"/>
      <c r="G424" s="9"/>
      <c r="H424" s="9"/>
      <c r="I424" s="24"/>
      <c r="J424" s="24"/>
      <c r="K424" s="42"/>
      <c r="L424" s="9"/>
    </row>
    <row r="425" spans="1:12" ht="15" customHeight="1">
      <c r="A425" s="38"/>
      <c r="B425" s="39"/>
      <c r="C425" s="40" t="str">
        <f>IF(B425="","",CHOOSE(WEEKDAY(B425,2),"Mánudagur","Þriðjudagur","Miðvikudagur","Fimmtudagur","Föstudagur","Laugardagur","Sunnudagur"))</f>
        <v/>
      </c>
      <c r="D425" s="38"/>
      <c r="E425" s="38"/>
      <c r="F425" s="38"/>
      <c r="G425" s="38"/>
      <c r="H425" s="38"/>
      <c r="I425" s="41"/>
      <c r="J425" s="41"/>
      <c r="K425" s="42"/>
      <c r="L425" s="38"/>
    </row>
    <row r="426" spans="1:12" ht="15" customHeight="1">
      <c r="A426" s="9"/>
      <c r="B426" s="43"/>
      <c r="C426" s="44" t="str">
        <f>IF(B426="","",CHOOSE(WEEKDAY(B426,2),"Mánudagur","Þriðjudagur","Miðvikudagur","Fimmtudagur","Föstudagur","Laugardagur","Sunnudagur"))</f>
        <v/>
      </c>
      <c r="D426" s="9"/>
      <c r="E426" s="9"/>
      <c r="F426" s="9"/>
      <c r="G426" s="9"/>
      <c r="H426" s="9"/>
      <c r="I426" s="24"/>
      <c r="J426" s="24"/>
      <c r="K426" s="42"/>
      <c r="L426" s="9"/>
    </row>
    <row r="427" spans="1:12" ht="15" customHeight="1">
      <c r="A427" s="38"/>
      <c r="B427" s="39"/>
      <c r="C427" s="40" t="str">
        <f>IF(B427="","",CHOOSE(WEEKDAY(B427,2),"Mánudagur","Þriðjudagur","Miðvikudagur","Fimmtudagur","Föstudagur","Laugardagur","Sunnudagur"))</f>
        <v/>
      </c>
      <c r="D427" s="38"/>
      <c r="E427" s="38"/>
      <c r="F427" s="38"/>
      <c r="G427" s="38"/>
      <c r="H427" s="38"/>
      <c r="I427" s="41"/>
      <c r="J427" s="41"/>
      <c r="K427" s="42"/>
      <c r="L427" s="38"/>
    </row>
    <row r="428" spans="1:12" ht="15" customHeight="1">
      <c r="A428" s="9"/>
      <c r="B428" s="43"/>
      <c r="C428" s="44" t="str">
        <f>IF(B428="","",CHOOSE(WEEKDAY(B428,2),"Mánudagur","Þriðjudagur","Miðvikudagur","Fimmtudagur","Föstudagur","Laugardagur","Sunnudagur"))</f>
        <v/>
      </c>
      <c r="D428" s="9"/>
      <c r="E428" s="9"/>
      <c r="F428" s="9"/>
      <c r="G428" s="9"/>
      <c r="H428" s="9"/>
      <c r="I428" s="24"/>
      <c r="J428" s="24"/>
      <c r="K428" s="42"/>
      <c r="L428" s="9"/>
    </row>
    <row r="429" spans="1:12" ht="15" customHeight="1">
      <c r="A429" s="38"/>
      <c r="B429" s="39"/>
      <c r="C429" s="40" t="str">
        <f>IF(B429="","",CHOOSE(WEEKDAY(B429,2),"Mánudagur","Þriðjudagur","Miðvikudagur","Fimmtudagur","Föstudagur","Laugardagur","Sunnudagur"))</f>
        <v/>
      </c>
      <c r="D429" s="38"/>
      <c r="E429" s="38"/>
      <c r="F429" s="38"/>
      <c r="G429" s="38"/>
      <c r="H429" s="38"/>
      <c r="I429" s="41"/>
      <c r="J429" s="41"/>
      <c r="K429" s="42"/>
      <c r="L429" s="38"/>
    </row>
    <row r="430" spans="1:12" ht="15" customHeight="1">
      <c r="A430" s="9"/>
      <c r="B430" s="43"/>
      <c r="C430" s="44" t="str">
        <f>IF(B430="","",CHOOSE(WEEKDAY(B430,2),"Mánudagur","Þriðjudagur","Miðvikudagur","Fimmtudagur","Föstudagur","Laugardagur","Sunnudagur"))</f>
        <v/>
      </c>
      <c r="D430" s="9"/>
      <c r="E430" s="9"/>
      <c r="F430" s="9"/>
      <c r="G430" s="9"/>
      <c r="H430" s="9"/>
      <c r="I430" s="24"/>
      <c r="J430" s="24"/>
      <c r="K430" s="42"/>
      <c r="L430" s="9"/>
    </row>
    <row r="431" spans="1:12" ht="15" customHeight="1">
      <c r="A431" s="38"/>
      <c r="B431" s="39"/>
      <c r="C431" s="40" t="str">
        <f>IF(B431="","",CHOOSE(WEEKDAY(B431,2),"Mánudagur","Þriðjudagur","Miðvikudagur","Fimmtudagur","Föstudagur","Laugardagur","Sunnudagur"))</f>
        <v/>
      </c>
      <c r="D431" s="38"/>
      <c r="E431" s="38"/>
      <c r="F431" s="38"/>
      <c r="G431" s="38"/>
      <c r="H431" s="38"/>
      <c r="I431" s="41"/>
      <c r="J431" s="41"/>
      <c r="K431" s="42"/>
      <c r="L431" s="38"/>
    </row>
    <row r="432" spans="1:12" ht="15" customHeight="1">
      <c r="A432" s="9"/>
      <c r="B432" s="43"/>
      <c r="C432" s="44" t="str">
        <f>IF(B432="","",CHOOSE(WEEKDAY(B432,2),"Mánudagur","Þriðjudagur","Miðvikudagur","Fimmtudagur","Föstudagur","Laugardagur","Sunnudagur"))</f>
        <v/>
      </c>
      <c r="D432" s="9"/>
      <c r="E432" s="9"/>
      <c r="F432" s="9"/>
      <c r="G432" s="9"/>
      <c r="H432" s="9"/>
      <c r="I432" s="24"/>
      <c r="J432" s="24"/>
      <c r="K432" s="42"/>
      <c r="L432" s="9"/>
    </row>
    <row r="433" spans="1:12" ht="15" customHeight="1">
      <c r="A433" s="38"/>
      <c r="B433" s="39"/>
      <c r="C433" s="40" t="str">
        <f>IF(B433="","",CHOOSE(WEEKDAY(B433,2),"Mánudagur","Þriðjudagur","Miðvikudagur","Fimmtudagur","Föstudagur","Laugardagur","Sunnudagur"))</f>
        <v/>
      </c>
      <c r="D433" s="38"/>
      <c r="E433" s="38"/>
      <c r="F433" s="38"/>
      <c r="G433" s="38"/>
      <c r="H433" s="38"/>
      <c r="I433" s="41"/>
      <c r="J433" s="41"/>
      <c r="K433" s="42"/>
      <c r="L433" s="38"/>
    </row>
    <row r="434" spans="1:12" ht="15" customHeight="1">
      <c r="A434" s="9"/>
      <c r="B434" s="43"/>
      <c r="C434" s="44" t="str">
        <f>IF(B434="","",CHOOSE(WEEKDAY(B434,2),"Mánudagur","Þriðjudagur","Miðvikudagur","Fimmtudagur","Föstudagur","Laugardagur","Sunnudagur"))</f>
        <v/>
      </c>
      <c r="D434" s="9"/>
      <c r="E434" s="9"/>
      <c r="F434" s="9"/>
      <c r="G434" s="9"/>
      <c r="H434" s="9"/>
      <c r="I434" s="24"/>
      <c r="J434" s="24"/>
      <c r="K434" s="42"/>
      <c r="L434" s="9"/>
    </row>
    <row r="435" spans="1:12" ht="15" customHeight="1">
      <c r="A435" s="38"/>
      <c r="B435" s="39"/>
      <c r="C435" s="40" t="str">
        <f>IF(B435="","",CHOOSE(WEEKDAY(B435,2),"Mánudagur","Þriðjudagur","Miðvikudagur","Fimmtudagur","Föstudagur","Laugardagur","Sunnudagur"))</f>
        <v/>
      </c>
      <c r="D435" s="38"/>
      <c r="E435" s="38"/>
      <c r="F435" s="38"/>
      <c r="G435" s="38"/>
      <c r="H435" s="38"/>
      <c r="I435" s="41"/>
      <c r="J435" s="41"/>
      <c r="K435" s="42"/>
      <c r="L435" s="38"/>
    </row>
    <row r="436" spans="1:12" ht="15" customHeight="1">
      <c r="A436" s="9"/>
      <c r="B436" s="43"/>
      <c r="C436" s="44" t="str">
        <f>IF(B436="","",CHOOSE(WEEKDAY(B436,2),"Mánudagur","Þriðjudagur","Miðvikudagur","Fimmtudagur","Föstudagur","Laugardagur","Sunnudagur"))</f>
        <v/>
      </c>
      <c r="D436" s="9"/>
      <c r="E436" s="9"/>
      <c r="F436" s="9"/>
      <c r="G436" s="9"/>
      <c r="H436" s="9"/>
      <c r="I436" s="24"/>
      <c r="J436" s="24"/>
      <c r="K436" s="42"/>
      <c r="L436" s="9"/>
    </row>
    <row r="437" spans="1:12" ht="15" customHeight="1">
      <c r="A437" s="38"/>
      <c r="B437" s="39"/>
      <c r="C437" s="40" t="str">
        <f>IF(B437="","",CHOOSE(WEEKDAY(B437,2),"Mánudagur","Þriðjudagur","Miðvikudagur","Fimmtudagur","Föstudagur","Laugardagur","Sunnudagur"))</f>
        <v/>
      </c>
      <c r="D437" s="38"/>
      <c r="E437" s="38"/>
      <c r="F437" s="38"/>
      <c r="G437" s="38"/>
      <c r="H437" s="38"/>
      <c r="I437" s="41"/>
      <c r="J437" s="41"/>
      <c r="K437" s="42"/>
      <c r="L437" s="38"/>
    </row>
    <row r="438" spans="1:12" ht="15" customHeight="1">
      <c r="A438" s="9"/>
      <c r="B438" s="43"/>
      <c r="C438" s="44" t="str">
        <f>IF(B438="","",CHOOSE(WEEKDAY(B438,2),"Mánudagur","Þriðjudagur","Miðvikudagur","Fimmtudagur","Föstudagur","Laugardagur","Sunnudagur"))</f>
        <v/>
      </c>
      <c r="D438" s="9"/>
      <c r="E438" s="9"/>
      <c r="F438" s="9"/>
      <c r="G438" s="9"/>
      <c r="H438" s="9"/>
      <c r="I438" s="24"/>
      <c r="J438" s="24"/>
      <c r="K438" s="42"/>
      <c r="L438" s="9"/>
    </row>
    <row r="439" spans="1:12" ht="15" customHeight="1">
      <c r="A439" s="38"/>
      <c r="B439" s="39"/>
      <c r="C439" s="40" t="str">
        <f>IF(B439="","",CHOOSE(WEEKDAY(B439,2),"Mánudagur","Þriðjudagur","Miðvikudagur","Fimmtudagur","Föstudagur","Laugardagur","Sunnudagur"))</f>
        <v/>
      </c>
      <c r="D439" s="38"/>
      <c r="E439" s="38"/>
      <c r="F439" s="38"/>
      <c r="G439" s="38"/>
      <c r="H439" s="38"/>
      <c r="I439" s="41"/>
      <c r="J439" s="41"/>
      <c r="K439" s="42"/>
      <c r="L439" s="38"/>
    </row>
    <row r="440" spans="1:12" ht="15" customHeight="1">
      <c r="A440" s="9"/>
      <c r="B440" s="43"/>
      <c r="C440" s="44" t="str">
        <f>IF(B440="","",CHOOSE(WEEKDAY(B440,2),"Mánudagur","Þriðjudagur","Miðvikudagur","Fimmtudagur","Föstudagur","Laugardagur","Sunnudagur"))</f>
        <v/>
      </c>
      <c r="D440" s="9"/>
      <c r="E440" s="9"/>
      <c r="F440" s="9"/>
      <c r="G440" s="9"/>
      <c r="H440" s="9"/>
      <c r="I440" s="24"/>
      <c r="J440" s="24"/>
      <c r="K440" s="42"/>
      <c r="L440" s="9"/>
    </row>
    <row r="441" spans="1:12" ht="15" customHeight="1">
      <c r="A441" s="38"/>
      <c r="B441" s="39"/>
      <c r="C441" s="40" t="str">
        <f>IF(B441="","",CHOOSE(WEEKDAY(B441,2),"Mánudagur","Þriðjudagur","Miðvikudagur","Fimmtudagur","Föstudagur","Laugardagur","Sunnudagur"))</f>
        <v/>
      </c>
      <c r="D441" s="38"/>
      <c r="E441" s="38"/>
      <c r="F441" s="38"/>
      <c r="G441" s="38"/>
      <c r="H441" s="38"/>
      <c r="I441" s="41"/>
      <c r="J441" s="41"/>
      <c r="K441" s="42"/>
      <c r="L441" s="38"/>
    </row>
    <row r="442" spans="1:12" ht="15" customHeight="1">
      <c r="A442" s="9"/>
      <c r="B442" s="43"/>
      <c r="C442" s="44" t="str">
        <f>IF(B442="","",CHOOSE(WEEKDAY(B442,2),"Mánudagur","Þriðjudagur","Miðvikudagur","Fimmtudagur","Föstudagur","Laugardagur","Sunnudagur"))</f>
        <v/>
      </c>
      <c r="D442" s="9"/>
      <c r="E442" s="9"/>
      <c r="F442" s="9"/>
      <c r="G442" s="9"/>
      <c r="H442" s="9"/>
      <c r="I442" s="24"/>
      <c r="J442" s="24"/>
      <c r="K442" s="42"/>
      <c r="L442" s="9"/>
    </row>
    <row r="443" spans="1:12" ht="15" customHeight="1">
      <c r="A443" s="38"/>
      <c r="B443" s="39"/>
      <c r="C443" s="40" t="str">
        <f>IF(B443="","",CHOOSE(WEEKDAY(B443,2),"Mánudagur","Þriðjudagur","Miðvikudagur","Fimmtudagur","Föstudagur","Laugardagur","Sunnudagur"))</f>
        <v/>
      </c>
      <c r="D443" s="38"/>
      <c r="E443" s="38"/>
      <c r="F443" s="38"/>
      <c r="G443" s="38"/>
      <c r="H443" s="38"/>
      <c r="I443" s="41"/>
      <c r="J443" s="41"/>
      <c r="K443" s="42"/>
      <c r="L443" s="38"/>
    </row>
    <row r="444" spans="1:12" ht="15" customHeight="1">
      <c r="A444" s="9"/>
      <c r="B444" s="43"/>
      <c r="C444" s="44" t="str">
        <f>IF(B444="","",CHOOSE(WEEKDAY(B444,2),"Mánudagur","Þriðjudagur","Miðvikudagur","Fimmtudagur","Föstudagur","Laugardagur","Sunnudagur"))</f>
        <v/>
      </c>
      <c r="D444" s="9"/>
      <c r="E444" s="9"/>
      <c r="F444" s="9"/>
      <c r="G444" s="9"/>
      <c r="H444" s="9"/>
      <c r="I444" s="24"/>
      <c r="J444" s="24"/>
      <c r="K444" s="42"/>
      <c r="L444" s="9"/>
    </row>
    <row r="445" spans="1:12" ht="15" customHeight="1">
      <c r="A445" s="38"/>
      <c r="B445" s="39"/>
      <c r="C445" s="40" t="str">
        <f>IF(B445="","",CHOOSE(WEEKDAY(B445,2),"Mánudagur","Þriðjudagur","Miðvikudagur","Fimmtudagur","Föstudagur","Laugardagur","Sunnudagur"))</f>
        <v/>
      </c>
      <c r="D445" s="38"/>
      <c r="E445" s="38"/>
      <c r="F445" s="38"/>
      <c r="G445" s="38"/>
      <c r="H445" s="38"/>
      <c r="I445" s="41"/>
      <c r="J445" s="41"/>
      <c r="K445" s="42"/>
      <c r="L445" s="38"/>
    </row>
    <row r="446" spans="1:12" ht="15" customHeight="1">
      <c r="A446" s="9"/>
      <c r="B446" s="43"/>
      <c r="C446" s="44" t="str">
        <f>IF(B446="","",CHOOSE(WEEKDAY(B446,2),"Mánudagur","Þriðjudagur","Miðvikudagur","Fimmtudagur","Föstudagur","Laugardagur","Sunnudagur"))</f>
        <v/>
      </c>
      <c r="D446" s="9"/>
      <c r="E446" s="9"/>
      <c r="F446" s="9"/>
      <c r="G446" s="9"/>
      <c r="H446" s="9"/>
      <c r="I446" s="24"/>
      <c r="J446" s="24"/>
      <c r="K446" s="42"/>
      <c r="L446" s="9"/>
    </row>
    <row r="447" spans="1:12" ht="15" customHeight="1">
      <c r="A447" s="38"/>
      <c r="B447" s="39"/>
      <c r="C447" s="40" t="str">
        <f>IF(B447="","",CHOOSE(WEEKDAY(B447,2),"Mánudagur","Þriðjudagur","Miðvikudagur","Fimmtudagur","Föstudagur","Laugardagur","Sunnudagur"))</f>
        <v/>
      </c>
      <c r="D447" s="38"/>
      <c r="E447" s="38"/>
      <c r="F447" s="38"/>
      <c r="G447" s="38"/>
      <c r="H447" s="38"/>
      <c r="I447" s="41"/>
      <c r="J447" s="41"/>
      <c r="K447" s="42"/>
      <c r="L447" s="38"/>
    </row>
    <row r="448" spans="1:12" ht="15" customHeight="1">
      <c r="A448" s="9"/>
      <c r="B448" s="43"/>
      <c r="C448" s="44" t="str">
        <f>IF(B448="","",CHOOSE(WEEKDAY(B448,2),"Mánudagur","Þriðjudagur","Miðvikudagur","Fimmtudagur","Föstudagur","Laugardagur","Sunnudagur"))</f>
        <v/>
      </c>
      <c r="D448" s="9"/>
      <c r="E448" s="9"/>
      <c r="F448" s="9"/>
      <c r="G448" s="9"/>
      <c r="H448" s="9"/>
      <c r="I448" s="24"/>
      <c r="J448" s="24"/>
      <c r="K448" s="42"/>
      <c r="L448" s="9"/>
    </row>
    <row r="449" spans="1:12" ht="15" customHeight="1">
      <c r="A449" s="38"/>
      <c r="B449" s="39"/>
      <c r="C449" s="40" t="str">
        <f>IF(B449="","",CHOOSE(WEEKDAY(B449,2),"Mánudagur","Þriðjudagur","Miðvikudagur","Fimmtudagur","Föstudagur","Laugardagur","Sunnudagur"))</f>
        <v/>
      </c>
      <c r="D449" s="38"/>
      <c r="E449" s="38"/>
      <c r="F449" s="38"/>
      <c r="G449" s="38"/>
      <c r="H449" s="38"/>
      <c r="I449" s="41"/>
      <c r="J449" s="41"/>
      <c r="K449" s="42"/>
      <c r="L449" s="38"/>
    </row>
    <row r="450" spans="1:12" ht="15" customHeight="1">
      <c r="A450" s="9"/>
      <c r="B450" s="43"/>
      <c r="C450" s="44" t="str">
        <f>IF(B450="","",CHOOSE(WEEKDAY(B450,2),"Mánudagur","Þriðjudagur","Miðvikudagur","Fimmtudagur","Föstudagur","Laugardagur","Sunnudagur"))</f>
        <v/>
      </c>
      <c r="D450" s="9"/>
      <c r="E450" s="9"/>
      <c r="F450" s="9"/>
      <c r="G450" s="9"/>
      <c r="H450" s="9"/>
      <c r="I450" s="24"/>
      <c r="J450" s="24"/>
      <c r="K450" s="42"/>
      <c r="L450" s="9"/>
    </row>
    <row r="451" spans="1:12" ht="15" customHeight="1">
      <c r="A451" s="38"/>
      <c r="B451" s="39"/>
      <c r="C451" s="40" t="str">
        <f>IF(B451="","",CHOOSE(WEEKDAY(B451,2),"Mánudagur","Þriðjudagur","Miðvikudagur","Fimmtudagur","Föstudagur","Laugardagur","Sunnudagur"))</f>
        <v/>
      </c>
      <c r="D451" s="38"/>
      <c r="E451" s="38"/>
      <c r="F451" s="38"/>
      <c r="G451" s="38"/>
      <c r="H451" s="38"/>
      <c r="I451" s="41"/>
      <c r="J451" s="41"/>
      <c r="K451" s="42"/>
      <c r="L451" s="38"/>
    </row>
    <row r="452" spans="1:12" ht="15" customHeight="1">
      <c r="A452" s="9"/>
      <c r="B452" s="43"/>
      <c r="C452" s="44" t="str">
        <f>IF(B452="","",CHOOSE(WEEKDAY(B452,2),"Mánudagur","Þriðjudagur","Miðvikudagur","Fimmtudagur","Föstudagur","Laugardagur","Sunnudagur"))</f>
        <v/>
      </c>
      <c r="D452" s="9"/>
      <c r="E452" s="9"/>
      <c r="F452" s="9"/>
      <c r="G452" s="9"/>
      <c r="H452" s="9"/>
      <c r="I452" s="24"/>
      <c r="J452" s="24"/>
      <c r="K452" s="42"/>
      <c r="L452" s="9"/>
    </row>
    <row r="453" spans="1:12" ht="15" customHeight="1">
      <c r="A453" s="38"/>
      <c r="B453" s="39"/>
      <c r="C453" s="40" t="str">
        <f>IF(B453="","",CHOOSE(WEEKDAY(B453,2),"Mánudagur","Þriðjudagur","Miðvikudagur","Fimmtudagur","Föstudagur","Laugardagur","Sunnudagur"))</f>
        <v/>
      </c>
      <c r="D453" s="38"/>
      <c r="E453" s="38"/>
      <c r="F453" s="38"/>
      <c r="G453" s="38"/>
      <c r="H453" s="38"/>
      <c r="I453" s="41"/>
      <c r="J453" s="41"/>
      <c r="K453" s="42"/>
      <c r="L453" s="38"/>
    </row>
    <row r="454" spans="1:12" ht="15" customHeight="1">
      <c r="A454" s="9"/>
      <c r="B454" s="43"/>
      <c r="C454" s="44" t="str">
        <f>IF(B454="","",CHOOSE(WEEKDAY(B454,2),"Mánudagur","Þriðjudagur","Miðvikudagur","Fimmtudagur","Föstudagur","Laugardagur","Sunnudagur"))</f>
        <v/>
      </c>
      <c r="D454" s="9"/>
      <c r="E454" s="9"/>
      <c r="F454" s="9"/>
      <c r="G454" s="9"/>
      <c r="H454" s="9"/>
      <c r="I454" s="24"/>
      <c r="J454" s="24"/>
      <c r="K454" s="42"/>
      <c r="L454" s="9"/>
    </row>
    <row r="455" spans="1:12" ht="15" customHeight="1">
      <c r="A455" s="38"/>
      <c r="B455" s="39"/>
      <c r="C455" s="40" t="str">
        <f>IF(B455="","",CHOOSE(WEEKDAY(B455,2),"Mánudagur","Þriðjudagur","Miðvikudagur","Fimmtudagur","Föstudagur","Laugardagur","Sunnudagur"))</f>
        <v/>
      </c>
      <c r="D455" s="38"/>
      <c r="E455" s="38"/>
      <c r="F455" s="38"/>
      <c r="G455" s="38"/>
      <c r="H455" s="38"/>
      <c r="I455" s="41"/>
      <c r="J455" s="41"/>
      <c r="K455" s="42"/>
      <c r="L455" s="38"/>
    </row>
    <row r="456" spans="1:12" ht="15" customHeight="1">
      <c r="A456" s="9"/>
      <c r="B456" s="43"/>
      <c r="C456" s="44" t="str">
        <f>IF(B456="","",CHOOSE(WEEKDAY(B456,2),"Mánudagur","Þriðjudagur","Miðvikudagur","Fimmtudagur","Föstudagur","Laugardagur","Sunnudagur"))</f>
        <v/>
      </c>
      <c r="D456" s="9"/>
      <c r="E456" s="9"/>
      <c r="F456" s="9"/>
      <c r="G456" s="9"/>
      <c r="H456" s="9"/>
      <c r="I456" s="24"/>
      <c r="J456" s="24"/>
      <c r="K456" s="42"/>
      <c r="L456" s="9"/>
    </row>
    <row r="457" spans="1:12" ht="15" customHeight="1">
      <c r="A457" s="38"/>
      <c r="B457" s="39"/>
      <c r="C457" s="40" t="str">
        <f>IF(B457="","",CHOOSE(WEEKDAY(B457,2),"Mánudagur","Þriðjudagur","Miðvikudagur","Fimmtudagur","Föstudagur","Laugardagur","Sunnudagur"))</f>
        <v/>
      </c>
      <c r="D457" s="38"/>
      <c r="E457" s="38"/>
      <c r="F457" s="38"/>
      <c r="G457" s="38"/>
      <c r="H457" s="38"/>
      <c r="I457" s="41"/>
      <c r="J457" s="41"/>
      <c r="K457" s="42"/>
      <c r="L457" s="38"/>
    </row>
    <row r="458" spans="1:12" ht="15" customHeight="1">
      <c r="A458" s="9"/>
      <c r="B458" s="43"/>
      <c r="C458" s="44" t="str">
        <f>IF(B458="","",CHOOSE(WEEKDAY(B458,2),"Mánudagur","Þriðjudagur","Miðvikudagur","Fimmtudagur","Föstudagur","Laugardagur","Sunnudagur"))</f>
        <v/>
      </c>
      <c r="D458" s="9"/>
      <c r="E458" s="9"/>
      <c r="F458" s="9"/>
      <c r="G458" s="9"/>
      <c r="H458" s="9"/>
      <c r="I458" s="24"/>
      <c r="J458" s="24"/>
      <c r="K458" s="42"/>
      <c r="L458" s="9"/>
    </row>
    <row r="459" spans="1:12" ht="15" customHeight="1">
      <c r="A459" s="38"/>
      <c r="B459" s="39"/>
      <c r="C459" s="40" t="str">
        <f>IF(B459="","",CHOOSE(WEEKDAY(B459,2),"Mánudagur","Þriðjudagur","Miðvikudagur","Fimmtudagur","Föstudagur","Laugardagur","Sunnudagur"))</f>
        <v/>
      </c>
      <c r="D459" s="38"/>
      <c r="E459" s="38"/>
      <c r="F459" s="38"/>
      <c r="G459" s="38"/>
      <c r="H459" s="38"/>
      <c r="I459" s="41"/>
      <c r="J459" s="41"/>
      <c r="K459" s="42"/>
      <c r="L459" s="38"/>
    </row>
    <row r="460" spans="1:12" ht="15" customHeight="1">
      <c r="A460" s="9"/>
      <c r="B460" s="43"/>
      <c r="C460" s="44" t="str">
        <f>IF(B460="","",CHOOSE(WEEKDAY(B460,2),"Mánudagur","Þriðjudagur","Miðvikudagur","Fimmtudagur","Föstudagur","Laugardagur","Sunnudagur"))</f>
        <v/>
      </c>
      <c r="D460" s="9"/>
      <c r="E460" s="9"/>
      <c r="F460" s="9"/>
      <c r="G460" s="9"/>
      <c r="H460" s="9"/>
      <c r="I460" s="24"/>
      <c r="J460" s="24"/>
      <c r="K460" s="42"/>
      <c r="L460" s="9"/>
    </row>
    <row r="461" spans="1:12" ht="15" customHeight="1">
      <c r="A461" s="38"/>
      <c r="B461" s="39"/>
      <c r="C461" s="40" t="str">
        <f>IF(B461="","",CHOOSE(WEEKDAY(B461,2),"Mánudagur","Þriðjudagur","Miðvikudagur","Fimmtudagur","Föstudagur","Laugardagur","Sunnudagur"))</f>
        <v/>
      </c>
      <c r="D461" s="38"/>
      <c r="E461" s="38"/>
      <c r="F461" s="38"/>
      <c r="G461" s="38"/>
      <c r="H461" s="38"/>
      <c r="I461" s="41"/>
      <c r="J461" s="41"/>
      <c r="K461" s="42"/>
      <c r="L461" s="38"/>
    </row>
    <row r="462" spans="1:12" ht="15" customHeight="1">
      <c r="A462" s="9"/>
      <c r="B462" s="43"/>
      <c r="C462" s="44" t="str">
        <f>IF(B462="","",CHOOSE(WEEKDAY(B462,2),"Mánudagur","Þriðjudagur","Miðvikudagur","Fimmtudagur","Föstudagur","Laugardagur","Sunnudagur"))</f>
        <v/>
      </c>
      <c r="D462" s="9"/>
      <c r="E462" s="9"/>
      <c r="F462" s="9"/>
      <c r="G462" s="9"/>
      <c r="H462" s="9"/>
      <c r="I462" s="24"/>
      <c r="J462" s="24"/>
      <c r="K462" s="42"/>
      <c r="L462" s="9"/>
    </row>
    <row r="463" spans="1:12" ht="15" customHeight="1">
      <c r="A463" s="38"/>
      <c r="B463" s="39"/>
      <c r="C463" s="40" t="str">
        <f>IF(B463="","",CHOOSE(WEEKDAY(B463,2),"Mánudagur","Þriðjudagur","Miðvikudagur","Fimmtudagur","Föstudagur","Laugardagur","Sunnudagur"))</f>
        <v/>
      </c>
      <c r="D463" s="38"/>
      <c r="E463" s="38"/>
      <c r="F463" s="38"/>
      <c r="G463" s="38"/>
      <c r="H463" s="38"/>
      <c r="I463" s="41"/>
      <c r="J463" s="41"/>
      <c r="K463" s="42"/>
      <c r="L463" s="38"/>
    </row>
    <row r="464" spans="1:12" ht="15" customHeight="1">
      <c r="A464" s="9"/>
      <c r="B464" s="43"/>
      <c r="C464" s="44" t="str">
        <f>IF(B464="","",CHOOSE(WEEKDAY(B464,2),"Mánudagur","Þriðjudagur","Miðvikudagur","Fimmtudagur","Föstudagur","Laugardagur","Sunnudagur"))</f>
        <v/>
      </c>
      <c r="D464" s="9"/>
      <c r="E464" s="9"/>
      <c r="F464" s="9"/>
      <c r="G464" s="9"/>
      <c r="H464" s="9"/>
      <c r="I464" s="24"/>
      <c r="J464" s="24"/>
      <c r="K464" s="42"/>
      <c r="L464" s="9"/>
    </row>
    <row r="465" spans="1:12" ht="15" customHeight="1">
      <c r="A465" s="38"/>
      <c r="B465" s="39"/>
      <c r="C465" s="40" t="str">
        <f>IF(B465="","",CHOOSE(WEEKDAY(B465,2),"Mánudagur","Þriðjudagur","Miðvikudagur","Fimmtudagur","Föstudagur","Laugardagur","Sunnudagur"))</f>
        <v/>
      </c>
      <c r="D465" s="38"/>
      <c r="E465" s="38"/>
      <c r="F465" s="38"/>
      <c r="G465" s="38"/>
      <c r="H465" s="38"/>
      <c r="I465" s="41"/>
      <c r="J465" s="41"/>
      <c r="K465" s="42"/>
      <c r="L465" s="38"/>
    </row>
    <row r="466" spans="1:12" ht="15" customHeight="1">
      <c r="A466" s="9"/>
      <c r="B466" s="43"/>
      <c r="C466" s="44" t="str">
        <f>IF(B466="","",CHOOSE(WEEKDAY(B466,2),"Mánudagur","Þriðjudagur","Miðvikudagur","Fimmtudagur","Föstudagur","Laugardagur","Sunnudagur"))</f>
        <v/>
      </c>
      <c r="D466" s="9"/>
      <c r="E466" s="9"/>
      <c r="F466" s="9"/>
      <c r="G466" s="9"/>
      <c r="H466" s="9"/>
      <c r="I466" s="24"/>
      <c r="J466" s="24"/>
      <c r="K466" s="42"/>
      <c r="L466" s="9"/>
    </row>
    <row r="467" spans="1:12" ht="15" customHeight="1">
      <c r="A467" s="38"/>
      <c r="B467" s="39"/>
      <c r="C467" s="40" t="str">
        <f>IF(B467="","",CHOOSE(WEEKDAY(B467,2),"Mánudagur","Þriðjudagur","Miðvikudagur","Fimmtudagur","Föstudagur","Laugardagur","Sunnudagur"))</f>
        <v/>
      </c>
      <c r="D467" s="38"/>
      <c r="E467" s="38"/>
      <c r="F467" s="38"/>
      <c r="G467" s="38"/>
      <c r="H467" s="38"/>
      <c r="I467" s="41"/>
      <c r="J467" s="41"/>
      <c r="K467" s="42"/>
      <c r="L467" s="38"/>
    </row>
    <row r="468" spans="1:12" ht="15" customHeight="1">
      <c r="A468" s="9"/>
      <c r="B468" s="43"/>
      <c r="C468" s="44" t="str">
        <f>IF(B468="","",CHOOSE(WEEKDAY(B468,2),"Mánudagur","Þriðjudagur","Miðvikudagur","Fimmtudagur","Föstudagur","Laugardagur","Sunnudagur"))</f>
        <v/>
      </c>
      <c r="D468" s="9"/>
      <c r="E468" s="9"/>
      <c r="F468" s="9"/>
      <c r="G468" s="9"/>
      <c r="H468" s="9"/>
      <c r="I468" s="24"/>
      <c r="J468" s="24"/>
      <c r="K468" s="42"/>
      <c r="L468" s="9"/>
    </row>
    <row r="469" spans="1:12" ht="15" customHeight="1">
      <c r="A469" s="38"/>
      <c r="B469" s="39"/>
      <c r="C469" s="40" t="str">
        <f>IF(B469="","",CHOOSE(WEEKDAY(B469,2),"Mánudagur","Þriðjudagur","Miðvikudagur","Fimmtudagur","Föstudagur","Laugardagur","Sunnudagur"))</f>
        <v/>
      </c>
      <c r="D469" s="38"/>
      <c r="E469" s="38"/>
      <c r="F469" s="38"/>
      <c r="G469" s="38"/>
      <c r="H469" s="38"/>
      <c r="I469" s="41"/>
      <c r="J469" s="41"/>
      <c r="K469" s="42"/>
      <c r="L469" s="38"/>
    </row>
    <row r="470" spans="1:12" ht="15" customHeight="1">
      <c r="A470" s="9"/>
      <c r="B470" s="43"/>
      <c r="C470" s="44" t="str">
        <f>IF(B470="","",CHOOSE(WEEKDAY(B470,2),"Mánudagur","Þriðjudagur","Miðvikudagur","Fimmtudagur","Föstudagur","Laugardagur","Sunnudagur"))</f>
        <v/>
      </c>
      <c r="D470" s="9"/>
      <c r="E470" s="9"/>
      <c r="F470" s="9"/>
      <c r="G470" s="9"/>
      <c r="H470" s="9"/>
      <c r="I470" s="24"/>
      <c r="J470" s="24"/>
      <c r="K470" s="42"/>
      <c r="L470" s="9"/>
    </row>
    <row r="471" spans="1:12" ht="15" customHeight="1">
      <c r="A471" s="38"/>
      <c r="B471" s="39"/>
      <c r="C471" s="40" t="str">
        <f>IF(B471="","",CHOOSE(WEEKDAY(B471,2),"Mánudagur","Þriðjudagur","Miðvikudagur","Fimmtudagur","Föstudagur","Laugardagur","Sunnudagur"))</f>
        <v/>
      </c>
      <c r="D471" s="38"/>
      <c r="E471" s="38"/>
      <c r="F471" s="38"/>
      <c r="G471" s="38"/>
      <c r="H471" s="38"/>
      <c r="I471" s="41"/>
      <c r="J471" s="41"/>
      <c r="K471" s="42"/>
      <c r="L471" s="38"/>
    </row>
    <row r="472" spans="1:12" ht="15" customHeight="1">
      <c r="A472" s="9"/>
      <c r="B472" s="43"/>
      <c r="C472" s="44" t="str">
        <f>IF(B472="","",CHOOSE(WEEKDAY(B472,2),"Mánudagur","Þriðjudagur","Miðvikudagur","Fimmtudagur","Föstudagur","Laugardagur","Sunnudagur"))</f>
        <v/>
      </c>
      <c r="D472" s="9"/>
      <c r="E472" s="9"/>
      <c r="F472" s="9"/>
      <c r="G472" s="9"/>
      <c r="H472" s="9"/>
      <c r="I472" s="24"/>
      <c r="J472" s="24"/>
      <c r="K472" s="42"/>
      <c r="L472" s="9"/>
    </row>
    <row r="473" spans="1:12" ht="15" customHeight="1">
      <c r="A473" s="38"/>
      <c r="B473" s="39"/>
      <c r="C473" s="40" t="str">
        <f>IF(B473="","",CHOOSE(WEEKDAY(B473,2),"Mánudagur","Þriðjudagur","Miðvikudagur","Fimmtudagur","Föstudagur","Laugardagur","Sunnudagur"))</f>
        <v/>
      </c>
      <c r="D473" s="38"/>
      <c r="E473" s="38"/>
      <c r="F473" s="38"/>
      <c r="G473" s="38"/>
      <c r="H473" s="38"/>
      <c r="I473" s="41"/>
      <c r="J473" s="41"/>
      <c r="K473" s="42"/>
      <c r="L473" s="38"/>
    </row>
    <row r="474" spans="1:12" ht="15" customHeight="1">
      <c r="A474" s="9"/>
      <c r="B474" s="43"/>
      <c r="C474" s="44" t="str">
        <f>IF(B474="","",CHOOSE(WEEKDAY(B474,2),"Mánudagur","Þriðjudagur","Miðvikudagur","Fimmtudagur","Föstudagur","Laugardagur","Sunnudagur"))</f>
        <v/>
      </c>
      <c r="D474" s="9"/>
      <c r="E474" s="9"/>
      <c r="F474" s="9"/>
      <c r="G474" s="9"/>
      <c r="H474" s="9"/>
      <c r="I474" s="24"/>
      <c r="J474" s="24"/>
      <c r="K474" s="42"/>
      <c r="L474" s="9"/>
    </row>
    <row r="475" spans="1:12" ht="15" customHeight="1">
      <c r="A475" s="38"/>
      <c r="B475" s="39"/>
      <c r="C475" s="40" t="str">
        <f>IF(B475="","",CHOOSE(WEEKDAY(B475,2),"Mánudagur","Þriðjudagur","Miðvikudagur","Fimmtudagur","Föstudagur","Laugardagur","Sunnudagur"))</f>
        <v/>
      </c>
      <c r="D475" s="38"/>
      <c r="E475" s="38"/>
      <c r="F475" s="38"/>
      <c r="G475" s="38"/>
      <c r="H475" s="38"/>
      <c r="I475" s="41"/>
      <c r="J475" s="41"/>
      <c r="K475" s="42"/>
      <c r="L475" s="38"/>
    </row>
    <row r="476" spans="1:12" ht="15" customHeight="1">
      <c r="A476" s="9"/>
      <c r="B476" s="43"/>
      <c r="C476" s="44" t="str">
        <f>IF(B476="","",CHOOSE(WEEKDAY(B476,2),"Mánudagur","Þriðjudagur","Miðvikudagur","Fimmtudagur","Föstudagur","Laugardagur","Sunnudagur"))</f>
        <v/>
      </c>
      <c r="D476" s="9"/>
      <c r="E476" s="9"/>
      <c r="F476" s="9"/>
      <c r="G476" s="9"/>
      <c r="H476" s="9"/>
      <c r="I476" s="24"/>
      <c r="J476" s="24"/>
      <c r="K476" s="42"/>
      <c r="L476" s="9"/>
    </row>
    <row r="477" spans="1:12" ht="15" customHeight="1">
      <c r="A477" s="38"/>
      <c r="B477" s="39"/>
      <c r="C477" s="40" t="str">
        <f>IF(B477="","",CHOOSE(WEEKDAY(B477,2),"Mánudagur","Þriðjudagur","Miðvikudagur","Fimmtudagur","Föstudagur","Laugardagur","Sunnudagur"))</f>
        <v/>
      </c>
      <c r="D477" s="38"/>
      <c r="E477" s="38"/>
      <c r="F477" s="38"/>
      <c r="G477" s="38"/>
      <c r="H477" s="38"/>
      <c r="I477" s="41"/>
      <c r="J477" s="41"/>
      <c r="K477" s="42"/>
      <c r="L477" s="38"/>
    </row>
    <row r="478" spans="1:12" ht="15" customHeight="1">
      <c r="A478" s="9"/>
      <c r="B478" s="43"/>
      <c r="C478" s="44" t="str">
        <f>IF(B478="","",CHOOSE(WEEKDAY(B478,2),"Mánudagur","Þriðjudagur","Miðvikudagur","Fimmtudagur","Föstudagur","Laugardagur","Sunnudagur"))</f>
        <v/>
      </c>
      <c r="D478" s="9"/>
      <c r="E478" s="9"/>
      <c r="F478" s="9"/>
      <c r="G478" s="9"/>
      <c r="H478" s="9"/>
      <c r="I478" s="24"/>
      <c r="J478" s="24"/>
      <c r="K478" s="42"/>
      <c r="L478" s="9"/>
    </row>
    <row r="479" spans="1:12" ht="15" customHeight="1">
      <c r="A479" s="38"/>
      <c r="B479" s="39"/>
      <c r="C479" s="40" t="str">
        <f>IF(B479="","",CHOOSE(WEEKDAY(B479,2),"Mánudagur","Þriðjudagur","Miðvikudagur","Fimmtudagur","Föstudagur","Laugardagur","Sunnudagur"))</f>
        <v/>
      </c>
      <c r="D479" s="38"/>
      <c r="E479" s="38"/>
      <c r="F479" s="38"/>
      <c r="G479" s="38"/>
      <c r="H479" s="38"/>
      <c r="I479" s="41"/>
      <c r="J479" s="41"/>
      <c r="K479" s="42"/>
      <c r="L479" s="38"/>
    </row>
    <row r="480" spans="1:12" ht="15" customHeight="1">
      <c r="A480" s="9"/>
      <c r="B480" s="43"/>
      <c r="C480" s="44" t="str">
        <f>IF(B480="","",CHOOSE(WEEKDAY(B480,2),"Mánudagur","Þriðjudagur","Miðvikudagur","Fimmtudagur","Föstudagur","Laugardagur","Sunnudagur"))</f>
        <v/>
      </c>
      <c r="D480" s="9"/>
      <c r="E480" s="9"/>
      <c r="F480" s="9"/>
      <c r="G480" s="9"/>
      <c r="H480" s="9"/>
      <c r="I480" s="24"/>
      <c r="J480" s="24"/>
      <c r="K480" s="42"/>
      <c r="L480" s="9"/>
    </row>
    <row r="481" spans="1:12" ht="15" customHeight="1">
      <c r="A481" s="38"/>
      <c r="B481" s="39"/>
      <c r="C481" s="40" t="str">
        <f>IF(B481="","",CHOOSE(WEEKDAY(B481,2),"Mánudagur","Þriðjudagur","Miðvikudagur","Fimmtudagur","Föstudagur","Laugardagur","Sunnudagur"))</f>
        <v/>
      </c>
      <c r="D481" s="38"/>
      <c r="E481" s="38"/>
      <c r="F481" s="38"/>
      <c r="G481" s="38"/>
      <c r="H481" s="38"/>
      <c r="I481" s="41"/>
      <c r="J481" s="41"/>
      <c r="K481" s="42"/>
      <c r="L481" s="38"/>
    </row>
    <row r="482" spans="1:12" ht="15" customHeight="1">
      <c r="A482" s="9"/>
      <c r="B482" s="43"/>
      <c r="C482" s="44" t="str">
        <f>IF(B482="","",CHOOSE(WEEKDAY(B482,2),"Mánudagur","Þriðjudagur","Miðvikudagur","Fimmtudagur","Föstudagur","Laugardagur","Sunnudagur"))</f>
        <v/>
      </c>
      <c r="D482" s="9"/>
      <c r="E482" s="9"/>
      <c r="F482" s="9"/>
      <c r="G482" s="9"/>
      <c r="H482" s="9"/>
      <c r="I482" s="24"/>
      <c r="J482" s="24"/>
      <c r="K482" s="42"/>
      <c r="L482" s="9"/>
    </row>
    <row r="483" spans="1:12" ht="15" customHeight="1">
      <c r="A483" s="38"/>
      <c r="B483" s="39"/>
      <c r="C483" s="40" t="str">
        <f>IF(B483="","",CHOOSE(WEEKDAY(B483,2),"Mánudagur","Þriðjudagur","Miðvikudagur","Fimmtudagur","Föstudagur","Laugardagur","Sunnudagur"))</f>
        <v/>
      </c>
      <c r="D483" s="38"/>
      <c r="E483" s="38"/>
      <c r="F483" s="38"/>
      <c r="G483" s="38"/>
      <c r="H483" s="38"/>
      <c r="I483" s="41"/>
      <c r="J483" s="41"/>
      <c r="K483" s="42"/>
      <c r="L483" s="38"/>
    </row>
    <row r="484" spans="1:12" ht="15" customHeight="1">
      <c r="A484" s="9"/>
      <c r="B484" s="43"/>
      <c r="C484" s="44" t="str">
        <f>IF(B484="","",CHOOSE(WEEKDAY(B484,2),"Mánudagur","Þriðjudagur","Miðvikudagur","Fimmtudagur","Föstudagur","Laugardagur","Sunnudagur"))</f>
        <v/>
      </c>
      <c r="D484" s="9"/>
      <c r="E484" s="9"/>
      <c r="F484" s="9"/>
      <c r="G484" s="9"/>
      <c r="H484" s="9"/>
      <c r="I484" s="24"/>
      <c r="J484" s="24"/>
      <c r="K484" s="42"/>
      <c r="L484" s="9"/>
    </row>
    <row r="485" spans="1:12" ht="15" customHeight="1">
      <c r="A485" s="38"/>
      <c r="B485" s="39"/>
      <c r="C485" s="40" t="str">
        <f>IF(B485="","",CHOOSE(WEEKDAY(B485,2),"Mánudagur","Þriðjudagur","Miðvikudagur","Fimmtudagur","Föstudagur","Laugardagur","Sunnudagur"))</f>
        <v/>
      </c>
      <c r="D485" s="38"/>
      <c r="E485" s="38"/>
      <c r="F485" s="38"/>
      <c r="G485" s="38"/>
      <c r="H485" s="38"/>
      <c r="I485" s="41"/>
      <c r="J485" s="41"/>
      <c r="K485" s="42"/>
      <c r="L485" s="38"/>
    </row>
    <row r="486" spans="1:12" ht="15" customHeight="1">
      <c r="A486" s="9"/>
      <c r="B486" s="43"/>
      <c r="C486" s="44" t="str">
        <f>IF(B486="","",CHOOSE(WEEKDAY(B486,2),"Mánudagur","Þriðjudagur","Miðvikudagur","Fimmtudagur","Föstudagur","Laugardagur","Sunnudagur"))</f>
        <v/>
      </c>
      <c r="D486" s="9"/>
      <c r="E486" s="9"/>
      <c r="F486" s="9"/>
      <c r="G486" s="9"/>
      <c r="H486" s="9"/>
      <c r="I486" s="24"/>
      <c r="J486" s="24"/>
      <c r="K486" s="42"/>
      <c r="L486" s="9"/>
    </row>
    <row r="487" spans="1:12" ht="15" customHeight="1">
      <c r="A487" s="38"/>
      <c r="B487" s="39"/>
      <c r="C487" s="40" t="str">
        <f>IF(B487="","",CHOOSE(WEEKDAY(B487,2),"Mánudagur","Þriðjudagur","Miðvikudagur","Fimmtudagur","Föstudagur","Laugardagur","Sunnudagur"))</f>
        <v/>
      </c>
      <c r="D487" s="38"/>
      <c r="E487" s="38"/>
      <c r="F487" s="38"/>
      <c r="G487" s="38"/>
      <c r="H487" s="38"/>
      <c r="I487" s="41"/>
      <c r="J487" s="41"/>
      <c r="K487" s="42"/>
      <c r="L487" s="38"/>
    </row>
    <row r="488" spans="1:12" ht="15" customHeight="1">
      <c r="A488" s="9"/>
      <c r="B488" s="43"/>
      <c r="C488" s="44" t="str">
        <f>IF(B488="","",CHOOSE(WEEKDAY(B488,2),"Mánudagur","Þriðjudagur","Miðvikudagur","Fimmtudagur","Föstudagur","Laugardagur","Sunnudagur"))</f>
        <v/>
      </c>
      <c r="D488" s="9"/>
      <c r="E488" s="9"/>
      <c r="F488" s="9"/>
      <c r="G488" s="9"/>
      <c r="H488" s="9"/>
      <c r="I488" s="24"/>
      <c r="J488" s="24"/>
      <c r="K488" s="42"/>
      <c r="L488" s="9"/>
    </row>
    <row r="489" spans="1:12" ht="15" customHeight="1">
      <c r="A489" s="38"/>
      <c r="B489" s="39"/>
      <c r="C489" s="40" t="str">
        <f>IF(B489="","",CHOOSE(WEEKDAY(B489,2),"Mánudagur","Þriðjudagur","Miðvikudagur","Fimmtudagur","Föstudagur","Laugardagur","Sunnudagur"))</f>
        <v/>
      </c>
      <c r="D489" s="38"/>
      <c r="E489" s="38"/>
      <c r="F489" s="38"/>
      <c r="G489" s="38"/>
      <c r="H489" s="38"/>
      <c r="I489" s="41"/>
      <c r="J489" s="41"/>
      <c r="K489" s="42"/>
      <c r="L489" s="38"/>
    </row>
    <row r="490" spans="1:12" ht="15" customHeight="1">
      <c r="A490" s="9"/>
      <c r="B490" s="43"/>
      <c r="C490" s="44" t="str">
        <f>IF(B490="","",CHOOSE(WEEKDAY(B490,2),"Mánudagur","Þriðjudagur","Miðvikudagur","Fimmtudagur","Föstudagur","Laugardagur","Sunnudagur"))</f>
        <v/>
      </c>
      <c r="D490" s="9"/>
      <c r="E490" s="9"/>
      <c r="F490" s="9"/>
      <c r="G490" s="9"/>
      <c r="H490" s="9"/>
      <c r="I490" s="24"/>
      <c r="J490" s="24"/>
      <c r="K490" s="42"/>
      <c r="L490" s="9"/>
    </row>
    <row r="491" spans="1:12" ht="15" customHeight="1">
      <c r="A491" s="38"/>
      <c r="B491" s="39"/>
      <c r="C491" s="40" t="str">
        <f>IF(B491="","",CHOOSE(WEEKDAY(B491,2),"Mánudagur","Þriðjudagur","Miðvikudagur","Fimmtudagur","Föstudagur","Laugardagur","Sunnudagur"))</f>
        <v/>
      </c>
      <c r="D491" s="38"/>
      <c r="E491" s="38"/>
      <c r="F491" s="38"/>
      <c r="G491" s="38"/>
      <c r="H491" s="38"/>
      <c r="I491" s="41"/>
      <c r="J491" s="41"/>
      <c r="K491" s="42"/>
      <c r="L491" s="38"/>
    </row>
    <row r="492" spans="1:12" ht="15" customHeight="1">
      <c r="A492" s="9"/>
      <c r="B492" s="43"/>
      <c r="C492" s="44" t="str">
        <f>IF(B492="","",CHOOSE(WEEKDAY(B492,2),"Mánudagur","Þriðjudagur","Miðvikudagur","Fimmtudagur","Föstudagur","Laugardagur","Sunnudagur"))</f>
        <v/>
      </c>
      <c r="D492" s="9"/>
      <c r="E492" s="9"/>
      <c r="F492" s="9"/>
      <c r="G492" s="9"/>
      <c r="H492" s="9"/>
      <c r="I492" s="24"/>
      <c r="J492" s="24"/>
      <c r="K492" s="42"/>
      <c r="L492" s="9"/>
    </row>
    <row r="493" spans="1:12" ht="15" customHeight="1">
      <c r="A493" s="38"/>
      <c r="B493" s="39"/>
      <c r="C493" s="40" t="str">
        <f>IF(B493="","",CHOOSE(WEEKDAY(B493,2),"Mánudagur","Þriðjudagur","Miðvikudagur","Fimmtudagur","Föstudagur","Laugardagur","Sunnudagur"))</f>
        <v/>
      </c>
      <c r="D493" s="38"/>
      <c r="E493" s="38"/>
      <c r="F493" s="38"/>
      <c r="G493" s="38"/>
      <c r="H493" s="38"/>
      <c r="I493" s="41"/>
      <c r="J493" s="41"/>
      <c r="K493" s="42"/>
      <c r="L493" s="38"/>
    </row>
    <row r="494" spans="1:12" ht="15" customHeight="1">
      <c r="A494" s="9"/>
      <c r="B494" s="43"/>
      <c r="C494" s="44" t="str">
        <f>IF(B494="","",CHOOSE(WEEKDAY(B494,2),"Mánudagur","Þriðjudagur","Miðvikudagur","Fimmtudagur","Föstudagur","Laugardagur","Sunnudagur"))</f>
        <v/>
      </c>
      <c r="D494" s="9"/>
      <c r="E494" s="9"/>
      <c r="F494" s="9"/>
      <c r="G494" s="9"/>
      <c r="H494" s="9"/>
      <c r="I494" s="24"/>
      <c r="J494" s="24"/>
      <c r="K494" s="42"/>
      <c r="L494" s="9"/>
    </row>
    <row r="495" spans="1:12" ht="15" customHeight="1">
      <c r="A495" s="38"/>
      <c r="B495" s="39"/>
      <c r="C495" s="40" t="str">
        <f>IF(B495="","",CHOOSE(WEEKDAY(B495,2),"Mánudagur","Þriðjudagur","Miðvikudagur","Fimmtudagur","Föstudagur","Laugardagur","Sunnudagur"))</f>
        <v/>
      </c>
      <c r="D495" s="38"/>
      <c r="E495" s="38"/>
      <c r="F495" s="38"/>
      <c r="G495" s="38"/>
      <c r="H495" s="38"/>
      <c r="I495" s="41"/>
      <c r="J495" s="41"/>
      <c r="K495" s="42"/>
      <c r="L495" s="38"/>
    </row>
    <row r="496" spans="1:12" ht="15" customHeight="1">
      <c r="A496" s="9"/>
      <c r="B496" s="43"/>
      <c r="C496" s="44" t="str">
        <f>IF(B496="","",CHOOSE(WEEKDAY(B496,2),"Mánudagur","Þriðjudagur","Miðvikudagur","Fimmtudagur","Föstudagur","Laugardagur","Sunnudagur"))</f>
        <v/>
      </c>
      <c r="D496" s="9"/>
      <c r="E496" s="9"/>
      <c r="F496" s="9"/>
      <c r="G496" s="9"/>
      <c r="H496" s="9"/>
      <c r="I496" s="24"/>
      <c r="J496" s="24"/>
      <c r="K496" s="42"/>
      <c r="L496" s="9"/>
    </row>
    <row r="497" spans="1:12" ht="15" customHeight="1">
      <c r="A497" s="38"/>
      <c r="B497" s="39"/>
      <c r="C497" s="40" t="str">
        <f>IF(B497="","",CHOOSE(WEEKDAY(B497,2),"Mánudagur","Þriðjudagur","Miðvikudagur","Fimmtudagur","Föstudagur","Laugardagur","Sunnudagur"))</f>
        <v/>
      </c>
      <c r="D497" s="38"/>
      <c r="E497" s="38"/>
      <c r="F497" s="38"/>
      <c r="G497" s="38"/>
      <c r="H497" s="38"/>
      <c r="I497" s="41"/>
      <c r="J497" s="41"/>
      <c r="K497" s="42"/>
      <c r="L497" s="38"/>
    </row>
    <row r="498" spans="1:12" ht="15" customHeight="1">
      <c r="A498" s="9"/>
      <c r="B498" s="43"/>
      <c r="C498" s="44" t="str">
        <f>IF(B498="","",CHOOSE(WEEKDAY(B498,2),"Mánudagur","Þriðjudagur","Miðvikudagur","Fimmtudagur","Föstudagur","Laugardagur","Sunnudagur"))</f>
        <v/>
      </c>
      <c r="D498" s="9"/>
      <c r="E498" s="9"/>
      <c r="F498" s="9"/>
      <c r="G498" s="9"/>
      <c r="H498" s="9"/>
      <c r="I498" s="24"/>
      <c r="J498" s="24"/>
      <c r="K498" s="42"/>
      <c r="L498" s="9"/>
    </row>
    <row r="499" spans="1:12" ht="15" customHeight="1">
      <c r="A499" s="38"/>
      <c r="B499" s="39"/>
      <c r="C499" s="40" t="str">
        <f>IF(B499="","",CHOOSE(WEEKDAY(B499,2),"Mánudagur","Þriðjudagur","Miðvikudagur","Fimmtudagur","Föstudagur","Laugardagur","Sunnudagur"))</f>
        <v/>
      </c>
      <c r="D499" s="38"/>
      <c r="E499" s="38"/>
      <c r="F499" s="38"/>
      <c r="G499" s="38"/>
      <c r="H499" s="38"/>
      <c r="I499" s="41"/>
      <c r="J499" s="41"/>
      <c r="K499" s="42"/>
      <c r="L499" s="38"/>
    </row>
    <row r="500" spans="1:12" ht="15" customHeight="1">
      <c r="A500" s="9"/>
      <c r="B500" s="43"/>
      <c r="C500" s="44" t="str">
        <f>IF(B500="","",CHOOSE(WEEKDAY(B500,2),"Mánudagur","Þriðjudagur","Miðvikudagur","Fimmtudagur","Föstudagur","Laugardagur","Sunnudagur"))</f>
        <v/>
      </c>
      <c r="D500" s="9"/>
      <c r="E500" s="9"/>
      <c r="F500" s="9"/>
      <c r="G500" s="9"/>
      <c r="H500" s="9"/>
      <c r="I500" s="24"/>
      <c r="J500" s="24"/>
      <c r="K500" s="42"/>
      <c r="L500" s="9"/>
    </row>
  </sheetData>
  <mergeCells count="1">
    <mergeCell ref="A1:L1"/>
  </mergeCells>
  <dataValidations count="3">
    <dataValidation type="list" allowBlank="1" sqref="D3:D500" xr:uid="{00000000-0002-0000-0300-000001000000}">
      <formula1>"Aðalréttur,Hliðarréttur,Meðlæti,Meðlætisbar,Síðdegishressing,Ávaxtastund"</formula1>
      <formula2>0</formula2>
    </dataValidation>
    <dataValidation type="list" allowBlank="1" sqref="E3:E500" xr:uid="{00000000-0002-0000-0300-000002000000}">
      <formula1>"Vara,Réttur"</formula1>
      <formula2>0</formula2>
    </dataValidation>
    <dataValidation type="list" allowBlank="1" sqref="H3:H500" xr:uid="{00000000-0002-0000-0300-000003000000}">
      <formula1>"Bæði,Leikskóli,Grunnskóli"</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300-000000000000}">
          <x14:formula1>
            <xm:f>Skólalisti!$A$3:$A$25</xm:f>
          </x14:formula1>
          <x14:formula2>
            <xm:f>0</xm:f>
          </x14:formula2>
          <xm:sqref>A3:A500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55A64"/>
  </sheetPr>
  <dimension ref="A1:D30"/>
  <sheetViews>
    <sheetView zoomScaleNormal="100" workbookViewId="0">
      <pane ySplit="2" topLeftCell="A3" activePane="bottomLeft" state="frozen"/>
      <selection pane="bottomLeft"/>
    </sheetView>
  </sheetViews>
  <sheetFormatPr defaultColWidth="8.7109375" defaultRowHeight="15"/>
  <cols>
    <col min="1" max="1" width="260" customWidth="1"/>
    <col min="2" max="2" width="120" customWidth="1"/>
    <col min="3" max="3" width="160" customWidth="1"/>
    <col min="4" max="4" width="80" customWidth="1"/>
  </cols>
  <sheetData>
    <row r="1" spans="1:4" ht="36" customHeight="1">
      <c r="A1" s="67" t="s">
        <v>1104</v>
      </c>
      <c r="B1" s="67"/>
      <c r="C1" s="67"/>
      <c r="D1" s="67"/>
    </row>
    <row r="2" spans="1:4" ht="43.5" customHeight="1">
      <c r="A2" s="45" t="s">
        <v>1105</v>
      </c>
      <c r="B2" s="45" t="s">
        <v>1106</v>
      </c>
      <c r="C2" s="45" t="s">
        <v>1107</v>
      </c>
      <c r="D2" s="45" t="s">
        <v>1108</v>
      </c>
    </row>
    <row r="3" spans="1:4" ht="15" customHeight="1">
      <c r="A3" s="46" t="s">
        <v>1109</v>
      </c>
      <c r="B3" s="46" t="s">
        <v>1110</v>
      </c>
      <c r="C3" s="46" t="s">
        <v>1111</v>
      </c>
      <c r="D3" s="46" t="s">
        <v>1112</v>
      </c>
    </row>
    <row r="4" spans="1:4" ht="15" customHeight="1">
      <c r="A4" s="47" t="s">
        <v>1113</v>
      </c>
      <c r="B4" s="47" t="s">
        <v>1110</v>
      </c>
      <c r="C4" s="47" t="s">
        <v>1111</v>
      </c>
      <c r="D4" s="47" t="s">
        <v>1112</v>
      </c>
    </row>
    <row r="5" spans="1:4" ht="15" customHeight="1">
      <c r="A5" s="46" t="s">
        <v>1114</v>
      </c>
      <c r="B5" s="46" t="s">
        <v>920</v>
      </c>
      <c r="C5" s="46" t="s">
        <v>1111</v>
      </c>
      <c r="D5" s="46" t="s">
        <v>1112</v>
      </c>
    </row>
    <row r="6" spans="1:4" ht="15" customHeight="1">
      <c r="A6" s="47" t="s">
        <v>1115</v>
      </c>
      <c r="B6" s="47" t="s">
        <v>920</v>
      </c>
      <c r="C6" s="47" t="s">
        <v>1111</v>
      </c>
      <c r="D6" s="47" t="s">
        <v>1112</v>
      </c>
    </row>
    <row r="7" spans="1:4" ht="15" customHeight="1">
      <c r="A7" s="9"/>
      <c r="B7" s="9"/>
      <c r="C7" s="9"/>
      <c r="D7" s="9"/>
    </row>
    <row r="8" spans="1:4" ht="15" customHeight="1">
      <c r="A8" s="9"/>
      <c r="B8" s="9"/>
      <c r="C8" s="9"/>
      <c r="D8" s="9"/>
    </row>
    <row r="9" spans="1:4" ht="15" customHeight="1">
      <c r="A9" s="9"/>
      <c r="B9" s="9"/>
      <c r="C9" s="9"/>
      <c r="D9" s="9"/>
    </row>
    <row r="10" spans="1:4" ht="15" customHeight="1">
      <c r="A10" s="9"/>
      <c r="B10" s="9"/>
      <c r="C10" s="9"/>
      <c r="D10" s="9"/>
    </row>
    <row r="11" spans="1:4" ht="15" customHeight="1">
      <c r="A11" s="9"/>
      <c r="B11" s="9"/>
      <c r="C11" s="9"/>
      <c r="D11" s="9"/>
    </row>
    <row r="12" spans="1:4" ht="15" customHeight="1">
      <c r="A12" s="9"/>
      <c r="B12" s="9"/>
      <c r="C12" s="9"/>
      <c r="D12" s="9"/>
    </row>
    <row r="13" spans="1:4" ht="15" customHeight="1">
      <c r="A13" s="9"/>
      <c r="B13" s="9"/>
      <c r="C13" s="9"/>
      <c r="D13" s="9"/>
    </row>
    <row r="14" spans="1:4" ht="15" customHeight="1">
      <c r="A14" s="9"/>
      <c r="B14" s="9"/>
      <c r="C14" s="9"/>
      <c r="D14" s="9"/>
    </row>
    <row r="15" spans="1:4" ht="15" customHeight="1">
      <c r="A15" s="9"/>
      <c r="B15" s="9"/>
      <c r="C15" s="9"/>
      <c r="D15" s="9"/>
    </row>
    <row r="16" spans="1:4" ht="15" customHeight="1">
      <c r="A16" s="9"/>
      <c r="B16" s="9"/>
      <c r="C16" s="9"/>
      <c r="D16" s="9"/>
    </row>
    <row r="17" spans="1:4" ht="15" customHeight="1">
      <c r="A17" s="9"/>
      <c r="B17" s="9"/>
      <c r="C17" s="9"/>
      <c r="D17" s="9"/>
    </row>
    <row r="18" spans="1:4" ht="15" customHeight="1">
      <c r="A18" s="9"/>
      <c r="B18" s="9"/>
      <c r="C18" s="9"/>
      <c r="D18" s="9"/>
    </row>
    <row r="19" spans="1:4" ht="15" customHeight="1">
      <c r="A19" s="9"/>
      <c r="B19" s="9"/>
      <c r="C19" s="9"/>
      <c r="D19" s="9"/>
    </row>
    <row r="20" spans="1:4" ht="15" customHeight="1">
      <c r="A20" s="9"/>
      <c r="B20" s="9"/>
      <c r="C20" s="9"/>
      <c r="D20" s="9"/>
    </row>
    <row r="21" spans="1:4" ht="15" customHeight="1">
      <c r="A21" s="9"/>
      <c r="B21" s="9"/>
      <c r="C21" s="9"/>
      <c r="D21" s="9"/>
    </row>
    <row r="22" spans="1:4" ht="15" customHeight="1">
      <c r="A22" s="9"/>
      <c r="B22" s="9"/>
      <c r="C22" s="9"/>
      <c r="D22" s="9"/>
    </row>
    <row r="23" spans="1:4" ht="15" customHeight="1">
      <c r="A23" s="9"/>
      <c r="B23" s="9"/>
      <c r="C23" s="9"/>
      <c r="D23" s="9"/>
    </row>
    <row r="24" spans="1:4" ht="15" customHeight="1">
      <c r="A24" s="9"/>
      <c r="B24" s="9"/>
      <c r="C24" s="9"/>
      <c r="D24" s="9"/>
    </row>
    <row r="25" spans="1:4" ht="15" customHeight="1">
      <c r="A25" s="9"/>
      <c r="B25" s="9"/>
      <c r="C25" s="9"/>
      <c r="D25" s="9"/>
    </row>
    <row r="26" spans="1:4" ht="15" customHeight="1">
      <c r="A26" s="9"/>
      <c r="B26" s="9"/>
      <c r="C26" s="9"/>
      <c r="D26" s="9"/>
    </row>
    <row r="27" spans="1:4" ht="15" customHeight="1">
      <c r="A27" s="9"/>
      <c r="B27" s="9"/>
      <c r="C27" s="9"/>
      <c r="D27" s="9"/>
    </row>
    <row r="28" spans="1:4" ht="15" customHeight="1">
      <c r="A28" s="9"/>
      <c r="B28" s="9"/>
      <c r="C28" s="9"/>
      <c r="D28" s="9"/>
    </row>
    <row r="29" spans="1:4" ht="15" customHeight="1">
      <c r="A29" s="9"/>
      <c r="B29" s="9"/>
      <c r="C29" s="9"/>
      <c r="D29" s="9"/>
    </row>
    <row r="30" spans="1:4" ht="15" customHeight="1">
      <c r="A30" s="9"/>
      <c r="B30" s="9"/>
      <c r="C30" s="9"/>
      <c r="D30" s="9"/>
    </row>
  </sheetData>
  <mergeCells count="1">
    <mergeCell ref="A1:D1"/>
  </mergeCells>
  <dataValidations count="2">
    <dataValidation type="list" allowBlank="1" sqref="B3:B30" xr:uid="{00000000-0002-0000-0400-000000000000}">
      <formula1>"Leikskóli,Grunnskóli,Bæði"</formula1>
      <formula2>0</formula2>
    </dataValidation>
    <dataValidation type="list" allowBlank="1" sqref="D3:D30" xr:uid="{00000000-0002-0000-0400-000001000000}">
      <formula1>"Já,Nei"</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A237E"/>
  </sheetPr>
  <dimension ref="A1:H54"/>
  <sheetViews>
    <sheetView zoomScaleNormal="100" workbookViewId="0">
      <pane ySplit="3" topLeftCell="A4" activePane="bottomLeft" state="frozen"/>
      <selection pane="bottomLeft"/>
    </sheetView>
  </sheetViews>
  <sheetFormatPr defaultColWidth="8.7109375" defaultRowHeight="15"/>
  <cols>
    <col min="1" max="1" width="280" customWidth="1"/>
    <col min="2" max="2" width="160" customWidth="1"/>
    <col min="3" max="3" width="120" customWidth="1"/>
    <col min="4" max="5" width="110" customWidth="1"/>
    <col min="6" max="6" width="120" customWidth="1"/>
    <col min="7" max="7" width="90" customWidth="1"/>
    <col min="8" max="8" width="200" customWidth="1"/>
  </cols>
  <sheetData>
    <row r="1" spans="1:8" ht="36" customHeight="1">
      <c r="A1" s="68" t="s">
        <v>1116</v>
      </c>
      <c r="B1" s="68"/>
      <c r="C1" s="68"/>
      <c r="D1" s="68"/>
      <c r="E1" s="68"/>
      <c r="F1" s="68"/>
      <c r="G1" s="68"/>
      <c r="H1" s="68"/>
    </row>
    <row r="2" spans="1:8" ht="21.75" customHeight="1">
      <c r="A2" s="69" t="s">
        <v>1117</v>
      </c>
      <c r="B2" s="69"/>
      <c r="C2" s="69"/>
      <c r="D2" s="69"/>
      <c r="E2" s="69"/>
      <c r="F2" s="69"/>
      <c r="G2" s="69"/>
      <c r="H2" s="69"/>
    </row>
    <row r="3" spans="1:8" ht="43.5" customHeight="1">
      <c r="A3" s="48" t="s">
        <v>1118</v>
      </c>
      <c r="B3" s="48" t="s">
        <v>1119</v>
      </c>
      <c r="C3" s="48" t="s">
        <v>1120</v>
      </c>
      <c r="D3" s="48" t="s">
        <v>1121</v>
      </c>
      <c r="E3" s="48" t="s">
        <v>1122</v>
      </c>
      <c r="F3" s="48" t="s">
        <v>1123</v>
      </c>
      <c r="G3" s="48" t="s">
        <v>1124</v>
      </c>
      <c r="H3" s="48" t="s">
        <v>796</v>
      </c>
    </row>
    <row r="4" spans="1:8" ht="36" customHeight="1">
      <c r="A4" s="70" t="s">
        <v>1125</v>
      </c>
      <c r="B4" s="70"/>
      <c r="C4" s="70"/>
      <c r="D4" s="70"/>
      <c r="E4" s="70"/>
      <c r="F4" s="70"/>
      <c r="G4" s="70"/>
      <c r="H4" s="70"/>
    </row>
    <row r="5" spans="1:8" ht="15" customHeight="1">
      <c r="A5" s="47"/>
      <c r="B5" s="47"/>
      <c r="C5" s="49"/>
      <c r="D5" s="49">
        <f>Forsendur!$B$1</f>
        <v>0</v>
      </c>
      <c r="E5" s="50" t="str">
        <f>IF(C5="","",C5/D5)</f>
        <v/>
      </c>
      <c r="F5" s="49" t="str">
        <f>IF(C5="","",D5-C5)</f>
        <v/>
      </c>
      <c r="G5" s="47" t="str">
        <f>IF(C5="","",IF(E5&lt;=Forsendur!$B$2/100,"🟢 GRÆNT",IF(E5&lt;=Forsendur!$B$3/100,"🟡 GULT","🔴 RAUTT")))</f>
        <v/>
      </c>
      <c r="H5" s="47"/>
    </row>
    <row r="6" spans="1:8" ht="15" customHeight="1">
      <c r="A6" s="51"/>
      <c r="B6" s="51"/>
      <c r="C6" s="52"/>
      <c r="D6" s="52">
        <f>Forsendur!$B$1</f>
        <v>0</v>
      </c>
      <c r="E6" s="53" t="str">
        <f>IF(C6="","",C6/D6)</f>
        <v/>
      </c>
      <c r="F6" s="52" t="str">
        <f>IF(C6="","",D6-C6)</f>
        <v/>
      </c>
      <c r="G6" s="51" t="str">
        <f>IF(C6="","",IF(E6&lt;=Forsendur!$B$2/100,"🟢 GRÆNT",IF(E6&lt;=Forsendur!$B$3/100,"🟡 GULT","🔴 RAUTT")))</f>
        <v/>
      </c>
      <c r="H6" s="51"/>
    </row>
    <row r="7" spans="1:8" ht="15" customHeight="1">
      <c r="A7" s="47"/>
      <c r="B7" s="47"/>
      <c r="C7" s="49"/>
      <c r="D7" s="49">
        <f>Forsendur!$B$1</f>
        <v>0</v>
      </c>
      <c r="E7" s="50" t="str">
        <f>IF(C7="","",C7/D7)</f>
        <v/>
      </c>
      <c r="F7" s="49" t="str">
        <f>IF(C7="","",D7-C7)</f>
        <v/>
      </c>
      <c r="G7" s="47" t="str">
        <f>IF(C7="","",IF(E7&lt;=Forsendur!$B$2/100,"🟢 GRÆNT",IF(E7&lt;=Forsendur!$B$3/100,"🟡 GULT","🔴 RAUTT")))</f>
        <v/>
      </c>
      <c r="H7" s="47"/>
    </row>
    <row r="8" spans="1:8" ht="15" customHeight="1">
      <c r="A8" s="51"/>
      <c r="B8" s="51"/>
      <c r="C8" s="52"/>
      <c r="D8" s="52">
        <f>Forsendur!$B$1</f>
        <v>0</v>
      </c>
      <c r="E8" s="53" t="str">
        <f>IF(C8="","",C8/D8)</f>
        <v/>
      </c>
      <c r="F8" s="52" t="str">
        <f>IF(C8="","",D8-C8)</f>
        <v/>
      </c>
      <c r="G8" s="51" t="str">
        <f>IF(C8="","",IF(E8&lt;=Forsendur!$B$2/100,"🟢 GRÆNT",IF(E8&lt;=Forsendur!$B$3/100,"🟡 GULT","🔴 RAUTT")))</f>
        <v/>
      </c>
      <c r="H8" s="51"/>
    </row>
    <row r="9" spans="1:8" ht="15" customHeight="1">
      <c r="A9" s="47"/>
      <c r="B9" s="47"/>
      <c r="C9" s="49"/>
      <c r="D9" s="49">
        <f>Forsendur!$B$1</f>
        <v>0</v>
      </c>
      <c r="E9" s="50" t="str">
        <f>IF(C9="","",C9/D9)</f>
        <v/>
      </c>
      <c r="F9" s="49" t="str">
        <f>IF(C9="","",D9-C9)</f>
        <v/>
      </c>
      <c r="G9" s="47" t="str">
        <f>IF(C9="","",IF(E9&lt;=Forsendur!$B$2/100,"🟢 GRÆNT",IF(E9&lt;=Forsendur!$B$3/100,"🟡 GULT","🔴 RAUTT")))</f>
        <v/>
      </c>
      <c r="H9" s="47"/>
    </row>
    <row r="10" spans="1:8" ht="15" customHeight="1">
      <c r="A10" s="51"/>
      <c r="B10" s="51"/>
      <c r="C10" s="52"/>
      <c r="D10" s="52">
        <f>Forsendur!$B$1</f>
        <v>0</v>
      </c>
      <c r="E10" s="53" t="str">
        <f>IF(C10="","",C10/D10)</f>
        <v/>
      </c>
      <c r="F10" s="52" t="str">
        <f>IF(C10="","",D10-C10)</f>
        <v/>
      </c>
      <c r="G10" s="51" t="str">
        <f>IF(C10="","",IF(E10&lt;=Forsendur!$B$2/100,"🟢 GRÆNT",IF(E10&lt;=Forsendur!$B$3/100,"🟡 GULT","🔴 RAUTT")))</f>
        <v/>
      </c>
      <c r="H10" s="51"/>
    </row>
    <row r="11" spans="1:8" ht="15" customHeight="1">
      <c r="A11" s="47"/>
      <c r="B11" s="47"/>
      <c r="C11" s="49"/>
      <c r="D11" s="49">
        <f>Forsendur!$B$1</f>
        <v>0</v>
      </c>
      <c r="E11" s="50" t="str">
        <f>IF(C11="","",C11/D11)</f>
        <v/>
      </c>
      <c r="F11" s="49" t="str">
        <f>IF(C11="","",D11-C11)</f>
        <v/>
      </c>
      <c r="G11" s="47" t="str">
        <f>IF(C11="","",IF(E11&lt;=Forsendur!$B$2/100,"🟢 GRÆNT",IF(E11&lt;=Forsendur!$B$3/100,"🟡 GULT","🔴 RAUTT")))</f>
        <v/>
      </c>
      <c r="H11" s="47"/>
    </row>
    <row r="12" spans="1:8" ht="15" customHeight="1">
      <c r="A12" s="51"/>
      <c r="B12" s="51"/>
      <c r="C12" s="52"/>
      <c r="D12" s="52">
        <f>Forsendur!$B$1</f>
        <v>0</v>
      </c>
      <c r="E12" s="53" t="str">
        <f>IF(C12="","",C12/D12)</f>
        <v/>
      </c>
      <c r="F12" s="52" t="str">
        <f>IF(C12="","",D12-C12)</f>
        <v/>
      </c>
      <c r="G12" s="51" t="str">
        <f>IF(C12="","",IF(E12&lt;=Forsendur!$B$2/100,"🟢 GRÆNT",IF(E12&lt;=Forsendur!$B$3/100,"🟡 GULT","🔴 RAUTT")))</f>
        <v/>
      </c>
      <c r="H12" s="51"/>
    </row>
    <row r="13" spans="1:8" ht="15" customHeight="1">
      <c r="A13" s="47"/>
      <c r="B13" s="47"/>
      <c r="C13" s="49"/>
      <c r="D13" s="49">
        <f>Forsendur!$B$1</f>
        <v>0</v>
      </c>
      <c r="E13" s="50" t="str">
        <f>IF(C13="","",C13/D13)</f>
        <v/>
      </c>
      <c r="F13" s="49" t="str">
        <f>IF(C13="","",D13-C13)</f>
        <v/>
      </c>
      <c r="G13" s="47" t="str">
        <f>IF(C13="","",IF(E13&lt;=Forsendur!$B$2/100,"🟢 GRÆNT",IF(E13&lt;=Forsendur!$B$3/100,"🟡 GULT","🔴 RAUTT")))</f>
        <v/>
      </c>
      <c r="H13" s="47"/>
    </row>
    <row r="14" spans="1:8" ht="15" customHeight="1">
      <c r="A14" s="51"/>
      <c r="B14" s="51"/>
      <c r="C14" s="52"/>
      <c r="D14" s="52">
        <f>Forsendur!$B$1</f>
        <v>0</v>
      </c>
      <c r="E14" s="53" t="str">
        <f>IF(C14="","",C14/D14)</f>
        <v/>
      </c>
      <c r="F14" s="52" t="str">
        <f>IF(C14="","",D14-C14)</f>
        <v/>
      </c>
      <c r="G14" s="51" t="str">
        <f>IF(C14="","",IF(E14&lt;=Forsendur!$B$2/100,"🟢 GRÆNT",IF(E14&lt;=Forsendur!$B$3/100,"🟡 GULT","🔴 RAUTT")))</f>
        <v/>
      </c>
      <c r="H14" s="51"/>
    </row>
    <row r="15" spans="1:8" ht="15" customHeight="1">
      <c r="A15" s="47"/>
      <c r="B15" s="47"/>
      <c r="C15" s="49"/>
      <c r="D15" s="49">
        <f>Forsendur!$B$1</f>
        <v>0</v>
      </c>
      <c r="E15" s="50" t="str">
        <f>IF(C15="","",C15/D15)</f>
        <v/>
      </c>
      <c r="F15" s="49" t="str">
        <f>IF(C15="","",D15-C15)</f>
        <v/>
      </c>
      <c r="G15" s="47" t="str">
        <f>IF(C15="","",IF(E15&lt;=Forsendur!$B$2/100,"🟢 GRÆNT",IF(E15&lt;=Forsendur!$B$3/100,"🟡 GULT","🔴 RAUTT")))</f>
        <v/>
      </c>
      <c r="H15" s="47"/>
    </row>
    <row r="16" spans="1:8" ht="15" customHeight="1">
      <c r="A16" s="51"/>
      <c r="B16" s="51"/>
      <c r="C16" s="52"/>
      <c r="D16" s="52">
        <f>Forsendur!$B$1</f>
        <v>0</v>
      </c>
      <c r="E16" s="53" t="str">
        <f>IF(C16="","",C16/D16)</f>
        <v/>
      </c>
      <c r="F16" s="52" t="str">
        <f>IF(C16="","",D16-C16)</f>
        <v/>
      </c>
      <c r="G16" s="51" t="str">
        <f>IF(C16="","",IF(E16&lt;=Forsendur!$B$2/100,"🟢 GRÆNT",IF(E16&lt;=Forsendur!$B$3/100,"🟡 GULT","🔴 RAUTT")))</f>
        <v/>
      </c>
      <c r="H16" s="51"/>
    </row>
    <row r="17" spans="1:8" ht="15" customHeight="1">
      <c r="A17" s="47"/>
      <c r="B17" s="47"/>
      <c r="C17" s="49"/>
      <c r="D17" s="49">
        <f>Forsendur!$B$1</f>
        <v>0</v>
      </c>
      <c r="E17" s="50" t="str">
        <f>IF(C17="","",C17/D17)</f>
        <v/>
      </c>
      <c r="F17" s="49" t="str">
        <f>IF(C17="","",D17-C17)</f>
        <v/>
      </c>
      <c r="G17" s="47" t="str">
        <f>IF(C17="","",IF(E17&lt;=Forsendur!$B$2/100,"🟢 GRÆNT",IF(E17&lt;=Forsendur!$B$3/100,"🟡 GULT","🔴 RAUTT")))</f>
        <v/>
      </c>
      <c r="H17" s="47"/>
    </row>
    <row r="18" spans="1:8" ht="15" customHeight="1">
      <c r="A18" s="51"/>
      <c r="B18" s="51"/>
      <c r="C18" s="52"/>
      <c r="D18" s="52">
        <f>Forsendur!$B$1</f>
        <v>0</v>
      </c>
      <c r="E18" s="53" t="str">
        <f>IF(C18="","",C18/D18)</f>
        <v/>
      </c>
      <c r="F18" s="52" t="str">
        <f>IF(C18="","",D18-C18)</f>
        <v/>
      </c>
      <c r="G18" s="51" t="str">
        <f>IF(C18="","",IF(E18&lt;=Forsendur!$B$2/100,"🟢 GRÆNT",IF(E18&lt;=Forsendur!$B$3/100,"🟡 GULT","🔴 RAUTT")))</f>
        <v/>
      </c>
      <c r="H18" s="51"/>
    </row>
    <row r="19" spans="1:8" ht="15" customHeight="1">
      <c r="A19" s="47"/>
      <c r="B19" s="47"/>
      <c r="C19" s="49"/>
      <c r="D19" s="49">
        <f>Forsendur!$B$1</f>
        <v>0</v>
      </c>
      <c r="E19" s="50" t="str">
        <f>IF(C19="","",C19/D19)</f>
        <v/>
      </c>
      <c r="F19" s="49" t="str">
        <f>IF(C19="","",D19-C19)</f>
        <v/>
      </c>
      <c r="G19" s="47" t="str">
        <f>IF(C19="","",IF(E19&lt;=Forsendur!$B$2/100,"🟢 GRÆNT",IF(E19&lt;=Forsendur!$B$3/100,"🟡 GULT","🔴 RAUTT")))</f>
        <v/>
      </c>
      <c r="H19" s="47"/>
    </row>
    <row r="20" spans="1:8" ht="15" customHeight="1">
      <c r="A20" s="51"/>
      <c r="B20" s="51"/>
      <c r="C20" s="52"/>
      <c r="D20" s="52">
        <f>Forsendur!$B$1</f>
        <v>0</v>
      </c>
      <c r="E20" s="53" t="str">
        <f>IF(C20="","",C20/D20)</f>
        <v/>
      </c>
      <c r="F20" s="52" t="str">
        <f>IF(C20="","",D20-C20)</f>
        <v/>
      </c>
      <c r="G20" s="51" t="str">
        <f>IF(C20="","",IF(E20&lt;=Forsendur!$B$2/100,"🟢 GRÆNT",IF(E20&lt;=Forsendur!$B$3/100,"🟡 GULT","🔴 RAUTT")))</f>
        <v/>
      </c>
      <c r="H20" s="51"/>
    </row>
    <row r="21" spans="1:8" ht="15" customHeight="1">
      <c r="A21" s="47"/>
      <c r="B21" s="47"/>
      <c r="C21" s="49"/>
      <c r="D21" s="49">
        <f>Forsendur!$B$1</f>
        <v>0</v>
      </c>
      <c r="E21" s="50" t="str">
        <f>IF(C21="","",C21/D21)</f>
        <v/>
      </c>
      <c r="F21" s="49" t="str">
        <f>IF(C21="","",D21-C21)</f>
        <v/>
      </c>
      <c r="G21" s="47" t="str">
        <f>IF(C21="","",IF(E21&lt;=Forsendur!$B$2/100,"🟢 GRÆNT",IF(E21&lt;=Forsendur!$B$3/100,"🟡 GULT","🔴 RAUTT")))</f>
        <v/>
      </c>
      <c r="H21" s="47"/>
    </row>
    <row r="22" spans="1:8" ht="15" customHeight="1">
      <c r="A22" s="51"/>
      <c r="B22" s="51"/>
      <c r="C22" s="52"/>
      <c r="D22" s="52">
        <f>Forsendur!$B$1</f>
        <v>0</v>
      </c>
      <c r="E22" s="53" t="str">
        <f>IF(C22="","",C22/D22)</f>
        <v/>
      </c>
      <c r="F22" s="52" t="str">
        <f>IF(C22="","",D22-C22)</f>
        <v/>
      </c>
      <c r="G22" s="51" t="str">
        <f>IF(C22="","",IF(E22&lt;=Forsendur!$B$2/100,"🟢 GRÆNT",IF(E22&lt;=Forsendur!$B$3/100,"🟡 GULT","🔴 RAUTT")))</f>
        <v/>
      </c>
      <c r="H22" s="51"/>
    </row>
    <row r="23" spans="1:8" ht="15" customHeight="1">
      <c r="A23" s="47"/>
      <c r="B23" s="47"/>
      <c r="C23" s="49"/>
      <c r="D23" s="49">
        <f>Forsendur!$B$1</f>
        <v>0</v>
      </c>
      <c r="E23" s="50" t="str">
        <f>IF(C23="","",C23/D23)</f>
        <v/>
      </c>
      <c r="F23" s="49" t="str">
        <f>IF(C23="","",D23-C23)</f>
        <v/>
      </c>
      <c r="G23" s="47" t="str">
        <f>IF(C23="","",IF(E23&lt;=Forsendur!$B$2/100,"🟢 GRÆNT",IF(E23&lt;=Forsendur!$B$3/100,"🟡 GULT","🔴 RAUTT")))</f>
        <v/>
      </c>
      <c r="H23" s="47"/>
    </row>
    <row r="24" spans="1:8" ht="15" customHeight="1">
      <c r="A24" s="51"/>
      <c r="B24" s="51"/>
      <c r="C24" s="52"/>
      <c r="D24" s="52">
        <f>Forsendur!$B$1</f>
        <v>0</v>
      </c>
      <c r="E24" s="53" t="str">
        <f>IF(C24="","",C24/D24)</f>
        <v/>
      </c>
      <c r="F24" s="52" t="str">
        <f>IF(C24="","",D24-C24)</f>
        <v/>
      </c>
      <c r="G24" s="51" t="str">
        <f>IF(C24="","",IF(E24&lt;=Forsendur!$B$2/100,"🟢 GRÆNT",IF(E24&lt;=Forsendur!$B$3/100,"🟡 GULT","🔴 RAUTT")))</f>
        <v/>
      </c>
      <c r="H24" s="51"/>
    </row>
    <row r="25" spans="1:8" ht="15" customHeight="1">
      <c r="A25" s="47"/>
      <c r="B25" s="47"/>
      <c r="C25" s="49"/>
      <c r="D25" s="49">
        <f>Forsendur!$B$1</f>
        <v>0</v>
      </c>
      <c r="E25" s="50" t="str">
        <f>IF(C25="","",C25/D25)</f>
        <v/>
      </c>
      <c r="F25" s="49" t="str">
        <f>IF(C25="","",D25-C25)</f>
        <v/>
      </c>
      <c r="G25" s="47" t="str">
        <f>IF(C25="","",IF(E25&lt;=Forsendur!$B$2/100,"🟢 GRÆNT",IF(E25&lt;=Forsendur!$B$3/100,"🟡 GULT","🔴 RAUTT")))</f>
        <v/>
      </c>
      <c r="H25" s="47"/>
    </row>
    <row r="26" spans="1:8" ht="15" customHeight="1">
      <c r="A26" s="51"/>
      <c r="B26" s="51"/>
      <c r="C26" s="52"/>
      <c r="D26" s="52">
        <f>Forsendur!$B$1</f>
        <v>0</v>
      </c>
      <c r="E26" s="53" t="str">
        <f>IF(C26="","",C26/D26)</f>
        <v/>
      </c>
      <c r="F26" s="52" t="str">
        <f>IF(C26="","",D26-C26)</f>
        <v/>
      </c>
      <c r="G26" s="51" t="str">
        <f>IF(C26="","",IF(E26&lt;=Forsendur!$B$2/100,"🟢 GRÆNT",IF(E26&lt;=Forsendur!$B$3/100,"🟡 GULT","🔴 RAUTT")))</f>
        <v/>
      </c>
      <c r="H26" s="51"/>
    </row>
    <row r="27" spans="1:8" ht="15" customHeight="1">
      <c r="A27" s="47"/>
      <c r="B27" s="47"/>
      <c r="C27" s="49"/>
      <c r="D27" s="49">
        <f>Forsendur!$B$1</f>
        <v>0</v>
      </c>
      <c r="E27" s="50" t="str">
        <f>IF(C27="","",C27/D27)</f>
        <v/>
      </c>
      <c r="F27" s="49" t="str">
        <f>IF(C27="","",D27-C27)</f>
        <v/>
      </c>
      <c r="G27" s="47" t="str">
        <f>IF(C27="","",IF(E27&lt;=Forsendur!$B$2/100,"🟢 GRÆNT",IF(E27&lt;=Forsendur!$B$3/100,"🟡 GULT","🔴 RAUTT")))</f>
        <v/>
      </c>
      <c r="H27" s="47"/>
    </row>
    <row r="28" spans="1:8" ht="15" customHeight="1">
      <c r="A28" s="51"/>
      <c r="B28" s="51"/>
      <c r="C28" s="52"/>
      <c r="D28" s="52">
        <f>Forsendur!$B$1</f>
        <v>0</v>
      </c>
      <c r="E28" s="53" t="str">
        <f>IF(C28="","",C28/D28)</f>
        <v/>
      </c>
      <c r="F28" s="52" t="str">
        <f>IF(C28="","",D28-C28)</f>
        <v/>
      </c>
      <c r="G28" s="51" t="str">
        <f>IF(C28="","",IF(E28&lt;=Forsendur!$B$2/100,"🟢 GRÆNT",IF(E28&lt;=Forsendur!$B$3/100,"🟡 GULT","🔴 RAUTT")))</f>
        <v/>
      </c>
      <c r="H28" s="51"/>
    </row>
    <row r="29" spans="1:8" ht="15" customHeight="1">
      <c r="A29" s="47"/>
      <c r="B29" s="47"/>
      <c r="C29" s="49"/>
      <c r="D29" s="49">
        <f>Forsendur!$B$1</f>
        <v>0</v>
      </c>
      <c r="E29" s="50" t="str">
        <f>IF(C29="","",C29/D29)</f>
        <v/>
      </c>
      <c r="F29" s="49" t="str">
        <f>IF(C29="","",D29-C29)</f>
        <v/>
      </c>
      <c r="G29" s="47" t="str">
        <f>IF(C29="","",IF(E29&lt;=Forsendur!$B$2/100,"🟢 GRÆNT",IF(E29&lt;=Forsendur!$B$3/100,"🟡 GULT","🔴 RAUTT")))</f>
        <v/>
      </c>
      <c r="H29" s="47"/>
    </row>
    <row r="30" spans="1:8" ht="15" customHeight="1">
      <c r="A30" s="51"/>
      <c r="B30" s="51"/>
      <c r="C30" s="52"/>
      <c r="D30" s="52">
        <f>Forsendur!$B$1</f>
        <v>0</v>
      </c>
      <c r="E30" s="53" t="str">
        <f>IF(C30="","",C30/D30)</f>
        <v/>
      </c>
      <c r="F30" s="52" t="str">
        <f>IF(C30="","",D30-C30)</f>
        <v/>
      </c>
      <c r="G30" s="51" t="str">
        <f>IF(C30="","",IF(E30&lt;=Forsendur!$B$2/100,"🟢 GRÆNT",IF(E30&lt;=Forsendur!$B$3/100,"🟡 GULT","🔴 RAUTT")))</f>
        <v/>
      </c>
      <c r="H30" s="51"/>
    </row>
    <row r="31" spans="1:8" ht="15" customHeight="1">
      <c r="A31" s="47"/>
      <c r="B31" s="47"/>
      <c r="C31" s="49"/>
      <c r="D31" s="49">
        <f>Forsendur!$B$1</f>
        <v>0</v>
      </c>
      <c r="E31" s="50" t="str">
        <f>IF(C31="","",C31/D31)</f>
        <v/>
      </c>
      <c r="F31" s="49" t="str">
        <f>IF(C31="","",D31-C31)</f>
        <v/>
      </c>
      <c r="G31" s="47" t="str">
        <f>IF(C31="","",IF(E31&lt;=Forsendur!$B$2/100,"🟢 GRÆNT",IF(E31&lt;=Forsendur!$B$3/100,"🟡 GULT","🔴 RAUTT")))</f>
        <v/>
      </c>
      <c r="H31" s="47"/>
    </row>
    <row r="32" spans="1:8" ht="15" customHeight="1">
      <c r="A32" s="51"/>
      <c r="B32" s="51"/>
      <c r="C32" s="52"/>
      <c r="D32" s="52">
        <f>Forsendur!$B$1</f>
        <v>0</v>
      </c>
      <c r="E32" s="53" t="str">
        <f>IF(C32="","",C32/D32)</f>
        <v/>
      </c>
      <c r="F32" s="52" t="str">
        <f>IF(C32="","",D32-C32)</f>
        <v/>
      </c>
      <c r="G32" s="51" t="str">
        <f>IF(C32="","",IF(E32&lt;=Forsendur!$B$2/100,"🟢 GRÆNT",IF(E32&lt;=Forsendur!$B$3/100,"🟡 GULT","🔴 RAUTT")))</f>
        <v/>
      </c>
      <c r="H32" s="51"/>
    </row>
    <row r="33" spans="1:8" ht="15" customHeight="1">
      <c r="A33" s="47"/>
      <c r="B33" s="47"/>
      <c r="C33" s="49"/>
      <c r="D33" s="49">
        <f>Forsendur!$B$1</f>
        <v>0</v>
      </c>
      <c r="E33" s="50" t="str">
        <f>IF(C33="","",C33/D33)</f>
        <v/>
      </c>
      <c r="F33" s="49" t="str">
        <f>IF(C33="","",D33-C33)</f>
        <v/>
      </c>
      <c r="G33" s="47" t="str">
        <f>IF(C33="","",IF(E33&lt;=Forsendur!$B$2/100,"🟢 GRÆNT",IF(E33&lt;=Forsendur!$B$3/100,"🟡 GULT","🔴 RAUTT")))</f>
        <v/>
      </c>
      <c r="H33" s="47"/>
    </row>
    <row r="34" spans="1:8" ht="15" customHeight="1">
      <c r="A34" s="51"/>
      <c r="B34" s="51"/>
      <c r="C34" s="52"/>
      <c r="D34" s="52">
        <f>Forsendur!$B$1</f>
        <v>0</v>
      </c>
      <c r="E34" s="53" t="str">
        <f>IF(C34="","",C34/D34)</f>
        <v/>
      </c>
      <c r="F34" s="52" t="str">
        <f>IF(C34="","",D34-C34)</f>
        <v/>
      </c>
      <c r="G34" s="51" t="str">
        <f>IF(C34="","",IF(E34&lt;=Forsendur!$B$2/100,"🟢 GRÆNT",IF(E34&lt;=Forsendur!$B$3/100,"🟡 GULT","🔴 RAUTT")))</f>
        <v/>
      </c>
      <c r="H34" s="51"/>
    </row>
    <row r="35" spans="1:8" ht="15" customHeight="1">
      <c r="A35" s="47"/>
      <c r="B35" s="47"/>
      <c r="C35" s="49"/>
      <c r="D35" s="49">
        <f>Forsendur!$B$1</f>
        <v>0</v>
      </c>
      <c r="E35" s="50" t="str">
        <f>IF(C35="","",C35/D35)</f>
        <v/>
      </c>
      <c r="F35" s="49" t="str">
        <f>IF(C35="","",D35-C35)</f>
        <v/>
      </c>
      <c r="G35" s="47" t="str">
        <f>IF(C35="","",IF(E35&lt;=Forsendur!$B$2/100,"🟢 GRÆNT",IF(E35&lt;=Forsendur!$B$3/100,"🟡 GULT","🔴 RAUTT")))</f>
        <v/>
      </c>
      <c r="H35" s="47"/>
    </row>
    <row r="36" spans="1:8" ht="15" customHeight="1">
      <c r="A36" s="51"/>
      <c r="B36" s="51"/>
      <c r="C36" s="52"/>
      <c r="D36" s="52">
        <f>Forsendur!$B$1</f>
        <v>0</v>
      </c>
      <c r="E36" s="53" t="str">
        <f>IF(C36="","",C36/D36)</f>
        <v/>
      </c>
      <c r="F36" s="52" t="str">
        <f>IF(C36="","",D36-C36)</f>
        <v/>
      </c>
      <c r="G36" s="51" t="str">
        <f>IF(C36="","",IF(E36&lt;=Forsendur!$B$2/100,"🟢 GRÆNT",IF(E36&lt;=Forsendur!$B$3/100,"🟡 GULT","🔴 RAUTT")))</f>
        <v/>
      </c>
      <c r="H36" s="51"/>
    </row>
    <row r="37" spans="1:8" ht="15" customHeight="1">
      <c r="A37" s="47"/>
      <c r="B37" s="47"/>
      <c r="C37" s="49"/>
      <c r="D37" s="49">
        <f>Forsendur!$B$1</f>
        <v>0</v>
      </c>
      <c r="E37" s="50" t="str">
        <f>IF(C37="","",C37/D37)</f>
        <v/>
      </c>
      <c r="F37" s="49" t="str">
        <f>IF(C37="","",D37-C37)</f>
        <v/>
      </c>
      <c r="G37" s="47" t="str">
        <f>IF(C37="","",IF(E37&lt;=Forsendur!$B$2/100,"🟢 GRÆNT",IF(E37&lt;=Forsendur!$B$3/100,"🟡 GULT","🔴 RAUTT")))</f>
        <v/>
      </c>
      <c r="H37" s="47"/>
    </row>
    <row r="38" spans="1:8" ht="15" customHeight="1">
      <c r="A38" s="51"/>
      <c r="B38" s="51"/>
      <c r="C38" s="52"/>
      <c r="D38" s="52">
        <f>Forsendur!$B$1</f>
        <v>0</v>
      </c>
      <c r="E38" s="53" t="str">
        <f>IF(C38="","",C38/D38)</f>
        <v/>
      </c>
      <c r="F38" s="52" t="str">
        <f>IF(C38="","",D38-C38)</f>
        <v/>
      </c>
      <c r="G38" s="51" t="str">
        <f>IF(C38="","",IF(E38&lt;=Forsendur!$B$2/100,"🟢 GRÆNT",IF(E38&lt;=Forsendur!$B$3/100,"🟡 GULT","🔴 RAUTT")))</f>
        <v/>
      </c>
      <c r="H38" s="51"/>
    </row>
    <row r="39" spans="1:8" ht="15" customHeight="1">
      <c r="A39" s="47"/>
      <c r="B39" s="47"/>
      <c r="C39" s="49"/>
      <c r="D39" s="49">
        <f>Forsendur!$B$1</f>
        <v>0</v>
      </c>
      <c r="E39" s="50" t="str">
        <f>IF(C39="","",C39/D39)</f>
        <v/>
      </c>
      <c r="F39" s="49" t="str">
        <f>IF(C39="","",D39-C39)</f>
        <v/>
      </c>
      <c r="G39" s="47" t="str">
        <f>IF(C39="","",IF(E39&lt;=Forsendur!$B$2/100,"🟢 GRÆNT",IF(E39&lt;=Forsendur!$B$3/100,"🟡 GULT","🔴 RAUTT")))</f>
        <v/>
      </c>
      <c r="H39" s="47"/>
    </row>
    <row r="40" spans="1:8" ht="15" customHeight="1">
      <c r="A40" s="51"/>
      <c r="B40" s="51"/>
      <c r="C40" s="52"/>
      <c r="D40" s="52">
        <f>Forsendur!$B$1</f>
        <v>0</v>
      </c>
      <c r="E40" s="53" t="str">
        <f>IF(C40="","",C40/D40)</f>
        <v/>
      </c>
      <c r="F40" s="52" t="str">
        <f>IF(C40="","",D40-C40)</f>
        <v/>
      </c>
      <c r="G40" s="51" t="str">
        <f>IF(C40="","",IF(E40&lt;=Forsendur!$B$2/100,"🟢 GRÆNT",IF(E40&lt;=Forsendur!$B$3/100,"🟡 GULT","🔴 RAUTT")))</f>
        <v/>
      </c>
      <c r="H40" s="51"/>
    </row>
    <row r="41" spans="1:8" ht="15" customHeight="1">
      <c r="A41" s="47"/>
      <c r="B41" s="47"/>
      <c r="C41" s="49"/>
      <c r="D41" s="49">
        <f>Forsendur!$B$1</f>
        <v>0</v>
      </c>
      <c r="E41" s="50" t="str">
        <f>IF(C41="","",C41/D41)</f>
        <v/>
      </c>
      <c r="F41" s="49" t="str">
        <f>IF(C41="","",D41-C41)</f>
        <v/>
      </c>
      <c r="G41" s="47" t="str">
        <f>IF(C41="","",IF(E41&lt;=Forsendur!$B$2/100,"🟢 GRÆNT",IF(E41&lt;=Forsendur!$B$3/100,"🟡 GULT","🔴 RAUTT")))</f>
        <v/>
      </c>
      <c r="H41" s="47"/>
    </row>
    <row r="42" spans="1:8" ht="15" customHeight="1">
      <c r="A42" s="51"/>
      <c r="B42" s="51"/>
      <c r="C42" s="52"/>
      <c r="D42" s="52">
        <f>Forsendur!$B$1</f>
        <v>0</v>
      </c>
      <c r="E42" s="53" t="str">
        <f>IF(C42="","",C42/D42)</f>
        <v/>
      </c>
      <c r="F42" s="52" t="str">
        <f>IF(C42="","",D42-C42)</f>
        <v/>
      </c>
      <c r="G42" s="51" t="str">
        <f>IF(C42="","",IF(E42&lt;=Forsendur!$B$2/100,"🟢 GRÆNT",IF(E42&lt;=Forsendur!$B$3/100,"🟡 GULT","🔴 RAUTT")))</f>
        <v/>
      </c>
      <c r="H42" s="51"/>
    </row>
    <row r="43" spans="1:8" ht="15" customHeight="1">
      <c r="A43" s="47"/>
      <c r="B43" s="47"/>
      <c r="C43" s="49"/>
      <c r="D43" s="49">
        <f>Forsendur!$B$1</f>
        <v>0</v>
      </c>
      <c r="E43" s="50" t="str">
        <f>IF(C43="","",C43/D43)</f>
        <v/>
      </c>
      <c r="F43" s="49" t="str">
        <f>IF(C43="","",D43-C43)</f>
        <v/>
      </c>
      <c r="G43" s="47" t="str">
        <f>IF(C43="","",IF(E43&lt;=Forsendur!$B$2/100,"🟢 GRÆNT",IF(E43&lt;=Forsendur!$B$3/100,"🟡 GULT","🔴 RAUTT")))</f>
        <v/>
      </c>
      <c r="H43" s="47"/>
    </row>
    <row r="44" spans="1:8" ht="15" customHeight="1">
      <c r="A44" s="51"/>
      <c r="B44" s="51"/>
      <c r="C44" s="52"/>
      <c r="D44" s="52">
        <f>Forsendur!$B$1</f>
        <v>0</v>
      </c>
      <c r="E44" s="53" t="str">
        <f>IF(C44="","",C44/D44)</f>
        <v/>
      </c>
      <c r="F44" s="52" t="str">
        <f>IF(C44="","",D44-C44)</f>
        <v/>
      </c>
      <c r="G44" s="51" t="str">
        <f>IF(C44="","",IF(E44&lt;=Forsendur!$B$2/100,"🟢 GRÆNT",IF(E44&lt;=Forsendur!$B$3/100,"🟡 GULT","🔴 RAUTT")))</f>
        <v/>
      </c>
      <c r="H44" s="51"/>
    </row>
    <row r="45" spans="1:8" ht="15" customHeight="1">
      <c r="A45" s="47"/>
      <c r="B45" s="47"/>
      <c r="C45" s="49"/>
      <c r="D45" s="49">
        <f>Forsendur!$B$1</f>
        <v>0</v>
      </c>
      <c r="E45" s="50" t="str">
        <f>IF(C45="","",C45/D45)</f>
        <v/>
      </c>
      <c r="F45" s="49" t="str">
        <f>IF(C45="","",D45-C45)</f>
        <v/>
      </c>
      <c r="G45" s="47" t="str">
        <f>IF(C45="","",IF(E45&lt;=Forsendur!$B$2/100,"🟢 GRÆNT",IF(E45&lt;=Forsendur!$B$3/100,"🟡 GULT","🔴 RAUTT")))</f>
        <v/>
      </c>
      <c r="H45" s="47"/>
    </row>
    <row r="46" spans="1:8" ht="15" customHeight="1">
      <c r="A46" s="51"/>
      <c r="B46" s="51"/>
      <c r="C46" s="52"/>
      <c r="D46" s="52">
        <f>Forsendur!$B$1</f>
        <v>0</v>
      </c>
      <c r="E46" s="53" t="str">
        <f>IF(C46="","",C46/D46)</f>
        <v/>
      </c>
      <c r="F46" s="52" t="str">
        <f>IF(C46="","",D46-C46)</f>
        <v/>
      </c>
      <c r="G46" s="51" t="str">
        <f>IF(C46="","",IF(E46&lt;=Forsendur!$B$2/100,"🟢 GRÆNT",IF(E46&lt;=Forsendur!$B$3/100,"🟡 GULT","🔴 RAUTT")))</f>
        <v/>
      </c>
      <c r="H46" s="51"/>
    </row>
    <row r="47" spans="1:8" ht="15" customHeight="1">
      <c r="A47" s="47"/>
      <c r="B47" s="47"/>
      <c r="C47" s="49"/>
      <c r="D47" s="49">
        <f>Forsendur!$B$1</f>
        <v>0</v>
      </c>
      <c r="E47" s="50" t="str">
        <f>IF(C47="","",C47/D47)</f>
        <v/>
      </c>
      <c r="F47" s="49" t="str">
        <f>IF(C47="","",D47-C47)</f>
        <v/>
      </c>
      <c r="G47" s="47" t="str">
        <f>IF(C47="","",IF(E47&lt;=Forsendur!$B$2/100,"🟢 GRÆNT",IF(E47&lt;=Forsendur!$B$3/100,"🟡 GULT","🔴 RAUTT")))</f>
        <v/>
      </c>
      <c r="H47" s="47"/>
    </row>
    <row r="48" spans="1:8" ht="15" customHeight="1">
      <c r="A48" s="51"/>
      <c r="B48" s="51"/>
      <c r="C48" s="52"/>
      <c r="D48" s="52">
        <f>Forsendur!$B$1</f>
        <v>0</v>
      </c>
      <c r="E48" s="53" t="str">
        <f>IF(C48="","",C48/D48)</f>
        <v/>
      </c>
      <c r="F48" s="52" t="str">
        <f>IF(C48="","",D48-C48)</f>
        <v/>
      </c>
      <c r="G48" s="51" t="str">
        <f>IF(C48="","",IF(E48&lt;=Forsendur!$B$2/100,"🟢 GRÆNT",IF(E48&lt;=Forsendur!$B$3/100,"🟡 GULT","🔴 RAUTT")))</f>
        <v/>
      </c>
      <c r="H48" s="51"/>
    </row>
    <row r="49" spans="1:8" ht="15" customHeight="1">
      <c r="A49" s="47"/>
      <c r="B49" s="47"/>
      <c r="C49" s="49"/>
      <c r="D49" s="49">
        <f>Forsendur!$B$1</f>
        <v>0</v>
      </c>
      <c r="E49" s="50" t="str">
        <f>IF(C49="","",C49/D49)</f>
        <v/>
      </c>
      <c r="F49" s="49" t="str">
        <f>IF(C49="","",D49-C49)</f>
        <v/>
      </c>
      <c r="G49" s="47" t="str">
        <f>IF(C49="","",IF(E49&lt;=Forsendur!$B$2/100,"🟢 GRÆNT",IF(E49&lt;=Forsendur!$B$3/100,"🟡 GULT","🔴 RAUTT")))</f>
        <v/>
      </c>
      <c r="H49" s="47"/>
    </row>
    <row r="50" spans="1:8" ht="15" customHeight="1">
      <c r="A50" s="51"/>
      <c r="B50" s="51"/>
      <c r="C50" s="52"/>
      <c r="D50" s="52">
        <f>Forsendur!$B$1</f>
        <v>0</v>
      </c>
      <c r="E50" s="53" t="str">
        <f>IF(C50="","",C50/D50)</f>
        <v/>
      </c>
      <c r="F50" s="52" t="str">
        <f>IF(C50="","",D50-C50)</f>
        <v/>
      </c>
      <c r="G50" s="51" t="str">
        <f>IF(C50="","",IF(E50&lt;=Forsendur!$B$2/100,"🟢 GRÆNT",IF(E50&lt;=Forsendur!$B$3/100,"🟡 GULT","🔴 RAUTT")))</f>
        <v/>
      </c>
      <c r="H50" s="51"/>
    </row>
    <row r="51" spans="1:8" ht="15" customHeight="1">
      <c r="A51" s="47"/>
      <c r="B51" s="47"/>
      <c r="C51" s="49"/>
      <c r="D51" s="49">
        <f>Forsendur!$B$1</f>
        <v>0</v>
      </c>
      <c r="E51" s="50" t="str">
        <f>IF(C51="","",C51/D51)</f>
        <v/>
      </c>
      <c r="F51" s="49" t="str">
        <f>IF(C51="","",D51-C51)</f>
        <v/>
      </c>
      <c r="G51" s="47" t="str">
        <f>IF(C51="","",IF(E51&lt;=Forsendur!$B$2/100,"🟢 GRÆNT",IF(E51&lt;=Forsendur!$B$3/100,"🟡 GULT","🔴 RAUTT")))</f>
        <v/>
      </c>
      <c r="H51" s="47"/>
    </row>
    <row r="52" spans="1:8" ht="15" customHeight="1">
      <c r="A52" s="51"/>
      <c r="B52" s="51"/>
      <c r="C52" s="52"/>
      <c r="D52" s="52">
        <f>Forsendur!$B$1</f>
        <v>0</v>
      </c>
      <c r="E52" s="53" t="str">
        <f>IF(C52="","",C52/D52)</f>
        <v/>
      </c>
      <c r="F52" s="52" t="str">
        <f>IF(C52="","",D52-C52)</f>
        <v/>
      </c>
      <c r="G52" s="51" t="str">
        <f>IF(C52="","",IF(E52&lt;=Forsendur!$B$2/100,"🟢 GRÆNT",IF(E52&lt;=Forsendur!$B$3/100,"🟡 GULT","🔴 RAUTT")))</f>
        <v/>
      </c>
      <c r="H52" s="51"/>
    </row>
    <row r="53" spans="1:8" ht="15" customHeight="1">
      <c r="A53" s="47"/>
      <c r="B53" s="47"/>
      <c r="C53" s="49"/>
      <c r="D53" s="49">
        <f>Forsendur!$B$1</f>
        <v>0</v>
      </c>
      <c r="E53" s="50" t="str">
        <f>IF(C53="","",C53/D53)</f>
        <v/>
      </c>
      <c r="F53" s="49" t="str">
        <f>IF(C53="","",D53-C53)</f>
        <v/>
      </c>
      <c r="G53" s="47" t="str">
        <f>IF(C53="","",IF(E53&lt;=Forsendur!$B$2/100,"🟢 GRÆNT",IF(E53&lt;=Forsendur!$B$3/100,"🟡 GULT","🔴 RAUTT")))</f>
        <v/>
      </c>
      <c r="H53" s="47"/>
    </row>
    <row r="54" spans="1:8" ht="15" customHeight="1">
      <c r="A54" s="51"/>
      <c r="B54" s="51"/>
      <c r="C54" s="52"/>
      <c r="D54" s="52">
        <f>Forsendur!$B$1</f>
        <v>0</v>
      </c>
      <c r="E54" s="53" t="str">
        <f>IF(C54="","",C54/D54)</f>
        <v/>
      </c>
      <c r="F54" s="52" t="str">
        <f>IF(C54="","",D54-C54)</f>
        <v/>
      </c>
      <c r="G54" s="51" t="str">
        <f>IF(C54="","",IF(E54&lt;=Forsendur!$B$2/100,"🟢 GRÆNT",IF(E54&lt;=Forsendur!$B$3/100,"🟡 GULT","🔴 RAUTT")))</f>
        <v/>
      </c>
      <c r="H54" s="51"/>
    </row>
  </sheetData>
  <mergeCells count="3">
    <mergeCell ref="A1:H1"/>
    <mergeCell ref="A2:H2"/>
    <mergeCell ref="A4:H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7474F"/>
  </sheetPr>
  <dimension ref="A1:B4"/>
  <sheetViews>
    <sheetView zoomScaleNormal="100" workbookViewId="0"/>
  </sheetViews>
  <sheetFormatPr defaultColWidth="8.7109375" defaultRowHeight="15"/>
  <cols>
    <col min="1" max="1" width="200" customWidth="1"/>
    <col min="2" max="2" width="120" customWidth="1"/>
  </cols>
  <sheetData>
    <row r="1" spans="1:2" ht="36" customHeight="1">
      <c r="A1" s="71" t="s">
        <v>1126</v>
      </c>
      <c r="B1" s="71"/>
    </row>
    <row r="2" spans="1:2" ht="15" customHeight="1">
      <c r="A2" s="54" t="s">
        <v>1127</v>
      </c>
      <c r="B2" s="55">
        <v>1100</v>
      </c>
    </row>
    <row r="3" spans="1:2" ht="15" customHeight="1">
      <c r="A3" s="54" t="s">
        <v>1128</v>
      </c>
      <c r="B3" s="56">
        <v>30</v>
      </c>
    </row>
    <row r="4" spans="1:2" ht="15" customHeight="1">
      <c r="A4" s="54" t="s">
        <v>1129</v>
      </c>
      <c r="B4" s="56">
        <v>35</v>
      </c>
    </row>
  </sheetData>
  <mergeCells count="1">
    <mergeCell ref="A1:B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7474F"/>
  </sheetPr>
  <dimension ref="A1:B21"/>
  <sheetViews>
    <sheetView zoomScaleNormal="100" workbookViewId="0"/>
  </sheetViews>
  <sheetFormatPr defaultColWidth="8.7109375" defaultRowHeight="15"/>
  <cols>
    <col min="1" max="1" width="30" customWidth="1"/>
    <col min="2" max="2" width="70" customWidth="1"/>
  </cols>
  <sheetData>
    <row r="1" spans="1:2" ht="31.5" customHeight="1">
      <c r="A1" s="72" t="s">
        <v>1130</v>
      </c>
      <c r="B1" s="72"/>
    </row>
    <row r="2" spans="1:2" ht="19.5" customHeight="1">
      <c r="A2" s="57" t="s">
        <v>1131</v>
      </c>
      <c r="B2" s="58" t="s">
        <v>1132</v>
      </c>
    </row>
    <row r="4" spans="1:2" ht="31.5" customHeight="1">
      <c r="A4" s="73" t="s">
        <v>1133</v>
      </c>
      <c r="B4" s="73"/>
    </row>
    <row r="5" spans="1:2" ht="19.5" customHeight="1">
      <c r="A5" s="59" t="s">
        <v>1134</v>
      </c>
      <c r="B5" s="18" t="s">
        <v>1135</v>
      </c>
    </row>
    <row r="6" spans="1:2" ht="19.5" customHeight="1">
      <c r="A6" s="59" t="s">
        <v>1136</v>
      </c>
      <c r="B6" s="18" t="s">
        <v>1137</v>
      </c>
    </row>
    <row r="7" spans="1:2" ht="19.5" customHeight="1">
      <c r="A7" s="59" t="s">
        <v>1138</v>
      </c>
      <c r="B7" s="18" t="s">
        <v>1139</v>
      </c>
    </row>
    <row r="8" spans="1:2" ht="19.5" customHeight="1">
      <c r="A8" s="59" t="s">
        <v>1140</v>
      </c>
      <c r="B8" s="18" t="s">
        <v>1141</v>
      </c>
    </row>
    <row r="9" spans="1:2" ht="19.5" customHeight="1">
      <c r="A9" s="59" t="s">
        <v>1142</v>
      </c>
      <c r="B9" s="18" t="s">
        <v>1143</v>
      </c>
    </row>
    <row r="10" spans="1:2" ht="19.5" customHeight="1">
      <c r="A10" s="59" t="s">
        <v>1144</v>
      </c>
      <c r="B10" s="18" t="s">
        <v>1145</v>
      </c>
    </row>
    <row r="11" spans="1:2" ht="19.5" customHeight="1">
      <c r="A11" s="59" t="s">
        <v>1146</v>
      </c>
      <c r="B11" s="18" t="s">
        <v>1147</v>
      </c>
    </row>
    <row r="13" spans="1:2" ht="31.5" customHeight="1">
      <c r="A13" s="74" t="s">
        <v>1148</v>
      </c>
      <c r="B13" s="74"/>
    </row>
    <row r="14" spans="1:2" ht="19.5" customHeight="1">
      <c r="A14" s="60" t="s">
        <v>1138</v>
      </c>
      <c r="B14" s="61" t="s">
        <v>1149</v>
      </c>
    </row>
    <row r="15" spans="1:2" ht="19.5" customHeight="1">
      <c r="A15" s="60" t="s">
        <v>1140</v>
      </c>
      <c r="B15" s="61" t="s">
        <v>1150</v>
      </c>
    </row>
    <row r="16" spans="1:2" ht="19.5" customHeight="1">
      <c r="A16" s="60" t="s">
        <v>1142</v>
      </c>
      <c r="B16" s="61" t="s">
        <v>1151</v>
      </c>
    </row>
    <row r="18" spans="1:2" ht="31.5" customHeight="1">
      <c r="A18" s="75" t="s">
        <v>1152</v>
      </c>
      <c r="B18" s="75"/>
    </row>
    <row r="19" spans="1:2" ht="19.5" customHeight="1">
      <c r="A19" s="62" t="s">
        <v>1153</v>
      </c>
      <c r="B19" s="63" t="s">
        <v>1154</v>
      </c>
    </row>
    <row r="20" spans="1:2" ht="19.5" customHeight="1">
      <c r="A20" s="62" t="s">
        <v>1155</v>
      </c>
      <c r="B20" s="63" t="s">
        <v>1156</v>
      </c>
    </row>
    <row r="21" spans="1:2" ht="19.5" customHeight="1">
      <c r="A21" s="62" t="s">
        <v>1144</v>
      </c>
      <c r="B21" s="63" t="s">
        <v>1157</v>
      </c>
    </row>
  </sheetData>
  <mergeCells count="4">
    <mergeCell ref="A1:B1"/>
    <mergeCell ref="A4:B4"/>
    <mergeCell ref="A13:B13"/>
    <mergeCell ref="A18:B1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John Bond</cp:lastModifiedBy>
  <cp:revision>0</cp:revision>
  <dcterms:created xsi:type="dcterms:W3CDTF">2026-06-16T10:38:54Z</dcterms:created>
  <dcterms:modified xsi:type="dcterms:W3CDTF">2026-06-16T15:07:41Z</dcterms:modified>
  <cp:category/>
  <cp:contentStatus/>
</cp:coreProperties>
</file>